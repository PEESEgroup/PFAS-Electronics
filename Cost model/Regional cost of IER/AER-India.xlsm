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34" documentId="13_ncr:1_{229225C0-7D05-4D64-88D4-7336FA4C42BE}" xr6:coauthVersionLast="47" xr6:coauthVersionMax="47" xr10:uidLastSave="{7ED4654E-C6AE-8844-B1BF-C8F7ED2694D9}"/>
  <bookViews>
    <workbookView xWindow="0" yWindow="760" windowWidth="30240" windowHeight="17480" tabRatio="871" activeTab="5"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<sst xmlns="http://schemas.openxmlformats.org/spreadsheetml/2006/main" count="9442" uniqueCount="4390">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</sst>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$607,230</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$1,071,401</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$88,596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$398,899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$487,495 per year (18% capital, 82%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zoomScaleNormal="100" zoomScaleSheetLayoutView="50" workbookViewId="0">
      <selection activeCell="G23" sqref="G23"/>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607230.10065782897</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393718.2827085717</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1071401.2198618944</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88596.412894561363</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398899.01125198882</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18% capital, 82% O&amp;M)</v>
      </c>
      <c r="C25" s="674">
        <f>IF(input_status&lt;&gt;"input complete -- results ready","Action required",IF(Missing_Cost,"Missing cost!",IF(cost_buildup_error,"Error in buildup!",Annualized_Cost)))</f>
        <v>487495.42414655018</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0.62063378335100849</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77.988342006259316</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87" t="s">
        <v>1909</v>
      </c>
      <c r="B30" s="990" t="s">
        <v>1910</v>
      </c>
      <c r="C30" s="990" t="s">
        <v>2970</v>
      </c>
      <c r="D30" s="990"/>
      <c r="E30" s="990" t="s">
        <v>2971</v>
      </c>
      <c r="F30" s="990"/>
      <c r="G30" s="1002" t="s">
        <v>2577</v>
      </c>
      <c r="H30" s="1002"/>
      <c r="I30" s="990" t="s">
        <v>2578</v>
      </c>
      <c r="J30" s="990" t="s">
        <v>2579</v>
      </c>
      <c r="K30" s="990" t="s">
        <v>2580</v>
      </c>
      <c r="L30" s="999" t="s">
        <v>2847</v>
      </c>
      <c r="M30" s="994" t="s">
        <v>2969</v>
      </c>
      <c r="N30" s="993" t="s">
        <v>2968</v>
      </c>
      <c r="O30" s="993"/>
      <c r="P30" s="993"/>
      <c r="Q30" s="993"/>
      <c r="R30" s="993"/>
      <c r="S30" s="993"/>
      <c r="T30" s="993"/>
      <c r="U30" s="993"/>
      <c r="V30" s="993"/>
      <c r="W30" s="993" t="s">
        <v>2580</v>
      </c>
      <c r="X30" s="993"/>
    </row>
    <row r="31" spans="1:24" s="16" customFormat="1" ht="18" customHeight="1">
      <c r="A31" s="988"/>
      <c r="B31" s="991"/>
      <c r="C31" s="991"/>
      <c r="D31" s="991"/>
      <c r="E31" s="991"/>
      <c r="F31" s="991"/>
      <c r="G31" s="1003"/>
      <c r="H31" s="1003"/>
      <c r="I31" s="991"/>
      <c r="J31" s="991"/>
      <c r="K31" s="991"/>
      <c r="L31" s="1000"/>
      <c r="M31" s="995"/>
      <c r="N31" s="878" t="s">
        <v>1319</v>
      </c>
      <c r="O31" s="878"/>
      <c r="P31" s="878"/>
      <c r="Q31" s="878" t="s">
        <v>1320</v>
      </c>
      <c r="R31" s="878"/>
      <c r="S31" s="878"/>
      <c r="T31" s="878" t="s">
        <v>1321</v>
      </c>
      <c r="U31" s="878"/>
      <c r="V31" s="878"/>
      <c r="W31" s="993"/>
      <c r="X31" s="993"/>
    </row>
    <row r="32" spans="1:24" s="16" customFormat="1" ht="18" customHeight="1">
      <c r="A32" s="989"/>
      <c r="B32" s="992"/>
      <c r="C32" s="992"/>
      <c r="D32" s="992"/>
      <c r="E32" s="992"/>
      <c r="F32" s="992"/>
      <c r="G32" s="1004"/>
      <c r="H32" s="1004"/>
      <c r="I32" s="992"/>
      <c r="J32" s="992"/>
      <c r="K32" s="992"/>
      <c r="L32" s="1001"/>
      <c r="M32" s="995"/>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117</v>
      </c>
      <c r="J39" s="392">
        <f>IF(I39="contact vendor","--",C39*I39)</f>
        <v>111813.68077097577</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556624.32698596013</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607230.10065782897</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32036.517508563862</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55662.432698596014</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72867.612078939477</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60723.010065782903</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12144.60201315658</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30361.505032891451</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48070.689388284649</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393718.2827085717</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607230.10065782897</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393718.2827085717</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1071401.2198618944</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8" t="s">
        <v>1911</v>
      </c>
      <c r="D387" s="998"/>
      <c r="E387" s="998" t="s">
        <v>2578</v>
      </c>
      <c r="F387" s="998"/>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7.0496214924682965</v>
      </c>
      <c r="F389" s="21" t="s">
        <v>721</v>
      </c>
      <c r="G389" s="436">
        <f>E389*C389</f>
        <v>536.13160244299661</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4.0036939765859305</v>
      </c>
      <c r="F390" s="21" t="s">
        <v>721</v>
      </c>
      <c r="G390" s="436">
        <f>E390*C390</f>
        <v>304.48540672030151</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4.4333462206398666</v>
      </c>
      <c r="F391" s="440" t="s">
        <v>721</v>
      </c>
      <c r="G391" s="442">
        <f>E391*C391</f>
        <v>3371.6094062576985</v>
      </c>
      <c r="H391" s="443">
        <v>1</v>
      </c>
      <c r="I391" s="996" t="s">
        <v>2656</v>
      </c>
      <c r="J391" s="996"/>
      <c r="K391" s="996"/>
      <c r="L391" s="997"/>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117</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117</v>
      </c>
      <c r="F407" s="424" t="s">
        <v>1474</v>
      </c>
      <c r="G407" s="436">
        <f>E407*C407</f>
        <v>141546.67438823037</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0.122</v>
      </c>
      <c r="F409" s="21" t="s">
        <v>46</v>
      </c>
      <c r="G409" s="402">
        <f>E409*C409*1000</f>
        <v>23137.747338996996</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0.122</v>
      </c>
      <c r="F410" s="21" t="s">
        <v>46</v>
      </c>
      <c r="G410" s="402">
        <f>E410*C410*1000</f>
        <v>0.94248581497502715</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0.122</v>
      </c>
      <c r="F411" s="21" t="str">
        <f>IF(C411=0,"","/kwh")</f>
        <v>/kwh</v>
      </c>
      <c r="G411" s="391">
        <f>IF(C411=0,"--",E411*C411*1000)</f>
        <v>0.53428901075681778</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0.122</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0.122</v>
      </c>
      <c r="F413" s="21" t="s">
        <v>46</v>
      </c>
      <c r="G413" s="402">
        <f>E413*C413*1000</f>
        <v>382.44897163636358</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0.122</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0.122</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0.122</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0.122</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1.7290000000000001</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1.7290000000000001</v>
      </c>
      <c r="F421" s="424" t="s">
        <v>2738</v>
      </c>
      <c r="G421" s="402">
        <f>E421*C421</f>
        <v>10763.280214194399</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3548.6436414415775</v>
      </c>
      <c r="F426" s="424" t="s">
        <v>2172</v>
      </c>
      <c r="G426" s="436">
        <f>disposal_fee</f>
        <v>92302.753673097395</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111.29741900460179</v>
      </c>
      <c r="F428" s="475" t="str">
        <f>IF(B428="","","/ton")</f>
        <v>/ton</v>
      </c>
      <c r="G428" s="392">
        <f>IF(C428=0,"--",cart_disposal_fee)</f>
        <v>51.285850677320504</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36263.546477453528</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398899.01125198882</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88596.412894561363</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398899.01125198882</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487495.42414655018</v>
      </c>
      <c r="D443" s="753" t="s">
        <v>908</v>
      </c>
      <c r="E443" s="858" t="str">
        <f>IF(ISERROR(OR(TAC_pct_cap,TAC_pct_OM)),"",TEXT(TAC_pct_cap,"0%")&amp;" annualized capital, "&amp;TEXT(TAC_pct_OM,"0%")&amp;" annual O&amp;M")</f>
        <v>18% annualized capital, 82%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0.62063378335100849</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77.988342006259316</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32036.517508563862</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55662.432698596014</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72867.612078939477</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48070.689388284649</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290489.16559674079</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tabSelected="1" workbookViewId="0">
      <pane ySplit="3" topLeftCell="A875" activePane="bottomLeft" state="frozen"/>
      <selection pane="bottomLeft" activeCell="D914" sqref="D91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117</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0.122</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1.7290000000000001</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1616.77</v>
      </c>
      <c r="E1386" s="977" t="s">
        <v>2172</v>
      </c>
    </row>
    <row r="1388" spans="1:5">
      <c r="B1388" s="970"/>
      <c r="C1388" s="970"/>
      <c r="D1388" s="970"/>
      <c r="E1388" s="970"/>
    </row>
    <row r="1389" spans="1:5">
      <c r="A1389" s="3"/>
      <c r="B1389" s="970" t="s">
        <v>3940</v>
      </c>
      <c r="C1389" s="963" t="s">
        <v>3942</v>
      </c>
      <c r="D1389" s="976">
        <v>412.79899999999998</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0.16800000000000001</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4.1571412066051936</v>
      </c>
      <c r="F1416" s="978">
        <v>6.1634637391070539</v>
      </c>
      <c r="G1416" s="978">
        <v>4.0036939765859305</v>
      </c>
    </row>
    <row r="1417" spans="1:7">
      <c r="A1417" s="3"/>
      <c r="B1417">
        <v>3.1E-2</v>
      </c>
      <c r="C1417">
        <v>0.124</v>
      </c>
      <c r="D1417">
        <v>1</v>
      </c>
      <c r="E1417" s="978">
        <v>4.1571412066051936</v>
      </c>
      <c r="F1417" s="978">
        <v>6.1634637391070539</v>
      </c>
      <c r="G1417" s="978">
        <v>4.0036939765859305</v>
      </c>
    </row>
    <row r="1418" spans="1:7">
      <c r="A1418" s="3"/>
      <c r="B1418">
        <v>0.1241</v>
      </c>
      <c r="C1418">
        <v>0.30499999999999999</v>
      </c>
      <c r="D1418">
        <v>1.2</v>
      </c>
      <c r="E1418" s="978">
        <v>4.1571412066051936</v>
      </c>
      <c r="F1418" s="978">
        <v>6.1634637391070539</v>
      </c>
      <c r="G1418" s="978">
        <v>4.0036939765859305</v>
      </c>
    </row>
    <row r="1419" spans="1:7">
      <c r="A1419" s="3"/>
      <c r="B1419">
        <v>0.30509999999999998</v>
      </c>
      <c r="C1419">
        <v>0.74</v>
      </c>
      <c r="D1419">
        <v>1.2</v>
      </c>
      <c r="E1419" s="978">
        <v>4.1571412066051936</v>
      </c>
      <c r="F1419" s="978">
        <v>6.1634637391070539</v>
      </c>
      <c r="G1419" s="978">
        <v>4.0036939765859305</v>
      </c>
    </row>
    <row r="1420" spans="1:7">
      <c r="A1420" s="3"/>
      <c r="B1420">
        <v>0.74099999999999999</v>
      </c>
      <c r="C1420">
        <v>2.1520000000000001</v>
      </c>
      <c r="D1420">
        <v>1.6</v>
      </c>
      <c r="E1420" s="978">
        <v>4.4333462206398666</v>
      </c>
      <c r="F1420" s="978">
        <v>7.0496214924682965</v>
      </c>
      <c r="G1420" s="978">
        <v>4.0036939765859305</v>
      </c>
    </row>
    <row r="1421" spans="1:7">
      <c r="A1421" s="3"/>
      <c r="B1421">
        <v>2.1520999999999999</v>
      </c>
      <c r="C1421">
        <v>7.3650000000000002</v>
      </c>
      <c r="D1421">
        <v>2.8</v>
      </c>
      <c r="E1421" s="978">
        <v>4.6801405155875146</v>
      </c>
      <c r="F1421" s="978">
        <v>7.8526619962357715</v>
      </c>
      <c r="G1421" s="978">
        <v>5.169892924732328</v>
      </c>
    </row>
    <row r="1422" spans="1:7">
      <c r="A1422" s="3"/>
      <c r="B1422">
        <v>7.3651</v>
      </c>
      <c r="C1422">
        <v>22.614000000000001</v>
      </c>
      <c r="D1422">
        <v>3.8</v>
      </c>
      <c r="E1422" s="978">
        <v>4.8860155491966912</v>
      </c>
      <c r="F1422" s="978">
        <v>9.1633570859836411</v>
      </c>
      <c r="G1422" s="978">
        <v>5.169892924732328</v>
      </c>
    </row>
    <row r="1423" spans="1:7">
      <c r="A1423" s="3"/>
      <c r="B1423">
        <v>22.614100000000001</v>
      </c>
      <c r="C1423">
        <v>75.069999999999993</v>
      </c>
      <c r="D1423">
        <v>7.8</v>
      </c>
      <c r="E1423" s="978">
        <v>5.7107944105502284</v>
      </c>
      <c r="F1423" s="978">
        <v>9.7899332752289645</v>
      </c>
      <c r="G1423" s="978">
        <v>5.169892924732328</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0.126</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0.16800000000000001</v>
      </c>
      <c r="D212" s="968" t="s">
        <v>2936</v>
      </c>
      <c r="E212" s="6" t="str">
        <f>IF(media_haz=1,"Included in disposal cost","")</f>
        <v/>
      </c>
    </row>
    <row r="213" spans="1:5">
      <c r="A213" s="108" t="s">
        <v>2934</v>
      </c>
      <c r="B213" s="3"/>
      <c r="C213" s="650">
        <f>CHOOSE(media_haz,0,0,haz_trans_min_cost_cl,rad_trans_min_cost_cl,hazrad_trans_min_cost_cl,haz_trans_min_cost_cl)</f>
        <v>412.79899999999998</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1567.7059883343254</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92302.753673097395</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0.16800000000000001</v>
      </c>
      <c r="D222" s="526" t="s">
        <v>2936</v>
      </c>
      <c r="E222" s="6"/>
    </row>
    <row r="223" spans="1:5">
      <c r="A223" s="108" t="s">
        <v>2934</v>
      </c>
      <c r="B223" s="3"/>
      <c r="C223" s="650">
        <f>CHOOSE(solids_haz,0,haz_trans_min_cost_cl,rad_trans_min_cost_cl,hazrad_trans_min_cost_cl)</f>
        <v>412.79899999999998</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0.58060800000000001</v>
      </c>
      <c r="D231" s="724" t="s">
        <v>579</v>
      </c>
    </row>
    <row r="232" spans="1:4">
      <c r="A232" s="108" t="s">
        <v>2939</v>
      </c>
      <c r="B232" s="470" t="s">
        <v>879</v>
      </c>
      <c r="C232" s="471">
        <f>SUM(C230:C231)</f>
        <v>51.285850677320504</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0.122</v>
      </c>
      <c r="J80" s="582" t="s">
        <v>46</v>
      </c>
      <c r="K80" s="579">
        <f>I80*G80*1000</f>
        <v>20441.694599971655</v>
      </c>
      <c r="L80" s="580">
        <f t="shared" ref="L80:L85" si="0">IF(OR(F80="n/a",K80="n/a"),"n/a",F80+K80)</f>
        <v>22848.057527380253</v>
      </c>
    </row>
    <row r="81" spans="1:12">
      <c r="A81" s="576" t="s">
        <v>855</v>
      </c>
      <c r="B81" s="1005" t="s">
        <v>1996</v>
      </c>
      <c r="C81" s="1005"/>
      <c r="D81" s="1005"/>
      <c r="E81" s="1005"/>
      <c r="F81" s="586" t="s">
        <v>1995</v>
      </c>
      <c r="G81" s="584">
        <f>IF(hp_ok_1,build1_heat_loss_yr/3412000/COP,"n/a")</f>
        <v>49.758720089349779</v>
      </c>
      <c r="H81" s="576" t="s">
        <v>179</v>
      </c>
      <c r="I81" s="583">
        <f>energy_cost_cl</f>
        <v>0.122</v>
      </c>
      <c r="J81" s="582" t="s">
        <v>46</v>
      </c>
      <c r="K81" s="579">
        <f>IF(G81="n/a","n/a",I81*G81*1000)</f>
        <v>6070.5638509006722</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1.7290000000000001</v>
      </c>
      <c r="J82" s="588" t="s">
        <v>2738</v>
      </c>
      <c r="K82" s="579">
        <f>I82*G82</f>
        <v>11396.414344441127</v>
      </c>
      <c r="L82" s="580">
        <f t="shared" si="0"/>
        <v>13117.367751226191</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1.7290000000000001</v>
      </c>
      <c r="J83" s="588" t="s">
        <v>2738</v>
      </c>
      <c r="K83" s="579">
        <f>I83*G83</f>
        <v>10763.280214194399</v>
      </c>
      <c r="L83" s="580">
        <f t="shared" si="0"/>
        <v>12484.233620979463</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0.122</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0.122</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1.7290000000000001</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1.7290000000000001</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0.122</v>
      </c>
      <c r="J99" s="582" t="s">
        <v>46</v>
      </c>
      <c r="K99" s="579">
        <f>I99*G99*1000</f>
        <v>3458.0285195569036</v>
      </c>
      <c r="L99" s="580">
        <f>IF(F99="n/a","n/a",F99+K99)</f>
        <v>4302.9835421207581</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0.122</v>
      </c>
      <c r="J100" s="582" t="s">
        <v>46</v>
      </c>
      <c r="K100" s="579">
        <f>IF(C100="n/a","n/a",I100*G100*1000)</f>
        <v>3458.0285195569036</v>
      </c>
      <c r="L100" s="580">
        <f>IF(F100="n/a","n/a",F100+K100)</f>
        <v>4042.6924029080528</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0.122</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0.122</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22848.057527380253</v>
      </c>
      <c r="C112" s="576" t="s">
        <v>1968</v>
      </c>
      <c r="D112" s="647">
        <f>IF(build1_need_cool,VLOOKUP(C112,build1_cool_options,12,FALSE),0)</f>
        <v>0</v>
      </c>
      <c r="E112" s="579">
        <f t="shared" ref="E112:E117" si="1">IF(OR(B112="n/a",D112="n/a"),"n/a",ROUND(B112+D112,0))</f>
        <v>22848</v>
      </c>
    </row>
    <row r="113" spans="1:5">
      <c r="A113" s="576" t="s">
        <v>856</v>
      </c>
      <c r="B113" s="579">
        <f>IF(build1_need_heat,VLOOKUP(A113,build1_heat_options,12,FALSE),0)</f>
        <v>13117.367751226191</v>
      </c>
      <c r="C113" s="576" t="s">
        <v>1968</v>
      </c>
      <c r="D113" s="647">
        <f>IF(build1_need_cool,VLOOKUP(C113,build1_cool_options,12,FALSE),0)</f>
        <v>0</v>
      </c>
      <c r="E113" s="579">
        <f t="shared" si="1"/>
        <v>13117</v>
      </c>
    </row>
    <row r="114" spans="1:5">
      <c r="A114" s="576" t="s">
        <v>2739</v>
      </c>
      <c r="B114" s="579">
        <f>IF(build1_need_heat,VLOOKUP(A114,build1_heat_options,12,FALSE),0)</f>
        <v>12484.233620979463</v>
      </c>
      <c r="C114" s="576" t="s">
        <v>1968</v>
      </c>
      <c r="D114" s="647">
        <f>IF(build1_need_cool,VLOOKUP(C114,build1_cool_options,12,FALSE),0)</f>
        <v>0</v>
      </c>
      <c r="E114" s="579">
        <f t="shared" si="1"/>
        <v>12484</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2064.5823422366184</v>
      </c>
    </row>
    <row r="90" spans="1:5">
      <c r="A90" s="108" t="s">
        <v>1899</v>
      </c>
      <c r="C90" s="74">
        <f>include_bond*(VLOOKUP(direct_cost,performance_bond_table_cl,3)+VLOOKUP(direct_cost,performance_bond_table_cl,4)*(direct_cost-VLOOKUP(direct_cost,performance_bond_table_cl,5)))</f>
        <v>9572.3010065782892</v>
      </c>
      <c r="E90" s="6" t="s">
        <v>2483</v>
      </c>
    </row>
    <row r="91" spans="1:5">
      <c r="A91" s="108" t="s">
        <v>1900</v>
      </c>
      <c r="C91" s="514">
        <f>VLOOKUP(direct_cost,construction_mgt_table_cl,3)</f>
        <v>0.06</v>
      </c>
      <c r="E91" s="6" t="s">
        <v>2276</v>
      </c>
    </row>
    <row r="92" spans="1:5">
      <c r="A92" s="108" t="s">
        <v>1901</v>
      </c>
      <c r="C92" s="74">
        <f>IF(ss_cat2=1,include_cm_pre,include_cm)*C91*direct_cost</f>
        <v>36433.806039469739</v>
      </c>
    </row>
    <row r="93" spans="1:5">
      <c r="A93" s="108" t="s">
        <v>2481</v>
      </c>
      <c r="B93" s="3" t="s">
        <v>2482</v>
      </c>
      <c r="C93" s="74">
        <f>SUM(C89:C90,C92)</f>
        <v>48070.689388284649</v>
      </c>
    </row>
    <row r="95" spans="1:5">
      <c r="A95" s="2" t="s">
        <v>3473</v>
      </c>
    </row>
    <row r="96" spans="1:5">
      <c r="A96" s="660" t="s">
        <v>3474</v>
      </c>
      <c r="B96" s="3" t="s">
        <v>3475</v>
      </c>
      <c r="C96" s="857">
        <f>Annualized_Capital_Cost/Annualized_Cost</f>
        <v>0.18173793743739353</v>
      </c>
    </row>
    <row r="97" spans="1:3">
      <c r="A97" s="660" t="s">
        <v>3476</v>
      </c>
      <c r="B97" s="3" t="s">
        <v>3477</v>
      </c>
      <c r="C97" s="857">
        <f>OM_cost/Annualized_Cost</f>
        <v>0.81826206256260647</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9" t="s">
        <v>3266</v>
      </c>
      <c r="B9" s="1011" t="s">
        <v>3267</v>
      </c>
      <c r="C9" s="1011" t="s">
        <v>3268</v>
      </c>
      <c r="D9" s="1011" t="s">
        <v>3269</v>
      </c>
      <c r="E9" s="1014" t="s">
        <v>3270</v>
      </c>
      <c r="F9" s="1006" t="s">
        <v>3271</v>
      </c>
      <c r="G9" s="1007"/>
      <c r="H9" s="1007"/>
      <c r="I9" s="1007"/>
      <c r="J9" s="1007"/>
      <c r="K9" s="1008"/>
      <c r="L9" s="1019" t="s">
        <v>3272</v>
      </c>
      <c r="M9" s="1020"/>
      <c r="N9" s="1020"/>
      <c r="O9" s="1020"/>
      <c r="P9" s="1020"/>
      <c r="Q9" s="1020"/>
      <c r="R9" s="1020"/>
      <c r="S9" s="1020"/>
      <c r="T9" s="1020"/>
      <c r="U9" s="1020"/>
      <c r="V9" s="1020"/>
      <c r="W9" s="1020"/>
      <c r="X9" s="1020"/>
      <c r="Y9" s="1020"/>
      <c r="Z9" s="1020"/>
      <c r="AA9" s="1020"/>
      <c r="AB9" s="1020"/>
      <c r="AC9" s="1020"/>
      <c r="AD9" s="1020"/>
      <c r="AE9" s="1020"/>
      <c r="AF9" s="1020"/>
      <c r="AG9" s="1020"/>
      <c r="AH9" s="1020"/>
      <c r="AI9" s="1020"/>
      <c r="AJ9" s="1020"/>
      <c r="AK9" s="1020"/>
      <c r="AL9" s="1020"/>
      <c r="AM9" s="1020"/>
      <c r="AN9" s="1020"/>
      <c r="AO9" s="1021"/>
      <c r="AP9" s="1022" t="s">
        <v>3273</v>
      </c>
      <c r="AQ9" s="1023"/>
      <c r="AR9" s="1023"/>
      <c r="AS9" s="1023"/>
      <c r="AT9" s="1023"/>
      <c r="AU9" s="1023"/>
      <c r="AV9" s="1023"/>
      <c r="AW9" s="1023"/>
      <c r="AX9" s="1023"/>
      <c r="AY9" s="1023"/>
      <c r="AZ9" s="1023"/>
      <c r="BA9" s="1023"/>
      <c r="BB9" s="1023"/>
      <c r="BC9" s="1023"/>
      <c r="BD9" s="1023"/>
      <c r="BE9" s="1023"/>
      <c r="BF9" s="1023"/>
      <c r="BG9" s="1023"/>
      <c r="BH9" s="1024" t="s">
        <v>3274</v>
      </c>
      <c r="BI9" s="1025"/>
      <c r="BJ9" s="1025"/>
      <c r="BK9" s="1025"/>
      <c r="BL9" s="1025"/>
      <c r="BM9" s="1025"/>
      <c r="BN9" s="1025"/>
      <c r="BO9" s="1025"/>
      <c r="BP9" s="1025"/>
      <c r="BQ9" s="1025"/>
      <c r="BR9" s="1025"/>
      <c r="BS9" s="1025"/>
      <c r="BT9" s="1025"/>
      <c r="BU9" s="1025"/>
      <c r="BV9" s="1025"/>
      <c r="BW9" s="1025"/>
      <c r="BX9" s="1025"/>
      <c r="BY9" s="1026"/>
      <c r="BZ9" s="1027" t="s">
        <v>3275</v>
      </c>
    </row>
    <row r="10" spans="1:78" s="809" customFormat="1">
      <c r="A10" s="1010"/>
      <c r="B10" s="1012"/>
      <c r="C10" s="1012"/>
      <c r="D10" s="1012"/>
      <c r="E10" s="1015"/>
      <c r="F10" s="1016" t="s">
        <v>3276</v>
      </c>
      <c r="G10" s="1017"/>
      <c r="H10" s="1018"/>
      <c r="I10" s="1016" t="s">
        <v>3277</v>
      </c>
      <c r="J10" s="1017"/>
      <c r="K10" s="1018"/>
      <c r="L10" s="1017" t="s">
        <v>3278</v>
      </c>
      <c r="M10" s="1017"/>
      <c r="N10" s="1018"/>
      <c r="O10" s="1016" t="s">
        <v>3279</v>
      </c>
      <c r="P10" s="1017"/>
      <c r="Q10" s="1018"/>
      <c r="R10" s="1016" t="s">
        <v>3280</v>
      </c>
      <c r="S10" s="1017"/>
      <c r="T10" s="1018"/>
      <c r="U10" s="1016" t="s">
        <v>3281</v>
      </c>
      <c r="V10" s="1017"/>
      <c r="W10" s="1018"/>
      <c r="X10" s="1016" t="s">
        <v>3282</v>
      </c>
      <c r="Y10" s="1017"/>
      <c r="Z10" s="1018"/>
      <c r="AA10" s="1016" t="s">
        <v>3283</v>
      </c>
      <c r="AB10" s="1017"/>
      <c r="AC10" s="1018"/>
      <c r="AD10" s="1016" t="s">
        <v>3284</v>
      </c>
      <c r="AE10" s="1017"/>
      <c r="AF10" s="1018"/>
      <c r="AG10" s="1016" t="s">
        <v>3285</v>
      </c>
      <c r="AH10" s="1017"/>
      <c r="AI10" s="1018"/>
      <c r="AJ10" s="1016" t="s">
        <v>3286</v>
      </c>
      <c r="AK10" s="1017"/>
      <c r="AL10" s="1018"/>
      <c r="AM10" s="1016" t="s">
        <v>3287</v>
      </c>
      <c r="AN10" s="1017"/>
      <c r="AO10" s="1018"/>
      <c r="AP10" s="1016" t="s">
        <v>3288</v>
      </c>
      <c r="AQ10" s="1017"/>
      <c r="AR10" s="1018"/>
      <c r="AS10" s="1016" t="s">
        <v>3289</v>
      </c>
      <c r="AT10" s="1017"/>
      <c r="AU10" s="1018"/>
      <c r="AV10" s="1016" t="s">
        <v>3290</v>
      </c>
      <c r="AW10" s="1017"/>
      <c r="AX10" s="1018"/>
      <c r="AY10" s="1016" t="s">
        <v>3291</v>
      </c>
      <c r="AZ10" s="1017"/>
      <c r="BA10" s="1018"/>
      <c r="BB10" s="1016" t="s">
        <v>3292</v>
      </c>
      <c r="BC10" s="1017"/>
      <c r="BD10" s="1018"/>
      <c r="BE10" s="1016" t="s">
        <v>3293</v>
      </c>
      <c r="BF10" s="1017"/>
      <c r="BG10" s="1018"/>
      <c r="BH10" s="1016" t="s">
        <v>3205</v>
      </c>
      <c r="BI10" s="1017"/>
      <c r="BJ10" s="1018"/>
      <c r="BK10" s="1016" t="s">
        <v>3294</v>
      </c>
      <c r="BL10" s="1017"/>
      <c r="BM10" s="1018"/>
      <c r="BN10" s="1016" t="s">
        <v>3295</v>
      </c>
      <c r="BO10" s="1017"/>
      <c r="BP10" s="1018"/>
      <c r="BQ10" s="1016" t="s">
        <v>3296</v>
      </c>
      <c r="BR10" s="1017"/>
      <c r="BS10" s="1018"/>
      <c r="BT10" s="1016" t="s">
        <v>3297</v>
      </c>
      <c r="BU10" s="1017"/>
      <c r="BV10" s="1018"/>
      <c r="BW10" s="1016" t="s">
        <v>3298</v>
      </c>
      <c r="BX10" s="1017"/>
      <c r="BY10" s="1018"/>
      <c r="BZ10" s="1028"/>
    </row>
    <row r="11" spans="1:78" s="814" customFormat="1" ht="28">
      <c r="A11" s="1010"/>
      <c r="B11" s="1012"/>
      <c r="C11" s="1013"/>
      <c r="D11" s="1012"/>
      <c r="E11" s="1015"/>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8"/>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2025-03-11T00:38:00Z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