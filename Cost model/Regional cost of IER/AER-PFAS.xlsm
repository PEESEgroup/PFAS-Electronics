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17" documentId="13_ncr:1_{229225C0-7D05-4D64-88D4-7336FA4C42BE}" xr6:coauthVersionLast="47" xr6:coauthVersionMax="47" xr10:uidLastSave="{4E2967EF-7616-BB40-B97F-7A36A31EA163}"/>
  <bookViews>
    <workbookView xWindow="0" yWindow="760" windowWidth="30240" windowHeight="17480" tabRatio="871" activeTab="5"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<sst xmlns="http://schemas.openxmlformats.org/spreadsheetml/2006/main" count="9442" uniqueCount="4390">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</sst>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42">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2" fontId="0" fillId="0" borderId="0" xfId="0" applyNumberFormat="1" applyAlignment="1">
      <alignment horizontal="center" vertical="center"/>
    </xf>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0" fontId="0" fillId="0" borderId="0" xfId="0" applyFill="1"/>
    <xf numFmtId="0" fontId="9" fillId="0" borderId="0" xfId="0" applyFont="1" applyFill="1"/>
    <xf numFmtId="179" fontId="0" fillId="0" borderId="0" xfId="0" applyNumberFormat="1" applyFill="1"/>
    <xf numFmtId="0" fontId="0" fillId="0" borderId="0" xfId="0" quotePrefix="1" applyFill="1"/>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1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9" customWidth="1"/>
    <col min="2" max="16384" width="9.1640625" style="939"/>
  </cols>
  <sheetData>
    <row r="1" spans="1:1" ht="16" customHeight="1">
      <c r="A1" s="938" t="s">
        <v>4359</v>
      </c>
    </row>
    <row r="2" spans="1:1" ht="16" customHeight="1">
      <c r="A2" s="938" t="s">
        <v>4371</v>
      </c>
    </row>
    <row r="3" spans="1:1" ht="16" customHeight="1">
      <c r="A3" s="940" t="s">
        <v>4380</v>
      </c>
    </row>
    <row r="4" spans="1:1" ht="20" customHeight="1">
      <c r="A4" s="941" t="s">
        <v>4360</v>
      </c>
    </row>
    <row r="5" spans="1:1" ht="20" customHeight="1">
      <c r="A5" s="942" t="s">
        <v>4361</v>
      </c>
    </row>
    <row r="6" spans="1:1" ht="20" customHeight="1">
      <c r="A6" s="942" t="s">
        <v>4362</v>
      </c>
    </row>
    <row r="7" spans="1:1" ht="20" customHeight="1">
      <c r="A7" s="942" t="s">
        <v>4363</v>
      </c>
    </row>
    <row r="8" spans="1:1" ht="20" customHeight="1">
      <c r="A8" s="942" t="s">
        <v>4364</v>
      </c>
    </row>
    <row r="9" spans="1:1" ht="33.75" customHeight="1">
      <c r="A9" s="943" t="s">
        <v>4365</v>
      </c>
    </row>
    <row r="10" spans="1:1" ht="20" customHeight="1">
      <c r="A10" s="942" t="s">
        <v>4366</v>
      </c>
    </row>
    <row r="11" spans="1:1" ht="20" customHeight="1">
      <c r="A11" s="942" t="s">
        <v>4367</v>
      </c>
    </row>
    <row r="12" spans="1:1" ht="20" customHeight="1">
      <c r="A12" s="942" t="s">
        <v>4368</v>
      </c>
    </row>
    <row r="13" spans="1:1" ht="20" customHeight="1">
      <c r="A13" s="942" t="s">
        <v>4369</v>
      </c>
    </row>
    <row r="14" spans="1:1" ht="20" customHeight="1">
      <c r="A14" s="944" t="s">
        <v>4372</v>
      </c>
    </row>
    <row r="15" spans="1:1" ht="20" customHeight="1">
      <c r="A15" s="945" t="s">
        <v>4370</v>
      </c>
    </row>
    <row r="16" spans="1:1" ht="16" customHeight="1">
      <c r="A16" s="942"/>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1" t="str">
        <f>IF(input_complete,IF('Standard Inputs'!AG67,"Input Complete -- Results Ready","Input Complete -- Press 'Generate Results'"),"Input Incomplete -- Check for Error Messages Below")</f>
        <v>Input Complete -- Results Ready</v>
      </c>
      <c r="G16" s="972"/>
      <c r="H16" s="975"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73"/>
      <c r="G17" s="974"/>
      <c r="H17" s="976"/>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$700,408</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$1,212,231</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$100,242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$564,120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$664,362 per year (15% capital, 85%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77" t="s">
        <v>560</v>
      </c>
      <c r="I67" s="978"/>
      <c r="J67" s="978"/>
      <c r="K67" s="978"/>
      <c r="L67" s="978"/>
      <c r="M67" s="978"/>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opLeftCell="A374" zoomScaleNormal="100" zoomScaleSheetLayoutView="50" workbookViewId="0">
      <selection activeCell="E408" sqref="E408"/>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700408.16796697536</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441369.54633046914</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1212230.5507929381</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100241.88549579646</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564120.26615699381</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15% capital, 85% O&amp;M)</v>
      </c>
      <c r="C25" s="674">
        <f>IF(input_status&lt;&gt;"input complete -- results ready","Action required",IF(Missing_Cost,"Missing cost!",IF(cost_buildup_error,"Error in buildup!",Annualized_Cost)))</f>
        <v>664362.15165279026</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0.84580403276059257</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106.28305443034543</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79" t="s">
        <v>1909</v>
      </c>
      <c r="B30" s="982" t="s">
        <v>1910</v>
      </c>
      <c r="C30" s="982" t="s">
        <v>2970</v>
      </c>
      <c r="D30" s="982"/>
      <c r="E30" s="982" t="s">
        <v>2971</v>
      </c>
      <c r="F30" s="982"/>
      <c r="G30" s="994" t="s">
        <v>2577</v>
      </c>
      <c r="H30" s="994"/>
      <c r="I30" s="982" t="s">
        <v>2578</v>
      </c>
      <c r="J30" s="982" t="s">
        <v>2579</v>
      </c>
      <c r="K30" s="982" t="s">
        <v>2580</v>
      </c>
      <c r="L30" s="991" t="s">
        <v>2847</v>
      </c>
      <c r="M30" s="986" t="s">
        <v>2969</v>
      </c>
      <c r="N30" s="985" t="s">
        <v>2968</v>
      </c>
      <c r="O30" s="985"/>
      <c r="P30" s="985"/>
      <c r="Q30" s="985"/>
      <c r="R30" s="985"/>
      <c r="S30" s="985"/>
      <c r="T30" s="985"/>
      <c r="U30" s="985"/>
      <c r="V30" s="985"/>
      <c r="W30" s="985" t="s">
        <v>2580</v>
      </c>
      <c r="X30" s="985"/>
    </row>
    <row r="31" spans="1:24" s="16" customFormat="1" ht="18" customHeight="1">
      <c r="A31" s="980"/>
      <c r="B31" s="983"/>
      <c r="C31" s="983"/>
      <c r="D31" s="983"/>
      <c r="E31" s="983"/>
      <c r="F31" s="983"/>
      <c r="G31" s="995"/>
      <c r="H31" s="995"/>
      <c r="I31" s="983"/>
      <c r="J31" s="983"/>
      <c r="K31" s="983"/>
      <c r="L31" s="992"/>
      <c r="M31" s="987"/>
      <c r="N31" s="878" t="s">
        <v>1319</v>
      </c>
      <c r="O31" s="878"/>
      <c r="P31" s="878"/>
      <c r="Q31" s="878" t="s">
        <v>1320</v>
      </c>
      <c r="R31" s="878"/>
      <c r="S31" s="878"/>
      <c r="T31" s="878" t="s">
        <v>1321</v>
      </c>
      <c r="U31" s="878"/>
      <c r="V31" s="878"/>
      <c r="W31" s="985"/>
      <c r="X31" s="985"/>
    </row>
    <row r="32" spans="1:24" s="16" customFormat="1" ht="18" customHeight="1">
      <c r="A32" s="981"/>
      <c r="B32" s="984"/>
      <c r="C32" s="984"/>
      <c r="D32" s="984"/>
      <c r="E32" s="984"/>
      <c r="F32" s="984"/>
      <c r="G32" s="996"/>
      <c r="H32" s="996"/>
      <c r="I32" s="984"/>
      <c r="J32" s="984"/>
      <c r="K32" s="984"/>
      <c r="L32" s="993"/>
      <c r="M32" s="987"/>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214.5</v>
      </c>
      <c r="J39" s="392">
        <f>IF(I39="contact vendor","--",C39*I39)</f>
        <v>204991.74808012223</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649802.39429510653</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700408.16796697536</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36509.064739402886</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64980.239429510657</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84048.98015603704</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70040.816796697545</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14008.163359339507</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35020.408398348773</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54909.959528775988</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441369.54633046914</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700408.16796697536</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441369.54633046914</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1212230.5507929381</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0" t="s">
        <v>1911</v>
      </c>
      <c r="D387" s="990"/>
      <c r="E387" s="990" t="s">
        <v>2578</v>
      </c>
      <c r="F387" s="990"/>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57.930721925133689</v>
      </c>
      <c r="F389" s="21" t="s">
        <v>721</v>
      </c>
      <c r="G389" s="436">
        <f>E389*C389</f>
        <v>4405.6962220714913</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32.90061497326203</v>
      </c>
      <c r="F390" s="21" t="s">
        <v>721</v>
      </c>
      <c r="G390" s="436">
        <f>E390*C390</f>
        <v>2502.1285817714202</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36.431310160427806</v>
      </c>
      <c r="F391" s="440" t="s">
        <v>721</v>
      </c>
      <c r="G391" s="442">
        <f>E391*C391</f>
        <v>27706.41901309969</v>
      </c>
      <c r="H391" s="443">
        <v>1</v>
      </c>
      <c r="I391" s="988" t="s">
        <v>2656</v>
      </c>
      <c r="J391" s="988"/>
      <c r="K391" s="988"/>
      <c r="L391" s="989"/>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214.5</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214.5</v>
      </c>
      <c r="F407" s="424" t="s">
        <v>1474</v>
      </c>
      <c r="G407" s="436">
        <f>E407*C407</f>
        <v>259502.23637842236</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0.11001750924784216</v>
      </c>
      <c r="F409" s="21" t="s">
        <v>46</v>
      </c>
      <c r="G409" s="402">
        <f>E409*C409*1000</f>
        <v>20865.22403149457</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0.11001750924784216</v>
      </c>
      <c r="F410" s="21" t="s">
        <v>46</v>
      </c>
      <c r="G410" s="402">
        <f>E410*C410*1000</f>
        <v>0.84991755627028776</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0.11001750924784216</v>
      </c>
      <c r="F411" s="21" t="str">
        <f>IF(C411=0,"","/kwh")</f>
        <v>/kwh</v>
      </c>
      <c r="G411" s="391">
        <f>IF(C411=0,"--",E411*C411*1000)</f>
        <v>0.48181267362261182</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0.11001750924784216</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0.11001750924784216</v>
      </c>
      <c r="F413" s="21" t="s">
        <v>46</v>
      </c>
      <c r="G413" s="402">
        <f>E413*C413*1000</f>
        <v>344.88592847402748</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0.11001750924784216</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0.11001750924784216</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0.11001750924784216</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0.11001750924784216</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0.57856140350877194</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0.57856140350877194</v>
      </c>
      <c r="F421" s="424" t="s">
        <v>2738</v>
      </c>
      <c r="G421" s="402">
        <f>E421*C421</f>
        <v>3601.6301371211721</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3983.6584917109344</v>
      </c>
      <c r="F426" s="424" t="s">
        <v>2172</v>
      </c>
      <c r="G426" s="436">
        <f>disposal_fee</f>
        <v>103617.80038549152</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112.15720840993785</v>
      </c>
      <c r="F428" s="475" t="str">
        <f>IF(B428="","","/ton")</f>
        <v>/ton</v>
      </c>
      <c r="G428" s="392">
        <f>IF(C428=0,"--",cart_disposal_fee)</f>
        <v>51.682041635299363</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51283.660559726704</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564120.26615699381</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100241.88549579646</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564120.26615699381</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664362.15165279026</v>
      </c>
      <c r="D443" s="753" t="s">
        <v>908</v>
      </c>
      <c r="E443" s="858" t="str">
        <f>IF(ISERROR(OR(TAC_pct_cap,TAC_pct_OM)),"",TEXT(TAC_pct_cap,"0%")&amp;" annualized capital, "&amp;TEXT(TAC_pct_OM,"0%")&amp;" annual O&amp;M")</f>
        <v>15% annualized capital, 85%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0.84580403276059257</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106.28305443034543</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36509.064739402886</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64980.239429510657</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84048.98015603704</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54909.959528775988</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322300.15777608333</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9" t="s">
        <v>3525</v>
      </c>
      <c r="B8" s="964" t="s">
        <v>3526</v>
      </c>
      <c r="C8" s="1032">
        <f>75*2000/media_density</f>
        <v>3488.3720930232557</v>
      </c>
      <c r="D8" s="966"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tabSelected="1" workbookViewId="0">
      <pane ySplit="3" topLeftCell="A1358" activePane="bottomLeft" state="frozen"/>
      <selection pane="bottomLeft" activeCell="F1391" sqref="F1391"/>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4"/>
      <c r="B913" s="969" t="s">
        <v>3214</v>
      </c>
      <c r="C913" s="1030" t="s">
        <v>1099</v>
      </c>
      <c r="D913" s="1033">
        <v>214.5</v>
      </c>
      <c r="E913" s="1034" t="s">
        <v>3601</v>
      </c>
      <c r="F913" s="103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1030" t="s">
        <v>3934</v>
      </c>
      <c r="C1380" s="964" t="s">
        <v>3935</v>
      </c>
      <c r="D1380" s="1035">
        <v>0.11001750924784216</v>
      </c>
      <c r="E1380" s="969" t="s">
        <v>46</v>
      </c>
    </row>
    <row r="1381" spans="1:5">
      <c r="B1381" s="1030"/>
      <c r="C1381" s="1030"/>
      <c r="D1381" s="1030"/>
      <c r="E1381" s="1030"/>
    </row>
    <row r="1382" spans="1:5">
      <c r="B1382" s="1030"/>
      <c r="C1382" s="1030"/>
      <c r="D1382" s="1030"/>
      <c r="E1382" s="1030"/>
    </row>
    <row r="1383" spans="1:5">
      <c r="A1383" s="3"/>
      <c r="B1383" s="1030" t="s">
        <v>3936</v>
      </c>
      <c r="C1383" s="964" t="s">
        <v>3937</v>
      </c>
      <c r="D1383" s="1035">
        <v>0.57856140350877194</v>
      </c>
      <c r="E1383" s="966" t="s">
        <v>2738</v>
      </c>
    </row>
    <row r="1384" spans="1:5">
      <c r="B1384" s="1030"/>
      <c r="C1384" s="1030"/>
      <c r="D1384" s="1030"/>
      <c r="E1384" s="1030"/>
    </row>
    <row r="1385" spans="1:5">
      <c r="B1385" s="1030"/>
      <c r="C1385" s="1030"/>
      <c r="D1385" s="1030"/>
      <c r="E1385" s="1030"/>
    </row>
    <row r="1386" spans="1:5">
      <c r="A1386" s="47">
        <v>5</v>
      </c>
      <c r="B1386" s="1038" t="s">
        <v>3938</v>
      </c>
      <c r="C1386" s="1039" t="s">
        <v>3939</v>
      </c>
      <c r="D1386" s="1040">
        <v>363.40616685535008</v>
      </c>
      <c r="E1386" s="1041" t="s">
        <v>2172</v>
      </c>
    </row>
    <row r="1387" spans="1:5">
      <c r="B1387" s="1038"/>
      <c r="C1387" s="1038"/>
      <c r="D1387" s="1038"/>
      <c r="E1387" s="1038"/>
    </row>
    <row r="1388" spans="1:5">
      <c r="B1388" s="1030"/>
      <c r="C1388" s="1030"/>
      <c r="D1388" s="1030"/>
      <c r="E1388" s="1030"/>
    </row>
    <row r="1389" spans="1:5">
      <c r="A1389" s="3"/>
      <c r="B1389" s="1030" t="s">
        <v>3940</v>
      </c>
      <c r="C1389" s="964" t="s">
        <v>3942</v>
      </c>
      <c r="D1389" s="1036">
        <v>3392.2096819686953</v>
      </c>
      <c r="E1389" s="1037" t="s">
        <v>3941</v>
      </c>
    </row>
    <row r="1390" spans="1:5">
      <c r="B1390" s="1030"/>
      <c r="C1390" s="1030"/>
      <c r="D1390" s="1030"/>
      <c r="E1390" s="1030"/>
    </row>
    <row r="1391" spans="1:5">
      <c r="B1391" s="1030"/>
      <c r="C1391" s="1030"/>
      <c r="D1391" s="1030"/>
      <c r="E1391" s="1030"/>
    </row>
    <row r="1392" spans="1:5">
      <c r="A1392" s="3"/>
      <c r="B1392" s="1030" t="s">
        <v>3943</v>
      </c>
      <c r="C1392" s="964" t="s">
        <v>3945</v>
      </c>
      <c r="D1392" s="1036">
        <v>0.28268414016405796</v>
      </c>
      <c r="E1392" s="103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24">
        <v>34.161577540106947</v>
      </c>
      <c r="F1416" s="924">
        <v>50.648663101604278</v>
      </c>
      <c r="G1416" s="924">
        <v>32.90061497326203</v>
      </c>
    </row>
    <row r="1417" spans="1:7">
      <c r="A1417" s="3"/>
      <c r="B1417">
        <v>3.1E-2</v>
      </c>
      <c r="C1417">
        <v>0.124</v>
      </c>
      <c r="D1417">
        <v>1</v>
      </c>
      <c r="E1417" s="924">
        <v>34.161577540106947</v>
      </c>
      <c r="F1417" s="924">
        <v>50.648663101604278</v>
      </c>
      <c r="G1417" s="924">
        <v>32.90061497326203</v>
      </c>
    </row>
    <row r="1418" spans="1:7">
      <c r="A1418" s="3"/>
      <c r="B1418">
        <v>0.1241</v>
      </c>
      <c r="C1418">
        <v>0.30499999999999999</v>
      </c>
      <c r="D1418">
        <v>1.2</v>
      </c>
      <c r="E1418" s="924">
        <v>34.161577540106947</v>
      </c>
      <c r="F1418" s="924">
        <v>50.648663101604278</v>
      </c>
      <c r="G1418" s="924">
        <v>32.90061497326203</v>
      </c>
    </row>
    <row r="1419" spans="1:7">
      <c r="A1419" s="3"/>
      <c r="B1419">
        <v>0.30509999999999998</v>
      </c>
      <c r="C1419">
        <v>0.74</v>
      </c>
      <c r="D1419">
        <v>1.2</v>
      </c>
      <c r="E1419" s="924">
        <v>34.161577540106947</v>
      </c>
      <c r="F1419" s="924">
        <v>50.648663101604278</v>
      </c>
      <c r="G1419" s="924">
        <v>32.90061497326203</v>
      </c>
    </row>
    <row r="1420" spans="1:7">
      <c r="A1420" s="3"/>
      <c r="B1420">
        <v>0.74099999999999999</v>
      </c>
      <c r="C1420">
        <v>2.1520000000000001</v>
      </c>
      <c r="D1420">
        <v>1.6</v>
      </c>
      <c r="E1420" s="924">
        <v>36.431310160427806</v>
      </c>
      <c r="F1420" s="924">
        <v>57.930721925133689</v>
      </c>
      <c r="G1420" s="924">
        <v>32.90061497326203</v>
      </c>
    </row>
    <row r="1421" spans="1:7">
      <c r="A1421" s="3"/>
      <c r="B1421">
        <v>2.1520999999999999</v>
      </c>
      <c r="C1421">
        <v>7.3650000000000002</v>
      </c>
      <c r="D1421">
        <v>2.8</v>
      </c>
      <c r="E1421" s="924">
        <v>38.459358288770055</v>
      </c>
      <c r="F1421" s="924">
        <v>64.529759358288771</v>
      </c>
      <c r="G1421" s="924">
        <v>42.483930481283423</v>
      </c>
    </row>
    <row r="1422" spans="1:7">
      <c r="A1422" s="3"/>
      <c r="B1422">
        <v>7.3651</v>
      </c>
      <c r="C1422">
        <v>22.614000000000001</v>
      </c>
      <c r="D1422">
        <v>3.8</v>
      </c>
      <c r="E1422" s="924">
        <v>40.151149732620318</v>
      </c>
      <c r="F1422" s="924">
        <v>75.300481283422457</v>
      </c>
      <c r="G1422" s="924">
        <v>42.483930481283423</v>
      </c>
    </row>
    <row r="1423" spans="1:7">
      <c r="A1423" s="3"/>
      <c r="B1423">
        <v>22.614100000000001</v>
      </c>
      <c r="C1423">
        <v>75.069999999999993</v>
      </c>
      <c r="D1423">
        <v>7.8</v>
      </c>
      <c r="E1423" s="924">
        <v>46.928823529411758</v>
      </c>
      <c r="F1423" s="924">
        <v>80.449411764705886</v>
      </c>
      <c r="G1423" s="924">
        <v>42.483930481283423</v>
      </c>
    </row>
    <row r="1426" spans="1:5" ht="20">
      <c r="A1426" s="925"/>
      <c r="B1426" s="926" t="s">
        <v>3967</v>
      </c>
      <c r="C1426" s="927"/>
      <c r="D1426" s="927"/>
    </row>
    <row r="1427" spans="1:5">
      <c r="A1427" s="921" t="s">
        <v>3968</v>
      </c>
      <c r="B1427" s="895" t="s">
        <v>3967</v>
      </c>
      <c r="C1427" s="896"/>
      <c r="D1427" s="896"/>
    </row>
    <row r="1428" spans="1:5">
      <c r="A1428" s="888">
        <v>5</v>
      </c>
      <c r="B1428" s="928"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9">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12" t="s">
        <v>3996</v>
      </c>
      <c r="C1460" s="3" t="s">
        <v>3997</v>
      </c>
      <c r="D1460" s="85">
        <v>0.21197894053360555</v>
      </c>
      <c r="E1460" s="72" t="s">
        <v>3944</v>
      </c>
    </row>
    <row r="1463" spans="1:5">
      <c r="A1463" s="930"/>
      <c r="B1463" s="302" t="s">
        <v>3998</v>
      </c>
      <c r="C1463" s="931"/>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5"/>
      <c r="B1471" s="926" t="s">
        <v>4002</v>
      </c>
      <c r="C1471" s="927"/>
    </row>
    <row r="1472" spans="1:5">
      <c r="A1472" s="921" t="s">
        <v>3888</v>
      </c>
      <c r="B1472" s="895" t="s">
        <v>4003</v>
      </c>
      <c r="C1472" s="896"/>
    </row>
    <row r="1473" spans="1:3">
      <c r="A1473" s="932">
        <v>4</v>
      </c>
      <c r="B1473" s="933" t="s">
        <v>4004</v>
      </c>
      <c r="C1473" s="934"/>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5"/>
      <c r="B1503" s="933" t="s">
        <v>4035</v>
      </c>
      <c r="C1503" s="934"/>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5"/>
      <c r="B1532" s="933" t="s">
        <v>4037</v>
      </c>
      <c r="C1532" s="934"/>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5"/>
      <c r="B1563" s="926" t="s">
        <v>4002</v>
      </c>
      <c r="C1563" s="927"/>
    </row>
    <row r="1564" spans="1:3">
      <c r="A1564" s="921" t="s">
        <v>3888</v>
      </c>
      <c r="B1564" s="895" t="s">
        <v>4003</v>
      </c>
      <c r="C1564" s="896"/>
    </row>
    <row r="1565" spans="1:3">
      <c r="A1565" s="932">
        <v>4</v>
      </c>
      <c r="B1565" s="933" t="s">
        <v>4004</v>
      </c>
      <c r="C1565" s="934"/>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5"/>
      <c r="B1595" s="933" t="s">
        <v>4035</v>
      </c>
      <c r="C1595" s="934"/>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5"/>
      <c r="B1626" s="926" t="s">
        <v>4002</v>
      </c>
      <c r="C1626" s="927"/>
    </row>
    <row r="1627" spans="1:3">
      <c r="A1627" s="921" t="s">
        <v>3888</v>
      </c>
      <c r="B1627" s="895" t="s">
        <v>4003</v>
      </c>
      <c r="C1627" s="896"/>
    </row>
    <row r="1628" spans="1:3">
      <c r="A1628" s="932">
        <v>4</v>
      </c>
      <c r="B1628" s="933" t="s">
        <v>4004</v>
      </c>
      <c r="C1628" s="934"/>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6"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3" t="s">
        <v>3522</v>
      </c>
      <c r="B208" s="964" t="s">
        <v>3523</v>
      </c>
      <c r="C208" s="965">
        <f>C207*alt_media_disp</f>
        <v>2558.1395348837209</v>
      </c>
      <c r="D208" s="966" t="s">
        <v>2172</v>
      </c>
      <c r="E208" s="6" t="s">
        <v>3524</v>
      </c>
    </row>
    <row r="209" spans="1:5">
      <c r="A209" s="963" t="s">
        <v>3529</v>
      </c>
      <c r="B209" s="964" t="s">
        <v>3530</v>
      </c>
      <c r="C209" s="965">
        <f>C207*alt_media_disp_haz</f>
        <v>3488.3720930232557</v>
      </c>
      <c r="D209" s="966"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7" t="s">
        <v>2933</v>
      </c>
      <c r="B212" s="964"/>
      <c r="C212" s="968">
        <f>CHOOSE(media_haz,0,nonhaz_transportation_cost_cl,haz_transportation_cost_cl,rad_transportation_cost_cl,hazrad_transportation_cost_cl,haz_transportation_cost_cl)</f>
        <v>0.28268414016405796</v>
      </c>
      <c r="D212" s="969" t="s">
        <v>2936</v>
      </c>
      <c r="E212" s="6" t="str">
        <f>IF(media_haz=1,"Included in disposal cost","")</f>
        <v/>
      </c>
    </row>
    <row r="213" spans="1:5">
      <c r="A213" s="108" t="s">
        <v>2934</v>
      </c>
      <c r="B213" s="3"/>
      <c r="C213" s="650">
        <f>CHOOSE(media_haz,0,0,haz_trans_min_cost_cl,rad_trans_min_cost_cl,hazrad_trans_min_cost_cl,haz_trans_min_cost_cl)</f>
        <v>3392.2096819686953</v>
      </c>
      <c r="D213" s="526" t="s">
        <v>2937</v>
      </c>
      <c r="E213" s="6"/>
    </row>
    <row r="214" spans="1:5">
      <c r="A214" s="967" t="s">
        <v>2935</v>
      </c>
      <c r="B214" s="964" t="s">
        <v>2985</v>
      </c>
      <c r="C214" s="970">
        <f>CHOOSE(media_haz,non_haz_miles,non_haz_miles,haz_miles,rad_miles,hazrad_miles,haz_miles)</f>
        <v>200</v>
      </c>
      <c r="D214" s="969" t="s">
        <v>984</v>
      </c>
      <c r="E214" s="6"/>
    </row>
    <row r="215" spans="1:5">
      <c r="A215" s="108" t="s">
        <v>587</v>
      </c>
      <c r="B215" s="3"/>
      <c r="C215" s="80">
        <f>MAX(spent_media*C211*C212*C214,C211*C213)</f>
        <v>12882.752700728446</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103617.80038549152</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0.28268414016405796</v>
      </c>
      <c r="D222" s="526" t="s">
        <v>2936</v>
      </c>
      <c r="E222" s="6"/>
    </row>
    <row r="223" spans="1:5">
      <c r="A223" s="108" t="s">
        <v>2934</v>
      </c>
      <c r="B223" s="3"/>
      <c r="C223" s="650">
        <f>CHOOSE(solids_haz,0,haz_trans_min_cost_cl,rad_trans_min_cost_cl,hazrad_trans_min_cost_cl)</f>
        <v>3392.2096819686953</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0.9767989579788543</v>
      </c>
      <c r="D231" s="724" t="s">
        <v>579</v>
      </c>
    </row>
    <row r="232" spans="1:4">
      <c r="A232" s="108" t="s">
        <v>2939</v>
      </c>
      <c r="B232" s="470" t="s">
        <v>879</v>
      </c>
      <c r="C232" s="471">
        <f>SUM(C230:C231)</f>
        <v>51.682041635299363</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4" t="s">
        <v>138</v>
      </c>
      <c r="C40" s="1030">
        <v>3</v>
      </c>
      <c r="D40" s="969" t="s">
        <v>140</v>
      </c>
      <c r="E40" s="6" t="s">
        <v>745</v>
      </c>
    </row>
    <row r="41" spans="1:5">
      <c r="A41" t="s">
        <v>137</v>
      </c>
      <c r="B41" s="964" t="s">
        <v>139</v>
      </c>
      <c r="C41" s="1030">
        <v>12</v>
      </c>
      <c r="D41" s="969" t="s">
        <v>60</v>
      </c>
      <c r="E41" s="103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0.11001750924784216</v>
      </c>
      <c r="J80" s="582" t="s">
        <v>46</v>
      </c>
      <c r="K80" s="579">
        <f>I80*G80*1000</f>
        <v>18433.969874540548</v>
      </c>
      <c r="L80" s="580">
        <f t="shared" ref="L80:L85" si="0">IF(OR(F80="n/a",K80="n/a"),"n/a",F80+K80)</f>
        <v>20840.332801949146</v>
      </c>
    </row>
    <row r="81" spans="1:12">
      <c r="A81" s="576" t="s">
        <v>855</v>
      </c>
      <c r="B81" s="997" t="s">
        <v>1996</v>
      </c>
      <c r="C81" s="997"/>
      <c r="D81" s="997"/>
      <c r="E81" s="997"/>
      <c r="F81" s="586" t="s">
        <v>1995</v>
      </c>
      <c r="G81" s="584">
        <f>IF(hp_ok_1,build1_heat_loss_yr/3412000/COP,"n/a")</f>
        <v>49.758720089349779</v>
      </c>
      <c r="H81" s="576" t="s">
        <v>179</v>
      </c>
      <c r="I81" s="583">
        <f>energy_cost_cl</f>
        <v>0.11001750924784216</v>
      </c>
      <c r="J81" s="582" t="s">
        <v>46</v>
      </c>
      <c r="K81" s="579">
        <f>IF(G81="n/a","n/a",I81*G81*1000)</f>
        <v>5474.330447590829</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0.57856140350877194</v>
      </c>
      <c r="J82" s="588" t="s">
        <v>2738</v>
      </c>
      <c r="K82" s="579">
        <f>I82*G82</f>
        <v>3813.4907334224176</v>
      </c>
      <c r="L82" s="580">
        <f t="shared" si="0"/>
        <v>5534.4441402074817</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0.57856140350877194</v>
      </c>
      <c r="J83" s="588" t="s">
        <v>2738</v>
      </c>
      <c r="K83" s="579">
        <f>I83*G83</f>
        <v>3601.6301371211721</v>
      </c>
      <c r="L83" s="580">
        <f t="shared" si="0"/>
        <v>5322.5835439062357</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0.11001750924784216</v>
      </c>
      <c r="J89" s="582" t="s">
        <v>46</v>
      </c>
      <c r="K89" s="579">
        <f>I89*G89*1000</f>
        <v>0</v>
      </c>
      <c r="L89" s="580" t="e">
        <f>IF(F89="n/a","n/a",F89+K89)</f>
        <v>#DIV/0!</v>
      </c>
    </row>
    <row r="90" spans="1:12">
      <c r="A90" s="576" t="s">
        <v>855</v>
      </c>
      <c r="B90" s="997" t="s">
        <v>1996</v>
      </c>
      <c r="C90" s="997"/>
      <c r="D90" s="997"/>
      <c r="E90" s="997"/>
      <c r="F90" s="586" t="s">
        <v>1995</v>
      </c>
      <c r="G90" s="584">
        <f>IF(hp_ok_2,build2_heat_loss_yr/3412000/COP,"n/a")</f>
        <v>0</v>
      </c>
      <c r="H90" s="576" t="s">
        <v>179</v>
      </c>
      <c r="I90" s="583">
        <f>energy_cost_cl</f>
        <v>0.11001750924784216</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0.57856140350877194</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0.57856140350877194</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0.11001750924784216</v>
      </c>
      <c r="J99" s="582" t="s">
        <v>46</v>
      </c>
      <c r="K99" s="579">
        <f>I99*G99*1000</f>
        <v>3118.3908576201111</v>
      </c>
      <c r="L99" s="580">
        <f>IF(F99="n/a","n/a",F99+K99)</f>
        <v>3963.3458801839661</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0.11001750924784216</v>
      </c>
      <c r="J100" s="582" t="s">
        <v>46</v>
      </c>
      <c r="K100" s="579">
        <f>IF(C100="n/a","n/a",I100*G100*1000)</f>
        <v>3118.3908576201111</v>
      </c>
      <c r="L100" s="580">
        <f>IF(F100="n/a","n/a",F100+K100)</f>
        <v>3703.0547409712603</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0.11001750924784216</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0.11001750924784216</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20840.332801949146</v>
      </c>
      <c r="C112" s="576" t="s">
        <v>1968</v>
      </c>
      <c r="D112" s="647">
        <f>IF(build1_need_cool,VLOOKUP(C112,build1_cool_options,12,FALSE),0)</f>
        <v>0</v>
      </c>
      <c r="E112" s="579">
        <f t="shared" ref="E112:E117" si="1">IF(OR(B112="n/a",D112="n/a"),"n/a",ROUND(B112+D112,0))</f>
        <v>20840</v>
      </c>
    </row>
    <row r="113" spans="1:5">
      <c r="A113" s="576" t="s">
        <v>856</v>
      </c>
      <c r="B113" s="579">
        <f>IF(build1_need_heat,VLOOKUP(A113,build1_heat_options,12,FALSE),0)</f>
        <v>5534.4441402074817</v>
      </c>
      <c r="C113" s="576" t="s">
        <v>1968</v>
      </c>
      <c r="D113" s="647">
        <f>IF(build1_need_cool,VLOOKUP(C113,build1_cool_options,12,FALSE),0)</f>
        <v>0</v>
      </c>
      <c r="E113" s="579">
        <f t="shared" si="1"/>
        <v>5534</v>
      </c>
    </row>
    <row r="114" spans="1:5">
      <c r="A114" s="576" t="s">
        <v>2739</v>
      </c>
      <c r="B114" s="579">
        <f>IF(build1_need_heat,VLOOKUP(A114,build1_heat_options,12,FALSE),0)</f>
        <v>5322.5835439062357</v>
      </c>
      <c r="C114" s="576" t="s">
        <v>1968</v>
      </c>
      <c r="D114" s="647">
        <f>IF(build1_need_cool,VLOOKUP(C114,build1_cool_options,12,FALSE),0)</f>
        <v>0</v>
      </c>
      <c r="E114" s="579">
        <f t="shared" si="1"/>
        <v>5323</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2381.3877710877159</v>
      </c>
    </row>
    <row r="90" spans="1:5">
      <c r="A90" s="108" t="s">
        <v>1899</v>
      </c>
      <c r="C90" s="74">
        <f>include_bond*(VLOOKUP(direct_cost,performance_bond_table_cl,3)+VLOOKUP(direct_cost,performance_bond_table_cl,4)*(direct_cost-VLOOKUP(direct_cost,performance_bond_table_cl,5)))</f>
        <v>10504.081679669755</v>
      </c>
      <c r="E90" s="6" t="s">
        <v>2483</v>
      </c>
    </row>
    <row r="91" spans="1:5">
      <c r="A91" s="108" t="s">
        <v>1900</v>
      </c>
      <c r="C91" s="514">
        <f>VLOOKUP(direct_cost,construction_mgt_table_cl,3)</f>
        <v>0.06</v>
      </c>
      <c r="E91" s="6" t="s">
        <v>2276</v>
      </c>
    </row>
    <row r="92" spans="1:5">
      <c r="A92" s="108" t="s">
        <v>1901</v>
      </c>
      <c r="C92" s="74">
        <f>IF(ss_cat2=1,include_cm_pre,include_cm)*C91*direct_cost</f>
        <v>42024.49007801852</v>
      </c>
    </row>
    <row r="93" spans="1:5">
      <c r="A93" s="108" t="s">
        <v>2481</v>
      </c>
      <c r="B93" s="3" t="s">
        <v>2482</v>
      </c>
      <c r="C93" s="74">
        <f>SUM(C89:C90,C92)</f>
        <v>54909.959528775988</v>
      </c>
    </row>
    <row r="95" spans="1:5">
      <c r="A95" s="2" t="s">
        <v>3473</v>
      </c>
    </row>
    <row r="96" spans="1:5">
      <c r="A96" s="660" t="s">
        <v>3474</v>
      </c>
      <c r="B96" s="3" t="s">
        <v>3475</v>
      </c>
      <c r="C96" s="857">
        <f>Annualized_Capital_Cost/Annualized_Cost</f>
        <v>0.15088440129591399</v>
      </c>
    </row>
    <row r="97" spans="1:3">
      <c r="A97" s="660" t="s">
        <v>3476</v>
      </c>
      <c r="B97" s="3" t="s">
        <v>3477</v>
      </c>
      <c r="C97" s="857">
        <f>OM_cost/Annualized_Cost</f>
        <v>0.84911559870408604</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1" t="s">
        <v>3266</v>
      </c>
      <c r="B9" s="1003" t="s">
        <v>3267</v>
      </c>
      <c r="C9" s="1003" t="s">
        <v>3268</v>
      </c>
      <c r="D9" s="1003" t="s">
        <v>3269</v>
      </c>
      <c r="E9" s="1006" t="s">
        <v>3270</v>
      </c>
      <c r="F9" s="998" t="s">
        <v>3271</v>
      </c>
      <c r="G9" s="999"/>
      <c r="H9" s="999"/>
      <c r="I9" s="999"/>
      <c r="J9" s="999"/>
      <c r="K9" s="1000"/>
      <c r="L9" s="1011" t="s">
        <v>3272</v>
      </c>
      <c r="M9" s="1012"/>
      <c r="N9" s="1012"/>
      <c r="O9" s="1012"/>
      <c r="P9" s="1012"/>
      <c r="Q9" s="1012"/>
      <c r="R9" s="1012"/>
      <c r="S9" s="1012"/>
      <c r="T9" s="1012"/>
      <c r="U9" s="1012"/>
      <c r="V9" s="1012"/>
      <c r="W9" s="1012"/>
      <c r="X9" s="1012"/>
      <c r="Y9" s="1012"/>
      <c r="Z9" s="1012"/>
      <c r="AA9" s="1012"/>
      <c r="AB9" s="1012"/>
      <c r="AC9" s="1012"/>
      <c r="AD9" s="1012"/>
      <c r="AE9" s="1012"/>
      <c r="AF9" s="1012"/>
      <c r="AG9" s="1012"/>
      <c r="AH9" s="1012"/>
      <c r="AI9" s="1012"/>
      <c r="AJ9" s="1012"/>
      <c r="AK9" s="1012"/>
      <c r="AL9" s="1012"/>
      <c r="AM9" s="1012"/>
      <c r="AN9" s="1012"/>
      <c r="AO9" s="1013"/>
      <c r="AP9" s="1014" t="s">
        <v>3273</v>
      </c>
      <c r="AQ9" s="1015"/>
      <c r="AR9" s="1015"/>
      <c r="AS9" s="1015"/>
      <c r="AT9" s="1015"/>
      <c r="AU9" s="1015"/>
      <c r="AV9" s="1015"/>
      <c r="AW9" s="1015"/>
      <c r="AX9" s="1015"/>
      <c r="AY9" s="1015"/>
      <c r="AZ9" s="1015"/>
      <c r="BA9" s="1015"/>
      <c r="BB9" s="1015"/>
      <c r="BC9" s="1015"/>
      <c r="BD9" s="1015"/>
      <c r="BE9" s="1015"/>
      <c r="BF9" s="1015"/>
      <c r="BG9" s="1015"/>
      <c r="BH9" s="1016" t="s">
        <v>3274</v>
      </c>
      <c r="BI9" s="1017"/>
      <c r="BJ9" s="1017"/>
      <c r="BK9" s="1017"/>
      <c r="BL9" s="1017"/>
      <c r="BM9" s="1017"/>
      <c r="BN9" s="1017"/>
      <c r="BO9" s="1017"/>
      <c r="BP9" s="1017"/>
      <c r="BQ9" s="1017"/>
      <c r="BR9" s="1017"/>
      <c r="BS9" s="1017"/>
      <c r="BT9" s="1017"/>
      <c r="BU9" s="1017"/>
      <c r="BV9" s="1017"/>
      <c r="BW9" s="1017"/>
      <c r="BX9" s="1017"/>
      <c r="BY9" s="1018"/>
      <c r="BZ9" s="1019" t="s">
        <v>3275</v>
      </c>
    </row>
    <row r="10" spans="1:78" s="809" customFormat="1">
      <c r="A10" s="1002"/>
      <c r="B10" s="1004"/>
      <c r="C10" s="1004"/>
      <c r="D10" s="1004"/>
      <c r="E10" s="1007"/>
      <c r="F10" s="1008" t="s">
        <v>3276</v>
      </c>
      <c r="G10" s="1009"/>
      <c r="H10" s="1010"/>
      <c r="I10" s="1008" t="s">
        <v>3277</v>
      </c>
      <c r="J10" s="1009"/>
      <c r="K10" s="1010"/>
      <c r="L10" s="1009" t="s">
        <v>3278</v>
      </c>
      <c r="M10" s="1009"/>
      <c r="N10" s="1010"/>
      <c r="O10" s="1008" t="s">
        <v>3279</v>
      </c>
      <c r="P10" s="1009"/>
      <c r="Q10" s="1010"/>
      <c r="R10" s="1008" t="s">
        <v>3280</v>
      </c>
      <c r="S10" s="1009"/>
      <c r="T10" s="1010"/>
      <c r="U10" s="1008" t="s">
        <v>3281</v>
      </c>
      <c r="V10" s="1009"/>
      <c r="W10" s="1010"/>
      <c r="X10" s="1008" t="s">
        <v>3282</v>
      </c>
      <c r="Y10" s="1009"/>
      <c r="Z10" s="1010"/>
      <c r="AA10" s="1008" t="s">
        <v>3283</v>
      </c>
      <c r="AB10" s="1009"/>
      <c r="AC10" s="1010"/>
      <c r="AD10" s="1008" t="s">
        <v>3284</v>
      </c>
      <c r="AE10" s="1009"/>
      <c r="AF10" s="1010"/>
      <c r="AG10" s="1008" t="s">
        <v>3285</v>
      </c>
      <c r="AH10" s="1009"/>
      <c r="AI10" s="1010"/>
      <c r="AJ10" s="1008" t="s">
        <v>3286</v>
      </c>
      <c r="AK10" s="1009"/>
      <c r="AL10" s="1010"/>
      <c r="AM10" s="1008" t="s">
        <v>3287</v>
      </c>
      <c r="AN10" s="1009"/>
      <c r="AO10" s="1010"/>
      <c r="AP10" s="1008" t="s">
        <v>3288</v>
      </c>
      <c r="AQ10" s="1009"/>
      <c r="AR10" s="1010"/>
      <c r="AS10" s="1008" t="s">
        <v>3289</v>
      </c>
      <c r="AT10" s="1009"/>
      <c r="AU10" s="1010"/>
      <c r="AV10" s="1008" t="s">
        <v>3290</v>
      </c>
      <c r="AW10" s="1009"/>
      <c r="AX10" s="1010"/>
      <c r="AY10" s="1008" t="s">
        <v>3291</v>
      </c>
      <c r="AZ10" s="1009"/>
      <c r="BA10" s="1010"/>
      <c r="BB10" s="1008" t="s">
        <v>3292</v>
      </c>
      <c r="BC10" s="1009"/>
      <c r="BD10" s="1010"/>
      <c r="BE10" s="1008" t="s">
        <v>3293</v>
      </c>
      <c r="BF10" s="1009"/>
      <c r="BG10" s="1010"/>
      <c r="BH10" s="1008" t="s">
        <v>3205</v>
      </c>
      <c r="BI10" s="1009"/>
      <c r="BJ10" s="1010"/>
      <c r="BK10" s="1008" t="s">
        <v>3294</v>
      </c>
      <c r="BL10" s="1009"/>
      <c r="BM10" s="1010"/>
      <c r="BN10" s="1008" t="s">
        <v>3295</v>
      </c>
      <c r="BO10" s="1009"/>
      <c r="BP10" s="1010"/>
      <c r="BQ10" s="1008" t="s">
        <v>3296</v>
      </c>
      <c r="BR10" s="1009"/>
      <c r="BS10" s="1010"/>
      <c r="BT10" s="1008" t="s">
        <v>3297</v>
      </c>
      <c r="BU10" s="1009"/>
      <c r="BV10" s="1010"/>
      <c r="BW10" s="1008" t="s">
        <v>3298</v>
      </c>
      <c r="BX10" s="1009"/>
      <c r="BY10" s="1010"/>
      <c r="BZ10" s="1020"/>
    </row>
    <row r="11" spans="1:78" s="814" customFormat="1" ht="28">
      <c r="A11" s="1002"/>
      <c r="B11" s="1004"/>
      <c r="C11" s="1005"/>
      <c r="D11" s="1004"/>
      <c r="E11" s="1007"/>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0"/>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22" t="s">
        <v>2940</v>
      </c>
      <c r="B6" s="1023"/>
      <c r="C6" s="1027" t="s">
        <v>2885</v>
      </c>
      <c r="D6" s="1022"/>
      <c r="E6" s="1022"/>
      <c r="F6" s="1023"/>
      <c r="G6" s="1027" t="s">
        <v>3219</v>
      </c>
      <c r="H6" s="1022"/>
      <c r="I6" s="1022"/>
      <c r="J6" s="1027" t="s">
        <v>2886</v>
      </c>
      <c r="K6" s="1022"/>
      <c r="L6" s="1022"/>
      <c r="M6" s="1022"/>
      <c r="N6" s="1022"/>
      <c r="O6" s="1022"/>
      <c r="P6" s="1022"/>
      <c r="Q6" s="1027" t="s">
        <v>677</v>
      </c>
      <c r="R6" s="1022"/>
      <c r="S6" s="1022"/>
      <c r="T6" s="1022"/>
      <c r="U6" s="1023"/>
      <c r="V6" s="1024" t="s">
        <v>2887</v>
      </c>
      <c r="W6" s="1025"/>
      <c r="X6" s="1025"/>
      <c r="Y6" s="1025"/>
      <c r="Z6" s="1025"/>
      <c r="AA6" s="1025"/>
      <c r="AB6" s="1025"/>
      <c r="AC6" s="1025"/>
      <c r="AD6" s="1025"/>
      <c r="AE6" s="1026"/>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1" t="s">
        <v>2941</v>
      </c>
      <c r="AH7" s="1021"/>
      <c r="AI7" s="1021"/>
      <c r="AJ7" s="1021"/>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28" t="s">
        <v>1707</v>
      </c>
      <c r="B1" s="1029"/>
      <c r="C1" s="1029"/>
      <c r="D1" s="1029"/>
      <c r="E1" s="1029"/>
      <c r="F1" s="1029"/>
      <c r="G1" s="1029"/>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9"/>
      <c r="O1" s="955"/>
    </row>
    <row r="2" spans="1:18">
      <c r="A2" s="657" t="s">
        <v>2962</v>
      </c>
      <c r="B2" s="526"/>
      <c r="C2" s="562"/>
      <c r="L2" s="949"/>
      <c r="O2" s="955"/>
    </row>
    <row r="3" spans="1:18">
      <c r="C3" s="53"/>
      <c r="L3" s="949"/>
      <c r="O3" s="955"/>
    </row>
    <row r="4" spans="1:18">
      <c r="B4" s="526" t="s">
        <v>4271</v>
      </c>
      <c r="D4" t="s">
        <v>4272</v>
      </c>
      <c r="F4" t="s">
        <v>4273</v>
      </c>
      <c r="H4" t="s">
        <v>4274</v>
      </c>
      <c r="L4" s="956" t="s">
        <v>4275</v>
      </c>
      <c r="O4" s="955"/>
    </row>
    <row r="5" spans="1:18">
      <c r="A5" s="2" t="s">
        <v>746</v>
      </c>
      <c r="B5" s="2" t="s">
        <v>4276</v>
      </c>
      <c r="C5" s="2" t="s">
        <v>4277</v>
      </c>
      <c r="D5" s="2" t="s">
        <v>4278</v>
      </c>
      <c r="E5" s="2" t="s">
        <v>4279</v>
      </c>
      <c r="F5" s="2" t="s">
        <v>4280</v>
      </c>
      <c r="G5" s="2" t="s">
        <v>4281</v>
      </c>
      <c r="H5" s="2" t="s">
        <v>4282</v>
      </c>
      <c r="I5" s="2" t="s">
        <v>4283</v>
      </c>
      <c r="J5" s="2" t="s">
        <v>4284</v>
      </c>
      <c r="K5" s="2" t="s">
        <v>4285</v>
      </c>
      <c r="L5" s="957" t="s">
        <v>4286</v>
      </c>
      <c r="M5" s="2" t="s">
        <v>4287</v>
      </c>
      <c r="N5" s="2" t="s">
        <v>4288</v>
      </c>
      <c r="O5" s="958"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9">
        <v>0.16787720556525074</v>
      </c>
      <c r="N6" t="s">
        <v>4327</v>
      </c>
      <c r="O6" s="955">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9">
        <v>4.0372546378012256E-2</v>
      </c>
      <c r="N7" t="s">
        <v>4348</v>
      </c>
      <c r="O7" s="955">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9">
        <v>2.4871309850656418E-2</v>
      </c>
      <c r="N8" t="s">
        <v>4346</v>
      </c>
      <c r="O8" s="955">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9">
        <v>2.5881342871107462E-2</v>
      </c>
      <c r="N9" t="s">
        <v>4347</v>
      </c>
      <c r="O9" s="955">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9">
        <v>0.29717462490552343</v>
      </c>
      <c r="N10" t="s">
        <v>4344</v>
      </c>
      <c r="O10" s="955">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9">
        <v>9.981721750723041E-2</v>
      </c>
      <c r="N11" t="s">
        <v>4345</v>
      </c>
      <c r="O11" s="955">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9">
        <v>0.10118956633106969</v>
      </c>
      <c r="N12" t="s">
        <v>4322</v>
      </c>
      <c r="O12" s="955">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9">
        <v>0.19940134150122094</v>
      </c>
      <c r="N13" t="s">
        <v>4320</v>
      </c>
      <c r="O13" s="955">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9">
        <v>0.12711337788421534</v>
      </c>
      <c r="N14" t="s">
        <v>4325</v>
      </c>
      <c r="O14" s="955">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9">
        <v>0.34948104502507477</v>
      </c>
      <c r="N15" t="s">
        <v>4313</v>
      </c>
      <c r="O15" s="955">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9">
        <v>9.2730127969551934E-2</v>
      </c>
      <c r="N16" t="s">
        <v>4304</v>
      </c>
      <c r="O16" s="955">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9">
        <v>0.10812247070213186</v>
      </c>
      <c r="N17" t="s">
        <v>4292</v>
      </c>
      <c r="O17" s="955">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9">
        <v>0.10094397418738933</v>
      </c>
      <c r="N18" t="s">
        <v>4293</v>
      </c>
      <c r="O18" s="955">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9">
        <v>0.11129269293675889</v>
      </c>
      <c r="N19" t="s">
        <v>4302</v>
      </c>
      <c r="O19" s="955">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9">
        <v>5.7718878460621133E-2</v>
      </c>
      <c r="N20" t="s">
        <v>4301</v>
      </c>
      <c r="O20" s="955">
        <v>0.98973564414699278</v>
      </c>
      <c r="P20">
        <v>30001</v>
      </c>
      <c r="Q20">
        <v>0</v>
      </c>
    </row>
    <row r="21" spans="1:18">
      <c r="A21" t="s">
        <v>754</v>
      </c>
      <c r="B21" s="959">
        <v>0</v>
      </c>
      <c r="C21" s="374">
        <v>0</v>
      </c>
      <c r="D21" s="374">
        <v>0</v>
      </c>
      <c r="E21" s="374">
        <v>0</v>
      </c>
      <c r="F21" s="374">
        <v>0</v>
      </c>
      <c r="G21" s="374">
        <v>0</v>
      </c>
      <c r="H21">
        <v>1.3009082E-2</v>
      </c>
      <c r="I21">
        <v>-0.63853567099999997</v>
      </c>
      <c r="J21">
        <v>18.152542467</v>
      </c>
      <c r="K21">
        <v>11.056607186999999</v>
      </c>
      <c r="L21" s="949">
        <v>8.2838949266919329E-2</v>
      </c>
      <c r="N21" t="s">
        <v>4303</v>
      </c>
      <c r="O21" s="955">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9">
        <v>0.56626731611720127</v>
      </c>
      <c r="N22" t="s">
        <v>4296</v>
      </c>
      <c r="O22" s="955">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9">
        <v>0.37258732877875211</v>
      </c>
      <c r="N23" t="s">
        <v>4299</v>
      </c>
      <c r="O23" s="955">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60">
        <v>2.7488567290999504E-2</v>
      </c>
      <c r="N24" t="s">
        <v>4294</v>
      </c>
      <c r="O24" s="961">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9">
        <v>0.19098054230920467</v>
      </c>
      <c r="N25" t="s">
        <v>4338</v>
      </c>
      <c r="O25" s="955">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9">
        <v>0.13634459989196074</v>
      </c>
      <c r="N26" t="s">
        <v>4332</v>
      </c>
      <c r="O26" s="955">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9">
        <v>0.15508350270168716</v>
      </c>
      <c r="N27" t="s">
        <v>4297</v>
      </c>
      <c r="O27" s="955">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9">
        <v>2.9060052999028089E-2</v>
      </c>
      <c r="N28" t="s">
        <v>4349</v>
      </c>
      <c r="O28" s="955">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9">
        <v>0.21824709010560447</v>
      </c>
      <c r="N29" t="s">
        <v>4350</v>
      </c>
      <c r="O29" s="955">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9">
        <v>0.11117046204521347</v>
      </c>
      <c r="N30" t="s">
        <v>4352</v>
      </c>
      <c r="O30" s="955">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9">
        <v>0.11117046204521347</v>
      </c>
      <c r="N31" t="s">
        <v>4351</v>
      </c>
      <c r="O31" s="955">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9">
        <v>6.3748011821242526E-2</v>
      </c>
      <c r="N32" t="s">
        <v>4358</v>
      </c>
      <c r="O32" s="955">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9">
        <v>0.20178190920126421</v>
      </c>
      <c r="N33" t="s">
        <v>4356</v>
      </c>
      <c r="O33" s="955">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9">
        <v>8.9610663880693747E-2</v>
      </c>
      <c r="N34" t="s">
        <v>4354</v>
      </c>
      <c r="O34" s="955">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9">
        <v>8.9610663880693747E-2</v>
      </c>
      <c r="N35" t="s">
        <v>4353</v>
      </c>
      <c r="O35" s="955">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9">
        <v>6.537073818864049E-2</v>
      </c>
      <c r="N36" t="s">
        <v>4334</v>
      </c>
      <c r="O36" s="955">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9">
        <v>0.15420855763774652</v>
      </c>
      <c r="N37" t="s">
        <v>4343</v>
      </c>
      <c r="O37" s="955">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9">
        <v>0.10096714189868675</v>
      </c>
      <c r="N38" t="s">
        <v>4333</v>
      </c>
      <c r="O38" s="955">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9">
        <v>8.7926571657932578E-2</v>
      </c>
      <c r="N39" t="s">
        <v>4340</v>
      </c>
      <c r="O39" s="955">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9">
        <v>0.19181540196500685</v>
      </c>
      <c r="N40" t="s">
        <v>4298</v>
      </c>
      <c r="O40" s="955">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9">
        <v>6.1090083245424892E-2</v>
      </c>
      <c r="N41" t="s">
        <v>4336</v>
      </c>
      <c r="O41" s="955">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9">
        <v>0.10384536321735356</v>
      </c>
      <c r="N42" t="s">
        <v>4339</v>
      </c>
      <c r="O42" s="955">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9">
        <v>0.1427349787694592</v>
      </c>
      <c r="N43" t="s">
        <v>4324</v>
      </c>
      <c r="O43" s="955">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9">
        <v>0.1288535088310907</v>
      </c>
      <c r="N44" t="s">
        <v>4315</v>
      </c>
      <c r="O44" s="955">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9">
        <v>0.25566288048231928</v>
      </c>
      <c r="N45" t="s">
        <v>4317</v>
      </c>
      <c r="O45" s="955">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9">
        <v>0.10606175481157647</v>
      </c>
      <c r="N46" t="s">
        <v>4309</v>
      </c>
      <c r="O46" s="955">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9">
        <v>0.1044259768556962</v>
      </c>
      <c r="N47" t="s">
        <v>4311</v>
      </c>
      <c r="O47" s="955">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9">
        <v>4.521517984937741E-2</v>
      </c>
      <c r="N48" t="s">
        <v>4342</v>
      </c>
      <c r="O48" s="955">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9">
        <v>0.16787720556525074</v>
      </c>
      <c r="N49" t="s">
        <v>4326</v>
      </c>
      <c r="O49" s="955">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9">
        <v>0.39676137270947814</v>
      </c>
      <c r="N50" t="s">
        <v>4330</v>
      </c>
      <c r="O50" s="955">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9">
        <v>5.9121223134457057E-2</v>
      </c>
      <c r="N51" t="s">
        <v>4328</v>
      </c>
      <c r="O51" s="955">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9">
        <v>0.19469475172443332</v>
      </c>
      <c r="N52" s="962" t="s">
        <v>4305</v>
      </c>
      <c r="O52" s="955">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9">
        <v>0.10253211443061497</v>
      </c>
      <c r="N53" t="s">
        <v>4337</v>
      </c>
      <c r="O53" s="955">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9">
        <v>0.22117751729640323</v>
      </c>
      <c r="N54" t="s">
        <v>4323</v>
      </c>
      <c r="O54" s="955">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9">
        <v>6.872076181729754E-2</v>
      </c>
      <c r="N55" t="s">
        <v>4300</v>
      </c>
      <c r="O55" s="955">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9">
        <v>0.22220942710385491</v>
      </c>
      <c r="N56" t="s">
        <v>4335</v>
      </c>
      <c r="O56" s="955">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9">
        <v>0.19379304652600138</v>
      </c>
      <c r="N57" t="s">
        <v>4331</v>
      </c>
      <c r="O57" s="955">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9">
        <v>0.19376804452462798</v>
      </c>
      <c r="N58" t="s">
        <v>4318</v>
      </c>
      <c r="O58" s="955">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9">
        <v>5.3382527173068531E-2</v>
      </c>
      <c r="N59" t="s">
        <v>4329</v>
      </c>
      <c r="O59" s="955">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9">
        <v>0.27548354444948392</v>
      </c>
      <c r="N60" t="s">
        <v>4312</v>
      </c>
      <c r="O60" s="955">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9">
        <v>0.25605913422579951</v>
      </c>
      <c r="N61" t="s">
        <v>4306</v>
      </c>
      <c r="O61" s="955">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9">
        <v>0.14140922623004518</v>
      </c>
      <c r="N62" t="s">
        <v>4291</v>
      </c>
      <c r="O62" s="955">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9">
        <v>0.20490922198574954</v>
      </c>
      <c r="N63" t="s">
        <v>4295</v>
      </c>
      <c r="O63" s="955">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9">
        <v>0.42911927902362179</v>
      </c>
      <c r="N64" t="s">
        <v>4307</v>
      </c>
      <c r="O64" s="955">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9">
        <v>7.9589033678493251E-2</v>
      </c>
      <c r="N65" t="s">
        <v>4341</v>
      </c>
      <c r="O65" s="955">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6">
        <v>0</v>
      </c>
      <c r="B6" t="s">
        <v>4076</v>
      </c>
      <c r="C6" s="947">
        <v>0.09</v>
      </c>
    </row>
    <row r="7" spans="1:8">
      <c r="A7" s="946">
        <v>250000</v>
      </c>
      <c r="B7" t="s">
        <v>4077</v>
      </c>
      <c r="C7" s="947">
        <v>0.08</v>
      </c>
    </row>
    <row r="8" spans="1:8">
      <c r="A8" s="946">
        <v>500000</v>
      </c>
      <c r="B8" t="s">
        <v>4078</v>
      </c>
      <c r="C8" s="947">
        <v>7.0000000000000007E-2</v>
      </c>
    </row>
    <row r="9" spans="1:8">
      <c r="A9" s="946">
        <v>1000000</v>
      </c>
      <c r="B9" t="s">
        <v>4079</v>
      </c>
      <c r="C9" s="947">
        <v>6.2E-2</v>
      </c>
    </row>
    <row r="10" spans="1:8">
      <c r="A10" s="946">
        <v>5000000</v>
      </c>
      <c r="B10" t="s">
        <v>4080</v>
      </c>
      <c r="C10" s="947">
        <v>5.2999999999999999E-2</v>
      </c>
    </row>
    <row r="11" spans="1:8">
      <c r="A11" s="946">
        <v>10000000</v>
      </c>
      <c r="B11" t="s">
        <v>4081</v>
      </c>
      <c r="C11" s="947">
        <v>4.9000000000000002E-2</v>
      </c>
    </row>
    <row r="12" spans="1:8">
      <c r="A12" s="946">
        <v>50000000</v>
      </c>
      <c r="B12" t="s">
        <v>4082</v>
      </c>
      <c r="C12" s="947">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8" t="s">
        <v>4093</v>
      </c>
      <c r="E28" s="948"/>
    </row>
    <row r="29" spans="1:7" ht="14">
      <c r="A29" s="526" t="s">
        <v>4094</v>
      </c>
      <c r="B29" s="53">
        <v>50000</v>
      </c>
      <c r="C29" s="526" t="s">
        <v>264</v>
      </c>
      <c r="D29" s="948" t="s">
        <v>4095</v>
      </c>
      <c r="E29" s="948"/>
    </row>
    <row r="30" spans="1:7" ht="14">
      <c r="A30" s="526" t="s">
        <v>3637</v>
      </c>
      <c r="B30" s="53">
        <v>0</v>
      </c>
      <c r="C30" s="526" t="s">
        <v>264</v>
      </c>
      <c r="D30" s="948" t="s">
        <v>4096</v>
      </c>
    </row>
    <row r="31" spans="1:7" ht="14">
      <c r="A31" s="526" t="s">
        <v>3638</v>
      </c>
      <c r="B31" s="53">
        <v>2000</v>
      </c>
      <c r="C31" s="526" t="s">
        <v>264</v>
      </c>
      <c r="D31" s="948" t="s">
        <v>4097</v>
      </c>
    </row>
    <row r="32" spans="1:7" ht="14">
      <c r="A32" s="526" t="s">
        <v>4098</v>
      </c>
      <c r="B32" s="53">
        <v>2000</v>
      </c>
      <c r="C32" s="526" t="s">
        <v>264</v>
      </c>
      <c r="D32" s="948" t="s">
        <v>4095</v>
      </c>
    </row>
    <row r="33" spans="1:4" ht="14">
      <c r="A33" s="526" t="s">
        <v>3639</v>
      </c>
      <c r="B33" s="53">
        <v>0</v>
      </c>
      <c r="C33" s="526" t="s">
        <v>264</v>
      </c>
      <c r="D33" s="948" t="s">
        <v>4099</v>
      </c>
    </row>
    <row r="34" spans="1:4" ht="14">
      <c r="A34" s="526" t="s">
        <v>3645</v>
      </c>
      <c r="B34" s="53">
        <v>2000</v>
      </c>
      <c r="C34" s="526" t="s">
        <v>264</v>
      </c>
      <c r="D34" s="948" t="s">
        <v>4100</v>
      </c>
    </row>
    <row r="35" spans="1:4" ht="14">
      <c r="A35" s="526" t="s">
        <v>3646</v>
      </c>
      <c r="B35" s="53">
        <v>500</v>
      </c>
      <c r="C35" s="526" t="s">
        <v>264</v>
      </c>
      <c r="D35" s="948" t="s">
        <v>4101</v>
      </c>
    </row>
    <row r="36" spans="1:4" ht="14">
      <c r="A36" s="526" t="s">
        <v>3647</v>
      </c>
      <c r="B36" s="53">
        <v>0</v>
      </c>
      <c r="C36" s="526" t="s">
        <v>264</v>
      </c>
      <c r="D36" s="948" t="s">
        <v>4102</v>
      </c>
    </row>
    <row r="37" spans="1:4" ht="14">
      <c r="A37" s="526" t="s">
        <v>3648</v>
      </c>
      <c r="B37" s="53">
        <v>17710</v>
      </c>
      <c r="C37" s="526" t="s">
        <v>264</v>
      </c>
      <c r="D37" s="948" t="s">
        <v>4103</v>
      </c>
    </row>
    <row r="38" spans="1:4" ht="14">
      <c r="A38" s="526" t="s">
        <v>3649</v>
      </c>
      <c r="B38" s="53">
        <v>1771</v>
      </c>
      <c r="C38" s="526" t="s">
        <v>264</v>
      </c>
      <c r="D38" s="948" t="s">
        <v>4104</v>
      </c>
    </row>
    <row r="39" spans="1:4" ht="14">
      <c r="A39" s="526" t="s">
        <v>3650</v>
      </c>
      <c r="B39" s="53">
        <v>0</v>
      </c>
      <c r="C39" s="526" t="s">
        <v>264</v>
      </c>
      <c r="D39" s="948" t="s">
        <v>4105</v>
      </c>
    </row>
    <row r="40" spans="1:4" ht="14">
      <c r="A40" s="526" t="s">
        <v>3651</v>
      </c>
      <c r="B40" s="53">
        <v>50000</v>
      </c>
      <c r="C40" s="526" t="s">
        <v>264</v>
      </c>
      <c r="D40" s="948" t="s">
        <v>4106</v>
      </c>
    </row>
    <row r="41" spans="1:4" ht="14">
      <c r="A41" s="526" t="s">
        <v>4107</v>
      </c>
      <c r="B41" s="53">
        <v>50000</v>
      </c>
      <c r="C41" s="526" t="s">
        <v>264</v>
      </c>
      <c r="D41" s="948" t="s">
        <v>4095</v>
      </c>
    </row>
    <row r="42" spans="1:4" ht="14">
      <c r="A42" s="526" t="s">
        <v>3652</v>
      </c>
      <c r="B42" s="53">
        <v>0</v>
      </c>
      <c r="C42" s="526" t="s">
        <v>264</v>
      </c>
      <c r="D42" s="948" t="s">
        <v>4108</v>
      </c>
    </row>
    <row r="43" spans="1:4" ht="14">
      <c r="A43" s="526" t="s">
        <v>3653</v>
      </c>
      <c r="B43" s="562">
        <v>1</v>
      </c>
      <c r="C43" s="526" t="s">
        <v>2283</v>
      </c>
      <c r="D43" s="948" t="s">
        <v>4109</v>
      </c>
    </row>
    <row r="44" spans="1:4" ht="14">
      <c r="A44" s="526" t="s">
        <v>3654</v>
      </c>
      <c r="B44" s="562">
        <v>0.5</v>
      </c>
      <c r="C44" s="526" t="s">
        <v>2283</v>
      </c>
      <c r="D44" s="948" t="s">
        <v>4110</v>
      </c>
    </row>
    <row r="45" spans="1:4" ht="14">
      <c r="A45" s="526" t="s">
        <v>3655</v>
      </c>
      <c r="B45" s="53">
        <v>0</v>
      </c>
      <c r="C45" s="526" t="s">
        <v>2283</v>
      </c>
      <c r="D45" s="948" t="s">
        <v>4111</v>
      </c>
    </row>
    <row r="46" spans="1:4" ht="14">
      <c r="A46" s="526" t="s">
        <v>3658</v>
      </c>
      <c r="B46" s="53">
        <v>44000</v>
      </c>
      <c r="C46" s="526" t="s">
        <v>264</v>
      </c>
      <c r="D46" s="948" t="s">
        <v>4112</v>
      </c>
    </row>
    <row r="47" spans="1:4" ht="14">
      <c r="A47" s="526" t="s">
        <v>3659</v>
      </c>
      <c r="B47" s="53">
        <v>3621.75</v>
      </c>
      <c r="C47" s="526" t="s">
        <v>264</v>
      </c>
      <c r="D47" s="948" t="s">
        <v>4113</v>
      </c>
    </row>
    <row r="48" spans="1:4" ht="14">
      <c r="A48" s="526" t="s">
        <v>3660</v>
      </c>
      <c r="B48" s="53">
        <v>0</v>
      </c>
      <c r="C48" s="526" t="s">
        <v>264</v>
      </c>
      <c r="D48" s="948"/>
    </row>
    <row r="49" spans="1:4" ht="14">
      <c r="A49" s="526" t="s">
        <v>3661</v>
      </c>
      <c r="B49" s="53">
        <v>44000</v>
      </c>
      <c r="C49" s="526" t="s">
        <v>264</v>
      </c>
      <c r="D49" s="948" t="s">
        <v>4112</v>
      </c>
    </row>
    <row r="50" spans="1:4" ht="14">
      <c r="A50" s="526" t="s">
        <v>4114</v>
      </c>
      <c r="B50" s="53">
        <v>44000</v>
      </c>
      <c r="C50" s="526" t="s">
        <v>264</v>
      </c>
      <c r="D50" s="948" t="s">
        <v>4095</v>
      </c>
    </row>
    <row r="51" spans="1:4" ht="14">
      <c r="A51" s="526" t="s">
        <v>3662</v>
      </c>
      <c r="B51" s="53">
        <v>0</v>
      </c>
      <c r="C51" s="526" t="s">
        <v>264</v>
      </c>
      <c r="D51" s="948"/>
    </row>
    <row r="52" spans="1:4" ht="14">
      <c r="A52" s="526" t="s">
        <v>3663</v>
      </c>
      <c r="B52" s="53">
        <v>19800</v>
      </c>
      <c r="C52" t="s">
        <v>264</v>
      </c>
      <c r="D52" s="948" t="s">
        <v>4115</v>
      </c>
    </row>
    <row r="53" spans="1:4" ht="14">
      <c r="A53" s="526" t="s">
        <v>4116</v>
      </c>
      <c r="B53" s="53">
        <v>5445</v>
      </c>
      <c r="C53" t="s">
        <v>264</v>
      </c>
      <c r="D53" s="948" t="s">
        <v>4095</v>
      </c>
    </row>
    <row r="54" spans="1:4" ht="14">
      <c r="A54" s="526" t="s">
        <v>3664</v>
      </c>
      <c r="B54" s="53">
        <v>0</v>
      </c>
      <c r="C54" t="s">
        <v>264</v>
      </c>
      <c r="D54" s="948" t="s">
        <v>4117</v>
      </c>
    </row>
    <row r="55" spans="1:4" ht="14">
      <c r="A55" t="s">
        <v>3670</v>
      </c>
      <c r="B55" s="53">
        <v>27500</v>
      </c>
      <c r="C55" t="s">
        <v>264</v>
      </c>
      <c r="D55" s="948" t="s">
        <v>4118</v>
      </c>
    </row>
    <row r="56" spans="1:4" ht="14">
      <c r="A56" t="s">
        <v>3671</v>
      </c>
      <c r="B56" s="53">
        <v>5000</v>
      </c>
      <c r="C56" t="s">
        <v>264</v>
      </c>
      <c r="D56" s="948" t="s">
        <v>4119</v>
      </c>
    </row>
    <row r="57" spans="1:4" ht="14">
      <c r="A57" t="s">
        <v>3672</v>
      </c>
      <c r="B57" s="53">
        <v>0</v>
      </c>
      <c r="C57" t="s">
        <v>264</v>
      </c>
      <c r="D57" s="948" t="s">
        <v>4120</v>
      </c>
    </row>
    <row r="58" spans="1:4" ht="14">
      <c r="A58" s="526" t="s">
        <v>3676</v>
      </c>
      <c r="B58" s="53">
        <v>25436.999999999996</v>
      </c>
      <c r="C58" t="s">
        <v>264</v>
      </c>
      <c r="D58" s="948" t="s">
        <v>4121</v>
      </c>
    </row>
    <row r="59" spans="1:4" ht="14">
      <c r="A59" s="526" t="s">
        <v>3677</v>
      </c>
      <c r="B59" s="53">
        <v>5000</v>
      </c>
      <c r="C59" t="s">
        <v>264</v>
      </c>
      <c r="D59" s="948" t="s">
        <v>4122</v>
      </c>
    </row>
    <row r="60" spans="1:4" ht="14">
      <c r="A60" s="526" t="s">
        <v>3678</v>
      </c>
      <c r="B60" s="53">
        <v>0</v>
      </c>
      <c r="C60" t="s">
        <v>264</v>
      </c>
      <c r="D60" s="948" t="s">
        <v>4123</v>
      </c>
    </row>
    <row r="61" spans="1:4" ht="14">
      <c r="A61" s="526" t="s">
        <v>3679</v>
      </c>
      <c r="B61" s="53">
        <v>21317.039999999997</v>
      </c>
      <c r="C61" t="s">
        <v>264</v>
      </c>
      <c r="D61" s="948" t="s">
        <v>4124</v>
      </c>
    </row>
    <row r="62" spans="1:4" ht="14">
      <c r="A62" s="526" t="s">
        <v>3680</v>
      </c>
      <c r="B62" s="53">
        <v>4000</v>
      </c>
      <c r="C62" t="s">
        <v>264</v>
      </c>
      <c r="D62" s="948" t="s">
        <v>4125</v>
      </c>
    </row>
    <row r="63" spans="1:4" ht="14">
      <c r="A63" s="526" t="s">
        <v>3681</v>
      </c>
      <c r="B63" s="53">
        <v>0</v>
      </c>
      <c r="C63" t="s">
        <v>264</v>
      </c>
      <c r="D63" s="948"/>
    </row>
    <row r="64" spans="1:4" ht="14">
      <c r="A64" t="s">
        <v>3682</v>
      </c>
      <c r="B64" s="53">
        <v>2000</v>
      </c>
      <c r="C64" t="s">
        <v>1131</v>
      </c>
      <c r="D64" s="948" t="s">
        <v>4126</v>
      </c>
    </row>
    <row r="65" spans="1:5" ht="14">
      <c r="A65" t="s">
        <v>3683</v>
      </c>
      <c r="B65" s="53">
        <v>550</v>
      </c>
      <c r="C65" t="s">
        <v>1131</v>
      </c>
      <c r="D65" s="948" t="s">
        <v>4127</v>
      </c>
    </row>
    <row r="66" spans="1:5" ht="14">
      <c r="A66" t="s">
        <v>3684</v>
      </c>
      <c r="B66" s="53">
        <v>0</v>
      </c>
      <c r="C66" t="s">
        <v>1131</v>
      </c>
      <c r="D66" s="948" t="s">
        <v>4128</v>
      </c>
    </row>
    <row r="67" spans="1:5" ht="14">
      <c r="A67" s="526" t="s">
        <v>3685</v>
      </c>
      <c r="B67" s="53">
        <v>28427.723999999998</v>
      </c>
      <c r="C67" s="526" t="s">
        <v>264</v>
      </c>
      <c r="D67" s="948" t="s">
        <v>4129</v>
      </c>
    </row>
    <row r="68" spans="1:5" ht="14">
      <c r="A68" s="526" t="s">
        <v>4130</v>
      </c>
      <c r="B68" s="53">
        <v>28427.723999999998</v>
      </c>
      <c r="C68" s="526" t="s">
        <v>264</v>
      </c>
      <c r="D68" s="948" t="s">
        <v>4095</v>
      </c>
    </row>
    <row r="69" spans="1:5" ht="14">
      <c r="A69" s="526" t="s">
        <v>3686</v>
      </c>
      <c r="B69" s="53">
        <v>0</v>
      </c>
      <c r="C69" s="526" t="s">
        <v>264</v>
      </c>
      <c r="D69" s="948"/>
    </row>
    <row r="70" spans="1:5" ht="14">
      <c r="A70" t="s">
        <v>3688</v>
      </c>
      <c r="B70" s="53">
        <v>2000</v>
      </c>
      <c r="C70" t="s">
        <v>1131</v>
      </c>
      <c r="D70" s="948" t="s">
        <v>4131</v>
      </c>
    </row>
    <row r="71" spans="1:5" ht="14">
      <c r="A71" t="s">
        <v>3689</v>
      </c>
      <c r="B71" s="53">
        <v>500</v>
      </c>
      <c r="C71" t="s">
        <v>1131</v>
      </c>
      <c r="D71" s="948" t="s">
        <v>4132</v>
      </c>
    </row>
    <row r="72" spans="1:5" ht="14">
      <c r="A72" t="s">
        <v>3690</v>
      </c>
      <c r="B72" s="53">
        <v>0</v>
      </c>
      <c r="C72" t="s">
        <v>1131</v>
      </c>
      <c r="D72" s="948" t="s">
        <v>4123</v>
      </c>
    </row>
    <row r="75" spans="1:5">
      <c r="A75" s="1" t="s">
        <v>4133</v>
      </c>
      <c r="B75" s="526"/>
      <c r="C75" s="526"/>
      <c r="D75" s="526"/>
      <c r="E75" s="526"/>
    </row>
    <row r="76" spans="1:5">
      <c r="A76" t="s">
        <v>4073</v>
      </c>
      <c r="B76" t="s">
        <v>4074</v>
      </c>
      <c r="C76" t="s">
        <v>1901</v>
      </c>
    </row>
    <row r="77" spans="1:5">
      <c r="A77" s="946">
        <v>0</v>
      </c>
      <c r="B77" t="s">
        <v>4134</v>
      </c>
      <c r="C77" s="947">
        <v>0.1</v>
      </c>
    </row>
    <row r="78" spans="1:5">
      <c r="A78" s="946">
        <v>100000</v>
      </c>
      <c r="B78" t="s">
        <v>4135</v>
      </c>
      <c r="C78" s="947">
        <v>0.09</v>
      </c>
    </row>
    <row r="79" spans="1:5">
      <c r="A79" s="946">
        <v>250000</v>
      </c>
      <c r="B79" t="s">
        <v>4136</v>
      </c>
      <c r="C79" s="947">
        <v>0.06</v>
      </c>
    </row>
    <row r="80" spans="1:5">
      <c r="A80" s="946">
        <v>1000000</v>
      </c>
      <c r="B80" t="s">
        <v>4079</v>
      </c>
      <c r="C80" s="947">
        <v>0.05</v>
      </c>
    </row>
    <row r="81" spans="1:5">
      <c r="A81" s="946">
        <v>5000000</v>
      </c>
      <c r="B81" t="s">
        <v>4080</v>
      </c>
      <c r="C81" s="947">
        <v>0.04</v>
      </c>
    </row>
    <row r="82" spans="1:5">
      <c r="A82" s="946">
        <v>10000000</v>
      </c>
      <c r="B82" t="s">
        <v>4137</v>
      </c>
      <c r="C82" s="947">
        <v>3.2000000000000001E-2</v>
      </c>
    </row>
    <row r="85" spans="1:5">
      <c r="A85" s="1" t="s">
        <v>4138</v>
      </c>
      <c r="B85" s="526"/>
      <c r="C85" s="526"/>
      <c r="D85" s="526"/>
      <c r="E85" s="526"/>
    </row>
    <row r="86" spans="1:5">
      <c r="A86" t="s">
        <v>4139</v>
      </c>
      <c r="B86" t="s">
        <v>4074</v>
      </c>
      <c r="C86" t="s">
        <v>4140</v>
      </c>
    </row>
    <row r="87" spans="1:5">
      <c r="A87" s="946">
        <v>0</v>
      </c>
      <c r="B87" s="44" t="s">
        <v>4141</v>
      </c>
      <c r="C87" s="949">
        <v>6.7000000000000004E-2</v>
      </c>
      <c r="E87" s="949"/>
    </row>
    <row r="88" spans="1:5">
      <c r="A88" s="946">
        <v>500000</v>
      </c>
      <c r="B88" s="44" t="s">
        <v>4142</v>
      </c>
      <c r="C88" s="949">
        <v>5.8000000000000003E-2</v>
      </c>
      <c r="E88" s="949"/>
    </row>
    <row r="89" spans="1:5">
      <c r="A89" s="946">
        <v>3000000</v>
      </c>
      <c r="B89" s="44" t="s">
        <v>4143</v>
      </c>
      <c r="C89" s="949">
        <v>4.9000000000000002E-2</v>
      </c>
      <c r="E89" s="949"/>
    </row>
    <row r="90" spans="1:5">
      <c r="A90" s="946">
        <v>15000000</v>
      </c>
      <c r="B90" s="44" t="s">
        <v>4144</v>
      </c>
      <c r="C90" s="949">
        <v>4.1000000000000002E-2</v>
      </c>
      <c r="E90" s="949"/>
    </row>
    <row r="91" spans="1:5">
      <c r="A91" s="946">
        <v>50000000</v>
      </c>
      <c r="B91" s="44" t="s">
        <v>4145</v>
      </c>
      <c r="C91" s="949">
        <v>3.2000000000000001E-2</v>
      </c>
      <c r="E91" s="949"/>
    </row>
    <row r="92" spans="1:5">
      <c r="A92" s="946">
        <v>100000000</v>
      </c>
      <c r="B92" s="44" t="s">
        <v>4146</v>
      </c>
      <c r="C92" s="949">
        <v>5.8000000000000003E-2</v>
      </c>
      <c r="E92" s="949"/>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50">
        <v>0.02</v>
      </c>
      <c r="B126">
        <v>0.1704</v>
      </c>
      <c r="C126">
        <v>20.41</v>
      </c>
      <c r="D126">
        <v>1.0209999999999999</v>
      </c>
    </row>
    <row r="127" spans="1:4">
      <c r="A127" s="950">
        <v>0.04</v>
      </c>
      <c r="B127">
        <v>0.34810000000000002</v>
      </c>
      <c r="C127">
        <v>41.71</v>
      </c>
      <c r="D127">
        <v>1.0429999999999999</v>
      </c>
    </row>
    <row r="128" spans="1:4">
      <c r="A128" s="950">
        <v>0.06</v>
      </c>
      <c r="B128">
        <v>0.53320000000000001</v>
      </c>
      <c r="C128">
        <v>63.89</v>
      </c>
      <c r="D128">
        <v>1.0649999999999999</v>
      </c>
    </row>
    <row r="129" spans="1:4">
      <c r="A129" s="950">
        <v>0.08</v>
      </c>
      <c r="B129">
        <v>0.72560000000000002</v>
      </c>
      <c r="C129">
        <v>86.95</v>
      </c>
      <c r="D129">
        <v>1.087</v>
      </c>
    </row>
    <row r="130" spans="1:4">
      <c r="A130" s="950">
        <v>0.1</v>
      </c>
      <c r="B130">
        <v>0.9254</v>
      </c>
      <c r="C130">
        <v>110.9</v>
      </c>
      <c r="D130">
        <v>1.109</v>
      </c>
    </row>
    <row r="131" spans="1:4">
      <c r="A131" s="950">
        <v>0.12</v>
      </c>
      <c r="B131">
        <v>1.133</v>
      </c>
      <c r="C131">
        <v>135.69999999999999</v>
      </c>
      <c r="D131">
        <v>1.131</v>
      </c>
    </row>
    <row r="132" spans="1:4">
      <c r="A132" s="950">
        <v>0.14000000000000001</v>
      </c>
      <c r="B132">
        <v>1.347</v>
      </c>
      <c r="C132">
        <v>161.4</v>
      </c>
      <c r="D132">
        <v>1.153</v>
      </c>
    </row>
    <row r="133" spans="1:4">
      <c r="A133" s="950">
        <v>0.16</v>
      </c>
      <c r="B133">
        <v>1.569</v>
      </c>
      <c r="C133">
        <v>188</v>
      </c>
      <c r="D133">
        <v>1.175</v>
      </c>
    </row>
    <row r="134" spans="1:4">
      <c r="A134" s="950">
        <v>0.18</v>
      </c>
      <c r="B134">
        <v>1.798</v>
      </c>
      <c r="C134">
        <v>215.5</v>
      </c>
      <c r="D134">
        <v>1.1970000000000001</v>
      </c>
    </row>
    <row r="135" spans="1:4">
      <c r="A135" s="950">
        <v>0.2</v>
      </c>
      <c r="B135">
        <v>2.0350000000000001</v>
      </c>
      <c r="C135">
        <v>243.8</v>
      </c>
      <c r="D135">
        <v>1.2190000000000001</v>
      </c>
    </row>
    <row r="136" spans="1:4">
      <c r="A136" s="950">
        <v>0.22</v>
      </c>
      <c r="B136">
        <v>2.2789999999999999</v>
      </c>
      <c r="C136">
        <v>273</v>
      </c>
      <c r="D136">
        <v>1.2410000000000001</v>
      </c>
    </row>
    <row r="137" spans="1:4">
      <c r="A137" s="950">
        <v>0.24</v>
      </c>
      <c r="B137">
        <v>2.5289999999999999</v>
      </c>
      <c r="C137">
        <v>303.10000000000002</v>
      </c>
      <c r="D137">
        <v>1.2629999999999999</v>
      </c>
    </row>
    <row r="138" spans="1:4">
      <c r="A138" s="950">
        <v>0.25</v>
      </c>
      <c r="B138">
        <v>2.66</v>
      </c>
      <c r="C138">
        <v>318.7</v>
      </c>
      <c r="D138">
        <v>1.278</v>
      </c>
    </row>
    <row r="139" spans="1:4">
      <c r="A139" s="950">
        <v>0.26</v>
      </c>
      <c r="B139">
        <v>2.7879999999999998</v>
      </c>
      <c r="C139">
        <v>334</v>
      </c>
      <c r="D139">
        <v>1.2849999999999999</v>
      </c>
    </row>
    <row r="140" spans="1:4">
      <c r="A140" s="950">
        <v>0.28000000000000003</v>
      </c>
      <c r="B140">
        <v>3.0529999999999999</v>
      </c>
      <c r="C140">
        <v>365.8</v>
      </c>
      <c r="D140">
        <v>1.306</v>
      </c>
    </row>
    <row r="141" spans="1:4">
      <c r="A141" s="950">
        <v>0.3</v>
      </c>
      <c r="B141">
        <v>3.3239999999999998</v>
      </c>
      <c r="C141">
        <v>398.4</v>
      </c>
      <c r="D141">
        <v>1.3280000000000001</v>
      </c>
    </row>
    <row r="142" spans="1:4">
      <c r="A142" s="950">
        <v>0.32</v>
      </c>
      <c r="B142">
        <v>3.6019999999999999</v>
      </c>
      <c r="C142">
        <v>431.7</v>
      </c>
      <c r="D142">
        <v>1.349</v>
      </c>
    </row>
    <row r="143" spans="1:4">
      <c r="A143" s="950">
        <v>0.34</v>
      </c>
      <c r="B143">
        <v>3.8860000000000001</v>
      </c>
      <c r="C143">
        <v>465.7</v>
      </c>
      <c r="D143">
        <v>1.37</v>
      </c>
    </row>
    <row r="144" spans="1:4">
      <c r="A144" s="950">
        <v>0.36</v>
      </c>
      <c r="B144">
        <v>4.1760000000000002</v>
      </c>
      <c r="C144">
        <v>500.4</v>
      </c>
      <c r="D144">
        <v>1.39</v>
      </c>
    </row>
    <row r="145" spans="1:5">
      <c r="A145" s="950">
        <v>0.38</v>
      </c>
      <c r="B145">
        <v>4.4720000000000004</v>
      </c>
      <c r="C145">
        <v>535.79999999999995</v>
      </c>
      <c r="D145">
        <v>1.41</v>
      </c>
    </row>
    <row r="146" spans="1:5">
      <c r="A146" s="950">
        <v>0.4</v>
      </c>
      <c r="B146">
        <v>4.7729999999999997</v>
      </c>
      <c r="C146">
        <v>572</v>
      </c>
      <c r="D146">
        <v>1.34</v>
      </c>
    </row>
    <row r="147" spans="1:5">
      <c r="A147" s="950">
        <v>0.42</v>
      </c>
      <c r="B147">
        <v>5.08</v>
      </c>
      <c r="C147">
        <v>608.70000000000005</v>
      </c>
      <c r="D147">
        <v>1.4490000000000001</v>
      </c>
    </row>
    <row r="148" spans="1:5">
      <c r="A148" s="950">
        <v>0.44</v>
      </c>
      <c r="B148">
        <v>5.3920000000000003</v>
      </c>
      <c r="C148">
        <v>646.1</v>
      </c>
      <c r="D148">
        <v>1.468</v>
      </c>
    </row>
    <row r="149" spans="1:5">
      <c r="A149" s="950">
        <v>0.46</v>
      </c>
      <c r="B149">
        <v>5.7089999999999996</v>
      </c>
      <c r="C149">
        <v>684.2</v>
      </c>
      <c r="D149">
        <v>1.4870000000000001</v>
      </c>
    </row>
    <row r="150" spans="1:5">
      <c r="A150" s="950">
        <v>0.48</v>
      </c>
      <c r="B150">
        <v>6.0350000000000001</v>
      </c>
      <c r="C150">
        <v>723.1</v>
      </c>
      <c r="D150">
        <v>1.506</v>
      </c>
    </row>
    <row r="151" spans="1:5">
      <c r="A151" s="950">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6">
        <v>0</v>
      </c>
      <c r="B156" t="s">
        <v>4134</v>
      </c>
      <c r="C156" s="946">
        <v>0</v>
      </c>
      <c r="D156" s="951">
        <v>2.5000000000000001E-2</v>
      </c>
      <c r="E156" s="946">
        <v>0</v>
      </c>
    </row>
    <row r="157" spans="1:5">
      <c r="A157" s="946">
        <v>100000</v>
      </c>
      <c r="B157" t="s">
        <v>4172</v>
      </c>
      <c r="C157" s="946">
        <v>2500</v>
      </c>
      <c r="D157" s="951">
        <v>1.4999999999999999E-2</v>
      </c>
      <c r="E157" s="946">
        <v>100000</v>
      </c>
    </row>
    <row r="158" spans="1:5">
      <c r="A158" s="946">
        <v>500000</v>
      </c>
      <c r="B158" t="s">
        <v>4173</v>
      </c>
      <c r="C158" s="946">
        <v>8500</v>
      </c>
      <c r="D158" s="951">
        <v>0.01</v>
      </c>
      <c r="E158" s="946">
        <v>500000</v>
      </c>
    </row>
    <row r="159" spans="1:5">
      <c r="A159" s="946">
        <v>2500000</v>
      </c>
      <c r="B159" t="s">
        <v>4174</v>
      </c>
      <c r="C159" s="946">
        <v>28500</v>
      </c>
      <c r="D159" s="951">
        <v>7.4999999999999997E-3</v>
      </c>
      <c r="E159" s="946">
        <v>2500000</v>
      </c>
    </row>
    <row r="160" spans="1:5">
      <c r="A160" s="946">
        <v>5000000</v>
      </c>
      <c r="B160" t="s">
        <v>4175</v>
      </c>
      <c r="C160" s="946">
        <v>47250</v>
      </c>
      <c r="D160" s="951">
        <v>7.0000000000000001E-3</v>
      </c>
      <c r="E160" s="946">
        <v>5000000</v>
      </c>
    </row>
    <row r="161" spans="1:5">
      <c r="A161" s="946">
        <v>7500000</v>
      </c>
      <c r="B161" t="s">
        <v>4176</v>
      </c>
      <c r="C161" s="946">
        <v>64750</v>
      </c>
      <c r="D161" s="951">
        <v>6.0000000000000001E-3</v>
      </c>
      <c r="E161" s="946">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2" t="s">
        <v>4189</v>
      </c>
      <c r="C207" s="526" t="s">
        <v>4190</v>
      </c>
    </row>
    <row r="208" spans="1:15">
      <c r="A208" s="526" t="s">
        <v>4027</v>
      </c>
      <c r="B208" s="952" t="s">
        <v>4191</v>
      </c>
      <c r="C208" s="526" t="s">
        <v>4192</v>
      </c>
    </row>
    <row r="209" spans="1:3">
      <c r="A209" s="526" t="s">
        <v>4026</v>
      </c>
      <c r="B209" s="952" t="s">
        <v>4191</v>
      </c>
      <c r="C209" s="526" t="s">
        <v>4192</v>
      </c>
    </row>
    <row r="210" spans="1:3">
      <c r="A210" s="526" t="s">
        <v>4029</v>
      </c>
      <c r="B210" s="952" t="s">
        <v>4191</v>
      </c>
      <c r="C210" s="526" t="s">
        <v>4192</v>
      </c>
    </row>
    <row r="211" spans="1:3">
      <c r="A211" s="526" t="s">
        <v>4028</v>
      </c>
      <c r="B211" s="952" t="s">
        <v>4191</v>
      </c>
      <c r="C211" s="526" t="s">
        <v>4192</v>
      </c>
    </row>
    <row r="212" spans="1:3">
      <c r="A212" t="s">
        <v>4193</v>
      </c>
      <c r="B212" s="952" t="s">
        <v>4191</v>
      </c>
      <c r="C212" s="526" t="s">
        <v>4192</v>
      </c>
    </row>
    <row r="213" spans="1:3">
      <c r="A213" s="526" t="s">
        <v>4034</v>
      </c>
      <c r="B213" s="952" t="s">
        <v>4194</v>
      </c>
      <c r="C213" s="526" t="s">
        <v>4195</v>
      </c>
    </row>
    <row r="214" spans="1:3">
      <c r="A214" s="526" t="s">
        <v>4033</v>
      </c>
      <c r="B214" s="952" t="s">
        <v>4196</v>
      </c>
      <c r="C214" s="526" t="s">
        <v>4197</v>
      </c>
    </row>
    <row r="215" spans="1:3">
      <c r="A215" s="526" t="s">
        <v>4198</v>
      </c>
      <c r="B215" s="952" t="s">
        <v>4199</v>
      </c>
      <c r="C215" s="526" t="s">
        <v>4200</v>
      </c>
    </row>
    <row r="216" spans="1:3">
      <c r="A216" s="526" t="s">
        <v>4201</v>
      </c>
      <c r="B216" s="952" t="s">
        <v>4202</v>
      </c>
      <c r="C216" s="526" t="s">
        <v>4203</v>
      </c>
    </row>
    <row r="217" spans="1:3">
      <c r="A217" s="526" t="s">
        <v>4204</v>
      </c>
      <c r="B217" s="952" t="s">
        <v>4205</v>
      </c>
      <c r="C217" s="526" t="s">
        <v>4206</v>
      </c>
    </row>
    <row r="218" spans="1:3">
      <c r="A218" s="526" t="s">
        <v>4207</v>
      </c>
      <c r="B218" s="952" t="s">
        <v>4205</v>
      </c>
      <c r="C218" s="526" t="s">
        <v>4206</v>
      </c>
    </row>
    <row r="219" spans="1:3">
      <c r="A219" s="526" t="s">
        <v>4208</v>
      </c>
      <c r="B219" t="s">
        <v>4209</v>
      </c>
      <c r="C219" s="526" t="s">
        <v>4208</v>
      </c>
    </row>
    <row r="220" spans="1:3">
      <c r="A220" s="526" t="s">
        <v>4210</v>
      </c>
      <c r="B220" s="952" t="s">
        <v>4211</v>
      </c>
      <c r="C220" s="526" t="s">
        <v>4212</v>
      </c>
    </row>
    <row r="221" spans="1:3">
      <c r="A221" s="526" t="s">
        <v>4032</v>
      </c>
      <c r="B221" s="952" t="s">
        <v>4211</v>
      </c>
      <c r="C221" s="526" t="s">
        <v>4212</v>
      </c>
    </row>
    <row r="222" spans="1:3">
      <c r="A222" s="526" t="s">
        <v>4198</v>
      </c>
      <c r="B222" s="952" t="s">
        <v>4213</v>
      </c>
      <c r="C222" s="526" t="s">
        <v>4214</v>
      </c>
    </row>
    <row r="223" spans="1:3">
      <c r="A223" s="526" t="s">
        <v>4215</v>
      </c>
      <c r="B223" s="952" t="s">
        <v>4216</v>
      </c>
      <c r="C223" s="526" t="s">
        <v>4217</v>
      </c>
    </row>
    <row r="224" spans="1:3">
      <c r="A224" s="526" t="s">
        <v>4218</v>
      </c>
      <c r="B224" t="s">
        <v>4219</v>
      </c>
      <c r="C224" s="526" t="s">
        <v>4218</v>
      </c>
    </row>
    <row r="225" spans="1:3">
      <c r="A225" s="526" t="s">
        <v>4008</v>
      </c>
      <c r="B225" t="s">
        <v>4220</v>
      </c>
      <c r="C225" s="526" t="s">
        <v>4221</v>
      </c>
    </row>
    <row r="226" spans="1:3">
      <c r="A226" s="526" t="s">
        <v>4198</v>
      </c>
      <c r="B226" s="952" t="s">
        <v>4222</v>
      </c>
      <c r="C226" s="526" t="s">
        <v>4223</v>
      </c>
    </row>
    <row r="227" spans="1:3">
      <c r="A227" s="526" t="s">
        <v>2841</v>
      </c>
      <c r="B227" s="952" t="s">
        <v>4224</v>
      </c>
      <c r="C227" s="526" t="s">
        <v>4225</v>
      </c>
    </row>
    <row r="228" spans="1:3">
      <c r="A228" s="526" t="s">
        <v>4015</v>
      </c>
      <c r="B228" s="952" t="s">
        <v>4224</v>
      </c>
      <c r="C228" s="526" t="s">
        <v>4225</v>
      </c>
    </row>
    <row r="229" spans="1:3">
      <c r="A229" s="526" t="s">
        <v>4014</v>
      </c>
      <c r="B229" s="952" t="s">
        <v>4224</v>
      </c>
      <c r="C229" s="526" t="s">
        <v>4225</v>
      </c>
    </row>
    <row r="230" spans="1:3">
      <c r="A230" s="526" t="s">
        <v>4226</v>
      </c>
      <c r="B230" s="952" t="s">
        <v>4224</v>
      </c>
      <c r="C230" s="526" t="s">
        <v>4225</v>
      </c>
    </row>
    <row r="231" spans="1:3">
      <c r="A231" s="526" t="s">
        <v>4227</v>
      </c>
      <c r="B231" s="952" t="s">
        <v>4224</v>
      </c>
      <c r="C231" s="526" t="s">
        <v>4225</v>
      </c>
    </row>
    <row r="232" spans="1:3">
      <c r="A232" s="526" t="s">
        <v>4228</v>
      </c>
      <c r="B232" s="952" t="s">
        <v>4229</v>
      </c>
      <c r="C232" s="526" t="s">
        <v>4230</v>
      </c>
    </row>
    <row r="233" spans="1:3">
      <c r="A233" s="526" t="s">
        <v>4231</v>
      </c>
      <c r="B233" s="952" t="s">
        <v>4232</v>
      </c>
      <c r="C233" s="526" t="s">
        <v>4233</v>
      </c>
    </row>
    <row r="234" spans="1:3">
      <c r="A234" s="526" t="s">
        <v>4019</v>
      </c>
      <c r="B234" s="952" t="s">
        <v>4232</v>
      </c>
      <c r="C234" s="526" t="s">
        <v>4233</v>
      </c>
    </row>
    <row r="235" spans="1:3">
      <c r="A235" s="526" t="s">
        <v>4198</v>
      </c>
      <c r="B235" s="952" t="s">
        <v>4234</v>
      </c>
      <c r="C235" s="526" t="s">
        <v>4235</v>
      </c>
    </row>
    <row r="236" spans="1:3">
      <c r="A236" s="526" t="s">
        <v>4236</v>
      </c>
      <c r="B236" s="952" t="s">
        <v>4237</v>
      </c>
      <c r="C236" s="526" t="s">
        <v>4238</v>
      </c>
    </row>
    <row r="237" spans="1:3">
      <c r="A237" s="526" t="s">
        <v>4198</v>
      </c>
      <c r="B237" s="952" t="s">
        <v>4239</v>
      </c>
      <c r="C237" s="526" t="s">
        <v>4240</v>
      </c>
    </row>
    <row r="238" spans="1:3">
      <c r="A238" s="526" t="s">
        <v>4241</v>
      </c>
      <c r="B238" s="952" t="s">
        <v>4242</v>
      </c>
      <c r="C238" s="526" t="s">
        <v>4241</v>
      </c>
    </row>
    <row r="239" spans="1:3">
      <c r="A239" s="526" t="s">
        <v>4243</v>
      </c>
      <c r="B239" s="952" t="s">
        <v>4244</v>
      </c>
      <c r="C239" s="526" t="s">
        <v>4245</v>
      </c>
    </row>
    <row r="240" spans="1:3">
      <c r="A240" s="526" t="s">
        <v>4016</v>
      </c>
      <c r="B240" s="952" t="s">
        <v>4246</v>
      </c>
      <c r="C240" s="526" t="s">
        <v>4247</v>
      </c>
    </row>
    <row r="241" spans="1:5">
      <c r="A241" s="526" t="s">
        <v>4198</v>
      </c>
      <c r="B241" s="952" t="s">
        <v>4248</v>
      </c>
      <c r="C241" s="526" t="s">
        <v>4249</v>
      </c>
    </row>
    <row r="242" spans="1:5">
      <c r="A242" s="526" t="s">
        <v>4198</v>
      </c>
      <c r="B242" s="952" t="s">
        <v>4250</v>
      </c>
      <c r="C242" s="526" t="s">
        <v>4251</v>
      </c>
    </row>
    <row r="243" spans="1:5">
      <c r="A243" s="526" t="s">
        <v>4024</v>
      </c>
      <c r="B243" s="952" t="s">
        <v>4252</v>
      </c>
      <c r="C243" s="526" t="s">
        <v>4253</v>
      </c>
    </row>
    <row r="244" spans="1:5">
      <c r="A244" s="526" t="s">
        <v>4254</v>
      </c>
      <c r="B244" s="952" t="s">
        <v>4255</v>
      </c>
      <c r="C244" s="526" t="s">
        <v>4256</v>
      </c>
    </row>
    <row r="245" spans="1:5">
      <c r="A245" s="526" t="s">
        <v>4198</v>
      </c>
      <c r="B245" s="952" t="s">
        <v>4257</v>
      </c>
      <c r="C245" s="526" t="s">
        <v>4258</v>
      </c>
    </row>
    <row r="248" spans="1:5">
      <c r="A248" s="1" t="s">
        <v>4259</v>
      </c>
      <c r="B248" s="526"/>
      <c r="C248" s="526"/>
      <c r="D248" s="526"/>
      <c r="E248" s="526"/>
    </row>
    <row r="249" spans="1:5" ht="14">
      <c r="A249" t="s">
        <v>4260</v>
      </c>
      <c r="B249" s="937" t="s">
        <v>4261</v>
      </c>
      <c r="C249" s="6" t="s">
        <v>4262</v>
      </c>
    </row>
    <row r="250" spans="1:5">
      <c r="A250" s="8" t="s">
        <v>4263</v>
      </c>
      <c r="B250" s="8" t="s">
        <v>4264</v>
      </c>
      <c r="C250" s="8" t="s">
        <v>4265</v>
      </c>
    </row>
    <row r="251" spans="1:5">
      <c r="A251" s="953">
        <v>0</v>
      </c>
      <c r="B251" s="954">
        <v>347.63563037472028</v>
      </c>
      <c r="C251" s="953">
        <v>2</v>
      </c>
    </row>
    <row r="252" spans="1:5">
      <c r="A252" s="953">
        <v>2.1</v>
      </c>
      <c r="B252" s="954">
        <v>681.91181843044774</v>
      </c>
      <c r="C252" s="953">
        <v>3</v>
      </c>
    </row>
    <row r="253" spans="1:5">
      <c r="A253" s="953">
        <v>3.1</v>
      </c>
      <c r="B253" s="954">
        <v>1260.0087440508869</v>
      </c>
      <c r="C253" s="953">
        <v>4</v>
      </c>
    </row>
    <row r="254" spans="1:5">
      <c r="A254" s="953">
        <v>4.0999999999999996</v>
      </c>
      <c r="B254" s="954">
        <v>2835.0196741144964</v>
      </c>
      <c r="C254" s="953">
        <v>6</v>
      </c>
    </row>
    <row r="255" spans="1:5">
      <c r="A255" s="953">
        <v>6.1</v>
      </c>
      <c r="B255" s="954">
        <v>4990.7439767005962</v>
      </c>
      <c r="C255" s="953">
        <v>8</v>
      </c>
    </row>
    <row r="256" spans="1:5">
      <c r="A256" s="953">
        <v>8.1</v>
      </c>
      <c r="B256" s="954">
        <v>7813.4106239126322</v>
      </c>
      <c r="C256" s="953">
        <v>10</v>
      </c>
    </row>
    <row r="257" spans="1:5">
      <c r="A257" s="953">
        <v>10.1</v>
      </c>
      <c r="B257" s="954">
        <v>11192.326806056015</v>
      </c>
      <c r="C257" s="953">
        <v>12</v>
      </c>
    </row>
    <row r="258" spans="1:5">
      <c r="A258" s="953">
        <v>12.1</v>
      </c>
      <c r="B258" s="954">
        <v>15314.284822868764</v>
      </c>
      <c r="C258" s="953">
        <v>14</v>
      </c>
    </row>
    <row r="259" spans="1:5">
      <c r="A259" s="953">
        <v>14.1</v>
      </c>
      <c r="B259" s="954">
        <v>20002.331197216343</v>
      </c>
      <c r="C259" s="953">
        <v>16</v>
      </c>
    </row>
    <row r="260" spans="1:5">
      <c r="A260" s="953">
        <v>16.100000000000001</v>
      </c>
      <c r="B260" s="954">
        <v>25315.450421476933</v>
      </c>
      <c r="C260" s="953">
        <v>18</v>
      </c>
    </row>
    <row r="261" spans="1:5">
      <c r="A261" s="953">
        <v>18.100000000000001</v>
      </c>
      <c r="B261" s="954">
        <v>31130.717767160371</v>
      </c>
      <c r="C261" s="953">
        <v>20</v>
      </c>
    </row>
    <row r="262" spans="1:5">
      <c r="A262" s="953">
        <v>20.100000000000001</v>
      </c>
      <c r="B262" s="954">
        <v>45064.326572600447</v>
      </c>
      <c r="C262" s="953">
        <v>24</v>
      </c>
    </row>
    <row r="263" spans="1:5">
      <c r="A263" s="953">
        <v>24.1</v>
      </c>
      <c r="B263" s="954">
        <v>61050.596681665913</v>
      </c>
      <c r="C263" s="953">
        <v>28</v>
      </c>
    </row>
    <row r="264" spans="1:5">
      <c r="A264" s="953">
        <v>28.1</v>
      </c>
      <c r="B264" s="954">
        <v>70505.385478216151</v>
      </c>
      <c r="C264" s="953">
        <v>30</v>
      </c>
    </row>
    <row r="265" spans="1:5">
      <c r="A265" s="953">
        <v>30.1</v>
      </c>
      <c r="B265" s="954">
        <v>124768.59941751491</v>
      </c>
      <c r="C265" s="953">
        <v>40</v>
      </c>
    </row>
    <row r="266" spans="1:5">
      <c r="A266" s="953">
        <v>40.1</v>
      </c>
      <c r="B266" s="954">
        <v>137828.56340581886</v>
      </c>
      <c r="C266" s="953">
        <v>42</v>
      </c>
    </row>
    <row r="267" spans="1:5">
      <c r="A267" s="953">
        <v>42.1</v>
      </c>
      <c r="B267" s="954">
        <v>180257.30629040179</v>
      </c>
      <c r="C267" s="953">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2025-03-10T20:32:36Z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