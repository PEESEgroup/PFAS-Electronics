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AER/"/>
    </mc:Choice>
  </mc:AlternateContent>
  <xr:revisionPtr revIDLastSave="452" documentId="13_ncr:1_{229225C0-7D05-4D64-88D4-7336FA4C42BE}" xr6:coauthVersionLast="47" xr6:coauthVersionMax="47" xr10:uidLastSave="{B9170C0F-1BF9-3845-8F81-23A52568EB03}"/>
  <bookViews>
    <workbookView xWindow="0" yWindow="760" windowWidth="30240" windowHeight="17480" tabRatio="871" activeTab="5" xr2:uid="{00000000-000D-0000-FFFF-FFFF00000000}"/>
  </bookViews>
  <sheets>
    <sheet name="Title Page" sheetId="45" r:id="rId1"/>
    <sheet name="Index" sheetId="41" r:id="rId2"/>
    <sheet name="INPUT" sheetId="1" r:id="rId3"/>
    <sheet name="OUTPUT" sheetId="8" r:id="rId4"/>
    <sheet name="O&amp;M Assumptions" sheetId="23" r:id="rId5"/>
    <sheet name="Cost Data" sheetId="42" r:id="rId6"/>
    <sheet name="Backwash and Bed Life" sheetId="12" r:id="rId7"/>
    <sheet name="Residuals Management" sheetId="32" r:id="rId8"/>
    <sheet name="Critical Design Assumptions" sheetId="2" r:id="rId9"/>
    <sheet name="Indirect Assumptions" sheetId="28" r:id="rId10"/>
    <sheet name="Vessel Constraints" sheetId="3" r:id="rId11"/>
    <sheet name="pH Adjust" sheetId="31" r:id="rId12"/>
    <sheet name="Pumps Pipe Structure" sheetId="4" r:id="rId13"/>
    <sheet name="Instrumentation and Control" sheetId="25" r:id="rId14"/>
    <sheet name="O&amp;M" sheetId="11" r:id="rId15"/>
    <sheet name="HVAC" sheetId="35" r:id="rId16"/>
    <sheet name="Indirect" sheetId="29" r:id="rId17"/>
    <sheet name="PFAS Reference" sheetId="40" r:id="rId18"/>
    <sheet name="Standard Inputs" sheetId="10" r:id="rId19"/>
    <sheet name="AutoSize" sheetId="30" r:id="rId20"/>
    <sheet name="Cost Equations" sheetId="14" r:id="rId21"/>
    <sheet name="Cost Coefficients" sheetId="44" r:id="rId22"/>
    <sheet name="Engineering Data" sheetId="43" r:id="rId23"/>
    <sheet name="Lookup Tables" sheetId="36" r:id="rId24"/>
  </sheets>
  <functionGroups builtInGroupCount="19"/>
  <definedNames>
    <definedName name="_xlnm._FilterDatabase" localSheetId="1" hidden="1">Index!$A$4:$B$4</definedName>
    <definedName name="A_slope_lim">'pH Adjust'!$C$9</definedName>
    <definedName name="a1_K1">'Lookup Tables'!$C$9</definedName>
    <definedName name="a1_K2">'Lookup Tables'!$C$10</definedName>
    <definedName name="a1_Kw">'Lookup Tables'!$C$8</definedName>
    <definedName name="a2_K1">'Lookup Tables'!$D$9</definedName>
    <definedName name="a2_K2">'Lookup Tables'!$D$10</definedName>
    <definedName name="a2_Kw">'Lookup Tables'!$D$8</definedName>
    <definedName name="a3_K1">'Lookup Tables'!$E$9</definedName>
    <definedName name="a3_K2">'Lookup Tables'!$E$10</definedName>
    <definedName name="a3_Kw">'Lookup Tables'!$E$8</definedName>
    <definedName name="a4_K1">'Lookup Tables'!$F$9</definedName>
    <definedName name="a4_K2">'Lookup Tables'!$F$10</definedName>
    <definedName name="a4_Kw">'Lookup Tables'!$F$8</definedName>
    <definedName name="a5_K1">'Lookup Tables'!$G$9</definedName>
    <definedName name="a5_K2">'Lookup Tables'!$G$10</definedName>
    <definedName name="a5_Kw">'Lookup Tables'!$G$8</definedName>
    <definedName name="active_filters">'Vessel Constraints'!$C$70</definedName>
    <definedName name="add_2nd_building">'Critical Design Assumptions'!$C$163</definedName>
    <definedName name="add_backwash_freq">'Critical Design Assumptions'!$C$42</definedName>
    <definedName name="add_cond">'Critical Design Assumptions'!$C$124</definedName>
    <definedName name="add_ports">'Critical Design Assumptions'!$C$130</definedName>
    <definedName name="add_res_pipe_length">'Critical Design Assumptions'!$C$194</definedName>
    <definedName name="add_salt_store">'Backwash and Bed Life'!$C$60</definedName>
    <definedName name="add_turb">'Critical Design Assumptions'!$C$121</definedName>
    <definedName name="add_turb_small">'Critical Design Assumptions'!$C$122</definedName>
    <definedName name="addl_redund_cart_per_flow">'Critical Design Assumptions'!$C$84</definedName>
    <definedName name="addon_cost">OUTPUT!$C$351</definedName>
    <definedName name="af_units">INPUT!$G$28</definedName>
    <definedName name="air_changes_build1">HVAC!$C$12</definedName>
    <definedName name="air_changes_build2">HVAC!$C$13</definedName>
    <definedName name="air_changes_chem_storage">'O&amp;M Assumptions'!$C$47</definedName>
    <definedName name="air_changes_contactor">'O&amp;M Assumptions'!$C$45</definedName>
    <definedName name="air_changes_office">'O&amp;M Assumptions'!$C$48</definedName>
    <definedName name="air_changes_pump">'O&amp;M Assumptions'!$C$46</definedName>
    <definedName name="alarm_back">'Critical Design Assumptions'!$C$111</definedName>
    <definedName name="alarm_brine">'Critical Design Assumptions'!$C$112</definedName>
    <definedName name="alarm_caustic">'Critical Design Assumptions'!$C$113</definedName>
    <definedName name="alarm_cost_cl">'Cost Data'!$B$7:$F$7</definedName>
    <definedName name="alarm_res">'Critical Design Assumptions'!$C$199</definedName>
    <definedName name="alk_f">'pH Adjust'!$C$32</definedName>
    <definedName name="alk_I">'Critical Design Assumptions'!$C$62</definedName>
    <definedName name="alt_media_disp">'O&amp;M Assumptions'!$C$7</definedName>
    <definedName name="alt_media_disp_haz">'O&amp;M Assumptions'!$C$8</definedName>
    <definedName name="alt_media_disp_year">'O&amp;M Assumptions'!$C$6</definedName>
    <definedName name="analog_inputs">'Instrumentation and Control'!$C$66</definedName>
    <definedName name="analog_outputs">'Instrumentation and Control'!$C$67</definedName>
    <definedName name="Annualized_Capital_Cost">OUTPUT!$C$441</definedName>
    <definedName name="Annualized_Cost">OUTPUT!$C$443</definedName>
    <definedName name="architectural_table_cl">'Engineering Data'!$A$6:$C$12</definedName>
    <definedName name="average_flow">'Vessel Constraints'!$C$7</definedName>
    <definedName name="average_flow_I">INPUT!$F$28</definedName>
    <definedName name="average_flow_rate">'Vessel Constraints'!$C$9</definedName>
    <definedName name="AXOutput">OUTPUT!$A$1:$M$412</definedName>
    <definedName name="back_chv_pump">'Critical Design Assumptions'!$C$98</definedName>
    <definedName name="back_meter_size">'Instrumentation and Control'!$C$44</definedName>
    <definedName name="back_MOV_add">'Critical Design Assumptions'!$E$261</definedName>
    <definedName name="back_MOV_brine">'Critical Design Assumptions'!$E$260</definedName>
    <definedName name="back_MOV_eductor">'Critical Design Assumptions'!$E$262</definedName>
    <definedName name="back_MOV_pump">'Critical Design Assumptions'!$E$258</definedName>
    <definedName name="back_MOV_tank">'Critical Design Assumptions'!$E$259</definedName>
    <definedName name="back_MOV_vessel">'Critical Design Assumptions'!$E$257</definedName>
    <definedName name="back_pipe_diam">'Pumps Pipe Structure'!$C$31</definedName>
    <definedName name="back_pipe_length">'Pumps Pipe Structure'!$C$22</definedName>
    <definedName name="back_pipe_mult">'Critical Design Assumptions'!$C$91</definedName>
    <definedName name="back_pump_cost_cl">'Cost Data'!$B$12:$F$25</definedName>
    <definedName name="back_pump_energy">'O&amp;M'!$C$68</definedName>
    <definedName name="back_pump_hp">'O&amp;M'!$C$66</definedName>
    <definedName name="back_pump_mtl">'O&amp;M'!$C$9</definedName>
    <definedName name="back_pump_op_hours">'O&amp;M'!$C$67</definedName>
    <definedName name="back_pump_rating">'Pumps Pipe Structure'!$C$11</definedName>
    <definedName name="back_tank_fp">'Pumps Pipe Structure'!$C$64</definedName>
    <definedName name="back_tank_vol">'Backwash and Bed Life'!$C$28</definedName>
    <definedName name="back_tanks">'Backwash and Bed Life'!$C$27</definedName>
    <definedName name="back_valve_size">'Instrumentation and Control'!$C$11</definedName>
    <definedName name="backfill_cost_cl">'Cost Data'!$B$30:$F$30</definedName>
    <definedName name="backwash_pump_head">'O&amp;M Assumptions'!$C$38</definedName>
    <definedName name="backwash_pump_valid">'Lookup Tables'!$A$13:$A$15</definedName>
    <definedName name="backwash_pumps">'Pumps Pipe Structure'!$C$10</definedName>
    <definedName name="backwash_storage_valid">'Lookup Tables'!$A$17:$A$19</definedName>
    <definedName name="backwash_time">'Critical Design Assumptions'!$C$41</definedName>
    <definedName name="backwash_yr">'O&amp;M'!$C$31</definedName>
    <definedName name="bearing_area">Indirect!$C$53</definedName>
    <definedName name="bed_depth">INPUT!$F$44</definedName>
    <definedName name="bed_expansion">'Critical Design Assumptions'!$C$23</definedName>
    <definedName name="bedding_cost_cl">'Cost Data'!$B$35:$F$35</definedName>
    <definedName name="bedding_depth">'Indirect Assumptions'!$C$62</definedName>
    <definedName name="bedding_pct">'Indirect Assumptions'!$C$63</definedName>
    <definedName name="bedding_vol">Indirect!$C$67</definedName>
    <definedName name="bldg_hi_cost_cl">'Cost Data'!$B$1190:$F$1214</definedName>
    <definedName name="bldg_hi_eq_1">'Cost Equations'!$C$232</definedName>
    <definedName name="bldg_hi_eq_2">'Cost Equations'!$C$245</definedName>
    <definedName name="bldg_lo_cost_cl">'Cost Data'!$B$1219:$F$1243</definedName>
    <definedName name="bldg_lo_eq_1">'Cost Equations'!$C$230</definedName>
    <definedName name="bldg_lo_eq_2">'Cost Equations'!$C$243</definedName>
    <definedName name="bldg_maint_cost">'O&amp;M'!$C$57</definedName>
    <definedName name="bldg_mid_cost_cl">'Cost Data'!$B$1248:$F$1272</definedName>
    <definedName name="bldg_mid_eq_1">'Cost Equations'!$C$231</definedName>
    <definedName name="bldg_mid_eq_2">'Cost Equations'!$C$244</definedName>
    <definedName name="bldg_shed_cost_cl">'Cost Data'!$B$1277:$F$1278</definedName>
    <definedName name="block_vol">Indirect!$C$58</definedName>
    <definedName name="booster_pump_efficiency">'O&amp;M Assumptions'!$C$37</definedName>
    <definedName name="booster_pump_head">'O&amp;M Assumptions'!$C$35</definedName>
    <definedName name="booster_pump_maintenance">'O&amp;M Assumptions'!$C$11</definedName>
    <definedName name="booster_pumps">'Pumps Pipe Structure'!$C$7</definedName>
    <definedName name="bore_cost_cl">'Cost Data'!$B$40:$F$40</definedName>
    <definedName name="bore_depth">Indirect!$C$33</definedName>
    <definedName name="bore_depth_max">'Indirect Assumptions'!$C$47</definedName>
    <definedName name="bore_depth_min">'Indirect Assumptions'!$C$46</definedName>
    <definedName name="bore_depth_nobasin">'Indirect Assumptions'!$C$45</definedName>
    <definedName name="bore_draw_cost_cl">'Cost Data'!$B$45:$F$45</definedName>
    <definedName name="bore_mob_cost_cl">'Cost Data'!$B$50:$F$50</definedName>
    <definedName name="bore_need">'Indirect Assumptions'!$C$49</definedName>
    <definedName name="bore_report_cost_cl">'Cost Data'!$B$55:$F$55</definedName>
    <definedName name="bore_rig_cost_cl">'Cost Data'!$B$60:$F$60</definedName>
    <definedName name="bp_flow_rate">'Vessel Constraints'!$C$10</definedName>
    <definedName name="bp_pct">'Critical Design Assumptions'!$C$13</definedName>
    <definedName name="bp_pipe_diam">'Pumps Pipe Structure'!$C$33</definedName>
    <definedName name="bp_pipe_length">'Pumps Pipe Structure'!$C$23</definedName>
    <definedName name="bp_pipe_mult">'Critical Design Assumptions'!$C$90</definedName>
    <definedName name="br_ins_pct">'Indirect Assumptions'!$C$99</definedName>
    <definedName name="brine_conc">'Critical Design Assumptions'!$C$52</definedName>
    <definedName name="brine_conc_sat">'Critical Design Assumptions'!$C$51</definedName>
    <definedName name="brine_dilution_gpm">'Backwash and Bed Life'!$C$19</definedName>
    <definedName name="brine_dilution_vol">'Backwash and Bed Life'!$C$18</definedName>
    <definedName name="brine_load">'Critical Design Assumptions'!$C$53</definedName>
    <definedName name="brine_method">'Backwash and Bed Life'!$C$8</definedName>
    <definedName name="brine_method_I">INPUT!$F$60</definedName>
    <definedName name="brine_method_valid">'Lookup Tables'!$A$36:$A$37</definedName>
    <definedName name="brine_MOV_tank">'Critical Design Assumptions'!$E$263</definedName>
    <definedName name="brine_MOV_vessel">'Critical Design Assumptions'!$E$264</definedName>
    <definedName name="brine_pipe_diam">'Pumps Pipe Structure'!$C$32</definedName>
    <definedName name="brine_pipe_length">'Pumps Pipe Structure'!$C$24</definedName>
    <definedName name="brine_valve_size">'Instrumentation and Control'!$C$12</definedName>
    <definedName name="bt_diam">'Pumps Pipe Structure'!$C$42</definedName>
    <definedName name="build_UL">OUTPUT!$Y$340</definedName>
    <definedName name="build1_cfm">HVAC!$C$18</definedName>
    <definedName name="build1_cool">HVAC!$C$121</definedName>
    <definedName name="build1_cool_options">HVAC!$A$99:$L$100</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Structure'!$C$82</definedName>
    <definedName name="build1_heat">HVAC!$C$120</definedName>
    <definedName name="build1_heat_loss_yr">HVAC!$C$31</definedName>
    <definedName name="build1_heat_mbh">HVAC!$C$32</definedName>
    <definedName name="build1_heat_options">HVAC!$A$80:$L$85</definedName>
    <definedName name="build1_heat_zones">HVAC!$C$33</definedName>
    <definedName name="build1_need_cool">HVAC!$C$23</definedName>
    <definedName name="build1_need_heat">HVAC!$C$22</definedName>
    <definedName name="build1_row">HVAC!$C$119</definedName>
    <definedName name="build1_side">HVAC!$C$7</definedName>
    <definedName name="build1_zones">HVAC!$C$72</definedName>
    <definedName name="build2_cfm">HVAC!$C$19</definedName>
    <definedName name="build2_cool">HVAC!$C$135</definedName>
    <definedName name="build2_cool_options">HVAC!$A$104:$L$105</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Structure'!$C$83</definedName>
    <definedName name="build2_heat">HVAC!$C$134</definedName>
    <definedName name="build2_heat_loss_yr">HVAC!$C$38</definedName>
    <definedName name="build2_heat_mbh">HVAC!$C$39</definedName>
    <definedName name="build2_heat_options">HVAC!$A$89:$L$94</definedName>
    <definedName name="build2_heat_zones">HVAC!$C$40</definedName>
    <definedName name="build2_need_cool">HVAC!$C$25</definedName>
    <definedName name="build2_need_heat">HVAC!$C$24</definedName>
    <definedName name="build2_row">HVAC!$C$133</definedName>
    <definedName name="build2_side">HVAC!$C$8</definedName>
    <definedName name="build2_zones">HVAC!$C$73</definedName>
    <definedName name="building_cost">OUTPUT!$C$343</definedName>
    <definedName name="Building_height">HVAC!$C$6</definedName>
    <definedName name="building_matl_rate_cl">'Cost Data'!$D$1371</definedName>
    <definedName name="buried_res_pipe_length">'Residuals Management'!$C$144</definedName>
    <definedName name="BV_definition">'Critical Design Assumptions'!$C$9</definedName>
    <definedName name="BV_regen">INPUT!$F$35</definedName>
    <definedName name="BV_regen_calculated">'Backwash and Bed Life'!$C$13</definedName>
    <definedName name="BV_units">INPUT!$G$35</definedName>
    <definedName name="bypass_valve_size">'Instrumentation and Control'!$C$14</definedName>
    <definedName name="C_T_i">'pH Adjust'!$C$26</definedName>
    <definedName name="cart_cost_cl">'Cost Data'!$B$65:$F$74</definedName>
    <definedName name="cart_dim_table_cl">'Engineering Data'!$A$17:$G$23</definedName>
    <definedName name="cart_disp_freq">'Residuals Management'!$C$43</definedName>
    <definedName name="cart_disp_wt">'Residuals Management'!$C$44</definedName>
    <definedName name="cart_disposal_fee">'Residuals Management'!$C$232</definedName>
    <definedName name="cart_eq">'Cost Equations'!$C$13</definedName>
    <definedName name="cart_filter_discount_table">'Lookup Tables'!$B$75:$C$79</definedName>
    <definedName name="cart_fp">'Pumps Pipe Structure'!$C$79</definedName>
    <definedName name="cart_labor">'O&amp;M'!$C$20</definedName>
    <definedName name="cart_life">'O&amp;M Assumptions'!$C$12</definedName>
    <definedName name="cart_per_flow">'Vessel Constraints'!$C$69</definedName>
    <definedName name="cart_replace_cost_ro_cl">'Cost Data'!$B$79:$F$86</definedName>
    <definedName name="cart_replace_eq_ro">'Cost Equations'!$C$257</definedName>
    <definedName name="cart_wt_table">'Lookup Tables'!$B$83:$D$89</definedName>
    <definedName name="caustic_chv_pump">'Critical Design Assumptions'!$C$99</definedName>
    <definedName name="caustic_conc_lb">'pH Adjust'!$C$37</definedName>
    <definedName name="caustic_MOV_pump">'Critical Design Assumptions'!$E$265</definedName>
    <definedName name="caustic_pipe_diam">'Pumps Pipe Structure'!$C$35</definedName>
    <definedName name="caustic_pipe_flow">'Pumps Pipe Structure'!$C$34</definedName>
    <definedName name="caustic_pipe_length">'Pumps Pipe Structure'!$C$25</definedName>
    <definedName name="caustic_valve_size">'Instrumentation and Control'!$C$13</definedName>
    <definedName name="ceiling_clearance">'Critical Design Assumptions'!$C$162</definedName>
    <definedName name="chem_break_table_cl">'Engineering Data'!$A$28:$B$72</definedName>
    <definedName name="chem_cost_cl">'Cost Data'!$B$91:$F$150</definedName>
    <definedName name="chem_pipe_mult">'Critical Design Assumptions'!$C$92</definedName>
    <definedName name="ci_bfv_cost_cl">'Cost Data'!$B$155:$F$169</definedName>
    <definedName name="ci_bfv_eq">'Cost Equations'!$C$123</definedName>
    <definedName name="ci_bfv_eq_proc">'Cost Equations'!$C$126</definedName>
    <definedName name="ci_chv_cost_cl">'Cost Data'!$B$174:$F$182</definedName>
    <definedName name="ci_chv_eq">'Cost Equations'!$C$147</definedName>
    <definedName name="ci_chv_eq_bp">'Cost Equations'!$C$153</definedName>
    <definedName name="ci_chv_eq_in">'Cost Equations'!$C$150</definedName>
    <definedName name="ci_chv_eq_polymer">'Cost Equations'!$C$164</definedName>
    <definedName name="ci_chv_eq_res">'Cost Equations'!$C$160</definedName>
    <definedName name="ci_man_eq_back">'Cost Equations'!$C$129</definedName>
    <definedName name="ci_man_eq_bp">'Cost Equations'!$C$134</definedName>
    <definedName name="ci_man_eq_polymer">'Cost Equations'!$C$143</definedName>
    <definedName name="ci_man_eq_res">'Cost Equations'!$C$139</definedName>
    <definedName name="ci_mov_cost_cl">'Cost Data'!$B$187:$F$200</definedName>
    <definedName name="ci_mov_eq_back">'Cost Equations'!$C$105</definedName>
    <definedName name="ci_mov_eq_bp">'Cost Equations'!$C$110</definedName>
    <definedName name="ci_mov_eq_polymer">'Cost Equations'!$C$119</definedName>
    <definedName name="ci_mov_eq_res">'Cost Equations'!$C$115</definedName>
    <definedName name="ci_mov_eq_tank">'Cost Equations'!$C$102</definedName>
    <definedName name="cimp_mix_eq">'Cost Equations'!$C$38</definedName>
    <definedName name="cimp_mix_eq_coag">'Cost Equations'!$C$193</definedName>
    <definedName name="cimp_mix_eq_polymer">'Cost Equations'!$C$197</definedName>
    <definedName name="City_Index">OUTPUT!$C$375</definedName>
    <definedName name="Clerical_LOE">'O&amp;M'!$C$49</definedName>
    <definedName name="Clerical_percent">'O&amp;M Assumptions'!$C$17</definedName>
    <definedName name="cm_cost">Indirect!$C$93</definedName>
    <definedName name="cm_pump_rating_coag">'Residuals Management'!$C$87</definedName>
    <definedName name="cm_pump_rating_polymer">'Residuals Management'!$C$111</definedName>
    <definedName name="cm_pumps_coag">'Residuals Management'!$C$86</definedName>
    <definedName name="cm_pumps_polymer">'Residuals Management'!$C$110</definedName>
    <definedName name="cmix_hp_max">'pH Adjust'!$C$60</definedName>
    <definedName name="cmix_hp_per">'Critical Design Assumptions'!$C$68</definedName>
    <definedName name="cmix_per_tank">'pH Adjust'!$C$61</definedName>
    <definedName name="cmix_size">'pH Adjust'!$C$63</definedName>
    <definedName name="cmixers">'pH Adjust'!$C$62</definedName>
    <definedName name="cmount_mix_eq">'Cost Equations'!$C$37</definedName>
    <definedName name="cmount_mix_eq_coag">'Cost Equations'!$C$192</definedName>
    <definedName name="cmount_mix_eq_polymer">'Cost Equations'!$C$196</definedName>
    <definedName name="coag_chv_pump">'Critical Design Assumptions'!$C$101</definedName>
    <definedName name="coag_cmix_per_tank">'Residuals Management'!$C$82</definedName>
    <definedName name="coag_cmix_size">'Residuals Management'!$C$84</definedName>
    <definedName name="coag_cmixers">'Residuals Management'!$C$83</definedName>
    <definedName name="coag_coating_gal">'Residuals Management'!$C$98</definedName>
    <definedName name="coag_cont_fp">'Residuals Management'!$C$92</definedName>
    <definedName name="coag_cont_volume">'Residuals Management'!$C$91</definedName>
    <definedName name="coag_curb_concrete">'Residuals Management'!$C$97</definedName>
    <definedName name="coag_curb_height">'Residuals Management'!$C$93</definedName>
    <definedName name="coag_curb_len_long">'Residuals Management'!$C$95</definedName>
    <definedName name="coag_curb_len_short">'Residuals Management'!$C$96</definedName>
    <definedName name="coag_curb_thick">'Residuals Management'!$C$94</definedName>
    <definedName name="coag_day_gal">'Residuals Management'!$C$77</definedName>
    <definedName name="coag_day_lbs">'Residuals Management'!$C$76</definedName>
    <definedName name="coag_density">'Critical Design Assumptions'!$C$173</definedName>
    <definedName name="coag_dose">'Critical Design Assumptions'!$C$172</definedName>
    <definedName name="coag_fp">'Pumps Pipe Structure'!$C$75</definedName>
    <definedName name="coag_pct">'Critical Design Assumptions'!$C$174</definedName>
    <definedName name="coag_pipe_diam">'Pumps Pipe Structure'!$C$37</definedName>
    <definedName name="coag_pipe_flow">'Pumps Pipe Structure'!$C$36</definedName>
    <definedName name="coag_pipe_length">'Pumps Pipe Structure'!$C$26</definedName>
    <definedName name="coag_rate">'Residuals Management'!$C$85</definedName>
    <definedName name="coag_res">'Critical Design Assumptions'!$C$166</definedName>
    <definedName name="coag_spf">'Critical Design Assumptions'!$C$175</definedName>
    <definedName name="coag_st_diam">'Pumps Pipe Structure'!$C$47</definedName>
    <definedName name="coag_storage_gal">'Residuals Management'!$C$79</definedName>
    <definedName name="coag_storage_lbs">'Residuals Management'!$C$78</definedName>
    <definedName name="coag_storage_lbs_bulk">'Residuals Management'!$C$88</definedName>
    <definedName name="coag_tank_vol">'Residuals Management'!$C$81</definedName>
    <definedName name="coag_tanks">'Residuals Management'!$C$80</definedName>
    <definedName name="coag_TSSrem">'Critical Design Assumptions'!$C$178</definedName>
    <definedName name="coag_type">'Critical Design Assumptions'!$C$167</definedName>
    <definedName name="coag_valve_size">'Instrumentation and Control'!$C$15</definedName>
    <definedName name="coag_yr">'Residuals Management'!$C$175</definedName>
    <definedName name="Coeff_Kp">'Indirect Assumptions'!$C$60</definedName>
    <definedName name="comm_diam">INPUT!$F$47</definedName>
    <definedName name="comm_height_length">INPUT!$F$46</definedName>
    <definedName name="comm_load_rate">'Vessel Constraints'!$C$40</definedName>
    <definedName name="comm_SA">'Vessel Constraints'!$C$39</definedName>
    <definedName name="comm_vol">'Vessel Constraints'!$C$48</definedName>
    <definedName name="comm_vol_gal">'Vessel Constraints'!$C$49</definedName>
    <definedName name="comp_bed_depth">AutoSize!$C$65</definedName>
    <definedName name="comp_horiz_bed_depth">AutoSize!$E$62</definedName>
    <definedName name="comp_horiz_diam">AutoSize!$E$59</definedName>
    <definedName name="comp_horiz_expanded_bd">AutoSize!$C$58</definedName>
    <definedName name="comp_horiz_length">AutoSize!$E$60</definedName>
    <definedName name="comp_horiz_max_media">AutoSize!$C$34</definedName>
    <definedName name="comp_horiz_min_number">AutoSize!$C$39</definedName>
    <definedName name="comp_horiz_void_area">AutoSize!$C$57</definedName>
    <definedName name="comp_horiz_void_required">AutoSize!$C$33</definedName>
    <definedName name="comp_in_nlines">AutoSize!$C$43</definedName>
    <definedName name="comp_level_valid">'Lookup Tables'!$A$21:$A$24</definedName>
    <definedName name="comp_max_horiz_bed_depth">AutoSize!$C$116</definedName>
    <definedName name="comp_max_horiz_diam">AutoSize!$C$100</definedName>
    <definedName name="comp_max_horiz_length">AutoSize!$C$108</definedName>
    <definedName name="comp_max_horiz_sa">AutoSize!$C$27</definedName>
    <definedName name="comp_max_sa_vessel">AutoSize!$C$70</definedName>
    <definedName name="comp_max_vert_bed_depth">AutoSize!$C$94</definedName>
    <definedName name="comp_max_vert_diam">AutoSize!$C$86</definedName>
    <definedName name="comp_max_vert_height">AutoSize!$C$76</definedName>
    <definedName name="comp_max_vol">AutoSize!$C$24</definedName>
    <definedName name="comp_max_vol_length">AutoSize!$C$26</definedName>
    <definedName name="comp_min_horiz_bed_depth">AutoSize!$C$113</definedName>
    <definedName name="comp_min_horiz_diam">AutoSize!$C$97</definedName>
    <definedName name="comp_min_horiz_length">AutoSize!$C$105</definedName>
    <definedName name="comp_min_sa_vessel">AutoSize!$C$69</definedName>
    <definedName name="comp_min_vert_bed_depth">AutoSize!$C$91</definedName>
    <definedName name="comp_min_vert_diam">AutoSize!$C$82</definedName>
    <definedName name="comp_min_vert_height">AutoSize!$C$73</definedName>
    <definedName name="comp_nlines_extra_search">AutoSize!$C$42</definedName>
    <definedName name="comp_out_success">AutoSize!$C$119</definedName>
    <definedName name="comp_pv_max_sizes">'Cost Equations'!$P$6:$P$9</definedName>
    <definedName name="comp_round_sa">AutoSize!$C$7</definedName>
    <definedName name="comp_sa_max">AutoSize!$C$9</definedName>
    <definedName name="comp_sa_min">AutoSize!$C$8</definedName>
    <definedName name="comp_sa_required_horiz">AutoSize!$C$29</definedName>
    <definedName name="comp_sa_required_vert">AutoSize!$C$16</definedName>
    <definedName name="comp_tank_geom">AutoSize!$C$47</definedName>
    <definedName name="comp_target_bed_depth_horiz">AutoSize!$C$28</definedName>
    <definedName name="comp_target_bed_depth_vert">AutoSize!$C$15</definedName>
    <definedName name="comp_vert_bed_depth">AutoSize!$E$53</definedName>
    <definedName name="comp_vert_diam">AutoSize!$E$50</definedName>
    <definedName name="comp_vert_height">AutoSize!$E$54</definedName>
    <definedName name="comp_vert_max_media">AutoSize!$C$13</definedName>
    <definedName name="comp_vert_max_sa">AutoSize!$C$14</definedName>
    <definedName name="comp_vert_min_number">AutoSize!$C$21</definedName>
    <definedName name="comp_vol_required">AutoSize!$C$10</definedName>
    <definedName name="comp_vol_required_stg1">AutoSize!$C$6</definedName>
    <definedName name="complexity">'Indirect Assumptions'!$C$78</definedName>
    <definedName name="component_level">'Instrumentation and Control'!$C$5</definedName>
    <definedName name="component_level_I">INPUT!$F$76</definedName>
    <definedName name="conc_basin_cost_cl">'Cost Data'!$B$205:$F$205</definedName>
    <definedName name="conc_coating_cost_cl">'Cost Data'!$B$210:$F$210</definedName>
    <definedName name="conc_pad_cost_cl">'Cost Data'!$B$215:$F$215</definedName>
    <definedName name="conc_thick">'Critical Design Assumptions'!$C$185</definedName>
    <definedName name="concrete">'Pumps Pipe Structure'!$C$85</definedName>
    <definedName name="cond_tank">'Critical Design Assumptions'!$C$123</definedName>
    <definedName name="conduct_meter_cost_cl">'Cost Data'!$B$220:$F$220</definedName>
    <definedName name="construction_mgt_table_cl">'Engineering Data'!$A$77:$C$82</definedName>
    <definedName name="contact_mat_per_vessel">'Vessel Constraints'!$C$34</definedName>
    <definedName name="contact_material">'Vessel Constraints'!$C$33</definedName>
    <definedName name="contam_list">'Lookup Tables'!$B$65:$B$71</definedName>
    <definedName name="contam_lookup">'Lookup Tables'!$A$65:$B$71</definedName>
    <definedName name="contam_type">'Vessel Constraints'!$C$11</definedName>
    <definedName name="contingency_table_cl">'Engineering Data'!$A$87:$C$92</definedName>
    <definedName name="cool_DD">'O&amp;M Assumptions'!$C$60</definedName>
    <definedName name="cool_viload">'O&amp;M Assumptions'!$C$62</definedName>
    <definedName name="cooling">'O&amp;M'!$C$85</definedName>
    <definedName name="cooling_hp">'O&amp;M'!$C$86</definedName>
    <definedName name="cooling_matl_rate_cl">'Cost Data'!$D$1374</definedName>
    <definedName name="cooling_table">'Indirect Assumptions'!$A$120:$E$122</definedName>
    <definedName name="cooling_table_shed">'Indirect Assumptions'!$A$124:$E$126</definedName>
    <definedName name="COP">'O&amp;M Assumptions'!$C$64</definedName>
    <definedName name="cost_buildup_error">OUTPUT!$C$471</definedName>
    <definedName name="cpvc_pipe_cost_cl">'Cost Data'!$B$225:$F$240</definedName>
    <definedName name="cpvc_pipe_eq_back">'Cost Equations'!$C$56</definedName>
    <definedName name="cpvc_pipe_eq_bp">'Cost Equations'!$C$71</definedName>
    <definedName name="cpvc_pipe_eq_brine">'Cost Equations'!$C$61</definedName>
    <definedName name="cpvc_pipe_eq_caustic">'Cost Equations'!$C$82</definedName>
    <definedName name="cpvc_pipe_eq_coag">'Cost Equations'!$C$91</definedName>
    <definedName name="cpvc_pipe_eq_in_out">'Cost Equations'!$C$77</definedName>
    <definedName name="cpvc_pipe_eq_polymer">'Cost Equations'!$C$94</definedName>
    <definedName name="cpvc_pipe_eq_proc">'Cost Equations'!$C$66</definedName>
    <definedName name="cpvc_pipe_eq_res">'Cost Equations'!$C$86</definedName>
    <definedName name="cs_pv_cost_cl">'Cost Data'!$B$245:$F$250</definedName>
    <definedName name="cs_pv_eq">'Cost Equations'!$C$7</definedName>
    <definedName name="csp_pv_cost_cl">'Cost Data'!$B$255:$F$260</definedName>
    <definedName name="csp_pv_eq">'Cost Equations'!$C$8</definedName>
    <definedName name="cst_heat_cost_cl">'Cost Data'!$B$265:$F$304</definedName>
    <definedName name="cst_insul_cost_cl">'Cost Data'!$B$309:$F$348</definedName>
    <definedName name="cstore_days">'Critical Design Assumptions'!$C$70</definedName>
    <definedName name="ct_coating_gal">'pH Adjust'!$C$76</definedName>
    <definedName name="ct_cont_fp">'pH Adjust'!$C$70</definedName>
    <definedName name="ct_cont_volume">'pH Adjust'!$C$69</definedName>
    <definedName name="ct_curb_concrete">'pH Adjust'!$C$75</definedName>
    <definedName name="ct_curb_height">'pH Adjust'!$C$71</definedName>
    <definedName name="ct_curb_len_long">'pH Adjust'!$C$73</definedName>
    <definedName name="ct_curb_len_short">'pH Adjust'!$C$74</definedName>
    <definedName name="ct_curb_thick">'pH Adjust'!$C$72</definedName>
    <definedName name="ct_heat_eq">'Cost Equations'!$C$27</definedName>
    <definedName name="ct_insul_eq">'Cost Equations'!$C$28</definedName>
    <definedName name="cul_indir_add_table">OUTPUT!$B$464:$C$464,OUTPUT!$B$459:$C$459,OUTPUT!$B$452:$C$456,OUTPUT!$B$449:$C$450,OUTPUT!$B$348:$C$350,OUTPUT!$B$458:$C$458</definedName>
    <definedName name="cul_indir_mult_table">OUTPUT!$B$451:$C$451,OUTPUT!$B$460:$C$463,OUTPUT!$B$457:$C$457</definedName>
    <definedName name="cul_om_table">OUTPUT!$B$387:$H$429</definedName>
    <definedName name="current_year_cl">'Cost Data'!$C$352</definedName>
    <definedName name="curve">'Critical Design Assumptions'!$C$5</definedName>
    <definedName name="D_dielectric">'pH Adjust'!$C$7</definedName>
    <definedName name="day_heat_eq">'Cost Equations'!$C$33</definedName>
    <definedName name="day_insul_eq">'Cost Equations'!$C$34</definedName>
    <definedName name="day_tank_needed">'Critical Design Assumptions'!$C$66</definedName>
    <definedName name="deep_bore_need">'Indirect Assumptions'!$C$48</definedName>
    <definedName name="des_NaOH_flow">'pH Adjust'!$C$42</definedName>
    <definedName name="design_flow">'Vessel Constraints'!$C$6</definedName>
    <definedName name="design_flow_I">INPUT!$F$27</definedName>
    <definedName name="design_flow_rate">'Vessel Constraints'!$C$8</definedName>
    <definedName name="df_units">INPUT!$G$27</definedName>
    <definedName name="di_pipe_cost_cl">'Cost Data'!$B$357:$F$371</definedName>
    <definedName name="di_pipe_eq_in_out">'Cost Equations'!$C$76</definedName>
    <definedName name="di_pipe_eq_proc">'Cost Equations'!$C$65</definedName>
    <definedName name="diameter">'Vessel Constraints'!$C$54</definedName>
    <definedName name="diesel_cost_cl">'Cost Data'!$D$1377</definedName>
    <definedName name="diesel_eff">'O&amp;M Assumptions'!$C$68</definedName>
    <definedName name="diesel_heat_content">'O&amp;M Assumptions'!$C$72</definedName>
    <definedName name="diesel_non_eff">'O&amp;M Assumptions'!$C$67</definedName>
    <definedName name="dike_volume">'Residuals Management'!$C$138</definedName>
    <definedName name="dike_xsection">'Critical Design Assumptions'!$C$227</definedName>
    <definedName name="dimp_mix_eq">'Cost Equations'!$C$42</definedName>
    <definedName name="direct_cost">OUTPUT!$C$344</definedName>
    <definedName name="direct_for_UL">OUTPUT!$W$340</definedName>
    <definedName name="discharge_valid">'Lookup Tables'!$A$39:$A$42</definedName>
    <definedName name="Discount_rate">OUTPUT!$C$434</definedName>
    <definedName name="discrete_inputs">'Instrumentation and Control'!$C$64</definedName>
    <definedName name="discrete_outputs">'Instrumentation and Control'!$C$65</definedName>
    <definedName name="disp_freq">'Residuals Management'!$C$38</definedName>
    <definedName name="disposal_fee">'Residuals Management'!$C$217</definedName>
    <definedName name="disposal_miles">'Residuals Management'!$C$214</definedName>
    <definedName name="disposal_shipments">'Residuals Management'!$C$211</definedName>
    <definedName name="distance_above">'Vessel Constraints'!$C$24</definedName>
    <definedName name="dmix_per_tank">'pH Adjust'!$C$64</definedName>
    <definedName name="dmix_size">'pH Adjust'!$C$66</definedName>
    <definedName name="dmixers">'pH Adjust'!$C$65</definedName>
    <definedName name="dmount_mix_eq">'Cost Equations'!$C$41</definedName>
    <definedName name="dredging_freq">'Critical Design Assumptions'!$C$225</definedName>
    <definedName name="dt_coating_gal">'pH Adjust'!$C$86</definedName>
    <definedName name="dt_cont_fp">'pH Adjust'!$C$80</definedName>
    <definedName name="dt_cont_volume">'pH Adjust'!$C$79</definedName>
    <definedName name="dt_curb_concrete">'pH Adjust'!$C$85</definedName>
    <definedName name="dt_curb_height">'pH Adjust'!$C$81</definedName>
    <definedName name="dt_curb_len_long">'pH Adjust'!$C$83</definedName>
    <definedName name="dt_curb_len_short">'pH Adjust'!$C$84</definedName>
    <definedName name="dt_curb_thick">'pH Adjust'!$C$82</definedName>
    <definedName name="EBCT">'Vessel Constraints'!$C$12</definedName>
    <definedName name="EBCT_I">INPUT!$F$41</definedName>
    <definedName name="EBCT_tank">'Vessel Constraints'!$C$22</definedName>
    <definedName name="eductor_eq">'Cost Equations'!$C$199</definedName>
    <definedName name="eductor_size_table_cl">'Engineering Data'!$A$97:$B$103</definedName>
    <definedName name="eductors">'Backwash and Bed Life'!$C$66</definedName>
    <definedName name="EER">'O&amp;M Assumptions'!$C$69</definedName>
    <definedName name="effluent_TSS">'Critical Design Assumptions'!$C$201</definedName>
    <definedName name="elec_encl">'Critical Design Assumptions'!$C$131</definedName>
    <definedName name="elec_encl_cost_cl">'Cost Data'!$B$376:$F$376</definedName>
    <definedName name="elect_pct">'Indirect Assumptions'!$C$69</definedName>
    <definedName name="eloss_bw_pumps">HVAC!$C$45</definedName>
    <definedName name="eloss_pumps">HVAC!$C$43</definedName>
    <definedName name="energy_cost_cl">'Cost Data'!$D$1380</definedName>
    <definedName name="eng_pct_large">'Indirect Assumptions'!$C$83</definedName>
    <definedName name="eng_pct_medium">'Indirect Assumptions'!$C$82</definedName>
    <definedName name="eng_pct_small">'Indirect Assumptions'!$C$81</definedName>
    <definedName name="ep_backfill_vol">'Residuals Management'!$C$137</definedName>
    <definedName name="ep_cell_side">'Residuals Management'!$C$135</definedName>
    <definedName name="ep_cells">'Residuals Management'!$C$134</definedName>
    <definedName name="ep_depth">'Residuals Management'!$C$133</definedName>
    <definedName name="ep_dike_construct_cl">'Cost Data'!$D$380</definedName>
    <definedName name="ep_excavation_vol">'Residuals Management'!$C$136</definedName>
    <definedName name="ep_fp">'Pumps Pipe Structure'!$C$87</definedName>
    <definedName name="ep_freeboard">'Critical Design Assumptions'!$C$223</definedName>
    <definedName name="ep_liner_cost_cl">'Cost Data'!$B$385:$F$385</definedName>
    <definedName name="ep_overexcavate">'Critical Design Assumptions'!$C$224</definedName>
    <definedName name="ep_safety_factor">'Critical Design Assumptions'!$C$220</definedName>
    <definedName name="ep_solids">'Residuals Management'!$C$29</definedName>
    <definedName name="ep_solids_density">'Critical Design Assumptions'!$C$226</definedName>
    <definedName name="ep_solids_depth">'Residuals Management'!$C$131</definedName>
    <definedName name="ep_total_sa">'Residuals Management'!$C$130</definedName>
    <definedName name="ep_water_depth">'Residuals Management'!$C$132</definedName>
    <definedName name="eq_table_cl">'Cost Coefficients'!$A$6:$Q$65</definedName>
    <definedName name="esc_factor_table">'Lookup Tables'!$A$93:$B$119</definedName>
    <definedName name="evap_ratio">'Critical Design Assumptions'!$C$217</definedName>
    <definedName name="ex_TSS_total">'Residuals Management'!$C$192</definedName>
    <definedName name="excavate_cost_cl">'Cost Data'!$B$390:$F$390</definedName>
    <definedName name="facil_length">'Pumps Pipe Structure'!$C$86</definedName>
    <definedName name="fan_days_build1_large">'O&amp;M Assumptions'!$C$54</definedName>
    <definedName name="fan_days_build1_medium">'O&amp;M Assumptions'!$C$52</definedName>
    <definedName name="fan_days_build1_small">'O&amp;M Assumptions'!$C$50</definedName>
    <definedName name="fan_days_build2_large">'O&amp;M Assumptions'!$C$55</definedName>
    <definedName name="fan_days_build2_medium">'O&amp;M Assumptions'!$C$53</definedName>
    <definedName name="fan_days_build2_small">'O&amp;M Assumptions'!$C$51</definedName>
    <definedName name="fan_pressure_drop">'O&amp;M Assumptions'!$C$49</definedName>
    <definedName name="FeCl3_purchase">'Residuals Management'!$C$182</definedName>
    <definedName name="fg_bwt_cost_cl">'Cost Data'!$B$395:$F$426</definedName>
    <definedName name="fg_bwt_eq">'Cost Equations'!$C$17</definedName>
    <definedName name="fg_coag_st_eq">'Cost Equations'!$C$49</definedName>
    <definedName name="fg_cst_cost_cl">'Cost Data'!$B$431:$F$460</definedName>
    <definedName name="fg_cst_eq">'Cost Equations'!$C$21</definedName>
    <definedName name="fg_ct_eq">'Cost Equations'!$C$25</definedName>
    <definedName name="fg_day_eq">'Cost Equations'!$C$31</definedName>
    <definedName name="fg_ht_eq">'Cost Equations'!$C$45</definedName>
    <definedName name="fg_polymer_st_eq">'Cost Equations'!$C$52</definedName>
    <definedName name="fg_pv_cost_cl">'Cost Data'!$B$465:$F$470</definedName>
    <definedName name="fg_pv_eq">'Cost Equations'!$C$9</definedName>
    <definedName name="fg_saltbox_cost_cl">'Cost Data'!$B$475:$F$481</definedName>
    <definedName name="fg_saltbox_eq">'Cost Equations'!$C$205</definedName>
    <definedName name="filter_elements">'Vessel Constraints'!$C$76</definedName>
    <definedName name="filter_len">'Vessel Constraints'!$C$74</definedName>
    <definedName name="filter_size">'Vessel Constraints'!$C$73</definedName>
    <definedName name="filter_wid">'Vessel Constraints'!$C$75</definedName>
    <definedName name="final_num_tanks">'Vessel Constraints'!$C$30</definedName>
    <definedName name="finance_pct">'Indirect Assumptions'!$C$95</definedName>
    <definedName name="finance_pct_small">'Indirect Assumptions'!$C$96</definedName>
    <definedName name="fire_buffer">'Critical Design Assumptions'!$C$156</definedName>
    <definedName name="flow_per_vessel">'Vessel Constraints'!$C$26</definedName>
    <definedName name="fm_back">'Critical Design Assumptions'!$C$108</definedName>
    <definedName name="fm_lkp_back">'Instrumentation and Control'!$C$62</definedName>
    <definedName name="fm_lkp_io">'Instrumentation and Control'!$C$60</definedName>
    <definedName name="fm_lkp_proc">'Instrumentation and Control'!$C$61</definedName>
    <definedName name="fm_lkp_res">'Instrumentation and Control'!$C$63</definedName>
    <definedName name="fm_proc">'Critical Design Assumptions'!$C$107</definedName>
    <definedName name="fp_required">'Pumps Pipe Structure'!$C$81</definedName>
    <definedName name="free_board">'Critical Design Assumptions'!$C$19</definedName>
    <definedName name="freeboard_horiz_void">'Vessel Constraints'!$C$59</definedName>
    <definedName name="frost">'Indirect Assumptions'!$C$57</definedName>
    <definedName name="gac_slurry_cost_cl">'Cost Data'!$B$486:$F$498</definedName>
    <definedName name="gal_NaOH_day">'pH Adjust'!$C$40</definedName>
    <definedName name="gal_NaOH_store">'pH Adjust'!$C$41</definedName>
    <definedName name="gamma_1">'pH Adjust'!$C$12</definedName>
    <definedName name="gamma_2">'pH Adjust'!$C$13</definedName>
    <definedName name="gas_cost_cl">'Cost Data'!$D$1383</definedName>
    <definedName name="gas_eff">'O&amp;M Assumptions'!$C$66</definedName>
    <definedName name="gas_non_eff">'O&amp;M Assumptions'!$C$65</definedName>
    <definedName name="General_Oper_Labor">'O&amp;M'!$C$45</definedName>
    <definedName name="geotech_cost">Indirect!$C$45</definedName>
    <definedName name="GHG_pond_climate">'Critical Design Assumptions'!#REF!</definedName>
    <definedName name="GHG_scope1_heating_oil">#REF!</definedName>
    <definedName name="GHG_scope1_natural_gas">#REF!</definedName>
    <definedName name="GHG_scope1_ongoing">#REF!</definedName>
    <definedName name="GHG_scope1_pond">#REF!</definedName>
    <definedName name="GHG_scope2_electric">#REF!</definedName>
    <definedName name="GHG_scope2_ongoing">#REF!</definedName>
    <definedName name="GHG_scope3_cement">#REF!</definedName>
    <definedName name="GHG_scope3_chemicals">#REF!</definedName>
    <definedName name="GHG_scope3_initial">#REF!</definedName>
    <definedName name="GHG_scope3_ongoing">#REF!</definedName>
    <definedName name="GHG_scope3_waste_xpo">#REF!</definedName>
    <definedName name="GHG_total">OUTPUT!#REF!</definedName>
    <definedName name="h2oflush_backwash_rate">'Critical Design Assumptions'!$C$40</definedName>
    <definedName name="haz_disposal_cost_cl">'Cost Data'!$D$1386</definedName>
    <definedName name="haz_incin_cost_per_ton">'Residuals Management'!$C$209</definedName>
    <definedName name="haz_miles">'Critical Design Assumptions'!$C$213</definedName>
    <definedName name="haz_trans_min_cost_cl">'Cost Data'!$D$1389</definedName>
    <definedName name="haz_transportation_cost_cl">'Cost Data'!$D$1392</definedName>
    <definedName name="hazrad_annual_fee_cl">'Cost Data'!$B$1397:$C$1399</definedName>
    <definedName name="hazrad_disposal_cost_cl">'Cost Data'!$D$1402</definedName>
    <definedName name="hazrad_miles">'Critical Design Assumptions'!$C$215</definedName>
    <definedName name="hazrad_trans_min_cost_cl">'Cost Data'!$D$1405</definedName>
    <definedName name="hazrad_transportation_cost_cl">'Cost Data'!$D$1408</definedName>
    <definedName name="hbackfill_vol">'Residuals Management'!$C$64</definedName>
    <definedName name="hbasin_depth">'Residuals Management'!$C$60</definedName>
    <definedName name="hbasin_fp">'Pumps Pipe Structure'!$C$78</definedName>
    <definedName name="hbasin_length">'Residuals Management'!$C$59</definedName>
    <definedName name="hbasin_op_depth">'Residuals Management'!$C$57</definedName>
    <definedName name="hbasin_redun">'Residuals Management'!$C$53</definedName>
    <definedName name="hbasin_vol">'Residuals Management'!$C$61</definedName>
    <definedName name="hbasin_width">'Residuals Management'!$C$58</definedName>
    <definedName name="hbasins">'Residuals Management'!$C$54</definedName>
    <definedName name="hbasins_default">'Critical Design Assumptions'!$C$181</definedName>
    <definedName name="hconc_vol">'Residuals Management'!$C$62</definedName>
    <definedName name="hdpe_bwt_cost_cl">'Cost Data'!$B$503:$F$520</definedName>
    <definedName name="hdpe_bwt_eq">'Cost Equations'!$C$18</definedName>
    <definedName name="hdpe_ht_eq">'Cost Equations'!$C$46</definedName>
    <definedName name="head_tank">'Critical Design Assumptions'!$C$125</definedName>
    <definedName name="head_tank_small">'Critical Design Assumptions'!$C$126</definedName>
    <definedName name="headloss_cart">'Critical Design Assumptions'!$C$127</definedName>
    <definedName name="headloss_cost_cl">'Cost Data'!$B$525:$F$525</definedName>
    <definedName name="heat_DD">'O&amp;M Assumptions'!$C$59</definedName>
    <definedName name="heat_viload">'O&amp;M Assumptions'!$C$61</definedName>
    <definedName name="heating">'O&amp;M'!$C$77</definedName>
    <definedName name="heating_diesel">'O&amp;M'!$C$81</definedName>
    <definedName name="heating_diesel_non">'O&amp;M'!$C$80</definedName>
    <definedName name="heating_gas">'O&amp;M'!$C$79</definedName>
    <definedName name="heating_gas_non">'O&amp;M'!$C$78</definedName>
    <definedName name="heating_hp">'O&amp;M'!$C$82</definedName>
    <definedName name="heating_matl_rate_cl">'Cost Data'!$D$1411</definedName>
    <definedName name="heating_table">'Indirect Assumptions'!$A$108:$E$110</definedName>
    <definedName name="heating_table_shed">'Indirect Assumptions'!$A$112:$E$114</definedName>
    <definedName name="height">'Vessel Constraints'!$C$53</definedName>
    <definedName name="hexcavation_vol">'Residuals Management'!$C$63</definedName>
    <definedName name="hh_size">OUTPUT!$C$436</definedName>
    <definedName name="himp_mix_eq">'Cost Equations'!$C$189</definedName>
    <definedName name="hmix_hp_max">'Residuals Management'!$C$71</definedName>
    <definedName name="hmix_hp_per">'Critical Design Assumptions'!$C$186</definedName>
    <definedName name="hmix_per_tank">'Residuals Management'!$C$70</definedName>
    <definedName name="hmix_size">'Residuals Management'!$C$73</definedName>
    <definedName name="hmixers">'Residuals Management'!$C$72</definedName>
    <definedName name="hmount_mix_eq">'Cost Equations'!$C$188</definedName>
    <definedName name="holding_freeboard">'Critical Design Assumptions'!$C$183</definedName>
    <definedName name="holding_haz_valid">'Lookup Tables'!$A$54:$A$57</definedName>
    <definedName name="holding_ratio">'Critical Design Assumptions'!$C$182</definedName>
    <definedName name="holding_tank_valid">'Lookup Tables'!$A$44:$A$45</definedName>
    <definedName name="hole_per_day">'Indirect Assumptions'!$C$53</definedName>
    <definedName name="hole_per_job">'Indirect Assumptions'!$C$52</definedName>
    <definedName name="hole_per_sf">'Indirect Assumptions'!$C$51</definedName>
    <definedName name="horiz_underdrain">'Critical Design Assumptions'!$C$20</definedName>
    <definedName name="horiz_void">'Vessel Constraints'!$C$61</definedName>
    <definedName name="horiz_vol_available">'Vessel Constraints'!$C$65</definedName>
    <definedName name="households">OUTPUT!$C$440</definedName>
    <definedName name="hp_EER">'O&amp;M Assumptions'!$C$70</definedName>
    <definedName name="hp_max_cool_cl">'Engineering Data'!$C$106</definedName>
    <definedName name="hp_max_heat_cl">'Engineering Data'!$C$109</definedName>
    <definedName name="hp_ok_1">HVAC!$C$75</definedName>
    <definedName name="hp_ok_2">HVAC!$C$76</definedName>
    <definedName name="hrailing">'Residuals Management'!$C$65</definedName>
    <definedName name="hrs_filter">'O&amp;M Assumptions'!$C$15</definedName>
    <definedName name="ht_clean_freq">'Residuals Management'!$C$33</definedName>
    <definedName name="ht_diam">'Pumps Pipe Structure'!$C$49</definedName>
    <definedName name="ht_solids">'Residuals Management'!$C$32</definedName>
    <definedName name="ht_solids_density">'Critical Design Assumptions'!$C$176</definedName>
    <definedName name="htank_clean_pct">'Critical Design Assumptions'!$C$179</definedName>
    <definedName name="htank_fp">'Pumps Pipe Structure'!$C$77</definedName>
    <definedName name="htank_TSSrem">'Critical Design Assumptions'!$C$177</definedName>
    <definedName name="htank_vol">'Residuals Management'!$C$50</definedName>
    <definedName name="htanks">'Residuals Management'!$C$49</definedName>
    <definedName name="hvac_ac_cost_cl">'Cost Data'!$B$1283:$F$1286</definedName>
    <definedName name="hvac_ac_eq_1">'Cost Equations'!$C$240</definedName>
    <definedName name="hvac_ac_eq_2">'Cost Equations'!$C$253</definedName>
    <definedName name="hvac_elec_cost_cl">'Cost Data'!$B$1291:$F$1300</definedName>
    <definedName name="hvac_elec_eq_1">'Cost Equations'!$C$234</definedName>
    <definedName name="hvac_elec_eq_2">'Cost Equations'!$C$247</definedName>
    <definedName name="hvac_gas_cost_cl">'Cost Data'!$B$1305:$F$1311</definedName>
    <definedName name="hvac_gas_eq_1">'Cost Equations'!$C$236</definedName>
    <definedName name="hvac_gas_eq_2">'Cost Equations'!$C$249</definedName>
    <definedName name="hvac_gas_non_cost_cl">'Cost Data'!$B$1316:$F$1322</definedName>
    <definedName name="hvac_gas_non_eq_1">'Cost Equations'!$C$235</definedName>
    <definedName name="hvac_gas_non_eq_2">'Cost Equations'!$C$248</definedName>
    <definedName name="hvac_hp_cost_cl">'Cost Data'!$B$1327:$F$1346</definedName>
    <definedName name="hvac_hp_eq_1">'Cost Equations'!$C$241</definedName>
    <definedName name="hvac_hp_eq_2">'Cost Equations'!$C$254</definedName>
    <definedName name="hvac_oil_mid_cost_cl">'Cost Data'!$B$1351:$F$1357</definedName>
    <definedName name="hvac_oil_mid_eq_1">'Cost Equations'!$C$238</definedName>
    <definedName name="hvac_oil_mid_eq_2">'Cost Equations'!$C$251</definedName>
    <definedName name="hvac_oil_std_cost_cl">'Cost Data'!$B$1362:$F$1368</definedName>
    <definedName name="hvac_oil_std_eq_1">'Cost Equations'!$C$237</definedName>
    <definedName name="hvac_oil_std_eq_2">'Cost Equations'!$C$250</definedName>
    <definedName name="hvol_ft">'Residuals Management'!$C$56</definedName>
    <definedName name="i_c_pct">'Indirect Assumptions'!$C$72</definedName>
    <definedName name="I_ion_str">'pH Adjust'!$C$5</definedName>
    <definedName name="imp_mix_cost_cl">'Cost Data'!$B$530:$F$539</definedName>
    <definedName name="in_meter_size">'Instrumentation and Control'!$C$42</definedName>
    <definedName name="in_out_pipe_diam">'Pumps Pipe Structure'!$C$29</definedName>
    <definedName name="in_out_pipe_flow">'Pumps Pipe Structure'!$C$28</definedName>
    <definedName name="in_out_pipe_length">'Pumps Pipe Structure'!$C$20</definedName>
    <definedName name="in_out_pipe_mult">'Critical Design Assumptions'!$C$88</definedName>
    <definedName name="in_pipe_diam">'Pumps Pipe Structure'!$C$29</definedName>
    <definedName name="in_valve_size">'Instrumentation and Control'!$C$9</definedName>
    <definedName name="incin_cost_per_ton">'Residuals Management'!$C$208</definedName>
    <definedName name="include_arch">'Indirect Assumptions'!$C$21</definedName>
    <definedName name="include_arch_small">'Indirect Assumptions'!$C$22</definedName>
    <definedName name="include_back_maint">'O&amp;M'!$C$5</definedName>
    <definedName name="include_bond">'Indirect Assumptions'!$C$100</definedName>
    <definedName name="include_buildings">Indirect!$C$5</definedName>
    <definedName name="include_buildings_I">INPUT!$F$78</definedName>
    <definedName name="include_cart">'Critical Design Assumptions'!$C$81</definedName>
    <definedName name="include_cm">'Indirect Assumptions'!$C$101</definedName>
    <definedName name="include_cm_pre">'Indirect Assumptions'!$C$102</definedName>
    <definedName name="include_cmix">'Critical Design Assumptions'!$C$67</definedName>
    <definedName name="include_conting_high">'Indirect Assumptions'!$C$77</definedName>
    <definedName name="include_conting_low">'Indirect Assumptions'!$C$75</definedName>
    <definedName name="include_conting_medium">'Indirect Assumptions'!$C$76</definedName>
    <definedName name="include_geo_high">'Indirect Assumptions'!$C$41</definedName>
    <definedName name="include_geo_low">'Indirect Assumptions'!$C$39</definedName>
    <definedName name="include_geo_medium">'Indirect Assumptions'!$C$40</definedName>
    <definedName name="include_HVAC">HVAC!$C$9</definedName>
    <definedName name="include_HVAC_I">INPUT!$F$79</definedName>
    <definedName name="include_land">Indirect!$C$6</definedName>
    <definedName name="include_land_I">INPUT!$F$80</definedName>
    <definedName name="include_NEPA">'Indirect Assumptions'!$C$10</definedName>
    <definedName name="include_pad">'Indirect Assumptions'!$C$6</definedName>
    <definedName name="include_permits">'Indirect Assumptions'!$C$9</definedName>
    <definedName name="include_pilot">'Indirect Assumptions'!$C$13</definedName>
    <definedName name="include_sec_cont">'Critical Design Assumptions'!$C$73</definedName>
    <definedName name="include_sitework">'Indirect Assumptions'!$C$28</definedName>
    <definedName name="include_standby">'Indirect Assumptions'!$C$31</definedName>
    <definedName name="include_standby_small">'Indirect Assumptions'!$C$32</definedName>
    <definedName name="include_yardpipe">'Indirect Assumptions'!$C$56</definedName>
    <definedName name="indirect_cost">OUTPUT!$C$371</definedName>
    <definedName name="indirect_cost_add">OUTPUT!$C$466</definedName>
    <definedName name="indirect_cost_mult">OUTPUT!$C$465</definedName>
    <definedName name="influent_TSS">'Critical Design Assumptions'!$C$200</definedName>
    <definedName name="init_NRD_cart">'Critical Design Assumptions'!$C$83</definedName>
    <definedName name="inp_autosize">'Standard Inputs'!$M$70:$P$70</definedName>
    <definedName name="inp_sel">'Standard Inputs'!$A$67:$AE$67</definedName>
    <definedName name="inp_used">'Standard Inputs'!$C$66:$AE$66</definedName>
    <definedName name="inp_used_minimal">'Standard Inputs'!$C$66:$F$66</definedName>
    <definedName name="inp_used_nonvessel1">'Standard Inputs'!$C$66:$K$66</definedName>
    <definedName name="inp_used_nonvessel2">'Standard Inputs'!$Q$66:$AE$66</definedName>
    <definedName name="inp_used_usersel">'Standard Inputs'!$A$66</definedName>
    <definedName name="inp_used_vessels">'Standard Inputs'!$M$66:$P$66</definedName>
    <definedName name="input_checks">OUTPUT!$C$469:$K$469</definedName>
    <definedName name="input_complete">INPUT!$C$17</definedName>
    <definedName name="input_status">INPUT!$F$16</definedName>
    <definedName name="input_vol_vess">'Vessel Constraints'!$C$66</definedName>
    <definedName name="inst_pct">'Indirect Assumptions'!$C$25</definedName>
    <definedName name="K_1">'pH Adjust'!$C$17</definedName>
    <definedName name="K_2">'pH Adjust'!$C$18</definedName>
    <definedName name="K_w">'pH Adjust'!$C$19</definedName>
    <definedName name="labor_table_cl">'Cost Data'!$B$1416:$G$1423</definedName>
    <definedName name="land_cost">'Pumps Pipe Structure'!$C$90</definedName>
    <definedName name="land_cost_cl">'Cost Data'!$B$1429:$D$1436</definedName>
    <definedName name="land_required">'Pumps Pipe Structure'!$C$88</definedName>
    <definedName name="laser_printer_cost_cl">'Cost Data'!$B$544:$F$544</definedName>
    <definedName name="lb_NaOH_day">'pH Adjust'!$C$38</definedName>
    <definedName name="lb_NaOH_store">'pH Adjust'!$C$39</definedName>
    <definedName name="legal_pct">'Indirect Assumptions'!$C$89</definedName>
    <definedName name="length_diam_ratio">'Critical Design Assumptions'!$C$22</definedName>
    <definedName name="level_switch">'Critical Design Assumptions'!$C$109</definedName>
    <definedName name="level_switch_small">'Critical Design Assumptions'!$C$110</definedName>
    <definedName name="lhaz_disposal_cost_cl">'Cost Data'!$D$1439</definedName>
    <definedName name="lhaz_fee">'Residuals Management'!$C$204</definedName>
    <definedName name="lhaz_trans_min_cost_cl">'Cost Data'!$D$1442</definedName>
    <definedName name="lhaz_transportation_cost_cl">'Cost Data'!$D$1445</definedName>
    <definedName name="lighting">'O&amp;M'!$C$73</definedName>
    <definedName name="lighting_energy_1">'O&amp;M'!$C$71</definedName>
    <definedName name="lighting_energy_2">'O&amp;M'!$C$72</definedName>
    <definedName name="lighting_power_high">'O&amp;M Assumptions'!$C$43</definedName>
    <definedName name="lighting_power_low">'O&amp;M Assumptions'!$C$41</definedName>
    <definedName name="lighting_power_mid">'O&amp;M Assumptions'!$C$42</definedName>
    <definedName name="liner_area">'Residuals Management'!$C$139</definedName>
    <definedName name="lines_pump_I">INPUT!$F$67</definedName>
    <definedName name="link_annc">OUTPUT!$A$432:$L$445</definedName>
    <definedName name="link_aoc">OUTPUT!$A$346:$H$351</definedName>
    <definedName name="link_bed_constraints">'Critical Design Assumptions'!$C$25:$C$26</definedName>
    <definedName name="link_dcc">OUTPUT!$A$29:$L$344</definedName>
    <definedName name="link_dim_constraints">'Critical Design Assumptions'!$C$17:$C$20</definedName>
    <definedName name="link_GHG">OUTPUT!#REF!</definedName>
    <definedName name="link_icc">OUTPUT!$A$353:$K$371</definedName>
    <definedName name="link_load">'Critical Design Assumptions'!$C$14:$C$15</definedName>
    <definedName name="link_omc">OUTPUT!$A$383:$L$430</definedName>
    <definedName name="link_output">OUTPUT!$A$1</definedName>
    <definedName name="link_tcc">OUTPUT!$A$373:$L$381</definedName>
    <definedName name="load_max">'Critical Design Assumptions'!$C$15</definedName>
    <definedName name="load_min">'Critical Design Assumptions'!$C$14</definedName>
    <definedName name="log_gamma_1">'pH Adjust'!$C$10</definedName>
    <definedName name="log_gamma_2">'pH Adjust'!$C$11</definedName>
    <definedName name="low_sa">'Vessel Constraints'!$C$23</definedName>
    <definedName name="mag_fm_cost_cl">'Cost Data'!$B$549:$F$567</definedName>
    <definedName name="mag_fm_eq_back">'Cost Equations'!$C$222</definedName>
    <definedName name="mag_fm_eq_in">'Cost Equations'!$C$212</definedName>
    <definedName name="mag_fm_eq_proc">'Cost Equations'!$C$217</definedName>
    <definedName name="mag_fm_eq_res">'Cost Equations'!$C$227</definedName>
    <definedName name="Manager_LOE">'O&amp;M'!$C$48</definedName>
    <definedName name="Manager_percent">'O&amp;M Assumptions'!$C$16</definedName>
    <definedName name="manual">'Instrumentation and Control'!$C$6</definedName>
    <definedName name="manual_I">INPUT!$F$77</definedName>
    <definedName name="max_back_flow">'Pumps Pipe Structure'!$C$9</definedName>
    <definedName name="max_back_tank_size">'Backwash and Bed Life'!$C$26</definedName>
    <definedName name="max_bed_depth">'Critical Design Assumptions'!$C$26</definedName>
    <definedName name="max_chem_tank_size">'Backwash and Bed Life'!$C$50</definedName>
    <definedName name="max_chem_tank_size_noSS">'Backwash and Bed Life'!$C$51</definedName>
    <definedName name="max_cm_pump_size">'Pumps Pipe Structure'!$C$14</definedName>
    <definedName name="max_cm_pump_size_noSS">'Pumps Pipe Structure'!$C$15</definedName>
    <definedName name="max_comm_height">'Vessel Constraints'!$C$56</definedName>
    <definedName name="max_cool_cl">'Engineering Data'!$C$112</definedName>
    <definedName name="max_diam">'Vessel Constraints'!$C$19</definedName>
    <definedName name="max_diam_override">'Critical Design Assumptions'!$C$17</definedName>
    <definedName name="max_diam_std_size">'Vessel Constraints'!$C$17</definedName>
    <definedName name="max_eductor_size">'Backwash and Bed Life'!$C$65</definedName>
    <definedName name="max_ep_cell_area">'Critical Design Assumptions'!$C$221</definedName>
    <definedName name="max_excav_depth">Indirect!$C$32</definedName>
    <definedName name="max_haz_ship">'Critical Design Assumptions'!$C$208</definedName>
    <definedName name="max_hazrad_ship">'Critical Design Assumptions'!$C$211</definedName>
    <definedName name="max_heat_cl">'Engineering Data'!$C$115</definedName>
    <definedName name="max_height">'Critical Design Assumptions'!$C$16</definedName>
    <definedName name="max_htank_size">'Residuals Management'!$C$48</definedName>
    <definedName name="max_length">'Critical Design Assumptions'!$C$18</definedName>
    <definedName name="max_lhaz_ship">'Critical Design Assumptions'!$C$209</definedName>
    <definedName name="max_pump_size">'Pumps Pipe Structure'!$C$6</definedName>
    <definedName name="max_rad_ship">'Critical Design Assumptions'!$C$210</definedName>
    <definedName name="max_sa">'Vessel Constraints'!$C$23</definedName>
    <definedName name="max_saltbox">'Backwash and Bed Life'!$C$57</definedName>
    <definedName name="max_space_vessels">'Pumps Pipe Structure'!$C$50</definedName>
    <definedName name="max_space_vessels_cust">'Critical Design Assumptions'!$C$151</definedName>
    <definedName name="max_space_vessels_pre">'Critical Design Assumptions'!$C$152</definedName>
    <definedName name="max_vessel_diam_cl">'Engineering Data'!$C$118</definedName>
    <definedName name="media_changes_cf">'O&amp;M'!$C$32</definedName>
    <definedName name="media_density">'Critical Design Assumptions'!$C$24</definedName>
    <definedName name="media_haz">'Residuals Management'!$C$7</definedName>
    <definedName name="media_haz_I">INPUT!$F$63</definedName>
    <definedName name="media_per_vessel">'Vessel Constraints'!$C$43</definedName>
    <definedName name="media_volume">'Vessel Constraints'!$C$41</definedName>
    <definedName name="media_volume_expanded">'Vessel Constraints'!$C$46</definedName>
    <definedName name="media_volume_gal">'Vessel Constraints'!$C$42</definedName>
    <definedName name="metal_cost_cl">'Cost Data'!$B$572:$F$575</definedName>
    <definedName name="min_avg_flow">'Critical Design Assumptions'!$C$6</definedName>
    <definedName name="min_bed_depth">'Critical Design Assumptions'!$C$25</definedName>
    <definedName name="min_cart">'Critical Design Assumptions'!$C$82</definedName>
    <definedName name="min_chem_flow">'Critical Design Assumptions'!$C$37</definedName>
    <definedName name="min_cmix_hp">'Critical Design Assumptions'!$C$69</definedName>
    <definedName name="min_comm_height">'Vessel Constraints'!$C$55</definedName>
    <definedName name="min_diam">'Vessel Constraints'!$C$18</definedName>
    <definedName name="min_ep_cells">'Critical Design Assumptions'!$C$222</definedName>
    <definedName name="min_hmix_hp">'Critical Design Assumptions'!$C$187</definedName>
    <definedName name="min_holes">'Indirect Assumptions'!$C$50</definedName>
    <definedName name="min_res_pipe_size">'Critical Design Assumptions'!$C$190</definedName>
    <definedName name="min_saltbox">'Critical Design Assumptions'!$C$57</definedName>
    <definedName name="min_standby">'Indirect Assumptions'!$C$36</definedName>
    <definedName name="min_trench_depth">'Indirect Assumptions'!$C$58</definedName>
    <definedName name="min_vessel_diam_cl">'Engineering Data'!$C$121</definedName>
    <definedName name="misc_pct">'Indirect Assumptions'!$C$86</definedName>
    <definedName name="Missing_Cost">OUTPUT!$C$470</definedName>
    <definedName name="mix_coating_gal">'Backwash and Bed Life'!$C$82</definedName>
    <definedName name="mix_cont_fp">'Backwash and Bed Life'!$C$76</definedName>
    <definedName name="mix_cont_volume">'Backwash and Bed Life'!$C$75</definedName>
    <definedName name="mix_curb_concrete">'Backwash and Bed Life'!$C$81</definedName>
    <definedName name="mix_curb_height">'Backwash and Bed Life'!$C$77</definedName>
    <definedName name="mix_curb_len_long">'Backwash and Bed Life'!$C$79</definedName>
    <definedName name="mix_curb_len_short">'Backwash and Bed Life'!$C$80</definedName>
    <definedName name="mix_curb_thick">'Backwash and Bed Life'!$C$78</definedName>
    <definedName name="mix_tank_fp">'Pumps Pipe Structure'!$C$70</definedName>
    <definedName name="mix_tank_vol">'Backwash and Bed Life'!$C$53</definedName>
    <definedName name="mix_tank_vol_tot">'Backwash and Bed Life'!$C$49</definedName>
    <definedName name="mix_tanks">'Backwash and Bed Life'!$C$52</definedName>
    <definedName name="mixer_size">'Critical Design Assumptions'!$C$56</definedName>
    <definedName name="mixers">'Backwash and Bed Life'!$C$54</definedName>
    <definedName name="mob_pct_large">'Indirect Assumptions'!$C$18</definedName>
    <definedName name="mob_pct_medium">'Indirect Assumptions'!$C$17</definedName>
    <definedName name="mob_pct_small">'Indirect Assumptions'!$C$16</definedName>
    <definedName name="mount_mix_cost_cl">'Cost Data'!$B$580:$F$587</definedName>
    <definedName name="mount_mix_eq">'Cost Equations'!$C$185</definedName>
    <definedName name="mx_diam">'Pumps Pipe Structure'!$C$43</definedName>
    <definedName name="NaOH_day_tank_vol">'pH Adjust'!$C$51</definedName>
    <definedName name="NaOH_day_tank_vol_needed">'pH Adjust'!$C$49</definedName>
    <definedName name="NaOH_day_tanks">'pH Adjust'!$C$50</definedName>
    <definedName name="NaOH_lbs">'pH Adjust'!$C$44</definedName>
    <definedName name="NaOH_pct">'Critical Design Assumptions'!$C$65</definedName>
    <definedName name="NaOH_purchase">'pH Adjust'!$C$57</definedName>
    <definedName name="NaOH_spgr">'pH Adjust'!$C$43</definedName>
    <definedName name="NaOH_table_cl">'Engineering Data'!$A$126:$D$151</definedName>
    <definedName name="NaOH_tank_fp">'Pumps Pipe Structure'!$C$73</definedName>
    <definedName name="NaOH_tank_vol">'pH Adjust'!$C$48</definedName>
    <definedName name="NaOH_tanks">'pH Adjust'!$C$47</definedName>
    <definedName name="NaOH_tot">'pH Adjust'!$C$36</definedName>
    <definedName name="NaOH_year">'O&amp;M'!$C$14</definedName>
    <definedName name="NaOHday_tank_fp">'Pumps Pipe Structure'!$C$74</definedName>
    <definedName name="NaOHdaytank_diam">'Pumps Pipe Structure'!$C$46</definedName>
    <definedName name="NaOHtank_diam">'Pumps Pipe Structure'!$C$45</definedName>
    <definedName name="need_cool">'Indirect Assumptions'!$C$35</definedName>
    <definedName name="need_heat">'Indirect Assumptions'!$C$34</definedName>
    <definedName name="NEPA_cost_cl">'Cost Data'!$B$1450:$C$1451</definedName>
    <definedName name="NEPA_SW_cost_cl">'Cost Data'!$D$1454</definedName>
    <definedName name="next_loc_marker">'Cost Data'!$A$1716</definedName>
    <definedName name="no_back_tank">'Backwash and Bed Life'!$C$7</definedName>
    <definedName name="no_back_tank_I">INPUT!$F$73</definedName>
    <definedName name="no_backwash">'Backwash and Bed Life'!$C$6</definedName>
    <definedName name="no_backwash_I">INPUT!$F$72</definedName>
    <definedName name="no_equation">'Cost Equations'!$C$40</definedName>
    <definedName name="non_fire_buffer">'Critical Design Assumptions'!$C$155</definedName>
    <definedName name="non_haz_miles">'Critical Design Assumptions'!$C$212</definedName>
    <definedName name="nonhaz_disposal_cost_cl">'Cost Data'!$D$1457</definedName>
    <definedName name="nonhaz_transportation_cost_cl">'Cost Data'!$D$1460</definedName>
    <definedName name="NPDES_permit_cost_cl">'Cost Data'!$B$1466:$C$1468</definedName>
    <definedName name="NRD">'Vessel Constraints'!$C$29</definedName>
    <definedName name="NRD_back_pumps">'Critical Design Assumptions'!$C$34</definedName>
    <definedName name="NRD_cm_pump">'Critical Design Assumptions'!$C$35</definedName>
    <definedName name="NRD_filters">'Vessel Constraints'!$C$71</definedName>
    <definedName name="NRD_I">INPUT!$F$69</definedName>
    <definedName name="NRD_pH_pumps">'Critical Design Assumptions'!$C$36</definedName>
    <definedName name="NRD_pumps">'Critical Design Assumptions'!$C$33</definedName>
    <definedName name="NRD_res_pump">'Critical Design Assumptions'!$C$192</definedName>
    <definedName name="NRD_small">'Critical Design Assumptions'!$C$11</definedName>
    <definedName name="NRD_small_1">'Critical Design Assumptions'!$C$10</definedName>
    <definedName name="num_filters">'Vessel Constraints'!$C$72</definedName>
    <definedName name="num_holes">Indirect!$C$35</definedName>
    <definedName name="num_pits">Indirect!$C$34</definedName>
    <definedName name="num_salt_box">'Backwash and Bed Life'!$C$61</definedName>
    <definedName name="Num_tanks">'Vessel Constraints'!$C$13</definedName>
    <definedName name="num_tanks_I">INPUT!$F$40</definedName>
    <definedName name="num_treat_lines">'Vessel Constraints'!$C$27</definedName>
    <definedName name="office_fp">'Pumps Pipe Structure'!$C$80</definedName>
    <definedName name="OH_tot">'pH Adjust'!$C$33</definedName>
    <definedName name="OM_City_Index">OUTPUT!$C$385</definedName>
    <definedName name="OM_cost">OUTPUT!$G$430</definedName>
    <definedName name="op_fm_cost_cl">'Cost Data'!$B$592:$F$599</definedName>
    <definedName name="op_fm_eq_back">'Cost Equations'!$C$219</definedName>
    <definedName name="op_fm_eq_in">'Cost Equations'!$C$209</definedName>
    <definedName name="op_fm_eq_proc">'Cost Equations'!$C$214</definedName>
    <definedName name="op_fm_eq_res">'Cost Equations'!$C$224</definedName>
    <definedName name="op_interface_software_cost_cl">'Cost Data'!$B$604:$F$604</definedName>
    <definedName name="op_num_tanks">'Vessel Constraints'!$C$28</definedName>
    <definedName name="Operator_LOE">'O&amp;M'!$C$47</definedName>
    <definedName name="orp_anal_cost_cl">'Cost Data'!$B$609:$F$609</definedName>
    <definedName name="ORP_sensor">'Critical Design Assumptions'!$C$114</definedName>
    <definedName name="output_db">OUTPUT!$A$33:$V$344</definedName>
    <definedName name="output_page">OUTPUT!$A$2:$M$301</definedName>
    <definedName name="overexcavate">'Critical Design Assumptions'!$C$184</definedName>
    <definedName name="pad_thick">'Critical Design Assumptions'!$C$160</definedName>
    <definedName name="pad_thick_small">'Critical Design Assumptions'!$C$161</definedName>
    <definedName name="pan_evap">'Critical Design Assumptions'!$C$216</definedName>
    <definedName name="pc_workstation_cost_cl">'Cost Data'!$B$614:$F$614</definedName>
    <definedName name="performance_bond_table_cl">'Engineering Data'!$A$156:$E$161</definedName>
    <definedName name="permit_cost">Indirect!$C$86</definedName>
    <definedName name="pH_adj">INPUT!$F$71</definedName>
    <definedName name="pH_controls">'Instrumentation and Control'!$C$52</definedName>
    <definedName name="pH_corr">'Critical Design Assumptions'!$C$116</definedName>
    <definedName name="pH_meter_cost_cl">'Cost Data'!$B$619:$F$619</definedName>
    <definedName name="pH_nocorr">'Critical Design Assumptions'!$C$115</definedName>
    <definedName name="pH_pump_rating">'Pumps Pipe Structure'!$C$17</definedName>
    <definedName name="pH_pumps">'Pumps Pipe Structure'!$C$16</definedName>
    <definedName name="pHf">'Critical Design Assumptions'!$C$61</definedName>
    <definedName name="pHo">'Critical Design Assumptions'!$C$60</definedName>
    <definedName name="pilot_cost_large_cl">'Cost Data'!$B$1533:$C$1560</definedName>
    <definedName name="pilot_cost_medium_cl">'Cost Data'!$B$1596:$C$1623</definedName>
    <definedName name="pilot_cost_small_cl">'Cost Data'!$B$1630:$C$1657</definedName>
    <definedName name="pipe_size_table_cl">'Engineering Data'!$A$167:$B$187</definedName>
    <definedName name="pit_cost_cl">'Cost Data'!$B$624:$F$624</definedName>
    <definedName name="pit_depth">'Indirect Assumptions'!$C$44</definedName>
    <definedName name="pit_length">'Indirect Assumptions'!$C$42</definedName>
    <definedName name="pit_width">'Indirect Assumptions'!$C$43</definedName>
    <definedName name="pK_1">'pH Adjust'!$C$14</definedName>
    <definedName name="pK_2">'pH Adjust'!$C$15</definedName>
    <definedName name="pK_w">'pH Adjust'!$C$16</definedName>
    <definedName name="pl_coag_st_eq">'Cost Equations'!$C$48</definedName>
    <definedName name="pl_cst_cost_cl">'Cost Data'!$B$629:$F$655</definedName>
    <definedName name="pl_cst_eq">'Cost Equations'!$C$20</definedName>
    <definedName name="pl_ct_eq">'Cost Equations'!$C$24</definedName>
    <definedName name="pl_day_eq">'Cost Equations'!$C$30</definedName>
    <definedName name="pl_eductor_cost_cl">'Cost Data'!$B$660:$F$666</definedName>
    <definedName name="pl_eductor_eq">'Cost Equations'!$C$201</definedName>
    <definedName name="pl_polymer_st_eq">'Cost Equations'!$C$51</definedName>
    <definedName name="pl_saltbox_cost_cl">'Cost Data'!$B$671:$F$680</definedName>
    <definedName name="pl_saltbox_eq">'Cost Equations'!$C$206</definedName>
    <definedName name="plant_intel_software_cost_cl">'Cost Data'!$B$685:$F$685</definedName>
    <definedName name="plc_base_expansion">'Instrumentation and Control'!$C$75</definedName>
    <definedName name="plc_base_expansion_controller">'Instrumentation and Control'!$C$76</definedName>
    <definedName name="plc_base_expansion_controller_cost_cl">'Cost Data'!$B$690:$F$690</definedName>
    <definedName name="plc_base_expansion_cost_cl">'Cost Data'!$B$695:$F$695</definedName>
    <definedName name="plc_combination_analog">'Instrumentation and Control'!$C$71</definedName>
    <definedName name="plc_combination_analog_cost_cl">'Cost Data'!$B$700:$F$700</definedName>
    <definedName name="plc_cpu">'Critical Design Assumptions'!$C$142</definedName>
    <definedName name="plc_cpu_cost_cl">'Cost Data'!$B$705:$F$705</definedName>
    <definedName name="plc_data_software_cost_cl">'Cost Data'!$B$710:$F$710</definedName>
    <definedName name="plc_discrete_input">'Instrumentation and Control'!$C$70</definedName>
    <definedName name="plc_discrete_input_cost_cl">'Cost Data'!$B$715:$F$715</definedName>
    <definedName name="plc_discrete_output">'Instrumentation and Control'!$C$69</definedName>
    <definedName name="plc_discrete_output_cost_cl">'Cost Data'!$B$720:$F$720</definedName>
    <definedName name="plc_ethernet">'Critical Design Assumptions'!$C$143</definedName>
    <definedName name="plc_ethernet_cost_cl">'Cost Data'!$B$725:$F$725</definedName>
    <definedName name="plc_expansions">'Instrumentation and Control'!$C$73</definedName>
    <definedName name="plc_interface">'Critical Design Assumptions'!$C$144</definedName>
    <definedName name="plc_op_interface_cost_cl">'Cost Data'!$B$730:$F$731</definedName>
    <definedName name="plc_rack">'Instrumentation and Control'!$C$74</definedName>
    <definedName name="plc_rack_cost_cl">'Cost Data'!$B$736:$F$736</definedName>
    <definedName name="plc_slots">'Instrumentation and Control'!$C$72</definedName>
    <definedName name="plc_software_cost_cl">'Cost Data'!$B$741:$F$741</definedName>
    <definedName name="polymer_chv_pump">'Critical Design Assumptions'!$C$100</definedName>
    <definedName name="polymer_cmix_per_tank">'Residuals Management'!$C$106</definedName>
    <definedName name="polymer_cmix_size">'Residuals Management'!$C$108</definedName>
    <definedName name="polymer_cmixers">'Residuals Management'!$C$107</definedName>
    <definedName name="polymer_day">'Residuals Management'!$C$101</definedName>
    <definedName name="polymer_density">'Critical Design Assumptions'!$C$170</definedName>
    <definedName name="polymer_dose">'Critical Design Assumptions'!$C$169</definedName>
    <definedName name="polymer_fp">'Pumps Pipe Structure'!$C$76</definedName>
    <definedName name="polymer_pipe_diam">'Pumps Pipe Structure'!$C$39</definedName>
    <definedName name="polymer_pipe_flow">'Pumps Pipe Structure'!$C$38</definedName>
    <definedName name="polymer_pipe_length">'Pumps Pipe Structure'!$C$27</definedName>
    <definedName name="polymer_purchase">'Residuals Management'!$C$188</definedName>
    <definedName name="polymer_rate">'Residuals Management'!$C$109</definedName>
    <definedName name="polymer_spf">'Critical Design Assumptions'!$C$171</definedName>
    <definedName name="polymer_st_diam">'Pumps Pipe Structure'!$C$48</definedName>
    <definedName name="polymer_storage">'Residuals Management'!$C$102</definedName>
    <definedName name="polymer_storage_lbs">'Residuals Management'!$C$103</definedName>
    <definedName name="polymer_tank_vol">'Residuals Management'!$C$105</definedName>
    <definedName name="polymer_tanks">'Residuals Management'!$C$104</definedName>
    <definedName name="polymer_valve_size">'Instrumentation and Control'!$C$16</definedName>
    <definedName name="polymer_yr">'Residuals Management'!$C$176</definedName>
    <definedName name="port_mix_cost_cl">'Cost Data'!$B$746:$F$747</definedName>
    <definedName name="port_table">'Critical Design Assumptions'!$B$234:$F$247</definedName>
    <definedName name="ports">'Instrumentation and Control'!$C$56</definedName>
    <definedName name="ports_bp">'Critical Design Assumptions'!$C$129</definedName>
    <definedName name="ports_tank">'Critical Design Assumptions'!$C$128</definedName>
    <definedName name="POTW_base_cost_avg_cl">'Cost Data'!$D$1660</definedName>
    <definedName name="POTW_base_cost_typ_cl">'Cost Data'!$D$1663</definedName>
    <definedName name="POTW_base_fee">'Critical Design Assumptions'!$C$203</definedName>
    <definedName name="POTW_fee">'Residuals Management'!$C$196</definedName>
    <definedName name="POTW_rate_type">'Critical Design Assumptions'!$C$202</definedName>
    <definedName name="POTW_TSS_cost_avg_cl">'Cost Data'!$D$1666</definedName>
    <definedName name="POTW_TSS_cost_typ_cl">'Cost Data'!$D$1669</definedName>
    <definedName name="POTW_TSS_fee">'Critical Design Assumptions'!$C$205</definedName>
    <definedName name="POTW_TSS_limit">'Critical Design Assumptions'!$C$206</definedName>
    <definedName name="POTW_vol_cost_avg_cl">'Cost Data'!$D$1672</definedName>
    <definedName name="POTW_vol_cost_typ_cl">'Cost Data'!$D$1675</definedName>
    <definedName name="POTW_volume_fee">'Critical Design Assumptions'!$C$204</definedName>
    <definedName name="pp_chv_cost_cl">'Cost Data'!$B$752:$F$763</definedName>
    <definedName name="pp_chv_eq">'Cost Equations'!$C$145</definedName>
    <definedName name="pp_chv_eq_bp">'Cost Equations'!$C$151</definedName>
    <definedName name="pp_chv_eq_brine">'Cost Equations'!$C$154</definedName>
    <definedName name="pp_chv_eq_caustic">'Cost Equations'!$C$156</definedName>
    <definedName name="pp_chv_eq_coag">'Cost Equations'!$C$161</definedName>
    <definedName name="pp_chv_eq_in">'Cost Equations'!$C$148</definedName>
    <definedName name="pp_chv_eq_polymer">'Cost Equations'!$C$162</definedName>
    <definedName name="pp_chv_eq_res">'Cost Equations'!$C$158</definedName>
    <definedName name="pp_man_cost_cl">'Cost Data'!$B$768:$F$784</definedName>
    <definedName name="pp_man_eq">'Cost Equations'!$C$121</definedName>
    <definedName name="pp_man_eq_back">'Cost Equations'!$C$127</definedName>
    <definedName name="pp_man_eq_bp">'Cost Equations'!$C$132</definedName>
    <definedName name="pp_man_eq_brine">'Cost Equations'!$C$130</definedName>
    <definedName name="pp_man_eq_caustic">'Cost Equations'!$C$135</definedName>
    <definedName name="pp_man_eq_coag">'Cost Equations'!$C$140</definedName>
    <definedName name="pp_man_eq_polymer">'Cost Equations'!$C$141</definedName>
    <definedName name="pp_man_eq_proc">'Cost Equations'!$C$124</definedName>
    <definedName name="pp_man_eq_res">'Cost Equations'!$C$137</definedName>
    <definedName name="pp_mov_cost_cl">'Cost Data'!$B$789:$F$806</definedName>
    <definedName name="pp_mov_eq_back">'Cost Equations'!$C$103</definedName>
    <definedName name="pp_mov_eq_bp">'Cost Equations'!$C$108</definedName>
    <definedName name="pp_mov_eq_brine">'Cost Equations'!$C$106</definedName>
    <definedName name="pp_mov_eq_caustic">'Cost Equations'!$C$111</definedName>
    <definedName name="pp_mov_eq_coag">'Cost Equations'!$C$116</definedName>
    <definedName name="pp_mov_eq_polymer">'Cost Equations'!$C$117</definedName>
    <definedName name="pp_mov_eq_res">'Cost Equations'!$C$113</definedName>
    <definedName name="pp_mov_eq_tank">'Cost Equations'!$C$100</definedName>
    <definedName name="pre_filter_replacement">'O&amp;M'!$C$21</definedName>
    <definedName name="precip">'Critical Design Assumptions'!$C$218</definedName>
    <definedName name="pretreat_permit_cost_cl">'Cost Data'!$C$1678</definedName>
    <definedName name="_xlnm.Print_Area" localSheetId="8">'Critical Design Assumptions'!$A$133:$C$140</definedName>
    <definedName name="_xlnm.Print_Area" localSheetId="2">INPUT!$D$1:$N$84</definedName>
    <definedName name="_xlnm.Print_Area" localSheetId="3">OUTPUT!$A$1:$K$344</definedName>
    <definedName name="_xlnm.Print_Titles" localSheetId="3">OUTPUT!$2:$32</definedName>
    <definedName name="printer_ratio">'Critical Design Assumptions'!$C$148</definedName>
    <definedName name="printers">'Instrumentation and Control'!$C$78</definedName>
    <definedName name="proc_man_vessel">'Critical Design Assumptions'!$C$96</definedName>
    <definedName name="proc_man_vessel_cont">'Instrumentation and Control'!$C$28</definedName>
    <definedName name="proc_meter_size">'Instrumentation and Control'!$C$43</definedName>
    <definedName name="proc_MOV_pump">'Critical Design Assumptions'!$E$255</definedName>
    <definedName name="proc_MOV_vessel">'Instrumentation and Control'!$C$18</definedName>
    <definedName name="proc_pipe_diam">'Pumps Pipe Structure'!$C$30</definedName>
    <definedName name="proc_pipe_length">'Pumps Pipe Structure'!$C$21</definedName>
    <definedName name="proc_pipe_mult">'Critical Design Assumptions'!$C$89</definedName>
    <definedName name="process_cost">OUTPUT!$C$342</definedName>
    <definedName name="prop_fm_cost_cl">'Cost Data'!$B$811:$F$825</definedName>
    <definedName name="prop_fm_eq_back">'Cost Equations'!$C$220</definedName>
    <definedName name="prop_fm_eq_in">'Cost Equations'!$C$210</definedName>
    <definedName name="prop_fm_eq_proc">'Cost Equations'!$C$215</definedName>
    <definedName name="prop_fm_eq_res">'Cost Equations'!$C$225</definedName>
    <definedName name="pump_cost_cl">'Cost Data'!$B$830:$F$843</definedName>
    <definedName name="pump_dim_table_cl">'Engineering Data'!$A$192:$D$195</definedName>
    <definedName name="pump_energy">'O&amp;M'!$C$63</definedName>
    <definedName name="pump_eq">'Cost Equations'!$C$166</definedName>
    <definedName name="pump_eq_back">'Cost Equations'!$C$167</definedName>
    <definedName name="pump_eq_ph">'Cost Equations'!$C$168</definedName>
    <definedName name="pump_fp">'Pumps Pipe Structure'!$C$69</definedName>
    <definedName name="pump_hp">'O&amp;M'!$C$61</definedName>
    <definedName name="pump_mtl">'O&amp;M'!$C$8</definedName>
    <definedName name="pump_rating">'Pumps Pipe Structure'!$C$5</definedName>
    <definedName name="pump_safety_factor">'Critical Design Assumptions'!$C$32</definedName>
    <definedName name="pvc_coag_empump_eq">'Cost Equations'!$C$176</definedName>
    <definedName name="pvc_coag_mmpump_eq">'Cost Equations'!$C$175</definedName>
    <definedName name="pvc_empump_cost_cl">'Cost Data'!$B$848:$F$859</definedName>
    <definedName name="pvc_empump_eq">'Cost Equations'!$C$171</definedName>
    <definedName name="pvc_mmpump_cost_cl">'Cost Data'!$B$864:$F$876</definedName>
    <definedName name="pvc_mmpump_eq">'Cost Equations'!$C$169</definedName>
    <definedName name="pvc_pipe_cost_cl">'Cost Data'!$B$881:$F$902</definedName>
    <definedName name="pvc_pipe_eq_back">'Cost Equations'!$C$57</definedName>
    <definedName name="pvc_pipe_eq_bp">'Cost Equations'!$C$72</definedName>
    <definedName name="pvc_pipe_eq_brine">'Cost Equations'!$C$62</definedName>
    <definedName name="pvc_pipe_eq_caustic">'Cost Equations'!$C$83</definedName>
    <definedName name="pvc_pipe_eq_coag">'Cost Equations'!$C$92</definedName>
    <definedName name="pvc_pipe_eq_in_out">'Cost Equations'!$C$78</definedName>
    <definedName name="pvc_pipe_eq_polymer">'Cost Equations'!$C$95</definedName>
    <definedName name="pvc_pipe_eq_proc">'Cost Equations'!$C$67</definedName>
    <definedName name="pvc_pipe_eq_res">'Cost Equations'!$C$87</definedName>
    <definedName name="pvc_polymer_empump_eq">'Cost Equations'!$C$180</definedName>
    <definedName name="pvc_polymer_mmpump_eq">'Cost Equations'!$C$178</definedName>
    <definedName name="R_ceiling">'O&amp;M Assumptions'!$C$58</definedName>
    <definedName name="R_wall">'O&amp;M Assumptions'!$C$57</definedName>
    <definedName name="rad_annual_fee_cl">'Cost Data'!$B$1683:$C$1685</definedName>
    <definedName name="rad_disposal_cost_cl">'Cost Data'!$D$1688</definedName>
    <definedName name="rad_miles">'Critical Design Assumptions'!$C$214</definedName>
    <definedName name="rad_trans_min_cost_cl">'Cost Data'!$D$1691</definedName>
    <definedName name="rad_transportation_cost_cl">'Cost Data'!$D$1694</definedName>
    <definedName name="Reduction">'Indirect Assumptions'!$C$61</definedName>
    <definedName name="redund_freq">'Critical Design Assumptions'!$C$12</definedName>
    <definedName name="regen_days">'Backwash and Bed Life'!$C$11</definedName>
    <definedName name="regen_flow_annual">'Residuals Management'!$C$21</definedName>
    <definedName name="regen_freq">'Backwash and Bed Life'!$C$42</definedName>
    <definedName name="regen_months">'Backwash and Bed Life'!$C$12</definedName>
    <definedName name="regen_per_month">'Backwash and Bed Life'!$C$43</definedName>
    <definedName name="regen_pump_mtl">'O&amp;M'!$C$10</definedName>
    <definedName name="regen_rate">'Backwash and Bed Life'!$C$41</definedName>
    <definedName name="regen_redun">'Backwash and Bed Life'!$C$46</definedName>
    <definedName name="regen_reuse">'Critical Design Assumptions'!$C$48</definedName>
    <definedName name="regen_type">'Backwash and Bed Life'!$C$5</definedName>
    <definedName name="regen_vol">'Residuals Management'!$C$11</definedName>
    <definedName name="regen_yr">'O&amp;M'!$C$30</definedName>
    <definedName name="regeneration_downtime">'Backwash and Bed Life'!$C$44</definedName>
    <definedName name="res_bearing_area">'Residuals Management'!$C$147</definedName>
    <definedName name="res_block_vol">'Residuals Management'!$C$152</definedName>
    <definedName name="res_cap_factor">'Critical Design Assumptions'!$C$180</definedName>
    <definedName name="res_chv_no_pump">'Critical Design Assumptions'!$C$196</definedName>
    <definedName name="res_chv_pump">'Critical Design Assumptions'!$C$195</definedName>
    <definedName name="res_coag_settle_time">'Critical Design Assumptions'!$C$168</definedName>
    <definedName name="res_eductor_size">'Residuals Management'!$C$123</definedName>
    <definedName name="res_eductors">'Residuals Management'!$C$121</definedName>
    <definedName name="res_eff_transfer_rate">'Residuals Management'!$C$122</definedName>
    <definedName name="res_flow">'Residuals Management'!$C$18</definedName>
    <definedName name="res_flow_actual">'Residuals Management'!$C$16</definedName>
    <definedName name="res_flow_annual">'Residuals Management'!$C$20</definedName>
    <definedName name="res_holding">'Residuals Management'!$C$67</definedName>
    <definedName name="res_meter_size">'Residuals Management'!$C$165</definedName>
    <definedName name="res_MOV_ep">'Critical Design Assumptions'!$E$268</definedName>
    <definedName name="res_MOV_pump">'Critical Design Assumptions'!$E$266</definedName>
    <definedName name="res_MOV_tank">'Critical Design Assumptions'!$E$267</definedName>
    <definedName name="res_outcycle_flow">'Residuals Management'!$C$19</definedName>
    <definedName name="res_outcycle_flow_actual">'Residuals Management'!$C$17</definedName>
    <definedName name="res_outcycle_stagger_time">'Residuals Management'!$C$15</definedName>
    <definedName name="res_outcycle_vol">'Residuals Management'!$C$13</definedName>
    <definedName name="res_pipe_bedding_vol">'Residuals Management'!$C$157</definedName>
    <definedName name="res_pipe_diam">'Residuals Management'!$C$143</definedName>
    <definedName name="res_pipe_length">'Residuals Management'!$C$142</definedName>
    <definedName name="res_pipe_mult">'Critical Design Assumptions'!$C$193</definedName>
    <definedName name="res_pump_energy">'Residuals Management'!$C$171</definedName>
    <definedName name="res_pump_eq">'Cost Equations'!$C$173</definedName>
    <definedName name="res_pump_mtl">'Residuals Management'!$C$172</definedName>
    <definedName name="res_pump_psi">'O&amp;M Assumptions'!$C$36</definedName>
    <definedName name="res_pump_rating">'Residuals Management'!$C$115</definedName>
    <definedName name="res_pumps">'Residuals Management'!$C$114</definedName>
    <definedName name="res_s1_opt">'Residuals Management'!$C$6</definedName>
    <definedName name="res_s1_opt_I">INPUT!$F$62</definedName>
    <definedName name="res_s2_opt">'Residuals Management'!$C$5</definedName>
    <definedName name="res_s2_opt_I">INPUT!$F$61</definedName>
    <definedName name="res_seductor_eq">'Cost Equations'!$C$203</definedName>
    <definedName name="res_slurry_eq">'Cost Equations'!$C$202</definedName>
    <definedName name="res_slurry_pumps">'Residuals Management'!$C$120</definedName>
    <definedName name="res_solids">'Residuals Management'!$C$34</definedName>
    <definedName name="res_stagger_time">'Residuals Management'!$C$14</definedName>
    <definedName name="res_thrust_force">'Residuals Management'!$C$146</definedName>
    <definedName name="res_transfer_method">'Critical Design Assumptions'!$C$188</definedName>
    <definedName name="res_transfer_rate">'Residuals Management'!$C$118</definedName>
    <definedName name="res_transfer_rate_gal">'Residuals Management'!$C$119</definedName>
    <definedName name="res_trench_area">'Residuals Management'!$C$153</definedName>
    <definedName name="res_trench_vol">'Residuals Management'!$C$155</definedName>
    <definedName name="res_trn_depth">'Residuals Management'!$C$145</definedName>
    <definedName name="res_valve_size">'Residuals Management'!$C$160</definedName>
    <definedName name="res_vol">'Residuals Management'!$C$12</definedName>
    <definedName name="res_vol_feed_eq">'Cost Equations'!#REF!</definedName>
    <definedName name="resin_haz_table">'Lookup Tables'!$A$47:$B$52</definedName>
    <definedName name="resin_haz_valid">'Lookup Tables'!$A$47:$A$52</definedName>
    <definedName name="resin_life">'Critical Design Assumptions'!$C$49</definedName>
    <definedName name="resin_loss_annual">'Critical Design Assumptions'!$C$43</definedName>
    <definedName name="resin_loss_vol_annual">'O&amp;M'!$C$16</definedName>
    <definedName name="resin_type_table">'Lookup Tables'!#REF!</definedName>
    <definedName name="resin_volume_total">'Backwash and Bed Life'!$C$33</definedName>
    <definedName name="resin_yr">'O&amp;M'!$C$17</definedName>
    <definedName name="resist_eff">'O&amp;M Assumptions'!$C$63</definedName>
    <definedName name="rinse_BV">'Critical Design Assumptions'!$C$47</definedName>
    <definedName name="rinse_gpm">'Backwash and Bed Life'!$C$22</definedName>
    <definedName name="rinse_rate">'Critical Design Assumptions'!$C$46</definedName>
    <definedName name="rinse_time">'Backwash and Bed Life'!$C$21</definedName>
    <definedName name="rinse_vol">'Backwash and Bed Life'!$C$20</definedName>
    <definedName name="S_back_pump">'Critical Design Assumptions'!$C$137</definedName>
    <definedName name="S_booster_pump">'Critical Design Assumptions'!$C$136</definedName>
    <definedName name="S_chem_feed">'Critical Design Assumptions'!#REF!</definedName>
    <definedName name="S_cm_pump">'Critical Design Assumptions'!$C$140</definedName>
    <definedName name="S_eductor">'Critical Design Assumptions'!$C$138</definedName>
    <definedName name="S_mixer">'Critical Design Assumptions'!$C$139</definedName>
    <definedName name="S_res_pump">'Critical Design Assumptions'!$C$197</definedName>
    <definedName name="SA">'Vessel Constraints'!$C$36</definedName>
    <definedName name="salt_box_days">'Backwash and Bed Life'!$C$59</definedName>
    <definedName name="salt_box_need">'Backwash and Bed Life'!$C$58</definedName>
    <definedName name="salt_box_size">'Backwash and Bed Life'!$C$62</definedName>
    <definedName name="salt_density">'Critical Design Assumptions'!$C$54</definedName>
    <definedName name="salt_purchase">'Backwash and Bed Life'!$C$72</definedName>
    <definedName name="salt_regen">'Backwash and Bed Life'!$C$34</definedName>
    <definedName name="salt_store">'Backwash and Bed Life'!$C$37</definedName>
    <definedName name="salt_year">'O&amp;M'!$C$13</definedName>
    <definedName name="saltbox_dim_table_cl">'Engineering Data'!$A$200:$C$203</definedName>
    <definedName name="saltbox_fp">'Pumps Pipe Structure'!$C$71</definedName>
    <definedName name="sba_res_cost_cl">'Cost Data'!$B$907:$F$913</definedName>
    <definedName name="sec_cont_coating_cvg">'Critical Design Assumptions'!$C$78</definedName>
    <definedName name="sec_cont_freeboard">'Critical Design Assumptions'!$C$76</definedName>
    <definedName name="sec_cont_max_thick">'Critical Design Assumptions'!$C$77</definedName>
    <definedName name="sec_cont_pct_of_largest">'Critical Design Assumptions'!$C$74</definedName>
    <definedName name="sec_cont_pct_of_total">'Critical Design Assumptions'!$C$75</definedName>
    <definedName name="seductor_cost_cl">'Cost Data'!$B$918:$F$925</definedName>
    <definedName name="shifts_day">'Critical Design Assumptions'!$C$147</definedName>
    <definedName name="sitework_cost">Indirect!$C$47</definedName>
    <definedName name="sitework_sf_cl">'Cost Data'!$D$929</definedName>
    <definedName name="soil_dens">'Indirect Assumptions'!$C$59</definedName>
    <definedName name="sol_disp_freq">'Residuals Management'!$C$35</definedName>
    <definedName name="sol_disposal_fee">'Residuals Management'!$C$227</definedName>
    <definedName name="sol_disposal_miles">'Residuals Management'!$C$224</definedName>
    <definedName name="sol_disposal_shipments">'Residuals Management'!$C$221</definedName>
    <definedName name="solids_haz">'Residuals Management'!$C$8</definedName>
    <definedName name="solids_haz_I">INPUT!$F$64</definedName>
    <definedName name="solids_method">'Critical Design Assumptions'!$C$207</definedName>
    <definedName name="solids_pad_area">'Residuals Management'!$C$126</definedName>
    <definedName name="solids_pad_concrete">'Residuals Management'!$C$127</definedName>
    <definedName name="solids_storage_height">'Critical Design Assumptions'!$C$191</definedName>
    <definedName name="source_select">OUTPUT!$C$435</definedName>
    <definedName name="space_bt">'Pumps Pipe Structure'!$C$52</definedName>
    <definedName name="space_coag_st">'Pumps Pipe Structure'!$C$57</definedName>
    <definedName name="space_ht">'Pumps Pipe Structure'!$C$59</definedName>
    <definedName name="space_NaOHdaytank">'Pumps Pipe Structure'!$C$56</definedName>
    <definedName name="space_NaOHtank">'Pumps Pipe Structure'!$C$55</definedName>
    <definedName name="space_office">'Critical Design Assumptions'!$C$158</definedName>
    <definedName name="space_office_small">'Critical Design Assumptions'!$C$159</definedName>
    <definedName name="space_other_equip">'Critical Design Assumptions'!$C$85</definedName>
    <definedName name="space_polymer_st">'Pumps Pipe Structure'!$C$58</definedName>
    <definedName name="space_pumps">'Pumps Pipe Structure'!$C$60</definedName>
    <definedName name="space_pumps_cust">'Critical Design Assumptions'!$C$153</definedName>
    <definedName name="space_pumps_pre">'Critical Design Assumptions'!$C$154</definedName>
    <definedName name="space_ss">'Pumps Pipe Structure'!$C$54</definedName>
    <definedName name="space_st">'Pumps Pipe Structure'!$C$53</definedName>
    <definedName name="space_vessels">'Pumps Pipe Structure'!$C$51</definedName>
    <definedName name="spent_media">'Residuals Management'!$C$39</definedName>
    <definedName name="spent_media_yr">'Residuals Management'!$C$40</definedName>
    <definedName name="ss_cat">OUTPUT!$C$4</definedName>
    <definedName name="ss_cat2">HVAC!$C$5</definedName>
    <definedName name="ss_chv_cost_cl">'Cost Data'!$B$934:$F$948</definedName>
    <definedName name="ss_chv_eq">'Cost Equations'!$C$146</definedName>
    <definedName name="ss_chv_eq_bp">'Cost Equations'!$C$152</definedName>
    <definedName name="ss_chv_eq_brine">'Cost Equations'!$C$155</definedName>
    <definedName name="ss_chv_eq_caustic">'Cost Equations'!$C$157</definedName>
    <definedName name="ss_chv_eq_in">'Cost Equations'!$C$149</definedName>
    <definedName name="ss_chv_eq_polymer">'Cost Equations'!$C$163</definedName>
    <definedName name="ss_chv_eq_res">'Cost Equations'!$C$159</definedName>
    <definedName name="ss_cst_cost_cl">'Cost Data'!$B$953:$F$962</definedName>
    <definedName name="ss_cst_eq">'Cost Equations'!$C$22</definedName>
    <definedName name="ss_ct_eq">'Cost Equations'!$C$26</definedName>
    <definedName name="ss_day_eq">'Cost Equations'!$C$32</definedName>
    <definedName name="ss_diam">'Pumps Pipe Structure'!$C$44</definedName>
    <definedName name="ss_eductor_cost_cl">'Cost Data'!$B$967:$F$976</definedName>
    <definedName name="ss_eductor_eq">'Cost Equations'!$C$200</definedName>
    <definedName name="ss_empump_cost_cl">'Cost Data'!$B$981:$F$994</definedName>
    <definedName name="ss_empump_eq">'Cost Equations'!$C$172</definedName>
    <definedName name="ss_man_cost_cl">'Cost Data'!$B$999:$F$1007</definedName>
    <definedName name="ss_man_eq">'Cost Equations'!$C$122</definedName>
    <definedName name="ss_man_eq_back">'Cost Equations'!$C$128</definedName>
    <definedName name="ss_man_eq_bp">'Cost Equations'!$C$133</definedName>
    <definedName name="ss_man_eq_brine">'Cost Equations'!$C$131</definedName>
    <definedName name="ss_man_eq_caustic">'Cost Equations'!$C$136</definedName>
    <definedName name="ss_man_eq_polymer">'Cost Equations'!$C$142</definedName>
    <definedName name="ss_man_eq_proc">'Cost Equations'!$C$125</definedName>
    <definedName name="ss_man_eq_res">'Cost Equations'!$C$138</definedName>
    <definedName name="ss_mmpump_cost_cl">'Cost Data'!$B$1012:$F$1024</definedName>
    <definedName name="ss_mmpump_eq">'Cost Equations'!$C$170</definedName>
    <definedName name="ss_mov_cost_cl">'Cost Data'!$B$1029:$F$1044</definedName>
    <definedName name="ss_mov_eq_back">'Cost Equations'!$C$104</definedName>
    <definedName name="ss_mov_eq_bp">'Cost Equations'!$C$109</definedName>
    <definedName name="ss_mov_eq_brine">'Cost Equations'!$C$107</definedName>
    <definedName name="ss_mov_eq_caustic">'Cost Equations'!$C$112</definedName>
    <definedName name="ss_mov_eq_polymer">'Cost Equations'!$C$118</definedName>
    <definedName name="ss_mov_eq_res">'Cost Equations'!$C$114</definedName>
    <definedName name="ss_mov_eq_tank">'Cost Equations'!$C$101</definedName>
    <definedName name="ss_pipe_cost_cl">'Cost Data'!$B$1049:$F$1066</definedName>
    <definedName name="ss_pipe_eq_back">'Cost Equations'!$C$58</definedName>
    <definedName name="ss_pipe_eq_bp">'Cost Equations'!$C$73</definedName>
    <definedName name="ss_pipe_eq_brine">'Cost Equations'!$C$63</definedName>
    <definedName name="ss_pipe_eq_caustic">'Cost Equations'!$C$84</definedName>
    <definedName name="ss_pipe_eq_in_out">'Cost Equations'!$C$79</definedName>
    <definedName name="ss_pipe_eq_polymer">'Cost Equations'!$C$96</definedName>
    <definedName name="ss_pipe_eq_proc">'Cost Equations'!$C$68</definedName>
    <definedName name="ss_pipe_eq_res">'Cost Equations'!$C$88</definedName>
    <definedName name="ss_polymer_empump_eq">'Cost Equations'!$C$181</definedName>
    <definedName name="ss_polymer_mmpump_eq">'Cost Equations'!$C$179</definedName>
    <definedName name="ss_polymer_st_eq">'Cost Equations'!$C$53</definedName>
    <definedName name="ss_pv_cost_cl">'Cost Data'!$B$1071:$F$1076</definedName>
    <definedName name="ss_pv_eq">'Cost Equations'!$C$6</definedName>
    <definedName name="st_bwt_cost_cl">'Cost Data'!$B$1081:$F$1090</definedName>
    <definedName name="st_bwt_eq">'Cost Equations'!$C$16</definedName>
    <definedName name="st_ht_eq">'Cost Equations'!$C$44</definedName>
    <definedName name="st_pipe_cost_cl">'Cost Data'!$B$1095:$F$1113</definedName>
    <definedName name="st_pipe_eq_back">'Cost Equations'!$C$59</definedName>
    <definedName name="st_pipe_eq_bp">'Cost Equations'!$C$74</definedName>
    <definedName name="st_pipe_eq_in_out">'Cost Equations'!$C$80</definedName>
    <definedName name="st_pipe_eq_polymer">'Cost Equations'!$C$97</definedName>
    <definedName name="st_pipe_eq_proc">'Cost Equations'!$C$69</definedName>
    <definedName name="st_pipe_eq_res">'Cost Equations'!$C$89</definedName>
    <definedName name="stake_out_cost_cl">'Cost Data'!$B$1118:$F$1118</definedName>
    <definedName name="std_base">Indirect!$C$13</definedName>
    <definedName name="std_cool">Indirect!$C$25</definedName>
    <definedName name="std_design_params">'Standard Inputs'!$A$8:$AE$64</definedName>
    <definedName name="std_gen_cost_cl">'Cost Data'!$B$1123:$F$1143</definedName>
    <definedName name="std_heat">Indirect!$C$19</definedName>
    <definedName name="std_power">Indirect!$C$27</definedName>
    <definedName name="std_power_cost">Indirect!$C$28</definedName>
    <definedName name="std_safety_factor">'Indirect Assumptions'!$C$33</definedName>
    <definedName name="storage_height">'Critical Design Assumptions'!$C$55</definedName>
    <definedName name="store_fp">'Pumps Pipe Structure'!$C$72</definedName>
    <definedName name="SW_permit_cost_cl">'Cost Data'!$B$1699:$C$1701</definedName>
    <definedName name="switch_cost_cl">'Cost Data'!$B$1148:$F$1148</definedName>
    <definedName name="system_automation_valid">'Lookup Tables'!$A$26:$A$29</definedName>
    <definedName name="system_cost">OUTPUT!$C$381</definedName>
    <definedName name="t_I">'Critical Design Assumptions'!$C$64</definedName>
    <definedName name="T_K">'pH Adjust'!$C$8</definedName>
    <definedName name="t_minus25">'pH Adjust'!$C$6</definedName>
    <definedName name="TAC_pct_cap">Indirect!$C$96</definedName>
    <definedName name="TAC_pct_OM">Indirect!$C$97</definedName>
    <definedName name="tank_geom">'Vessel Constraints'!$C$14</definedName>
    <definedName name="tank_geom_I">INPUT!$F$45</definedName>
    <definedName name="tank_valve_size">'Instrumentation and Control'!$C$10</definedName>
    <definedName name="target_bed_depth_horiz">'Critical Design Assumptions'!$C$29</definedName>
    <definedName name="target_bed_depth_over">'Critical Design Assumptions'!$C$28</definedName>
    <definedName name="target_bed_depth_under">'Critical Design Assumptions'!$C$27</definedName>
    <definedName name="tax_pct">'Indirect Assumptions'!$C$92</definedName>
    <definedName name="TDB_link">'Lookup Tables'!$A$59</definedName>
    <definedName name="TDB_link_table_cl">'Engineering Data'!$A$207:$B$245</definedName>
    <definedName name="TDS_I">'Critical Design Assumptions'!$C$63</definedName>
    <definedName name="tech_fp">Indirect!$C$31</definedName>
    <definedName name="tech_name">OUTPUT!$C$3</definedName>
    <definedName name="temp_meter_cost_cl">'Cost Data'!$B$1153:$F$1153</definedName>
    <definedName name="temp_meters">'Critical Design Assumptions'!$C$117</definedName>
    <definedName name="temp_meters_small">'Critical Design Assumptions'!$C$118</definedName>
    <definedName name="term1_f">'pH Adjust'!$C$27</definedName>
    <definedName name="term1_i">'pH Adjust'!$C$20</definedName>
    <definedName name="term2_f">'pH Adjust'!$C$28</definedName>
    <definedName name="term2_i">'pH Adjust'!$C$21</definedName>
    <definedName name="term3_f">'pH Adjust'!$C$29</definedName>
    <definedName name="term3_i">'pH Adjust'!$C$22</definedName>
    <definedName name="term4_f">'pH Adjust'!$C$30</definedName>
    <definedName name="term4_i">'pH Adjust'!$C$23</definedName>
    <definedName name="term5_f">'pH Adjust'!$C$31</definedName>
    <definedName name="term5_i">'pH Adjust'!$C$24</definedName>
    <definedName name="term6_i">'pH Adjust'!$C$25</definedName>
    <definedName name="throwaway_I">INPUT!$F$34</definedName>
    <definedName name="thrust_block_table_cl">'Engineering Data'!$A$251:$B$267</definedName>
    <definedName name="thrust_force">Indirect!$C$52</definedName>
    <definedName name="time_regen">'Critical Design Assumptions'!$C$50</definedName>
    <definedName name="Top_bottom_Vessel_space">'Critical Design Assumptions'!$C$157</definedName>
    <definedName name="tot_back_alarm">'Instrumentation and Control'!$C$49</definedName>
    <definedName name="tot_back_chv">'Instrumentation and Control'!$C$37</definedName>
    <definedName name="tot_back_man">'Instrumentation and Control'!$C$30</definedName>
    <definedName name="tot_back_MOVs">'Instrumentation and Control'!$C$20</definedName>
    <definedName name="tot_bp_chv">'Critical Design Assumptions'!$C$103</definedName>
    <definedName name="tot_bp_chv_small">'Critical Design Assumptions'!$C$104</definedName>
    <definedName name="tot_bp_man">'Instrumentation and Control'!$C$33</definedName>
    <definedName name="tot_bp_MOVs">'Instrumentation and Control'!$C$23</definedName>
    <definedName name="tot_brine_alarm">'Instrumentation and Control'!$C$50</definedName>
    <definedName name="tot_brine_man">'Instrumentation and Control'!$C$31</definedName>
    <definedName name="tot_brine_MOVs">'Instrumentation and Control'!$C$21</definedName>
    <definedName name="tot_caustic_alarm">'Instrumentation and Control'!$C$51</definedName>
    <definedName name="tot_caustic_chv">'Instrumentation and Control'!$C$38</definedName>
    <definedName name="tot_caustic_man">'Instrumentation and Control'!$C$32</definedName>
    <definedName name="tot_caustic_MOVs">'Instrumentation and Control'!$C$22</definedName>
    <definedName name="tot_chem">'O&amp;M'!$C$29</definedName>
    <definedName name="tot_coag_chv">'Instrumentation and Control'!$C$39</definedName>
    <definedName name="tot_coag_man">'Instrumentation and Control'!$C$34</definedName>
    <definedName name="tot_coag_MOVs">'Instrumentation and Control'!$C$24</definedName>
    <definedName name="tot_cond_meters">'Instrumentation and Control'!$C$54</definedName>
    <definedName name="tot_fm_back">'Instrumentation and Control'!$C$46</definedName>
    <definedName name="tot_fm_in">'Critical Design Assumptions'!$C$106</definedName>
    <definedName name="tot_fm_proc">'Instrumentation and Control'!$C$45</definedName>
    <definedName name="tot_fm_res">'Critical Design Assumptions'!$C$198</definedName>
    <definedName name="tot_head_sens">'Instrumentation and Control'!$C$55</definedName>
    <definedName name="tot_in_chv">'Critical Design Assumptions'!$C$102</definedName>
    <definedName name="tot_inst">'O&amp;M'!$C$24</definedName>
    <definedName name="tot_inst_maint">'O&amp;M'!$C$25</definedName>
    <definedName name="tot_level_switch">'Instrumentation and Control'!$C$48</definedName>
    <definedName name="tot_man_valves">'Critical Design Assumptions'!$C$95</definedName>
    <definedName name="tot_MOVs">'Instrumentation and Control'!$C$26</definedName>
    <definedName name="tot_polymer_chv">'Instrumentation and Control'!$C$40</definedName>
    <definedName name="tot_polymer_man">'Instrumentation and Control'!$C$35</definedName>
    <definedName name="tot_polymer_MOVs">'Instrumentation and Control'!$C$25</definedName>
    <definedName name="tot_proc_man">'Instrumentation and Control'!$C$29</definedName>
    <definedName name="tot_proc_MOVs">'Instrumentation and Control'!$C$19</definedName>
    <definedName name="tot_pumps">'O&amp;M'!$C$26</definedName>
    <definedName name="tot_pumps_maint">'O&amp;M'!$C$27</definedName>
    <definedName name="tot_res_alarm">'Residuals Management'!$C$164</definedName>
    <definedName name="tot_res_chv">'Residuals Management'!$C$163</definedName>
    <definedName name="tot_switches">'Instrumentation and Control'!$C$57</definedName>
    <definedName name="tot_turb_meters">'Instrumentation and Control'!$C$53</definedName>
    <definedName name="tot_valves">'O&amp;M'!$C$28</definedName>
    <definedName name="total_backwash">'Backwash and Bed Life'!$C$23</definedName>
    <definedName name="total_booster_pumps">'Pumps Pipe Structure'!$C$8</definedName>
    <definedName name="total_direct_depreciation">OUTPUT!$X$340</definedName>
    <definedName name="total_downtime">'Backwash and Bed Life'!$C$45</definedName>
    <definedName name="total_fp">'Pumps Pipe Structure'!$C$84</definedName>
    <definedName name="total_hvol_ft">'Residuals Management'!$C$55</definedName>
    <definedName name="total_media">'Vessel Constraints'!$C$44</definedName>
    <definedName name="total_res_man">'Residuals Management'!$C$162</definedName>
    <definedName name="total_res_MOVs">'Residuals Management'!$C$161</definedName>
    <definedName name="transfer_time">'Critical Design Assumptions'!$C$189</definedName>
    <definedName name="treated_water_corr_ctrl_valid">'Lookup Tables'!$A$31:$A$33</definedName>
    <definedName name="trench_angle">'Indirect Assumptions'!$C$64</definedName>
    <definedName name="trench_area">Indirect!$C$59</definedName>
    <definedName name="trench_depth">Indirect!$C$51</definedName>
    <definedName name="trench_vol">Indirect!$C$64</definedName>
    <definedName name="TSS_residuals">'Residuals Management'!$C$26</definedName>
    <definedName name="TSS_residuals_dis">'Residuals Management'!$C$191</definedName>
    <definedName name="turb_tank">'Critical Design Assumptions'!$C$119</definedName>
    <definedName name="turb_tank_small">'Critical Design Assumptions'!$C$120</definedName>
    <definedName name="turbidimeter_cost_cl">'Cost Data'!$B$1158:$F$1158</definedName>
    <definedName name="UBC_mult_table_cl">'Cost Data'!$B$1706:$D$1713</definedName>
    <definedName name="uloe_autoregen">'O&amp;M Assumptions'!$C$25</definedName>
    <definedName name="uloe_chem_maint">'O&amp;M Assumptions'!$C$32</definedName>
    <definedName name="uloe_fp">'O&amp;M Assumptions'!$C$24</definedName>
    <definedName name="uloe_inst">'O&amp;M Assumptions'!$C$20</definedName>
    <definedName name="uloe_inst_auto">'O&amp;M Assumptions'!$C$21</definedName>
    <definedName name="uloe_inst_maint">'O&amp;M Assumptions'!$C$29</definedName>
    <definedName name="uloe_pump">'O&amp;M Assumptions'!$C$22</definedName>
    <definedName name="uloe_pump_maint">'O&amp;M Assumptions'!$C$30</definedName>
    <definedName name="uloe_throwaway">'O&amp;M Assumptions'!$C$26</definedName>
    <definedName name="uloe_valve">'O&amp;M Assumptions'!$C$23</definedName>
    <definedName name="uloe_valve_maint">'O&amp;M Assumptions'!$C$31</definedName>
    <definedName name="underdrain_horiz_void">'Vessel Constraints'!$C$60</definedName>
    <definedName name="ups">'Critical Design Assumptions'!$C$145</definedName>
    <definedName name="ups_cost_cl">'Cost Data'!$B$1163:$F$1163</definedName>
    <definedName name="use_autosize">INPUT!$B$42</definedName>
    <definedName name="use_column">OUTPUT!$L$34:$L$338</definedName>
    <definedName name="useful_life">OUTPUT!$C$439</definedName>
    <definedName name="v_diam">'Critical Design Assumptions'!$C$16</definedName>
    <definedName name="valve_table">'Critical Design Assumptions'!$B$253:$E$290</definedName>
    <definedName name="ven_fm_cost_cl">'Cost Data'!$B$1168:$F$1185</definedName>
    <definedName name="ven_fm_eq_back">'Cost Equations'!$C$221</definedName>
    <definedName name="ven_fm_eq_in">'Cost Equations'!$C$211</definedName>
    <definedName name="ven_fm_eq_proc">'Cost Equations'!$C$216</definedName>
    <definedName name="ven_fm_eq_res">'Cost Equations'!$C$226</definedName>
    <definedName name="ventilation">HVAC!$C$16</definedName>
    <definedName name="vert_vol_available">'Vessel Constraints'!$C$64</definedName>
    <definedName name="vessel_fp">'Pumps Pipe Structure'!$C$63</definedName>
    <definedName name="vessel_size_table_cl">'Engineering Data'!$A$275:$C$297</definedName>
    <definedName name="Vessel_thickness">'Critical Design Assumptions'!$C$21</definedName>
    <definedName name="void_above">'Vessel Constraints'!$C$25</definedName>
    <definedName name="vol_brine">'Backwash and Bed Life'!$C$36</definedName>
    <definedName name="vol_brine_sat">'Backwash and Bed Life'!$C$35</definedName>
    <definedName name="vol_regen">'Backwash and Bed Life'!$C$40</definedName>
    <definedName name="vol_tol">'Vessel Constraints'!#REF!</definedName>
    <definedName name="vol_tol_horiz">'Critical Design Assumptions'!#REF!</definedName>
    <definedName name="vol_tol_vert_med">'Critical Design Assumptions'!#REF!</definedName>
    <definedName name="vol_tol_vert_small">'Critical Design Assumptions'!#REF!</definedName>
    <definedName name="vol_vessel">'Vessel Constraints'!$C$35</definedName>
    <definedName name="waste_heat_bw_pumps">HVAC!$C$46</definedName>
    <definedName name="waste_heat_pumps">HVAC!$C$44</definedName>
    <definedName name="water_flush">'Backwash and Bed Life'!$C$16</definedName>
    <definedName name="waterflush_vol">'Backwash and Bed Life'!$C$17</definedName>
    <definedName name="winter_days">'Critical Design Assumptions'!$C$219</definedName>
    <definedName name="workstation_ratio">'Critical Design Assumptions'!$C$146</definedName>
    <definedName name="workstations">'Instrumentation and Control'!$C$77</definedName>
    <definedName name="yard_cost">Indirect!$C$75</definedName>
    <definedName name="yard_in">'Indirect Assumptions'!$C$65</definedName>
    <definedName name="yard_out">'Indirect Assumptions'!$C$66</definedName>
    <definedName name="yard_pipe_diam">Indirect!$C$50</definedName>
    <definedName name="yard_pipe_length">Indirect!$C$65</definedName>
    <definedName name="yes_no_valid">'Lookup Tables'!$A$61:$A$63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07" i="8" l="1"/>
  <c r="C8" i="23"/>
  <c r="C209" i="32" s="1"/>
  <c r="C208" i="32"/>
  <c r="C39" i="3"/>
  <c r="C16" i="12"/>
  <c r="C17" i="12" s="1"/>
  <c r="C428" i="8" l="1"/>
  <c r="A59" i="36"/>
  <c r="Q257" i="14"/>
  <c r="P257" i="14"/>
  <c r="O257" i="14"/>
  <c r="N257" i="14"/>
  <c r="M257" i="14"/>
  <c r="L257" i="14"/>
  <c r="K257" i="14"/>
  <c r="J257" i="14"/>
  <c r="I257" i="14"/>
  <c r="H257" i="14"/>
  <c r="G257" i="14"/>
  <c r="F257" i="14"/>
  <c r="Q253" i="14"/>
  <c r="P253" i="14"/>
  <c r="O253" i="14"/>
  <c r="N253" i="14"/>
  <c r="M253" i="14"/>
  <c r="L253" i="14"/>
  <c r="K253" i="14"/>
  <c r="J253" i="14"/>
  <c r="I253" i="14"/>
  <c r="H253" i="14"/>
  <c r="G253" i="14"/>
  <c r="F253" i="14"/>
  <c r="Q252" i="14"/>
  <c r="P252" i="14"/>
  <c r="O252" i="14"/>
  <c r="N252" i="14"/>
  <c r="M252" i="14"/>
  <c r="L252" i="14"/>
  <c r="K252" i="14"/>
  <c r="J252" i="14"/>
  <c r="I252" i="14"/>
  <c r="H252" i="14"/>
  <c r="G252" i="14"/>
  <c r="F252" i="14"/>
  <c r="Q251" i="14"/>
  <c r="P251" i="14"/>
  <c r="O251" i="14"/>
  <c r="N251" i="14"/>
  <c r="M251" i="14"/>
  <c r="L251" i="14"/>
  <c r="K251" i="14"/>
  <c r="J251" i="14"/>
  <c r="I251" i="14"/>
  <c r="H251" i="14"/>
  <c r="G251" i="14"/>
  <c r="F251" i="14"/>
  <c r="Q250" i="14"/>
  <c r="P250" i="14"/>
  <c r="O250" i="14"/>
  <c r="N250" i="14"/>
  <c r="M250" i="14"/>
  <c r="L250" i="14"/>
  <c r="K250" i="14"/>
  <c r="J250" i="14"/>
  <c r="I250" i="14"/>
  <c r="H250" i="14"/>
  <c r="G250" i="14"/>
  <c r="F250" i="14"/>
  <c r="Q249" i="14"/>
  <c r="P249" i="14"/>
  <c r="O249" i="14"/>
  <c r="N249" i="14"/>
  <c r="M249" i="14"/>
  <c r="L249" i="14"/>
  <c r="K249" i="14"/>
  <c r="J249" i="14"/>
  <c r="I249" i="14"/>
  <c r="H249" i="14"/>
  <c r="G249" i="14"/>
  <c r="F249" i="14"/>
  <c r="Q248" i="14"/>
  <c r="P248" i="14"/>
  <c r="O248" i="14"/>
  <c r="N248" i="14"/>
  <c r="M248" i="14"/>
  <c r="L248" i="14"/>
  <c r="K248" i="14"/>
  <c r="J248" i="14"/>
  <c r="I248" i="14"/>
  <c r="H248" i="14"/>
  <c r="G248" i="14"/>
  <c r="F248" i="14"/>
  <c r="Q247" i="14"/>
  <c r="P247" i="14"/>
  <c r="O247" i="14"/>
  <c r="N247" i="14"/>
  <c r="M247" i="14"/>
  <c r="L247" i="14"/>
  <c r="K247" i="14"/>
  <c r="J247" i="14"/>
  <c r="I247" i="14"/>
  <c r="H247" i="14"/>
  <c r="G247" i="14"/>
  <c r="F247" i="14"/>
  <c r="Q245" i="14"/>
  <c r="P245" i="14"/>
  <c r="O245" i="14"/>
  <c r="N245" i="14"/>
  <c r="M245" i="14"/>
  <c r="L245" i="14"/>
  <c r="K245" i="14"/>
  <c r="J245" i="14"/>
  <c r="I245" i="14"/>
  <c r="H245" i="14"/>
  <c r="G245" i="14"/>
  <c r="F245" i="14"/>
  <c r="Q244" i="14"/>
  <c r="P244" i="14"/>
  <c r="O244" i="14"/>
  <c r="N244" i="14"/>
  <c r="M244" i="14"/>
  <c r="L244" i="14"/>
  <c r="K244" i="14"/>
  <c r="J244" i="14"/>
  <c r="I244" i="14"/>
  <c r="H244" i="14"/>
  <c r="G244" i="14"/>
  <c r="F244" i="14"/>
  <c r="Q243" i="14"/>
  <c r="P243" i="14"/>
  <c r="O243" i="14"/>
  <c r="N243" i="14"/>
  <c r="M243" i="14"/>
  <c r="L243" i="14"/>
  <c r="K243" i="14"/>
  <c r="J243" i="14"/>
  <c r="I243" i="14"/>
  <c r="H243" i="14"/>
  <c r="G243" i="14"/>
  <c r="F243" i="14"/>
  <c r="Q242" i="14"/>
  <c r="P242" i="14"/>
  <c r="O242" i="14"/>
  <c r="N242" i="14"/>
  <c r="M242" i="14"/>
  <c r="L242" i="14"/>
  <c r="K242" i="14"/>
  <c r="J242" i="14"/>
  <c r="I242" i="14"/>
  <c r="H242" i="14"/>
  <c r="G242" i="14"/>
  <c r="F242" i="14"/>
  <c r="Q240" i="14"/>
  <c r="P240" i="14"/>
  <c r="O240" i="14"/>
  <c r="N240" i="14"/>
  <c r="M240" i="14"/>
  <c r="L240" i="14"/>
  <c r="K240" i="14"/>
  <c r="J240" i="14"/>
  <c r="I240" i="14"/>
  <c r="H240" i="14"/>
  <c r="G240" i="14"/>
  <c r="F240" i="14"/>
  <c r="Q239" i="14"/>
  <c r="P239" i="14"/>
  <c r="O239" i="14"/>
  <c r="N239" i="14"/>
  <c r="M239" i="14"/>
  <c r="L239" i="14"/>
  <c r="K239" i="14"/>
  <c r="J239" i="14"/>
  <c r="I239" i="14"/>
  <c r="H239" i="14"/>
  <c r="G239" i="14"/>
  <c r="F239" i="14"/>
  <c r="Q238" i="14"/>
  <c r="P238" i="14"/>
  <c r="O238" i="14"/>
  <c r="N238" i="14"/>
  <c r="M238" i="14"/>
  <c r="L238" i="14"/>
  <c r="K238" i="14"/>
  <c r="J238" i="14"/>
  <c r="I238" i="14"/>
  <c r="H238" i="14"/>
  <c r="G238" i="14"/>
  <c r="F238" i="14"/>
  <c r="Q237" i="14"/>
  <c r="P237" i="14"/>
  <c r="O237" i="14"/>
  <c r="N237" i="14"/>
  <c r="M237" i="14"/>
  <c r="L237" i="14"/>
  <c r="K237" i="14"/>
  <c r="J237" i="14"/>
  <c r="I237" i="14"/>
  <c r="H237" i="14"/>
  <c r="G237" i="14"/>
  <c r="F237" i="14"/>
  <c r="Q236" i="14"/>
  <c r="P236" i="14"/>
  <c r="O236" i="14"/>
  <c r="N236" i="14"/>
  <c r="M236" i="14"/>
  <c r="L236" i="14"/>
  <c r="K236" i="14"/>
  <c r="J236" i="14"/>
  <c r="I236" i="14"/>
  <c r="H236" i="14"/>
  <c r="G236" i="14"/>
  <c r="F236" i="14"/>
  <c r="Q235" i="14"/>
  <c r="P235" i="14"/>
  <c r="O235" i="14"/>
  <c r="N235" i="14"/>
  <c r="M235" i="14"/>
  <c r="L235" i="14"/>
  <c r="K235" i="14"/>
  <c r="J235" i="14"/>
  <c r="I235" i="14"/>
  <c r="H235" i="14"/>
  <c r="G235" i="14"/>
  <c r="F235" i="14"/>
  <c r="Q234" i="14"/>
  <c r="P234" i="14"/>
  <c r="O234" i="14"/>
  <c r="N234" i="14"/>
  <c r="M234" i="14"/>
  <c r="L234" i="14"/>
  <c r="K234" i="14"/>
  <c r="J234" i="14"/>
  <c r="I234" i="14"/>
  <c r="H234" i="14"/>
  <c r="G234" i="14"/>
  <c r="F234" i="14"/>
  <c r="Q233" i="14"/>
  <c r="P233" i="14"/>
  <c r="O233" i="14"/>
  <c r="N233" i="14"/>
  <c r="M233" i="14"/>
  <c r="L233" i="14"/>
  <c r="K233" i="14"/>
  <c r="J233" i="14"/>
  <c r="I233" i="14"/>
  <c r="H233" i="14"/>
  <c r="G233" i="14"/>
  <c r="F233" i="14"/>
  <c r="Q232" i="14"/>
  <c r="P232" i="14"/>
  <c r="O232" i="14"/>
  <c r="N232" i="14"/>
  <c r="M232" i="14"/>
  <c r="L232" i="14"/>
  <c r="K232" i="14"/>
  <c r="J232" i="14"/>
  <c r="I232" i="14"/>
  <c r="H232" i="14"/>
  <c r="G232" i="14"/>
  <c r="F232" i="14"/>
  <c r="Q231" i="14"/>
  <c r="P231" i="14"/>
  <c r="O231" i="14"/>
  <c r="N231" i="14"/>
  <c r="M231" i="14"/>
  <c r="L231" i="14"/>
  <c r="K231" i="14"/>
  <c r="J231" i="14"/>
  <c r="I231" i="14"/>
  <c r="H231" i="14"/>
  <c r="G231" i="14"/>
  <c r="F231" i="14"/>
  <c r="Q230" i="14"/>
  <c r="P230" i="14"/>
  <c r="O230" i="14"/>
  <c r="N230" i="14"/>
  <c r="M230" i="14"/>
  <c r="L230" i="14"/>
  <c r="K230" i="14"/>
  <c r="J230" i="14"/>
  <c r="I230" i="14"/>
  <c r="H230" i="14"/>
  <c r="G230" i="14"/>
  <c r="F230" i="14"/>
  <c r="Q229" i="14"/>
  <c r="P229" i="14"/>
  <c r="O229" i="14"/>
  <c r="N229" i="14"/>
  <c r="M229" i="14"/>
  <c r="L229" i="14"/>
  <c r="K229" i="14"/>
  <c r="J229" i="14"/>
  <c r="I229" i="14"/>
  <c r="H229" i="14"/>
  <c r="G229" i="14"/>
  <c r="F229" i="14"/>
  <c r="Q228" i="14"/>
  <c r="P228" i="14"/>
  <c r="O228" i="14"/>
  <c r="N228" i="14"/>
  <c r="M228" i="14"/>
  <c r="L228" i="14"/>
  <c r="K228" i="14"/>
  <c r="J228" i="14"/>
  <c r="I228" i="14"/>
  <c r="H228" i="14"/>
  <c r="G228" i="14"/>
  <c r="F228" i="14"/>
  <c r="Q227" i="14"/>
  <c r="P227" i="14"/>
  <c r="O227" i="14"/>
  <c r="N227" i="14"/>
  <c r="M227" i="14"/>
  <c r="L227" i="14"/>
  <c r="K227" i="14"/>
  <c r="J227" i="14"/>
  <c r="I227" i="14"/>
  <c r="H227" i="14"/>
  <c r="G227" i="14"/>
  <c r="F227" i="14"/>
  <c r="Q226" i="14"/>
  <c r="P226" i="14"/>
  <c r="O226" i="14"/>
  <c r="N226" i="14"/>
  <c r="M226" i="14"/>
  <c r="L226" i="14"/>
  <c r="K226" i="14"/>
  <c r="J226" i="14"/>
  <c r="I226" i="14"/>
  <c r="H226" i="14"/>
  <c r="G226" i="14"/>
  <c r="F226" i="14"/>
  <c r="Q225" i="14"/>
  <c r="P225" i="14"/>
  <c r="O225" i="14"/>
  <c r="N225" i="14"/>
  <c r="M225" i="14"/>
  <c r="L225" i="14"/>
  <c r="K225" i="14"/>
  <c r="J225" i="14"/>
  <c r="I225" i="14"/>
  <c r="H225" i="14"/>
  <c r="G225" i="14"/>
  <c r="F225" i="14"/>
  <c r="Q224" i="14"/>
  <c r="P224" i="14"/>
  <c r="O224" i="14"/>
  <c r="N224" i="14"/>
  <c r="M224" i="14"/>
  <c r="L224" i="14"/>
  <c r="K224" i="14"/>
  <c r="J224" i="14"/>
  <c r="I224" i="14"/>
  <c r="H224" i="14"/>
  <c r="G224" i="14"/>
  <c r="F224" i="14"/>
  <c r="Q222" i="14"/>
  <c r="P222" i="14"/>
  <c r="O222" i="14"/>
  <c r="N222" i="14"/>
  <c r="M222" i="14"/>
  <c r="L222" i="14"/>
  <c r="K222" i="14"/>
  <c r="J222" i="14"/>
  <c r="I222" i="14"/>
  <c r="H222" i="14"/>
  <c r="G222" i="14"/>
  <c r="F222" i="14"/>
  <c r="Q221" i="14"/>
  <c r="P221" i="14"/>
  <c r="O221" i="14"/>
  <c r="N221" i="14"/>
  <c r="M221" i="14"/>
  <c r="L221" i="14"/>
  <c r="K221" i="14"/>
  <c r="J221" i="14"/>
  <c r="I221" i="14"/>
  <c r="H221" i="14"/>
  <c r="G221" i="14"/>
  <c r="F221" i="14"/>
  <c r="Q220" i="14"/>
  <c r="P220" i="14"/>
  <c r="O220" i="14"/>
  <c r="N220" i="14"/>
  <c r="M220" i="14"/>
  <c r="L220" i="14"/>
  <c r="K220" i="14"/>
  <c r="J220" i="14"/>
  <c r="I220" i="14"/>
  <c r="H220" i="14"/>
  <c r="G220" i="14"/>
  <c r="F220" i="14"/>
  <c r="Q219" i="14"/>
  <c r="P219" i="14"/>
  <c r="O219" i="14"/>
  <c r="N219" i="14"/>
  <c r="M219" i="14"/>
  <c r="L219" i="14"/>
  <c r="K219" i="14"/>
  <c r="J219" i="14"/>
  <c r="I219" i="14"/>
  <c r="H219" i="14"/>
  <c r="G219" i="14"/>
  <c r="F219" i="14"/>
  <c r="Q217" i="14"/>
  <c r="P217" i="14"/>
  <c r="O217" i="14"/>
  <c r="N217" i="14"/>
  <c r="M217" i="14"/>
  <c r="L217" i="14"/>
  <c r="K217" i="14"/>
  <c r="J217" i="14"/>
  <c r="I217" i="14"/>
  <c r="H217" i="14"/>
  <c r="G217" i="14"/>
  <c r="F217" i="14"/>
  <c r="Q216" i="14"/>
  <c r="P216" i="14"/>
  <c r="O216" i="14"/>
  <c r="N216" i="14"/>
  <c r="M216" i="14"/>
  <c r="L216" i="14"/>
  <c r="K216" i="14"/>
  <c r="J216" i="14"/>
  <c r="I216" i="14"/>
  <c r="H216" i="14"/>
  <c r="G216" i="14"/>
  <c r="F216" i="14"/>
  <c r="Q215" i="14"/>
  <c r="P215" i="14"/>
  <c r="O215" i="14"/>
  <c r="N215" i="14"/>
  <c r="M215" i="14"/>
  <c r="L215" i="14"/>
  <c r="K215" i="14"/>
  <c r="J215" i="14"/>
  <c r="I215" i="14"/>
  <c r="H215" i="14"/>
  <c r="G215" i="14"/>
  <c r="F215" i="14"/>
  <c r="Q214" i="14"/>
  <c r="P214" i="14"/>
  <c r="O214" i="14"/>
  <c r="N214" i="14"/>
  <c r="M214" i="14"/>
  <c r="L214" i="14"/>
  <c r="K214" i="14"/>
  <c r="J214" i="14"/>
  <c r="I214" i="14"/>
  <c r="H214" i="14"/>
  <c r="G214" i="14"/>
  <c r="F214" i="14"/>
  <c r="Q212" i="14"/>
  <c r="P212" i="14"/>
  <c r="O212" i="14"/>
  <c r="N212" i="14"/>
  <c r="M212" i="14"/>
  <c r="L212" i="14"/>
  <c r="K212" i="14"/>
  <c r="J212" i="14"/>
  <c r="I212" i="14"/>
  <c r="H212" i="14"/>
  <c r="G212" i="14"/>
  <c r="F212" i="14"/>
  <c r="Q211" i="14"/>
  <c r="P211" i="14"/>
  <c r="O211" i="14"/>
  <c r="N211" i="14"/>
  <c r="M211" i="14"/>
  <c r="L211" i="14"/>
  <c r="K211" i="14"/>
  <c r="J211" i="14"/>
  <c r="I211" i="14"/>
  <c r="H211" i="14"/>
  <c r="G211" i="14"/>
  <c r="F211" i="14"/>
  <c r="Q210" i="14"/>
  <c r="P210" i="14"/>
  <c r="O210" i="14"/>
  <c r="N210" i="14"/>
  <c r="M210" i="14"/>
  <c r="L210" i="14"/>
  <c r="K210" i="14"/>
  <c r="J210" i="14"/>
  <c r="I210" i="14"/>
  <c r="H210" i="14"/>
  <c r="G210" i="14"/>
  <c r="F210" i="14"/>
  <c r="Q209" i="14"/>
  <c r="P209" i="14"/>
  <c r="O209" i="14"/>
  <c r="N209" i="14"/>
  <c r="M209" i="14"/>
  <c r="L209" i="14"/>
  <c r="K209" i="14"/>
  <c r="J209" i="14"/>
  <c r="I209" i="14"/>
  <c r="H209" i="14"/>
  <c r="G209" i="14"/>
  <c r="F209" i="14"/>
  <c r="Q206" i="14"/>
  <c r="P206" i="14"/>
  <c r="O206" i="14"/>
  <c r="N206" i="14"/>
  <c r="M206" i="14"/>
  <c r="L206" i="14"/>
  <c r="K206" i="14"/>
  <c r="J206" i="14"/>
  <c r="I206" i="14"/>
  <c r="H206" i="14"/>
  <c r="G206" i="14"/>
  <c r="F206" i="14"/>
  <c r="Q205" i="14"/>
  <c r="P205" i="14"/>
  <c r="O205" i="14"/>
  <c r="N205" i="14"/>
  <c r="M205" i="14"/>
  <c r="L205" i="14"/>
  <c r="K205" i="14"/>
  <c r="J205" i="14"/>
  <c r="I205" i="14"/>
  <c r="H205" i="14"/>
  <c r="G205" i="14"/>
  <c r="F205" i="14"/>
  <c r="Q203" i="14"/>
  <c r="P203" i="14"/>
  <c r="O203" i="14"/>
  <c r="N203" i="14"/>
  <c r="M203" i="14"/>
  <c r="L203" i="14"/>
  <c r="K203" i="14"/>
  <c r="J203" i="14"/>
  <c r="I203" i="14"/>
  <c r="H203" i="14"/>
  <c r="G203" i="14"/>
  <c r="F203" i="14"/>
  <c r="Q202" i="14"/>
  <c r="P202" i="14"/>
  <c r="O202" i="14"/>
  <c r="N202" i="14"/>
  <c r="M202" i="14"/>
  <c r="L202" i="14"/>
  <c r="K202" i="14"/>
  <c r="J202" i="14"/>
  <c r="I202" i="14"/>
  <c r="H202" i="14"/>
  <c r="G202" i="14"/>
  <c r="F202" i="14"/>
  <c r="Q201" i="14"/>
  <c r="P201" i="14"/>
  <c r="O201" i="14"/>
  <c r="N201" i="14"/>
  <c r="M201" i="14"/>
  <c r="L201" i="14"/>
  <c r="K201" i="14"/>
  <c r="J201" i="14"/>
  <c r="I201" i="14"/>
  <c r="H201" i="14"/>
  <c r="G201" i="14"/>
  <c r="F201" i="14"/>
  <c r="Q200" i="14"/>
  <c r="P200" i="14"/>
  <c r="O200" i="14"/>
  <c r="N200" i="14"/>
  <c r="M200" i="14"/>
  <c r="L200" i="14"/>
  <c r="K200" i="14"/>
  <c r="J200" i="14"/>
  <c r="I200" i="14"/>
  <c r="H200" i="14"/>
  <c r="G200" i="14"/>
  <c r="F200" i="14"/>
  <c r="Q197" i="14"/>
  <c r="P197" i="14"/>
  <c r="O197" i="14"/>
  <c r="N197" i="14"/>
  <c r="M197" i="14"/>
  <c r="L197" i="14"/>
  <c r="K197" i="14"/>
  <c r="J197" i="14"/>
  <c r="I197" i="14"/>
  <c r="H197" i="14"/>
  <c r="G197" i="14"/>
  <c r="F197" i="14"/>
  <c r="Q196" i="14"/>
  <c r="P196" i="14"/>
  <c r="O196" i="14"/>
  <c r="N196" i="14"/>
  <c r="M196" i="14"/>
  <c r="L196" i="14"/>
  <c r="K196" i="14"/>
  <c r="J196" i="14"/>
  <c r="I196" i="14"/>
  <c r="H196" i="14"/>
  <c r="G196" i="14"/>
  <c r="F196" i="14"/>
  <c r="Q193" i="14"/>
  <c r="P193" i="14"/>
  <c r="O193" i="14"/>
  <c r="N193" i="14"/>
  <c r="M193" i="14"/>
  <c r="L193" i="14"/>
  <c r="K193" i="14"/>
  <c r="J193" i="14"/>
  <c r="I193" i="14"/>
  <c r="H193" i="14"/>
  <c r="G193" i="14"/>
  <c r="F193" i="14"/>
  <c r="Q192" i="14"/>
  <c r="P192" i="14"/>
  <c r="O192" i="14"/>
  <c r="N192" i="14"/>
  <c r="M192" i="14"/>
  <c r="L192" i="14"/>
  <c r="K192" i="14"/>
  <c r="J192" i="14"/>
  <c r="I192" i="14"/>
  <c r="H192" i="14"/>
  <c r="G192" i="14"/>
  <c r="F192" i="14"/>
  <c r="Q189" i="14"/>
  <c r="P189" i="14"/>
  <c r="O189" i="14"/>
  <c r="N189" i="14"/>
  <c r="M189" i="14"/>
  <c r="L189" i="14"/>
  <c r="K189" i="14"/>
  <c r="J189" i="14"/>
  <c r="I189" i="14"/>
  <c r="H189" i="14"/>
  <c r="G189" i="14"/>
  <c r="F189" i="14"/>
  <c r="Q188" i="14"/>
  <c r="P188" i="14"/>
  <c r="O188" i="14"/>
  <c r="N188" i="14"/>
  <c r="M188" i="14"/>
  <c r="L188" i="14"/>
  <c r="K188" i="14"/>
  <c r="J188" i="14"/>
  <c r="I188" i="14"/>
  <c r="H188" i="14"/>
  <c r="G188" i="14"/>
  <c r="F188" i="14"/>
  <c r="Q185" i="14"/>
  <c r="P185" i="14"/>
  <c r="O185" i="14"/>
  <c r="N185" i="14"/>
  <c r="M185" i="14"/>
  <c r="L185" i="14"/>
  <c r="K185" i="14"/>
  <c r="J185" i="14"/>
  <c r="I185" i="14"/>
  <c r="H185" i="14"/>
  <c r="G185" i="14"/>
  <c r="F185" i="14"/>
  <c r="Q181" i="14"/>
  <c r="P181" i="14"/>
  <c r="O181" i="14"/>
  <c r="N181" i="14"/>
  <c r="M181" i="14"/>
  <c r="L181" i="14"/>
  <c r="K181" i="14"/>
  <c r="J181" i="14"/>
  <c r="I181" i="14"/>
  <c r="H181" i="14"/>
  <c r="G181" i="14"/>
  <c r="F181" i="14"/>
  <c r="Q180" i="14"/>
  <c r="P180" i="14"/>
  <c r="O180" i="14"/>
  <c r="N180" i="14"/>
  <c r="M180" i="14"/>
  <c r="L180" i="14"/>
  <c r="K180" i="14"/>
  <c r="J180" i="14"/>
  <c r="I180" i="14"/>
  <c r="H180" i="14"/>
  <c r="G180" i="14"/>
  <c r="F180" i="14"/>
  <c r="Q179" i="14"/>
  <c r="P179" i="14"/>
  <c r="O179" i="14"/>
  <c r="N179" i="14"/>
  <c r="M179" i="14"/>
  <c r="L179" i="14"/>
  <c r="K179" i="14"/>
  <c r="J179" i="14"/>
  <c r="I179" i="14"/>
  <c r="H179" i="14"/>
  <c r="G179" i="14"/>
  <c r="F179" i="14"/>
  <c r="Q178" i="14"/>
  <c r="P178" i="14"/>
  <c r="O178" i="14"/>
  <c r="N178" i="14"/>
  <c r="M178" i="14"/>
  <c r="L178" i="14"/>
  <c r="K178" i="14"/>
  <c r="J178" i="14"/>
  <c r="I178" i="14"/>
  <c r="H178" i="14"/>
  <c r="G178" i="14"/>
  <c r="F178" i="14"/>
  <c r="Q176" i="14"/>
  <c r="P176" i="14"/>
  <c r="O176" i="14"/>
  <c r="N176" i="14"/>
  <c r="M176" i="14"/>
  <c r="L176" i="14"/>
  <c r="K176" i="14"/>
  <c r="J176" i="14"/>
  <c r="I176" i="14"/>
  <c r="H176" i="14"/>
  <c r="G176" i="14"/>
  <c r="F176" i="14"/>
  <c r="Q175" i="14"/>
  <c r="P175" i="14"/>
  <c r="O175" i="14"/>
  <c r="N175" i="14"/>
  <c r="M175" i="14"/>
  <c r="L175" i="14"/>
  <c r="K175" i="14"/>
  <c r="J175" i="14"/>
  <c r="I175" i="14"/>
  <c r="H175" i="14"/>
  <c r="G175" i="14"/>
  <c r="F175" i="14"/>
  <c r="Q173" i="14"/>
  <c r="P173" i="14"/>
  <c r="O173" i="14"/>
  <c r="N173" i="14"/>
  <c r="M173" i="14"/>
  <c r="L173" i="14"/>
  <c r="K173" i="14"/>
  <c r="J173" i="14"/>
  <c r="I173" i="14"/>
  <c r="H173" i="14"/>
  <c r="G173" i="14"/>
  <c r="F173" i="14"/>
  <c r="Q172" i="14"/>
  <c r="P172" i="14"/>
  <c r="O172" i="14"/>
  <c r="N172" i="14"/>
  <c r="M172" i="14"/>
  <c r="L172" i="14"/>
  <c r="K172" i="14"/>
  <c r="J172" i="14"/>
  <c r="I172" i="14"/>
  <c r="H172" i="14"/>
  <c r="G172" i="14"/>
  <c r="F172" i="14"/>
  <c r="Q171" i="14"/>
  <c r="P171" i="14"/>
  <c r="O171" i="14"/>
  <c r="N171" i="14"/>
  <c r="M171" i="14"/>
  <c r="L171" i="14"/>
  <c r="K171" i="14"/>
  <c r="J171" i="14"/>
  <c r="I171" i="14"/>
  <c r="H171" i="14"/>
  <c r="G171" i="14"/>
  <c r="F171" i="14"/>
  <c r="Q170" i="14"/>
  <c r="P170" i="14"/>
  <c r="O170" i="14"/>
  <c r="N170" i="14"/>
  <c r="M170" i="14"/>
  <c r="L170" i="14"/>
  <c r="K170" i="14"/>
  <c r="J170" i="14"/>
  <c r="I170" i="14"/>
  <c r="H170" i="14"/>
  <c r="G170" i="14"/>
  <c r="F170" i="14"/>
  <c r="Q169" i="14"/>
  <c r="P169" i="14"/>
  <c r="O169" i="14"/>
  <c r="N169" i="14"/>
  <c r="M169" i="14"/>
  <c r="L169" i="14"/>
  <c r="K169" i="14"/>
  <c r="J169" i="14"/>
  <c r="I169" i="14"/>
  <c r="H169" i="14"/>
  <c r="G169" i="14"/>
  <c r="F169" i="14"/>
  <c r="Q167" i="14"/>
  <c r="P167" i="14"/>
  <c r="O167" i="14"/>
  <c r="N167" i="14"/>
  <c r="M167" i="14"/>
  <c r="L167" i="14"/>
  <c r="K167" i="14"/>
  <c r="J167" i="14"/>
  <c r="I167" i="14"/>
  <c r="H167" i="14"/>
  <c r="G167" i="14"/>
  <c r="F167" i="14"/>
  <c r="Q166" i="14"/>
  <c r="P166" i="14"/>
  <c r="O166" i="14"/>
  <c r="N166" i="14"/>
  <c r="M166" i="14"/>
  <c r="L166" i="14"/>
  <c r="K166" i="14"/>
  <c r="J166" i="14"/>
  <c r="I166" i="14"/>
  <c r="H166" i="14"/>
  <c r="G166" i="14"/>
  <c r="F166" i="14"/>
  <c r="Q164" i="14"/>
  <c r="P164" i="14"/>
  <c r="O164" i="14"/>
  <c r="N164" i="14"/>
  <c r="M164" i="14"/>
  <c r="L164" i="14"/>
  <c r="K164" i="14"/>
  <c r="J164" i="14"/>
  <c r="I164" i="14"/>
  <c r="H164" i="14"/>
  <c r="G164" i="14"/>
  <c r="F164" i="14"/>
  <c r="Q163" i="14"/>
  <c r="P163" i="14"/>
  <c r="O163" i="14"/>
  <c r="N163" i="14"/>
  <c r="M163" i="14"/>
  <c r="L163" i="14"/>
  <c r="K163" i="14"/>
  <c r="J163" i="14"/>
  <c r="I163" i="14"/>
  <c r="H163" i="14"/>
  <c r="G163" i="14"/>
  <c r="F163" i="14"/>
  <c r="Q162" i="14"/>
  <c r="P162" i="14"/>
  <c r="O162" i="14"/>
  <c r="N162" i="14"/>
  <c r="M162" i="14"/>
  <c r="L162" i="14"/>
  <c r="K162" i="14"/>
  <c r="J162" i="14"/>
  <c r="I162" i="14"/>
  <c r="H162" i="14"/>
  <c r="G162" i="14"/>
  <c r="F162" i="14"/>
  <c r="Q161" i="14"/>
  <c r="P161" i="14"/>
  <c r="O161" i="14"/>
  <c r="N161" i="14"/>
  <c r="M161" i="14"/>
  <c r="L161" i="14"/>
  <c r="K161" i="14"/>
  <c r="J161" i="14"/>
  <c r="I161" i="14"/>
  <c r="H161" i="14"/>
  <c r="G161" i="14"/>
  <c r="F161" i="14"/>
  <c r="Q160" i="14"/>
  <c r="P160" i="14"/>
  <c r="O160" i="14"/>
  <c r="N160" i="14"/>
  <c r="M160" i="14"/>
  <c r="L160" i="14"/>
  <c r="K160" i="14"/>
  <c r="J160" i="14"/>
  <c r="I160" i="14"/>
  <c r="H160" i="14"/>
  <c r="G160" i="14"/>
  <c r="F160" i="14"/>
  <c r="Q159" i="14"/>
  <c r="P159" i="14"/>
  <c r="O159" i="14"/>
  <c r="N159" i="14"/>
  <c r="M159" i="14"/>
  <c r="L159" i="14"/>
  <c r="K159" i="14"/>
  <c r="J159" i="14"/>
  <c r="I159" i="14"/>
  <c r="H159" i="14"/>
  <c r="G159" i="14"/>
  <c r="F159" i="14"/>
  <c r="Q158" i="14"/>
  <c r="P158" i="14"/>
  <c r="O158" i="14"/>
  <c r="N158" i="14"/>
  <c r="M158" i="14"/>
  <c r="L158" i="14"/>
  <c r="K158" i="14"/>
  <c r="J158" i="14"/>
  <c r="I158" i="14"/>
  <c r="H158" i="14"/>
  <c r="G158" i="14"/>
  <c r="F158" i="14"/>
  <c r="Q157" i="14"/>
  <c r="P157" i="14"/>
  <c r="O157" i="14"/>
  <c r="N157" i="14"/>
  <c r="M157" i="14"/>
  <c r="L157" i="14"/>
  <c r="K157" i="14"/>
  <c r="J157" i="14"/>
  <c r="I157" i="14"/>
  <c r="H157" i="14"/>
  <c r="G157" i="14"/>
  <c r="F157" i="14"/>
  <c r="Q156" i="14"/>
  <c r="P156" i="14"/>
  <c r="O156" i="14"/>
  <c r="N156" i="14"/>
  <c r="M156" i="14"/>
  <c r="L156" i="14"/>
  <c r="K156" i="14"/>
  <c r="J156" i="14"/>
  <c r="I156" i="14"/>
  <c r="H156" i="14"/>
  <c r="G156" i="14"/>
  <c r="F156" i="14"/>
  <c r="Q155" i="14"/>
  <c r="P155" i="14"/>
  <c r="O155" i="14"/>
  <c r="N155" i="14"/>
  <c r="M155" i="14"/>
  <c r="L155" i="14"/>
  <c r="K155" i="14"/>
  <c r="J155" i="14"/>
  <c r="I155" i="14"/>
  <c r="H155" i="14"/>
  <c r="G155" i="14"/>
  <c r="F155" i="14"/>
  <c r="Q154" i="14"/>
  <c r="P154" i="14"/>
  <c r="O154" i="14"/>
  <c r="N154" i="14"/>
  <c r="M154" i="14"/>
  <c r="L154" i="14"/>
  <c r="K154" i="14"/>
  <c r="J154" i="14"/>
  <c r="I154" i="14"/>
  <c r="H154" i="14"/>
  <c r="G154" i="14"/>
  <c r="F154" i="14"/>
  <c r="Q153" i="14"/>
  <c r="P153" i="14"/>
  <c r="O153" i="14"/>
  <c r="N153" i="14"/>
  <c r="M153" i="14"/>
  <c r="L153" i="14"/>
  <c r="K153" i="14"/>
  <c r="J153" i="14"/>
  <c r="I153" i="14"/>
  <c r="H153" i="14"/>
  <c r="G153" i="14"/>
  <c r="F153" i="14"/>
  <c r="Q152" i="14"/>
  <c r="P152" i="14"/>
  <c r="O152" i="14"/>
  <c r="N152" i="14"/>
  <c r="M152" i="14"/>
  <c r="L152" i="14"/>
  <c r="K152" i="14"/>
  <c r="J152" i="14"/>
  <c r="I152" i="14"/>
  <c r="H152" i="14"/>
  <c r="G152" i="14"/>
  <c r="F152" i="14"/>
  <c r="Q151" i="14"/>
  <c r="P151" i="14"/>
  <c r="O151" i="14"/>
  <c r="N151" i="14"/>
  <c r="M151" i="14"/>
  <c r="L151" i="14"/>
  <c r="K151" i="14"/>
  <c r="J151" i="14"/>
  <c r="I151" i="14"/>
  <c r="H151" i="14"/>
  <c r="G151" i="14"/>
  <c r="F151" i="14"/>
  <c r="Q150" i="14"/>
  <c r="P150" i="14"/>
  <c r="O150" i="14"/>
  <c r="N150" i="14"/>
  <c r="M150" i="14"/>
  <c r="L150" i="14"/>
  <c r="K150" i="14"/>
  <c r="J150" i="14"/>
  <c r="I150" i="14"/>
  <c r="H150" i="14"/>
  <c r="G150" i="14"/>
  <c r="F150" i="14"/>
  <c r="Q149" i="14"/>
  <c r="P149" i="14"/>
  <c r="O149" i="14"/>
  <c r="N149" i="14"/>
  <c r="M149" i="14"/>
  <c r="L149" i="14"/>
  <c r="K149" i="14"/>
  <c r="J149" i="14"/>
  <c r="I149" i="14"/>
  <c r="H149" i="14"/>
  <c r="G149" i="14"/>
  <c r="F149" i="14"/>
  <c r="Q148" i="14"/>
  <c r="P148" i="14"/>
  <c r="O148" i="14"/>
  <c r="N148" i="14"/>
  <c r="M148" i="14"/>
  <c r="L148" i="14"/>
  <c r="K148" i="14"/>
  <c r="J148" i="14"/>
  <c r="I148" i="14"/>
  <c r="H148" i="14"/>
  <c r="G148" i="14"/>
  <c r="F148" i="14"/>
  <c r="Q147" i="14"/>
  <c r="P147" i="14"/>
  <c r="O147" i="14"/>
  <c r="N147" i="14"/>
  <c r="M147" i="14"/>
  <c r="L147" i="14"/>
  <c r="K147" i="14"/>
  <c r="J147" i="14"/>
  <c r="I147" i="14"/>
  <c r="H147" i="14"/>
  <c r="G147" i="14"/>
  <c r="F147" i="14"/>
  <c r="Q146" i="14"/>
  <c r="P146" i="14"/>
  <c r="O146" i="14"/>
  <c r="N146" i="14"/>
  <c r="M146" i="14"/>
  <c r="L146" i="14"/>
  <c r="K146" i="14"/>
  <c r="J146" i="14"/>
  <c r="I146" i="14"/>
  <c r="H146" i="14"/>
  <c r="G146" i="14"/>
  <c r="F146" i="14"/>
  <c r="Q145" i="14"/>
  <c r="P145" i="14"/>
  <c r="O145" i="14"/>
  <c r="N145" i="14"/>
  <c r="M145" i="14"/>
  <c r="L145" i="14"/>
  <c r="K145" i="14"/>
  <c r="J145" i="14"/>
  <c r="I145" i="14"/>
  <c r="H145" i="14"/>
  <c r="G145" i="14"/>
  <c r="F145" i="14"/>
  <c r="Q142" i="14"/>
  <c r="P142" i="14"/>
  <c r="O142" i="14"/>
  <c r="N142" i="14"/>
  <c r="M142" i="14"/>
  <c r="L142" i="14"/>
  <c r="K142" i="14"/>
  <c r="J142" i="14"/>
  <c r="I142" i="14"/>
  <c r="H142" i="14"/>
  <c r="G142" i="14"/>
  <c r="F142" i="14"/>
  <c r="Q138" i="14"/>
  <c r="P138" i="14"/>
  <c r="O138" i="14"/>
  <c r="N138" i="14"/>
  <c r="M138" i="14"/>
  <c r="L138" i="14"/>
  <c r="K138" i="14"/>
  <c r="J138" i="14"/>
  <c r="I138" i="14"/>
  <c r="H138" i="14"/>
  <c r="G138" i="14"/>
  <c r="F138" i="14"/>
  <c r="Q136" i="14"/>
  <c r="P136" i="14"/>
  <c r="O136" i="14"/>
  <c r="N136" i="14"/>
  <c r="M136" i="14"/>
  <c r="L136" i="14"/>
  <c r="K136" i="14"/>
  <c r="J136" i="14"/>
  <c r="I136" i="14"/>
  <c r="H136" i="14"/>
  <c r="G136" i="14"/>
  <c r="F136" i="14"/>
  <c r="Q133" i="14"/>
  <c r="P133" i="14"/>
  <c r="O133" i="14"/>
  <c r="N133" i="14"/>
  <c r="M133" i="14"/>
  <c r="L133" i="14"/>
  <c r="K133" i="14"/>
  <c r="J133" i="14"/>
  <c r="I133" i="14"/>
  <c r="H133" i="14"/>
  <c r="G133" i="14"/>
  <c r="F133" i="14"/>
  <c r="Q131" i="14"/>
  <c r="P131" i="14"/>
  <c r="O131" i="14"/>
  <c r="N131" i="14"/>
  <c r="M131" i="14"/>
  <c r="L131" i="14"/>
  <c r="K131" i="14"/>
  <c r="J131" i="14"/>
  <c r="I131" i="14"/>
  <c r="H131" i="14"/>
  <c r="G131" i="14"/>
  <c r="F131" i="14"/>
  <c r="Q128" i="14"/>
  <c r="P128" i="14"/>
  <c r="O128" i="14"/>
  <c r="N128" i="14"/>
  <c r="M128" i="14"/>
  <c r="L128" i="14"/>
  <c r="K128" i="14"/>
  <c r="J128" i="14"/>
  <c r="I128" i="14"/>
  <c r="H128" i="14"/>
  <c r="G128" i="14"/>
  <c r="F128" i="14"/>
  <c r="Q125" i="14"/>
  <c r="P125" i="14"/>
  <c r="O125" i="14"/>
  <c r="N125" i="14"/>
  <c r="M125" i="14"/>
  <c r="L125" i="14"/>
  <c r="K125" i="14"/>
  <c r="J125" i="14"/>
  <c r="I125" i="14"/>
  <c r="H125" i="14"/>
  <c r="G125" i="14"/>
  <c r="F125" i="14"/>
  <c r="Q122" i="14"/>
  <c r="P122" i="14"/>
  <c r="O122" i="14"/>
  <c r="N122" i="14"/>
  <c r="M122" i="14"/>
  <c r="L122" i="14"/>
  <c r="K122" i="14"/>
  <c r="J122" i="14"/>
  <c r="I122" i="14"/>
  <c r="H122" i="14"/>
  <c r="G122" i="14"/>
  <c r="F122" i="14"/>
  <c r="Q119" i="14"/>
  <c r="P119" i="14"/>
  <c r="O119" i="14"/>
  <c r="N119" i="14"/>
  <c r="M119" i="14"/>
  <c r="L119" i="14"/>
  <c r="K119" i="14"/>
  <c r="J119" i="14"/>
  <c r="I119" i="14"/>
  <c r="H119" i="14"/>
  <c r="G119" i="14"/>
  <c r="F119" i="14"/>
  <c r="Q118" i="14"/>
  <c r="P118" i="14"/>
  <c r="O118" i="14"/>
  <c r="N118" i="14"/>
  <c r="M118" i="14"/>
  <c r="L118" i="14"/>
  <c r="K118" i="14"/>
  <c r="J118" i="14"/>
  <c r="I118" i="14"/>
  <c r="H118" i="14"/>
  <c r="G118" i="14"/>
  <c r="F118" i="14"/>
  <c r="Q115" i="14"/>
  <c r="P115" i="14"/>
  <c r="O115" i="14"/>
  <c r="N115" i="14"/>
  <c r="M115" i="14"/>
  <c r="L115" i="14"/>
  <c r="K115" i="14"/>
  <c r="J115" i="14"/>
  <c r="I115" i="14"/>
  <c r="H115" i="14"/>
  <c r="G115" i="14"/>
  <c r="F115" i="14"/>
  <c r="Q114" i="14"/>
  <c r="P114" i="14"/>
  <c r="O114" i="14"/>
  <c r="N114" i="14"/>
  <c r="M114" i="14"/>
  <c r="L114" i="14"/>
  <c r="K114" i="14"/>
  <c r="J114" i="14"/>
  <c r="I114" i="14"/>
  <c r="H114" i="14"/>
  <c r="G114" i="14"/>
  <c r="F114" i="14"/>
  <c r="Q112" i="14"/>
  <c r="P112" i="14"/>
  <c r="O112" i="14"/>
  <c r="N112" i="14"/>
  <c r="M112" i="14"/>
  <c r="L112" i="14"/>
  <c r="K112" i="14"/>
  <c r="J112" i="14"/>
  <c r="I112" i="14"/>
  <c r="H112" i="14"/>
  <c r="G112" i="14"/>
  <c r="F112" i="14"/>
  <c r="Q110" i="14"/>
  <c r="P110" i="14"/>
  <c r="O110" i="14"/>
  <c r="N110" i="14"/>
  <c r="M110" i="14"/>
  <c r="L110" i="14"/>
  <c r="K110" i="14"/>
  <c r="J110" i="14"/>
  <c r="I110" i="14"/>
  <c r="H110" i="14"/>
  <c r="G110" i="14"/>
  <c r="F110" i="14"/>
  <c r="Q109" i="14"/>
  <c r="P109" i="14"/>
  <c r="O109" i="14"/>
  <c r="N109" i="14"/>
  <c r="M109" i="14"/>
  <c r="L109" i="14"/>
  <c r="K109" i="14"/>
  <c r="J109" i="14"/>
  <c r="I109" i="14"/>
  <c r="H109" i="14"/>
  <c r="G109" i="14"/>
  <c r="F109" i="14"/>
  <c r="Q107" i="14"/>
  <c r="P107" i="14"/>
  <c r="O107" i="14"/>
  <c r="N107" i="14"/>
  <c r="M107" i="14"/>
  <c r="L107" i="14"/>
  <c r="K107" i="14"/>
  <c r="J107" i="14"/>
  <c r="I107" i="14"/>
  <c r="H107" i="14"/>
  <c r="G107" i="14"/>
  <c r="F107" i="14"/>
  <c r="Q105" i="14"/>
  <c r="P105" i="14"/>
  <c r="O105" i="14"/>
  <c r="N105" i="14"/>
  <c r="M105" i="14"/>
  <c r="L105" i="14"/>
  <c r="K105" i="14"/>
  <c r="J105" i="14"/>
  <c r="I105" i="14"/>
  <c r="H105" i="14"/>
  <c r="G105" i="14"/>
  <c r="F105" i="14"/>
  <c r="Q104" i="14"/>
  <c r="P104" i="14"/>
  <c r="O104" i="14"/>
  <c r="N104" i="14"/>
  <c r="M104" i="14"/>
  <c r="L104" i="14"/>
  <c r="K104" i="14"/>
  <c r="J104" i="14"/>
  <c r="I104" i="14"/>
  <c r="H104" i="14"/>
  <c r="G104" i="14"/>
  <c r="F104" i="14"/>
  <c r="Q102" i="14"/>
  <c r="P102" i="14"/>
  <c r="O102" i="14"/>
  <c r="N102" i="14"/>
  <c r="M102" i="14"/>
  <c r="L102" i="14"/>
  <c r="K102" i="14"/>
  <c r="J102" i="14"/>
  <c r="I102" i="14"/>
  <c r="H102" i="14"/>
  <c r="G102" i="14"/>
  <c r="F102" i="14"/>
  <c r="Q101" i="14"/>
  <c r="P101" i="14"/>
  <c r="O101" i="14"/>
  <c r="N101" i="14"/>
  <c r="M101" i="14"/>
  <c r="L101" i="14"/>
  <c r="K101" i="14"/>
  <c r="J101" i="14"/>
  <c r="I101" i="14"/>
  <c r="H101" i="14"/>
  <c r="G101" i="14"/>
  <c r="F101" i="14"/>
  <c r="Q97" i="14"/>
  <c r="P97" i="14"/>
  <c r="O97" i="14"/>
  <c r="N97" i="14"/>
  <c r="M97" i="14"/>
  <c r="L97" i="14"/>
  <c r="K97" i="14"/>
  <c r="J97" i="14"/>
  <c r="I97" i="14"/>
  <c r="H97" i="14"/>
  <c r="G97" i="14"/>
  <c r="F97" i="14"/>
  <c r="Q96" i="14"/>
  <c r="P96" i="14"/>
  <c r="O96" i="14"/>
  <c r="N96" i="14"/>
  <c r="M96" i="14"/>
  <c r="L96" i="14"/>
  <c r="K96" i="14"/>
  <c r="J96" i="14"/>
  <c r="I96" i="14"/>
  <c r="H96" i="14"/>
  <c r="G96" i="14"/>
  <c r="F96" i="14"/>
  <c r="Q95" i="14"/>
  <c r="P95" i="14"/>
  <c r="O95" i="14"/>
  <c r="N95" i="14"/>
  <c r="M95" i="14"/>
  <c r="L95" i="14"/>
  <c r="K95" i="14"/>
  <c r="J95" i="14"/>
  <c r="I95" i="14"/>
  <c r="H95" i="14"/>
  <c r="G95" i="14"/>
  <c r="F95" i="14"/>
  <c r="Q94" i="14"/>
  <c r="P94" i="14"/>
  <c r="O94" i="14"/>
  <c r="N94" i="14"/>
  <c r="M94" i="14"/>
  <c r="L94" i="14"/>
  <c r="K94" i="14"/>
  <c r="J94" i="14"/>
  <c r="I94" i="14"/>
  <c r="H94" i="14"/>
  <c r="G94" i="14"/>
  <c r="F94" i="14"/>
  <c r="Q92" i="14"/>
  <c r="P92" i="14"/>
  <c r="O92" i="14"/>
  <c r="N92" i="14"/>
  <c r="M92" i="14"/>
  <c r="L92" i="14"/>
  <c r="K92" i="14"/>
  <c r="J92" i="14"/>
  <c r="I92" i="14"/>
  <c r="H92" i="14"/>
  <c r="G92" i="14"/>
  <c r="F92" i="14"/>
  <c r="Q91" i="14"/>
  <c r="P91" i="14"/>
  <c r="O91" i="14"/>
  <c r="N91" i="14"/>
  <c r="M91" i="14"/>
  <c r="L91" i="14"/>
  <c r="K91" i="14"/>
  <c r="J91" i="14"/>
  <c r="I91" i="14"/>
  <c r="H91" i="14"/>
  <c r="G91" i="14"/>
  <c r="F91" i="14"/>
  <c r="Q89" i="14"/>
  <c r="P89" i="14"/>
  <c r="O89" i="14"/>
  <c r="N89" i="14"/>
  <c r="M89" i="14"/>
  <c r="L89" i="14"/>
  <c r="K89" i="14"/>
  <c r="J89" i="14"/>
  <c r="I89" i="14"/>
  <c r="H89" i="14"/>
  <c r="G89" i="14"/>
  <c r="F89" i="14"/>
  <c r="Q88" i="14"/>
  <c r="P88" i="14"/>
  <c r="O88" i="14"/>
  <c r="N88" i="14"/>
  <c r="M88" i="14"/>
  <c r="L88" i="14"/>
  <c r="K88" i="14"/>
  <c r="J88" i="14"/>
  <c r="I88" i="14"/>
  <c r="H88" i="14"/>
  <c r="G88" i="14"/>
  <c r="F88" i="14"/>
  <c r="Q87" i="14"/>
  <c r="P87" i="14"/>
  <c r="O87" i="14"/>
  <c r="N87" i="14"/>
  <c r="M87" i="14"/>
  <c r="L87" i="14"/>
  <c r="K87" i="14"/>
  <c r="J87" i="14"/>
  <c r="I87" i="14"/>
  <c r="H87" i="14"/>
  <c r="G87" i="14"/>
  <c r="F87" i="14"/>
  <c r="Q86" i="14"/>
  <c r="P86" i="14"/>
  <c r="O86" i="14"/>
  <c r="N86" i="14"/>
  <c r="M86" i="14"/>
  <c r="L86" i="14"/>
  <c r="K86" i="14"/>
  <c r="J86" i="14"/>
  <c r="I86" i="14"/>
  <c r="H86" i="14"/>
  <c r="G86" i="14"/>
  <c r="F86" i="14"/>
  <c r="Q84" i="14"/>
  <c r="P84" i="14"/>
  <c r="O84" i="14"/>
  <c r="N84" i="14"/>
  <c r="M84" i="14"/>
  <c r="L84" i="14"/>
  <c r="K84" i="14"/>
  <c r="J84" i="14"/>
  <c r="I84" i="14"/>
  <c r="H84" i="14"/>
  <c r="G84" i="14"/>
  <c r="F84" i="14"/>
  <c r="Q83" i="14"/>
  <c r="P83" i="14"/>
  <c r="O83" i="14"/>
  <c r="N83" i="14"/>
  <c r="M83" i="14"/>
  <c r="L83" i="14"/>
  <c r="K83" i="14"/>
  <c r="J83" i="14"/>
  <c r="I83" i="14"/>
  <c r="H83" i="14"/>
  <c r="G83" i="14"/>
  <c r="F83" i="14"/>
  <c r="Q82" i="14"/>
  <c r="P82" i="14"/>
  <c r="O82" i="14"/>
  <c r="N82" i="14"/>
  <c r="M82" i="14"/>
  <c r="L82" i="14"/>
  <c r="K82" i="14"/>
  <c r="J82" i="14"/>
  <c r="I82" i="14"/>
  <c r="H82" i="14"/>
  <c r="G82" i="14"/>
  <c r="F82" i="14"/>
  <c r="Q80" i="14"/>
  <c r="P80" i="14"/>
  <c r="O80" i="14"/>
  <c r="N80" i="14"/>
  <c r="M80" i="14"/>
  <c r="L80" i="14"/>
  <c r="K80" i="14"/>
  <c r="J80" i="14"/>
  <c r="I80" i="14"/>
  <c r="H80" i="14"/>
  <c r="G80" i="14"/>
  <c r="F80" i="14"/>
  <c r="Q79" i="14"/>
  <c r="P79" i="14"/>
  <c r="O79" i="14"/>
  <c r="N79" i="14"/>
  <c r="M79" i="14"/>
  <c r="L79" i="14"/>
  <c r="K79" i="14"/>
  <c r="J79" i="14"/>
  <c r="I79" i="14"/>
  <c r="H79" i="14"/>
  <c r="G79" i="14"/>
  <c r="F79" i="14"/>
  <c r="Q78" i="14"/>
  <c r="P78" i="14"/>
  <c r="O78" i="14"/>
  <c r="N78" i="14"/>
  <c r="M78" i="14"/>
  <c r="L78" i="14"/>
  <c r="K78" i="14"/>
  <c r="J78" i="14"/>
  <c r="I78" i="14"/>
  <c r="H78" i="14"/>
  <c r="G78" i="14"/>
  <c r="F78" i="14"/>
  <c r="Q77" i="14"/>
  <c r="P77" i="14"/>
  <c r="O77" i="14"/>
  <c r="N77" i="14"/>
  <c r="M77" i="14"/>
  <c r="L77" i="14"/>
  <c r="K77" i="14"/>
  <c r="J77" i="14"/>
  <c r="I77" i="14"/>
  <c r="H77" i="14"/>
  <c r="G77" i="14"/>
  <c r="F77" i="14"/>
  <c r="Q76" i="14"/>
  <c r="P76" i="14"/>
  <c r="O76" i="14"/>
  <c r="N76" i="14"/>
  <c r="M76" i="14"/>
  <c r="L76" i="14"/>
  <c r="K76" i="14"/>
  <c r="J76" i="14"/>
  <c r="I76" i="14"/>
  <c r="H76" i="14"/>
  <c r="G76" i="14"/>
  <c r="F76" i="14"/>
  <c r="Q74" i="14"/>
  <c r="P74" i="14"/>
  <c r="O74" i="14"/>
  <c r="N74" i="14"/>
  <c r="M74" i="14"/>
  <c r="L74" i="14"/>
  <c r="K74" i="14"/>
  <c r="J74" i="14"/>
  <c r="I74" i="14"/>
  <c r="H74" i="14"/>
  <c r="G74" i="14"/>
  <c r="F74" i="14"/>
  <c r="Q73" i="14"/>
  <c r="P73" i="14"/>
  <c r="O73" i="14"/>
  <c r="N73" i="14"/>
  <c r="M73" i="14"/>
  <c r="L73" i="14"/>
  <c r="K73" i="14"/>
  <c r="J73" i="14"/>
  <c r="I73" i="14"/>
  <c r="H73" i="14"/>
  <c r="G73" i="14"/>
  <c r="F73" i="14"/>
  <c r="Q72" i="14"/>
  <c r="P72" i="14"/>
  <c r="O72" i="14"/>
  <c r="N72" i="14"/>
  <c r="M72" i="14"/>
  <c r="L72" i="14"/>
  <c r="K72" i="14"/>
  <c r="J72" i="14"/>
  <c r="I72" i="14"/>
  <c r="H72" i="14"/>
  <c r="G72" i="14"/>
  <c r="F72" i="14"/>
  <c r="Q71" i="14"/>
  <c r="P71" i="14"/>
  <c r="O71" i="14"/>
  <c r="N71" i="14"/>
  <c r="M71" i="14"/>
  <c r="L71" i="14"/>
  <c r="K71" i="14"/>
  <c r="J71" i="14"/>
  <c r="I71" i="14"/>
  <c r="H71" i="14"/>
  <c r="G71" i="14"/>
  <c r="F71" i="14"/>
  <c r="Q69" i="14"/>
  <c r="P69" i="14"/>
  <c r="O69" i="14"/>
  <c r="N69" i="14"/>
  <c r="M69" i="14"/>
  <c r="L69" i="14"/>
  <c r="K69" i="14"/>
  <c r="J69" i="14"/>
  <c r="I69" i="14"/>
  <c r="H69" i="14"/>
  <c r="G69" i="14"/>
  <c r="F69" i="14"/>
  <c r="Q68" i="14"/>
  <c r="P68" i="14"/>
  <c r="O68" i="14"/>
  <c r="N68" i="14"/>
  <c r="M68" i="14"/>
  <c r="L68" i="14"/>
  <c r="K68" i="14"/>
  <c r="J68" i="14"/>
  <c r="I68" i="14"/>
  <c r="H68" i="14"/>
  <c r="G68" i="14"/>
  <c r="F68" i="14"/>
  <c r="Q67" i="14"/>
  <c r="P67" i="14"/>
  <c r="O67" i="14"/>
  <c r="N67" i="14"/>
  <c r="M67" i="14"/>
  <c r="L67" i="14"/>
  <c r="K67" i="14"/>
  <c r="J67" i="14"/>
  <c r="I67" i="14"/>
  <c r="H67" i="14"/>
  <c r="G67" i="14"/>
  <c r="F67" i="14"/>
  <c r="Q66" i="14"/>
  <c r="P66" i="14"/>
  <c r="O66" i="14"/>
  <c r="N66" i="14"/>
  <c r="M66" i="14"/>
  <c r="L66" i="14"/>
  <c r="K66" i="14"/>
  <c r="J66" i="14"/>
  <c r="I66" i="14"/>
  <c r="H66" i="14"/>
  <c r="G66" i="14"/>
  <c r="F66" i="14"/>
  <c r="Q65" i="14"/>
  <c r="P65" i="14"/>
  <c r="O65" i="14"/>
  <c r="N65" i="14"/>
  <c r="M65" i="14"/>
  <c r="L65" i="14"/>
  <c r="K65" i="14"/>
  <c r="J65" i="14"/>
  <c r="I65" i="14"/>
  <c r="H65" i="14"/>
  <c r="G65" i="14"/>
  <c r="F65" i="14"/>
  <c r="Q63" i="14"/>
  <c r="P63" i="14"/>
  <c r="O63" i="14"/>
  <c r="N63" i="14"/>
  <c r="M63" i="14"/>
  <c r="L63" i="14"/>
  <c r="K63" i="14"/>
  <c r="J63" i="14"/>
  <c r="I63" i="14"/>
  <c r="H63" i="14"/>
  <c r="G63" i="14"/>
  <c r="F63" i="14"/>
  <c r="Q62" i="14"/>
  <c r="P62" i="14"/>
  <c r="O62" i="14"/>
  <c r="N62" i="14"/>
  <c r="M62" i="14"/>
  <c r="L62" i="14"/>
  <c r="K62" i="14"/>
  <c r="J62" i="14"/>
  <c r="I62" i="14"/>
  <c r="H62" i="14"/>
  <c r="G62" i="14"/>
  <c r="F62" i="14"/>
  <c r="Q61" i="14"/>
  <c r="P61" i="14"/>
  <c r="O61" i="14"/>
  <c r="N61" i="14"/>
  <c r="M61" i="14"/>
  <c r="L61" i="14"/>
  <c r="K61" i="14"/>
  <c r="J61" i="14"/>
  <c r="I61" i="14"/>
  <c r="H61" i="14"/>
  <c r="G61" i="14"/>
  <c r="F61" i="14"/>
  <c r="Q59" i="14"/>
  <c r="P59" i="14"/>
  <c r="O59" i="14"/>
  <c r="N59" i="14"/>
  <c r="M59" i="14"/>
  <c r="L59" i="14"/>
  <c r="K59" i="14"/>
  <c r="J59" i="14"/>
  <c r="I59" i="14"/>
  <c r="H59" i="14"/>
  <c r="G59" i="14"/>
  <c r="F59" i="14"/>
  <c r="Q58" i="14"/>
  <c r="P58" i="14"/>
  <c r="O58" i="14"/>
  <c r="N58" i="14"/>
  <c r="M58" i="14"/>
  <c r="L58" i="14"/>
  <c r="K58" i="14"/>
  <c r="J58" i="14"/>
  <c r="I58" i="14"/>
  <c r="H58" i="14"/>
  <c r="G58" i="14"/>
  <c r="F58" i="14"/>
  <c r="Q57" i="14"/>
  <c r="P57" i="14"/>
  <c r="O57" i="14"/>
  <c r="N57" i="14"/>
  <c r="M57" i="14"/>
  <c r="L57" i="14"/>
  <c r="K57" i="14"/>
  <c r="J57" i="14"/>
  <c r="I57" i="14"/>
  <c r="H57" i="14"/>
  <c r="G57" i="14"/>
  <c r="F57" i="14"/>
  <c r="Q56" i="14"/>
  <c r="P56" i="14"/>
  <c r="O56" i="14"/>
  <c r="N56" i="14"/>
  <c r="M56" i="14"/>
  <c r="L56" i="14"/>
  <c r="K56" i="14"/>
  <c r="J56" i="14"/>
  <c r="I56" i="14"/>
  <c r="H56" i="14"/>
  <c r="G56" i="14"/>
  <c r="F56" i="14"/>
  <c r="Q53" i="14"/>
  <c r="P53" i="14"/>
  <c r="O53" i="14"/>
  <c r="N53" i="14"/>
  <c r="M53" i="14"/>
  <c r="L53" i="14"/>
  <c r="K53" i="14"/>
  <c r="J53" i="14"/>
  <c r="I53" i="14"/>
  <c r="H53" i="14"/>
  <c r="G53" i="14"/>
  <c r="F53" i="14"/>
  <c r="Q52" i="14"/>
  <c r="P52" i="14"/>
  <c r="O52" i="14"/>
  <c r="N52" i="14"/>
  <c r="M52" i="14"/>
  <c r="L52" i="14"/>
  <c r="K52" i="14"/>
  <c r="J52" i="14"/>
  <c r="I52" i="14"/>
  <c r="H52" i="14"/>
  <c r="G52" i="14"/>
  <c r="F52" i="14"/>
  <c r="Q51" i="14"/>
  <c r="P51" i="14"/>
  <c r="O51" i="14"/>
  <c r="N51" i="14"/>
  <c r="M51" i="14"/>
  <c r="L51" i="14"/>
  <c r="K51" i="14"/>
  <c r="J51" i="14"/>
  <c r="I51" i="14"/>
  <c r="H51" i="14"/>
  <c r="G51" i="14"/>
  <c r="F51" i="14"/>
  <c r="Q49" i="14"/>
  <c r="P49" i="14"/>
  <c r="O49" i="14"/>
  <c r="N49" i="14"/>
  <c r="M49" i="14"/>
  <c r="L49" i="14"/>
  <c r="K49" i="14"/>
  <c r="J49" i="14"/>
  <c r="I49" i="14"/>
  <c r="H49" i="14"/>
  <c r="G49" i="14"/>
  <c r="F49" i="14"/>
  <c r="Q48" i="14"/>
  <c r="P48" i="14"/>
  <c r="O48" i="14"/>
  <c r="N48" i="14"/>
  <c r="M48" i="14"/>
  <c r="L48" i="14"/>
  <c r="K48" i="14"/>
  <c r="J48" i="14"/>
  <c r="I48" i="14"/>
  <c r="H48" i="14"/>
  <c r="G48" i="14"/>
  <c r="F48" i="14"/>
  <c r="Q46" i="14"/>
  <c r="P46" i="14"/>
  <c r="O46" i="14"/>
  <c r="N46" i="14"/>
  <c r="M46" i="14"/>
  <c r="L46" i="14"/>
  <c r="K46" i="14"/>
  <c r="J46" i="14"/>
  <c r="I46" i="14"/>
  <c r="H46" i="14"/>
  <c r="G46" i="14"/>
  <c r="F46" i="14"/>
  <c r="Q45" i="14"/>
  <c r="P45" i="14"/>
  <c r="O45" i="14"/>
  <c r="N45" i="14"/>
  <c r="M45" i="14"/>
  <c r="L45" i="14"/>
  <c r="K45" i="14"/>
  <c r="J45" i="14"/>
  <c r="I45" i="14"/>
  <c r="H45" i="14"/>
  <c r="G45" i="14"/>
  <c r="F45" i="14"/>
  <c r="Q44" i="14"/>
  <c r="P44" i="14"/>
  <c r="O44" i="14"/>
  <c r="N44" i="14"/>
  <c r="M44" i="14"/>
  <c r="L44" i="14"/>
  <c r="K44" i="14"/>
  <c r="J44" i="14"/>
  <c r="I44" i="14"/>
  <c r="H44" i="14"/>
  <c r="G44" i="14"/>
  <c r="F44" i="14"/>
  <c r="Q42" i="14"/>
  <c r="P42" i="14"/>
  <c r="O42" i="14"/>
  <c r="N42" i="14"/>
  <c r="M42" i="14"/>
  <c r="L42" i="14"/>
  <c r="K42" i="14"/>
  <c r="J42" i="14"/>
  <c r="I42" i="14"/>
  <c r="H42" i="14"/>
  <c r="G42" i="14"/>
  <c r="F42" i="14"/>
  <c r="Q41" i="14"/>
  <c r="P41" i="14"/>
  <c r="O41" i="14"/>
  <c r="N41" i="14"/>
  <c r="M41" i="14"/>
  <c r="L41" i="14"/>
  <c r="K41" i="14"/>
  <c r="J41" i="14"/>
  <c r="I41" i="14"/>
  <c r="H41" i="14"/>
  <c r="G41" i="14"/>
  <c r="F41" i="14"/>
  <c r="Q38" i="14"/>
  <c r="P38" i="14"/>
  <c r="O38" i="14"/>
  <c r="N38" i="14"/>
  <c r="M38" i="14"/>
  <c r="L38" i="14"/>
  <c r="K38" i="14"/>
  <c r="J38" i="14"/>
  <c r="I38" i="14"/>
  <c r="H38" i="14"/>
  <c r="G38" i="14"/>
  <c r="F38" i="14"/>
  <c r="Q37" i="14"/>
  <c r="P37" i="14"/>
  <c r="O37" i="14"/>
  <c r="N37" i="14"/>
  <c r="M37" i="14"/>
  <c r="L37" i="14"/>
  <c r="K37" i="14"/>
  <c r="J37" i="14"/>
  <c r="I37" i="14"/>
  <c r="H37" i="14"/>
  <c r="G37" i="14"/>
  <c r="F37" i="14"/>
  <c r="Q34" i="14"/>
  <c r="P34" i="14"/>
  <c r="O34" i="14"/>
  <c r="N34" i="14"/>
  <c r="M34" i="14"/>
  <c r="L34" i="14"/>
  <c r="K34" i="14"/>
  <c r="J34" i="14"/>
  <c r="I34" i="14"/>
  <c r="H34" i="14"/>
  <c r="G34" i="14"/>
  <c r="F34" i="14"/>
  <c r="Q33" i="14"/>
  <c r="P33" i="14"/>
  <c r="O33" i="14"/>
  <c r="N33" i="14"/>
  <c r="M33" i="14"/>
  <c r="L33" i="14"/>
  <c r="K33" i="14"/>
  <c r="J33" i="14"/>
  <c r="I33" i="14"/>
  <c r="H33" i="14"/>
  <c r="G33" i="14"/>
  <c r="F33" i="14"/>
  <c r="Q32" i="14"/>
  <c r="P32" i="14"/>
  <c r="O32" i="14"/>
  <c r="N32" i="14"/>
  <c r="M32" i="14"/>
  <c r="L32" i="14"/>
  <c r="K32" i="14"/>
  <c r="J32" i="14"/>
  <c r="I32" i="14"/>
  <c r="H32" i="14"/>
  <c r="G32" i="14"/>
  <c r="F32" i="14"/>
  <c r="Q31" i="14"/>
  <c r="P31" i="14"/>
  <c r="O31" i="14"/>
  <c r="N31" i="14"/>
  <c r="M31" i="14"/>
  <c r="L31" i="14"/>
  <c r="K31" i="14"/>
  <c r="J31" i="14"/>
  <c r="I31" i="14"/>
  <c r="H31" i="14"/>
  <c r="G31" i="14"/>
  <c r="F31" i="14"/>
  <c r="Q30" i="14"/>
  <c r="P30" i="14"/>
  <c r="O30" i="14"/>
  <c r="N30" i="14"/>
  <c r="M30" i="14"/>
  <c r="L30" i="14"/>
  <c r="K30" i="14"/>
  <c r="J30" i="14"/>
  <c r="I30" i="14"/>
  <c r="H30" i="14"/>
  <c r="G30" i="14"/>
  <c r="F30" i="14"/>
  <c r="Q28" i="14"/>
  <c r="P28" i="14"/>
  <c r="O28" i="14"/>
  <c r="N28" i="14"/>
  <c r="M28" i="14"/>
  <c r="L28" i="14"/>
  <c r="K28" i="14"/>
  <c r="J28" i="14"/>
  <c r="I28" i="14"/>
  <c r="H28" i="14"/>
  <c r="G28" i="14"/>
  <c r="F28" i="14"/>
  <c r="Q27" i="14"/>
  <c r="P27" i="14"/>
  <c r="O27" i="14"/>
  <c r="N27" i="14"/>
  <c r="M27" i="14"/>
  <c r="L27" i="14"/>
  <c r="K27" i="14"/>
  <c r="J27" i="14"/>
  <c r="I27" i="14"/>
  <c r="H27" i="14"/>
  <c r="G27" i="14"/>
  <c r="F27" i="14"/>
  <c r="Q26" i="14"/>
  <c r="P26" i="14"/>
  <c r="O26" i="14"/>
  <c r="N26" i="14"/>
  <c r="M26" i="14"/>
  <c r="L26" i="14"/>
  <c r="K26" i="14"/>
  <c r="J26" i="14"/>
  <c r="I26" i="14"/>
  <c r="H26" i="14"/>
  <c r="G26" i="14"/>
  <c r="F26" i="14"/>
  <c r="Q25" i="14"/>
  <c r="P25" i="14"/>
  <c r="O25" i="14"/>
  <c r="N25" i="14"/>
  <c r="M25" i="14"/>
  <c r="L25" i="14"/>
  <c r="K25" i="14"/>
  <c r="J25" i="14"/>
  <c r="I25" i="14"/>
  <c r="H25" i="14"/>
  <c r="G25" i="14"/>
  <c r="F25" i="14"/>
  <c r="Q24" i="14"/>
  <c r="P24" i="14"/>
  <c r="O24" i="14"/>
  <c r="N24" i="14"/>
  <c r="M24" i="14"/>
  <c r="L24" i="14"/>
  <c r="K24" i="14"/>
  <c r="J24" i="14"/>
  <c r="I24" i="14"/>
  <c r="H24" i="14"/>
  <c r="G24" i="14"/>
  <c r="F24" i="14"/>
  <c r="Q22" i="14"/>
  <c r="P22" i="14"/>
  <c r="O22" i="14"/>
  <c r="N22" i="14"/>
  <c r="M22" i="14"/>
  <c r="L22" i="14"/>
  <c r="K22" i="14"/>
  <c r="J22" i="14"/>
  <c r="I22" i="14"/>
  <c r="H22" i="14"/>
  <c r="G22" i="14"/>
  <c r="F22" i="14"/>
  <c r="Q21" i="14"/>
  <c r="P21" i="14"/>
  <c r="O21" i="14"/>
  <c r="N21" i="14"/>
  <c r="M21" i="14"/>
  <c r="L21" i="14"/>
  <c r="K21" i="14"/>
  <c r="J21" i="14"/>
  <c r="I21" i="14"/>
  <c r="H21" i="14"/>
  <c r="G21" i="14"/>
  <c r="F21" i="14"/>
  <c r="Q20" i="14"/>
  <c r="P20" i="14"/>
  <c r="O20" i="14"/>
  <c r="N20" i="14"/>
  <c r="M20" i="14"/>
  <c r="L20" i="14"/>
  <c r="K20" i="14"/>
  <c r="J20" i="14"/>
  <c r="I20" i="14"/>
  <c r="H20" i="14"/>
  <c r="G20" i="14"/>
  <c r="F20" i="14"/>
  <c r="Q18" i="14"/>
  <c r="P18" i="14"/>
  <c r="O18" i="14"/>
  <c r="N18" i="14"/>
  <c r="M18" i="14"/>
  <c r="L18" i="14"/>
  <c r="K18" i="14"/>
  <c r="J18" i="14"/>
  <c r="I18" i="14"/>
  <c r="H18" i="14"/>
  <c r="G18" i="14"/>
  <c r="F18" i="14"/>
  <c r="Q17" i="14"/>
  <c r="P17" i="14"/>
  <c r="O17" i="14"/>
  <c r="N17" i="14"/>
  <c r="M17" i="14"/>
  <c r="L17" i="14"/>
  <c r="K17" i="14"/>
  <c r="J17" i="14"/>
  <c r="I17" i="14"/>
  <c r="H17" i="14"/>
  <c r="G17" i="14"/>
  <c r="F17" i="14"/>
  <c r="Q16" i="14"/>
  <c r="P16" i="14"/>
  <c r="O16" i="14"/>
  <c r="N16" i="14"/>
  <c r="M16" i="14"/>
  <c r="L16" i="14"/>
  <c r="K16" i="14"/>
  <c r="J16" i="14"/>
  <c r="I16" i="14"/>
  <c r="H16" i="14"/>
  <c r="G16" i="14"/>
  <c r="F16" i="14"/>
  <c r="Q13" i="14"/>
  <c r="P13" i="14"/>
  <c r="O13" i="14"/>
  <c r="N13" i="14"/>
  <c r="M13" i="14"/>
  <c r="L13" i="14"/>
  <c r="K13" i="14"/>
  <c r="J13" i="14"/>
  <c r="I13" i="14"/>
  <c r="H13" i="14"/>
  <c r="G13" i="14"/>
  <c r="F13" i="14"/>
  <c r="Q9" i="14"/>
  <c r="P9" i="14"/>
  <c r="O9" i="14"/>
  <c r="N9" i="14"/>
  <c r="M9" i="14"/>
  <c r="L9" i="14"/>
  <c r="K9" i="14"/>
  <c r="J9" i="14"/>
  <c r="I9" i="14"/>
  <c r="H9" i="14"/>
  <c r="G9" i="14"/>
  <c r="F9" i="14"/>
  <c r="Q8" i="14"/>
  <c r="P8" i="14"/>
  <c r="O8" i="14"/>
  <c r="N8" i="14"/>
  <c r="M8" i="14"/>
  <c r="L8" i="14"/>
  <c r="K8" i="14"/>
  <c r="J8" i="14"/>
  <c r="I8" i="14"/>
  <c r="H8" i="14"/>
  <c r="G8" i="14"/>
  <c r="F8" i="14"/>
  <c r="Q7" i="14"/>
  <c r="P7" i="14"/>
  <c r="O7" i="14"/>
  <c r="N7" i="14"/>
  <c r="M7" i="14"/>
  <c r="L7" i="14"/>
  <c r="K7" i="14"/>
  <c r="J7" i="14"/>
  <c r="I7" i="14"/>
  <c r="H7" i="14"/>
  <c r="G7" i="14"/>
  <c r="F7" i="14"/>
  <c r="Q6" i="14"/>
  <c r="P6" i="14"/>
  <c r="O6" i="14"/>
  <c r="N6" i="14"/>
  <c r="M6" i="14"/>
  <c r="L6" i="14"/>
  <c r="K6" i="14"/>
  <c r="J6" i="14"/>
  <c r="I6" i="14"/>
  <c r="H6" i="14"/>
  <c r="G6" i="14"/>
  <c r="F6" i="14"/>
  <c r="I105" i="35"/>
  <c r="I104" i="35"/>
  <c r="I100" i="35"/>
  <c r="I99" i="35"/>
  <c r="I94" i="35"/>
  <c r="I93" i="35"/>
  <c r="I92" i="35"/>
  <c r="I91" i="35"/>
  <c r="I90" i="35"/>
  <c r="I89" i="35"/>
  <c r="I85" i="35"/>
  <c r="I84" i="35"/>
  <c r="I83" i="35"/>
  <c r="I82" i="35"/>
  <c r="I81" i="35"/>
  <c r="I80" i="35"/>
  <c r="C207" i="32"/>
  <c r="C193" i="32"/>
  <c r="C187" i="32"/>
  <c r="C186" i="32"/>
  <c r="C185" i="32"/>
  <c r="C181" i="32"/>
  <c r="C180" i="32"/>
  <c r="C179" i="32"/>
  <c r="C123" i="32"/>
  <c r="C71" i="32"/>
  <c r="C48" i="32"/>
  <c r="C33" i="4"/>
  <c r="C15" i="4"/>
  <c r="C14" i="4"/>
  <c r="C6" i="4"/>
  <c r="C60" i="31"/>
  <c r="C56" i="31"/>
  <c r="C55" i="31"/>
  <c r="C54" i="31"/>
  <c r="C43" i="31"/>
  <c r="C37" i="31"/>
  <c r="C71" i="12"/>
  <c r="C70" i="12"/>
  <c r="C69" i="12"/>
  <c r="C65" i="12"/>
  <c r="C57" i="12"/>
  <c r="C51" i="12"/>
  <c r="C50" i="12"/>
  <c r="C26" i="12"/>
  <c r="C69" i="3"/>
  <c r="C56" i="3"/>
  <c r="C55" i="3"/>
  <c r="C18" i="3"/>
  <c r="C17" i="3"/>
  <c r="E423" i="8"/>
  <c r="E422" i="8"/>
  <c r="E421" i="8"/>
  <c r="E420" i="8"/>
  <c r="E419" i="8"/>
  <c r="E418" i="8"/>
  <c r="E416" i="8"/>
  <c r="E415" i="8"/>
  <c r="E413" i="8"/>
  <c r="E412" i="8"/>
  <c r="E410" i="8"/>
  <c r="E409" i="8"/>
  <c r="E405" i="8"/>
  <c r="I338" i="8"/>
  <c r="I331" i="8"/>
  <c r="I280" i="8"/>
  <c r="I279" i="8"/>
  <c r="I278" i="8"/>
  <c r="I277" i="8"/>
  <c r="I276" i="8"/>
  <c r="I272" i="8"/>
  <c r="I271" i="8"/>
  <c r="K186" i="8"/>
  <c r="I186" i="8"/>
  <c r="G186" i="8"/>
  <c r="K185" i="8"/>
  <c r="I185" i="8"/>
  <c r="G185" i="8"/>
  <c r="K184" i="8"/>
  <c r="I184" i="8"/>
  <c r="G184" i="8"/>
  <c r="K167" i="8"/>
  <c r="I167" i="8"/>
  <c r="G167" i="8"/>
  <c r="K166" i="8"/>
  <c r="I166" i="8"/>
  <c r="G166" i="8"/>
  <c r="K165" i="8"/>
  <c r="I165" i="8"/>
  <c r="G165" i="8"/>
  <c r="K143" i="8"/>
  <c r="I143" i="8"/>
  <c r="G143" i="8"/>
  <c r="K142" i="8"/>
  <c r="I142" i="8"/>
  <c r="G142" i="8"/>
  <c r="K141" i="8"/>
  <c r="I141" i="8"/>
  <c r="G141" i="8"/>
  <c r="K103" i="8"/>
  <c r="I103" i="8"/>
  <c r="G103" i="8"/>
  <c r="K102" i="8"/>
  <c r="I102" i="8"/>
  <c r="G102" i="8"/>
  <c r="K101" i="8"/>
  <c r="I101" i="8"/>
  <c r="G101" i="8"/>
  <c r="K100" i="8"/>
  <c r="I100" i="8"/>
  <c r="G100" i="8"/>
  <c r="I39" i="8"/>
  <c r="B18" i="8"/>
  <c r="H19" i="1"/>
  <c r="M66" i="8"/>
  <c r="M65" i="8"/>
  <c r="C40" i="14"/>
  <c r="C36" i="14"/>
  <c r="G4" i="1"/>
  <c r="AF57" i="10"/>
  <c r="AF49" i="10"/>
  <c r="AF41" i="10"/>
  <c r="AF33" i="10"/>
  <c r="AF25" i="10"/>
  <c r="AF17" i="10"/>
  <c r="AF9" i="10"/>
  <c r="C7" i="32" l="1"/>
  <c r="C216" i="32" l="1"/>
  <c r="C213" i="32"/>
  <c r="C212" i="32"/>
  <c r="C214" i="32"/>
  <c r="E215" i="32"/>
  <c r="E212" i="32"/>
  <c r="C7" i="23" l="1"/>
  <c r="C23" i="4"/>
  <c r="G38" i="1" l="1"/>
  <c r="I66" i="10"/>
  <c r="H66" i="10"/>
  <c r="L66" i="10" l="1"/>
  <c r="M232" i="8" l="1"/>
  <c r="M231" i="8"/>
  <c r="M230" i="8"/>
  <c r="W229" i="8"/>
  <c r="X229" i="8" s="1"/>
  <c r="M236" i="8"/>
  <c r="M235" i="8"/>
  <c r="M234" i="8"/>
  <c r="W233" i="8"/>
  <c r="X233" i="8" s="1"/>
  <c r="M207" i="8"/>
  <c r="M206" i="8"/>
  <c r="W205" i="8"/>
  <c r="X205" i="8" s="1"/>
  <c r="M192" i="8"/>
  <c r="M173" i="8"/>
  <c r="M149" i="8"/>
  <c r="M125" i="8"/>
  <c r="M124" i="8"/>
  <c r="W123" i="8"/>
  <c r="X123" i="8" s="1"/>
  <c r="M76" i="8"/>
  <c r="M75" i="8"/>
  <c r="M74" i="8"/>
  <c r="M73" i="8"/>
  <c r="W72" i="8"/>
  <c r="X72" i="8" s="1"/>
  <c r="C38" i="1" l="1"/>
  <c r="C28" i="30" l="1"/>
  <c r="C5" i="8"/>
  <c r="A66" i="10"/>
  <c r="C6" i="29" l="1"/>
  <c r="C5" i="29"/>
  <c r="C9" i="35" l="1"/>
  <c r="AE66" i="10"/>
  <c r="AD66" i="10"/>
  <c r="AC66" i="10"/>
  <c r="AB66" i="10"/>
  <c r="M58" i="8" l="1"/>
  <c r="M57" i="8"/>
  <c r="M50" i="8"/>
  <c r="M49" i="8"/>
  <c r="C187" i="2" l="1"/>
  <c r="C69" i="2"/>
  <c r="C22" i="31" l="1"/>
  <c r="C8" i="31"/>
  <c r="C16" i="31" s="1"/>
  <c r="C19" i="31" s="1"/>
  <c r="C6" i="31"/>
  <c r="C7" i="31" s="1"/>
  <c r="C5" i="31"/>
  <c r="C9" i="31" l="1"/>
  <c r="C11" i="31" s="1"/>
  <c r="C13" i="31" s="1"/>
  <c r="C14" i="31"/>
  <c r="C17" i="31" s="1"/>
  <c r="C15" i="31"/>
  <c r="C18" i="31" s="1"/>
  <c r="X66" i="10"/>
  <c r="C10" i="31" l="1"/>
  <c r="C12" i="31" s="1"/>
  <c r="C30" i="31" s="1"/>
  <c r="G66" i="10"/>
  <c r="C5" i="12"/>
  <c r="C32" i="4" s="1"/>
  <c r="C72" i="4" l="1"/>
  <c r="C24" i="4"/>
  <c r="G60" i="1"/>
  <c r="C40" i="12"/>
  <c r="C66" i="12"/>
  <c r="C11" i="32"/>
  <c r="A36" i="36"/>
  <c r="A37" i="36"/>
  <c r="C36" i="12"/>
  <c r="C35" i="12"/>
  <c r="C24" i="31"/>
  <c r="C31" i="31"/>
  <c r="C20" i="31"/>
  <c r="C25" i="31"/>
  <c r="C28" i="31"/>
  <c r="C29" i="31"/>
  <c r="C21" i="31"/>
  <c r="C27" i="31"/>
  <c r="C23" i="31"/>
  <c r="K90" i="8" l="1"/>
  <c r="I90" i="8"/>
  <c r="K92" i="8"/>
  <c r="G90" i="8"/>
  <c r="I92" i="8"/>
  <c r="G92" i="8"/>
  <c r="K91" i="8"/>
  <c r="I91" i="8"/>
  <c r="G91" i="8"/>
  <c r="C26" i="31"/>
  <c r="C32" i="31" s="1"/>
  <c r="C33" i="31" s="1"/>
  <c r="C36" i="31" s="1"/>
  <c r="C25" i="4" s="1"/>
  <c r="I111" i="8" l="1"/>
  <c r="K113" i="8"/>
  <c r="G111" i="8"/>
  <c r="I113" i="8"/>
  <c r="G113" i="8"/>
  <c r="K112" i="8"/>
  <c r="I112" i="8"/>
  <c r="G112" i="8"/>
  <c r="K111" i="8"/>
  <c r="C182" i="32"/>
  <c r="C471" i="8" l="1"/>
  <c r="C470" i="8"/>
  <c r="C121" i="32" l="1"/>
  <c r="M64" i="8" l="1"/>
  <c r="M63" i="8"/>
  <c r="M56" i="8"/>
  <c r="M55" i="8"/>
  <c r="M80" i="8" l="1"/>
  <c r="M62" i="8"/>
  <c r="M54" i="8"/>
  <c r="M48" i="8"/>
  <c r="C14" i="3"/>
  <c r="D46" i="1" s="1"/>
  <c r="C6" i="3"/>
  <c r="C13" i="3"/>
  <c r="H36" i="1" s="1"/>
  <c r="C12" i="3"/>
  <c r="C9" i="8" s="1"/>
  <c r="C7" i="3"/>
  <c r="C5" i="32"/>
  <c r="C19" i="32"/>
  <c r="C8" i="12"/>
  <c r="C5" i="25"/>
  <c r="C16" i="8" s="1"/>
  <c r="C13" i="32"/>
  <c r="C31" i="11"/>
  <c r="C17" i="32"/>
  <c r="W221" i="8"/>
  <c r="X221" i="8" s="1"/>
  <c r="W217" i="8"/>
  <c r="X217" i="8" s="1"/>
  <c r="W208" i="8"/>
  <c r="X208" i="8" s="1"/>
  <c r="M212" i="8"/>
  <c r="M211" i="8"/>
  <c r="M210" i="8"/>
  <c r="M209" i="8"/>
  <c r="M195" i="8"/>
  <c r="M194" i="8"/>
  <c r="M193" i="8"/>
  <c r="M176" i="8"/>
  <c r="M175" i="8"/>
  <c r="M174" i="8"/>
  <c r="C277" i="8"/>
  <c r="C276" i="8"/>
  <c r="C186" i="8"/>
  <c r="C185" i="8"/>
  <c r="C184" i="8"/>
  <c r="C143" i="8"/>
  <c r="C142" i="8"/>
  <c r="C141" i="8"/>
  <c r="C167" i="8"/>
  <c r="C166" i="8"/>
  <c r="C165" i="8"/>
  <c r="M152" i="8"/>
  <c r="M151" i="8"/>
  <c r="M150" i="8"/>
  <c r="W126" i="8"/>
  <c r="X126" i="8" s="1"/>
  <c r="C68" i="4"/>
  <c r="M130" i="8"/>
  <c r="M129" i="8"/>
  <c r="M128" i="8"/>
  <c r="M127" i="8"/>
  <c r="W59" i="8"/>
  <c r="X59" i="8" s="1"/>
  <c r="W77" i="8"/>
  <c r="X77" i="8" s="1"/>
  <c r="M79" i="8"/>
  <c r="M78" i="8"/>
  <c r="C14" i="25"/>
  <c r="D133" i="14" s="1"/>
  <c r="C133" i="14" s="1"/>
  <c r="C92" i="30"/>
  <c r="C93" i="30"/>
  <c r="C48" i="3"/>
  <c r="C145" i="32"/>
  <c r="C155" i="8"/>
  <c r="C156" i="8"/>
  <c r="C182" i="8"/>
  <c r="C262" i="8"/>
  <c r="C263" i="8"/>
  <c r="C264" i="8"/>
  <c r="C265" i="8"/>
  <c r="C60" i="25"/>
  <c r="C61" i="25"/>
  <c r="C62" i="25"/>
  <c r="C63" i="25"/>
  <c r="C247" i="8"/>
  <c r="C43" i="32"/>
  <c r="C8" i="32"/>
  <c r="D203" i="14"/>
  <c r="C203" i="14" s="1"/>
  <c r="W186" i="8"/>
  <c r="X186" i="8" s="1"/>
  <c r="W185" i="8"/>
  <c r="X185" i="8" s="1"/>
  <c r="W184" i="8"/>
  <c r="X184" i="8" s="1"/>
  <c r="W167" i="8"/>
  <c r="X167" i="8" s="1"/>
  <c r="W166" i="8"/>
  <c r="X166" i="8" s="1"/>
  <c r="W165" i="8"/>
  <c r="X165" i="8" s="1"/>
  <c r="W143" i="8"/>
  <c r="X143" i="8" s="1"/>
  <c r="W142" i="8"/>
  <c r="X142" i="8" s="1"/>
  <c r="W141" i="8"/>
  <c r="X141" i="8" s="1"/>
  <c r="W103" i="8"/>
  <c r="X103" i="8" s="1"/>
  <c r="W102" i="8"/>
  <c r="X102" i="8" s="1"/>
  <c r="W101" i="8"/>
  <c r="X101" i="8" s="1"/>
  <c r="W100" i="8"/>
  <c r="X100" i="8" s="1"/>
  <c r="C182" i="2"/>
  <c r="M68" i="8"/>
  <c r="C66" i="10"/>
  <c r="D66" i="10"/>
  <c r="E66" i="10"/>
  <c r="F66" i="10"/>
  <c r="R66" i="10"/>
  <c r="T66" i="10"/>
  <c r="S66" i="10"/>
  <c r="U66" i="10"/>
  <c r="J66" i="10"/>
  <c r="K66" i="10"/>
  <c r="M66" i="10"/>
  <c r="N66" i="10"/>
  <c r="O66" i="10"/>
  <c r="P66" i="10"/>
  <c r="Q66" i="10"/>
  <c r="V66" i="10"/>
  <c r="W66" i="10"/>
  <c r="Y66" i="10"/>
  <c r="Z66" i="10"/>
  <c r="AA66" i="10"/>
  <c r="M331" i="8"/>
  <c r="W328" i="8"/>
  <c r="X328" i="8" s="1"/>
  <c r="W322" i="8"/>
  <c r="X322" i="8" s="1"/>
  <c r="V321" i="8"/>
  <c r="S321" i="8"/>
  <c r="P321" i="8"/>
  <c r="M321" i="8"/>
  <c r="U320" i="8"/>
  <c r="R320" i="8"/>
  <c r="O320" i="8"/>
  <c r="M320" i="8"/>
  <c r="T319" i="8"/>
  <c r="Q319" i="8"/>
  <c r="N319" i="8"/>
  <c r="M319" i="8"/>
  <c r="V318" i="8"/>
  <c r="U318" i="8"/>
  <c r="T318" i="8"/>
  <c r="S318" i="8"/>
  <c r="R318" i="8"/>
  <c r="Q318" i="8"/>
  <c r="P318" i="8"/>
  <c r="O318" i="8"/>
  <c r="N318" i="8"/>
  <c r="M318" i="8"/>
  <c r="W317" i="8"/>
  <c r="X317" i="8" s="1"/>
  <c r="W314" i="8"/>
  <c r="X314" i="8" s="1"/>
  <c r="W308" i="8"/>
  <c r="X308" i="8" s="1"/>
  <c r="V307" i="8"/>
  <c r="S307" i="8"/>
  <c r="P307" i="8"/>
  <c r="M307" i="8"/>
  <c r="U306" i="8"/>
  <c r="R306" i="8"/>
  <c r="O306" i="8"/>
  <c r="M306" i="8"/>
  <c r="T305" i="8"/>
  <c r="Q305" i="8"/>
  <c r="N305" i="8"/>
  <c r="M305" i="8"/>
  <c r="V304" i="8"/>
  <c r="U304" i="8"/>
  <c r="T304" i="8"/>
  <c r="S304" i="8"/>
  <c r="R304" i="8"/>
  <c r="Q304" i="8"/>
  <c r="P304" i="8"/>
  <c r="O304" i="8"/>
  <c r="N304" i="8"/>
  <c r="M304" i="8"/>
  <c r="W303" i="8"/>
  <c r="X303" i="8" s="1"/>
  <c r="W302" i="8"/>
  <c r="X302" i="8" s="1"/>
  <c r="M224" i="8"/>
  <c r="M223" i="8"/>
  <c r="M220" i="8"/>
  <c r="M219" i="8"/>
  <c r="M222" i="8"/>
  <c r="M218" i="8"/>
  <c r="M61" i="8"/>
  <c r="M60" i="8"/>
  <c r="G52" i="1"/>
  <c r="C53" i="3"/>
  <c r="C64" i="3"/>
  <c r="C59" i="3"/>
  <c r="C60" i="3"/>
  <c r="D469" i="8"/>
  <c r="C154" i="8"/>
  <c r="C181" i="8"/>
  <c r="C183" i="8"/>
  <c r="C248" i="8"/>
  <c r="C249" i="8"/>
  <c r="C250" i="8"/>
  <c r="D185" i="14"/>
  <c r="C185" i="14" s="1"/>
  <c r="C160" i="2"/>
  <c r="W38" i="8"/>
  <c r="X38" i="8" s="1"/>
  <c r="W40" i="8"/>
  <c r="X40" i="8" s="1"/>
  <c r="W41" i="8"/>
  <c r="X41" i="8" s="1"/>
  <c r="W45" i="8"/>
  <c r="X45" i="8" s="1"/>
  <c r="W51" i="8"/>
  <c r="X51" i="8" s="1"/>
  <c r="W67" i="8"/>
  <c r="X67" i="8" s="1"/>
  <c r="W81" i="8"/>
  <c r="X81" i="8" s="1"/>
  <c r="W83" i="8"/>
  <c r="X83" i="8" s="1"/>
  <c r="W84" i="8"/>
  <c r="X84" i="8" s="1"/>
  <c r="W89" i="8"/>
  <c r="X89" i="8" s="1"/>
  <c r="W93" i="8"/>
  <c r="X93" i="8" s="1"/>
  <c r="W99" i="8"/>
  <c r="X99" i="8" s="1"/>
  <c r="W104" i="8"/>
  <c r="X104" i="8" s="1"/>
  <c r="W110" i="8"/>
  <c r="X110" i="8" s="1"/>
  <c r="W114" i="8"/>
  <c r="X114" i="8" s="1"/>
  <c r="W131" i="8"/>
  <c r="X131" i="8" s="1"/>
  <c r="W132" i="8"/>
  <c r="X132" i="8" s="1"/>
  <c r="W153" i="8"/>
  <c r="X153" i="8" s="1"/>
  <c r="W177" i="8"/>
  <c r="X177" i="8" s="1"/>
  <c r="W196" i="8"/>
  <c r="X196" i="8" s="1"/>
  <c r="W199" i="8"/>
  <c r="X199" i="8" s="1"/>
  <c r="W213" i="8"/>
  <c r="X213" i="8" s="1"/>
  <c r="W214" i="8"/>
  <c r="X214" i="8" s="1"/>
  <c r="W225" i="8"/>
  <c r="X225" i="8" s="1"/>
  <c r="W237" i="8"/>
  <c r="X237" i="8" s="1"/>
  <c r="W238" i="8"/>
  <c r="X238" i="8" s="1"/>
  <c r="W242" i="8"/>
  <c r="X242" i="8" s="1"/>
  <c r="W245" i="8"/>
  <c r="X245" i="8" s="1"/>
  <c r="W246" i="8"/>
  <c r="X246" i="8" s="1"/>
  <c r="W251" i="8"/>
  <c r="X251" i="8" s="1"/>
  <c r="W256" i="8"/>
  <c r="X256" i="8" s="1"/>
  <c r="W261" i="8"/>
  <c r="X261" i="8" s="1"/>
  <c r="W273" i="8"/>
  <c r="X273" i="8" s="1"/>
  <c r="W281" i="8"/>
  <c r="X281" i="8" s="1"/>
  <c r="W282" i="8"/>
  <c r="X282" i="8" s="1"/>
  <c r="W292" i="8"/>
  <c r="X292" i="8" s="1"/>
  <c r="W297" i="8"/>
  <c r="X297" i="8" s="1"/>
  <c r="W332" i="8"/>
  <c r="X332" i="8" s="1"/>
  <c r="W337" i="8"/>
  <c r="X337" i="8" s="1"/>
  <c r="D357" i="8"/>
  <c r="C451" i="8" s="1"/>
  <c r="C429" i="8"/>
  <c r="D362" i="8"/>
  <c r="D363" i="8"/>
  <c r="C457" i="8" s="1"/>
  <c r="D366" i="8"/>
  <c r="C460" i="8" s="1"/>
  <c r="D367" i="8"/>
  <c r="C461" i="8" s="1"/>
  <c r="D368" i="8"/>
  <c r="C462" i="8" s="1"/>
  <c r="C161" i="2"/>
  <c r="E7" i="10"/>
  <c r="C64" i="28"/>
  <c r="C26" i="23"/>
  <c r="G30" i="1"/>
  <c r="H30" i="1"/>
  <c r="G31" i="1"/>
  <c r="C12" i="8"/>
  <c r="C13" i="8"/>
  <c r="C14" i="8"/>
  <c r="C15" i="8"/>
  <c r="M34" i="8"/>
  <c r="M35" i="8"/>
  <c r="M36" i="8"/>
  <c r="M37" i="8"/>
  <c r="M42" i="8"/>
  <c r="M43" i="8"/>
  <c r="M44" i="8"/>
  <c r="M46" i="8"/>
  <c r="M47" i="8"/>
  <c r="M52" i="8"/>
  <c r="M53" i="8"/>
  <c r="M69" i="8"/>
  <c r="M70" i="8"/>
  <c r="M71" i="8"/>
  <c r="M82" i="8"/>
  <c r="M85" i="8"/>
  <c r="M86" i="8"/>
  <c r="M87" i="8"/>
  <c r="M88" i="8"/>
  <c r="M90" i="8"/>
  <c r="M91" i="8"/>
  <c r="M92" i="8"/>
  <c r="M94" i="8"/>
  <c r="M95" i="8"/>
  <c r="M96" i="8"/>
  <c r="M97" i="8"/>
  <c r="M98" i="8"/>
  <c r="E100" i="8"/>
  <c r="F100" i="8"/>
  <c r="H100" i="8"/>
  <c r="M100" i="8"/>
  <c r="E101" i="8"/>
  <c r="F101" i="8"/>
  <c r="H101" i="8"/>
  <c r="M101" i="8"/>
  <c r="E102" i="8"/>
  <c r="F102" i="8"/>
  <c r="H102" i="8"/>
  <c r="M102" i="8"/>
  <c r="E103" i="8"/>
  <c r="F103" i="8"/>
  <c r="H103" i="8"/>
  <c r="M103" i="8"/>
  <c r="M105" i="8"/>
  <c r="M106" i="8"/>
  <c r="M107" i="8"/>
  <c r="M108" i="8"/>
  <c r="M109" i="8"/>
  <c r="M111" i="8"/>
  <c r="M112" i="8"/>
  <c r="M113" i="8"/>
  <c r="M115" i="8"/>
  <c r="M116" i="8"/>
  <c r="M117" i="8"/>
  <c r="M118" i="8"/>
  <c r="M119" i="8"/>
  <c r="M120" i="8"/>
  <c r="M121" i="8"/>
  <c r="M122" i="8"/>
  <c r="M133" i="8"/>
  <c r="M134" i="8"/>
  <c r="M135" i="8"/>
  <c r="M136" i="8"/>
  <c r="M137" i="8"/>
  <c r="M138" i="8"/>
  <c r="M139" i="8"/>
  <c r="M140" i="8"/>
  <c r="E141" i="8"/>
  <c r="F141" i="8"/>
  <c r="H141" i="8"/>
  <c r="M141" i="8"/>
  <c r="E142" i="8"/>
  <c r="F142" i="8"/>
  <c r="H142" i="8"/>
  <c r="M142" i="8"/>
  <c r="E143" i="8"/>
  <c r="F143" i="8"/>
  <c r="H143" i="8"/>
  <c r="M143" i="8"/>
  <c r="M144" i="8"/>
  <c r="M145" i="8"/>
  <c r="M146" i="8"/>
  <c r="M147" i="8"/>
  <c r="M148" i="8"/>
  <c r="M154" i="8"/>
  <c r="M155" i="8"/>
  <c r="M156" i="8"/>
  <c r="M157" i="8"/>
  <c r="M158" i="8"/>
  <c r="M159" i="8"/>
  <c r="M160" i="8"/>
  <c r="M161" i="8"/>
  <c r="M162" i="8"/>
  <c r="M163" i="8"/>
  <c r="M164" i="8"/>
  <c r="E165" i="8"/>
  <c r="F165" i="8"/>
  <c r="H165" i="8"/>
  <c r="M165" i="8"/>
  <c r="E166" i="8"/>
  <c r="F166" i="8"/>
  <c r="H166" i="8"/>
  <c r="M166" i="8"/>
  <c r="E167" i="8"/>
  <c r="F167" i="8"/>
  <c r="H167" i="8"/>
  <c r="M167" i="8"/>
  <c r="M168" i="8"/>
  <c r="M169" i="8"/>
  <c r="M170" i="8"/>
  <c r="M171" i="8"/>
  <c r="M172" i="8"/>
  <c r="M178" i="8"/>
  <c r="M179" i="8"/>
  <c r="M180" i="8"/>
  <c r="M181" i="8"/>
  <c r="M182" i="8"/>
  <c r="M183" i="8"/>
  <c r="E184" i="8"/>
  <c r="F184" i="8"/>
  <c r="H184" i="8"/>
  <c r="M184" i="8"/>
  <c r="E185" i="8"/>
  <c r="F185" i="8"/>
  <c r="H185" i="8"/>
  <c r="M185" i="8"/>
  <c r="E186" i="8"/>
  <c r="F186" i="8"/>
  <c r="H186" i="8"/>
  <c r="M186" i="8"/>
  <c r="M187" i="8"/>
  <c r="M188" i="8"/>
  <c r="M189" i="8"/>
  <c r="M190" i="8"/>
  <c r="M191" i="8"/>
  <c r="M197" i="8"/>
  <c r="M198" i="8"/>
  <c r="M200" i="8"/>
  <c r="M201" i="8"/>
  <c r="M202" i="8"/>
  <c r="M203" i="8"/>
  <c r="M204" i="8"/>
  <c r="M215" i="8"/>
  <c r="M216" i="8"/>
  <c r="M226" i="8"/>
  <c r="M227" i="8"/>
  <c r="M228" i="8"/>
  <c r="M239" i="8"/>
  <c r="M240" i="8"/>
  <c r="B241" i="8"/>
  <c r="M241" i="8" s="1"/>
  <c r="M243" i="8"/>
  <c r="M244" i="8"/>
  <c r="M247" i="8"/>
  <c r="M248" i="8"/>
  <c r="M249" i="8"/>
  <c r="M250" i="8"/>
  <c r="M252" i="8"/>
  <c r="M253" i="8"/>
  <c r="M254" i="8"/>
  <c r="M255" i="8"/>
  <c r="M257" i="8"/>
  <c r="M258" i="8"/>
  <c r="M259" i="8"/>
  <c r="M260" i="8"/>
  <c r="M262" i="8"/>
  <c r="M263" i="8"/>
  <c r="M264" i="8"/>
  <c r="M265" i="8"/>
  <c r="M266" i="8"/>
  <c r="M267" i="8"/>
  <c r="M268" i="8"/>
  <c r="M269" i="8"/>
  <c r="M270" i="8"/>
  <c r="M271" i="8"/>
  <c r="M272" i="8"/>
  <c r="M274" i="8"/>
  <c r="M275" i="8"/>
  <c r="M276" i="8"/>
  <c r="M277" i="8"/>
  <c r="M278" i="8"/>
  <c r="M279" i="8"/>
  <c r="M280" i="8"/>
  <c r="M283" i="8"/>
  <c r="M284" i="8"/>
  <c r="M285" i="8"/>
  <c r="M286" i="8"/>
  <c r="M287" i="8"/>
  <c r="M288" i="8"/>
  <c r="M289" i="8"/>
  <c r="M290" i="8"/>
  <c r="M291" i="8"/>
  <c r="M293" i="8"/>
  <c r="M294" i="8"/>
  <c r="M295" i="8"/>
  <c r="M296" i="8"/>
  <c r="M298" i="8"/>
  <c r="M299" i="8"/>
  <c r="M300" i="8"/>
  <c r="M301" i="8"/>
  <c r="N331" i="8"/>
  <c r="O331" i="8"/>
  <c r="P331" i="8"/>
  <c r="Q331" i="8"/>
  <c r="R331" i="8"/>
  <c r="S331" i="8"/>
  <c r="T331" i="8"/>
  <c r="U331" i="8"/>
  <c r="V331" i="8"/>
  <c r="M333" i="8"/>
  <c r="M334" i="8"/>
  <c r="M335" i="8"/>
  <c r="M336" i="8"/>
  <c r="M338" i="8"/>
  <c r="D428" i="8"/>
  <c r="F428" i="8"/>
  <c r="C120" i="32"/>
  <c r="C122" i="32"/>
  <c r="C51" i="29"/>
  <c r="C98" i="30"/>
  <c r="C58" i="30"/>
  <c r="C89" i="30"/>
  <c r="C90" i="30"/>
  <c r="C75" i="30"/>
  <c r="C106" i="30"/>
  <c r="C111" i="30"/>
  <c r="C112" i="30"/>
  <c r="C115" i="30"/>
  <c r="C226" i="32" l="1"/>
  <c r="C223" i="32"/>
  <c r="C222" i="32"/>
  <c r="C85" i="29"/>
  <c r="C82" i="29"/>
  <c r="C90" i="4"/>
  <c r="E390" i="8"/>
  <c r="E389" i="8"/>
  <c r="E391" i="8"/>
  <c r="AH56" i="10" a="1"/>
  <c r="AJ50" i="10" a="1"/>
  <c r="AJ55" i="10" a="1"/>
  <c r="AJ55" i="10" s="1"/>
  <c r="AH53" i="10" a="1"/>
  <c r="AJ52" i="10" a="1"/>
  <c r="AH50" i="10" a="1"/>
  <c r="AJ53" i="10" a="1"/>
  <c r="AJ53" i="10" s="1"/>
  <c r="AH55" i="10" a="1"/>
  <c r="AJ49" i="10" a="1"/>
  <c r="AJ49" i="10" s="1"/>
  <c r="AH49" i="10" a="1"/>
  <c r="AJ54" i="10" a="1"/>
  <c r="AJ54" i="10" s="1"/>
  <c r="AH52" i="10" a="1"/>
  <c r="AH52" i="10" s="1"/>
  <c r="AJ51" i="10" a="1"/>
  <c r="AH51" i="10" a="1"/>
  <c r="AJ56" i="10" a="1"/>
  <c r="AJ56" i="10" s="1"/>
  <c r="AH54" i="10" a="1"/>
  <c r="AH54" i="10"/>
  <c r="AJ50" i="10"/>
  <c r="AH55" i="10"/>
  <c r="AH53" i="10"/>
  <c r="AH49" i="10"/>
  <c r="AH50" i="10"/>
  <c r="AJ52" i="10"/>
  <c r="AH51" i="10"/>
  <c r="AH56" i="10"/>
  <c r="AJ51" i="10"/>
  <c r="C49" i="3"/>
  <c r="C8" i="8"/>
  <c r="C9" i="3"/>
  <c r="AH62" i="10" a="1"/>
  <c r="AH62" i="10" s="1"/>
  <c r="AH46" i="10" a="1"/>
  <c r="AH46" i="10" s="1"/>
  <c r="AH38" i="10" a="1"/>
  <c r="AH38" i="10" s="1"/>
  <c r="AH30" i="10" a="1"/>
  <c r="AH30" i="10" s="1"/>
  <c r="AH22" i="10" a="1"/>
  <c r="AH14" i="10" a="1"/>
  <c r="AH10" i="10" a="1"/>
  <c r="AH10" i="10" s="1"/>
  <c r="AH47" i="10" a="1"/>
  <c r="AH47" i="10" s="1"/>
  <c r="AH23" i="10" a="1"/>
  <c r="AH23" i="10" s="1"/>
  <c r="AH15" i="10" a="1"/>
  <c r="AH15" i="10" s="1"/>
  <c r="AH44" i="10" a="1"/>
  <c r="AH44" i="10" s="1"/>
  <c r="AH59" i="10" a="1"/>
  <c r="AH59" i="10" s="1"/>
  <c r="AH43" i="10" a="1"/>
  <c r="AH35" i="10" a="1"/>
  <c r="AH35" i="10" s="1"/>
  <c r="AH27" i="10" a="1"/>
  <c r="AH27" i="10" s="1"/>
  <c r="AH19" i="10" a="1"/>
  <c r="AH19" i="10" s="1"/>
  <c r="AH11" i="10" a="1"/>
  <c r="AH45" i="10" a="1"/>
  <c r="AH45" i="10" s="1"/>
  <c r="AH29" i="10" a="1"/>
  <c r="AH29" i="10" s="1"/>
  <c r="AH21" i="10" a="1"/>
  <c r="AH21" i="10" s="1"/>
  <c r="AH58" i="10" a="1"/>
  <c r="AH34" i="10" a="1"/>
  <c r="AH34" i="10" s="1"/>
  <c r="AH18" i="10" a="1"/>
  <c r="AH39" i="10" a="1"/>
  <c r="AH39" i="10" s="1"/>
  <c r="AH31" i="10" a="1"/>
  <c r="AH31" i="10" s="1"/>
  <c r="AH20" i="10" a="1"/>
  <c r="AH20" i="10" s="1"/>
  <c r="AH12" i="10" a="1"/>
  <c r="AH12" i="10" s="1"/>
  <c r="AH64" i="10" a="1"/>
  <c r="AH64" i="10" s="1"/>
  <c r="AH48" i="10" a="1"/>
  <c r="AH40" i="10" a="1"/>
  <c r="AH40" i="10" s="1"/>
  <c r="AH32" i="10" a="1"/>
  <c r="AH32" i="10" s="1"/>
  <c r="AH24" i="10" a="1"/>
  <c r="AH24" i="10" s="1"/>
  <c r="AH16" i="10" a="1"/>
  <c r="AH16" i="10" s="1"/>
  <c r="AH61" i="10" a="1"/>
  <c r="AH61" i="10" s="1"/>
  <c r="AH37" i="10" a="1"/>
  <c r="AH13" i="10" a="1"/>
  <c r="AH13" i="10" s="1"/>
  <c r="AH42" i="10" a="1"/>
  <c r="AH26" i="10" a="1"/>
  <c r="AH26" i="10" s="1"/>
  <c r="AH63" i="10" a="1"/>
  <c r="AH63" i="10" s="1"/>
  <c r="AH36" i="10" a="1"/>
  <c r="AH36" i="10" s="1"/>
  <c r="AH28" i="10" a="1"/>
  <c r="AH60" i="10" a="1"/>
  <c r="AH60" i="10" s="1"/>
  <c r="AH57" i="10" a="1"/>
  <c r="AH57" i="10" s="1"/>
  <c r="AH41" i="10" a="1"/>
  <c r="AH41" i="10" s="1"/>
  <c r="AH33" i="10" a="1"/>
  <c r="AH25" i="10" a="1"/>
  <c r="AH25" i="10" s="1"/>
  <c r="AH17" i="10" a="1"/>
  <c r="AH17" i="10" s="1"/>
  <c r="AJ64" i="10" a="1"/>
  <c r="AJ64" i="10" s="1"/>
  <c r="AG64" i="10" s="1"/>
  <c r="AJ24" i="10" a="1"/>
  <c r="AJ24" i="10" s="1"/>
  <c r="AJ26" i="10" a="1"/>
  <c r="AJ26" i="10" s="1"/>
  <c r="AJ31" i="10" a="1"/>
  <c r="AJ31" i="10" s="1"/>
  <c r="AJ20" i="10" a="1"/>
  <c r="AJ20" i="10" s="1"/>
  <c r="AJ46" i="10" a="1"/>
  <c r="AJ21" i="10" a="1"/>
  <c r="AJ21" i="10" s="1"/>
  <c r="AJ19" i="10" a="1"/>
  <c r="AJ19" i="10" s="1"/>
  <c r="AJ37" i="10" a="1"/>
  <c r="AJ37" i="10" s="1"/>
  <c r="AJ28" i="10" a="1"/>
  <c r="AJ28" i="10" s="1"/>
  <c r="AJ23" i="10" a="1"/>
  <c r="AJ23" i="10" s="1"/>
  <c r="AJ57" i="10" a="1"/>
  <c r="AJ57" i="10" s="1"/>
  <c r="AG57" i="10" s="1"/>
  <c r="AJ35" i="10" a="1"/>
  <c r="AJ35" i="10" s="1"/>
  <c r="AJ42" i="10" a="1"/>
  <c r="AJ61" i="10" a="1"/>
  <c r="AJ43" i="10" a="1"/>
  <c r="AJ43" i="10" s="1"/>
  <c r="AJ48" i="10" a="1"/>
  <c r="AJ48" i="10" s="1"/>
  <c r="AJ16" i="10" a="1"/>
  <c r="AJ16" i="10" s="1"/>
  <c r="AJ38" i="10" a="1"/>
  <c r="AJ39" i="10" a="1"/>
  <c r="AJ39" i="10" s="1"/>
  <c r="AJ58" i="10" a="1"/>
  <c r="AJ58" i="10" s="1"/>
  <c r="AG58" i="10" s="1"/>
  <c r="AJ18" i="10" a="1"/>
  <c r="AJ33" i="10" a="1"/>
  <c r="AJ33" i="10" s="1"/>
  <c r="AJ30" i="10" a="1"/>
  <c r="AJ30" i="10" s="1"/>
  <c r="AJ40" i="10" a="1"/>
  <c r="AJ40" i="10" s="1"/>
  <c r="AJ60" i="10" a="1"/>
  <c r="AJ60" i="10" s="1"/>
  <c r="AG60" i="10" s="1"/>
  <c r="AJ15" i="10" a="1"/>
  <c r="AJ15" i="10" s="1"/>
  <c r="AJ63" i="10" a="1"/>
  <c r="AJ63" i="10" s="1"/>
  <c r="AG63" i="10" s="1"/>
  <c r="AJ59" i="10" a="1"/>
  <c r="AJ59" i="10" s="1"/>
  <c r="AG59" i="10" s="1"/>
  <c r="AJ14" i="10" a="1"/>
  <c r="AJ29" i="10" a="1"/>
  <c r="AJ12" i="10" a="1"/>
  <c r="AJ12" i="10" s="1"/>
  <c r="AJ17" i="10" a="1"/>
  <c r="AJ27" i="10" a="1"/>
  <c r="AJ27" i="10" s="1"/>
  <c r="AJ10" i="10" a="1"/>
  <c r="AJ10" i="10" s="1"/>
  <c r="AJ22" i="10" a="1"/>
  <c r="AJ22" i="10" s="1"/>
  <c r="AJ11" i="10" a="1"/>
  <c r="AJ11" i="10" s="1"/>
  <c r="AJ32" i="10" a="1"/>
  <c r="AJ32" i="10" s="1"/>
  <c r="AJ41" i="10" a="1"/>
  <c r="AJ41" i="10" s="1"/>
  <c r="AJ25" i="10" a="1"/>
  <c r="AJ34" i="10" a="1"/>
  <c r="AJ34" i="10" s="1"/>
  <c r="AJ47" i="10" a="1"/>
  <c r="AJ47" i="10" s="1"/>
  <c r="AJ36" i="10" a="1"/>
  <c r="AJ36" i="10" s="1"/>
  <c r="AJ62" i="10" a="1"/>
  <c r="AJ62" i="10" s="1"/>
  <c r="AG62" i="10" s="1"/>
  <c r="AJ45" i="10" a="1"/>
  <c r="AJ45" i="10" s="1"/>
  <c r="AJ13" i="10" a="1"/>
  <c r="AJ13" i="10" s="1"/>
  <c r="AJ44" i="10" a="1"/>
  <c r="AJ44" i="10" s="1"/>
  <c r="AJ9" i="10" a="1"/>
  <c r="AJ9" i="10" s="1"/>
  <c r="AJ46" i="10"/>
  <c r="AJ38" i="10"/>
  <c r="AH37" i="10"/>
  <c r="AJ18" i="10"/>
  <c r="AH58" i="10"/>
  <c r="AH42" i="10"/>
  <c r="AJ25" i="10"/>
  <c r="AH22" i="10"/>
  <c r="AH11" i="10"/>
  <c r="AJ14" i="10"/>
  <c r="AH14" i="10"/>
  <c r="AH18" i="10"/>
  <c r="AH43" i="10"/>
  <c r="AJ17" i="10"/>
  <c r="AJ61" i="10"/>
  <c r="AG61" i="10" s="1"/>
  <c r="AJ42" i="10"/>
  <c r="AH33" i="10"/>
  <c r="AH28" i="10"/>
  <c r="AJ29" i="10"/>
  <c r="AH48" i="10"/>
  <c r="C15" i="30"/>
  <c r="C61" i="12"/>
  <c r="C71" i="4" s="1"/>
  <c r="C49" i="12"/>
  <c r="C62" i="12"/>
  <c r="C44" i="4" s="1"/>
  <c r="C52" i="25"/>
  <c r="C278" i="8" s="1"/>
  <c r="J278" i="8" s="1"/>
  <c r="C224" i="32"/>
  <c r="D61" i="1"/>
  <c r="AH9" i="10" a="1"/>
  <c r="AH9" i="10" s="1"/>
  <c r="A45" i="36"/>
  <c r="A44" i="36"/>
  <c r="AG67" i="10" a="1"/>
  <c r="AG67" i="10" s="1"/>
  <c r="C70" i="3"/>
  <c r="C20" i="11" s="1"/>
  <c r="C6" i="32"/>
  <c r="G65" i="1" s="1"/>
  <c r="H25" i="1"/>
  <c r="F81" i="1"/>
  <c r="G62" i="1"/>
  <c r="C102" i="8"/>
  <c r="J102" i="8" s="1"/>
  <c r="C23" i="25"/>
  <c r="C33" i="25"/>
  <c r="D6" i="32"/>
  <c r="A8" i="32"/>
  <c r="E17" i="11"/>
  <c r="D62" i="1"/>
  <c r="B14" i="8"/>
  <c r="C144" i="32"/>
  <c r="B425" i="8"/>
  <c r="D64" i="1"/>
  <c r="G47" i="1"/>
  <c r="G46" i="1"/>
  <c r="C23" i="3"/>
  <c r="C6" i="35"/>
  <c r="C24" i="3"/>
  <c r="C25" i="3" s="1"/>
  <c r="C6" i="25"/>
  <c r="C271" i="8"/>
  <c r="J271" i="8" s="1"/>
  <c r="J186" i="8"/>
  <c r="G32" i="1"/>
  <c r="C103" i="8"/>
  <c r="J103" i="8" s="1"/>
  <c r="C22" i="3"/>
  <c r="C10" i="8" s="1"/>
  <c r="C5" i="35"/>
  <c r="C349" i="8" s="1"/>
  <c r="C8" i="3"/>
  <c r="C33" i="3" s="1"/>
  <c r="C6" i="8"/>
  <c r="D73" i="14"/>
  <c r="C73" i="14" s="1"/>
  <c r="C61" i="3"/>
  <c r="D108" i="14"/>
  <c r="C4" i="8"/>
  <c r="C71" i="3"/>
  <c r="F30" i="1"/>
  <c r="C440" i="8"/>
  <c r="D74" i="14"/>
  <c r="C74" i="14" s="1"/>
  <c r="J165" i="8"/>
  <c r="J143" i="8"/>
  <c r="C101" i="8"/>
  <c r="J101" i="8" s="1"/>
  <c r="C100" i="8"/>
  <c r="J100" i="8" s="1"/>
  <c r="M39" i="8"/>
  <c r="C94" i="30"/>
  <c r="J142" i="8"/>
  <c r="J276" i="8"/>
  <c r="J277" i="8"/>
  <c r="D72" i="14"/>
  <c r="C72" i="14" s="1"/>
  <c r="D71" i="14"/>
  <c r="C71" i="14" s="1"/>
  <c r="C113" i="30"/>
  <c r="C91" i="30"/>
  <c r="J185" i="8"/>
  <c r="C52" i="1"/>
  <c r="E469" i="8" s="1"/>
  <c r="J184" i="8"/>
  <c r="J141" i="8"/>
  <c r="J167" i="8"/>
  <c r="J166" i="8"/>
  <c r="D151" i="14"/>
  <c r="C151" i="14" s="1"/>
  <c r="D109" i="14"/>
  <c r="C109" i="14" s="1"/>
  <c r="D110" i="14"/>
  <c r="C110" i="14" s="1"/>
  <c r="D152" i="14"/>
  <c r="C152" i="14" s="1"/>
  <c r="D132" i="14"/>
  <c r="C132" i="14" s="1"/>
  <c r="D153" i="14"/>
  <c r="C153" i="14" s="1"/>
  <c r="D134" i="14"/>
  <c r="C134" i="14" s="1"/>
  <c r="G36" i="8" l="1"/>
  <c r="G35" i="8"/>
  <c r="G37" i="8"/>
  <c r="G34" i="8"/>
  <c r="K331" i="8"/>
  <c r="W331" i="8" s="1"/>
  <c r="K278" i="8"/>
  <c r="W278" i="8" s="1"/>
  <c r="X278" i="8" s="1"/>
  <c r="K271" i="8"/>
  <c r="W271" i="8" s="1"/>
  <c r="X271" i="8" s="1"/>
  <c r="K39" i="8"/>
  <c r="W39" i="8" s="1"/>
  <c r="X39" i="8" s="1"/>
  <c r="K34" i="8"/>
  <c r="W34" i="8" s="1"/>
  <c r="K277" i="8"/>
  <c r="W277" i="8" s="1"/>
  <c r="X277" i="8" s="1"/>
  <c r="K37" i="8"/>
  <c r="W37" i="8" s="1"/>
  <c r="K276" i="8"/>
  <c r="W276" i="8" s="1"/>
  <c r="X276" i="8" s="1"/>
  <c r="K36" i="8"/>
  <c r="W36" i="8" s="1"/>
  <c r="K280" i="8"/>
  <c r="W280" i="8" s="1"/>
  <c r="X280" i="8" s="1"/>
  <c r="K272" i="8"/>
  <c r="W272" i="8" s="1"/>
  <c r="K35" i="8"/>
  <c r="W35" i="8" s="1"/>
  <c r="X35" i="8" s="1"/>
  <c r="K279" i="8"/>
  <c r="W279" i="8" s="1"/>
  <c r="C17" i="8"/>
  <c r="I299" i="8"/>
  <c r="I294" i="8"/>
  <c r="I289" i="8"/>
  <c r="I285" i="8"/>
  <c r="K296" i="8"/>
  <c r="W296" i="8" s="1"/>
  <c r="K283" i="8"/>
  <c r="W283" i="8" s="1"/>
  <c r="K298" i="8"/>
  <c r="W298" i="8" s="1"/>
  <c r="K293" i="8"/>
  <c r="W293" i="8" s="1"/>
  <c r="K288" i="8"/>
  <c r="W288" i="8" s="1"/>
  <c r="K284" i="8"/>
  <c r="W284" i="8" s="1"/>
  <c r="K301" i="8"/>
  <c r="W301" i="8" s="1"/>
  <c r="K291" i="8"/>
  <c r="W291" i="8" s="1"/>
  <c r="K287" i="8"/>
  <c r="W287" i="8" s="1"/>
  <c r="I298" i="8"/>
  <c r="I293" i="8"/>
  <c r="I288" i="8"/>
  <c r="I284" i="8"/>
  <c r="K294" i="8"/>
  <c r="W294" i="8" s="1"/>
  <c r="K285" i="8"/>
  <c r="W285" i="8" s="1"/>
  <c r="I296" i="8"/>
  <c r="I287" i="8"/>
  <c r="K295" i="8"/>
  <c r="W295" i="8" s="1"/>
  <c r="I295" i="8"/>
  <c r="I301" i="8"/>
  <c r="I291" i="8"/>
  <c r="I283" i="8"/>
  <c r="K300" i="8"/>
  <c r="W300" i="8" s="1"/>
  <c r="K290" i="8"/>
  <c r="W290" i="8" s="1"/>
  <c r="K286" i="8"/>
  <c r="W286" i="8" s="1"/>
  <c r="I286" i="8"/>
  <c r="I300" i="8"/>
  <c r="I290" i="8"/>
  <c r="K299" i="8"/>
  <c r="W299" i="8" s="1"/>
  <c r="K289" i="8"/>
  <c r="W289" i="8" s="1"/>
  <c r="C80" i="4"/>
  <c r="I244" i="8"/>
  <c r="G244" i="8"/>
  <c r="K243" i="8"/>
  <c r="W243" i="8" s="1"/>
  <c r="X243" i="8" s="1"/>
  <c r="I243" i="8"/>
  <c r="G243" i="8"/>
  <c r="K244" i="8"/>
  <c r="W244" i="8" s="1"/>
  <c r="X244" i="8" s="1"/>
  <c r="E108" i="14"/>
  <c r="C108" i="14"/>
  <c r="D8" i="14"/>
  <c r="C8" i="14" s="1"/>
  <c r="I36" i="8" s="1"/>
  <c r="D9" i="14"/>
  <c r="C9" i="14" s="1"/>
  <c r="I37" i="8" s="1"/>
  <c r="E35" i="8"/>
  <c r="E36" i="8"/>
  <c r="D6" i="14"/>
  <c r="C6" i="14" s="1"/>
  <c r="I34" i="8" s="1"/>
  <c r="D7" i="14"/>
  <c r="C7" i="14" s="1"/>
  <c r="I35" i="8" s="1"/>
  <c r="E37" i="8"/>
  <c r="E34" i="8"/>
  <c r="C65" i="3"/>
  <c r="C66" i="3" s="1"/>
  <c r="C41" i="3"/>
  <c r="C46" i="3" s="1"/>
  <c r="C32" i="1"/>
  <c r="C38" i="31"/>
  <c r="C39" i="31" s="1"/>
  <c r="C41" i="31" s="1"/>
  <c r="C72" i="3"/>
  <c r="C82" i="8" s="1"/>
  <c r="A57" i="36"/>
  <c r="A56" i="36"/>
  <c r="A55" i="36"/>
  <c r="A54" i="36"/>
  <c r="C73" i="3"/>
  <c r="G64" i="1"/>
  <c r="C65" i="1"/>
  <c r="J469" i="8" s="1"/>
  <c r="C60" i="4"/>
  <c r="D206" i="14"/>
  <c r="C206" i="14" s="1"/>
  <c r="F82" i="1"/>
  <c r="C284" i="8"/>
  <c r="F42" i="1"/>
  <c r="C66" i="11"/>
  <c r="C8" i="30"/>
  <c r="C69" i="30" s="1"/>
  <c r="C80" i="30" s="1"/>
  <c r="C10" i="3"/>
  <c r="F31" i="1" s="1"/>
  <c r="C288" i="8"/>
  <c r="D365" i="8"/>
  <c r="C291" i="8"/>
  <c r="C18" i="25"/>
  <c r="C28" i="25"/>
  <c r="C34" i="12"/>
  <c r="J243" i="8"/>
  <c r="C243" i="8"/>
  <c r="E244" i="8"/>
  <c r="C6" i="30"/>
  <c r="C29" i="30" s="1"/>
  <c r="C9" i="30"/>
  <c r="C70" i="30" s="1"/>
  <c r="C84" i="30" s="1"/>
  <c r="C294" i="8"/>
  <c r="C10" i="30"/>
  <c r="C79" i="30" s="1"/>
  <c r="D355" i="8"/>
  <c r="C6" i="12"/>
  <c r="D369" i="8"/>
  <c r="C463" i="8" s="1"/>
  <c r="C7" i="12"/>
  <c r="F244" i="8"/>
  <c r="E243" i="8"/>
  <c r="H244" i="8"/>
  <c r="C244" i="8"/>
  <c r="C50" i="4"/>
  <c r="H243" i="8"/>
  <c r="J244" i="8"/>
  <c r="K275" i="8"/>
  <c r="W275" i="8" s="1"/>
  <c r="C298" i="8"/>
  <c r="D205" i="14"/>
  <c r="C205" i="14" s="1"/>
  <c r="K274" i="8"/>
  <c r="W274" i="8" s="1"/>
  <c r="F243" i="8"/>
  <c r="E132" i="14"/>
  <c r="E134" i="14"/>
  <c r="J134" i="14" l="1"/>
  <c r="G134" i="14"/>
  <c r="N134" i="14"/>
  <c r="Q134" i="14"/>
  <c r="I134" i="14"/>
  <c r="O134" i="14"/>
  <c r="F134" i="14"/>
  <c r="P134" i="14"/>
  <c r="H134" i="14"/>
  <c r="L134" i="14"/>
  <c r="K134" i="14"/>
  <c r="M134" i="14"/>
  <c r="J132" i="14"/>
  <c r="G132" i="14"/>
  <c r="N132" i="14"/>
  <c r="Q132" i="14"/>
  <c r="I132" i="14"/>
  <c r="O132" i="14"/>
  <c r="F132" i="14"/>
  <c r="P132" i="14"/>
  <c r="H132" i="14"/>
  <c r="K132" i="14"/>
  <c r="M132" i="14"/>
  <c r="L132" i="14"/>
  <c r="G82" i="8"/>
  <c r="C76" i="3"/>
  <c r="C44" i="32" s="1"/>
  <c r="C75" i="3"/>
  <c r="C74" i="3"/>
  <c r="N108" i="14"/>
  <c r="F108" i="14"/>
  <c r="K108" i="14"/>
  <c r="M108" i="14"/>
  <c r="J108" i="14"/>
  <c r="L108" i="14"/>
  <c r="H108" i="14"/>
  <c r="G108" i="14"/>
  <c r="P108" i="14"/>
  <c r="O108" i="14"/>
  <c r="I108" i="14"/>
  <c r="Q108" i="14"/>
  <c r="C51" i="4"/>
  <c r="C469" i="8"/>
  <c r="C5" i="4"/>
  <c r="G83" i="1" s="1"/>
  <c r="G84" i="1" s="1"/>
  <c r="C49" i="31"/>
  <c r="C50" i="31" s="1"/>
  <c r="C65" i="8" s="1"/>
  <c r="C40" i="31"/>
  <c r="C42" i="31" s="1"/>
  <c r="C35" i="4" s="1"/>
  <c r="D13" i="14"/>
  <c r="C13" i="14" s="1"/>
  <c r="I82" i="8" s="1"/>
  <c r="J284" i="8"/>
  <c r="X284" i="8" s="1"/>
  <c r="E82" i="8"/>
  <c r="K82" i="8" s="1"/>
  <c r="D257" i="14"/>
  <c r="C257" i="14" s="1"/>
  <c r="J298" i="8"/>
  <c r="X298" i="8" s="1"/>
  <c r="C45" i="35"/>
  <c r="C26" i="3"/>
  <c r="C30" i="4" s="1"/>
  <c r="C43" i="3"/>
  <c r="C42" i="3"/>
  <c r="J291" i="8"/>
  <c r="X291" i="8" s="1"/>
  <c r="C28" i="4"/>
  <c r="C29" i="4" s="1"/>
  <c r="J288" i="8"/>
  <c r="X288" i="8" s="1"/>
  <c r="J294" i="8"/>
  <c r="X294" i="8" s="1"/>
  <c r="C16" i="30"/>
  <c r="C50" i="30" s="1"/>
  <c r="G55" i="1"/>
  <c r="C55" i="1" s="1"/>
  <c r="H469" i="8" s="1"/>
  <c r="G56" i="1"/>
  <c r="C47" i="31"/>
  <c r="C44" i="31"/>
  <c r="C57" i="31" s="1"/>
  <c r="B401" i="8" s="1"/>
  <c r="G94" i="8" l="1"/>
  <c r="G98" i="8"/>
  <c r="G96" i="8"/>
  <c r="G95" i="8"/>
  <c r="G97" i="8"/>
  <c r="K95" i="8"/>
  <c r="W95" i="8" s="1"/>
  <c r="K94" i="8"/>
  <c r="W94" i="8" s="1"/>
  <c r="X94" i="8" s="1"/>
  <c r="K96" i="8"/>
  <c r="W96" i="8" s="1"/>
  <c r="K98" i="8"/>
  <c r="W98" i="8" s="1"/>
  <c r="X98" i="8" s="1"/>
  <c r="K97" i="8"/>
  <c r="W97" i="8" s="1"/>
  <c r="C231" i="32"/>
  <c r="C230" i="32"/>
  <c r="G106" i="8"/>
  <c r="K109" i="8"/>
  <c r="K105" i="8"/>
  <c r="K108" i="8"/>
  <c r="G109" i="8"/>
  <c r="G105" i="8"/>
  <c r="K107" i="8"/>
  <c r="G107" i="8"/>
  <c r="K106" i="8"/>
  <c r="G108" i="8"/>
  <c r="K65" i="8"/>
  <c r="I65" i="8"/>
  <c r="C57" i="8"/>
  <c r="K56" i="8"/>
  <c r="G54" i="8"/>
  <c r="I56" i="8"/>
  <c r="K53" i="8"/>
  <c r="G56" i="8"/>
  <c r="I53" i="8"/>
  <c r="K55" i="8"/>
  <c r="G53" i="8"/>
  <c r="I55" i="8"/>
  <c r="K52" i="8"/>
  <c r="G55" i="8"/>
  <c r="I52" i="8"/>
  <c r="K54" i="8"/>
  <c r="G52" i="8"/>
  <c r="I54" i="8"/>
  <c r="C20" i="12"/>
  <c r="C48" i="31"/>
  <c r="D28" i="14" s="1"/>
  <c r="C28" i="14" s="1"/>
  <c r="C51" i="31"/>
  <c r="D30" i="14" s="1"/>
  <c r="C30" i="14" s="1"/>
  <c r="C61" i="31"/>
  <c r="C62" i="31" s="1"/>
  <c r="C63" i="31" s="1"/>
  <c r="D166" i="14"/>
  <c r="C166" i="14" s="1"/>
  <c r="C83" i="1"/>
  <c r="K469" i="8" s="1"/>
  <c r="C7" i="4"/>
  <c r="C64" i="31"/>
  <c r="C65" i="31" s="1"/>
  <c r="C66" i="31" s="1"/>
  <c r="C64" i="8"/>
  <c r="C62" i="8"/>
  <c r="C60" i="8"/>
  <c r="C63" i="8"/>
  <c r="C16" i="4"/>
  <c r="C61" i="8"/>
  <c r="C34" i="4"/>
  <c r="D82" i="14" s="1"/>
  <c r="C82" i="14" s="1"/>
  <c r="W82" i="8"/>
  <c r="C79" i="4"/>
  <c r="H428" i="8"/>
  <c r="C21" i="11"/>
  <c r="C397" i="8" s="1"/>
  <c r="E397" i="8" s="1"/>
  <c r="D80" i="14"/>
  <c r="C80" i="14" s="1"/>
  <c r="I109" i="8" s="1"/>
  <c r="H56" i="8"/>
  <c r="C56" i="8"/>
  <c r="F56" i="8"/>
  <c r="F55" i="8"/>
  <c r="H55" i="8"/>
  <c r="C55" i="8"/>
  <c r="C28" i="3"/>
  <c r="C16" i="11" s="1"/>
  <c r="C405" i="8" s="1"/>
  <c r="H405" i="8" s="1"/>
  <c r="C27" i="3"/>
  <c r="C39" i="32" s="1"/>
  <c r="C18" i="12"/>
  <c r="C19" i="12" s="1"/>
  <c r="E98" i="8"/>
  <c r="E96" i="8"/>
  <c r="D69" i="14"/>
  <c r="C69" i="14" s="1"/>
  <c r="I98" i="8" s="1"/>
  <c r="E94" i="8"/>
  <c r="D66" i="14"/>
  <c r="C66" i="14" s="1"/>
  <c r="I95" i="8" s="1"/>
  <c r="D68" i="14"/>
  <c r="C68" i="14" s="1"/>
  <c r="I97" i="8" s="1"/>
  <c r="E95" i="8"/>
  <c r="D67" i="14"/>
  <c r="C67" i="14" s="1"/>
  <c r="I96" i="8" s="1"/>
  <c r="D65" i="14"/>
  <c r="C65" i="14" s="1"/>
  <c r="I94" i="8" s="1"/>
  <c r="E97" i="8"/>
  <c r="C10" i="25"/>
  <c r="C43" i="25"/>
  <c r="C52" i="8"/>
  <c r="F52" i="8"/>
  <c r="F53" i="8"/>
  <c r="C51" i="25"/>
  <c r="C53" i="8"/>
  <c r="H52" i="8"/>
  <c r="H53" i="8"/>
  <c r="F54" i="8"/>
  <c r="H54" i="8"/>
  <c r="C54" i="8"/>
  <c r="C14" i="11"/>
  <c r="C23" i="12" l="1"/>
  <c r="C12" i="32" s="1"/>
  <c r="G158" i="8"/>
  <c r="K133" i="8"/>
  <c r="W133" i="8" s="1"/>
  <c r="K157" i="8"/>
  <c r="W157" i="8" s="1"/>
  <c r="G133" i="8"/>
  <c r="G157" i="8"/>
  <c r="K159" i="8"/>
  <c r="W159" i="8" s="1"/>
  <c r="K135" i="8"/>
  <c r="W135" i="8" s="1"/>
  <c r="X135" i="8" s="1"/>
  <c r="G135" i="8"/>
  <c r="G159" i="8"/>
  <c r="K134" i="8"/>
  <c r="W134" i="8" s="1"/>
  <c r="K158" i="8"/>
  <c r="W158" i="8" s="1"/>
  <c r="G134" i="8"/>
  <c r="K201" i="8"/>
  <c r="I201" i="8"/>
  <c r="K203" i="8"/>
  <c r="G201" i="8"/>
  <c r="I203" i="8"/>
  <c r="K200" i="8"/>
  <c r="G203" i="8"/>
  <c r="I200" i="8"/>
  <c r="K202" i="8"/>
  <c r="G200" i="8"/>
  <c r="I202" i="8"/>
  <c r="G202" i="8"/>
  <c r="K64" i="8"/>
  <c r="W64" i="8" s="1"/>
  <c r="I64" i="8"/>
  <c r="G64" i="8"/>
  <c r="G61" i="8"/>
  <c r="K61" i="8"/>
  <c r="W61" i="8" s="1"/>
  <c r="X61" i="8" s="1"/>
  <c r="I61" i="8"/>
  <c r="K57" i="8"/>
  <c r="I57" i="8"/>
  <c r="K60" i="8"/>
  <c r="W60" i="8" s="1"/>
  <c r="I60" i="8"/>
  <c r="G60" i="8"/>
  <c r="K62" i="8"/>
  <c r="W62" i="8" s="1"/>
  <c r="I62" i="8"/>
  <c r="G62" i="8"/>
  <c r="I269" i="8"/>
  <c r="K269" i="8"/>
  <c r="W269" i="8" s="1"/>
  <c r="K63" i="8"/>
  <c r="W63" i="8" s="1"/>
  <c r="I63" i="8"/>
  <c r="G63" i="8"/>
  <c r="H63" i="8"/>
  <c r="H64" i="8"/>
  <c r="C13" i="12"/>
  <c r="C11" i="12"/>
  <c r="F68" i="1"/>
  <c r="C21" i="12"/>
  <c r="D31" i="14"/>
  <c r="C31" i="14" s="1"/>
  <c r="D33" i="14"/>
  <c r="C33" i="14" s="1"/>
  <c r="C46" i="4"/>
  <c r="D32" i="14"/>
  <c r="C32" i="14" s="1"/>
  <c r="D34" i="14"/>
  <c r="C34" i="14" s="1"/>
  <c r="C79" i="31"/>
  <c r="C69" i="31"/>
  <c r="F64" i="8"/>
  <c r="E64" i="8"/>
  <c r="C61" i="11"/>
  <c r="C43" i="35" s="1"/>
  <c r="C8" i="4"/>
  <c r="C65" i="4" s="1"/>
  <c r="C201" i="8"/>
  <c r="C17" i="4"/>
  <c r="E56" i="8"/>
  <c r="E52" i="8"/>
  <c r="E53" i="8"/>
  <c r="C202" i="8"/>
  <c r="F62" i="8"/>
  <c r="F61" i="8"/>
  <c r="E61" i="8"/>
  <c r="H61" i="8"/>
  <c r="E62" i="8"/>
  <c r="H62" i="8"/>
  <c r="F60" i="8"/>
  <c r="E60" i="8"/>
  <c r="H60" i="8"/>
  <c r="F202" i="8"/>
  <c r="F200" i="8"/>
  <c r="H203" i="8"/>
  <c r="C26" i="11"/>
  <c r="C36" i="11" s="1"/>
  <c r="C38" i="25"/>
  <c r="C187" i="8" s="1"/>
  <c r="H200" i="8"/>
  <c r="C203" i="8"/>
  <c r="H201" i="8"/>
  <c r="F203" i="8"/>
  <c r="F201" i="8"/>
  <c r="C200" i="8"/>
  <c r="H202" i="8"/>
  <c r="W54" i="8"/>
  <c r="D83" i="14"/>
  <c r="C83" i="14" s="1"/>
  <c r="E55" i="8"/>
  <c r="C13" i="25"/>
  <c r="D135" i="14" s="1"/>
  <c r="W52" i="8"/>
  <c r="E54" i="8"/>
  <c r="W56" i="8"/>
  <c r="D84" i="14"/>
  <c r="C84" i="14" s="1"/>
  <c r="F63" i="8"/>
  <c r="W55" i="8"/>
  <c r="W53" i="8"/>
  <c r="E63" i="8"/>
  <c r="C232" i="32"/>
  <c r="G428" i="8" s="1"/>
  <c r="E428" i="8" s="1"/>
  <c r="H397" i="8"/>
  <c r="G397" i="8"/>
  <c r="C401" i="8"/>
  <c r="E401" i="8" s="1"/>
  <c r="E109" i="8"/>
  <c r="E106" i="8"/>
  <c r="C42" i="25"/>
  <c r="D77" i="14"/>
  <c r="C77" i="14" s="1"/>
  <c r="I106" i="8" s="1"/>
  <c r="C9" i="25"/>
  <c r="C45" i="4"/>
  <c r="E108" i="8"/>
  <c r="D79" i="14"/>
  <c r="C79" i="14" s="1"/>
  <c r="I108" i="8" s="1"/>
  <c r="E105" i="8"/>
  <c r="D78" i="14"/>
  <c r="C78" i="14" s="1"/>
  <c r="I107" i="8" s="1"/>
  <c r="D76" i="14"/>
  <c r="C76" i="14" s="1"/>
  <c r="I105" i="8" s="1"/>
  <c r="E107" i="8"/>
  <c r="D27" i="14"/>
  <c r="C27" i="14" s="1"/>
  <c r="W106" i="8"/>
  <c r="X106" i="8" s="1"/>
  <c r="W109" i="8"/>
  <c r="X109" i="8" s="1"/>
  <c r="W108" i="8"/>
  <c r="W105" i="8"/>
  <c r="X105" i="8" s="1"/>
  <c r="W107" i="8"/>
  <c r="D24" i="14"/>
  <c r="C24" i="14" s="1"/>
  <c r="D26" i="14"/>
  <c r="C26" i="14" s="1"/>
  <c r="D25" i="14"/>
  <c r="C25" i="14" s="1"/>
  <c r="C29" i="3"/>
  <c r="F70" i="1" s="1"/>
  <c r="I405" i="8"/>
  <c r="C34" i="3"/>
  <c r="C35" i="3" s="1"/>
  <c r="G405" i="8"/>
  <c r="F50" i="1"/>
  <c r="C40" i="3"/>
  <c r="C7" i="8"/>
  <c r="F49" i="1"/>
  <c r="E157" i="8"/>
  <c r="E158" i="8"/>
  <c r="E133" i="8"/>
  <c r="D126" i="14"/>
  <c r="E159" i="8"/>
  <c r="D101" i="14"/>
  <c r="C101" i="14" s="1"/>
  <c r="I134" i="8" s="1"/>
  <c r="E135" i="8"/>
  <c r="D102" i="14"/>
  <c r="C102" i="14" s="1"/>
  <c r="D100" i="14"/>
  <c r="D124" i="14"/>
  <c r="D125" i="14"/>
  <c r="C125" i="14" s="1"/>
  <c r="I158" i="8" s="1"/>
  <c r="E134" i="8"/>
  <c r="D214" i="14"/>
  <c r="C214" i="14" s="1"/>
  <c r="D216" i="14"/>
  <c r="C216" i="14" s="1"/>
  <c r="D215" i="14"/>
  <c r="C215" i="14" s="1"/>
  <c r="D217" i="14"/>
  <c r="C217" i="14" s="1"/>
  <c r="C269" i="8"/>
  <c r="C5" i="11" l="1"/>
  <c r="C38" i="32"/>
  <c r="G182" i="8"/>
  <c r="K156" i="8"/>
  <c r="W156" i="8" s="1"/>
  <c r="K181" i="8"/>
  <c r="W181" i="8" s="1"/>
  <c r="G181" i="8"/>
  <c r="G156" i="8"/>
  <c r="K155" i="8"/>
  <c r="W155" i="8" s="1"/>
  <c r="G155" i="8"/>
  <c r="K183" i="8"/>
  <c r="W183" i="8" s="1"/>
  <c r="K154" i="8"/>
  <c r="W154" i="8" s="1"/>
  <c r="G183" i="8"/>
  <c r="G154" i="8"/>
  <c r="K182" i="8"/>
  <c r="G248" i="8"/>
  <c r="K247" i="8"/>
  <c r="W247" i="8" s="1"/>
  <c r="G247" i="8"/>
  <c r="K250" i="8"/>
  <c r="W250" i="8" s="1"/>
  <c r="G250" i="8"/>
  <c r="K249" i="8"/>
  <c r="W249" i="8" s="1"/>
  <c r="G249" i="8"/>
  <c r="K248" i="8"/>
  <c r="W248" i="8" s="1"/>
  <c r="K187" i="8"/>
  <c r="W187" i="8" s="1"/>
  <c r="I187" i="8"/>
  <c r="G187" i="8"/>
  <c r="E124" i="14"/>
  <c r="E135" i="14"/>
  <c r="C135" i="14"/>
  <c r="W202" i="8"/>
  <c r="W182" i="8"/>
  <c r="C42" i="12"/>
  <c r="C12" i="12"/>
  <c r="C22" i="12"/>
  <c r="C9" i="4" s="1"/>
  <c r="C31" i="4" s="1"/>
  <c r="C44" i="12"/>
  <c r="G57" i="1"/>
  <c r="C57" i="1" s="1"/>
  <c r="I469" i="8" s="1"/>
  <c r="C62" i="11"/>
  <c r="C63" i="11" s="1"/>
  <c r="C9" i="29" s="1"/>
  <c r="C197" i="8"/>
  <c r="D41" i="14"/>
  <c r="C41" i="14" s="1"/>
  <c r="D38" i="14"/>
  <c r="C38" i="14" s="1"/>
  <c r="W200" i="8"/>
  <c r="C188" i="8"/>
  <c r="D172" i="14"/>
  <c r="C172" i="14" s="1"/>
  <c r="D169" i="14"/>
  <c r="C169" i="14" s="1"/>
  <c r="E200" i="8"/>
  <c r="E202" i="8"/>
  <c r="W201" i="8"/>
  <c r="X201" i="8" s="1"/>
  <c r="D170" i="14"/>
  <c r="C170" i="14" s="1"/>
  <c r="E203" i="8"/>
  <c r="E201" i="8"/>
  <c r="D171" i="14"/>
  <c r="C171" i="14" s="1"/>
  <c r="W203" i="8"/>
  <c r="X203" i="8" s="1"/>
  <c r="D112" i="14"/>
  <c r="C112" i="14" s="1"/>
  <c r="D111" i="14"/>
  <c r="D136" i="14"/>
  <c r="C136" i="14" s="1"/>
  <c r="D157" i="14"/>
  <c r="C157" i="14" s="1"/>
  <c r="D156" i="14"/>
  <c r="C156" i="14" s="1"/>
  <c r="G401" i="8"/>
  <c r="H401" i="8"/>
  <c r="C41" i="12"/>
  <c r="E181" i="8"/>
  <c r="D121" i="14"/>
  <c r="D211" i="14"/>
  <c r="C211" i="14" s="1"/>
  <c r="I249" i="8" s="1"/>
  <c r="E183" i="8"/>
  <c r="D149" i="14"/>
  <c r="C149" i="14" s="1"/>
  <c r="I182" i="8" s="1"/>
  <c r="E155" i="8"/>
  <c r="E248" i="8"/>
  <c r="E250" i="8"/>
  <c r="D123" i="14"/>
  <c r="D150" i="14"/>
  <c r="C150" i="14" s="1"/>
  <c r="I183" i="8" s="1"/>
  <c r="E156" i="8"/>
  <c r="E154" i="8"/>
  <c r="D148" i="14"/>
  <c r="C148" i="14" s="1"/>
  <c r="I181" i="8" s="1"/>
  <c r="E182" i="8"/>
  <c r="D122" i="14"/>
  <c r="C122" i="14" s="1"/>
  <c r="I155" i="8" s="1"/>
  <c r="D210" i="14"/>
  <c r="C210" i="14" s="1"/>
  <c r="I248" i="8" s="1"/>
  <c r="E247" i="8"/>
  <c r="E249" i="8"/>
  <c r="D212" i="14"/>
  <c r="C212" i="14" s="1"/>
  <c r="I250" i="8" s="1"/>
  <c r="D209" i="14"/>
  <c r="C209" i="14" s="1"/>
  <c r="I247" i="8" s="1"/>
  <c r="C50" i="29"/>
  <c r="C52" i="29" s="1"/>
  <c r="J269" i="8"/>
  <c r="X269" i="8" s="1"/>
  <c r="H187" i="8"/>
  <c r="F187" i="8"/>
  <c r="E187" i="8"/>
  <c r="C220" i="8"/>
  <c r="C219" i="8"/>
  <c r="C218" i="8"/>
  <c r="C30" i="3"/>
  <c r="C36" i="3"/>
  <c r="C54" i="3" s="1"/>
  <c r="C43" i="12"/>
  <c r="G58" i="1"/>
  <c r="C27" i="12"/>
  <c r="E100" i="14"/>
  <c r="E126" i="14"/>
  <c r="C40" i="32" l="1"/>
  <c r="C210" i="32"/>
  <c r="N126" i="14"/>
  <c r="F126" i="14"/>
  <c r="M126" i="14"/>
  <c r="L126" i="14"/>
  <c r="K126" i="14"/>
  <c r="J126" i="14"/>
  <c r="Q126" i="14"/>
  <c r="I126" i="14"/>
  <c r="P126" i="14"/>
  <c r="H126" i="14"/>
  <c r="O126" i="14"/>
  <c r="G126" i="14"/>
  <c r="J100" i="14"/>
  <c r="Q100" i="14"/>
  <c r="I100" i="14"/>
  <c r="P100" i="14"/>
  <c r="H100" i="14"/>
  <c r="O100" i="14"/>
  <c r="G100" i="14"/>
  <c r="N100" i="14"/>
  <c r="F100" i="14"/>
  <c r="M100" i="14"/>
  <c r="L100" i="14"/>
  <c r="K100" i="14"/>
  <c r="N124" i="14"/>
  <c r="F124" i="14"/>
  <c r="M124" i="14"/>
  <c r="L124" i="14"/>
  <c r="K124" i="14"/>
  <c r="J124" i="14"/>
  <c r="Q124" i="14"/>
  <c r="I124" i="14"/>
  <c r="P124" i="14"/>
  <c r="H124" i="14"/>
  <c r="O124" i="14"/>
  <c r="G124" i="14"/>
  <c r="N135" i="14"/>
  <c r="F135" i="14"/>
  <c r="K135" i="14"/>
  <c r="M135" i="14"/>
  <c r="J135" i="14"/>
  <c r="L135" i="14"/>
  <c r="H135" i="14"/>
  <c r="Q135" i="14"/>
  <c r="P135" i="14"/>
  <c r="G135" i="14"/>
  <c r="O135" i="14"/>
  <c r="I135" i="14"/>
  <c r="K197" i="8"/>
  <c r="W197" i="8" s="1"/>
  <c r="I197" i="8"/>
  <c r="G197" i="8"/>
  <c r="G188" i="8"/>
  <c r="K188" i="8"/>
  <c r="W188" i="8" s="1"/>
  <c r="I188" i="8"/>
  <c r="I219" i="8"/>
  <c r="G219" i="8"/>
  <c r="K219" i="8"/>
  <c r="W219" i="8" s="1"/>
  <c r="K220" i="8"/>
  <c r="W220" i="8" s="1"/>
  <c r="I220" i="8"/>
  <c r="G220" i="8"/>
  <c r="K218" i="8"/>
  <c r="W218" i="8" s="1"/>
  <c r="X218" i="8" s="1"/>
  <c r="I218" i="8"/>
  <c r="G218" i="8"/>
  <c r="E123" i="14"/>
  <c r="E121" i="14"/>
  <c r="E111" i="14"/>
  <c r="C111" i="14"/>
  <c r="F37" i="1"/>
  <c r="C11" i="8"/>
  <c r="H37" i="1"/>
  <c r="F188" i="8"/>
  <c r="C37" i="12"/>
  <c r="C72" i="12" s="1"/>
  <c r="C10" i="11"/>
  <c r="G396" i="8" s="1"/>
  <c r="H396" i="8" s="1"/>
  <c r="H197" i="8"/>
  <c r="C409" i="8"/>
  <c r="G409" i="8" s="1"/>
  <c r="F197" i="8"/>
  <c r="E197" i="8"/>
  <c r="D42" i="14"/>
  <c r="C42" i="14" s="1"/>
  <c r="D37" i="14"/>
  <c r="C37" i="14" s="1"/>
  <c r="E188" i="8"/>
  <c r="H188" i="8"/>
  <c r="C12" i="25"/>
  <c r="C53" i="29"/>
  <c r="C55" i="29" s="1"/>
  <c r="C54" i="29" s="1"/>
  <c r="C57" i="29" s="1"/>
  <c r="J218" i="8"/>
  <c r="C59" i="29"/>
  <c r="C60" i="29" s="1"/>
  <c r="C56" i="29"/>
  <c r="C66" i="29"/>
  <c r="C37" i="8"/>
  <c r="H220" i="8"/>
  <c r="E220" i="8"/>
  <c r="F220" i="8"/>
  <c r="H219" i="8"/>
  <c r="F219" i="8"/>
  <c r="E219" i="8"/>
  <c r="F218" i="8"/>
  <c r="H218" i="8"/>
  <c r="E218" i="8"/>
  <c r="C55" i="25"/>
  <c r="C272" i="8" s="1"/>
  <c r="J272" i="8" s="1"/>
  <c r="X272" i="8" s="1"/>
  <c r="C53" i="25"/>
  <c r="C279" i="8" s="1"/>
  <c r="J279" i="8" s="1"/>
  <c r="X279" i="8" s="1"/>
  <c r="C15" i="32"/>
  <c r="C201" i="32" s="1"/>
  <c r="C44" i="3"/>
  <c r="C35" i="8"/>
  <c r="C54" i="25"/>
  <c r="C280" i="8" s="1"/>
  <c r="J280" i="8" s="1"/>
  <c r="C29" i="25"/>
  <c r="C159" i="8" s="1"/>
  <c r="C45" i="12"/>
  <c r="C46" i="12" s="1"/>
  <c r="C20" i="32" s="1"/>
  <c r="C425" i="8" s="1"/>
  <c r="C30" i="11"/>
  <c r="C36" i="8"/>
  <c r="C33" i="12"/>
  <c r="C39" i="8" s="1"/>
  <c r="J39" i="8" s="1"/>
  <c r="C34" i="8"/>
  <c r="C45" i="25"/>
  <c r="F51" i="1"/>
  <c r="C48" i="25"/>
  <c r="C56" i="25"/>
  <c r="C275" i="8" s="1"/>
  <c r="J275" i="8" s="1"/>
  <c r="X275" i="8" s="1"/>
  <c r="C19" i="25"/>
  <c r="C134" i="8" s="1"/>
  <c r="H42" i="8"/>
  <c r="F42" i="8"/>
  <c r="F43" i="8"/>
  <c r="C43" i="8"/>
  <c r="C44" i="8"/>
  <c r="H43" i="8"/>
  <c r="C49" i="25"/>
  <c r="F44" i="8"/>
  <c r="H44" i="8"/>
  <c r="C42" i="8"/>
  <c r="F75" i="1"/>
  <c r="C28" i="12"/>
  <c r="E42" i="8" s="1"/>
  <c r="C17" i="11" l="1"/>
  <c r="C407" i="8" s="1"/>
  <c r="C426" i="8"/>
  <c r="K42" i="8"/>
  <c r="W42" i="8" s="1"/>
  <c r="K44" i="8"/>
  <c r="W44" i="8" s="1"/>
  <c r="G43" i="8"/>
  <c r="G42" i="8"/>
  <c r="K43" i="8"/>
  <c r="W43" i="8" s="1"/>
  <c r="G44" i="8"/>
  <c r="K266" i="8"/>
  <c r="W266" i="8" s="1"/>
  <c r="X266" i="8" s="1"/>
  <c r="I266" i="8"/>
  <c r="J111" i="14"/>
  <c r="O111" i="14"/>
  <c r="F111" i="14"/>
  <c r="Q111" i="14"/>
  <c r="I111" i="14"/>
  <c r="G111" i="14"/>
  <c r="N111" i="14"/>
  <c r="P111" i="14"/>
  <c r="H111" i="14"/>
  <c r="M111" i="14"/>
  <c r="L111" i="14"/>
  <c r="K111" i="14"/>
  <c r="N121" i="14"/>
  <c r="F121" i="14"/>
  <c r="M121" i="14"/>
  <c r="K121" i="14"/>
  <c r="J121" i="14"/>
  <c r="L121" i="14"/>
  <c r="G121" i="14"/>
  <c r="O121" i="14"/>
  <c r="I121" i="14"/>
  <c r="H121" i="14"/>
  <c r="Q121" i="14"/>
  <c r="P121" i="14"/>
  <c r="N123" i="14"/>
  <c r="F123" i="14"/>
  <c r="K123" i="14"/>
  <c r="J123" i="14"/>
  <c r="M123" i="14"/>
  <c r="L123" i="14"/>
  <c r="H123" i="14"/>
  <c r="G123" i="14"/>
  <c r="Q123" i="14"/>
  <c r="P123" i="14"/>
  <c r="O123" i="14"/>
  <c r="I123" i="14"/>
  <c r="G164" i="8"/>
  <c r="G163" i="8"/>
  <c r="C124" i="14"/>
  <c r="I157" i="8" s="1"/>
  <c r="C100" i="14"/>
  <c r="C126" i="14"/>
  <c r="I159" i="8" s="1"/>
  <c r="C211" i="32"/>
  <c r="C215" i="32" s="1"/>
  <c r="C217" i="32" s="1"/>
  <c r="C252" i="8"/>
  <c r="H409" i="8"/>
  <c r="D200" i="14"/>
  <c r="C200" i="14" s="1"/>
  <c r="D201" i="14"/>
  <c r="C201" i="14" s="1"/>
  <c r="C52" i="12"/>
  <c r="D61" i="14"/>
  <c r="C61" i="14" s="1"/>
  <c r="D62" i="14"/>
  <c r="C62" i="14" s="1"/>
  <c r="D63" i="14"/>
  <c r="C63" i="14" s="1"/>
  <c r="D106" i="14"/>
  <c r="D155" i="14"/>
  <c r="C155" i="14" s="1"/>
  <c r="D131" i="14"/>
  <c r="C131" i="14" s="1"/>
  <c r="D154" i="14"/>
  <c r="C154" i="14" s="1"/>
  <c r="D130" i="14"/>
  <c r="D107" i="14"/>
  <c r="C107" i="14" s="1"/>
  <c r="C58" i="29"/>
  <c r="C73" i="29" s="1"/>
  <c r="C42" i="11"/>
  <c r="C63" i="29"/>
  <c r="J266" i="8"/>
  <c r="C10" i="4"/>
  <c r="D58" i="14"/>
  <c r="C58" i="14" s="1"/>
  <c r="G407" i="8"/>
  <c r="C46" i="25"/>
  <c r="C260" i="8" s="1"/>
  <c r="F260" i="8" s="1"/>
  <c r="C267" i="8"/>
  <c r="C274" i="8"/>
  <c r="J274" i="8" s="1"/>
  <c r="X274" i="8" s="1"/>
  <c r="C157" i="8"/>
  <c r="C135" i="8"/>
  <c r="C158" i="8"/>
  <c r="C253" i="8"/>
  <c r="C67" i="11"/>
  <c r="C68" i="11" s="1"/>
  <c r="C28" i="11"/>
  <c r="C39" i="11" s="1"/>
  <c r="C266" i="8"/>
  <c r="C24" i="11"/>
  <c r="C34" i="11" s="1"/>
  <c r="C133" i="8"/>
  <c r="C254" i="8"/>
  <c r="C255" i="8"/>
  <c r="C13" i="11"/>
  <c r="C58" i="12"/>
  <c r="C59" i="12"/>
  <c r="C60" i="12" s="1"/>
  <c r="C14" i="32"/>
  <c r="C16" i="32" s="1"/>
  <c r="C18" i="32" s="1"/>
  <c r="C143" i="32" s="1"/>
  <c r="C21" i="32"/>
  <c r="C28" i="32" s="1"/>
  <c r="E44" i="8"/>
  <c r="C42" i="4"/>
  <c r="D17" i="14"/>
  <c r="C17" i="14" s="1"/>
  <c r="I43" i="8" s="1"/>
  <c r="D16" i="14"/>
  <c r="C16" i="14" s="1"/>
  <c r="I42" i="8" s="1"/>
  <c r="D18" i="14"/>
  <c r="C18" i="14" s="1"/>
  <c r="I44" i="8" s="1"/>
  <c r="E43" i="8"/>
  <c r="K118" i="8" l="1"/>
  <c r="G115" i="8"/>
  <c r="G118" i="8"/>
  <c r="G117" i="8"/>
  <c r="K116" i="8"/>
  <c r="C146" i="32"/>
  <c r="K115" i="8"/>
  <c r="G116" i="8"/>
  <c r="K117" i="8"/>
  <c r="K253" i="8"/>
  <c r="W253" i="8" s="1"/>
  <c r="X253" i="8" s="1"/>
  <c r="I253" i="8"/>
  <c r="J253" i="8" s="1"/>
  <c r="G253" i="8"/>
  <c r="G255" i="8"/>
  <c r="K255" i="8"/>
  <c r="W255" i="8" s="1"/>
  <c r="X255" i="8" s="1"/>
  <c r="I255" i="8"/>
  <c r="J255" i="8" s="1"/>
  <c r="G252" i="8"/>
  <c r="K252" i="8"/>
  <c r="W252" i="8" s="1"/>
  <c r="X252" i="8" s="1"/>
  <c r="I252" i="8"/>
  <c r="J252" i="8" s="1"/>
  <c r="K254" i="8"/>
  <c r="W254" i="8" s="1"/>
  <c r="X254" i="8" s="1"/>
  <c r="I254" i="8"/>
  <c r="J254" i="8" s="1"/>
  <c r="G254" i="8"/>
  <c r="G47" i="8"/>
  <c r="K46" i="8"/>
  <c r="I46" i="8"/>
  <c r="K48" i="8"/>
  <c r="G46" i="8"/>
  <c r="I48" i="8"/>
  <c r="G48" i="8"/>
  <c r="K47" i="8"/>
  <c r="I47" i="8"/>
  <c r="K267" i="8"/>
  <c r="W267" i="8" s="1"/>
  <c r="I267" i="8"/>
  <c r="J267" i="8" s="1"/>
  <c r="I133" i="8"/>
  <c r="I135" i="8"/>
  <c r="C77" i="12"/>
  <c r="C76" i="12"/>
  <c r="C82" i="12"/>
  <c r="C81" i="12"/>
  <c r="C80" i="12"/>
  <c r="C79" i="12"/>
  <c r="C78" i="12"/>
  <c r="C49" i="8"/>
  <c r="C121" i="14"/>
  <c r="I154" i="8" s="1"/>
  <c r="C123" i="14"/>
  <c r="I156" i="8" s="1"/>
  <c r="E106" i="14"/>
  <c r="C106" i="14"/>
  <c r="E130" i="14"/>
  <c r="C130" i="14"/>
  <c r="G426" i="8"/>
  <c r="C199" i="32"/>
  <c r="C9" i="11"/>
  <c r="E252" i="8"/>
  <c r="F252" i="8"/>
  <c r="H252" i="8"/>
  <c r="C50" i="25"/>
  <c r="C48" i="8"/>
  <c r="F48" i="8"/>
  <c r="H48" i="8"/>
  <c r="C47" i="8"/>
  <c r="C240" i="8"/>
  <c r="C54" i="12"/>
  <c r="C215" i="8" s="1"/>
  <c r="H47" i="8"/>
  <c r="F46" i="8"/>
  <c r="F47" i="8"/>
  <c r="C46" i="8"/>
  <c r="C53" i="12"/>
  <c r="C75" i="12" s="1"/>
  <c r="H46" i="8"/>
  <c r="C400" i="8"/>
  <c r="E400" i="8" s="1"/>
  <c r="B400" i="8"/>
  <c r="F74" i="1"/>
  <c r="H198" i="8"/>
  <c r="C37" i="25"/>
  <c r="C179" i="8" s="1"/>
  <c r="C11" i="4"/>
  <c r="C66" i="4" s="1"/>
  <c r="C198" i="8"/>
  <c r="F198" i="8"/>
  <c r="C258" i="8"/>
  <c r="F258" i="8" s="1"/>
  <c r="E254" i="8"/>
  <c r="J159" i="8"/>
  <c r="X159" i="8" s="1"/>
  <c r="C259" i="8"/>
  <c r="F259" i="8" s="1"/>
  <c r="C32" i="11"/>
  <c r="C43" i="11" s="1"/>
  <c r="H426" i="8"/>
  <c r="C25" i="11"/>
  <c r="C35" i="11" s="1"/>
  <c r="C257" i="8"/>
  <c r="F257" i="8" s="1"/>
  <c r="C200" i="32"/>
  <c r="C202" i="32" s="1"/>
  <c r="C53" i="32"/>
  <c r="C54" i="32" s="1"/>
  <c r="C38" i="11"/>
  <c r="E255" i="8"/>
  <c r="F254" i="8"/>
  <c r="H253" i="8"/>
  <c r="F253" i="8"/>
  <c r="E253" i="8"/>
  <c r="C410" i="8"/>
  <c r="H410" i="8" s="1"/>
  <c r="C44" i="25"/>
  <c r="H255" i="8"/>
  <c r="D57" i="14"/>
  <c r="C57" i="14" s="1"/>
  <c r="F255" i="8"/>
  <c r="D56" i="14"/>
  <c r="C56" i="14" s="1"/>
  <c r="D59" i="14"/>
  <c r="C59" i="14" s="1"/>
  <c r="C11" i="25"/>
  <c r="H254" i="8"/>
  <c r="H260" i="8"/>
  <c r="C49" i="32"/>
  <c r="C194" i="32" l="1"/>
  <c r="C81" i="29"/>
  <c r="G198" i="8"/>
  <c r="K198" i="8"/>
  <c r="W198" i="8" s="1"/>
  <c r="J106" i="14"/>
  <c r="Q106" i="14"/>
  <c r="I106" i="14"/>
  <c r="L106" i="14"/>
  <c r="P106" i="14"/>
  <c r="H106" i="14"/>
  <c r="O106" i="14"/>
  <c r="G106" i="14"/>
  <c r="N106" i="14"/>
  <c r="F106" i="14"/>
  <c r="M106" i="14"/>
  <c r="K106" i="14"/>
  <c r="J130" i="14"/>
  <c r="Q130" i="14"/>
  <c r="I130" i="14"/>
  <c r="M130" i="14"/>
  <c r="P130" i="14"/>
  <c r="H130" i="14"/>
  <c r="O130" i="14"/>
  <c r="G130" i="14"/>
  <c r="N130" i="14"/>
  <c r="F130" i="14"/>
  <c r="L130" i="14"/>
  <c r="K130" i="14"/>
  <c r="C203" i="32"/>
  <c r="C204" i="32" s="1"/>
  <c r="K68" i="8"/>
  <c r="W68" i="8" s="1"/>
  <c r="G257" i="8"/>
  <c r="K260" i="8"/>
  <c r="W260" i="8" s="1"/>
  <c r="G260" i="8"/>
  <c r="K259" i="8"/>
  <c r="W259" i="8" s="1"/>
  <c r="G259" i="8"/>
  <c r="K258" i="8"/>
  <c r="W258" i="8" s="1"/>
  <c r="G258" i="8"/>
  <c r="K257" i="8"/>
  <c r="W257" i="8" s="1"/>
  <c r="X257" i="8" s="1"/>
  <c r="G162" i="8"/>
  <c r="G161" i="8"/>
  <c r="G160" i="8"/>
  <c r="K179" i="8"/>
  <c r="W179" i="8" s="1"/>
  <c r="G179" i="8"/>
  <c r="K49" i="8"/>
  <c r="I49" i="8"/>
  <c r="K215" i="8"/>
  <c r="W215" i="8" s="1"/>
  <c r="X215" i="8" s="1"/>
  <c r="I215" i="8"/>
  <c r="G215" i="8"/>
  <c r="K240" i="8"/>
  <c r="W240" i="8" s="1"/>
  <c r="I240" i="8"/>
  <c r="G240" i="8"/>
  <c r="K268" i="8"/>
  <c r="W268" i="8" s="1"/>
  <c r="I268" i="8"/>
  <c r="W47" i="8"/>
  <c r="C268" i="8"/>
  <c r="J268" i="8"/>
  <c r="D22" i="14"/>
  <c r="C22" i="14" s="1"/>
  <c r="H240" i="8"/>
  <c r="C239" i="8"/>
  <c r="F240" i="8"/>
  <c r="C216" i="8"/>
  <c r="D20" i="14"/>
  <c r="C20" i="14" s="1"/>
  <c r="E46" i="8"/>
  <c r="W46" i="8"/>
  <c r="C43" i="4"/>
  <c r="E48" i="8"/>
  <c r="D21" i="14"/>
  <c r="C21" i="14" s="1"/>
  <c r="E47" i="8"/>
  <c r="E240" i="8"/>
  <c r="W48" i="8"/>
  <c r="X48" i="8" s="1"/>
  <c r="G400" i="8"/>
  <c r="H400" i="8"/>
  <c r="H179" i="8"/>
  <c r="J215" i="8"/>
  <c r="X267" i="8"/>
  <c r="F179" i="8"/>
  <c r="C178" i="8"/>
  <c r="C180" i="8"/>
  <c r="E198" i="8"/>
  <c r="D167" i="14"/>
  <c r="C167" i="14" s="1"/>
  <c r="I198" i="8" s="1"/>
  <c r="H258" i="8"/>
  <c r="H259" i="8"/>
  <c r="C130" i="32"/>
  <c r="C24" i="32"/>
  <c r="H425" i="8"/>
  <c r="D128" i="14"/>
  <c r="C128" i="14" s="1"/>
  <c r="C25" i="32"/>
  <c r="C55" i="32"/>
  <c r="C56" i="32" s="1"/>
  <c r="C57" i="32" s="1"/>
  <c r="C60" i="32" s="1"/>
  <c r="W115" i="8"/>
  <c r="W116" i="8"/>
  <c r="W117" i="8"/>
  <c r="C147" i="32"/>
  <c r="C149" i="32" s="1"/>
  <c r="C148" i="32" s="1"/>
  <c r="C151" i="32" s="1"/>
  <c r="W118" i="8"/>
  <c r="X118" i="8" s="1"/>
  <c r="E426" i="8"/>
  <c r="E257" i="8"/>
  <c r="H257" i="8"/>
  <c r="D221" i="14"/>
  <c r="C221" i="14" s="1"/>
  <c r="I259" i="8" s="1"/>
  <c r="C67" i="32"/>
  <c r="C68" i="8"/>
  <c r="F68" i="8" s="1"/>
  <c r="D147" i="14"/>
  <c r="C147" i="14" s="1"/>
  <c r="E179" i="8"/>
  <c r="D219" i="14"/>
  <c r="C219" i="14" s="1"/>
  <c r="I257" i="8" s="1"/>
  <c r="E258" i="8"/>
  <c r="D104" i="14"/>
  <c r="C104" i="14" s="1"/>
  <c r="D220" i="14"/>
  <c r="C220" i="14" s="1"/>
  <c r="I258" i="8" s="1"/>
  <c r="G410" i="8"/>
  <c r="D145" i="14"/>
  <c r="C145" i="14" s="1"/>
  <c r="D129" i="14"/>
  <c r="D222" i="14"/>
  <c r="C222" i="14" s="1"/>
  <c r="I260" i="8" s="1"/>
  <c r="E259" i="8"/>
  <c r="D146" i="14"/>
  <c r="C146" i="14" s="1"/>
  <c r="I179" i="8" s="1"/>
  <c r="D105" i="14"/>
  <c r="C105" i="14" s="1"/>
  <c r="D127" i="14"/>
  <c r="E260" i="8"/>
  <c r="D103" i="14"/>
  <c r="F215" i="8"/>
  <c r="E215" i="8"/>
  <c r="H215" i="8"/>
  <c r="C70" i="8"/>
  <c r="C71" i="8"/>
  <c r="C69" i="8"/>
  <c r="C50" i="32"/>
  <c r="K71" i="8" s="1"/>
  <c r="C153" i="32"/>
  <c r="C154" i="32" s="1"/>
  <c r="C160" i="32"/>
  <c r="D88" i="14"/>
  <c r="C88" i="14" s="1"/>
  <c r="I117" i="8" s="1"/>
  <c r="E115" i="8"/>
  <c r="C156" i="32"/>
  <c r="C157" i="32" s="1"/>
  <c r="C120" i="8" s="1"/>
  <c r="I120" i="8" s="1"/>
  <c r="C165" i="32"/>
  <c r="E118" i="8"/>
  <c r="C150" i="32"/>
  <c r="D86" i="14"/>
  <c r="C86" i="14" s="1"/>
  <c r="I115" i="8" s="1"/>
  <c r="D87" i="14"/>
  <c r="C87" i="14" s="1"/>
  <c r="I116" i="8" s="1"/>
  <c r="D89" i="14"/>
  <c r="C89" i="14" s="1"/>
  <c r="I118" i="8" s="1"/>
  <c r="E116" i="8"/>
  <c r="E117" i="8"/>
  <c r="K69" i="8" l="1"/>
  <c r="G70" i="8"/>
  <c r="K70" i="8"/>
  <c r="G71" i="8"/>
  <c r="G69" i="8"/>
  <c r="K264" i="8"/>
  <c r="W264" i="8" s="1"/>
  <c r="G264" i="8"/>
  <c r="K263" i="8"/>
  <c r="W263" i="8" s="1"/>
  <c r="G263" i="8"/>
  <c r="K262" i="8"/>
  <c r="W262" i="8" s="1"/>
  <c r="X262" i="8" s="1"/>
  <c r="G262" i="8"/>
  <c r="K265" i="8"/>
  <c r="W265" i="8" s="1"/>
  <c r="G265" i="8"/>
  <c r="G180" i="8"/>
  <c r="K180" i="8"/>
  <c r="W180" i="8" s="1"/>
  <c r="X180" i="8" s="1"/>
  <c r="I180" i="8"/>
  <c r="K178" i="8"/>
  <c r="W178" i="8" s="1"/>
  <c r="I178" i="8"/>
  <c r="G178" i="8"/>
  <c r="K216" i="8"/>
  <c r="W216" i="8" s="1"/>
  <c r="I216" i="8"/>
  <c r="G216" i="8"/>
  <c r="K239" i="8"/>
  <c r="W239" i="8" s="1"/>
  <c r="I239" i="8"/>
  <c r="G239" i="8"/>
  <c r="E129" i="14"/>
  <c r="E127" i="14"/>
  <c r="E103" i="14"/>
  <c r="H216" i="8"/>
  <c r="F180" i="8"/>
  <c r="C73" i="32"/>
  <c r="C175" i="32"/>
  <c r="C402" i="8" s="1"/>
  <c r="E402" i="8" s="1"/>
  <c r="C76" i="32"/>
  <c r="C77" i="32" s="1"/>
  <c r="C37" i="4" s="1"/>
  <c r="C78" i="32"/>
  <c r="C79" i="32" s="1"/>
  <c r="X268" i="8"/>
  <c r="C176" i="32"/>
  <c r="C403" i="8" s="1"/>
  <c r="E403" i="8" s="1"/>
  <c r="F239" i="8"/>
  <c r="J239" i="8"/>
  <c r="H239" i="8"/>
  <c r="E239" i="8"/>
  <c r="E216" i="8"/>
  <c r="F216" i="8"/>
  <c r="C58" i="32"/>
  <c r="C59" i="32" s="1"/>
  <c r="C78" i="4" s="1"/>
  <c r="W69" i="8"/>
  <c r="X69" i="8" s="1"/>
  <c r="W71" i="8"/>
  <c r="E178" i="8"/>
  <c r="C132" i="32"/>
  <c r="F178" i="8"/>
  <c r="H178" i="8"/>
  <c r="E180" i="8"/>
  <c r="H180" i="8"/>
  <c r="C26" i="32"/>
  <c r="C27" i="32" s="1"/>
  <c r="C29" i="32" s="1"/>
  <c r="C131" i="32" s="1"/>
  <c r="W70" i="8"/>
  <c r="C134" i="32"/>
  <c r="C135" i="32" s="1"/>
  <c r="H68" i="8"/>
  <c r="C31" i="32"/>
  <c r="C102" i="32"/>
  <c r="C104" i="32" s="1"/>
  <c r="C105" i="32" s="1"/>
  <c r="C48" i="4" s="1"/>
  <c r="B427" i="8"/>
  <c r="D427" i="8" s="1"/>
  <c r="C164" i="32"/>
  <c r="C241" i="8"/>
  <c r="C32" i="29"/>
  <c r="C33" i="29" s="1"/>
  <c r="C114" i="32"/>
  <c r="B402" i="8"/>
  <c r="C101" i="32"/>
  <c r="J120" i="8"/>
  <c r="K120" i="8"/>
  <c r="W120" i="8" s="1"/>
  <c r="D138" i="14"/>
  <c r="C138" i="14" s="1"/>
  <c r="D115" i="14"/>
  <c r="C115" i="14" s="1"/>
  <c r="D158" i="14"/>
  <c r="C158" i="14" s="1"/>
  <c r="D114" i="14"/>
  <c r="C114" i="14" s="1"/>
  <c r="D137" i="14"/>
  <c r="D113" i="14"/>
  <c r="D160" i="14"/>
  <c r="C160" i="14" s="1"/>
  <c r="D139" i="14"/>
  <c r="D159" i="14"/>
  <c r="C159" i="14" s="1"/>
  <c r="D45" i="14"/>
  <c r="C45" i="14" s="1"/>
  <c r="I70" i="8" s="1"/>
  <c r="D44" i="14"/>
  <c r="C44" i="14" s="1"/>
  <c r="I69" i="8" s="1"/>
  <c r="C49" i="4"/>
  <c r="D46" i="14"/>
  <c r="C46" i="14" s="1"/>
  <c r="I71" i="8" s="1"/>
  <c r="E69" i="8"/>
  <c r="F69" i="8"/>
  <c r="H69" i="8"/>
  <c r="F71" i="8"/>
  <c r="E71" i="8"/>
  <c r="H71" i="8"/>
  <c r="E265" i="8"/>
  <c r="D224" i="14"/>
  <c r="C224" i="14" s="1"/>
  <c r="I262" i="8" s="1"/>
  <c r="D225" i="14"/>
  <c r="C225" i="14" s="1"/>
  <c r="I263" i="8" s="1"/>
  <c r="D227" i="14"/>
  <c r="C227" i="14" s="1"/>
  <c r="I265" i="8" s="1"/>
  <c r="E264" i="8"/>
  <c r="E262" i="8"/>
  <c r="D226" i="14"/>
  <c r="C226" i="14" s="1"/>
  <c r="I264" i="8" s="1"/>
  <c r="E263" i="8"/>
  <c r="C152" i="32"/>
  <c r="F70" i="8"/>
  <c r="E70" i="8"/>
  <c r="H70" i="8"/>
  <c r="J127" i="14" l="1"/>
  <c r="F127" i="14"/>
  <c r="L127" i="14"/>
  <c r="Q127" i="14"/>
  <c r="I127" i="14"/>
  <c r="P127" i="14"/>
  <c r="H127" i="14"/>
  <c r="N127" i="14"/>
  <c r="M127" i="14"/>
  <c r="O127" i="14"/>
  <c r="G127" i="14"/>
  <c r="K127" i="14"/>
  <c r="N103" i="14"/>
  <c r="F103" i="14"/>
  <c r="Q103" i="14"/>
  <c r="P103" i="14"/>
  <c r="M103" i="14"/>
  <c r="L103" i="14"/>
  <c r="J103" i="14"/>
  <c r="I103" i="14"/>
  <c r="H103" i="14"/>
  <c r="K103" i="14"/>
  <c r="O103" i="14"/>
  <c r="G103" i="14"/>
  <c r="J129" i="14"/>
  <c r="N129" i="14"/>
  <c r="M129" i="14"/>
  <c r="Q129" i="14"/>
  <c r="I129" i="14"/>
  <c r="P129" i="14"/>
  <c r="H129" i="14"/>
  <c r="F129" i="14"/>
  <c r="L129" i="14"/>
  <c r="O129" i="14"/>
  <c r="G129" i="14"/>
  <c r="K129" i="14"/>
  <c r="C109" i="32"/>
  <c r="C38" i="4" s="1"/>
  <c r="C39" i="4"/>
  <c r="K241" i="8"/>
  <c r="W241" i="8" s="1"/>
  <c r="X241" i="8" s="1"/>
  <c r="I241" i="8"/>
  <c r="G241" i="8"/>
  <c r="C122" i="8"/>
  <c r="E139" i="14"/>
  <c r="E113" i="14"/>
  <c r="E137" i="14"/>
  <c r="C26" i="4"/>
  <c r="C85" i="32"/>
  <c r="C36" i="4" s="1"/>
  <c r="C27" i="4"/>
  <c r="C86" i="32"/>
  <c r="C80" i="32"/>
  <c r="C88" i="32"/>
  <c r="C106" i="32"/>
  <c r="C83" i="32"/>
  <c r="C27" i="11"/>
  <c r="C37" i="11" s="1"/>
  <c r="H402" i="8"/>
  <c r="G402" i="8"/>
  <c r="C270" i="8"/>
  <c r="C133" i="32"/>
  <c r="C139" i="32" s="1"/>
  <c r="X239" i="8"/>
  <c r="C63" i="32"/>
  <c r="C64" i="32" s="1"/>
  <c r="C61" i="32"/>
  <c r="C62" i="32"/>
  <c r="C65" i="32"/>
  <c r="H403" i="8"/>
  <c r="C30" i="32"/>
  <c r="C32" i="32" s="1"/>
  <c r="C103" i="32"/>
  <c r="C191" i="32"/>
  <c r="C192" i="32" s="1"/>
  <c r="C195" i="32" s="1"/>
  <c r="C336" i="8"/>
  <c r="C138" i="32"/>
  <c r="C87" i="4"/>
  <c r="C333" i="8"/>
  <c r="C335" i="8"/>
  <c r="C334" i="8"/>
  <c r="C136" i="32"/>
  <c r="C137" i="32" s="1"/>
  <c r="C163" i="32"/>
  <c r="C191" i="8" s="1"/>
  <c r="F241" i="8"/>
  <c r="C161" i="32"/>
  <c r="C147" i="8" s="1"/>
  <c r="H241" i="8"/>
  <c r="F427" i="8"/>
  <c r="J241" i="8"/>
  <c r="C162" i="32"/>
  <c r="C170" i="8" s="1"/>
  <c r="C169" i="32"/>
  <c r="C170" i="32" s="1"/>
  <c r="C171" i="32" s="1"/>
  <c r="C411" i="8" s="1"/>
  <c r="E411" i="8" s="1"/>
  <c r="E241" i="8"/>
  <c r="C204" i="8"/>
  <c r="C115" i="32"/>
  <c r="D173" i="14" s="1"/>
  <c r="C173" i="14" s="1"/>
  <c r="I204" i="8" s="1"/>
  <c r="C78" i="8"/>
  <c r="C79" i="8"/>
  <c r="D52" i="14"/>
  <c r="C52" i="14" s="1"/>
  <c r="C80" i="8"/>
  <c r="X120" i="8"/>
  <c r="C155" i="32"/>
  <c r="G204" i="8" l="1"/>
  <c r="K204" i="8"/>
  <c r="C67" i="4"/>
  <c r="J68" i="8"/>
  <c r="N139" i="14"/>
  <c r="F139" i="14"/>
  <c r="K139" i="14"/>
  <c r="M139" i="14"/>
  <c r="J139" i="14"/>
  <c r="L139" i="14"/>
  <c r="I139" i="14"/>
  <c r="O139" i="14"/>
  <c r="H139" i="14"/>
  <c r="G139" i="14"/>
  <c r="Q139" i="14"/>
  <c r="P139" i="14"/>
  <c r="K334" i="8"/>
  <c r="W334" i="8" s="1"/>
  <c r="X334" i="8" s="1"/>
  <c r="I334" i="8"/>
  <c r="K335" i="8"/>
  <c r="W335" i="8" s="1"/>
  <c r="X335" i="8" s="1"/>
  <c r="I335" i="8"/>
  <c r="I333" i="8"/>
  <c r="K333" i="8"/>
  <c r="W333" i="8" s="1"/>
  <c r="X333" i="8" s="1"/>
  <c r="K336" i="8"/>
  <c r="W336" i="8" s="1"/>
  <c r="X336" i="8" s="1"/>
  <c r="I336" i="8"/>
  <c r="N137" i="14"/>
  <c r="F137" i="14"/>
  <c r="J137" i="14"/>
  <c r="M137" i="14"/>
  <c r="K137" i="14"/>
  <c r="L137" i="14"/>
  <c r="P137" i="14"/>
  <c r="Q137" i="14"/>
  <c r="O137" i="14"/>
  <c r="I137" i="14"/>
  <c r="H137" i="14"/>
  <c r="G137" i="14"/>
  <c r="J113" i="14"/>
  <c r="O113" i="14"/>
  <c r="N113" i="14"/>
  <c r="Q113" i="14"/>
  <c r="I113" i="14"/>
  <c r="G113" i="14"/>
  <c r="F113" i="14"/>
  <c r="P113" i="14"/>
  <c r="H113" i="14"/>
  <c r="M113" i="14"/>
  <c r="L113" i="14"/>
  <c r="K113" i="14"/>
  <c r="I122" i="8"/>
  <c r="K122" i="8" s="1"/>
  <c r="W122" i="8" s="1"/>
  <c r="K270" i="8"/>
  <c r="W270" i="8" s="1"/>
  <c r="I270" i="8"/>
  <c r="J270" i="8" s="1"/>
  <c r="I147" i="8"/>
  <c r="G147" i="8"/>
  <c r="K147" i="8"/>
  <c r="W147" i="8" s="1"/>
  <c r="X147" i="8" s="1"/>
  <c r="K170" i="8"/>
  <c r="W170" i="8" s="1"/>
  <c r="G170" i="8"/>
  <c r="K191" i="8"/>
  <c r="W191" i="8" s="1"/>
  <c r="X191" i="8" s="1"/>
  <c r="G191" i="8"/>
  <c r="I191" i="8"/>
  <c r="K80" i="8"/>
  <c r="W80" i="8" s="1"/>
  <c r="X80" i="8" s="1"/>
  <c r="I80" i="8"/>
  <c r="G80" i="8"/>
  <c r="K78" i="8"/>
  <c r="W78" i="8" s="1"/>
  <c r="I78" i="8"/>
  <c r="G78" i="8"/>
  <c r="G79" i="8"/>
  <c r="K79" i="8"/>
  <c r="W79" i="8" s="1"/>
  <c r="X79" i="8" s="1"/>
  <c r="I79" i="8"/>
  <c r="C127" i="14"/>
  <c r="C129" i="14"/>
  <c r="C103" i="14"/>
  <c r="D97" i="14"/>
  <c r="C97" i="14" s="1"/>
  <c r="C82" i="32"/>
  <c r="C75" i="8"/>
  <c r="C74" i="8"/>
  <c r="C29" i="11"/>
  <c r="C41" i="11" s="1"/>
  <c r="C73" i="8"/>
  <c r="C81" i="32"/>
  <c r="C47" i="4" s="1"/>
  <c r="C110" i="32"/>
  <c r="C111" i="32" s="1"/>
  <c r="C84" i="32"/>
  <c r="C231" i="8"/>
  <c r="C232" i="8"/>
  <c r="C230" i="8"/>
  <c r="C87" i="32"/>
  <c r="G68" i="8"/>
  <c r="C70" i="32"/>
  <c r="C72" i="32" s="1"/>
  <c r="D92" i="14"/>
  <c r="C92" i="14" s="1"/>
  <c r="C15" i="25"/>
  <c r="D91" i="14"/>
  <c r="C91" i="14" s="1"/>
  <c r="F204" i="8"/>
  <c r="C188" i="32"/>
  <c r="B403" i="8" s="1"/>
  <c r="E68" i="8"/>
  <c r="C33" i="32"/>
  <c r="C35" i="32" s="1"/>
  <c r="I68" i="8"/>
  <c r="W204" i="8"/>
  <c r="C69" i="4"/>
  <c r="C196" i="32"/>
  <c r="G425" i="8" s="1"/>
  <c r="E425" i="8" s="1"/>
  <c r="E191" i="8"/>
  <c r="J335" i="8"/>
  <c r="J333" i="8"/>
  <c r="J334" i="8"/>
  <c r="C189" i="8"/>
  <c r="F191" i="8"/>
  <c r="E333" i="8"/>
  <c r="F333" i="8"/>
  <c r="G333" i="8"/>
  <c r="H333" i="8"/>
  <c r="G334" i="8"/>
  <c r="E334" i="8"/>
  <c r="H334" i="8"/>
  <c r="F334" i="8"/>
  <c r="E335" i="8"/>
  <c r="G335" i="8"/>
  <c r="H335" i="8"/>
  <c r="F335" i="8"/>
  <c r="F336" i="8"/>
  <c r="H336" i="8"/>
  <c r="E336" i="8"/>
  <c r="J336" i="8" s="1"/>
  <c r="G336" i="8"/>
  <c r="D94" i="14"/>
  <c r="C94" i="14" s="1"/>
  <c r="C190" i="8"/>
  <c r="D96" i="14"/>
  <c r="C96" i="14" s="1"/>
  <c r="D95" i="14"/>
  <c r="C95" i="14" s="1"/>
  <c r="C16" i="25"/>
  <c r="D163" i="14" s="1"/>
  <c r="C163" i="14" s="1"/>
  <c r="H191" i="8"/>
  <c r="F411" i="8"/>
  <c r="G411" i="8"/>
  <c r="E80" i="8"/>
  <c r="F147" i="8"/>
  <c r="H147" i="8"/>
  <c r="E147" i="8"/>
  <c r="C146" i="8"/>
  <c r="C148" i="8"/>
  <c r="E170" i="8"/>
  <c r="F170" i="8"/>
  <c r="H204" i="8"/>
  <c r="C172" i="8"/>
  <c r="C171" i="8"/>
  <c r="H411" i="8"/>
  <c r="H170" i="8"/>
  <c r="E204" i="8"/>
  <c r="C25" i="25"/>
  <c r="C150" i="8" s="1"/>
  <c r="C35" i="25"/>
  <c r="C175" i="8" s="1"/>
  <c r="C34" i="32"/>
  <c r="E78" i="8"/>
  <c r="D53" i="14"/>
  <c r="C53" i="14" s="1"/>
  <c r="F80" i="8"/>
  <c r="F78" i="8"/>
  <c r="H80" i="8"/>
  <c r="H78" i="8"/>
  <c r="F79" i="8"/>
  <c r="E79" i="8"/>
  <c r="H79" i="8"/>
  <c r="D51" i="14"/>
  <c r="C51" i="14" s="1"/>
  <c r="C119" i="8"/>
  <c r="I119" i="8" s="1"/>
  <c r="C121" i="8"/>
  <c r="I121" i="8" s="1"/>
  <c r="C220" i="32" l="1"/>
  <c r="J122" i="8"/>
  <c r="X122" i="8" s="1"/>
  <c r="K150" i="8"/>
  <c r="W150" i="8" s="1"/>
  <c r="I150" i="8"/>
  <c r="G150" i="8"/>
  <c r="K175" i="8"/>
  <c r="W175" i="8" s="1"/>
  <c r="X175" i="8" s="1"/>
  <c r="I175" i="8"/>
  <c r="J175" i="8" s="1"/>
  <c r="G175" i="8"/>
  <c r="K146" i="8"/>
  <c r="W146" i="8" s="1"/>
  <c r="I146" i="8"/>
  <c r="G146" i="8"/>
  <c r="K148" i="8"/>
  <c r="W148" i="8" s="1"/>
  <c r="X148" i="8" s="1"/>
  <c r="I148" i="8"/>
  <c r="G148" i="8"/>
  <c r="K189" i="8"/>
  <c r="W189" i="8" s="1"/>
  <c r="G189" i="8"/>
  <c r="I189" i="8"/>
  <c r="G171" i="8"/>
  <c r="K171" i="8"/>
  <c r="W171" i="8" s="1"/>
  <c r="X171" i="8" s="1"/>
  <c r="I171" i="8"/>
  <c r="K172" i="8"/>
  <c r="W172" i="8" s="1"/>
  <c r="X172" i="8" s="1"/>
  <c r="G172" i="8"/>
  <c r="K190" i="8"/>
  <c r="W190" i="8" s="1"/>
  <c r="G190" i="8"/>
  <c r="I190" i="8"/>
  <c r="K73" i="8"/>
  <c r="W73" i="8" s="1"/>
  <c r="X73" i="8" s="1"/>
  <c r="I73" i="8"/>
  <c r="J73" i="8" s="1"/>
  <c r="G73" i="8"/>
  <c r="I232" i="8"/>
  <c r="G232" i="8"/>
  <c r="K232" i="8"/>
  <c r="K230" i="8"/>
  <c r="I230" i="8"/>
  <c r="G230" i="8"/>
  <c r="K74" i="8"/>
  <c r="W74" i="8" s="1"/>
  <c r="X74" i="8" s="1"/>
  <c r="I74" i="8"/>
  <c r="G74" i="8"/>
  <c r="K75" i="8"/>
  <c r="I75" i="8"/>
  <c r="K231" i="8"/>
  <c r="I231" i="8"/>
  <c r="G231" i="8"/>
  <c r="C137" i="14"/>
  <c r="I170" i="8" s="1"/>
  <c r="C113" i="14"/>
  <c r="C139" i="14"/>
  <c r="I172" i="8" s="1"/>
  <c r="J172" i="8" s="1"/>
  <c r="F73" i="8"/>
  <c r="F74" i="8"/>
  <c r="X270" i="8"/>
  <c r="E231" i="8"/>
  <c r="C91" i="32"/>
  <c r="D48" i="14"/>
  <c r="C48" i="14" s="1"/>
  <c r="H74" i="8"/>
  <c r="H73" i="8"/>
  <c r="E74" i="8"/>
  <c r="D49" i="14"/>
  <c r="C49" i="14" s="1"/>
  <c r="E73" i="8"/>
  <c r="C221" i="32"/>
  <c r="C211" i="8"/>
  <c r="C212" i="8"/>
  <c r="C210" i="8"/>
  <c r="C209" i="8"/>
  <c r="C40" i="25"/>
  <c r="C194" i="8" s="1"/>
  <c r="G403" i="8"/>
  <c r="E230" i="8"/>
  <c r="D188" i="14"/>
  <c r="C188" i="14" s="1"/>
  <c r="C206" i="8"/>
  <c r="C207" i="8"/>
  <c r="C39" i="25"/>
  <c r="C192" i="8" s="1"/>
  <c r="E232" i="8"/>
  <c r="D176" i="14"/>
  <c r="C176" i="14" s="1"/>
  <c r="D175" i="14"/>
  <c r="C175" i="14" s="1"/>
  <c r="C34" i="25"/>
  <c r="C173" i="8" s="1"/>
  <c r="C24" i="25"/>
  <c r="C149" i="8" s="1"/>
  <c r="C57" i="4"/>
  <c r="C228" i="8"/>
  <c r="C227" i="8"/>
  <c r="C226" i="8"/>
  <c r="D193" i="14"/>
  <c r="C193" i="14" s="1"/>
  <c r="D192" i="14"/>
  <c r="C192" i="14" s="1"/>
  <c r="D161" i="14"/>
  <c r="C161" i="14" s="1"/>
  <c r="D116" i="14"/>
  <c r="C116" i="14" s="1"/>
  <c r="D140" i="14"/>
  <c r="C140" i="14" s="1"/>
  <c r="X68" i="8"/>
  <c r="E189" i="8"/>
  <c r="F189" i="8"/>
  <c r="D119" i="14"/>
  <c r="C119" i="14" s="1"/>
  <c r="H189" i="8"/>
  <c r="D164" i="14"/>
  <c r="C164" i="14" s="1"/>
  <c r="D141" i="14"/>
  <c r="D162" i="14"/>
  <c r="C162" i="14" s="1"/>
  <c r="D143" i="14"/>
  <c r="D142" i="14"/>
  <c r="C142" i="14" s="1"/>
  <c r="D118" i="14"/>
  <c r="C118" i="14" s="1"/>
  <c r="D117" i="14"/>
  <c r="H190" i="8"/>
  <c r="F190" i="8"/>
  <c r="E190" i="8"/>
  <c r="H146" i="8"/>
  <c r="F172" i="8"/>
  <c r="E175" i="8"/>
  <c r="C427" i="8"/>
  <c r="H427" i="8" s="1"/>
  <c r="H148" i="8"/>
  <c r="F148" i="8"/>
  <c r="E148" i="8"/>
  <c r="F146" i="8"/>
  <c r="E146" i="8"/>
  <c r="E171" i="8"/>
  <c r="C152" i="8"/>
  <c r="E172" i="8"/>
  <c r="H172" i="8"/>
  <c r="H171" i="8"/>
  <c r="F171" i="8"/>
  <c r="C176" i="8"/>
  <c r="C174" i="8"/>
  <c r="C151" i="8"/>
  <c r="D178" i="14"/>
  <c r="C178" i="14" s="1"/>
  <c r="D180" i="14"/>
  <c r="C180" i="14" s="1"/>
  <c r="D181" i="14"/>
  <c r="C181" i="14" s="1"/>
  <c r="D179" i="14"/>
  <c r="C179" i="14" s="1"/>
  <c r="C126" i="32"/>
  <c r="C44" i="11"/>
  <c r="I427" i="8"/>
  <c r="C118" i="32"/>
  <c r="C107" i="32"/>
  <c r="C108" i="32" s="1"/>
  <c r="F150" i="8"/>
  <c r="H150" i="8"/>
  <c r="E150" i="8"/>
  <c r="H175" i="8"/>
  <c r="F175" i="8"/>
  <c r="K119" i="8"/>
  <c r="W119" i="8" s="1"/>
  <c r="J119" i="8"/>
  <c r="J121" i="8"/>
  <c r="K121" i="8"/>
  <c r="W121" i="8" s="1"/>
  <c r="X95" i="8"/>
  <c r="X115" i="8"/>
  <c r="C58" i="4"/>
  <c r="C76" i="4" s="1"/>
  <c r="C52" i="4"/>
  <c r="C64" i="4" s="1"/>
  <c r="C59" i="4"/>
  <c r="C77" i="4" s="1"/>
  <c r="C54" i="4"/>
  <c r="C56" i="4"/>
  <c r="C53" i="4"/>
  <c r="C55" i="4"/>
  <c r="K227" i="8" l="1"/>
  <c r="W227" i="8" s="1"/>
  <c r="X227" i="8" s="1"/>
  <c r="I227" i="8"/>
  <c r="G227" i="8"/>
  <c r="K226" i="8"/>
  <c r="W226" i="8" s="1"/>
  <c r="X226" i="8" s="1"/>
  <c r="I226" i="8"/>
  <c r="G226" i="8"/>
  <c r="K228" i="8"/>
  <c r="W228" i="8" s="1"/>
  <c r="I228" i="8"/>
  <c r="G228" i="8"/>
  <c r="K192" i="8"/>
  <c r="W192" i="8" s="1"/>
  <c r="X192" i="8" s="1"/>
  <c r="I192" i="8"/>
  <c r="J192" i="8" s="1"/>
  <c r="G192" i="8"/>
  <c r="K173" i="8"/>
  <c r="W173" i="8" s="1"/>
  <c r="X173" i="8" s="1"/>
  <c r="I173" i="8"/>
  <c r="J173" i="8" s="1"/>
  <c r="G173" i="8"/>
  <c r="K207" i="8"/>
  <c r="W207" i="8" s="1"/>
  <c r="X207" i="8" s="1"/>
  <c r="I207" i="8"/>
  <c r="G207" i="8"/>
  <c r="G206" i="8"/>
  <c r="K206" i="8"/>
  <c r="W206" i="8" s="1"/>
  <c r="X206" i="8" s="1"/>
  <c r="I206" i="8"/>
  <c r="K149" i="8"/>
  <c r="W149" i="8" s="1"/>
  <c r="I149" i="8"/>
  <c r="G149" i="8"/>
  <c r="K209" i="8"/>
  <c r="W209" i="8" s="1"/>
  <c r="X209" i="8" s="1"/>
  <c r="I209" i="8"/>
  <c r="G209" i="8"/>
  <c r="I152" i="8"/>
  <c r="G152" i="8"/>
  <c r="K152" i="8"/>
  <c r="W152" i="8" s="1"/>
  <c r="X152" i="8" s="1"/>
  <c r="K210" i="8"/>
  <c r="W210" i="8" s="1"/>
  <c r="X210" i="8" s="1"/>
  <c r="I210" i="8"/>
  <c r="G210" i="8"/>
  <c r="K151" i="8"/>
  <c r="W151" i="8" s="1"/>
  <c r="X151" i="8" s="1"/>
  <c r="I151" i="8"/>
  <c r="G151" i="8"/>
  <c r="K212" i="8"/>
  <c r="W212" i="8" s="1"/>
  <c r="X212" i="8" s="1"/>
  <c r="I212" i="8"/>
  <c r="G212" i="8"/>
  <c r="K211" i="8"/>
  <c r="W211" i="8" s="1"/>
  <c r="I211" i="8"/>
  <c r="G211" i="8"/>
  <c r="I194" i="8"/>
  <c r="G194" i="8"/>
  <c r="K194" i="8"/>
  <c r="W194" i="8" s="1"/>
  <c r="X194" i="8" s="1"/>
  <c r="K174" i="8"/>
  <c r="W174" i="8" s="1"/>
  <c r="X174" i="8" s="1"/>
  <c r="I174" i="8"/>
  <c r="J174" i="8" s="1"/>
  <c r="G174" i="8"/>
  <c r="I176" i="8"/>
  <c r="J176" i="8" s="1"/>
  <c r="G176" i="8"/>
  <c r="K176" i="8"/>
  <c r="W176" i="8" s="1"/>
  <c r="X176" i="8" s="1"/>
  <c r="E143" i="14"/>
  <c r="C143" i="14"/>
  <c r="E117" i="14"/>
  <c r="C117" i="14"/>
  <c r="E141" i="14"/>
  <c r="C141" i="14"/>
  <c r="J74" i="8"/>
  <c r="J207" i="8"/>
  <c r="F212" i="8"/>
  <c r="H206" i="8"/>
  <c r="E211" i="8"/>
  <c r="E194" i="8"/>
  <c r="F209" i="8"/>
  <c r="C225" i="32"/>
  <c r="C227" i="32" s="1"/>
  <c r="H212" i="8"/>
  <c r="H211" i="8"/>
  <c r="E212" i="8"/>
  <c r="F211" i="8"/>
  <c r="E209" i="8"/>
  <c r="H209" i="8"/>
  <c r="C195" i="8"/>
  <c r="F210" i="8"/>
  <c r="E210" i="8"/>
  <c r="H210" i="8"/>
  <c r="C193" i="8"/>
  <c r="F194" i="8"/>
  <c r="H194" i="8"/>
  <c r="F207" i="8"/>
  <c r="F206" i="8"/>
  <c r="E206" i="8"/>
  <c r="J206" i="8"/>
  <c r="E207" i="8"/>
  <c r="D189" i="14"/>
  <c r="C189" i="14" s="1"/>
  <c r="H207" i="8"/>
  <c r="H192" i="8"/>
  <c r="E192" i="8"/>
  <c r="F192" i="8"/>
  <c r="C96" i="32"/>
  <c r="J226" i="8"/>
  <c r="H226" i="8"/>
  <c r="F226" i="8"/>
  <c r="E226" i="8"/>
  <c r="F149" i="8"/>
  <c r="H149" i="8"/>
  <c r="E149" i="8"/>
  <c r="F227" i="8"/>
  <c r="H227" i="8"/>
  <c r="E227" i="8"/>
  <c r="F173" i="8"/>
  <c r="H173" i="8"/>
  <c r="E173" i="8"/>
  <c r="F228" i="8"/>
  <c r="H228" i="8"/>
  <c r="E228" i="8"/>
  <c r="C75" i="4"/>
  <c r="C57" i="25"/>
  <c r="C234" i="8"/>
  <c r="C236" i="8"/>
  <c r="C235" i="8"/>
  <c r="D196" i="14"/>
  <c r="C196" i="14" s="1"/>
  <c r="D197" i="14"/>
  <c r="C197" i="14" s="1"/>
  <c r="E140" i="14"/>
  <c r="E116" i="14"/>
  <c r="C74" i="4"/>
  <c r="C84" i="31"/>
  <c r="C70" i="4"/>
  <c r="C73" i="4"/>
  <c r="C74" i="31"/>
  <c r="E427" i="8"/>
  <c r="E152" i="8"/>
  <c r="F151" i="8"/>
  <c r="H152" i="8"/>
  <c r="F152" i="8"/>
  <c r="H151" i="8"/>
  <c r="E151" i="8"/>
  <c r="F176" i="8"/>
  <c r="H176" i="8"/>
  <c r="E176" i="8"/>
  <c r="H174" i="8"/>
  <c r="E174" i="8"/>
  <c r="F174" i="8"/>
  <c r="C338" i="8"/>
  <c r="K338" i="8" s="1"/>
  <c r="C127" i="32"/>
  <c r="D202" i="14"/>
  <c r="C202" i="14" s="1"/>
  <c r="C119" i="32"/>
  <c r="X119" i="8"/>
  <c r="X121" i="8"/>
  <c r="C62" i="4"/>
  <c r="C61" i="4"/>
  <c r="N143" i="14" l="1"/>
  <c r="F143" i="14"/>
  <c r="M143" i="14"/>
  <c r="K143" i="14"/>
  <c r="J143" i="14"/>
  <c r="L143" i="14"/>
  <c r="H143" i="14"/>
  <c r="Q143" i="14"/>
  <c r="I143" i="14"/>
  <c r="G143" i="14"/>
  <c r="P143" i="14"/>
  <c r="O143" i="14"/>
  <c r="N141" i="14"/>
  <c r="F141" i="14"/>
  <c r="K141" i="14"/>
  <c r="J141" i="14"/>
  <c r="M141" i="14"/>
  <c r="L141" i="14"/>
  <c r="H141" i="14"/>
  <c r="P141" i="14"/>
  <c r="I141" i="14"/>
  <c r="G141" i="14"/>
  <c r="O141" i="14"/>
  <c r="Q141" i="14"/>
  <c r="N116" i="14"/>
  <c r="F116" i="14"/>
  <c r="M116" i="14"/>
  <c r="K116" i="14"/>
  <c r="J116" i="14"/>
  <c r="L116" i="14"/>
  <c r="H116" i="14"/>
  <c r="I116" i="14"/>
  <c r="G116" i="14"/>
  <c r="P116" i="14"/>
  <c r="O116" i="14"/>
  <c r="Q116" i="14"/>
  <c r="J117" i="14"/>
  <c r="G117" i="14"/>
  <c r="N117" i="14"/>
  <c r="Q117" i="14"/>
  <c r="I117" i="14"/>
  <c r="O117" i="14"/>
  <c r="F117" i="14"/>
  <c r="P117" i="14"/>
  <c r="H117" i="14"/>
  <c r="M117" i="14"/>
  <c r="L117" i="14"/>
  <c r="K117" i="14"/>
  <c r="J140" i="14"/>
  <c r="O140" i="14"/>
  <c r="Q140" i="14"/>
  <c r="I140" i="14"/>
  <c r="G140" i="14"/>
  <c r="N140" i="14"/>
  <c r="F140" i="14"/>
  <c r="P140" i="14"/>
  <c r="H140" i="14"/>
  <c r="M140" i="14"/>
  <c r="L140" i="14"/>
  <c r="K140" i="14"/>
  <c r="K195" i="8"/>
  <c r="W195" i="8" s="1"/>
  <c r="X195" i="8" s="1"/>
  <c r="I195" i="8"/>
  <c r="G195" i="8"/>
  <c r="K193" i="8"/>
  <c r="W193" i="8" s="1"/>
  <c r="I193" i="8"/>
  <c r="G193" i="8"/>
  <c r="G234" i="8"/>
  <c r="K234" i="8"/>
  <c r="W234" i="8" s="1"/>
  <c r="X234" i="8" s="1"/>
  <c r="I234" i="8"/>
  <c r="K235" i="8"/>
  <c r="W235" i="8" s="1"/>
  <c r="X235" i="8" s="1"/>
  <c r="I235" i="8"/>
  <c r="G235" i="8"/>
  <c r="K236" i="8"/>
  <c r="W236" i="8" s="1"/>
  <c r="X236" i="8" s="1"/>
  <c r="I236" i="8"/>
  <c r="G236" i="8"/>
  <c r="E193" i="8"/>
  <c r="F193" i="8"/>
  <c r="H195" i="8"/>
  <c r="F195" i="8"/>
  <c r="E195" i="8"/>
  <c r="H193" i="8"/>
  <c r="C92" i="32"/>
  <c r="C93" i="32" s="1"/>
  <c r="C94" i="32" s="1"/>
  <c r="C95" i="32" s="1"/>
  <c r="C97" i="32" s="1"/>
  <c r="H231" i="8"/>
  <c r="F231" i="8"/>
  <c r="W231" i="8"/>
  <c r="X231" i="8" s="1"/>
  <c r="J231" i="8"/>
  <c r="F232" i="8"/>
  <c r="W232" i="8"/>
  <c r="X232" i="8" s="1"/>
  <c r="J232" i="8"/>
  <c r="H232" i="8"/>
  <c r="W230" i="8"/>
  <c r="X230" i="8" s="1"/>
  <c r="F230" i="8"/>
  <c r="J230" i="8"/>
  <c r="H230" i="8"/>
  <c r="E235" i="8"/>
  <c r="F235" i="8"/>
  <c r="J235" i="8"/>
  <c r="H235" i="8"/>
  <c r="E236" i="8"/>
  <c r="F236" i="8"/>
  <c r="J236" i="8"/>
  <c r="H236" i="8"/>
  <c r="E234" i="8"/>
  <c r="J234" i="8"/>
  <c r="H234" i="8"/>
  <c r="F234" i="8"/>
  <c r="C80" i="31"/>
  <c r="C81" i="31" s="1"/>
  <c r="C82" i="31" s="1"/>
  <c r="C83" i="31" s="1"/>
  <c r="C85" i="31" s="1"/>
  <c r="C70" i="31"/>
  <c r="C71" i="31" s="1"/>
  <c r="C72" i="31" s="1"/>
  <c r="C73" i="31" s="1"/>
  <c r="W338" i="8"/>
  <c r="G338" i="8"/>
  <c r="E338" i="8"/>
  <c r="J338" i="8" s="1"/>
  <c r="C63" i="4"/>
  <c r="C81" i="4" s="1"/>
  <c r="C83" i="4" s="1"/>
  <c r="W65" i="8" l="1"/>
  <c r="W49" i="8"/>
  <c r="W75" i="8"/>
  <c r="C98" i="32"/>
  <c r="C76" i="8" s="1"/>
  <c r="J75" i="8"/>
  <c r="J149" i="8"/>
  <c r="X149" i="8" s="1"/>
  <c r="C13" i="35"/>
  <c r="J65" i="8"/>
  <c r="J49" i="8"/>
  <c r="C86" i="31"/>
  <c r="C66" i="8" s="1"/>
  <c r="C50" i="8"/>
  <c r="C75" i="31"/>
  <c r="C76" i="31"/>
  <c r="C58" i="8" s="1"/>
  <c r="X338" i="8"/>
  <c r="C85" i="4"/>
  <c r="C82" i="4"/>
  <c r="C44" i="35"/>
  <c r="C46" i="35"/>
  <c r="K76" i="8" l="1"/>
  <c r="W76" i="8" s="1"/>
  <c r="I76" i="8"/>
  <c r="K58" i="8"/>
  <c r="W58" i="8" s="1"/>
  <c r="I58" i="8"/>
  <c r="I50" i="8"/>
  <c r="K50" i="8"/>
  <c r="W50" i="8" s="1"/>
  <c r="K66" i="8"/>
  <c r="W66" i="8" s="1"/>
  <c r="I66" i="8"/>
  <c r="C12" i="35"/>
  <c r="C11" i="29" s="1"/>
  <c r="C88" i="4"/>
  <c r="C83" i="29" s="1"/>
  <c r="W57" i="8"/>
  <c r="X57" i="8" s="1"/>
  <c r="X75" i="8"/>
  <c r="J76" i="8"/>
  <c r="X65" i="8"/>
  <c r="J57" i="8"/>
  <c r="J66" i="8"/>
  <c r="J58" i="8"/>
  <c r="C25" i="35"/>
  <c r="C56" i="11" s="1"/>
  <c r="C24" i="35"/>
  <c r="C55" i="11" s="1"/>
  <c r="G320" i="8"/>
  <c r="C23" i="35"/>
  <c r="C54" i="11" s="1"/>
  <c r="C22" i="35"/>
  <c r="C53" i="11" s="1"/>
  <c r="X49" i="8"/>
  <c r="J50" i="8"/>
  <c r="G304" i="8"/>
  <c r="E331" i="8"/>
  <c r="J331" i="8" s="1"/>
  <c r="X331" i="8" s="1"/>
  <c r="G331" i="8"/>
  <c r="C36" i="35"/>
  <c r="C321" i="8"/>
  <c r="G306" i="8"/>
  <c r="D243" i="14"/>
  <c r="C243" i="14" s="1"/>
  <c r="C12" i="29"/>
  <c r="C320" i="8"/>
  <c r="C8" i="35"/>
  <c r="C59" i="35" s="1"/>
  <c r="C72" i="11"/>
  <c r="E318" i="8"/>
  <c r="C60" i="35"/>
  <c r="E321" i="8"/>
  <c r="E320" i="8"/>
  <c r="E305" i="8"/>
  <c r="C306" i="8"/>
  <c r="C305" i="8"/>
  <c r="E304" i="8"/>
  <c r="C61" i="29"/>
  <c r="C84" i="4"/>
  <c r="C52" i="11" s="1"/>
  <c r="D231" i="14"/>
  <c r="C231" i="14" s="1"/>
  <c r="C49" i="35"/>
  <c r="G305" i="8"/>
  <c r="C65" i="29"/>
  <c r="C319" i="8"/>
  <c r="D244" i="14"/>
  <c r="C244" i="14" s="1"/>
  <c r="C318" i="8"/>
  <c r="D245" i="14"/>
  <c r="C245" i="14" s="1"/>
  <c r="E319" i="8"/>
  <c r="G321" i="8"/>
  <c r="C62" i="29"/>
  <c r="G319" i="8"/>
  <c r="G318" i="8"/>
  <c r="D230" i="14"/>
  <c r="C230" i="14" s="1"/>
  <c r="C304" i="8"/>
  <c r="C7" i="35"/>
  <c r="C48" i="35" s="1"/>
  <c r="C307" i="8"/>
  <c r="D232" i="14"/>
  <c r="C232" i="14" s="1"/>
  <c r="C71" i="11"/>
  <c r="C29" i="35"/>
  <c r="G307" i="8"/>
  <c r="E306" i="8"/>
  <c r="E307" i="8"/>
  <c r="K304" i="8" l="1"/>
  <c r="W304" i="8" s="1"/>
  <c r="I304" i="8"/>
  <c r="J304" i="8" s="1"/>
  <c r="K318" i="8"/>
  <c r="W318" i="8" s="1"/>
  <c r="I318" i="8"/>
  <c r="J318" i="8" s="1"/>
  <c r="K321" i="8"/>
  <c r="W321" i="8" s="1"/>
  <c r="I321" i="8"/>
  <c r="I319" i="8"/>
  <c r="K319" i="8"/>
  <c r="W319" i="8" s="1"/>
  <c r="I306" i="8"/>
  <c r="K306" i="8"/>
  <c r="W306" i="8" s="1"/>
  <c r="K320" i="8"/>
  <c r="W320" i="8" s="1"/>
  <c r="Y320" i="8" s="1"/>
  <c r="I320" i="8"/>
  <c r="K305" i="8"/>
  <c r="W305" i="8" s="1"/>
  <c r="Y305" i="8" s="1"/>
  <c r="I305" i="8"/>
  <c r="K307" i="8"/>
  <c r="W307" i="8" s="1"/>
  <c r="Y307" i="8" s="1"/>
  <c r="I307" i="8"/>
  <c r="X76" i="8"/>
  <c r="X66" i="8"/>
  <c r="X58" i="8"/>
  <c r="X50" i="8"/>
  <c r="C10" i="29"/>
  <c r="C13" i="29" s="1"/>
  <c r="C35" i="35"/>
  <c r="C57" i="11"/>
  <c r="G398" i="8" s="1"/>
  <c r="C398" i="8"/>
  <c r="H398" i="8" s="1"/>
  <c r="C40" i="11"/>
  <c r="C45" i="11" s="1"/>
  <c r="C47" i="11" s="1"/>
  <c r="C15" i="35"/>
  <c r="C19" i="35"/>
  <c r="C67" i="29"/>
  <c r="C70" i="29" s="1"/>
  <c r="C86" i="4"/>
  <c r="C31" i="29"/>
  <c r="C47" i="29" s="1"/>
  <c r="C28" i="35"/>
  <c r="C64" i="29"/>
  <c r="C18" i="35"/>
  <c r="C30" i="35" s="1"/>
  <c r="C14" i="35"/>
  <c r="C72" i="29" l="1"/>
  <c r="C71" i="29"/>
  <c r="C22" i="4"/>
  <c r="C21" i="4"/>
  <c r="C95" i="8" s="1"/>
  <c r="C142" i="32"/>
  <c r="C118" i="8" s="1"/>
  <c r="C20" i="4"/>
  <c r="C106" i="8" s="1"/>
  <c r="C125" i="8"/>
  <c r="C124" i="8"/>
  <c r="C391" i="8"/>
  <c r="G391" i="8" s="1"/>
  <c r="C73" i="11"/>
  <c r="C412" i="8" s="1"/>
  <c r="C16" i="35"/>
  <c r="C413" i="8" s="1"/>
  <c r="G413" i="8" s="1"/>
  <c r="Y306" i="8"/>
  <c r="X306" i="8"/>
  <c r="Y321" i="8"/>
  <c r="C358" i="8"/>
  <c r="C452" i="8" s="1"/>
  <c r="C350" i="8"/>
  <c r="E398" i="8"/>
  <c r="C48" i="11"/>
  <c r="C389" i="8" s="1"/>
  <c r="G389" i="8" s="1"/>
  <c r="C49" i="11"/>
  <c r="C390" i="8" s="1"/>
  <c r="G390" i="8" s="1"/>
  <c r="C77" i="25"/>
  <c r="C78" i="25" s="1"/>
  <c r="X320" i="8"/>
  <c r="D350" i="8"/>
  <c r="C31" i="35"/>
  <c r="G80" i="35" s="1"/>
  <c r="K80" i="35" s="1"/>
  <c r="C35" i="29"/>
  <c r="C61" i="35"/>
  <c r="C62" i="35" s="1"/>
  <c r="C63" i="35" s="1"/>
  <c r="C37" i="35"/>
  <c r="C38" i="35" s="1"/>
  <c r="G91" i="35" s="1"/>
  <c r="K91" i="35" s="1"/>
  <c r="Y319" i="8"/>
  <c r="C34" i="29"/>
  <c r="C50" i="35"/>
  <c r="C51" i="35" s="1"/>
  <c r="C52" i="35" s="1"/>
  <c r="Y304" i="8"/>
  <c r="X304" i="8"/>
  <c r="X318" i="8"/>
  <c r="Y318" i="8"/>
  <c r="C43" i="29" l="1"/>
  <c r="C39" i="29"/>
  <c r="C42" i="29"/>
  <c r="C44" i="29"/>
  <c r="C40" i="29"/>
  <c r="C38" i="29"/>
  <c r="C41" i="29"/>
  <c r="I125" i="8"/>
  <c r="J125" i="8" s="1"/>
  <c r="G125" i="8"/>
  <c r="K125" i="8"/>
  <c r="W125" i="8" s="1"/>
  <c r="K124" i="8"/>
  <c r="W124" i="8" s="1"/>
  <c r="X124" i="8" s="1"/>
  <c r="I124" i="8"/>
  <c r="J124" i="8" s="1"/>
  <c r="G124" i="8"/>
  <c r="G86" i="8"/>
  <c r="K85" i="8"/>
  <c r="W85" i="8" s="1"/>
  <c r="X85" i="8" s="1"/>
  <c r="G85" i="8"/>
  <c r="K88" i="8"/>
  <c r="W88" i="8" s="1"/>
  <c r="X88" i="8" s="1"/>
  <c r="G88" i="8"/>
  <c r="K87" i="8"/>
  <c r="W87" i="8" s="1"/>
  <c r="G87" i="8"/>
  <c r="K86" i="8"/>
  <c r="W86" i="8" s="1"/>
  <c r="I87" i="8"/>
  <c r="I88" i="8"/>
  <c r="I85" i="8"/>
  <c r="I86" i="8"/>
  <c r="W111" i="8"/>
  <c r="X111" i="8" s="1"/>
  <c r="W112" i="8"/>
  <c r="W113" i="8"/>
  <c r="W90" i="8"/>
  <c r="X90" i="8" s="1"/>
  <c r="W91" i="8"/>
  <c r="W92" i="8"/>
  <c r="X92" i="8" s="1"/>
  <c r="H124" i="8"/>
  <c r="E124" i="8"/>
  <c r="F124" i="8"/>
  <c r="E125" i="8"/>
  <c r="H125" i="8"/>
  <c r="F125" i="8"/>
  <c r="C20" i="25"/>
  <c r="C30" i="25"/>
  <c r="C21" i="25"/>
  <c r="C31" i="25"/>
  <c r="G412" i="8"/>
  <c r="C55" i="35"/>
  <c r="G99" i="35" s="1"/>
  <c r="K99" i="35" s="1"/>
  <c r="C66" i="35"/>
  <c r="G104" i="35" s="1"/>
  <c r="K104" i="35" s="1"/>
  <c r="C111" i="8"/>
  <c r="H85" i="8"/>
  <c r="C65" i="35"/>
  <c r="C67" i="35" s="1"/>
  <c r="C68" i="35" s="1"/>
  <c r="C54" i="35"/>
  <c r="C56" i="35" s="1"/>
  <c r="C57" i="35" s="1"/>
  <c r="F113" i="8"/>
  <c r="C32" i="25"/>
  <c r="F111" i="8"/>
  <c r="C113" i="8"/>
  <c r="H111" i="8"/>
  <c r="H112" i="8"/>
  <c r="H113" i="8"/>
  <c r="C22" i="25"/>
  <c r="C127" i="8"/>
  <c r="C130" i="8"/>
  <c r="C128" i="8"/>
  <c r="C129" i="8"/>
  <c r="E113" i="8"/>
  <c r="F112" i="8"/>
  <c r="E111" i="8"/>
  <c r="E112" i="8"/>
  <c r="C112" i="8"/>
  <c r="C87" i="8"/>
  <c r="H88" i="8"/>
  <c r="C88" i="8"/>
  <c r="F87" i="8"/>
  <c r="E85" i="8"/>
  <c r="C85" i="8"/>
  <c r="H86" i="8"/>
  <c r="F86" i="8"/>
  <c r="F88" i="8"/>
  <c r="E88" i="8"/>
  <c r="C86" i="8"/>
  <c r="H87" i="8"/>
  <c r="E87" i="8"/>
  <c r="F85" i="8"/>
  <c r="E86" i="8"/>
  <c r="G85" i="35"/>
  <c r="K85" i="35" s="1"/>
  <c r="C300" i="8"/>
  <c r="J300" i="8" s="1"/>
  <c r="X300" i="8" s="1"/>
  <c r="C295" i="8"/>
  <c r="J295" i="8" s="1"/>
  <c r="X295" i="8" s="1"/>
  <c r="C299" i="8"/>
  <c r="J299" i="8" s="1"/>
  <c r="X299" i="8" s="1"/>
  <c r="C301" i="8"/>
  <c r="J301" i="8" s="1"/>
  <c r="G94" i="35"/>
  <c r="K94" i="35" s="1"/>
  <c r="G89" i="35"/>
  <c r="K89" i="35" s="1"/>
  <c r="G93" i="35"/>
  <c r="K93" i="35" s="1"/>
  <c r="C94" i="8"/>
  <c r="C97" i="8"/>
  <c r="C39" i="35"/>
  <c r="G92" i="35"/>
  <c r="K92" i="35" s="1"/>
  <c r="G83" i="35"/>
  <c r="K83" i="35" s="1"/>
  <c r="C32" i="35"/>
  <c r="C109" i="8"/>
  <c r="G82" i="35"/>
  <c r="K82" i="35" s="1"/>
  <c r="G84" i="35"/>
  <c r="K84" i="35" s="1"/>
  <c r="C98" i="8"/>
  <c r="C96" i="8"/>
  <c r="H90" i="8"/>
  <c r="C90" i="8"/>
  <c r="C91" i="8"/>
  <c r="H91" i="8"/>
  <c r="E90" i="8"/>
  <c r="F90" i="8"/>
  <c r="E91" i="8"/>
  <c r="F91" i="8"/>
  <c r="F92" i="8"/>
  <c r="C92" i="8"/>
  <c r="E92" i="8"/>
  <c r="H92" i="8"/>
  <c r="C108" i="8"/>
  <c r="C117" i="8"/>
  <c r="C105" i="8"/>
  <c r="C107" i="8"/>
  <c r="C116" i="8"/>
  <c r="C115" i="8"/>
  <c r="Y340" i="8"/>
  <c r="C296" i="8"/>
  <c r="J296" i="8" s="1"/>
  <c r="X296" i="8" s="1"/>
  <c r="C40" i="35" l="1"/>
  <c r="C76" i="35"/>
  <c r="C33" i="35"/>
  <c r="C75" i="35"/>
  <c r="K145" i="8"/>
  <c r="W145" i="8" s="1"/>
  <c r="I145" i="8"/>
  <c r="G145" i="8"/>
  <c r="K144" i="8"/>
  <c r="W144" i="8" s="1"/>
  <c r="I144" i="8"/>
  <c r="G144" i="8"/>
  <c r="K140" i="8"/>
  <c r="W140" i="8" s="1"/>
  <c r="X140" i="8" s="1"/>
  <c r="I140" i="8"/>
  <c r="G140" i="8"/>
  <c r="K139" i="8"/>
  <c r="W139" i="8" s="1"/>
  <c r="I139" i="8"/>
  <c r="G139" i="8"/>
  <c r="G138" i="8"/>
  <c r="K137" i="8"/>
  <c r="W137" i="8" s="1"/>
  <c r="G137" i="8"/>
  <c r="K136" i="8"/>
  <c r="W136" i="8" s="1"/>
  <c r="G136" i="8"/>
  <c r="K138" i="8"/>
  <c r="W138" i="8" s="1"/>
  <c r="X138" i="8" s="1"/>
  <c r="I138" i="8"/>
  <c r="I137" i="8"/>
  <c r="I136" i="8"/>
  <c r="G129" i="8"/>
  <c r="K129" i="8"/>
  <c r="W129" i="8" s="1"/>
  <c r="X129" i="8" s="1"/>
  <c r="I129" i="8"/>
  <c r="K161" i="8"/>
  <c r="W161" i="8" s="1"/>
  <c r="X161" i="8" s="1"/>
  <c r="I161" i="8"/>
  <c r="K160" i="8"/>
  <c r="W160" i="8" s="1"/>
  <c r="I160" i="8"/>
  <c r="K162" i="8"/>
  <c r="W162" i="8" s="1"/>
  <c r="X162" i="8" s="1"/>
  <c r="I162" i="8"/>
  <c r="K128" i="8"/>
  <c r="W128" i="8" s="1"/>
  <c r="I128" i="8"/>
  <c r="G128" i="8"/>
  <c r="K130" i="8"/>
  <c r="W130" i="8" s="1"/>
  <c r="X130" i="8" s="1"/>
  <c r="I130" i="8"/>
  <c r="G130" i="8"/>
  <c r="K169" i="8"/>
  <c r="W169" i="8" s="1"/>
  <c r="X169" i="8" s="1"/>
  <c r="I169" i="8"/>
  <c r="G169" i="8"/>
  <c r="K168" i="8"/>
  <c r="W168" i="8" s="1"/>
  <c r="I168" i="8"/>
  <c r="G168" i="8"/>
  <c r="K127" i="8"/>
  <c r="W127" i="8" s="1"/>
  <c r="X127" i="8" s="1"/>
  <c r="I127" i="8"/>
  <c r="G127" i="8"/>
  <c r="K164" i="8"/>
  <c r="W164" i="8" s="1"/>
  <c r="X164" i="8" s="1"/>
  <c r="I164" i="8"/>
  <c r="K163" i="8"/>
  <c r="W163" i="8" s="1"/>
  <c r="I163" i="8"/>
  <c r="X125" i="8"/>
  <c r="C26" i="25"/>
  <c r="F169" i="8"/>
  <c r="H169" i="8"/>
  <c r="F160" i="8"/>
  <c r="F145" i="8"/>
  <c r="X301" i="8"/>
  <c r="E169" i="8"/>
  <c r="H145" i="8"/>
  <c r="E168" i="8"/>
  <c r="C168" i="8"/>
  <c r="C169" i="8"/>
  <c r="F168" i="8"/>
  <c r="H168" i="8"/>
  <c r="E144" i="8"/>
  <c r="H144" i="8"/>
  <c r="C145" i="8"/>
  <c r="F144" i="8"/>
  <c r="E145" i="8"/>
  <c r="C144" i="8"/>
  <c r="E127" i="8"/>
  <c r="F127" i="8"/>
  <c r="H127" i="8"/>
  <c r="H130" i="8"/>
  <c r="F130" i="8"/>
  <c r="E130" i="8"/>
  <c r="E128" i="8"/>
  <c r="F128" i="8"/>
  <c r="H128" i="8"/>
  <c r="E129" i="8"/>
  <c r="H129" i="8"/>
  <c r="F129" i="8"/>
  <c r="H161" i="8"/>
  <c r="H160" i="8"/>
  <c r="E162" i="8"/>
  <c r="E160" i="8"/>
  <c r="F161" i="8"/>
  <c r="F162" i="8"/>
  <c r="C162" i="8"/>
  <c r="C161" i="8"/>
  <c r="H162" i="8"/>
  <c r="E161" i="8"/>
  <c r="C160" i="8"/>
  <c r="C136" i="8"/>
  <c r="F136" i="8"/>
  <c r="E138" i="8"/>
  <c r="F137" i="8"/>
  <c r="H138" i="8"/>
  <c r="C137" i="8"/>
  <c r="H137" i="8"/>
  <c r="E137" i="8"/>
  <c r="E136" i="8"/>
  <c r="H136" i="8"/>
  <c r="F138" i="8"/>
  <c r="C138" i="8"/>
  <c r="C45" i="29"/>
  <c r="C360" i="8" s="1"/>
  <c r="C454" i="8" s="1"/>
  <c r="H164" i="8"/>
  <c r="C163" i="8"/>
  <c r="H163" i="8"/>
  <c r="E163" i="8"/>
  <c r="C164" i="8"/>
  <c r="E164" i="8"/>
  <c r="F164" i="8"/>
  <c r="F163" i="8"/>
  <c r="H139" i="8"/>
  <c r="F140" i="8"/>
  <c r="F139" i="8"/>
  <c r="C139" i="8"/>
  <c r="C140" i="8"/>
  <c r="E139" i="8"/>
  <c r="H140" i="8"/>
  <c r="E140" i="8"/>
  <c r="C66" i="25" l="1"/>
  <c r="C64" i="25"/>
  <c r="C67" i="25"/>
  <c r="C65" i="25"/>
  <c r="J169" i="8"/>
  <c r="J162" i="8"/>
  <c r="J168" i="8"/>
  <c r="X168" i="8" s="1"/>
  <c r="J156" i="8" l="1"/>
  <c r="X156" i="8" s="1"/>
  <c r="C81" i="30" l="1"/>
  <c r="C82" i="30" s="1"/>
  <c r="C19" i="3"/>
  <c r="C83" i="30" s="1"/>
  <c r="J56" i="8"/>
  <c r="X56" i="8" s="1"/>
  <c r="J163" i="8"/>
  <c r="X163" i="8" s="1"/>
  <c r="J160" i="8"/>
  <c r="X160" i="8" s="1"/>
  <c r="J55" i="8"/>
  <c r="X55" i="8" s="1"/>
  <c r="J195" i="8"/>
  <c r="J130" i="8"/>
  <c r="J194" i="8"/>
  <c r="J188" i="8"/>
  <c r="X188" i="8" s="1"/>
  <c r="J144" i="8"/>
  <c r="X144" i="8" s="1"/>
  <c r="J139" i="8"/>
  <c r="X139" i="8" s="1"/>
  <c r="J146" i="8"/>
  <c r="X146" i="8" s="1"/>
  <c r="J152" i="8"/>
  <c r="J148" i="8"/>
  <c r="J171" i="8"/>
  <c r="J164" i="8"/>
  <c r="J161" i="8"/>
  <c r="J240" i="8"/>
  <c r="X240" i="8" s="1"/>
  <c r="G90" i="35"/>
  <c r="K90" i="35" s="1"/>
  <c r="J180" i="8" l="1"/>
  <c r="J179" i="8"/>
  <c r="X179" i="8" s="1"/>
  <c r="J136" i="8"/>
  <c r="X136" i="8" s="1"/>
  <c r="J109" i="8"/>
  <c r="J94" i="8"/>
  <c r="J154" i="8"/>
  <c r="X154" i="8" s="1"/>
  <c r="J118" i="8"/>
  <c r="J157" i="8"/>
  <c r="X157" i="8" s="1"/>
  <c r="J138" i="8"/>
  <c r="J135" i="8"/>
  <c r="J133" i="8"/>
  <c r="X133" i="8" s="1"/>
  <c r="J190" i="8"/>
  <c r="X190" i="8" s="1"/>
  <c r="J155" i="8"/>
  <c r="X155" i="8" s="1"/>
  <c r="J183" i="8"/>
  <c r="X183" i="8" s="1"/>
  <c r="J158" i="8"/>
  <c r="X158" i="8" s="1"/>
  <c r="J88" i="8"/>
  <c r="J182" i="8"/>
  <c r="X182" i="8" s="1"/>
  <c r="J98" i="8"/>
  <c r="J191" i="8"/>
  <c r="J150" i="8"/>
  <c r="X150" i="8" s="1"/>
  <c r="J52" i="8"/>
  <c r="X52" i="8" s="1"/>
  <c r="J140" i="8"/>
  <c r="J201" i="8"/>
  <c r="J145" i="8"/>
  <c r="X145" i="8" s="1"/>
  <c r="J151" i="8"/>
  <c r="J147" i="8"/>
  <c r="J46" i="8"/>
  <c r="X46" i="8" s="1"/>
  <c r="J128" i="8"/>
  <c r="X128" i="8" s="1"/>
  <c r="J91" i="8"/>
  <c r="X91" i="8" s="1"/>
  <c r="J112" i="8"/>
  <c r="X112" i="8" s="1"/>
  <c r="J63" i="8"/>
  <c r="X63" i="8" s="1"/>
  <c r="J64" i="8"/>
  <c r="X64" i="8" s="1"/>
  <c r="J60" i="8"/>
  <c r="X60" i="8" s="1"/>
  <c r="J170" i="8"/>
  <c r="X170" i="8" s="1"/>
  <c r="L90" i="35"/>
  <c r="B131" i="35"/>
  <c r="G53" i="1"/>
  <c r="C53" i="1" s="1"/>
  <c r="J127" i="8"/>
  <c r="C85" i="30"/>
  <c r="C86" i="30" s="1"/>
  <c r="C13" i="30" s="1"/>
  <c r="C20" i="30" s="1"/>
  <c r="G54" i="1"/>
  <c r="C54" i="1" s="1"/>
  <c r="C99" i="30"/>
  <c r="C100" i="30" s="1"/>
  <c r="C25" i="30" s="1"/>
  <c r="C14" i="30"/>
  <c r="C18" i="30" s="1"/>
  <c r="C114" i="30"/>
  <c r="C116" i="30" s="1"/>
  <c r="J80" i="8"/>
  <c r="J228" i="8"/>
  <c r="X228" i="8" s="1"/>
  <c r="J193" i="8"/>
  <c r="X193" i="8" s="1"/>
  <c r="J219" i="8"/>
  <c r="X219" i="8" s="1"/>
  <c r="J47" i="8"/>
  <c r="X47" i="8" s="1"/>
  <c r="J79" i="8"/>
  <c r="J69" i="8"/>
  <c r="J227" i="8"/>
  <c r="J220" i="8"/>
  <c r="X220" i="8" s="1"/>
  <c r="J187" i="8"/>
  <c r="X187" i="8" s="1"/>
  <c r="J216" i="8"/>
  <c r="X216" i="8" s="1"/>
  <c r="J111" i="8"/>
  <c r="J70" i="8"/>
  <c r="X70" i="8" s="1"/>
  <c r="J71" i="8"/>
  <c r="X71" i="8" s="1"/>
  <c r="J90" i="8"/>
  <c r="J105" i="8"/>
  <c r="J92" i="8"/>
  <c r="C24" i="30"/>
  <c r="J113" i="8"/>
  <c r="X113" i="8" s="1"/>
  <c r="C73" i="35"/>
  <c r="C72" i="35"/>
  <c r="C315" i="8" s="1"/>
  <c r="G81" i="35"/>
  <c r="K81" i="35" s="1"/>
  <c r="J204" i="8"/>
  <c r="C172" i="32" s="1"/>
  <c r="J129" i="8"/>
  <c r="K315" i="8" l="1"/>
  <c r="W315" i="8" s="1"/>
  <c r="G315" i="8"/>
  <c r="D254" i="14"/>
  <c r="D253" i="14"/>
  <c r="C253" i="14" s="1"/>
  <c r="D104" i="35" s="1"/>
  <c r="D251" i="14"/>
  <c r="C251" i="14" s="1"/>
  <c r="D94" i="35" s="1"/>
  <c r="D250" i="14"/>
  <c r="C250" i="14" s="1"/>
  <c r="D93" i="35" s="1"/>
  <c r="D249" i="14"/>
  <c r="C249" i="14" s="1"/>
  <c r="D92" i="35" s="1"/>
  <c r="D248" i="14"/>
  <c r="C248" i="14" s="1"/>
  <c r="D91" i="35" s="1"/>
  <c r="D247" i="14"/>
  <c r="C247" i="14" s="1"/>
  <c r="D89" i="35" s="1"/>
  <c r="J197" i="8"/>
  <c r="C8" i="11" s="1"/>
  <c r="G393" i="8" s="1"/>
  <c r="J320" i="8"/>
  <c r="J319" i="8"/>
  <c r="X319" i="8" s="1"/>
  <c r="J321" i="8"/>
  <c r="X321" i="8" s="1"/>
  <c r="J178" i="8"/>
  <c r="X178" i="8" s="1"/>
  <c r="J305" i="8"/>
  <c r="X305" i="8" s="1"/>
  <c r="J307" i="8"/>
  <c r="X307" i="8" s="1"/>
  <c r="J44" i="8"/>
  <c r="X44" i="8" s="1"/>
  <c r="J198" i="8"/>
  <c r="X198" i="8" s="1"/>
  <c r="J43" i="8"/>
  <c r="X43" i="8" s="1"/>
  <c r="J306" i="8"/>
  <c r="J42" i="8"/>
  <c r="X42" i="8" s="1"/>
  <c r="J108" i="8"/>
  <c r="X108" i="8" s="1"/>
  <c r="J257" i="8"/>
  <c r="J189" i="8"/>
  <c r="X189" i="8" s="1"/>
  <c r="J106" i="8"/>
  <c r="J86" i="8"/>
  <c r="X86" i="8" s="1"/>
  <c r="J85" i="8"/>
  <c r="J116" i="8"/>
  <c r="X116" i="8" s="1"/>
  <c r="J137" i="8"/>
  <c r="X137" i="8" s="1"/>
  <c r="J35" i="8"/>
  <c r="J34" i="8"/>
  <c r="X34" i="8" s="1"/>
  <c r="J107" i="8"/>
  <c r="X107" i="8" s="1"/>
  <c r="J117" i="8"/>
  <c r="X117" i="8" s="1"/>
  <c r="J264" i="8"/>
  <c r="X264" i="8" s="1"/>
  <c r="J258" i="8"/>
  <c r="X258" i="8" s="1"/>
  <c r="J247" i="8"/>
  <c r="X247" i="8" s="1"/>
  <c r="J82" i="8"/>
  <c r="X82" i="8" s="1"/>
  <c r="J260" i="8"/>
  <c r="X260" i="8" s="1"/>
  <c r="J37" i="8"/>
  <c r="X37" i="8" s="1"/>
  <c r="J262" i="8"/>
  <c r="J115" i="8"/>
  <c r="J263" i="8"/>
  <c r="X263" i="8" s="1"/>
  <c r="J96" i="8"/>
  <c r="X96" i="8" s="1"/>
  <c r="J250" i="8"/>
  <c r="X250" i="8" s="1"/>
  <c r="J259" i="8"/>
  <c r="X259" i="8" s="1"/>
  <c r="J248" i="8"/>
  <c r="X248" i="8" s="1"/>
  <c r="J134" i="8"/>
  <c r="X134" i="8" s="1"/>
  <c r="J87" i="8"/>
  <c r="X87" i="8" s="1"/>
  <c r="J249" i="8"/>
  <c r="X249" i="8" s="1"/>
  <c r="J97" i="8"/>
  <c r="X97" i="8" s="1"/>
  <c r="J36" i="8"/>
  <c r="X36" i="8" s="1"/>
  <c r="J95" i="8"/>
  <c r="J181" i="8"/>
  <c r="X181" i="8" s="1"/>
  <c r="J265" i="8"/>
  <c r="X265" i="8" s="1"/>
  <c r="F469" i="8"/>
  <c r="C17" i="1"/>
  <c r="F16" i="1" s="1"/>
  <c r="J209" i="8"/>
  <c r="J212" i="8"/>
  <c r="J211" i="8"/>
  <c r="X211" i="8" s="1"/>
  <c r="J78" i="8"/>
  <c r="X78" i="8" s="1"/>
  <c r="J210" i="8"/>
  <c r="C329" i="8"/>
  <c r="B104" i="35"/>
  <c r="C316" i="8"/>
  <c r="K316" i="8" s="1"/>
  <c r="J48" i="8"/>
  <c r="G469" i="8"/>
  <c r="J200" i="8"/>
  <c r="X200" i="8" s="1"/>
  <c r="J53" i="8"/>
  <c r="X53" i="8" s="1"/>
  <c r="J54" i="8"/>
  <c r="X54" i="8" s="1"/>
  <c r="J62" i="8"/>
  <c r="X62" i="8" s="1"/>
  <c r="J61" i="8"/>
  <c r="J203" i="8"/>
  <c r="J202" i="8"/>
  <c r="X202" i="8" s="1"/>
  <c r="G394" i="8"/>
  <c r="H394" i="8" s="1"/>
  <c r="E50" i="30"/>
  <c r="L81" i="35"/>
  <c r="B117" i="35"/>
  <c r="F315" i="8"/>
  <c r="D315" i="8"/>
  <c r="H315" i="8"/>
  <c r="E315" i="8"/>
  <c r="C19" i="30"/>
  <c r="C21" i="30" s="1"/>
  <c r="C47" i="30" s="1"/>
  <c r="N70" i="10" s="1"/>
  <c r="H16" i="1"/>
  <c r="G395" i="8"/>
  <c r="X204" i="8"/>
  <c r="B82" i="35"/>
  <c r="D234" i="14"/>
  <c r="B84" i="35"/>
  <c r="B80" i="35"/>
  <c r="D237" i="14"/>
  <c r="D240" i="14"/>
  <c r="D238" i="14"/>
  <c r="D241" i="14"/>
  <c r="D236" i="14"/>
  <c r="B100" i="35"/>
  <c r="C100" i="35" s="1"/>
  <c r="E100" i="35" s="1"/>
  <c r="B83" i="35"/>
  <c r="B85" i="35"/>
  <c r="D235" i="14"/>
  <c r="B99" i="35"/>
  <c r="C26" i="30"/>
  <c r="C330" i="8"/>
  <c r="K330" i="8" s="1"/>
  <c r="B105" i="35"/>
  <c r="C105" i="35" s="1"/>
  <c r="B92" i="35"/>
  <c r="B91" i="35"/>
  <c r="B89" i="35"/>
  <c r="B94" i="35"/>
  <c r="B93" i="35"/>
  <c r="E93" i="35" l="1"/>
  <c r="F93" i="35" s="1"/>
  <c r="L93" i="35" s="1"/>
  <c r="B129" i="35" s="1"/>
  <c r="C93" i="35"/>
  <c r="E94" i="35"/>
  <c r="F94" i="35" s="1"/>
  <c r="L94" i="35" s="1"/>
  <c r="B130" i="35" s="1"/>
  <c r="C94" i="35"/>
  <c r="E80" i="35"/>
  <c r="C80" i="35"/>
  <c r="E104" i="35"/>
  <c r="F104" i="35" s="1"/>
  <c r="L104" i="35" s="1"/>
  <c r="C104" i="35"/>
  <c r="E105" i="35"/>
  <c r="C82" i="35"/>
  <c r="E82" i="35"/>
  <c r="C85" i="35"/>
  <c r="E85" i="35"/>
  <c r="C91" i="35"/>
  <c r="E91" i="35"/>
  <c r="F91" i="35" s="1"/>
  <c r="L91" i="35" s="1"/>
  <c r="B127" i="35" s="1"/>
  <c r="E83" i="35"/>
  <c r="C83" i="35"/>
  <c r="E84" i="35"/>
  <c r="C84" i="35"/>
  <c r="C92" i="35"/>
  <c r="E92" i="35"/>
  <c r="F92" i="35" s="1"/>
  <c r="L92" i="35" s="1"/>
  <c r="B128" i="35" s="1"/>
  <c r="E99" i="35"/>
  <c r="C99" i="35"/>
  <c r="C74" i="30"/>
  <c r="C76" i="30" s="1"/>
  <c r="C73" i="30"/>
  <c r="E89" i="35"/>
  <c r="F89" i="35" s="1"/>
  <c r="L89" i="35" s="1"/>
  <c r="B126" i="35" s="1"/>
  <c r="C89" i="35"/>
  <c r="K329" i="8"/>
  <c r="W329" i="8" s="1"/>
  <c r="I329" i="8"/>
  <c r="J329" i="8" s="1"/>
  <c r="G329" i="8"/>
  <c r="G330" i="8"/>
  <c r="G316" i="8"/>
  <c r="I316" i="8"/>
  <c r="E254" i="14"/>
  <c r="C236" i="14"/>
  <c r="D83" i="35" s="1"/>
  <c r="C234" i="14"/>
  <c r="D80" i="35" s="1"/>
  <c r="E241" i="14"/>
  <c r="C237" i="14"/>
  <c r="D84" i="35" s="1"/>
  <c r="C238" i="14"/>
  <c r="D85" i="35" s="1"/>
  <c r="C240" i="14"/>
  <c r="C235" i="14"/>
  <c r="D82" i="35" s="1"/>
  <c r="X197" i="8"/>
  <c r="C74" i="29"/>
  <c r="C75" i="29" s="1"/>
  <c r="C359" i="8" s="1"/>
  <c r="C453" i="8" s="1"/>
  <c r="H393" i="8"/>
  <c r="F316" i="8"/>
  <c r="W316" i="8"/>
  <c r="E329" i="8"/>
  <c r="D329" i="8"/>
  <c r="H329" i="8"/>
  <c r="F329" i="8"/>
  <c r="E316" i="8"/>
  <c r="H316" i="8"/>
  <c r="D316" i="8"/>
  <c r="E19" i="8"/>
  <c r="D20" i="1"/>
  <c r="C51" i="30"/>
  <c r="C52" i="30" s="1"/>
  <c r="C53" i="30" s="1"/>
  <c r="E53" i="30" s="1"/>
  <c r="C54" i="30" s="1"/>
  <c r="G100" i="35"/>
  <c r="K100" i="35" s="1"/>
  <c r="F330" i="8"/>
  <c r="E330" i="8"/>
  <c r="D330" i="8"/>
  <c r="H330" i="8"/>
  <c r="G105" i="35"/>
  <c r="K105" i="35" s="1"/>
  <c r="C31" i="30"/>
  <c r="C32" i="30"/>
  <c r="C27" i="30"/>
  <c r="H395" i="8"/>
  <c r="D99" i="35" l="1"/>
  <c r="F99" i="35" s="1"/>
  <c r="L99" i="35" s="1"/>
  <c r="D112" i="35" s="1"/>
  <c r="I315" i="8"/>
  <c r="J315" i="8" s="1"/>
  <c r="X315" i="8" s="1"/>
  <c r="N254" i="14"/>
  <c r="F254" i="14"/>
  <c r="M254" i="14"/>
  <c r="K254" i="14"/>
  <c r="L254" i="14"/>
  <c r="J254" i="14"/>
  <c r="Q254" i="14"/>
  <c r="O254" i="14"/>
  <c r="I254" i="14"/>
  <c r="H254" i="14"/>
  <c r="P254" i="14"/>
  <c r="G254" i="14"/>
  <c r="N241" i="14"/>
  <c r="F241" i="14"/>
  <c r="K241" i="14"/>
  <c r="M241" i="14"/>
  <c r="J241" i="14"/>
  <c r="L241" i="14"/>
  <c r="Q241" i="14"/>
  <c r="P241" i="14"/>
  <c r="O241" i="14"/>
  <c r="G241" i="14"/>
  <c r="I241" i="14"/>
  <c r="H241" i="14"/>
  <c r="F82" i="35"/>
  <c r="L82" i="35" s="1"/>
  <c r="B113" i="35" s="1"/>
  <c r="F85" i="35"/>
  <c r="L85" i="35" s="1"/>
  <c r="B116" i="35" s="1"/>
  <c r="F80" i="35"/>
  <c r="L80" i="35" s="1"/>
  <c r="B112" i="35" s="1"/>
  <c r="F84" i="35"/>
  <c r="L84" i="35" s="1"/>
  <c r="B115" i="35" s="1"/>
  <c r="F83" i="35"/>
  <c r="L83" i="35" s="1"/>
  <c r="B114" i="35" s="1"/>
  <c r="X329" i="8"/>
  <c r="E54" i="30"/>
  <c r="D127" i="35"/>
  <c r="E127" i="35" s="1"/>
  <c r="D128" i="35"/>
  <c r="E128" i="35" s="1"/>
  <c r="D126" i="35"/>
  <c r="E126" i="35" s="1"/>
  <c r="D129" i="35"/>
  <c r="E129" i="35" s="1"/>
  <c r="D130" i="35"/>
  <c r="E130" i="35" s="1"/>
  <c r="C33" i="30"/>
  <c r="C34" i="30" s="1"/>
  <c r="C38" i="30" s="1"/>
  <c r="W330" i="8"/>
  <c r="C37" i="30"/>
  <c r="C36" i="30"/>
  <c r="D113" i="35" l="1"/>
  <c r="E113" i="35" s="1"/>
  <c r="D114" i="35"/>
  <c r="E114" i="35" s="1"/>
  <c r="D116" i="35"/>
  <c r="E116" i="35" s="1"/>
  <c r="D115" i="35"/>
  <c r="E115" i="35" s="1"/>
  <c r="C254" i="14"/>
  <c r="C241" i="14"/>
  <c r="E112" i="35"/>
  <c r="C57" i="30"/>
  <c r="C59" i="30" s="1"/>
  <c r="E59" i="30" s="1"/>
  <c r="C39" i="30"/>
  <c r="I330" i="8" l="1"/>
  <c r="J330" i="8" s="1"/>
  <c r="X330" i="8" s="1"/>
  <c r="D105" i="35"/>
  <c r="F105" i="35" s="1"/>
  <c r="L105" i="35" s="1"/>
  <c r="D131" i="35" s="1"/>
  <c r="E131" i="35" s="1"/>
  <c r="C133" i="35" s="1"/>
  <c r="C134" i="35" s="1"/>
  <c r="D100" i="35"/>
  <c r="F100" i="35" s="1"/>
  <c r="L100" i="35" s="1"/>
  <c r="D117" i="35" s="1"/>
  <c r="E117" i="35" s="1"/>
  <c r="C119" i="35" s="1"/>
  <c r="C120" i="35" s="1"/>
  <c r="J316" i="8"/>
  <c r="X316" i="8" s="1"/>
  <c r="C60" i="30"/>
  <c r="P70" i="10"/>
  <c r="C103" i="30"/>
  <c r="C105" i="30" s="1"/>
  <c r="C107" i="30"/>
  <c r="C108" i="30" s="1"/>
  <c r="C135" i="35" l="1"/>
  <c r="V329" i="8" s="1"/>
  <c r="C121" i="35"/>
  <c r="T316" i="8" s="1"/>
  <c r="R310" i="8"/>
  <c r="V313" i="8"/>
  <c r="N313" i="8"/>
  <c r="O312" i="8"/>
  <c r="P311" i="8"/>
  <c r="Q310" i="8"/>
  <c r="R309" i="8"/>
  <c r="U312" i="8"/>
  <c r="N311" i="8"/>
  <c r="P309" i="8"/>
  <c r="S312" i="8"/>
  <c r="T311" i="8"/>
  <c r="N309" i="8"/>
  <c r="S310" i="8"/>
  <c r="U313" i="8"/>
  <c r="V312" i="8"/>
  <c r="N312" i="8"/>
  <c r="O311" i="8"/>
  <c r="P310" i="8"/>
  <c r="Q309" i="8"/>
  <c r="T313" i="8"/>
  <c r="V311" i="8"/>
  <c r="O310" i="8"/>
  <c r="U310" i="8"/>
  <c r="P313" i="8"/>
  <c r="T309" i="8"/>
  <c r="Q311" i="8"/>
  <c r="P312" i="8"/>
  <c r="S313" i="8"/>
  <c r="T312" i="8"/>
  <c r="U311" i="8"/>
  <c r="V310" i="8"/>
  <c r="N310" i="8"/>
  <c r="O309" i="8"/>
  <c r="R313" i="8"/>
  <c r="V309" i="8"/>
  <c r="R311" i="8"/>
  <c r="S309" i="8"/>
  <c r="Q313" i="8"/>
  <c r="R312" i="8"/>
  <c r="S311" i="8"/>
  <c r="T310" i="8"/>
  <c r="U309" i="8"/>
  <c r="Q312" i="8"/>
  <c r="O313" i="8"/>
  <c r="O327" i="8"/>
  <c r="P326" i="8"/>
  <c r="Q325" i="8"/>
  <c r="R324" i="8"/>
  <c r="S323" i="8"/>
  <c r="V324" i="8"/>
  <c r="S325" i="8"/>
  <c r="T323" i="8"/>
  <c r="V327" i="8"/>
  <c r="N327" i="8"/>
  <c r="O326" i="8"/>
  <c r="P325" i="8"/>
  <c r="Q324" i="8"/>
  <c r="R323" i="8"/>
  <c r="U327" i="8"/>
  <c r="V326" i="8"/>
  <c r="N326" i="8"/>
  <c r="O325" i="8"/>
  <c r="P324" i="8"/>
  <c r="Q323" i="8"/>
  <c r="T326" i="8"/>
  <c r="N324" i="8"/>
  <c r="T324" i="8"/>
  <c r="Q326" i="8"/>
  <c r="T327" i="8"/>
  <c r="U326" i="8"/>
  <c r="V325" i="8"/>
  <c r="N325" i="8"/>
  <c r="O324" i="8"/>
  <c r="P323" i="8"/>
  <c r="S327" i="8"/>
  <c r="U325" i="8"/>
  <c r="O323" i="8"/>
  <c r="Q327" i="8"/>
  <c r="P327" i="8"/>
  <c r="R325" i="8"/>
  <c r="R327" i="8"/>
  <c r="S326" i="8"/>
  <c r="T325" i="8"/>
  <c r="U324" i="8"/>
  <c r="V323" i="8"/>
  <c r="N323" i="8"/>
  <c r="R326" i="8"/>
  <c r="U323" i="8"/>
  <c r="S324" i="8"/>
  <c r="C79" i="11"/>
  <c r="C421" i="8" s="1"/>
  <c r="G421" i="8" s="1"/>
  <c r="H421" i="8" s="1"/>
  <c r="C326" i="8"/>
  <c r="C323" i="8"/>
  <c r="C17" i="29"/>
  <c r="C18" i="29" s="1"/>
  <c r="C327" i="8"/>
  <c r="C325" i="8"/>
  <c r="B322" i="8"/>
  <c r="B328" i="8"/>
  <c r="C324" i="8"/>
  <c r="C313" i="8"/>
  <c r="C312" i="8"/>
  <c r="C15" i="29"/>
  <c r="C16" i="29" s="1"/>
  <c r="B314" i="8"/>
  <c r="B308" i="8"/>
  <c r="C311" i="8"/>
  <c r="C310" i="8"/>
  <c r="C309" i="8"/>
  <c r="C77" i="11"/>
  <c r="C418" i="8" s="1"/>
  <c r="G418" i="8" s="1"/>
  <c r="H418" i="8" s="1"/>
  <c r="C81" i="11"/>
  <c r="C423" i="8" s="1"/>
  <c r="G423" i="8" s="1"/>
  <c r="H423" i="8" s="1"/>
  <c r="C78" i="11"/>
  <c r="C420" i="8" s="1"/>
  <c r="C82" i="11"/>
  <c r="C419" i="8" s="1"/>
  <c r="G419" i="8" s="1"/>
  <c r="H419" i="8" s="1"/>
  <c r="C80" i="11"/>
  <c r="C422" i="8" s="1"/>
  <c r="E60" i="30"/>
  <c r="K312" i="8" l="1"/>
  <c r="W312" i="8" s="1"/>
  <c r="X312" i="8" s="1"/>
  <c r="I312" i="8"/>
  <c r="J312" i="8" s="1"/>
  <c r="G312" i="8"/>
  <c r="I326" i="8"/>
  <c r="J326" i="8" s="1"/>
  <c r="G326" i="8"/>
  <c r="K326" i="8"/>
  <c r="W326" i="8" s="1"/>
  <c r="X326" i="8" s="1"/>
  <c r="K323" i="8"/>
  <c r="I323" i="8"/>
  <c r="J323" i="8" s="1"/>
  <c r="G323" i="8"/>
  <c r="G313" i="8"/>
  <c r="K313" i="8"/>
  <c r="W313" i="8" s="1"/>
  <c r="X313" i="8" s="1"/>
  <c r="I313" i="8"/>
  <c r="J313" i="8" s="1"/>
  <c r="K309" i="8"/>
  <c r="I309" i="8"/>
  <c r="J309" i="8" s="1"/>
  <c r="G309" i="8"/>
  <c r="K324" i="8"/>
  <c r="W324" i="8" s="1"/>
  <c r="X324" i="8" s="1"/>
  <c r="I324" i="8"/>
  <c r="J324" i="8" s="1"/>
  <c r="G324" i="8"/>
  <c r="I310" i="8"/>
  <c r="J310" i="8" s="1"/>
  <c r="G310" i="8"/>
  <c r="K310" i="8"/>
  <c r="W310" i="8" s="1"/>
  <c r="X310" i="8" s="1"/>
  <c r="K325" i="8"/>
  <c r="W325" i="8" s="1"/>
  <c r="I325" i="8"/>
  <c r="J325" i="8" s="1"/>
  <c r="G325" i="8"/>
  <c r="K311" i="8"/>
  <c r="W311" i="8" s="1"/>
  <c r="I311" i="8"/>
  <c r="J311" i="8" s="1"/>
  <c r="G311" i="8"/>
  <c r="K327" i="8"/>
  <c r="W327" i="8" s="1"/>
  <c r="X327" i="8" s="1"/>
  <c r="I327" i="8"/>
  <c r="J327" i="8" s="1"/>
  <c r="G327" i="8"/>
  <c r="Q330" i="8"/>
  <c r="C23" i="29"/>
  <c r="C24" i="29" s="1"/>
  <c r="T330" i="8"/>
  <c r="N330" i="8"/>
  <c r="O329" i="8"/>
  <c r="U330" i="8"/>
  <c r="R329" i="8"/>
  <c r="P329" i="8"/>
  <c r="O330" i="8"/>
  <c r="T329" i="8"/>
  <c r="V330" i="8"/>
  <c r="Q329" i="8"/>
  <c r="S330" i="8"/>
  <c r="P330" i="8"/>
  <c r="U329" i="8"/>
  <c r="S329" i="8"/>
  <c r="N329" i="8"/>
  <c r="R330" i="8"/>
  <c r="C86" i="11"/>
  <c r="C416" i="8" s="1"/>
  <c r="G416" i="8" s="1"/>
  <c r="H416" i="8" s="1"/>
  <c r="C21" i="29"/>
  <c r="C22" i="29" s="1"/>
  <c r="R315" i="8"/>
  <c r="N315" i="8"/>
  <c r="Q316" i="8"/>
  <c r="S316" i="8"/>
  <c r="V315" i="8"/>
  <c r="R316" i="8"/>
  <c r="C85" i="11"/>
  <c r="C415" i="8" s="1"/>
  <c r="G415" i="8" s="1"/>
  <c r="H415" i="8" s="1"/>
  <c r="V316" i="8"/>
  <c r="T315" i="8"/>
  <c r="O315" i="8"/>
  <c r="N316" i="8"/>
  <c r="U316" i="8"/>
  <c r="P316" i="8"/>
  <c r="P315" i="8"/>
  <c r="Q315" i="8"/>
  <c r="U315" i="8"/>
  <c r="O316" i="8"/>
  <c r="S315" i="8"/>
  <c r="C61" i="30"/>
  <c r="C62" i="30" s="1"/>
  <c r="E62" i="30" s="1"/>
  <c r="C65" i="30" s="1"/>
  <c r="M70" i="10" s="1"/>
  <c r="O70" i="10"/>
  <c r="F313" i="8"/>
  <c r="D313" i="8"/>
  <c r="H313" i="8"/>
  <c r="E313" i="8"/>
  <c r="D325" i="8"/>
  <c r="H325" i="8"/>
  <c r="E325" i="8"/>
  <c r="F325" i="8"/>
  <c r="F326" i="8"/>
  <c r="H326" i="8"/>
  <c r="D326" i="8"/>
  <c r="E326" i="8"/>
  <c r="G420" i="8"/>
  <c r="H420" i="8" s="1"/>
  <c r="H309" i="8"/>
  <c r="F309" i="8"/>
  <c r="D309" i="8"/>
  <c r="E309" i="8"/>
  <c r="H310" i="8"/>
  <c r="D310" i="8"/>
  <c r="F310" i="8"/>
  <c r="E310" i="8"/>
  <c r="F312" i="8"/>
  <c r="E312" i="8"/>
  <c r="H312" i="8"/>
  <c r="D312" i="8"/>
  <c r="E324" i="8"/>
  <c r="F324" i="8"/>
  <c r="H324" i="8"/>
  <c r="D324" i="8"/>
  <c r="M327" i="8"/>
  <c r="M325" i="8"/>
  <c r="M323" i="8"/>
  <c r="M326" i="8"/>
  <c r="M324" i="8"/>
  <c r="E327" i="8"/>
  <c r="F327" i="8"/>
  <c r="D327" i="8"/>
  <c r="H327" i="8"/>
  <c r="C19" i="29"/>
  <c r="G422" i="8"/>
  <c r="H422" i="8" s="1"/>
  <c r="E311" i="8"/>
  <c r="H311" i="8"/>
  <c r="F311" i="8"/>
  <c r="D311" i="8"/>
  <c r="M315" i="8"/>
  <c r="M316" i="8"/>
  <c r="M309" i="8"/>
  <c r="M311" i="8"/>
  <c r="M313" i="8"/>
  <c r="M312" i="8"/>
  <c r="M310" i="8"/>
  <c r="M329" i="8"/>
  <c r="M330" i="8"/>
  <c r="F323" i="8"/>
  <c r="D323" i="8"/>
  <c r="H323" i="8"/>
  <c r="E323" i="8"/>
  <c r="C25" i="29" l="1"/>
  <c r="C27" i="29" s="1"/>
  <c r="C28" i="29" s="1"/>
  <c r="AI50" i="10" a="1"/>
  <c r="AI49" i="10" a="1"/>
  <c r="AI54" i="10" a="1"/>
  <c r="AI51" i="10" a="1"/>
  <c r="AI51" i="10" s="1"/>
  <c r="AG51" i="10" s="1"/>
  <c r="AI56" i="10" a="1"/>
  <c r="AI53" i="10" a="1"/>
  <c r="AI53" i="10" s="1"/>
  <c r="AG53" i="10" s="1"/>
  <c r="AI55" i="10" a="1"/>
  <c r="AI55" i="10" s="1"/>
  <c r="AG55" i="10" s="1"/>
  <c r="AI52" i="10" a="1"/>
  <c r="AI52" i="10" s="1"/>
  <c r="AG52" i="10" s="1"/>
  <c r="AI50" i="10"/>
  <c r="AG50" i="10" s="1"/>
  <c r="AI56" i="10"/>
  <c r="AG56" i="10" s="1"/>
  <c r="AI54" i="10"/>
  <c r="AG54" i="10" s="1"/>
  <c r="AI49" i="10"/>
  <c r="AG49" i="10" s="1"/>
  <c r="AI40" i="10" a="1"/>
  <c r="AI22" i="10" a="1"/>
  <c r="AI33" i="10" a="1"/>
  <c r="AI18" i="10" a="1"/>
  <c r="AI18" i="10" s="1"/>
  <c r="AG18" i="10" s="1"/>
  <c r="AI63" i="10" a="1"/>
  <c r="AI63" i="10" s="1"/>
  <c r="AI16" i="10" a="1"/>
  <c r="AI16" i="10" s="1"/>
  <c r="AG16" i="10" s="1"/>
  <c r="AI47" i="10" a="1"/>
  <c r="AI47" i="10" s="1"/>
  <c r="AG47" i="10" s="1"/>
  <c r="AI60" i="10" a="1"/>
  <c r="AI60" i="10" s="1"/>
  <c r="AI20" i="10" a="1"/>
  <c r="AI13" i="10" a="1"/>
  <c r="AI58" i="10" a="1"/>
  <c r="AI37" i="10" a="1"/>
  <c r="AI37" i="10" s="1"/>
  <c r="AG37" i="10" s="1"/>
  <c r="AI64" i="10" a="1"/>
  <c r="AI64" i="10" s="1"/>
  <c r="AI35" i="10" a="1"/>
  <c r="AI35" i="10" s="1"/>
  <c r="AG35" i="10" s="1"/>
  <c r="AI9" i="10" a="1"/>
  <c r="AI9" i="10" s="1"/>
  <c r="AG9" i="10" s="1"/>
  <c r="AI26" i="10" a="1"/>
  <c r="AI26" i="10" s="1"/>
  <c r="AG26" i="10" s="1"/>
  <c r="AI12" i="10" a="1"/>
  <c r="AI31" i="10" a="1"/>
  <c r="AI59" i="10" a="1"/>
  <c r="AI39" i="10" a="1"/>
  <c r="AI57" i="10" a="1"/>
  <c r="AI57" i="10" s="1"/>
  <c r="AI24" i="10" a="1"/>
  <c r="AI46" i="10" a="1"/>
  <c r="AI46" i="10" s="1"/>
  <c r="AG46" i="10" s="1"/>
  <c r="AI28" i="10" a="1"/>
  <c r="AI28" i="10" s="1"/>
  <c r="AG28" i="10" s="1"/>
  <c r="AI48" i="10" a="1"/>
  <c r="AI17" i="10" a="1"/>
  <c r="AI19" i="10" a="1"/>
  <c r="AI19" i="10" s="1"/>
  <c r="AG19" i="10" s="1"/>
  <c r="AI29" i="10" a="1"/>
  <c r="AI43" i="10" a="1"/>
  <c r="AI43" i="10" s="1"/>
  <c r="AG43" i="10" s="1"/>
  <c r="AI62" i="10" a="1"/>
  <c r="AI14" i="10" a="1"/>
  <c r="AI14" i="10" s="1"/>
  <c r="AG14" i="10" s="1"/>
  <c r="AI15" i="10" a="1"/>
  <c r="AI15" i="10" s="1"/>
  <c r="AG15" i="10" s="1"/>
  <c r="AI21" i="10" a="1"/>
  <c r="AI21" i="10" s="1"/>
  <c r="AG21" i="10" s="1"/>
  <c r="AI38" i="10" a="1"/>
  <c r="AI41" i="10" a="1"/>
  <c r="AI41" i="10" s="1"/>
  <c r="AG41" i="10" s="1"/>
  <c r="AI32" i="10" a="1"/>
  <c r="AI32" i="10" s="1"/>
  <c r="AG32" i="10" s="1"/>
  <c r="AI11" i="10" a="1"/>
  <c r="AI11" i="10" s="1"/>
  <c r="AG11" i="10" s="1"/>
  <c r="AI44" i="10" a="1"/>
  <c r="AI44" i="10" s="1"/>
  <c r="AG44" i="10" s="1"/>
  <c r="AI27" i="10" a="1"/>
  <c r="AI27" i="10" s="1"/>
  <c r="AG27" i="10" s="1"/>
  <c r="AI42" i="10" a="1"/>
  <c r="AI42" i="10" s="1"/>
  <c r="AG42" i="10" s="1"/>
  <c r="AI30" i="10" a="1"/>
  <c r="AI30" i="10" s="1"/>
  <c r="AG30" i="10" s="1"/>
  <c r="AI36" i="10" a="1"/>
  <c r="AI61" i="10" a="1"/>
  <c r="AI61" i="10" s="1"/>
  <c r="AI10" i="10" a="1"/>
  <c r="AI10" i="10" s="1"/>
  <c r="AG10" i="10" s="1"/>
  <c r="AI45" i="10" a="1"/>
  <c r="AI45" i="10" s="1"/>
  <c r="AG45" i="10" s="1"/>
  <c r="AI34" i="10" a="1"/>
  <c r="AI34" i="10" s="1"/>
  <c r="AG34" i="10" s="1"/>
  <c r="AI23" i="10" a="1"/>
  <c r="AI23" i="10" s="1"/>
  <c r="AG23" i="10" s="1"/>
  <c r="AI25" i="10" a="1"/>
  <c r="AI25" i="10" s="1"/>
  <c r="AG25" i="10" s="1"/>
  <c r="AI13" i="10"/>
  <c r="AG13" i="10" s="1"/>
  <c r="AI39" i="10"/>
  <c r="AG39" i="10" s="1"/>
  <c r="AI36" i="10"/>
  <c r="AG36" i="10" s="1"/>
  <c r="AI48" i="10"/>
  <c r="AG48" i="10" s="1"/>
  <c r="AI40" i="10"/>
  <c r="AG40" i="10" s="1"/>
  <c r="AI24" i="10"/>
  <c r="AG24" i="10" s="1"/>
  <c r="AI59" i="10"/>
  <c r="AI12" i="10"/>
  <c r="AG12" i="10" s="1"/>
  <c r="AI17" i="10"/>
  <c r="AG17" i="10" s="1"/>
  <c r="AI62" i="10"/>
  <c r="AI31" i="10"/>
  <c r="AG31" i="10" s="1"/>
  <c r="AI33" i="10"/>
  <c r="AG33" i="10" s="1"/>
  <c r="AI58" i="10"/>
  <c r="AI29" i="10"/>
  <c r="AG29" i="10" s="1"/>
  <c r="AI22" i="10"/>
  <c r="AG22" i="10" s="1"/>
  <c r="AI38" i="10"/>
  <c r="AG38" i="10" s="1"/>
  <c r="AI20" i="10"/>
  <c r="AG20" i="10" s="1"/>
  <c r="X325" i="8"/>
  <c r="X311" i="8"/>
  <c r="W309" i="8"/>
  <c r="C78" i="29"/>
  <c r="W323" i="8"/>
  <c r="X323" i="8" s="1"/>
  <c r="C79" i="29"/>
  <c r="G429" i="8"/>
  <c r="G430" i="8" s="1"/>
  <c r="C343" i="8"/>
  <c r="D356" i="8" s="1"/>
  <c r="C80" i="29"/>
  <c r="G9" i="1" l="1"/>
  <c r="G11" i="1"/>
  <c r="G6" i="1"/>
  <c r="G13" i="1"/>
  <c r="G8" i="1"/>
  <c r="G7" i="1"/>
  <c r="G10" i="1"/>
  <c r="G12" i="1"/>
  <c r="C361" i="8"/>
  <c r="C455" i="8" s="1"/>
  <c r="C442" i="8"/>
  <c r="H23" i="1"/>
  <c r="C24" i="8"/>
  <c r="C86" i="29"/>
  <c r="C348" i="8" s="1"/>
  <c r="C351" i="8" s="1"/>
  <c r="C20" i="8" s="1"/>
  <c r="X309" i="8"/>
  <c r="C356" i="8"/>
  <c r="C450" i="8" s="1"/>
  <c r="C357" i="8"/>
  <c r="G14" i="1" l="1"/>
  <c r="H14" i="1"/>
  <c r="C379" i="8"/>
  <c r="C224" i="8"/>
  <c r="C223" i="8"/>
  <c r="C222" i="8"/>
  <c r="G223" i="8" l="1"/>
  <c r="K223" i="8"/>
  <c r="W223" i="8" s="1"/>
  <c r="X223" i="8" s="1"/>
  <c r="I223" i="8"/>
  <c r="K222" i="8"/>
  <c r="W222" i="8" s="1"/>
  <c r="X222" i="8" s="1"/>
  <c r="I222" i="8"/>
  <c r="G222" i="8"/>
  <c r="K224" i="8"/>
  <c r="W224" i="8" s="1"/>
  <c r="X224" i="8" s="1"/>
  <c r="I224" i="8"/>
  <c r="G224" i="8"/>
  <c r="J223" i="8"/>
  <c r="H222" i="8"/>
  <c r="J222" i="8"/>
  <c r="C70" i="25"/>
  <c r="J224" i="8"/>
  <c r="H223" i="8"/>
  <c r="C69" i="25"/>
  <c r="C286" i="8" s="1"/>
  <c r="J286" i="8" s="1"/>
  <c r="X286" i="8" s="1"/>
  <c r="F224" i="8"/>
  <c r="H224" i="8"/>
  <c r="F223" i="8"/>
  <c r="C293" i="8"/>
  <c r="J293" i="8" s="1"/>
  <c r="X293" i="8" s="1"/>
  <c r="E224" i="8"/>
  <c r="E223" i="8"/>
  <c r="E222" i="8"/>
  <c r="F222" i="8"/>
  <c r="C71" i="25" l="1"/>
  <c r="C287" i="8" s="1"/>
  <c r="J287" i="8" s="1"/>
  <c r="X287" i="8" s="1"/>
  <c r="C285" i="8"/>
  <c r="J285" i="8" s="1"/>
  <c r="X285" i="8" s="1"/>
  <c r="C72" i="25" l="1"/>
  <c r="C73" i="25" s="1"/>
  <c r="C76" i="25" s="1"/>
  <c r="C290" i="8" s="1"/>
  <c r="J290" i="8" s="1"/>
  <c r="X290" i="8" s="1"/>
  <c r="C75" i="25" l="1"/>
  <c r="C289" i="8" s="1"/>
  <c r="J289" i="8" s="1"/>
  <c r="X289" i="8" s="1"/>
  <c r="C74" i="25"/>
  <c r="C283" i="8" s="1"/>
  <c r="J283" i="8" s="1"/>
  <c r="X283" i="8" s="1"/>
  <c r="W340" i="8" l="1"/>
  <c r="C342" i="8"/>
  <c r="C344" i="8" s="1"/>
  <c r="X340" i="8"/>
  <c r="C90" i="29" l="1"/>
  <c r="C91" i="29"/>
  <c r="C92" i="29" s="1"/>
  <c r="H20" i="1"/>
  <c r="D364" i="8"/>
  <c r="C362" i="8"/>
  <c r="C456" i="8" s="1"/>
  <c r="C19" i="8"/>
  <c r="C378" i="8"/>
  <c r="C367" i="8"/>
  <c r="C363" i="8"/>
  <c r="C366" i="8"/>
  <c r="C368" i="8"/>
  <c r="C365" i="8"/>
  <c r="C459" i="8" s="1"/>
  <c r="C89" i="29"/>
  <c r="C369" i="8"/>
  <c r="C465" i="8"/>
  <c r="C355" i="8" l="1"/>
  <c r="C449" i="8" s="1"/>
  <c r="C93" i="29"/>
  <c r="C370" i="8" s="1"/>
  <c r="C464" i="8" s="1"/>
  <c r="C364" i="8" l="1"/>
  <c r="C458" i="8" s="1"/>
  <c r="C466" i="8" s="1"/>
  <c r="C371" i="8" s="1"/>
  <c r="C21" i="8" s="1"/>
  <c r="C381" i="8" l="1"/>
  <c r="H21" i="1" s="1"/>
  <c r="C439" i="8"/>
  <c r="B23" i="8" s="1"/>
  <c r="C380" i="8"/>
  <c r="C22" i="8" l="1"/>
  <c r="C441" i="8"/>
  <c r="H22" i="1" s="1"/>
  <c r="C23" i="8" l="1"/>
  <c r="C443" i="8"/>
  <c r="C97" i="29" l="1"/>
  <c r="C96" i="29"/>
  <c r="C25" i="8"/>
  <c r="C445" i="8"/>
  <c r="C27" i="8" s="1"/>
  <c r="C444" i="8"/>
  <c r="C26" i="8" s="1"/>
  <c r="H24" i="1" l="1"/>
  <c r="E443" i="8"/>
  <c r="B2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42" authorId="0" shapeId="0" xr:uid="{00000000-0006-0000-0300-000001000000}">
      <text>
        <r>
          <rPr>
            <sz val="9"/>
            <color indexed="81"/>
            <rFont val="Tahoma"/>
            <family val="2"/>
          </rPr>
          <t xml:space="preserve">use_autosize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saic</author>
  </authors>
  <commentList>
    <comment ref="L30"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0" authorId="0" shapeId="0" xr:uid="{00000000-0006-0000-0400-000002000000}">
      <text>
        <r>
          <rPr>
            <b/>
            <sz val="9"/>
            <color indexed="81"/>
            <rFont val="Tahoma"/>
            <family val="2"/>
          </rPr>
          <t>Used internally</t>
        </r>
        <r>
          <rPr>
            <sz val="9"/>
            <color indexed="81"/>
            <rFont val="Tahoma"/>
            <family val="2"/>
          </rPr>
          <t xml:space="preserve">
t</t>
        </r>
      </text>
    </comment>
    <comment ref="N30" authorId="1" shapeId="0" xr:uid="{00000000-0006-0000-0400-000003000000}">
      <text>
        <r>
          <rPr>
            <b/>
            <sz val="9"/>
            <color indexed="81"/>
            <rFont val="Tahoma"/>
            <family val="2"/>
          </rPr>
          <t>Used internally by the generate results macro to select components based on system size and component level.</t>
        </r>
      </text>
    </comment>
    <comment ref="W30"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K119" authorId="0" shapeId="0" xr:uid="{00000000-0006-0000-0400-000005000000}">
      <text>
        <r>
          <rPr>
            <b/>
            <sz val="9"/>
            <color indexed="81"/>
            <rFont val="Tahoma"/>
            <family val="2"/>
          </rPr>
          <t>Replace at same time as selected pipe.</t>
        </r>
        <r>
          <rPr>
            <sz val="9"/>
            <color indexed="81"/>
            <rFont val="Tahoma"/>
            <family val="2"/>
          </rPr>
          <t xml:space="preserve">
</t>
        </r>
      </text>
    </comment>
    <comment ref="K120" authorId="0" shapeId="0" xr:uid="{00000000-0006-0000-0400-000006000000}">
      <text>
        <r>
          <rPr>
            <b/>
            <sz val="9"/>
            <color indexed="81"/>
            <rFont val="Tahoma"/>
            <family val="2"/>
          </rPr>
          <t>Replace at same time as selected pipe.</t>
        </r>
        <r>
          <rPr>
            <sz val="9"/>
            <color indexed="81"/>
            <rFont val="Tahoma"/>
            <family val="2"/>
          </rPr>
          <t xml:space="preserve">
</t>
        </r>
      </text>
    </comment>
    <comment ref="K121" authorId="0" shapeId="0" xr:uid="{00000000-0006-0000-0400-000007000000}">
      <text>
        <r>
          <rPr>
            <b/>
            <sz val="9"/>
            <color indexed="81"/>
            <rFont val="Tahoma"/>
            <family val="2"/>
          </rPr>
          <t>Replace at same time as selected pipe.</t>
        </r>
        <r>
          <rPr>
            <sz val="9"/>
            <color indexed="81"/>
            <rFont val="Tahoma"/>
            <family val="2"/>
          </rPr>
          <t xml:space="preserve">
</t>
        </r>
      </text>
    </comment>
    <comment ref="K122" authorId="0" shapeId="0" xr:uid="{00000000-0006-0000-0400-000008000000}">
      <text>
        <r>
          <rPr>
            <b/>
            <sz val="9"/>
            <color indexed="81"/>
            <rFont val="Tahoma"/>
            <family val="2"/>
          </rPr>
          <t>Replace at same time as selected pipe.</t>
        </r>
        <r>
          <rPr>
            <sz val="9"/>
            <color indexed="81"/>
            <rFont val="Tahoma"/>
            <family val="2"/>
          </rPr>
          <t xml:space="preserve">
</t>
        </r>
      </text>
    </comment>
    <comment ref="K333" authorId="1" shapeId="0" xr:uid="{00000000-0006-0000-0400-000009000000}">
      <text>
        <r>
          <rPr>
            <sz val="9"/>
            <color indexed="81"/>
            <rFont val="Tahoma"/>
            <family val="2"/>
          </rPr>
          <t xml:space="preserve">Replace at same time as liner
</t>
        </r>
      </text>
    </comment>
    <comment ref="K334" authorId="1" shapeId="0" xr:uid="{00000000-0006-0000-0400-00000A000000}">
      <text>
        <r>
          <rPr>
            <sz val="9"/>
            <color indexed="81"/>
            <rFont val="Tahoma"/>
            <family val="2"/>
          </rPr>
          <t xml:space="preserve">Replace at same time as liner
</t>
        </r>
      </text>
    </comment>
    <comment ref="K336" authorId="1" shapeId="0" xr:uid="{00000000-0006-0000-0400-00000B000000}">
      <text>
        <r>
          <rPr>
            <sz val="9"/>
            <color indexed="81"/>
            <rFont val="Tahoma"/>
            <family val="2"/>
          </rPr>
          <t xml:space="preserve">Replace at same time as liner
</t>
        </r>
      </text>
    </comment>
    <comment ref="H387" authorId="0" shapeId="0" xr:uid="{00000000-0006-0000-0400-00000C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48" authorId="0" shapeId="0" xr:uid="{00000000-0006-0000-0400-00000D000000}">
      <text>
        <r>
          <rPr>
            <b/>
            <sz val="9"/>
            <color indexed="81"/>
            <rFont val="Tahoma"/>
            <family val="2"/>
          </rPr>
          <t>The rows below are used internally</t>
        </r>
      </text>
    </comment>
    <comment ref="B465" authorId="2" shapeId="0" xr:uid="{00000000-0006-0000-0400-00000E000000}">
      <text>
        <r>
          <rPr>
            <b/>
            <sz val="8"/>
            <color indexed="81"/>
            <rFont val="Tahoma"/>
            <family val="2"/>
          </rPr>
          <t>Internal use</t>
        </r>
        <r>
          <rPr>
            <sz val="8"/>
            <color indexed="81"/>
            <rFont val="Tahoma"/>
            <family val="2"/>
          </rPr>
          <t xml:space="preserve">
</t>
        </r>
      </text>
    </comment>
    <comment ref="B469" authorId="0" shapeId="0" xr:uid="{00000000-0006-0000-0400-00000F000000}">
      <text>
        <r>
          <rPr>
            <b/>
            <sz val="9"/>
            <color indexed="81"/>
            <rFont val="Tahoma"/>
            <family val="2"/>
          </rPr>
          <t>Values to the right are used internally for error checking</t>
        </r>
        <r>
          <rPr>
            <sz val="9"/>
            <color indexed="81"/>
            <rFont val="Tahoma"/>
            <family val="2"/>
          </rPr>
          <t xml:space="preserve">
</t>
        </r>
      </text>
    </comment>
    <comment ref="B470" authorId="0" shapeId="0" xr:uid="{00000000-0006-0000-0400-000010000000}">
      <text>
        <r>
          <rPr>
            <b/>
            <sz val="9"/>
            <color indexed="81"/>
            <rFont val="Tahoma"/>
            <family val="2"/>
          </rPr>
          <t>Values to the right are used internally for error checking</t>
        </r>
        <r>
          <rPr>
            <sz val="9"/>
            <color indexed="81"/>
            <rFont val="Tahoma"/>
            <family val="2"/>
          </rPr>
          <t xml:space="preserve">
</t>
        </r>
      </text>
    </comment>
    <comment ref="B471" authorId="0" shapeId="0" xr:uid="{00000000-0006-0000-0400-000011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1" authorId="1" shapeId="0" xr:uid="{00000000-0006-0000-0900-000003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47BE4169-9809-46AA-B316-797A1300C1B8}">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7" authorId="2" shapeId="0" xr:uid="{00000000-0006-0000-1000-000006000000}">
      <text>
        <r>
          <rPr>
            <b/>
            <sz val="9"/>
            <color indexed="81"/>
            <rFont val="Tahoma"/>
            <family val="2"/>
          </rPr>
          <t>Unlike the other figures in this column, this one does not include capital cost; that is included in the annual cost of cooling.</t>
        </r>
      </text>
    </comment>
    <comment ref="B131" authorId="2" shapeId="0" xr:uid="{00000000-0006-0000-1000-000007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Mark Guttridge</author>
  </authors>
  <commentList>
    <comment ref="AG7" authorId="0" shapeId="0" xr:uid="{00000000-0006-0000-0200-000001000000}">
      <text>
        <r>
          <rPr>
            <b/>
            <sz val="9"/>
            <color indexed="81"/>
            <rFont val="Tahoma"/>
            <family val="2"/>
          </rPr>
          <t xml:space="preserve">These columns contain formulas used internally to compare inputs to the standard designs
</t>
        </r>
      </text>
    </comment>
  </commentList>
</comments>
</file>

<file path=xl/sharedStrings.xml><?xml version="1.0" encoding="utf-8"?>
<sst xmlns="http://schemas.openxmlformats.org/spreadsheetml/2006/main" count="9442" uniqueCount="4390">
  <si>
    <t>Total head loss sensors</t>
  </si>
  <si>
    <t>tot_head_sens</t>
  </si>
  <si>
    <t>tot_switches</t>
  </si>
  <si>
    <t>This is the MAXIMUM; space between vessels and tanks defaults to vessel or tank diameter, up to this maximum.  Maximum provides space for sandblasting and painting for large vessels (5-8 feet per Richard E. Hubel, Peter Keenan, American Water Works Service Company).</t>
  </si>
  <si>
    <t>Top_bottom_Vessel_space</t>
  </si>
  <si>
    <t xml:space="preserve">This is used to determine the building height for purposes of heating and cooling cost.  </t>
  </si>
  <si>
    <t>Systems have used vessels up to 14' diam and height in practice (AWWA Inorganic Contaminants Workshop 2006)</t>
  </si>
  <si>
    <t>Limitation on transportation is 53 feet in length</t>
  </si>
  <si>
    <t>This is INFLUENT TSS.  Backwash TSS is calculated and will be higher, as TSS removed are concentrated.</t>
  </si>
  <si>
    <t>TSS in system influent</t>
  </si>
  <si>
    <t>Heating Oil Heat Content</t>
  </si>
  <si>
    <t>U.S. DOE, Energy Information Administration.</t>
  </si>
  <si>
    <t>Standard efficiency oil furnace</t>
  </si>
  <si>
    <t>Mid-efficiency oil furnace</t>
  </si>
  <si>
    <t>hours/cubic foot</t>
  </si>
  <si>
    <t>Minimum total contact material needed</t>
  </si>
  <si>
    <t>Minimum volume of vessel</t>
  </si>
  <si>
    <t>Minimum surface area of contact material</t>
  </si>
  <si>
    <t xml:space="preserve">    Height of vessel required</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</si>
  <si>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</si>
  <si>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</si>
  <si>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</si>
  <si>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</si>
  <si>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</si>
  <si>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</si>
  <si>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</si>
  <si>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</si>
  <si>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</si>
  <si>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</si>
  <si>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</si>
  <si>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</si>
  <si>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Manual valves on bypass line</t>
  </si>
  <si>
    <t>Under assumptions below, valves are motorized for fully automated systems, manual for semi-automated and manual systems</t>
  </si>
  <si>
    <t>To change the degree of automation, the user may replace the numbers in each of the blue columns.</t>
  </si>
  <si>
    <t>Additional manual valves on backwash line</t>
  </si>
  <si>
    <t>Alarm (including level switch/alarms, high/low alarms, low alarms)</t>
  </si>
  <si>
    <t>alarm</t>
  </si>
  <si>
    <t>Regen or throwaway</t>
  </si>
  <si>
    <t>Head loss sensor</t>
  </si>
  <si>
    <t>head</t>
  </si>
  <si>
    <t>Sampling port</t>
  </si>
  <si>
    <t>port</t>
  </si>
  <si>
    <t>switch</t>
  </si>
  <si>
    <t>Temperature meter</t>
  </si>
  <si>
    <t>temp</t>
  </si>
  <si>
    <t>Miscellaneous Allowance</t>
  </si>
  <si>
    <t>/kwh</t>
  </si>
  <si>
    <t>Carbon Steel - Plastic Internals</t>
  </si>
  <si>
    <t>fg_pv_eq</t>
  </si>
  <si>
    <t>salt_year</t>
  </si>
  <si>
    <t>Number of mixers</t>
  </si>
  <si>
    <t>MGD</t>
  </si>
  <si>
    <t>design_flow_I</t>
  </si>
  <si>
    <t>Design Flow</t>
  </si>
  <si>
    <t>af_units</t>
  </si>
  <si>
    <t>Average Flow</t>
  </si>
  <si>
    <t>average_flow_I</t>
  </si>
  <si>
    <t>EBCT</t>
  </si>
  <si>
    <t>Minimum number of vessels in series</t>
  </si>
  <si>
    <t>Bed depth</t>
  </si>
  <si>
    <t>minutes</t>
  </si>
  <si>
    <t>feet</t>
  </si>
  <si>
    <t>Resin expansion during backwash</t>
  </si>
  <si>
    <t>Num_tanks</t>
  </si>
  <si>
    <t>units</t>
  </si>
  <si>
    <t>bed_depth</t>
  </si>
  <si>
    <t>bed_expansion</t>
  </si>
  <si>
    <t>Number of backwash pumps</t>
  </si>
  <si>
    <t>pumps</t>
  </si>
  <si>
    <t>backwash_pumps</t>
  </si>
  <si>
    <t xml:space="preserve"> - vessel surface area</t>
  </si>
  <si>
    <t>from max load and actual diameter</t>
  </si>
  <si>
    <t>strictest of the above two maxima</t>
  </si>
  <si>
    <t>from max surface area</t>
  </si>
  <si>
    <t>strictest maximum of the above, rounded</t>
  </si>
  <si>
    <t>from guidance provided by Bob Dvorin, 5/16/05</t>
  </si>
  <si>
    <t>ensures that bed depth is sufficient for required volume of medium</t>
  </si>
  <si>
    <t>from media constraint table</t>
  </si>
  <si>
    <t>Minimum bed depth for autosize</t>
  </si>
  <si>
    <t>min_bed_depth</t>
  </si>
  <si>
    <t>Maximum bed depth for autosize</t>
  </si>
  <si>
    <t>max_bed_depth</t>
  </si>
  <si>
    <t>Target Bed Depth (Designs &lt; 1MGD)</t>
  </si>
  <si>
    <t>target_bed_depth_under</t>
  </si>
  <si>
    <t>Target Bed Depth (Vertical Designs &gt; 1 MGD)</t>
  </si>
  <si>
    <t>target_bed_depth_over</t>
  </si>
  <si>
    <t>Target Bed Depth (Horizontal Designs)</t>
  </si>
  <si>
    <t>target_bed_depth_horiz</t>
  </si>
  <si>
    <t>Guidance: practical bed depths range from 30 inches to 6 ft.</t>
  </si>
  <si>
    <t>Used only for autosize procedure</t>
  </si>
  <si>
    <t>Number of flow meters for process line</t>
  </si>
  <si>
    <t>tot_fm_proc</t>
  </si>
  <si>
    <t>Mounted</t>
  </si>
  <si>
    <t>Electrical Enclosure</t>
  </si>
  <si>
    <t>Total resin volume</t>
  </si>
  <si>
    <t>strictest min of the above, rounded</t>
  </si>
  <si>
    <t>from min surface area</t>
  </si>
  <si>
    <t>Process piping length</t>
  </si>
  <si>
    <t>proc_pipe_length</t>
  </si>
  <si>
    <t>Backwash piping length</t>
  </si>
  <si>
    <t>Number of motor/air operated control valves on backwash line per mixing tank or salt saturator</t>
  </si>
  <si>
    <t>Motive for eductor when backwash pumps not operated, applies for brine regeneration only</t>
  </si>
  <si>
    <t>Number of motor/air operated control valves on regenerant line per mixing tank or salt saturator</t>
  </si>
  <si>
    <t>brine_MOV_tank</t>
  </si>
  <si>
    <t>Number of motor/air operated control valves on regenerant line per process vessel</t>
  </si>
  <si>
    <t>For filling backwash tank</t>
  </si>
  <si>
    <t>Caustic piping length</t>
  </si>
  <si>
    <t>caustic_pipe_length</t>
  </si>
  <si>
    <t>caustic_pipe_flow</t>
  </si>
  <si>
    <t>caustic_pipe_diam</t>
  </si>
  <si>
    <t>Construction Management and GC Overhead</t>
  </si>
  <si>
    <t>Construction Management</t>
  </si>
  <si>
    <t>Lighting and HVAC</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</si>
  <si>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</si>
  <si>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</si>
  <si>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</si>
  <si>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</si>
  <si>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</si>
  <si>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</si>
  <si>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</si>
  <si>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</si>
  <si>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</si>
  <si>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</si>
  <si>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</si>
  <si>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Recording operating paramenters for automated systems</t>
  </si>
  <si>
    <t>uloe_inst_auto</t>
  </si>
  <si>
    <t>min/100 sf/day</t>
  </si>
  <si>
    <t>Maintenance LOE assumptions</t>
  </si>
  <si>
    <t>For instruments (includes calibration)</t>
  </si>
  <si>
    <t>uloe_inst_maint</t>
  </si>
  <si>
    <t>min/month</t>
  </si>
  <si>
    <t>For pumps</t>
  </si>
  <si>
    <t>uloe_pump_maint</t>
  </si>
  <si>
    <t>pump_eq_back</t>
  </si>
  <si>
    <t>System Controls</t>
  </si>
  <si>
    <t>back_pipe_length</t>
  </si>
  <si>
    <t>linear feet</t>
  </si>
  <si>
    <t>Backwash time</t>
  </si>
  <si>
    <t>h2oflush_backwash_rate</t>
  </si>
  <si>
    <t>backwash_time</t>
  </si>
  <si>
    <t>gpm/square ft</t>
  </si>
  <si>
    <t>ppm</t>
  </si>
  <si>
    <t>gpm</t>
  </si>
  <si>
    <t>gallons</t>
  </si>
  <si>
    <t>valves</t>
  </si>
  <si>
    <t>level_switch</t>
  </si>
  <si>
    <t>Access space per vessel</t>
  </si>
  <si>
    <t>space_vessels</t>
  </si>
  <si>
    <t>Removal of carbonates can lower pH and result in red water problems in older homes with galvanized steel pipes</t>
  </si>
  <si>
    <t>Include heating for building 1</t>
  </si>
  <si>
    <t>build1_need_heat</t>
  </si>
  <si>
    <t>&lt;--- enter 1 for yes, 0 for no</t>
  </si>
  <si>
    <t>Include cooling for building 1</t>
  </si>
  <si>
    <t>build1_need_cool</t>
  </si>
  <si>
    <t>Include heating for building 2</t>
  </si>
  <si>
    <t>build2_need_heat</t>
  </si>
  <si>
    <t>Include cooling for building 2</t>
  </si>
  <si>
    <t>build2_need_cool</t>
  </si>
  <si>
    <t>Component level</t>
  </si>
  <si>
    <t>Brine delivery</t>
  </si>
  <si>
    <t>Vessel geometry</t>
  </si>
  <si>
    <t>Average flow units</t>
  </si>
  <si>
    <t>Design flow (mgd)</t>
  </si>
  <si>
    <t>component_level</t>
  </si>
  <si>
    <t>Technology complexity factor</t>
  </si>
  <si>
    <t>complexity</t>
  </si>
  <si>
    <t>Technology-specific factor.  See Appendices for details.  Low complexity = 0.5; Average complexity = 1.0; High complexity = 1.5; Very high complexity = 2.0.</t>
  </si>
  <si>
    <t>Design safety factor for standby power</t>
  </si>
  <si>
    <t>&lt;-- 1 for national average rate, 2 for a specific rate structure</t>
  </si>
  <si>
    <t>std_safety_factor</t>
  </si>
  <si>
    <t>Default 0%.  Apply a percentage to increase standby power requirements.</t>
  </si>
  <si>
    <t>Include heating in standby power</t>
  </si>
  <si>
    <t>need_heat</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</si>
  <si>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</si>
  <si>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</si>
  <si>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</si>
  <si>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</si>
  <si>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/yr</t>
  </si>
  <si>
    <t>kWh/yr</t>
  </si>
  <si>
    <t>MWh/yr</t>
  </si>
  <si>
    <t>/sf/yr</t>
  </si>
  <si>
    <t>Pump head for booster pumps</t>
  </si>
  <si>
    <t>Number of check valves on bypass line</t>
  </si>
  <si>
    <t>tot_bp_chv</t>
  </si>
  <si>
    <t>Cast Iron - Bypass</t>
  </si>
  <si>
    <t>ss_chv_eq_bp</t>
  </si>
  <si>
    <t>solids_pad_area</t>
  </si>
  <si>
    <t>Concrete</t>
  </si>
  <si>
    <t>solids_pad_concrete</t>
  </si>
  <si>
    <t>cubic yds</t>
  </si>
  <si>
    <t>Residual solids transfer method</t>
  </si>
  <si>
    <t>res_transfer_method</t>
  </si>
  <si>
    <t>&lt;-- 1 for slurry pumps, 2 for eductors, 3 for manual trabsfer</t>
  </si>
  <si>
    <t>Time to empty holding tank</t>
  </si>
  <si>
    <t>transfer_time</t>
  </si>
  <si>
    <t>hrs</t>
  </si>
  <si>
    <t>Target for systems using mechanical transfer.  For systems with manual transfer, calcuated based on solids volume.</t>
  </si>
  <si>
    <t>Maximum eductor size</t>
  </si>
  <si>
    <t>max_eductor_size</t>
  </si>
  <si>
    <t>Solids transfer for holding tanks</t>
  </si>
  <si>
    <t>Transfer rate required</t>
  </si>
  <si>
    <t>res_transfer_rate</t>
  </si>
  <si>
    <t>Transfer rate in gallons</t>
  </si>
  <si>
    <t>res_transfer_rate_gal</t>
  </si>
  <si>
    <t>Number of slurry pump systems</t>
  </si>
  <si>
    <t>res_slurry_pumps</t>
  </si>
  <si>
    <t>res_eductors</t>
  </si>
  <si>
    <t>Effective transfer rate</t>
  </si>
  <si>
    <t>res_eff_transfer_rate</t>
  </si>
  <si>
    <t>Eductor size</t>
  </si>
  <si>
    <t>res_eductor_size</t>
  </si>
  <si>
    <t>lbs/hr</t>
  </si>
  <si>
    <t>Slurry Pump System for solids</t>
  </si>
  <si>
    <t>res_slurry_eq</t>
  </si>
  <si>
    <t>gac_slurry_eq</t>
  </si>
  <si>
    <t>Eductors for solids</t>
  </si>
  <si>
    <t>Total high/low alarms for mixing tanks</t>
  </si>
  <si>
    <t>Total high/low alarms for backwash tanks</t>
  </si>
  <si>
    <t>tot_caustic_alarm</t>
  </si>
  <si>
    <t>Final surface loading rate</t>
  </si>
  <si>
    <t>comm_SA</t>
  </si>
  <si>
    <t>comm_load_rate</t>
  </si>
  <si>
    <t>max_height</t>
  </si>
  <si>
    <t>max_diam</t>
  </si>
  <si>
    <t>Maximum vessel length (longitudinal vessels)</t>
  </si>
  <si>
    <t>max_length</t>
  </si>
  <si>
    <t>Number of booster pumps</t>
  </si>
  <si>
    <t>booster_pumps</t>
  </si>
  <si>
    <t>pump_rating</t>
  </si>
  <si>
    <t>Total booster pumps</t>
  </si>
  <si>
    <t>total_booster_pumps</t>
  </si>
  <si>
    <t>Safety factor for pumps</t>
  </si>
  <si>
    <t>pump_safety_factor</t>
  </si>
  <si>
    <t>Should be consistent with (reflect same climate as) heating and cooling assumptions on O&amp;M assumptions page.  Assumptions are for St. Louis, Missouri.</t>
  </si>
  <si>
    <t>Geotechnical &amp; Sitework</t>
  </si>
  <si>
    <t>Test pit length</t>
  </si>
  <si>
    <t>Number of redundant vessels for small systems with only one vessel</t>
  </si>
  <si>
    <t>NRD_small_1</t>
  </si>
  <si>
    <t>Number of redundant vessels for small systems with multiple vessels</t>
  </si>
  <si>
    <t>NRD_small</t>
  </si>
  <si>
    <t>Caustic Storage Tanks</t>
  </si>
  <si>
    <t>Regenerant Tanks</t>
  </si>
  <si>
    <t>pl_ct_eq</t>
  </si>
  <si>
    <t>fg_ct_eq</t>
  </si>
  <si>
    <t>Ion Exchange Resin</t>
  </si>
  <si>
    <t>Metering pumps for caustic</t>
  </si>
  <si>
    <t>Metering pump rating for caustic</t>
  </si>
  <si>
    <t>pH_pumps</t>
  </si>
  <si>
    <t>pH_pump_rating</t>
  </si>
  <si>
    <t>Caustic Metering for pH Adjustment</t>
  </si>
  <si>
    <t>Metering for pH adjustment</t>
  </si>
  <si>
    <t>For adding water to create regenerant solution</t>
  </si>
  <si>
    <t>tot_pumps</t>
  </si>
  <si>
    <t>Regenerations per year</t>
  </si>
  <si>
    <t>regen_yr</t>
  </si>
  <si>
    <t>Leave blank to accept redundancy frequency specified in critical design assumptions</t>
  </si>
  <si>
    <t>Number of redundant units</t>
  </si>
  <si>
    <r>
      <t xml:space="preserve">Add a redundant unit per </t>
    </r>
    <r>
      <rPr>
        <b/>
        <i/>
        <sz val="10"/>
        <rFont val="Arial"/>
        <family val="2"/>
      </rPr>
      <t>x</t>
    </r>
    <r>
      <rPr>
        <sz val="10"/>
        <rFont val="Arial"/>
        <family val="2"/>
      </rPr>
      <t xml:space="preserve"> parallel lines</t>
    </r>
  </si>
  <si>
    <t>redund_freq</t>
  </si>
  <si>
    <t>number of parallel lines/redundant unit</t>
  </si>
  <si>
    <t>Regeneration pipe diameter</t>
  </si>
  <si>
    <t>Access space per regenerant mixing tank</t>
  </si>
  <si>
    <t>Missing Cost?:</t>
  </si>
  <si>
    <t>back_pipe_diam</t>
  </si>
  <si>
    <t>lbs</t>
  </si>
  <si>
    <t>Regeneration downtime</t>
  </si>
  <si>
    <t>total_backwash</t>
  </si>
  <si>
    <t>regeneration_downtime</t>
  </si>
  <si>
    <t>days</t>
  </si>
  <si>
    <t>tank_valve_size</t>
  </si>
  <si>
    <t>back_valve_size</t>
  </si>
  <si>
    <t>mixer_size</t>
  </si>
  <si>
    <t>pvc_pipe_eq_in_out</t>
  </si>
  <si>
    <t>ss_pipe_eq_in_out</t>
  </si>
  <si>
    <t>st_pipe_eq_in_out</t>
  </si>
  <si>
    <t>cpvc_pipe_eq_in_out</t>
  </si>
  <si>
    <t>Assumption</t>
  </si>
  <si>
    <t>Range Name</t>
  </si>
  <si>
    <t>Value</t>
  </si>
  <si>
    <t>Units</t>
  </si>
  <si>
    <t>Guidance</t>
  </si>
  <si>
    <t>Cost estimating method</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</si>
  <si>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</si>
  <si>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</si>
  <si>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</si>
  <si>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</si>
  <si>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</si>
  <si>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</si>
  <si>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</si>
  <si>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</si>
  <si>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cells</t>
  </si>
  <si>
    <t>Base Expansion Controller Modules</t>
  </si>
  <si>
    <t>plc_base_expansion_controller</t>
  </si>
  <si>
    <t>CPUs</t>
  </si>
  <si>
    <t>I/O discrete input modules</t>
  </si>
  <si>
    <t>I/O discrete output modules</t>
  </si>
  <si>
    <t>I/O combination analog modules</t>
  </si>
  <si>
    <t>Ethernet modules</t>
  </si>
  <si>
    <t>Carbon Steel</t>
  </si>
  <si>
    <t>Sampling Ports</t>
  </si>
  <si>
    <t>Head loss sensors</t>
  </si>
  <si>
    <t>PLC Units</t>
  </si>
  <si>
    <t>PLC racks/power supplies</t>
  </si>
  <si>
    <t>Operator interface units</t>
  </si>
  <si>
    <t>PC Workstations</t>
  </si>
  <si>
    <t>Printers - laser jet</t>
  </si>
  <si>
    <t>Plant intelligence software</t>
  </si>
  <si>
    <t>Holding tank mixer horsepower (if coagulant is used)</t>
  </si>
  <si>
    <t>hmix_hp_per</t>
  </si>
  <si>
    <t>hp per 1,000 gallons</t>
  </si>
  <si>
    <t>S_res_pump</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</si>
  <si>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</si>
  <si>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</si>
  <si>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</si>
  <si>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</si>
  <si>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</si>
  <si>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</si>
  <si>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</si>
  <si>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</si>
  <si>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</si>
  <si>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</si>
  <si>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pumps for operation</t>
  </si>
  <si>
    <t>Total number of pumps for maintenance</t>
  </si>
  <si>
    <t>tot_pumps_maint</t>
  </si>
  <si>
    <t>Main process valves require frequent operation and preventative maintenance</t>
  </si>
  <si>
    <t>Number of chemical supplies</t>
  </si>
  <si>
    <t>tot_chem</t>
  </si>
  <si>
    <t>Record system operating parameters (includes routine sampling)</t>
  </si>
  <si>
    <t>Preventative maintenance and inspection of valves</t>
  </si>
  <si>
    <t>Verify/adjust pump operating parameters</t>
  </si>
  <si>
    <t>Preventative maintenance of pumps</t>
  </si>
  <si>
    <t>Verify/adjust valve positions</t>
  </si>
  <si>
    <t>Preventative maintenance and calibration of instruments</t>
  </si>
  <si>
    <t xml:space="preserve">Maintain/inspect chemical supply </t>
  </si>
  <si>
    <t>Visual inspection of facility</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</si>
  <si>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</si>
  <si>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</si>
  <si>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</si>
  <si>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</si>
  <si>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</si>
  <si>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</si>
  <si>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</si>
  <si>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</si>
  <si>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</si>
  <si>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</si>
  <si>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</si>
  <si>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</si>
  <si>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</si>
  <si>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</si>
  <si>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</si>
  <si>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Regeneration Needs</t>
  </si>
  <si>
    <t>Total water volume</t>
  </si>
  <si>
    <t>Backwash rate (gpm)</t>
  </si>
  <si>
    <t>Backwash volume</t>
  </si>
  <si>
    <t>mix_tanks</t>
  </si>
  <si>
    <t>mix_tank_vol</t>
  </si>
  <si>
    <t>Distance to discharge point or evaporation pond</t>
  </si>
  <si>
    <t>add_res_pipe_length</t>
  </si>
  <si>
    <t>Number of motor/air operated control valves on residuals line per residuals pump</t>
  </si>
  <si>
    <t>res_MOV_pump</t>
  </si>
  <si>
    <t>Manual valves on residuals line per holding tank</t>
  </si>
  <si>
    <t>total_res_man</t>
  </si>
  <si>
    <t>res_man_ep</t>
  </si>
  <si>
    <t>Manual valves on residuals line per cell for evaporation pond</t>
  </si>
  <si>
    <t>Number of motor/air operated control valves on residuals line per cell for evaporation pond</t>
  </si>
  <si>
    <t>Number of MOVs for bypass line</t>
  </si>
  <si>
    <t>Number of manual valves for bypass line</t>
  </si>
  <si>
    <t>pp_man_eq_back</t>
  </si>
  <si>
    <t>ss_man_eq_back</t>
  </si>
  <si>
    <t>ci_man_eq_back</t>
  </si>
  <si>
    <t>pp_man_eq_brine</t>
  </si>
  <si>
    <t>ss_man_eq_brine</t>
  </si>
  <si>
    <t>pp_man_eq_bp</t>
  </si>
  <si>
    <t>ss_man_eq_bp</t>
  </si>
  <si>
    <t>ci_man_eq_bp</t>
  </si>
  <si>
    <t>pp_man_eq_caustic</t>
  </si>
  <si>
    <t>ss_man_eq_caustic</t>
  </si>
  <si>
    <t>pp_man_eq_res</t>
  </si>
  <si>
    <t>ss_man_eq_res</t>
  </si>
  <si>
    <t>ci_man_eq_res</t>
  </si>
  <si>
    <t>Number of parallel treatment trains</t>
  </si>
  <si>
    <t>pH meters for systems without corrosion control</t>
  </si>
  <si>
    <t>pH_nocorr</t>
  </si>
  <si>
    <t>pH meters for systems with corrosion control</t>
  </si>
  <si>
    <t>pH_corr</t>
  </si>
  <si>
    <t>TOTAL CAPITAL COST DETAILS</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</si>
  <si>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</si>
  <si>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</si>
  <si>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</si>
  <si>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</si>
  <si>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</si>
  <si>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</si>
  <si>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</si>
  <si>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</si>
  <si>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</si>
  <si>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we will search the number of lines until we find a minumum cost, then go this much farther to make sure we aren't in a local minimum</t>
  </si>
  <si>
    <t>the autosize_opt macro uses this number as a search parameter</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</si>
  <si>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</si>
  <si>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</si>
  <si>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</si>
  <si>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</si>
  <si>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Even when regenerated, media eventually will reach permanent exhaustion.</t>
  </si>
  <si>
    <t>Booster pump operating horsepower</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</si>
  <si>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</si>
  <si>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</si>
  <si>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</si>
  <si>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</si>
  <si>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</si>
  <si>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</si>
  <si>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cooling</t>
  </si>
  <si>
    <t>cooling_hp</t>
  </si>
  <si>
    <t>Manager_LOE</t>
  </si>
  <si>
    <t>Clerical_LOE</t>
  </si>
  <si>
    <t>Operator_LOE</t>
  </si>
  <si>
    <t>days/year</t>
  </si>
  <si>
    <t>Number of days per year where natural ventilation is applicable cannot be greater than 365 days</t>
  </si>
  <si>
    <r>
      <t xml:space="preserve">Computer workstations per </t>
    </r>
    <r>
      <rPr>
        <i/>
        <sz val="10"/>
        <rFont val="Arial"/>
        <family val="2"/>
      </rPr>
      <t>x</t>
    </r>
    <r>
      <rPr>
        <sz val="10"/>
        <rFont val="Arial"/>
        <family val="2"/>
      </rPr>
      <t xml:space="preserve"> operators</t>
    </r>
  </si>
  <si>
    <t>workstation_ratio</t>
  </si>
  <si>
    <t>operator/workstation</t>
  </si>
  <si>
    <t>Smallest size of salt saturator</t>
  </si>
  <si>
    <t>min_saltbox</t>
  </si>
  <si>
    <t>Maximum required backwash pump flow</t>
  </si>
  <si>
    <t>ci_chv_eq</t>
  </si>
  <si>
    <t>Number of check valves on influent line</t>
  </si>
  <si>
    <t>tot_in_chv</t>
  </si>
  <si>
    <t>pp_chv_eq_in</t>
  </si>
  <si>
    <t>ss_chv_eq_in</t>
  </si>
  <si>
    <t>ci_chv_eq_in</t>
  </si>
  <si>
    <t>Round surface area?</t>
  </si>
  <si>
    <t>comp_round_sa</t>
  </si>
  <si>
    <t>Default number of residuals basins</t>
  </si>
  <si>
    <t>hbasins_default</t>
  </si>
  <si>
    <t>Holding basin depth to volume ratio</t>
  </si>
  <si>
    <t>holding_ratio</t>
  </si>
  <si>
    <t>This assumption used only if concrete basins are used.</t>
  </si>
  <si>
    <t>Holding basin freeboard</t>
  </si>
  <si>
    <t>holding_freeboard</t>
  </si>
  <si>
    <t>Holding tank/basin solids density</t>
  </si>
  <si>
    <t>Holding tank/basin suspended solids removal efficiency without coagulant</t>
  </si>
  <si>
    <t>Holding tank/basin suspended solids removal efficiency with coagulant</t>
  </si>
  <si>
    <t>Clean holding tanks/basins when solids accumulation =x% of capacity</t>
  </si>
  <si>
    <t>Holding tank/basin capacity factor</t>
  </si>
  <si>
    <t>Use basins, instead of tanks, when cogulant is added</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</si>
  <si>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</si>
  <si>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</si>
  <si>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</si>
  <si>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</si>
  <si>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</si>
  <si>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</si>
  <si>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</si>
  <si>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</si>
  <si>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</si>
  <si>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</si>
  <si>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Concrete volume</t>
  </si>
  <si>
    <t>hconc_vol</t>
  </si>
  <si>
    <t>Excavation volume</t>
  </si>
  <si>
    <t>hexcavation_vol</t>
  </si>
  <si>
    <t>Backfill volume</t>
  </si>
  <si>
    <t>hbackfill_vol</t>
  </si>
  <si>
    <t>Railing length</t>
  </si>
  <si>
    <t>hrailing</t>
  </si>
  <si>
    <t>conc_thick</t>
  </si>
  <si>
    <t>Concrete thickness for holding basins</t>
  </si>
  <si>
    <t>Overexcavation for storage basins</t>
  </si>
  <si>
    <t>overexcavate</t>
  </si>
  <si>
    <t>2 feet each side in each dimension.  This assumption used only if concrete basins are used.</t>
  </si>
  <si>
    <t>Residuals Holding Tanks/Basins</t>
  </si>
  <si>
    <t>Concrete Basins (includes Excavation, Backfill, and Compaction)</t>
  </si>
  <si>
    <t>Residuals holding type selected</t>
  </si>
  <si>
    <t>res_holding</t>
  </si>
  <si>
    <t>Basins when coagulant is added; otherwise based on priority lookups on the output sheet</t>
  </si>
  <si>
    <t>hbasin_fp</t>
  </si>
  <si>
    <t>Residuals holding basin footprint</t>
  </si>
  <si>
    <t>O&amp;M Items</t>
  </si>
  <si>
    <t>Borehole depth without basins</t>
  </si>
  <si>
    <t>Borehole depth for shallow basins</t>
  </si>
  <si>
    <t>bore_depth_min</t>
  </si>
  <si>
    <t>Borehole depth for deep basins</t>
  </si>
  <si>
    <t>bore_depth_max</t>
  </si>
  <si>
    <t>Basin excavation depth above which deeper boreholes are needed</t>
  </si>
  <si>
    <t>deep_bore_need</t>
  </si>
  <si>
    <t>Systems with deep basins require deeper investigation</t>
  </si>
  <si>
    <t>Small system geotechnical investigation can be completed with test pits, larger systems and those with basins require boreholes</t>
  </si>
  <si>
    <t>bore_depth_nobasin</t>
  </si>
  <si>
    <t>Maximum basin excavation depth</t>
  </si>
  <si>
    <t>max_excav_depth</t>
  </si>
  <si>
    <t>Note: geotechnical is always included when evaporation ponds or holding basins are used, regardless of the numbers entered here, because of excavation</t>
  </si>
  <si>
    <t>Type of coagulant added</t>
  </si>
  <si>
    <t>coag_type</t>
  </si>
  <si>
    <t>&lt;-- 1 for polymer, 2 for ferric chloride, 3 for both polymer &amp; ferric chloride</t>
  </si>
  <si>
    <t>Polymer dosage</t>
  </si>
  <si>
    <t>polymer_dose</t>
  </si>
  <si>
    <t>polymer_density</t>
  </si>
  <si>
    <t>Polymer sludge production factor</t>
  </si>
  <si>
    <t>polymer_spf</t>
  </si>
  <si>
    <t>Ferric chloride dosage</t>
  </si>
  <si>
    <t>Ferric chloride sludge production factor</t>
  </si>
  <si>
    <t>NRD_cm_pump</t>
  </si>
  <si>
    <t>Number of redundant polymer metering pumps</t>
  </si>
  <si>
    <t>chem_MOV_pump</t>
  </si>
  <si>
    <t>chem_man_pump</t>
  </si>
  <si>
    <t>Number of motor/air operated control valves on polymer line per chemical pump</t>
  </si>
  <si>
    <t>Number of manual control valves on polymer line per chemical pump</t>
  </si>
  <si>
    <t>Ferric Chloride Addition</t>
  </si>
  <si>
    <t>Polymer Addition</t>
  </si>
  <si>
    <t>polymer_day</t>
  </si>
  <si>
    <t>Polymer storage in gallons</t>
  </si>
  <si>
    <t>polymer_storage</t>
  </si>
  <si>
    <t>Number of chemical storage tanks</t>
  </si>
  <si>
    <t>polymer_tanks</t>
  </si>
  <si>
    <t>Chemical storage tank size</t>
  </si>
  <si>
    <t>polymer_tank_vol</t>
  </si>
  <si>
    <t>polymer_cmix_per_tank</t>
  </si>
  <si>
    <t>polymer_cmixers</t>
  </si>
  <si>
    <t>polymer_cmix_size</t>
  </si>
  <si>
    <t>polymer_rate</t>
  </si>
  <si>
    <t>Number of chemical metering pumps</t>
  </si>
  <si>
    <t>cm_pumps_polymer</t>
  </si>
  <si>
    <t>Chemical metering pump rating</t>
  </si>
  <si>
    <t>cm_pump_rating_polymer</t>
  </si>
  <si>
    <t>Annual polymer use</t>
  </si>
  <si>
    <t>polymer_yr</t>
  </si>
  <si>
    <t>Polymer addition pipe length</t>
  </si>
  <si>
    <t>polymer_pipe_length</t>
  </si>
  <si>
    <t>Polymer pipe flow</t>
  </si>
  <si>
    <t>polymer_pipe_flow</t>
  </si>
  <si>
    <t>Polymer pipe diameter</t>
  </si>
  <si>
    <t>polymer_pipe_diam</t>
  </si>
  <si>
    <t>With residuals polymer addition only</t>
  </si>
  <si>
    <t>Polymer storage tank diameter</t>
  </si>
  <si>
    <t>polymer_st_diam</t>
  </si>
  <si>
    <t>space_polymer_st</t>
  </si>
  <si>
    <t>Polymer storage tank footprint</t>
  </si>
  <si>
    <t>polymer_fp</t>
  </si>
  <si>
    <t>Size of valves for polymer line</t>
  </si>
  <si>
    <t>polymer_valve_size</t>
  </si>
  <si>
    <t>Number of MOVs for polymer addition line</t>
  </si>
  <si>
    <t>tot_polymer_MOVs</t>
  </si>
  <si>
    <t>Number of manual valves for polymer addition line</t>
  </si>
  <si>
    <t>tot_polymer_man</t>
  </si>
  <si>
    <t>Polymer needed per event</t>
  </si>
  <si>
    <t>Solution feed rate</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</si>
  <si>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</si>
  <si>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</si>
  <si>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</si>
  <si>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</si>
  <si>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</si>
  <si>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</si>
  <si>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</si>
  <si>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</si>
  <si>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</si>
  <si>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</si>
  <si>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</si>
  <si>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</si>
  <si>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</si>
  <si>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</si>
  <si>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</si>
  <si>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</si>
  <si>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for pre-engineered packages</t>
  </si>
  <si>
    <t>Excluded by default for small systems</t>
  </si>
  <si>
    <t>Enter 0 to exclude booster pumps (i.e., use existing pumps). Clear cell to accept model defaults (no pumps for systems &lt;1 MGD, otherwise sized per average and design flows)</t>
  </si>
  <si>
    <t>High/Low Alarm (for mixing tanks)</t>
  </si>
  <si>
    <t>Total number of vessels including redundancy</t>
  </si>
  <si>
    <t>final_num_tanks</t>
  </si>
  <si>
    <t>Number of vessels excluding redundancy</t>
  </si>
  <si>
    <t>op_num_tanks</t>
  </si>
  <si>
    <t>Excavation</t>
  </si>
  <si>
    <t>Backfill</t>
  </si>
  <si>
    <t>Liner</t>
  </si>
  <si>
    <t>Dike Construction</t>
  </si>
  <si>
    <t>Residuals pump material cost</t>
  </si>
  <si>
    <t>res_pump_mtl</t>
  </si>
  <si>
    <t>Coagulant Use</t>
  </si>
  <si>
    <t>coag_yr</t>
  </si>
  <si>
    <t>POTW Discharge Fees</t>
  </si>
  <si>
    <t>TSS in discharged residuals</t>
  </si>
  <si>
    <t>TSS_residuals_dis</t>
  </si>
  <si>
    <t>Total TSS in excess of POTW limit (if applicable)</t>
  </si>
  <si>
    <t>Annual POTW base fee</t>
  </si>
  <si>
    <t>$/year</t>
  </si>
  <si>
    <t>Annual POTW volume fee</t>
  </si>
  <si>
    <t>Annual POTW TSS fee</t>
  </si>
  <si>
    <t>Total annual POTW discharge fee</t>
  </si>
  <si>
    <t>POTW_fee</t>
  </si>
  <si>
    <t>Spent Media Disposal Fees</t>
  </si>
  <si>
    <t>Disposal</t>
  </si>
  <si>
    <t>Shipments per year</t>
  </si>
  <si>
    <t>Transportation</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</si>
  <si>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</si>
  <si>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</si>
  <si>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</si>
  <si>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</si>
  <si>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</si>
  <si>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</si>
  <si>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The next four inputs may be entered manually, or calculated with Auto Size button</t>
  </si>
  <si>
    <t>tank_geom_I</t>
  </si>
  <si>
    <t xml:space="preserve">For information:  </t>
  </si>
  <si>
    <t>Use if technology is first step in treatment process</t>
  </si>
  <si>
    <t>Pipe length the boundary of the 10 foot buffer to distribution network</t>
  </si>
  <si>
    <t>yard_out</t>
  </si>
  <si>
    <t>Use if technology is last step in treatment process</t>
  </si>
  <si>
    <t>kW</t>
  </si>
  <si>
    <t>Total base standby power requirement</t>
  </si>
  <si>
    <t>std_base</t>
  </si>
  <si>
    <t>Standby power for heating</t>
  </si>
  <si>
    <t>std_heat</t>
  </si>
  <si>
    <t>diesel_heat_content</t>
  </si>
  <si>
    <t>BTU/gal</t>
  </si>
  <si>
    <t>office_fp</t>
  </si>
  <si>
    <t>Pumping</t>
  </si>
  <si>
    <t>Valves and Instrumentation</t>
  </si>
  <si>
    <t>Structure/Floorplan</t>
  </si>
  <si>
    <t>influent_TSS</t>
  </si>
  <si>
    <t>TSS in residuals</t>
  </si>
  <si>
    <t>TSS_residuals</t>
  </si>
  <si>
    <t>ex_TSS_total</t>
  </si>
  <si>
    <t>Total days for full regeneration</t>
  </si>
  <si>
    <t>total_downtime</t>
  </si>
  <si>
    <t>Number of vessels regenerated at a time</t>
  </si>
  <si>
    <t>regen_redun</t>
  </si>
  <si>
    <t>Maximum vessel diameter</t>
  </si>
  <si>
    <t>backwash_yr</t>
  </si>
  <si>
    <t>Pump head for backwash pumps</t>
  </si>
  <si>
    <t>backwash_pump_head</t>
  </si>
  <si>
    <t>Booster pump materials</t>
  </si>
  <si>
    <t>Backwash pump materials</t>
  </si>
  <si>
    <t>back_pump_mtl</t>
  </si>
  <si>
    <t>Backwash Pumps</t>
  </si>
  <si>
    <t>Backwash pump operating horsepower (all pumps)</t>
  </si>
  <si>
    <t>Backwash pumping time</t>
  </si>
  <si>
    <t>hours/yr</t>
  </si>
  <si>
    <t>Energy for all backwash pumps</t>
  </si>
  <si>
    <t>back_pump_energy</t>
  </si>
  <si>
    <t>Expansions required</t>
  </si>
  <si>
    <t>plc_expansions</t>
  </si>
  <si>
    <t>PLC Rack/Power Supplies</t>
  </si>
  <si>
    <t>plc_rack</t>
  </si>
  <si>
    <t>Base Expansion Modules</t>
  </si>
  <si>
    <t>plc_base_expansion</t>
  </si>
  <si>
    <t>&lt;-- 1 for brine mixing tanks, 2 for salt saturator</t>
  </si>
  <si>
    <t>No backwash</t>
  </si>
  <si>
    <t>Number of MOVs for process line per vessel</t>
  </si>
  <si>
    <t>proc_MOV_vessel_ser</t>
  </si>
  <si>
    <t>proc_MOV_vessel_par</t>
  </si>
  <si>
    <t>Number of motor/air operated control valves on process line per vessel (parallel systems)</t>
  </si>
  <si>
    <t>Number of motor/air operated control valves on process line per vessel (series systems)</t>
  </si>
  <si>
    <t>Number of control valves of x type on y line per z</t>
  </si>
  <si>
    <t>Semi-auto</t>
  </si>
  <si>
    <t>Fully Auto</t>
  </si>
  <si>
    <t>proc_man_vessel_par</t>
  </si>
  <si>
    <t>proc_man_vessel_ser</t>
  </si>
  <si>
    <t>proc_man_pump</t>
  </si>
  <si>
    <t>back_man_vessel</t>
  </si>
  <si>
    <t>Number of treatment trains</t>
  </si>
  <si>
    <t>Number of operating vessels</t>
  </si>
  <si>
    <t>Total vessels (incl. redundancy, below)</t>
  </si>
  <si>
    <t>trains</t>
  </si>
  <si>
    <t>vessels</t>
  </si>
  <si>
    <t>From Inputs</t>
  </si>
  <si>
    <t xml:space="preserve">&lt;-- 1 for upright cylindrical, 2 for horizontally-laid cylinder </t>
  </si>
  <si>
    <t>Brine delivery method</t>
  </si>
  <si>
    <t>Residuals - Cast Iron</t>
  </si>
  <si>
    <t>Brine Mixers</t>
  </si>
  <si>
    <t>Residuals Mixers</t>
  </si>
  <si>
    <t>Residual solids disposal frequency</t>
  </si>
  <si>
    <t>sol_disp_freq</t>
  </si>
  <si>
    <t>Replacement/disposal frequency</t>
  </si>
  <si>
    <t>disp_freq</t>
  </si>
  <si>
    <t>R-value for walls</t>
  </si>
  <si>
    <t>R_wall</t>
  </si>
  <si>
    <t>hr-sf-degF/BTU</t>
  </si>
  <si>
    <t>Number of motor/air operated control valves on residuals line per holding tank</t>
  </si>
  <si>
    <t>res_MOV_tank</t>
  </si>
  <si>
    <t>Number of check valves on residuals line per residuals pump</t>
  </si>
  <si>
    <t>res_chv_pump</t>
  </si>
  <si>
    <t>Number of check valves on residuals line if no pumping</t>
  </si>
  <si>
    <t>res_chv_no_pump</t>
  </si>
  <si>
    <t>Residuals</t>
  </si>
  <si>
    <t>NaOH needed per year</t>
  </si>
  <si>
    <t>NaOH_year</t>
  </si>
  <si>
    <t>proc_man_vessel</t>
  </si>
  <si>
    <t>valve/vessel</t>
  </si>
  <si>
    <t>For filter to waste</t>
  </si>
  <si>
    <t>Number of manual valves for process line</t>
  </si>
  <si>
    <t>tot_proc_man</t>
  </si>
  <si>
    <t>pp_man_eq_proc</t>
  </si>
  <si>
    <t>ss_man_eq_proc</t>
  </si>
  <si>
    <t>ci_bfv_eq_proc</t>
  </si>
  <si>
    <t>Cast Iron - Backwash</t>
  </si>
  <si>
    <t>With pH adjustment only</t>
  </si>
  <si>
    <t>Bold blue cells are copied to the input sheet</t>
  </si>
  <si>
    <t>Bold gold cells are inputs to the sizing procedure</t>
  </si>
  <si>
    <t>Input Parameters</t>
  </si>
  <si>
    <t>min</t>
  </si>
  <si>
    <t>Inputs</t>
  </si>
  <si>
    <t>for all vessels</t>
  </si>
  <si>
    <t>vessel geometry</t>
  </si>
  <si>
    <t>comp_tank_geom</t>
  </si>
  <si>
    <t>from guidance on input sheet</t>
  </si>
  <si>
    <t>bed depth</t>
  </si>
  <si>
    <t>actual bed depth</t>
  </si>
  <si>
    <t>dimensions for vertical vessels</t>
  </si>
  <si>
    <t>target height</t>
  </si>
  <si>
    <t>comp_vert_height</t>
  </si>
  <si>
    <t>actual height</t>
  </si>
  <si>
    <t>target diameter</t>
  </si>
  <si>
    <t>comp_vert_diam</t>
  </si>
  <si>
    <t>actual diameter</t>
  </si>
  <si>
    <t>target length</t>
  </si>
  <si>
    <t>actual length</t>
  </si>
  <si>
    <t>Constraints</t>
  </si>
  <si>
    <t>max</t>
  </si>
  <si>
    <t>comp_max_vol</t>
  </si>
  <si>
    <t>max pressure vessel volume in cl.xls</t>
  </si>
  <si>
    <t>ft^2</t>
  </si>
  <si>
    <t xml:space="preserve"> - vertical vessel height</t>
  </si>
  <si>
    <t>comp_max_vert_height</t>
  </si>
  <si>
    <t>May be exempt if constructed with public funds.  May be as high as 7.25% of equipment and construction, with national average 4.75%.</t>
  </si>
  <si>
    <t>Financing during Construction</t>
  </si>
  <si>
    <t>manual</t>
  </si>
  <si>
    <t>Labor</t>
  </si>
  <si>
    <t>/hr</t>
  </si>
  <si>
    <t>hrs/yr</t>
  </si>
  <si>
    <t>Materials</t>
  </si>
  <si>
    <t>Materials for booster pumps</t>
  </si>
  <si>
    <t>calculated as a percentage of capital</t>
  </si>
  <si>
    <t>pump_mtl</t>
  </si>
  <si>
    <t>lbs/yr</t>
  </si>
  <si>
    <t>Maximum size of salt saturator</t>
  </si>
  <si>
    <t>max_saltbox</t>
  </si>
  <si>
    <t>The largest size for which costs are available.</t>
  </si>
  <si>
    <t>fp_required</t>
  </si>
  <si>
    <t>Actual total building footprint</t>
  </si>
  <si>
    <t>Exact building footprint required</t>
  </si>
  <si>
    <t>/lb</t>
  </si>
  <si>
    <t>Energy</t>
  </si>
  <si>
    <t>pump_energy</t>
  </si>
  <si>
    <t>Energy for booster pumps</t>
  </si>
  <si>
    <t>Mwh/yr</t>
  </si>
  <si>
    <t>Plastic/HDPE</t>
  </si>
  <si>
    <t>comm_height_length</t>
  </si>
  <si>
    <t>comm_diam</t>
  </si>
  <si>
    <t>Vessel_thickness</t>
  </si>
  <si>
    <t>brine_method</t>
  </si>
  <si>
    <t>Salt Saturator</t>
  </si>
  <si>
    <t>1-5 gpm/square ft</t>
  </si>
  <si>
    <t>Equation Lookup Name</t>
  </si>
  <si>
    <t>ss_pv_eq</t>
  </si>
  <si>
    <t>no equation</t>
  </si>
  <si>
    <t>st_bwt_eq</t>
  </si>
  <si>
    <t>cpvc_pipe_eq</t>
  </si>
  <si>
    <t>pvc_pipe_eq</t>
  </si>
  <si>
    <t>ss_pipe_eq</t>
  </si>
  <si>
    <t>st_pipe_eq</t>
  </si>
  <si>
    <t>di_pipe_eq</t>
  </si>
  <si>
    <t>ss_mov_eq</t>
  </si>
  <si>
    <t>ci_mov_eq_tank</t>
  </si>
  <si>
    <t>ci_mov_eq</t>
  </si>
  <si>
    <t>pp_mov_eq_bp</t>
  </si>
  <si>
    <t>ss_mov_eq_bp</t>
  </si>
  <si>
    <t>pp_man_eq</t>
  </si>
  <si>
    <t>ss_man_eq</t>
  </si>
  <si>
    <t>ci_bfv_eq</t>
  </si>
  <si>
    <t>pp_chv_eq</t>
  </si>
  <si>
    <t>ss_chv_eq</t>
  </si>
  <si>
    <t>back_pump_eq</t>
  </si>
  <si>
    <t>mount_mix_eq</t>
  </si>
  <si>
    <t>op_fm_eq_in</t>
  </si>
  <si>
    <t>op_fm_eq</t>
  </si>
  <si>
    <t>op_fm_eq_proc</t>
  </si>
  <si>
    <t>Spent Media</t>
  </si>
  <si>
    <t>Resin density</t>
  </si>
  <si>
    <t>active_filters</t>
  </si>
  <si>
    <t>NRD_filters</t>
  </si>
  <si>
    <t>Total number of cartridge filters</t>
  </si>
  <si>
    <t>num_filters</t>
  </si>
  <si>
    <t>Flow per filter</t>
  </si>
  <si>
    <t>filter_size</t>
  </si>
  <si>
    <t>Filter length</t>
  </si>
  <si>
    <t>filter_len</t>
  </si>
  <si>
    <t>Filter width</t>
  </si>
  <si>
    <t>filter_wid</t>
  </si>
  <si>
    <t>Elements per filter</t>
  </si>
  <si>
    <t>filter_elements</t>
  </si>
  <si>
    <t>elements/housing</t>
  </si>
  <si>
    <t>Cartridge Filters</t>
  </si>
  <si>
    <t>cart_labor</t>
  </si>
  <si>
    <t>For cartridge filter maintenance</t>
  </si>
  <si>
    <t>Replacement</t>
  </si>
  <si>
    <t>pre_filter_replacement</t>
  </si>
  <si>
    <t>filters/yr</t>
  </si>
  <si>
    <t>For replacement of pretreatment cartridge filters only.</t>
  </si>
  <si>
    <t>Risk management plan</t>
  </si>
  <si>
    <t>NEPA compliance</t>
  </si>
  <si>
    <t>Total permit cost</t>
  </si>
  <si>
    <t>permit_cost</t>
  </si>
  <si>
    <t>units/tank</t>
  </si>
  <si>
    <t>ORP sensors</t>
  </si>
  <si>
    <t>Temperature meters</t>
  </si>
  <si>
    <t>temp_meters</t>
  </si>
  <si>
    <t>Head loss sensors per vessel</t>
  </si>
  <si>
    <t>head_tank</t>
  </si>
  <si>
    <t>Sampling ports per vessel</t>
  </si>
  <si>
    <t>ports_tank</t>
  </si>
  <si>
    <t>Additional sampling ports</t>
  </si>
  <si>
    <t>add_ports</t>
  </si>
  <si>
    <t>Number of electrical enclosures</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</si>
  <si>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</si>
  <si>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</si>
  <si>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</si>
  <si>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</si>
  <si>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</si>
  <si>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</si>
  <si>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</si>
  <si>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Heating Table (1=include heating in buildings and O&amp;M, 0 = do not include heating)</t>
  </si>
  <si>
    <t>Component Level</t>
  </si>
  <si>
    <t>Buildings 500 square feet or greater</t>
  </si>
  <si>
    <t>Buildings less than 500 ft2 (other than those used for chlorine storage)</t>
  </si>
  <si>
    <t>Cooling Table (1=include cooling in buildings and O&amp;M, 0 = do not include cooling)</t>
  </si>
  <si>
    <t>Flow meters for residuals line</t>
  </si>
  <si>
    <t>tot_fm_res</t>
  </si>
  <si>
    <t>High/Low alarms per holding tank</t>
  </si>
  <si>
    <t>alarm_res</t>
  </si>
  <si>
    <t>TSS in treated water</t>
  </si>
  <si>
    <t>effluent_TSS</t>
  </si>
  <si>
    <t>POTW rate structure</t>
  </si>
  <si>
    <t>POTW_rate_type</t>
  </si>
  <si>
    <t>Apply POTW discharge base charge (i.e., $/month)</t>
  </si>
  <si>
    <t>Minutes per pump per day</t>
  </si>
  <si>
    <t>This sheet performs calculations to confirm that the vessel design on the Input page meets engineering constraints</t>
  </si>
  <si>
    <t>From Central Cost Database</t>
  </si>
  <si>
    <t>Vessel Constraint Verification</t>
  </si>
  <si>
    <t>&lt;-- 1 for regeneration, 2 for throwaway</t>
  </si>
  <si>
    <t>Number of bed volumes before regeneration/throwaway</t>
  </si>
  <si>
    <t>Included only if direct discharge to surface water is the management option chosen on the input sheet</t>
  </si>
  <si>
    <t>Storm water permit cost</t>
  </si>
  <si>
    <t>Applies to systems requiring 1 acre of land or greater</t>
  </si>
  <si>
    <t>Volume of a horizontal slice taken out of a cylinder</t>
  </si>
  <si>
    <t>To be compared to vol_vessel, to determine whether vessel is oversized.</t>
  </si>
  <si>
    <t>res_cap_factor</t>
  </si>
  <si>
    <t>Maximum holding tank size</t>
  </si>
  <si>
    <t>max_htank_size</t>
  </si>
  <si>
    <t>hmix_size</t>
  </si>
  <si>
    <t>Redundant residuals pumps</t>
  </si>
  <si>
    <t>NRD_res_pump</t>
  </si>
  <si>
    <t>Applies only if pumping is included</t>
  </si>
  <si>
    <t>Ductile Iron</t>
  </si>
  <si>
    <t>di_pipe_eq_in_out</t>
  </si>
  <si>
    <t>If total footprint is large, a second building is used for pumps, backwash, and chemical storage</t>
  </si>
  <si>
    <t>Office space per employee</t>
  </si>
  <si>
    <t>space_office</t>
  </si>
  <si>
    <t>square ft</t>
  </si>
  <si>
    <t>Air conditioning</t>
  </si>
  <si>
    <t>Heat pump (cooling mode)</t>
  </si>
  <si>
    <t>Electric resistance</t>
  </si>
  <si>
    <t>Heat pump</t>
  </si>
  <si>
    <t>Natural gas non-condensing furnace</t>
  </si>
  <si>
    <t>therms/yr</t>
  </si>
  <si>
    <t>POTW TSS discharge limit (over which fee would be imposed)</t>
  </si>
  <si>
    <t>POTW_TSS_limit</t>
  </si>
  <si>
    <t>Materials for residuals pumps</t>
  </si>
  <si>
    <t>Cartridge filter replacement</t>
  </si>
  <si>
    <t>Discount for Bulk Cartridge Filter Purchases</t>
  </si>
  <si>
    <t>Number purchased</t>
  </si>
  <si>
    <t>Percent Discount</t>
  </si>
  <si>
    <t>cart_filter_discount_table</t>
  </si>
  <si>
    <t>O&amp;M</t>
  </si>
  <si>
    <t>Replacement Cartridge Filters</t>
  </si>
  <si>
    <t>cart_replace_eq_ro</t>
  </si>
  <si>
    <t>Cartridge Filter Weight (for disposal calculations)</t>
  </si>
  <si>
    <t>Size Needed (mgd)</t>
  </si>
  <si>
    <t>Size Selected (mgd)</t>
  </si>
  <si>
    <t>Weight (lbs)</t>
  </si>
  <si>
    <t>cart_wt_table</t>
  </si>
  <si>
    <t>Spent Cartridge Filters</t>
  </si>
  <si>
    <t>cart_disp_freq</t>
  </si>
  <si>
    <t>Disposal weight (total per event)</t>
  </si>
  <si>
    <t>cart_disp_wt</t>
  </si>
  <si>
    <t>Spent Cartridge Filter Disposal Fees</t>
  </si>
  <si>
    <t>cart_disposal_fee</t>
  </si>
  <si>
    <t>Spent cartridge filter disposal</t>
  </si>
  <si>
    <t>cart_eq</t>
  </si>
  <si>
    <t>Cartridge filter footprint</t>
  </si>
  <si>
    <t>include_NEPA</t>
  </si>
  <si>
    <t>Building permit cost</t>
  </si>
  <si>
    <t>NPDES permit cost</t>
  </si>
  <si>
    <t>NA if continuous regeneration is required</t>
  </si>
  <si>
    <t>Complete bed replacement (averaged over resin life)</t>
  </si>
  <si>
    <t>Resin loss replacement</t>
  </si>
  <si>
    <t>Spent resin quantity (average per year)</t>
  </si>
  <si>
    <t>spent_media_yr</t>
  </si>
  <si>
    <t>For regenerated systems this is reduced by one year's media loss, assuming disposal takes place before adding loss replacement for the year</t>
  </si>
  <si>
    <t>Quantity of resin handled per year</t>
  </si>
  <si>
    <t>media_changes_cf</t>
  </si>
  <si>
    <t>Incorporates both removal and refill</t>
  </si>
  <si>
    <t>Based on 20 cubic yards per day, applied separately to removal and replacement.</t>
  </si>
  <si>
    <t>Complete bed replacement (annual average)</t>
  </si>
  <si>
    <t>TSS in residuals (influent TSS removal contribution)</t>
  </si>
  <si>
    <t>TSS in residuals (media attrition contribution)</t>
  </si>
  <si>
    <t>Managing residual solids</t>
  </si>
  <si>
    <t>Volume of regenerant</t>
  </si>
  <si>
    <t>vol_regen</t>
  </si>
  <si>
    <t>Regenerant Mixing Tanks</t>
  </si>
  <si>
    <t>Mixing tanks</t>
  </si>
  <si>
    <t>Mixing tank volume</t>
  </si>
  <si>
    <t>Annualized cost per household</t>
  </si>
  <si>
    <t>User adjustable</t>
  </si>
  <si>
    <t>households</t>
  </si>
  <si>
    <t>/year</t>
  </si>
  <si>
    <t>/kgal</t>
  </si>
  <si>
    <t>/household/year</t>
  </si>
  <si>
    <t>These codes are used to look up SCADA requirements, which depend on the type of flow meter selected.</t>
  </si>
  <si>
    <t>Flow meter lookup code - process</t>
  </si>
  <si>
    <t>fm_lkp_proc</t>
  </si>
  <si>
    <t>Flow meter lookup code - backwash</t>
  </si>
  <si>
    <t>fm_lkp_back</t>
  </si>
  <si>
    <t>Flow meter lookup code - residuals</t>
  </si>
  <si>
    <t>fm_lkp_res</t>
  </si>
  <si>
    <t>blank = low cost, 1 = mid cost, 2 = high cost</t>
  </si>
  <si>
    <t>1 = fully manual system, 2 = semi-automated system, 3 = fully automated system.</t>
  </si>
  <si>
    <t>Design Flow Units</t>
  </si>
  <si>
    <t>df_units</t>
  </si>
  <si>
    <t>POTW</t>
  </si>
  <si>
    <t>Treated water corrosion control?</t>
  </si>
  <si>
    <t>From Inputs, less bypass</t>
  </si>
  <si>
    <t>Brine/Regeneration piping length</t>
  </si>
  <si>
    <t>pHo</t>
  </si>
  <si>
    <t>Pump efficiency for booster pumps</t>
  </si>
  <si>
    <t>Cost for parts &amp; maintenance for booster pumps</t>
  </si>
  <si>
    <t>booster_pump_head</t>
  </si>
  <si>
    <t>booster_pump_efficiency</t>
  </si>
  <si>
    <t>include_arch</t>
  </si>
  <si>
    <t>Include architectural fee?</t>
  </si>
  <si>
    <t>Pressure drop across the fan</t>
  </si>
  <si>
    <t>Fan_pressure_drop</t>
  </si>
  <si>
    <t>lbs/ft2</t>
  </si>
  <si>
    <t>Energy for heating</t>
  </si>
  <si>
    <t>Instrumentation and Controls</t>
  </si>
  <si>
    <t>Controls Software</t>
  </si>
  <si>
    <t>Operator interface software</t>
  </si>
  <si>
    <t>ORP sensor</t>
  </si>
  <si>
    <t>proc_MOV_vessel</t>
  </si>
  <si>
    <t>valves/vessel</t>
  </si>
  <si>
    <t>Number of motor/air operated control valves on process line per booster pump</t>
  </si>
  <si>
    <t>proc_MOV_pump</t>
  </si>
  <si>
    <t>valves/pump</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</si>
  <si>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</si>
  <si>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</si>
  <si>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</si>
  <si>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</si>
  <si>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</si>
  <si>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</si>
  <si>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</si>
  <si>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S_mixer</t>
  </si>
  <si>
    <t>ORP</t>
  </si>
  <si>
    <t>Sampling ports for bypass line</t>
  </si>
  <si>
    <t>ports_bp</t>
  </si>
  <si>
    <t>valves/eductor</t>
  </si>
  <si>
    <t>Regenerant pumps</t>
  </si>
  <si>
    <t>lbs/vessel</t>
  </si>
  <si>
    <t>min_diam</t>
  </si>
  <si>
    <t>Minimum Vessel Diameter</t>
  </si>
  <si>
    <t>Maximum Vessel Diameter</t>
  </si>
  <si>
    <t>Total Vessel Media Volume</t>
  </si>
  <si>
    <t>comp_vol_required_stg1</t>
  </si>
  <si>
    <t>minimum surface area</t>
  </si>
  <si>
    <t>comp_sa_min</t>
  </si>
  <si>
    <t>Legal percentage</t>
  </si>
  <si>
    <t>legal_pct</t>
  </si>
  <si>
    <t>Includes one pump for redundancy</t>
  </si>
  <si>
    <t>Includes safety factor</t>
  </si>
  <si>
    <t>in_out_pipe_flow</t>
  </si>
  <si>
    <t>inches</t>
  </si>
  <si>
    <t>Process pipe diameter</t>
  </si>
  <si>
    <t>proc_pipe_diam</t>
  </si>
  <si>
    <t>water_flush</t>
  </si>
  <si>
    <t>waterflush_vol</t>
  </si>
  <si>
    <t>S_booster_pump</t>
  </si>
  <si>
    <t>S_back_pump</t>
  </si>
  <si>
    <t>Most common limit for cities with a limit.</t>
  </si>
  <si>
    <t>Maximum hazardous waste shipment size</t>
  </si>
  <si>
    <t>max_haz_ship</t>
  </si>
  <si>
    <t>Miles to non-hazardous solid waste disposal site</t>
  </si>
  <si>
    <t>non_haz_miles</t>
  </si>
  <si>
    <t>miles</t>
  </si>
  <si>
    <t>Miles to hazardous solid waste disposal site</t>
  </si>
  <si>
    <t>haz_miles</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</si>
  <si>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</si>
  <si>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</si>
  <si>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</si>
  <si>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</si>
  <si>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</si>
  <si>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</si>
  <si>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</si>
  <si>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</si>
  <si>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</si>
  <si>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tot_turb_meters</t>
  </si>
  <si>
    <t>tot_cond_meters</t>
  </si>
  <si>
    <t>Total conductivity meters</t>
  </si>
  <si>
    <t>Turbidity meters</t>
  </si>
  <si>
    <t>Conductivity meters</t>
  </si>
  <si>
    <t>Boodoo peer review comments</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</si>
  <si>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</si>
  <si>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</si>
  <si>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</si>
  <si>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</si>
  <si>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</si>
  <si>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</si>
  <si>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</si>
  <si>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</si>
  <si>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</si>
  <si>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</si>
  <si>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</si>
  <si>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</si>
  <si>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</si>
  <si>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</si>
  <si>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</si>
  <si>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</si>
  <si>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</si>
  <si>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</si>
  <si>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</si>
  <si>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</si>
  <si>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</si>
  <si>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</si>
  <si>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</si>
  <si>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</si>
  <si>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</si>
  <si>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Miscellaneous allowance percentage</t>
  </si>
  <si>
    <t>misc_pct</t>
  </si>
  <si>
    <t>gph</t>
  </si>
  <si>
    <t>Number of redundant vessels to be added</t>
  </si>
  <si>
    <r>
      <t xml:space="preserve">For information: </t>
    </r>
    <r>
      <rPr>
        <sz val="10"/>
        <color indexed="17"/>
        <rFont val="Arial"/>
        <family val="2"/>
      </rPr>
      <t>Redundant vessels</t>
    </r>
  </si>
  <si>
    <t>lines_pump_I</t>
  </si>
  <si>
    <t>NRD_I</t>
  </si>
  <si>
    <t>no_backwash_I</t>
  </si>
  <si>
    <t>component_level_I</t>
  </si>
  <si>
    <t>Special input validation lists:</t>
  </si>
  <si>
    <t>&lt;-- pick or leave blank</t>
  </si>
  <si>
    <t>elec_encl</t>
  </si>
  <si>
    <t>Number of motor/air operated control valves on caustic line per metering pump</t>
  </si>
  <si>
    <t>Applies only with pH adjustment</t>
  </si>
  <si>
    <t>caustic_MOV_pump</t>
  </si>
  <si>
    <t>Number of check valves on caustic line per metering pump</t>
  </si>
  <si>
    <t>caustic_chv_pump</t>
  </si>
  <si>
    <t>Salt saturators come equipped with level alarms, so only added if mixing tanks are used.</t>
  </si>
  <si>
    <t>High/Low alarms per regenerant mixing tank</t>
  </si>
  <si>
    <t>ht_solids</t>
  </si>
  <si>
    <t>Holding tank cleaning frequency</t>
  </si>
  <si>
    <t>ht_clean_freq</t>
  </si>
  <si>
    <t>times per year</t>
  </si>
  <si>
    <t>Residual solids quantity (total per event)</t>
  </si>
  <si>
    <t>res_solids</t>
  </si>
  <si>
    <t>ensures that bed depth is sufficient to pass diameter check on vessel design sheet</t>
  </si>
  <si>
    <t>rinse_vol</t>
  </si>
  <si>
    <t>rinse_time</t>
  </si>
  <si>
    <t>rinse_gpm</t>
  </si>
  <si>
    <t>&lt;-- enter 1 to use cost equations, leave blank to use lookup tables for component costs</t>
  </si>
  <si>
    <t>Loading rate maximum</t>
  </si>
  <si>
    <t>tank_geom</t>
  </si>
  <si>
    <t>Vessel Design</t>
  </si>
  <si>
    <t>design_flow</t>
  </si>
  <si>
    <t>average_flow</t>
  </si>
  <si>
    <t>Design Flow Rate</t>
  </si>
  <si>
    <t>design_flow_rate</t>
  </si>
  <si>
    <t>EBCT per vessel</t>
  </si>
  <si>
    <t>load_min</t>
  </si>
  <si>
    <t>load_max</t>
  </si>
  <si>
    <t>square feet</t>
  </si>
  <si>
    <t>Vessel surface area</t>
  </si>
  <si>
    <t>max_sa</t>
  </si>
  <si>
    <t>Maximum flow per vessel</t>
  </si>
  <si>
    <t>flow_per_vessel</t>
  </si>
  <si>
    <t>EBCT_tank</t>
  </si>
  <si>
    <t>num_treat_lines</t>
  </si>
  <si>
    <t>lines</t>
  </si>
  <si>
    <t>NRD</t>
  </si>
  <si>
    <t>Days of winter (i.e., days of storage during periods with no net evaporation)</t>
  </si>
  <si>
    <t>winter_days</t>
  </si>
  <si>
    <t>percent/year</t>
  </si>
  <si>
    <t>resin_loss_vol_annual</t>
  </si>
  <si>
    <t>User adjustable.  Can be used to adjust estimated costs to be more reflective of a specific geographical location</t>
  </si>
  <si>
    <t>This assumption applies if concrete basins are used. Additonal basins are used, however, if needed to achieve minimum holding time. If tanks are used, number calculated on design sheet.</t>
  </si>
  <si>
    <t>Residuals storage volume per basin in cubic feet</t>
  </si>
  <si>
    <t>Holiding basin operating depth</t>
  </si>
  <si>
    <t>Holiding basin width</t>
  </si>
  <si>
    <t>Holiding basin length</t>
  </si>
  <si>
    <t>Holiding basin depth including freeboard</t>
  </si>
  <si>
    <t>Holiding basin volume</t>
  </si>
  <si>
    <t>Total residuals storage volume in cubic feet</t>
  </si>
  <si>
    <t>total_hvol_ft</t>
  </si>
  <si>
    <t>Holding basin redundancy factor</t>
  </si>
  <si>
    <t>hbasin_redun</t>
  </si>
  <si>
    <t>To account for minumum coagulation time, when concrete basins are used, rather than tanks</t>
  </si>
  <si>
    <t>coag_TSSrem</t>
  </si>
  <si>
    <t>htank_clean_pct</t>
  </si>
  <si>
    <t>Underdrain space for horizontal vessels</t>
  </si>
  <si>
    <t>horiz_underdrain</t>
  </si>
  <si>
    <t>1.5 feet is a conservative value for a 10' tank. Bob Dvorin, 5/16/05.</t>
  </si>
  <si>
    <t>Anion Resin</t>
  </si>
  <si>
    <t>cf</t>
  </si>
  <si>
    <t>For calculating storage footprint</t>
  </si>
  <si>
    <t>Land needed</t>
  </si>
  <si>
    <t>land_required</t>
  </si>
  <si>
    <t>acres</t>
  </si>
  <si>
    <t>fg_saltbox_eq</t>
  </si>
  <si>
    <t>pl_saltbox_eq</t>
  </si>
  <si>
    <t>Non fire Buffer for buildings</t>
  </si>
  <si>
    <t>non_fire_buffer</t>
  </si>
  <si>
    <t>Fire Buffer for Buildings</t>
  </si>
  <si>
    <t>fire_buffer</t>
  </si>
  <si>
    <t>Building 1</t>
  </si>
  <si>
    <t>Building 2</t>
  </si>
  <si>
    <t>STEP 1</t>
  </si>
  <si>
    <t>STEP 2:</t>
  </si>
  <si>
    <t>STEP 3:</t>
  </si>
  <si>
    <t>(Optional for standard designs)</t>
  </si>
  <si>
    <t>contact_material</t>
  </si>
  <si>
    <t>cubic feet</t>
  </si>
  <si>
    <t>contact_mat_per_vessel</t>
  </si>
  <si>
    <t>vol_vessel</t>
  </si>
  <si>
    <t>SA</t>
  </si>
  <si>
    <t>diameter</t>
  </si>
  <si>
    <t>height</t>
  </si>
  <si>
    <t xml:space="preserve">    Required vessel diameter (circular vessels)</t>
  </si>
  <si>
    <t>Level Switch/Alarm (for vessels)</t>
  </si>
  <si>
    <t>High/Low Alarm (for backwash tanks)</t>
  </si>
  <si>
    <t>Land Cost</t>
  </si>
  <si>
    <t>cfm</t>
  </si>
  <si>
    <t>BTU/yr</t>
  </si>
  <si>
    <t>comm_vol</t>
  </si>
  <si>
    <t>10 to 15 minutes</t>
  </si>
  <si>
    <t>gal</t>
  </si>
  <si>
    <t>Minutes per instrument per day</t>
  </si>
  <si>
    <t>Redundant pumps for pH adjustment</t>
  </si>
  <si>
    <t>NRD_pH_pumps</t>
  </si>
  <si>
    <t>If a design includes only one operating vessel, there should be at least one additional vessel</t>
  </si>
  <si>
    <t>Small systems can operate at reduced capacity while one vessel is down for backwash, if there are multiple vessels</t>
  </si>
  <si>
    <t xml:space="preserve">     For small systems</t>
  </si>
  <si>
    <t>head_tank_small</t>
  </si>
  <si>
    <t>add_turb_small</t>
  </si>
  <si>
    <t>turb_tank_small</t>
  </si>
  <si>
    <t>temp_meters_small</t>
  </si>
  <si>
    <t>store_fp</t>
  </si>
  <si>
    <t>Additional pumps for pH adjustment</t>
  </si>
  <si>
    <t>Number of process valves</t>
  </si>
  <si>
    <t>tot_inst</t>
  </si>
  <si>
    <t>tot_valves</t>
  </si>
  <si>
    <t>res_MOV_ep</t>
  </si>
  <si>
    <t>valves/cell</t>
  </si>
  <si>
    <t>res_s2_opt</t>
  </si>
  <si>
    <t>res_s1_opt</t>
  </si>
  <si>
    <t>Characteristics of spent resin</t>
  </si>
  <si>
    <t>media_haz</t>
  </si>
  <si>
    <t>solids_haz</t>
  </si>
  <si>
    <t>res_vol</t>
  </si>
  <si>
    <t>Discharge option for spent regenerant</t>
  </si>
  <si>
    <t>Regenerant volume per vessel</t>
  </si>
  <si>
    <t>regen_vol</t>
  </si>
  <si>
    <t>res_stagger_time</t>
  </si>
  <si>
    <t>max_back_tank_size</t>
  </si>
  <si>
    <t>no_back_tank</t>
  </si>
  <si>
    <t>Backwash tank volume</t>
  </si>
  <si>
    <t>back_tank_vol</t>
  </si>
  <si>
    <t>For calculating cost of actual maintenance materials; not to be confused with depreciation.  Initial proposed estimate of 5% seems high  (Richard E. Hubel, Peter Keenan, American Water Works Service Company, Inc)</t>
  </si>
  <si>
    <t>If total footprint is large, building 1 contains vessels only.  If total footprint is small, building 1 contains all equipment.</t>
  </si>
  <si>
    <t>Redundant backwash pumps</t>
  </si>
  <si>
    <t>NRD_back_pumps</t>
  </si>
  <si>
    <t>pump</t>
  </si>
  <si>
    <t>Maximum pump size</t>
  </si>
  <si>
    <t>System automation</t>
  </si>
  <si>
    <t>System Automation</t>
  </si>
  <si>
    <t>max_pump_size</t>
  </si>
  <si>
    <t>NRD_pumps</t>
  </si>
  <si>
    <t>Redundant booster pumps</t>
  </si>
  <si>
    <t>Maximum backwash tank size</t>
  </si>
  <si>
    <t>Booster pump footprint</t>
  </si>
  <si>
    <t>Backwash pump footprint</t>
  </si>
  <si>
    <t>Footprint for pumps</t>
  </si>
  <si>
    <t>Add coagulant to holding tank?</t>
  </si>
  <si>
    <t>coag_res</t>
  </si>
  <si>
    <t>tot_fm_back</t>
  </si>
  <si>
    <t>Total level switch/alarms</t>
  </si>
  <si>
    <t>tot_level_switch</t>
  </si>
  <si>
    <t>Leave blank to use low cost components</t>
  </si>
  <si>
    <t>Leave blank to allow model to pick based on component level</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</si>
  <si>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</si>
  <si>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</si>
  <si>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</si>
  <si>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</si>
  <si>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</si>
  <si>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</si>
  <si>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</si>
  <si>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</si>
  <si>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</si>
  <si>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</si>
  <si>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</si>
  <si>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</si>
  <si>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</si>
  <si>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brine_pipe_diam</t>
  </si>
  <si>
    <t>bp_pipe_diam</t>
  </si>
  <si>
    <t>Bypass percentage</t>
  </si>
  <si>
    <t>bp_pct</t>
  </si>
  <si>
    <t>Bypass Flow Rate (design)</t>
  </si>
  <si>
    <t>bp_flow_rate</t>
  </si>
  <si>
    <t>brine_valve_size</t>
  </si>
  <si>
    <t>Stainless Steel - Brine</t>
  </si>
  <si>
    <t>Carbon Steel - Stainless Internals</t>
  </si>
  <si>
    <t>curve</t>
  </si>
  <si>
    <t>cs_pv_eq</t>
  </si>
  <si>
    <t>csp_pv_eq</t>
  </si>
  <si>
    <t>fg_bwt_eq</t>
  </si>
  <si>
    <t>hdpe_bwt_eq</t>
  </si>
  <si>
    <t>cpvc_pipe_eq_proc</t>
  </si>
  <si>
    <t>pvc_pipe_eq_proc</t>
  </si>
  <si>
    <t>ss_pipe_eq_proc</t>
  </si>
  <si>
    <t>st_pipe_eq_proc</t>
  </si>
  <si>
    <t>cpvc_pipe_eq_back</t>
  </si>
  <si>
    <t>pvc_pipe_eq_back</t>
  </si>
  <si>
    <t>ss_pipe_eq_back</t>
  </si>
  <si>
    <t>st_pipe_eq_back</t>
  </si>
  <si>
    <t>pp_mov_eq_tank</t>
  </si>
  <si>
    <t>ss_mov_eq_tank</t>
  </si>
  <si>
    <t>pp_mov_eq_back</t>
  </si>
  <si>
    <t>ss_mov_eq_back</t>
  </si>
  <si>
    <t>pump_eq</t>
  </si>
  <si>
    <t>op_fm_eq_back</t>
  </si>
  <si>
    <t>pl_cst_eq</t>
  </si>
  <si>
    <t>fg_cst_eq</t>
  </si>
  <si>
    <t>pvc_pipe_eq_brine</t>
  </si>
  <si>
    <t>ss_pipe_eq_brine</t>
  </si>
  <si>
    <t>cpvc_pipe_eq_brine</t>
  </si>
  <si>
    <t>pvc_pipe_eq_bp</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</si>
  <si>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</si>
  <si>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</si>
  <si>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</si>
  <si>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</si>
  <si>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</si>
  <si>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</si>
  <si>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</si>
  <si>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</si>
  <si>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</si>
  <si>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</si>
  <si>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</si>
  <si>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</si>
  <si>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Assumes liner extends 2 feet up dike side slope</t>
  </si>
  <si>
    <t>Pipe diameter</t>
  </si>
  <si>
    <t>res_pipe_diam</t>
  </si>
  <si>
    <t>Valves and instrumentation</t>
  </si>
  <si>
    <t>Residuals valve size</t>
  </si>
  <si>
    <t>res_valve_size</t>
  </si>
  <si>
    <t>Number of MOVs for residuals line</t>
  </si>
  <si>
    <t>total_res_MOVs</t>
  </si>
  <si>
    <t>Number of check valves for residuals line</t>
  </si>
  <si>
    <t>tot_res_chv</t>
  </si>
  <si>
    <t>Total high/low alarms</t>
  </si>
  <si>
    <t>tot_res_alarm</t>
  </si>
  <si>
    <t>Residuals flow meter size</t>
  </si>
  <si>
    <t>res_meter_size</t>
  </si>
  <si>
    <t>Residuals pump head</t>
  </si>
  <si>
    <t>res_pump_psi</t>
  </si>
  <si>
    <t>Pump operating horsepower</t>
  </si>
  <si>
    <t>Energy per pump</t>
  </si>
  <si>
    <t>Energy for all active pumps</t>
  </si>
  <si>
    <t>res_pump_energy</t>
  </si>
  <si>
    <t>Residuals Holding Tanks</t>
  </si>
  <si>
    <t>Steel Tanks</t>
  </si>
  <si>
    <t>Fiberglass Tanks</t>
  </si>
  <si>
    <t>Plastic/HDPE Tanks</t>
  </si>
  <si>
    <t>Residuals Piping</t>
  </si>
  <si>
    <t>Residuals - Polypropylene/PVC</t>
  </si>
  <si>
    <t>Residuals - Stainless Steel</t>
  </si>
  <si>
    <t>Cartridge Filters for Pretreatment</t>
  </si>
  <si>
    <t>Include cartridge filters</t>
  </si>
  <si>
    <t>include_cart</t>
  </si>
  <si>
    <t>&lt;-- enter 1 for yes, 0 for no</t>
  </si>
  <si>
    <t>Minimum number of cartridge filters above 1 MGD</t>
  </si>
  <si>
    <t>min_cart</t>
  </si>
  <si>
    <t>For small systems (&lt;1 MGD), this limit is ignored.</t>
  </si>
  <si>
    <t>Maximum flow per cartridge filter</t>
  </si>
  <si>
    <t>cart_per_flow</t>
  </si>
  <si>
    <t>Number of redundant cartridge filters</t>
  </si>
  <si>
    <t>init_NRD_cart</t>
  </si>
  <si>
    <r>
      <t xml:space="preserve">Additional redundant cartridge filter per </t>
    </r>
    <r>
      <rPr>
        <i/>
        <sz val="10"/>
        <rFont val="Arial"/>
        <family val="2"/>
      </rPr>
      <t>x</t>
    </r>
    <r>
      <rPr>
        <sz val="10"/>
        <rFont val="Arial"/>
        <family val="2"/>
      </rPr>
      <t xml:space="preserve"> MGD inflow</t>
    </r>
  </si>
  <si>
    <t>addl_redund_cart_per_flow</t>
  </si>
  <si>
    <t>valves/filter</t>
  </si>
  <si>
    <t>Motor/air operated on process line per cartridge filter</t>
  </si>
  <si>
    <t>proc_MOV_filter</t>
  </si>
  <si>
    <t>Manual on feed line per cartridge filter</t>
  </si>
  <si>
    <t>proc_man_filter</t>
  </si>
  <si>
    <t>Head loss sensors per cartridge filter</t>
  </si>
  <si>
    <t>headloss_cart</t>
  </si>
  <si>
    <t>units/filter</t>
  </si>
  <si>
    <t>Life of cartridge filters</t>
  </si>
  <si>
    <t>cart_life</t>
  </si>
  <si>
    <t>months</t>
  </si>
  <si>
    <t>US EPA, Draft of "Design and Cost Estimates for Advanced Water Treatment Technologies", December 2000.</t>
  </si>
  <si>
    <t>Labor hours per cartridge filter</t>
  </si>
  <si>
    <t>hrs_filter</t>
  </si>
  <si>
    <t>hrs/unit/yr</t>
  </si>
  <si>
    <t>Number of active cartridge filters</t>
  </si>
  <si>
    <t>fully automated</t>
  </si>
  <si>
    <t>Treated water corrosion control</t>
  </si>
  <si>
    <t># booster pumps</t>
  </si>
  <si>
    <t>Number of Vessels in Series</t>
  </si>
  <si>
    <t>Legal, Fiscal, and Administrative</t>
  </si>
  <si>
    <t>Sales Tax</t>
  </si>
  <si>
    <t>alarm_caustic</t>
  </si>
  <si>
    <t>High/Low alarms per NaOH tank</t>
  </si>
  <si>
    <t>Caustic - Polypropylene/PVC</t>
  </si>
  <si>
    <t>Caustic - Stainless Steel</t>
  </si>
  <si>
    <t>pp_mov_eq_caustic</t>
  </si>
  <si>
    <t>Stainless Steel - caustic</t>
  </si>
  <si>
    <t>ss_mov_eq_caustic</t>
  </si>
  <si>
    <t>Polypropylene/PVC - caustic</t>
  </si>
  <si>
    <t>pp_chv_eq_brine</t>
  </si>
  <si>
    <t>ss_chv_eq_brine</t>
  </si>
  <si>
    <t>Polypropylene/PVC - Regenerant</t>
  </si>
  <si>
    <t>Stainless Steel - Regenerant</t>
  </si>
  <si>
    <t>Backwash Tanks</t>
  </si>
  <si>
    <t>Small (&lt;1 mgd)</t>
  </si>
  <si>
    <t>Medium (1-10 mgd)</t>
  </si>
  <si>
    <t>Large (&gt;10 mgd)</t>
  </si>
  <si>
    <t>Low</t>
  </si>
  <si>
    <t>Typical</t>
  </si>
  <si>
    <t>High</t>
  </si>
  <si>
    <t>Total add-on costs</t>
  </si>
  <si>
    <t>Fiberglass</t>
  </si>
  <si>
    <t>System Size Category</t>
  </si>
  <si>
    <t>Piping</t>
  </si>
  <si>
    <t>Process Piping</t>
  </si>
  <si>
    <t>lf</t>
  </si>
  <si>
    <t>in. diam</t>
  </si>
  <si>
    <t>CPVC</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</si>
  <si>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</si>
  <si>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</si>
  <si>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</si>
  <si>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</si>
  <si>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</si>
  <si>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</si>
  <si>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</si>
  <si>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</si>
  <si>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</si>
  <si>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</si>
  <si>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</si>
  <si>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</si>
  <si>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</si>
  <si>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</si>
  <si>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Concrete Pad</t>
  </si>
  <si>
    <t>sf</t>
  </si>
  <si>
    <t>cy</t>
  </si>
  <si>
    <t>Size of valves for bypass line</t>
  </si>
  <si>
    <t>Design #</t>
  </si>
  <si>
    <t>Diameter</t>
  </si>
  <si>
    <t>unit</t>
  </si>
  <si>
    <t>Size of valves for vessel pipe line</t>
  </si>
  <si>
    <t>Motor/Air Operated (on/off)</t>
  </si>
  <si>
    <t>Height</t>
  </si>
  <si>
    <t>psi</t>
  </si>
  <si>
    <t>hp</t>
  </si>
  <si>
    <t>hr/yr</t>
  </si>
  <si>
    <t>Chemical storage height</t>
  </si>
  <si>
    <t>tot_back_alarm</t>
  </si>
  <si>
    <t>Polymer solution density</t>
  </si>
  <si>
    <t>Number of check valves on polymer line per metering pump</t>
  </si>
  <si>
    <t>polymer_chv_pump</t>
  </si>
  <si>
    <t>Applies only with polymer addition to residuals</t>
  </si>
  <si>
    <t>tot_polymer_chv</t>
  </si>
  <si>
    <t>Polymer Storage Tanks</t>
  </si>
  <si>
    <t>pl_polymer_st_eq</t>
  </si>
  <si>
    <t>fg_polymer_st_eq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</si>
  <si>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</si>
  <si>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</si>
  <si>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</si>
  <si>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</si>
  <si>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</si>
  <si>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</si>
  <si>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</si>
  <si>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</si>
  <si>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</si>
  <si>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</si>
  <si>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</si>
  <si>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</si>
  <si>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</si>
  <si>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</si>
  <si>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pp_chv_eq_polymer</t>
  </si>
  <si>
    <t>ss_chv_eq_polymer</t>
  </si>
  <si>
    <t>ci_chv_eq_polymer</t>
  </si>
  <si>
    <t>pvc_polymer_mmpump_eq</t>
  </si>
  <si>
    <t>ss_polymer_mmpump_eq</t>
  </si>
  <si>
    <t>pvc_polymer_empump_eq</t>
  </si>
  <si>
    <t>ss_polymer_empump_eq</t>
  </si>
  <si>
    <t>Polymer Metering</t>
  </si>
  <si>
    <t>Polymer- Polypropylene/PVC</t>
  </si>
  <si>
    <t>Polymer- Stainless Steel</t>
  </si>
  <si>
    <t>Polymer- Cast Iron</t>
  </si>
  <si>
    <t>Polymer - Polypropylene/PVC</t>
  </si>
  <si>
    <t>Polymer - Stainless Steel</t>
  </si>
  <si>
    <t>Polymer - Cast Iron</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</si>
  <si>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</si>
  <si>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</si>
  <si>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</si>
  <si>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Single regeneration/replacement event volume</t>
  </si>
  <si>
    <t>res_outcycle_vol</t>
  </si>
  <si>
    <t>Single out-of-cycle backwash event volume</t>
  </si>
  <si>
    <t>Backwashing one vessel</t>
  </si>
  <si>
    <t>Regeneration/intial rinse for one vessel</t>
  </si>
  <si>
    <t>Time between regen/replace events</t>
  </si>
  <si>
    <t>Time between out-of-cycle backwash events</t>
  </si>
  <si>
    <t>res_outcycle_stagger_time</t>
  </si>
  <si>
    <t>Zero indicates no out-of-cycle backwash</t>
  </si>
  <si>
    <t>Actual out-of-cycle backwash discharge flow rate</t>
  </si>
  <si>
    <t>res_outcycle_flow_actual</t>
  </si>
  <si>
    <t>res_outcycle_flow</t>
  </si>
  <si>
    <t>Total including any out-of-cycle backwash</t>
  </si>
  <si>
    <t>Additional out-of-cycle backwashes per year</t>
  </si>
  <si>
    <t>Out of cycle backwash disposal frequency</t>
  </si>
  <si>
    <t>Managing regeneration/backwash</t>
  </si>
  <si>
    <t>Accounts for initial rinse even in throwaway systems</t>
  </si>
  <si>
    <t>Minutes per regeneration/backwash for automated systems</t>
  </si>
  <si>
    <t>Manual and semiautomated systems use actual regeneration/backwash time</t>
  </si>
  <si>
    <t>Backwash frequency outside of regeneration/initial rinse</t>
  </si>
  <si>
    <t>Eductors for Brine</t>
  </si>
  <si>
    <t>Motor/air operated valve</t>
  </si>
  <si>
    <t>valve</t>
  </si>
  <si>
    <t>Total number of MOVs</t>
  </si>
  <si>
    <t>Number of eductors</t>
  </si>
  <si>
    <t>eductors</t>
  </si>
  <si>
    <t>Salt density</t>
  </si>
  <si>
    <t>salt_density</t>
  </si>
  <si>
    <t>lbs/ft3</t>
  </si>
  <si>
    <t>storage_height</t>
  </si>
  <si>
    <t>max_back_flow</t>
  </si>
  <si>
    <t>build2_cfm</t>
  </si>
  <si>
    <t>Building 1 side conductance heat loss</t>
  </si>
  <si>
    <t>Buiding 1 ceiling conductance heat loss</t>
  </si>
  <si>
    <t>Building 1 air exchange heat loss</t>
  </si>
  <si>
    <t>Total flow meters for backwash line</t>
  </si>
  <si>
    <t>fm_back</t>
  </si>
  <si>
    <t>Building 2 side conductance heat loss</t>
  </si>
  <si>
    <t>Buiding 2 ceiling conductance heat loss</t>
  </si>
  <si>
    <t>Building 2 air exchange heat loss</t>
  </si>
  <si>
    <t>Turbidity meter</t>
  </si>
  <si>
    <t>turb</t>
  </si>
  <si>
    <t>Conductivity meter</t>
  </si>
  <si>
    <t>Additional turbididy meters</t>
  </si>
  <si>
    <t>Conductivity meters per vessel</t>
  </si>
  <si>
    <t>cond_tank</t>
  </si>
  <si>
    <t>add_cond</t>
  </si>
  <si>
    <t>Total turbidity meters</t>
  </si>
  <si>
    <t>Gallons of NaOH needed in storage</t>
  </si>
  <si>
    <t>gal_NaOH_store</t>
  </si>
  <si>
    <t>Max NaOH flow (based on design flow)</t>
  </si>
  <si>
    <t>des_NaOH_flow</t>
  </si>
  <si>
    <t>Desired treated water alkalinity as CaCO3</t>
  </si>
  <si>
    <t>NaOH required to raise alkalinity and pH</t>
  </si>
  <si>
    <t>NaOH_tot</t>
  </si>
  <si>
    <t>NaOH tanks</t>
  </si>
  <si>
    <t>NaOH_tanks</t>
  </si>
  <si>
    <t>NaOH_tank_vol</t>
  </si>
  <si>
    <t>NaOH tank volume</t>
  </si>
  <si>
    <t>Salt Saturators</t>
  </si>
  <si>
    <t>Regenerant Piping</t>
  </si>
  <si>
    <t>Regenerant - Polypropylene/PVC</t>
  </si>
  <si>
    <t>Regenerant - Stainless Steel</t>
  </si>
  <si>
    <t>Eductors</t>
  </si>
  <si>
    <t>Eductors and Chemical Feeders</t>
  </si>
  <si>
    <t>Additonal storage to total at least as many days supply onsite as specified in CDAs</t>
  </si>
  <si>
    <t>add_salt_store</t>
  </si>
  <si>
    <t>Chemicals and Resin</t>
  </si>
  <si>
    <t>Resin life</t>
  </si>
  <si>
    <t>years</t>
  </si>
  <si>
    <t>resin_life</t>
  </si>
  <si>
    <t>resin_yr</t>
  </si>
  <si>
    <t>cf/yr</t>
  </si>
  <si>
    <t>/cf</t>
  </si>
  <si>
    <t>Could be lower (annual average 3 changes/hr) in a northern climate</t>
  </si>
  <si>
    <t>Annual Manager LOE</t>
  </si>
  <si>
    <t>max_chem_tank_size</t>
  </si>
  <si>
    <t>Other pumps and mechanical equipment used infrequently.  Therefore, these energy costs may be assumed covered by overall process and building energy costs.</t>
  </si>
  <si>
    <t>alt_media_disp</t>
  </si>
  <si>
    <t>Void space above media bed (for horizontal vessels)</t>
  </si>
  <si>
    <t>void_above</t>
  </si>
  <si>
    <t>Adjusting pH and alkalinity of finished water</t>
  </si>
  <si>
    <t>Sodium hydroxide weight percent as delivered</t>
  </si>
  <si>
    <t>NaOH_pct</t>
  </si>
  <si>
    <t>NaOH concentration in lbs/gal</t>
  </si>
  <si>
    <t>caustic_conc_lb</t>
  </si>
  <si>
    <t>lb_NaOH_day</t>
  </si>
  <si>
    <t>lb_NaOH_store</t>
  </si>
  <si>
    <t>Gallons of NaOH needed per day</t>
  </si>
  <si>
    <t>gal_NaOH_day</t>
  </si>
  <si>
    <t>See Appendix E</t>
  </si>
  <si>
    <t>plc_cpu</t>
  </si>
  <si>
    <t>kWh/sf/yr</t>
  </si>
  <si>
    <t>Building 1 weighted average air changes</t>
  </si>
  <si>
    <t>air_changes_build1</t>
  </si>
  <si>
    <t>Building 2 weighted average air changes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</si>
  <si>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</si>
  <si>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</si>
  <si>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&lt;-- pick one</t>
  </si>
  <si>
    <t>Media regeneration or throwaway operation?</t>
  </si>
  <si>
    <t>throwaway</t>
  </si>
  <si>
    <t>num_tanks_I</t>
  </si>
  <si>
    <t>EBCT_I</t>
  </si>
  <si>
    <t>Minimum number of vessels in series (i.e., parallel or series operation)</t>
  </si>
  <si>
    <t>Theoretical total empty bed contact time (EBCT)</t>
  </si>
  <si>
    <r>
      <t xml:space="preserve">For information: </t>
    </r>
    <r>
      <rPr>
        <sz val="10"/>
        <color indexed="17"/>
        <rFont val="Arial"/>
        <family val="2"/>
      </rPr>
      <t>EBCT per Vessel</t>
    </r>
  </si>
  <si>
    <t>&lt;-- enter 1 for parallel, 2 or more for series</t>
  </si>
  <si>
    <t>Subtotal General Operator Labor</t>
  </si>
  <si>
    <t>Total Annual Operator LOE</t>
  </si>
  <si>
    <t>Size of flow meters for backwash line</t>
  </si>
  <si>
    <t>alarm_back</t>
  </si>
  <si>
    <t>Sampling ports</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</si>
  <si>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</si>
  <si>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</si>
  <si>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</si>
  <si>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</si>
  <si>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</si>
  <si>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</si>
  <si>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</si>
  <si>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</si>
  <si>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</si>
  <si>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</si>
  <si>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</si>
  <si>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</si>
  <si>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</si>
  <si>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</si>
  <si>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</si>
  <si>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</si>
  <si>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</si>
  <si>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</si>
  <si>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1 indicates small system, 2 indicates medium, 3 indicates large</t>
  </si>
  <si>
    <t>Building Structure</t>
  </si>
  <si>
    <t>Footprints for vessels</t>
  </si>
  <si>
    <t>vessel_fp</t>
  </si>
  <si>
    <t>Footprint for backwash tank</t>
  </si>
  <si>
    <t>back_tank_fp</t>
  </si>
  <si>
    <t>One CPU is needed to run the local and expansion bases and modules (max 8192 I/O); using two to provide redundancy</t>
  </si>
  <si>
    <t>One ethernet module is needed; using two to provide redundancy</t>
  </si>
  <si>
    <t>Two to provide redundancy in the event of SCADA node failure</t>
  </si>
  <si>
    <t>Minimum residuals pipe diameter</t>
  </si>
  <si>
    <t>min_res_pipe_size</t>
  </si>
  <si>
    <t>in. diam.</t>
  </si>
  <si>
    <t>hazardous waste disposal</t>
  </si>
  <si>
    <t>&lt;-- 1 for direct discharge to surface water, 2 for discharge to POTW, 3 for evaporation pond, 4 for hazardous waste disposal</t>
  </si>
  <si>
    <t>Liquid Hazardous Waste Disposal</t>
  </si>
  <si>
    <t>Disposal frequency</t>
  </si>
  <si>
    <t>Total annual liquid hazardous waste disposal fee</t>
  </si>
  <si>
    <t>lhaz_fee</t>
  </si>
  <si>
    <t>Maximum liquid hazardous waste shipment size</t>
  </si>
  <si>
    <t>max_lhaz_ship</t>
  </si>
  <si>
    <t>Annual resin loss</t>
  </si>
  <si>
    <t>resin_loss_annual</t>
  </si>
  <si>
    <t>Depends on whether system is operated in parallel or series (lead/lag)</t>
  </si>
  <si>
    <t>Number of manual valves for process line per vessel</t>
  </si>
  <si>
    <t>Number of manual valves for backwash line</t>
  </si>
  <si>
    <t>Number of manual valves for regenerant line</t>
  </si>
  <si>
    <t>Number of manual valves for caustic line</t>
  </si>
  <si>
    <t>tot_back_man</t>
  </si>
  <si>
    <t>tot_brine_man</t>
  </si>
  <si>
    <t>tot_caustic_man</t>
  </si>
  <si>
    <t>proc_man_vessel_cont</t>
  </si>
  <si>
    <t>res_man_pump</t>
  </si>
  <si>
    <t>res_man_tank</t>
  </si>
  <si>
    <t>Manual valves on residuals line per residuals pump</t>
  </si>
  <si>
    <t>from max_height CDA</t>
  </si>
  <si>
    <t xml:space="preserve"> - vertical vessel diameter</t>
  </si>
  <si>
    <t>comp_min_vert_diam</t>
  </si>
  <si>
    <t>max_diam CDA</t>
  </si>
  <si>
    <t>comp_max_vert_diam</t>
  </si>
  <si>
    <t>from max_diam CDA</t>
  </si>
  <si>
    <t>ss_eductor_eq</t>
  </si>
  <si>
    <t>Plastic</t>
  </si>
  <si>
    <t>pl_eductor_eq</t>
  </si>
  <si>
    <t>Vessel requirements based on bed depth and contact time</t>
  </si>
  <si>
    <t>Quantities based on user-specified vessel dimensions</t>
  </si>
  <si>
    <t>Media volume per tank</t>
  </si>
  <si>
    <t>media_volume</t>
  </si>
  <si>
    <t>media_volume_gal</t>
  </si>
  <si>
    <t>Media mass per vessel</t>
  </si>
  <si>
    <t>media_per_vessel</t>
  </si>
  <si>
    <t>Total media required</t>
  </si>
  <si>
    <t>total_media</t>
  </si>
  <si>
    <t>Media volume when expanded</t>
  </si>
  <si>
    <t>media_volume_expanded</t>
  </si>
  <si>
    <t>Total vessel volume</t>
  </si>
  <si>
    <t>Checks on user-specified dimensions</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</si>
  <si>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</si>
  <si>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</si>
  <si>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</si>
  <si>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</si>
  <si>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</si>
  <si>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</si>
  <si>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</si>
  <si>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</si>
  <si>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</si>
  <si>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</si>
  <si>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</si>
  <si>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</si>
  <si>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available for media and expansion:</t>
  </si>
  <si>
    <t>Vertical vessel</t>
  </si>
  <si>
    <t>vert_vol_available</t>
  </si>
  <si>
    <t>Horizontal vessel</t>
  </si>
  <si>
    <t>horiz_vol_available</t>
  </si>
  <si>
    <t>For selected vessel geometry</t>
  </si>
  <si>
    <t>input_vol_vess</t>
  </si>
  <si>
    <t>Leave blank to accept model defaults (systems &lt;1 MGD backwash using existing supply or treated water pumps, other systems add new backwash pumps)</t>
  </si>
  <si>
    <t>Size of valves for regenerant line</t>
  </si>
  <si>
    <t>Size of valves for caustic line</t>
  </si>
  <si>
    <t>caustic_valve_size</t>
  </si>
  <si>
    <t>Number of MOVs for regenerant line</t>
  </si>
  <si>
    <t>tot_caustic_MOVs</t>
  </si>
  <si>
    <t>Number of MOVs for caustic line</t>
  </si>
  <si>
    <t>tot_caustic_chv</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</si>
  <si>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</si>
  <si>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</si>
  <si>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</si>
  <si>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</si>
  <si>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</si>
  <si>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</si>
  <si>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</si>
  <si>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</si>
  <si>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</si>
  <si>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</si>
  <si>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</si>
  <si>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</si>
  <si>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</si>
  <si>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</si>
  <si>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</si>
  <si>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Bypass - Stainless Steel</t>
  </si>
  <si>
    <t>Bypass - Cast Iron</t>
  </si>
  <si>
    <t>tot_MOVs</t>
  </si>
  <si>
    <t>Controllers are used only under full automation</t>
  </si>
  <si>
    <t>Full automation includes all inputs and outputs, semi-automated uses inputs only, manual control uses neither</t>
  </si>
  <si>
    <t>Total drive controllers</t>
  </si>
  <si>
    <t>Drive controllers</t>
  </si>
  <si>
    <t>Generally varies between 41 to 46  lbs/ft3 with an average of 43 /bs/ft3 (Based on peer review)</t>
  </si>
  <si>
    <t>To change the degree of automation, change the number of controllers to zero for the appropriate items.</t>
  </si>
  <si>
    <t>Drive controllers per eductor</t>
  </si>
  <si>
    <t>Drive controllers per regenerant mixer</t>
  </si>
  <si>
    <t>Drive controllers per metering pump</t>
  </si>
  <si>
    <t>Drive controllers per booster pump</t>
  </si>
  <si>
    <t>Drive controllers per backwash pump</t>
  </si>
  <si>
    <t>Residual solids storage height (for drying pad)</t>
  </si>
  <si>
    <t>solids_storage_height</t>
  </si>
  <si>
    <t>Solids drying pad</t>
  </si>
  <si>
    <t>Area required</t>
  </si>
  <si>
    <t>Additional salt storage needed</t>
  </si>
  <si>
    <t>Provides one day, one week, or one month of storage, depending on quantity needed</t>
  </si>
  <si>
    <t>Cast Iron - Process</t>
  </si>
  <si>
    <t>Manual</t>
  </si>
  <si>
    <t>S_cm_pump</t>
  </si>
  <si>
    <t>&lt;--Enter 1 to design for rounding on vessel design sheet, 0 otherwise</t>
  </si>
  <si>
    <t>strictest minimum of the above, rounded</t>
  </si>
  <si>
    <t>I/O Ports needed per….</t>
  </si>
  <si>
    <t>Lookup name</t>
  </si>
  <si>
    <t>Discrete Inputs</t>
  </si>
  <si>
    <t>Discrete Outputs</t>
  </si>
  <si>
    <t>Analog Inputs</t>
  </si>
  <si>
    <t>Analog Outputs</t>
  </si>
  <si>
    <t>Actual residuals discharge flow rate</t>
  </si>
  <si>
    <t>res_flow_actual</t>
  </si>
  <si>
    <t>Accounts for flow equalization if holding tanks used</t>
  </si>
  <si>
    <t>Design residuals discharge flow rate</t>
  </si>
  <si>
    <t>res_flow</t>
  </si>
  <si>
    <t>Accounts for less than perfect staggering if holding tanks are used</t>
  </si>
  <si>
    <t>Annual residuals dischage</t>
  </si>
  <si>
    <t>res_flow_annual</t>
  </si>
  <si>
    <t>Total high/low alarms for NaOH tanks</t>
  </si>
  <si>
    <t>Spent media quantity (total per event)</t>
  </si>
  <si>
    <t>Capital Items</t>
  </si>
  <si>
    <t>Holding tanks (for flow equalization)</t>
  </si>
  <si>
    <t>Number of holding tanks</t>
  </si>
  <si>
    <t>htanks</t>
  </si>
  <si>
    <t>Holding tank volume</t>
  </si>
  <si>
    <t>htank_vol</t>
  </si>
  <si>
    <t>hmixers</t>
  </si>
  <si>
    <t>Number of pumps</t>
  </si>
  <si>
    <t>res_pumps</t>
  </si>
  <si>
    <t>Pump design rating</t>
  </si>
  <si>
    <t>res_pump_rating</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</si>
  <si>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</si>
  <si>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</si>
  <si>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</si>
  <si>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</si>
  <si>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</si>
  <si>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</si>
  <si>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</si>
  <si>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</si>
  <si>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</si>
  <si>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Additional freeboard provided above grade by dike</t>
  </si>
  <si>
    <t>For manual and semiautomated systems</t>
  </si>
  <si>
    <t>For semiautomated and automated systems</t>
  </si>
  <si>
    <t>Max holding tank mixer horsepower</t>
  </si>
  <si>
    <t>hmix_hp_max</t>
  </si>
  <si>
    <t>The largest impeller mixer size available</t>
  </si>
  <si>
    <t>hmix_per_tank</t>
  </si>
  <si>
    <t>himp_mix_eq</t>
  </si>
  <si>
    <t>Impeller</t>
  </si>
  <si>
    <t>Labor and Materials</t>
  </si>
  <si>
    <t>hours/year</t>
  </si>
  <si>
    <t>Operator</t>
  </si>
  <si>
    <t>Regenerant portion of annual residuals discharge</t>
  </si>
  <si>
    <t>regen_flow_annual</t>
  </si>
  <si>
    <t>Evaporation Pond or Holding Tank Solids</t>
  </si>
  <si>
    <t>Evaporation pond TSS accumulation</t>
  </si>
  <si>
    <t>Evaporation pond TDS (regenerant) accumulation</t>
  </si>
  <si>
    <t>This sheet is used internally by the Auto Size macro to iteratively select the lowest capital cost design meeting engineering constraints.  This sheet is used only if the Auto Size button is clicked.  Advanced users may adjust the automated sizing procedure following the guidance below.</t>
  </si>
  <si>
    <t>Set to zero because vendor designs and quotes are usually expressed in inside diameter.  Increase if user desires to input outside diameter.</t>
  </si>
  <si>
    <t>pit_length</t>
  </si>
  <si>
    <t>Test pit width</t>
  </si>
  <si>
    <t>pit_width</t>
  </si>
  <si>
    <t>Test pit depth</t>
  </si>
  <si>
    <t>pit_depth</t>
  </si>
  <si>
    <t>Borehole depth</t>
  </si>
  <si>
    <t>bore_depth</t>
  </si>
  <si>
    <t>Technology footprint above which boreholes are needed</t>
  </si>
  <si>
    <t>bore_need</t>
  </si>
  <si>
    <t>Trench Volume to Distribution Network</t>
  </si>
  <si>
    <t>Trench Volume total</t>
  </si>
  <si>
    <t>trench_vol</t>
  </si>
  <si>
    <t>Equivalent pipe length</t>
  </si>
  <si>
    <t>yard_pipe_length</t>
  </si>
  <si>
    <t>Booster pumps</t>
  </si>
  <si>
    <t>General Labor</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</si>
  <si>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</si>
  <si>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</si>
  <si>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</si>
  <si>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</si>
  <si>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</si>
  <si>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</si>
  <si>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</si>
  <si>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</si>
  <si>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</si>
  <si>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</si>
  <si>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</si>
  <si>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</si>
  <si>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</si>
  <si>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</si>
  <si>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</si>
  <si>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</si>
  <si>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</si>
  <si>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</si>
  <si>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</si>
  <si>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</si>
  <si>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</si>
  <si>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</si>
  <si>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</si>
  <si>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</si>
  <si>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tot_man_valves</t>
  </si>
  <si>
    <t>Number of check valves on backwash line per backwash pump</t>
  </si>
  <si>
    <t>back_chv_pump</t>
  </si>
  <si>
    <t>tot_fm_in</t>
  </si>
  <si>
    <t>Flow meter assemblies include pressure gauges</t>
  </si>
  <si>
    <t>fm_proc</t>
  </si>
  <si>
    <t>Level switch/alarms per vessel</t>
  </si>
  <si>
    <t>units/vessel</t>
  </si>
  <si>
    <t>High/Low alarms per backwash tank</t>
  </si>
  <si>
    <t>Additional conductivity meters</t>
  </si>
  <si>
    <t>heating</t>
  </si>
  <si>
    <t>heating_hp</t>
  </si>
  <si>
    <t>heating_gas_non</t>
  </si>
  <si>
    <t>Multiple pump approach eliminates need for redundant pumps.</t>
  </si>
  <si>
    <t>Flow of each booster pump</t>
  </si>
  <si>
    <t>Number of CPUs</t>
  </si>
  <si>
    <t>Operator interfaces</t>
  </si>
  <si>
    <t>Number of MOVs for process line</t>
  </si>
  <si>
    <t>tot_proc_MOVs</t>
  </si>
  <si>
    <t>Number of MOVs for backwash line</t>
  </si>
  <si>
    <t>tot_back_MOVs</t>
  </si>
  <si>
    <t>tot_back_chv</t>
  </si>
  <si>
    <t>Size of flow meters for influent line</t>
  </si>
  <si>
    <t>in_meter_size</t>
  </si>
  <si>
    <t>Size of flow meters for process line</t>
  </si>
  <si>
    <t>proc_meter_size</t>
  </si>
  <si>
    <t>Assumes staggered regeneration</t>
  </si>
  <si>
    <t>Maximum chemical metering pump size</t>
  </si>
  <si>
    <t>max_cm_pump_size</t>
  </si>
  <si>
    <t>The largest pump size for which costs are available.</t>
  </si>
  <si>
    <t>The largest pump size for which costs are available.  For booster pumps, will override lines per pump input, if this input results in pumps that are too large.</t>
  </si>
  <si>
    <t>Brine loading rate</t>
  </si>
  <si>
    <t>brine_load</t>
  </si>
  <si>
    <t>lb/square ft</t>
  </si>
  <si>
    <t>Water rinse bed volumes</t>
  </si>
  <si>
    <t>rinse_BV</t>
  </si>
  <si>
    <t>Mixer size for regenerant tanks</t>
  </si>
  <si>
    <t>Saturated brine concentration</t>
  </si>
  <si>
    <t>brine_conc_sat</t>
  </si>
  <si>
    <t>Volume of dilute brine needed per vessel</t>
  </si>
  <si>
    <t>Volume of saturated brine needed per vessel</t>
  </si>
  <si>
    <t>vol_brine_sat</t>
  </si>
  <si>
    <t>Brine dilution water</t>
  </si>
  <si>
    <t>brine_dilution_vol</t>
  </si>
  <si>
    <t>Brine dilution water flow</t>
  </si>
  <si>
    <t>brine_dilution_gpm</t>
  </si>
  <si>
    <t>Water rinse loading rate</t>
  </si>
  <si>
    <t>rinse_rate</t>
  </si>
  <si>
    <t>Assumes same as backwash rate</t>
  </si>
  <si>
    <t>Volume required</t>
  </si>
  <si>
    <t>mix_tank_vol_tot</t>
  </si>
  <si>
    <t>Bedding volume</t>
  </si>
  <si>
    <t>bedding_vol</t>
  </si>
  <si>
    <t>Bedding cost</t>
  </si>
  <si>
    <t>Excavation cost</t>
  </si>
  <si>
    <t>Backfill cost</t>
  </si>
  <si>
    <t>Thrust block cost</t>
  </si>
  <si>
    <t>Pipe cost</t>
  </si>
  <si>
    <t>Total yard piping cost</t>
  </si>
  <si>
    <t>yard_cost</t>
  </si>
  <si>
    <t>Calculated based on system requirements.</t>
  </si>
  <si>
    <t>no_backwash</t>
  </si>
  <si>
    <t>Footprint of building 1</t>
  </si>
  <si>
    <t>build1_fp</t>
  </si>
  <si>
    <t>Footprint of building 2</t>
  </si>
  <si>
    <t>build2_fp</t>
  </si>
  <si>
    <t>Backwash pump rating</t>
  </si>
  <si>
    <t>back_pump_rating</t>
  </si>
  <si>
    <t># redundant vessels</t>
  </si>
  <si>
    <t>Holding tank for spent regenerant/backwash</t>
  </si>
  <si>
    <t>Discharge option for spent regenerant/backwash</t>
  </si>
  <si>
    <t>surface water</t>
  </si>
  <si>
    <t>evaporation pond</t>
  </si>
  <si>
    <t>Calculated based on system requirements.  Excluded by default for small systems.</t>
  </si>
  <si>
    <t>Included for high cost systems only.</t>
  </si>
  <si>
    <t>Typically 2-5% of the estimated construction cost. Enter 0% to exclude. Excluded by default for pre-engineered packages</t>
  </si>
  <si>
    <t>Access space per pump for custom designed systems</t>
  </si>
  <si>
    <t>space_pumps_cust</t>
  </si>
  <si>
    <t>Access space per pump for pre-engineered packages</t>
  </si>
  <si>
    <t>space_pumps_pre</t>
  </si>
  <si>
    <t>Pumps on skid for pre-engineered packages, no additional access space</t>
  </si>
  <si>
    <t>Include construction management cost for pre-engineered packages?</t>
  </si>
  <si>
    <t>include_cm_pre</t>
  </si>
  <si>
    <t>S_eductor</t>
  </si>
  <si>
    <t>Included in line item unit costs.  Add a percentage for special considerations such as a remote site or high cost location.</t>
  </si>
  <si>
    <t>Sitework</t>
  </si>
  <si>
    <t>Standby power for cooling</t>
  </si>
  <si>
    <t>std_cool</t>
  </si>
  <si>
    <t>Total standby power requirements</t>
  </si>
  <si>
    <t>std_power</t>
  </si>
  <si>
    <t>Total standby power cost</t>
  </si>
  <si>
    <t>std_power_cost</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</si>
  <si>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</si>
  <si>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</si>
  <si>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</si>
  <si>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</si>
  <si>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</si>
  <si>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</si>
  <si>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</si>
  <si>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</si>
  <si>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</si>
  <si>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</si>
  <si>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</si>
  <si>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Borings, drill rig and crew with truck mounted auger</t>
  </si>
  <si>
    <t>Borings, cased borings in earth, w/samples, 2.5" dia</t>
  </si>
  <si>
    <t>Test pits</t>
  </si>
  <si>
    <t>Total geotechnical cost</t>
  </si>
  <si>
    <t>geotech_cost</t>
  </si>
  <si>
    <t>Total sitework cost</t>
  </si>
  <si>
    <t>sitework_cost</t>
  </si>
  <si>
    <t>strictest maximum of the above</t>
  </si>
  <si>
    <t>Trench Volume Between Buildings</t>
  </si>
  <si>
    <t>Pump Design</t>
  </si>
  <si>
    <t>Piping Design</t>
  </si>
  <si>
    <t>Backwash pipe diameter</t>
  </si>
  <si>
    <t>heating_gas</t>
  </si>
  <si>
    <t>heating_diesel_non</t>
  </si>
  <si>
    <t>heating_diesel</t>
  </si>
  <si>
    <t>Office space</t>
  </si>
  <si>
    <t>12.1.8</t>
  </si>
  <si>
    <t>12.1.9</t>
  </si>
  <si>
    <t>12.2.1</t>
  </si>
  <si>
    <t>12.2.2</t>
  </si>
  <si>
    <t>12.2.3</t>
  </si>
  <si>
    <t>12.2.4</t>
  </si>
  <si>
    <t>12.3.1</t>
  </si>
  <si>
    <t>12.3.2</t>
  </si>
  <si>
    <t>12.3.3</t>
  </si>
  <si>
    <t>12.3.4</t>
  </si>
  <si>
    <t>Evaporation pond solids removal frequency</t>
  </si>
  <si>
    <t>dredging_freq</t>
  </si>
  <si>
    <t>per year</t>
  </si>
  <si>
    <t>no_back_tank_I</t>
  </si>
  <si>
    <t>No backwash tanks</t>
  </si>
  <si>
    <t>&lt;-- 1 = backwash using existing supply or treated water pumps, blank = include backwash pumps in costs</t>
  </si>
  <si>
    <t>&lt;-- 1 = backwash from existing storage or supply, blank = include backwash tanks in costs</t>
  </si>
  <si>
    <t>Buildup error?</t>
  </si>
  <si>
    <t>Clearance space beneath the ceiling</t>
  </si>
  <si>
    <t>ceiling_clearance</t>
  </si>
  <si>
    <t>Minimum space between the tops of storage tanks and the ceiling</t>
  </si>
  <si>
    <t>Minimum standby power generator size</t>
  </si>
  <si>
    <t>min_standby</t>
  </si>
  <si>
    <t>Minimum size for full standby generators</t>
  </si>
  <si>
    <t>Include concrete pad in total capital cost?</t>
  </si>
  <si>
    <t>include_pad</t>
  </si>
  <si>
    <t>Backwash pumping</t>
  </si>
  <si>
    <t>Backwash storage</t>
  </si>
  <si>
    <t>Include construction management cost?</t>
  </si>
  <si>
    <t>include_cm</t>
  </si>
  <si>
    <t>Construction Management and General Contractor Job Overhead</t>
  </si>
  <si>
    <t>Performance bond cost</t>
  </si>
  <si>
    <t>Construction management percentage</t>
  </si>
  <si>
    <t>Construction management fee</t>
  </si>
  <si>
    <t>pump_fp</t>
  </si>
  <si>
    <t>total_fp</t>
  </si>
  <si>
    <t>Concrete Class A for vessel and pumps padding</t>
  </si>
  <si>
    <t>concrete</t>
  </si>
  <si>
    <t>cubic yards</t>
  </si>
  <si>
    <t>Access space per pump</t>
  </si>
  <si>
    <t>space_pumps</t>
  </si>
  <si>
    <t>WBS #</t>
  </si>
  <si>
    <t>Item</t>
  </si>
  <si>
    <t>Quantity</t>
  </si>
  <si>
    <t>no holding tank</t>
  </si>
  <si>
    <t>Standard oil furnace efficiency</t>
  </si>
  <si>
    <t>Mid-efficiency oil furnace efficiency</t>
  </si>
  <si>
    <t>Hours per resin changeout</t>
  </si>
  <si>
    <t>Managing resin changeouts</t>
  </si>
  <si>
    <t>This represents the maximum flow a given vessel could handle, not the flow during normal operating conditions</t>
  </si>
  <si>
    <t>Minimum volume of resin per vessel</t>
  </si>
  <si>
    <t>Pounds of pure NaOH needed per day</t>
  </si>
  <si>
    <t>Pounds of pure NaOH needed in storage</t>
  </si>
  <si>
    <t>For information:</t>
  </si>
  <si>
    <t>Treatment system design flow</t>
  </si>
  <si>
    <t>Bypass design flow</t>
  </si>
  <si>
    <t>max_diam_override</t>
  </si>
  <si>
    <t>Maximum vessel diameter will be chosen from a table of conventional sizes for commercial vessels, unless entered here.  Systems have used vessels up to 14' diam and height in practice (AWWA Inorganic Contaminants Workshop 2006)</t>
  </si>
  <si>
    <t>Maximum Standard Vessel Diameter</t>
  </si>
  <si>
    <t>max_diam_std_size</t>
  </si>
  <si>
    <t>Standard unless overridden on CDA's</t>
  </si>
  <si>
    <t>Time between regenerations</t>
  </si>
  <si>
    <t>regen_freq</t>
  </si>
  <si>
    <t>max bed depth for max_height or max_diam, given freeboard and bed expansion</t>
  </si>
  <si>
    <t>Ventilation air change rate for offices</t>
  </si>
  <si>
    <t>Air_changes_office</t>
  </si>
  <si>
    <t>Building height</t>
  </si>
  <si>
    <t>Building_height</t>
  </si>
  <si>
    <t>NaOHdaytank_diam</t>
  </si>
  <si>
    <t>Access space per NaOH tank</t>
  </si>
  <si>
    <t>space_NaOHtank</t>
  </si>
  <si>
    <t>Access space per NaOH day tank</t>
  </si>
  <si>
    <t>space_NaOHdaytank</t>
  </si>
  <si>
    <t>Footprint for NaOH storage tanks</t>
  </si>
  <si>
    <t>NaOH_tank_fp</t>
  </si>
  <si>
    <t>Footprint for NaOH day tanks</t>
  </si>
  <si>
    <t>NaOHday_tank_fp</t>
  </si>
  <si>
    <t>pl_day_eq</t>
  </si>
  <si>
    <t>fg_day_eq</t>
  </si>
  <si>
    <t>Storage Tank Mixers</t>
  </si>
  <si>
    <t>cmount_mix_eq</t>
  </si>
  <si>
    <t>Impeller Mixers</t>
  </si>
  <si>
    <t>cimp_mix_eq</t>
  </si>
  <si>
    <t>Day Tank Mixers</t>
  </si>
  <si>
    <t>dmount_mix_eq</t>
  </si>
  <si>
    <t>dimp_mix_eq</t>
  </si>
  <si>
    <t>3.6</t>
  </si>
  <si>
    <t>3.6.1</t>
  </si>
  <si>
    <t>Caustic Day Tanks</t>
  </si>
  <si>
    <t>8.2</t>
  </si>
  <si>
    <t>8.3</t>
  </si>
  <si>
    <t>8.4</t>
  </si>
  <si>
    <t>8.3.1</t>
  </si>
  <si>
    <t>8.4.1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</si>
  <si>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</si>
  <si>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</si>
  <si>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</si>
  <si>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</si>
  <si>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</si>
  <si>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</si>
  <si>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</si>
  <si>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</si>
  <si>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</si>
  <si>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</si>
  <si>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</si>
  <si>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</si>
  <si>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</si>
  <si>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</si>
  <si>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</si>
  <si>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</si>
  <si>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</si>
  <si>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</si>
  <si>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</si>
  <si>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</si>
  <si>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</si>
  <si>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</si>
  <si>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</si>
  <si>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</si>
  <si>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</si>
  <si>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</si>
  <si>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</si>
  <si>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</si>
  <si>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</si>
  <si>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</si>
  <si>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</si>
  <si>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</si>
  <si>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</si>
  <si>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</si>
  <si>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</si>
  <si>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</si>
  <si>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</si>
  <si>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</si>
  <si>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</si>
  <si>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</si>
  <si>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</si>
  <si>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</si>
  <si>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</si>
  <si>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</si>
  <si>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</si>
  <si>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</si>
  <si>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</si>
  <si>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</si>
  <si>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</si>
  <si>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</si>
  <si>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</si>
  <si>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</si>
  <si>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</si>
  <si>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</si>
  <si>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</si>
  <si>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</si>
  <si>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</si>
  <si>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</si>
  <si>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</si>
  <si>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</si>
  <si>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</si>
  <si>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</si>
  <si>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</si>
  <si>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</si>
  <si>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</si>
  <si>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</si>
  <si>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</si>
  <si>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</si>
  <si>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</si>
  <si>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</si>
  <si>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</si>
  <si>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</si>
  <si>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</si>
  <si>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</si>
  <si>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</si>
  <si>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</si>
  <si>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</si>
  <si>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</si>
  <si>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</si>
  <si>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</si>
  <si>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</si>
  <si>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</si>
  <si>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</si>
  <si>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</si>
  <si>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</si>
  <si>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</si>
  <si>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</si>
  <si>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</si>
  <si>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</si>
  <si>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</si>
  <si>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</si>
  <si>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Power lost: booster pumps</t>
  </si>
  <si>
    <t>Waste heat: booster pumps</t>
  </si>
  <si>
    <t>eloss_pumps</t>
  </si>
  <si>
    <t>waste_heat_pumps</t>
  </si>
  <si>
    <t>Power lost: backwash pumps</t>
  </si>
  <si>
    <t>Waste heat: backwash pumps</t>
  </si>
  <si>
    <t>eloss_bw_pumps</t>
  </si>
  <si>
    <t>waste_heat_bw_pumps</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</si>
  <si>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</si>
  <si>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</si>
  <si>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</si>
  <si>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</si>
  <si>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</si>
  <si>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</si>
  <si>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</si>
  <si>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</si>
  <si>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</si>
  <si>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</si>
  <si>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</si>
  <si>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</si>
  <si>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</si>
  <si>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</si>
  <si>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</si>
  <si>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</si>
  <si>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</si>
  <si>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</si>
  <si>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</si>
  <si>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</si>
  <si>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</si>
  <si>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</si>
  <si>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</si>
  <si>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</si>
  <si>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</si>
  <si>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</si>
  <si>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</si>
  <si>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</si>
  <si>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</si>
  <si>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</si>
  <si>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</si>
  <si>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</si>
  <si>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</si>
  <si>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</si>
  <si>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</si>
  <si>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</si>
  <si>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</si>
  <si>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</si>
  <si>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</si>
  <si>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</si>
  <si>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</si>
  <si>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</si>
  <si>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</si>
  <si>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</si>
  <si>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</si>
  <si>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</si>
  <si>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</si>
  <si>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</si>
  <si>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</si>
  <si>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</si>
  <si>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</si>
  <si>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</si>
  <si>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</si>
  <si>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</si>
  <si>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</si>
  <si>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</si>
  <si>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</si>
  <si>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</si>
  <si>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</si>
  <si>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add_backwash_freq</t>
  </si>
  <si>
    <t>Leave blank to assume backwash occurs only at regneration/resin replacement (initial rinse), enter a value to incorporate additional, out-of-cycle backwashes</t>
  </si>
  <si>
    <t>Relevant only for regenerated systems or throwaway systems with frequent backwash</t>
  </si>
  <si>
    <t>Number of manual valves for residuals line</t>
  </si>
  <si>
    <t>Backwash/Rinse Tanks</t>
  </si>
  <si>
    <t>Backwash/Rinse</t>
  </si>
  <si>
    <t>Materials for backwash/rinse pumps</t>
  </si>
  <si>
    <t>Energy for backwash/rinse pumps</t>
  </si>
  <si>
    <t>Backwash/Rinse Pumping</t>
  </si>
  <si>
    <t>Backwash/Rinse Storage</t>
  </si>
  <si>
    <t>Cartridge filtration should result in low solids accumulation on resin, thus no settling without coagulant addition</t>
  </si>
  <si>
    <t>Drive controllers per residuals pump</t>
  </si>
  <si>
    <t>Design out-of-cycle residuals discharge flow rate</t>
  </si>
  <si>
    <t>back_man_pump</t>
  </si>
  <si>
    <t>back_man_tank</t>
  </si>
  <si>
    <t>back_man_brine</t>
  </si>
  <si>
    <t>back_man_add</t>
  </si>
  <si>
    <t>back_man_eductor</t>
  </si>
  <si>
    <t>brine_man_tank</t>
  </si>
  <si>
    <t>brine_man_vessel</t>
  </si>
  <si>
    <t>caustic_man_pump</t>
  </si>
  <si>
    <t>tot_bp_man</t>
  </si>
  <si>
    <t>Manual valves on process line per vessel (parallel systems)</t>
  </si>
  <si>
    <t>Manual valves on process line per vessel (series systems)</t>
  </si>
  <si>
    <t>Manual valves on process line per booster pump</t>
  </si>
  <si>
    <t>Manual valves on backwash line per vessel</t>
  </si>
  <si>
    <t>Manual valves on backwash line per backwash pump</t>
  </si>
  <si>
    <t>Manual valves on backwash line per backwash tank</t>
  </si>
  <si>
    <t>Manual valves on backwash line per mixing tank or salt saturator</t>
  </si>
  <si>
    <t>Manual valves on backwash line per eductor</t>
  </si>
  <si>
    <t>Manual valves on regenerant line per mixing tank or salt saturator</t>
  </si>
  <si>
    <t>Manual valves on regenerant line per process vessel</t>
  </si>
  <si>
    <t>OUTPUT SUMMARY</t>
  </si>
  <si>
    <t>Direct Capital Cost</t>
  </si>
  <si>
    <t>Add-on Cost</t>
  </si>
  <si>
    <t>Indirect Capital Cost</t>
  </si>
  <si>
    <t>Total Capital Cost</t>
  </si>
  <si>
    <t>Annual O&amp;M Cost</t>
  </si>
  <si>
    <t># of treatment trains</t>
  </si>
  <si>
    <t># of vessels in series</t>
  </si>
  <si>
    <t>Total EBCT</t>
  </si>
  <si>
    <t>MGD (excludes bypass flow)</t>
  </si>
  <si>
    <t>(i.e., parallel or series operation)</t>
  </si>
  <si>
    <t>Total direct capital cost</t>
  </si>
  <si>
    <t>Lighting</t>
  </si>
  <si>
    <t>lighting</t>
  </si>
  <si>
    <t>Residuals holding tank footprint</t>
  </si>
  <si>
    <t>htank_fp</t>
  </si>
  <si>
    <t>Additional footprint for evaporation pond</t>
  </si>
  <si>
    <t>ep_fp</t>
  </si>
  <si>
    <t>Energy for residuals pumps</t>
  </si>
  <si>
    <t>ton/yr</t>
  </si>
  <si>
    <t>/ton</t>
  </si>
  <si>
    <t>Characteristics of evaporation pond or holding tank solids</t>
  </si>
  <si>
    <t>Holding tank for spent regenerant</t>
  </si>
  <si>
    <t>Access space per backwash tank</t>
  </si>
  <si>
    <t>space_bt</t>
  </si>
  <si>
    <t>space_st</t>
  </si>
  <si>
    <t>Access space per salt saturator</t>
  </si>
  <si>
    <t>space_ss</t>
  </si>
  <si>
    <t>Building 1 air exchange rate</t>
  </si>
  <si>
    <t>build1_cfm</t>
  </si>
  <si>
    <t>Building 2 air exchange rate</t>
  </si>
  <si>
    <t>max_length CDA</t>
  </si>
  <si>
    <t>max volume combined with actual diameter</t>
  </si>
  <si>
    <t>strictest max of the above, rounded</t>
  </si>
  <si>
    <t>Results</t>
  </si>
  <si>
    <t>Success?</t>
  </si>
  <si>
    <t>comp_out_success</t>
  </si>
  <si>
    <t>set by the autosize algorithm; TRUE if it finds a valid size, FALSE otherwise</t>
  </si>
  <si>
    <t>Bypass Piping</t>
  </si>
  <si>
    <t>Valves and Fittings</t>
  </si>
  <si>
    <t>Portable</t>
  </si>
  <si>
    <t>Bedding cross sectional surface area</t>
  </si>
  <si>
    <t>in_valve_size</t>
  </si>
  <si>
    <t>Size of valves for backwash line</t>
  </si>
  <si>
    <t>manual_I</t>
  </si>
  <si>
    <t>Manual system controls</t>
  </si>
  <si>
    <t>1 for yes, 0 for no</t>
  </si>
  <si>
    <t>brine_method_I</t>
  </si>
  <si>
    <t>res_s2_opt_I</t>
  </si>
  <si>
    <t>res_s1_opt_I</t>
  </si>
  <si>
    <t>media_haz_I</t>
  </si>
  <si>
    <t>solids_haz_I</t>
  </si>
  <si>
    <r>
      <t xml:space="preserve">For information: </t>
    </r>
    <r>
      <rPr>
        <sz val="10"/>
        <color indexed="17"/>
        <rFont val="Arial"/>
        <family val="2"/>
      </rPr>
      <t># of booster pumps</t>
    </r>
  </si>
  <si>
    <t>Total annual spent media diposal fee</t>
  </si>
  <si>
    <t>disposal_fee</t>
  </si>
  <si>
    <t>Evaporation Pond/Holding Tank Solids Disposal Fees</t>
  </si>
  <si>
    <t>Total annual pond/tank solids diposal fee</t>
  </si>
  <si>
    <t>sol_disposal_fee</t>
  </si>
  <si>
    <t>Access space per residuals holding tank</t>
  </si>
  <si>
    <t>space_ht</t>
  </si>
  <si>
    <t>Residuals pump footprint</t>
  </si>
  <si>
    <t>air_changes_build2</t>
  </si>
  <si>
    <t>Building 1 ventilation</t>
  </si>
  <si>
    <t>Building 2 ventilation</t>
  </si>
  <si>
    <t>Total ventilation</t>
  </si>
  <si>
    <t>ventilation</t>
  </si>
  <si>
    <t>Buiding 1 length and width</t>
  </si>
  <si>
    <t>build1_side</t>
  </si>
  <si>
    <t>Building 2 length and width</t>
  </si>
  <si>
    <t>build2_side</t>
  </si>
  <si>
    <t>Maximum access space per vessel or tank</t>
  </si>
  <si>
    <t>max_space_vessels</t>
  </si>
  <si>
    <t>Ventilation air change rate for chemical storage</t>
  </si>
  <si>
    <t>Air_changes_chem_storage</t>
  </si>
  <si>
    <t>bed depth for chosen geometry</t>
  </si>
  <si>
    <t>comp_bed_depth</t>
  </si>
  <si>
    <t>comp_min_vert_height</t>
  </si>
  <si>
    <t>max bed depth for max_height, given freeboard and bed expansion</t>
  </si>
  <si>
    <t>min diam to avoid bed depth becoming too deep, given required volume</t>
  </si>
  <si>
    <t>available surface area, all vessels</t>
  </si>
  <si>
    <t xml:space="preserve"> - vertical bed depth</t>
  </si>
  <si>
    <t>comp_min_vert_bed_depth</t>
  </si>
  <si>
    <t>comp_max_vert_bed_depth</t>
  </si>
  <si>
    <t>Architectural Fees for Treatment Building</t>
  </si>
  <si>
    <t>Yard Piping</t>
  </si>
  <si>
    <t>Geotechnical</t>
  </si>
  <si>
    <t>media_density</t>
  </si>
  <si>
    <t>Standby Power</t>
  </si>
  <si>
    <t>Electrical (including yard wiring)</t>
  </si>
  <si>
    <t>Instrumentation and Control</t>
  </si>
  <si>
    <t>Permits</t>
  </si>
  <si>
    <t>Pilot Study</t>
  </si>
  <si>
    <t>Contingency</t>
  </si>
  <si>
    <t>Process Engineering</t>
  </si>
  <si>
    <t>R-value for ceilings</t>
  </si>
  <si>
    <t>R_ceiling</t>
  </si>
  <si>
    <t>Annual heating degree days</t>
  </si>
  <si>
    <t>heat_DD</t>
  </si>
  <si>
    <t>degree days</t>
  </si>
  <si>
    <t>Number of motor/air operated control valves on bypass line</t>
  </si>
  <si>
    <t>tot_bp_MOVs</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</si>
  <si>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</si>
  <si>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</si>
  <si>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</si>
  <si>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</si>
  <si>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heat_viload</t>
  </si>
  <si>
    <t>BTU/cfm</t>
  </si>
  <si>
    <t>Cooling ventilation/infiltration load</t>
  </si>
  <si>
    <t>cool_viload</t>
  </si>
  <si>
    <t>Electric resistance heating efficiency</t>
  </si>
  <si>
    <t>resist_eff</t>
  </si>
  <si>
    <t>Heat pump heating coefficient of performance</t>
  </si>
  <si>
    <t>COP</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</si>
  <si>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</si>
  <si>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</si>
  <si>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</si>
  <si>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</si>
  <si>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</si>
  <si>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</si>
  <si>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</si>
  <si>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</si>
  <si>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</si>
  <si>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</si>
  <si>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</si>
  <si>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Looked up from direct capital cost</t>
  </si>
  <si>
    <t>Salt saturator size</t>
  </si>
  <si>
    <t>salt_box_size</t>
  </si>
  <si>
    <t>Salt saturator size needed</t>
  </si>
  <si>
    <t>salt_box_need</t>
  </si>
  <si>
    <t>Number of salt saturators</t>
  </si>
  <si>
    <t>num_salt_box</t>
  </si>
  <si>
    <t>tons</t>
  </si>
  <si>
    <t>Reinforced Plastic</t>
  </si>
  <si>
    <t>ci_chv_eq_bp</t>
  </si>
  <si>
    <t>pp_chv_eq_bp</t>
  </si>
  <si>
    <t>ci_mov_eq_back</t>
  </si>
  <si>
    <t>ci_mov_eq_bp</t>
  </si>
  <si>
    <t>Flow meters for process line per vessel</t>
  </si>
  <si>
    <t>Flow meters for backwash line</t>
  </si>
  <si>
    <t>At backwash discharge outlet</t>
  </si>
  <si>
    <t>pH meters</t>
  </si>
  <si>
    <t>pH_controls</t>
  </si>
  <si>
    <t>pH meter</t>
  </si>
  <si>
    <t>ph</t>
  </si>
  <si>
    <t>pH Meters</t>
  </si>
  <si>
    <t>Turbidity meters per vessel</t>
  </si>
  <si>
    <t>turb_tank</t>
  </si>
  <si>
    <t>add_turb</t>
  </si>
  <si>
    <t>One at backwash discharge outlet</t>
  </si>
  <si>
    <t>Percentage is applied only to process cost. Building direct costs include electrical components.</t>
  </si>
  <si>
    <t>Minutes per 100 sf per day</t>
  </si>
  <si>
    <t>of installed cost</t>
  </si>
  <si>
    <t>Annual Administrative LOE</t>
  </si>
  <si>
    <t xml:space="preserve">Administrative LOE as a percent of average technical labor </t>
  </si>
  <si>
    <t>regen_pump_mtl</t>
  </si>
  <si>
    <t>Maintenance materials</t>
  </si>
  <si>
    <t>Materials for regenerant pumps</t>
  </si>
  <si>
    <t xml:space="preserve">Enter 0% to exclude.  </t>
  </si>
  <si>
    <t>Cost Level</t>
  </si>
  <si>
    <t>heating_table</t>
  </si>
  <si>
    <t>heating_table_shed</t>
  </si>
  <si>
    <t>cooling_table</t>
  </si>
  <si>
    <t>cooling_table_shed</t>
  </si>
  <si>
    <t>low cost</t>
  </si>
  <si>
    <t>mid cost</t>
  </si>
  <si>
    <t>high cost</t>
  </si>
  <si>
    <t>comp_max_sa_vessel</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</si>
  <si>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</si>
  <si>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</si>
  <si>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</si>
  <si>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</si>
  <si>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</si>
  <si>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</si>
  <si>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Horizontal design search</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</si>
  <si>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</si>
  <si>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</si>
  <si>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</si>
  <si>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</si>
  <si>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</si>
  <si>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</si>
  <si>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</si>
  <si>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</si>
  <si>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</si>
  <si>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</si>
  <si>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</si>
  <si>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</si>
  <si>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</si>
  <si>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</si>
  <si>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</si>
  <si>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</si>
  <si>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</si>
  <si>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</si>
  <si>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</si>
  <si>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</si>
  <si>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extra number to test for min cost</t>
  </si>
  <si>
    <t>comp_nlines_extra_search</t>
  </si>
  <si>
    <t>target number of lines</t>
  </si>
  <si>
    <t>comp_in_nlines</t>
  </si>
  <si>
    <t>available surface area, one vessel</t>
  </si>
  <si>
    <t>dimensions for horizontal vessels</t>
  </si>
  <si>
    <t>assumed void volume per length</t>
  </si>
  <si>
    <t>comp_horiz_void_area</t>
  </si>
  <si>
    <t>target bed depth after expansion</t>
  </si>
  <si>
    <t>comp_horiz_expanded_bd</t>
  </si>
  <si>
    <t>comp_horiz_diam</t>
  </si>
  <si>
    <t>comp_horiz_length</t>
  </si>
  <si>
    <t>comp_horiz_bed_depth</t>
  </si>
  <si>
    <t>comp_min_sa_vessel</t>
  </si>
  <si>
    <t>cpvc_pipe_eq_caustic</t>
  </si>
  <si>
    <t>pvc_pipe_eq_caustic</t>
  </si>
  <si>
    <t>ss_pipe_eq_caustic</t>
  </si>
  <si>
    <t>The smallest size for which costs are available.  Used to determine whether a system will store 1 month, 1 week, or 1 day of salt in the saturators.</t>
  </si>
  <si>
    <t>Minimum will always be one, but larger systems will have multiple workstations to control the system</t>
  </si>
  <si>
    <t>spent_media</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</si>
  <si>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</si>
  <si>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</si>
  <si>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</si>
  <si>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</si>
  <si>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Site Work</t>
  </si>
  <si>
    <t>Manager</t>
  </si>
  <si>
    <t>Clerical</t>
  </si>
  <si>
    <t>Caustic pipe flow</t>
  </si>
  <si>
    <t>Caustic pipe diameter</t>
  </si>
  <si>
    <t>Caustic Piping</t>
  </si>
  <si>
    <t>Magnetic flow meter</t>
  </si>
  <si>
    <t>flow_mag</t>
  </si>
  <si>
    <t>Orifice plate flow meter</t>
  </si>
  <si>
    <t>flow_op</t>
  </si>
  <si>
    <t>Propeller flow meter</t>
  </si>
  <si>
    <t>flow_prop</t>
  </si>
  <si>
    <t>Venturi flow meter</t>
  </si>
  <si>
    <t>flow_ven</t>
  </si>
  <si>
    <t>Orifice Plate</t>
  </si>
  <si>
    <t>Propeller</t>
  </si>
  <si>
    <t>prop_fm_eq_in</t>
  </si>
  <si>
    <t>Venturi</t>
  </si>
  <si>
    <t>ven_fm_eq_in</t>
  </si>
  <si>
    <t>Magnetic</t>
  </si>
  <si>
    <t>mag_fm_eq_in</t>
  </si>
  <si>
    <t>Flow Meters - Process</t>
  </si>
  <si>
    <t>prop_fm_eq_proc</t>
  </si>
  <si>
    <t>ven_fm_eq_proc</t>
  </si>
  <si>
    <t>mag_fm_eq_proc</t>
  </si>
  <si>
    <t>Flow Meters - Backwash</t>
  </si>
  <si>
    <t>prop_fm_eq_back</t>
  </si>
  <si>
    <t>ven_fm_eq_back</t>
  </si>
  <si>
    <t>mag_fm_eq_back</t>
  </si>
  <si>
    <t>Flow Meters - Residuals</t>
  </si>
  <si>
    <t>prop_fm_eq_res</t>
  </si>
  <si>
    <t>cart_fp</t>
  </si>
  <si>
    <t>space_other_equip</t>
  </si>
  <si>
    <t>Access space for cartridge filters</t>
  </si>
  <si>
    <t>3.1.1</t>
  </si>
  <si>
    <t>3.2.1</t>
  </si>
  <si>
    <t>3.3.1</t>
  </si>
  <si>
    <t>3.4.1</t>
  </si>
  <si>
    <t>3.5.1</t>
  </si>
  <si>
    <t>5.1.1</t>
  </si>
  <si>
    <t>5.2.1</t>
  </si>
  <si>
    <t>5.3.1</t>
  </si>
  <si>
    <t>5.4.1</t>
  </si>
  <si>
    <t>5.5.1</t>
  </si>
  <si>
    <t>5.6.1</t>
  </si>
  <si>
    <t>5.7.1</t>
  </si>
  <si>
    <t>5.8.1</t>
  </si>
  <si>
    <t>6.1.1</t>
  </si>
  <si>
    <t>6.1.2</t>
  </si>
  <si>
    <t>6.1.3</t>
  </si>
  <si>
    <t>6.1.4</t>
  </si>
  <si>
    <t>6.1.5</t>
  </si>
  <si>
    <t>6.1.6</t>
  </si>
  <si>
    <t>6.1.7</t>
  </si>
  <si>
    <t>6.2.1</t>
  </si>
  <si>
    <t>6.2.2</t>
  </si>
  <si>
    <t>6.2.3</t>
  </si>
  <si>
    <t>6.2.4</t>
  </si>
  <si>
    <t>6.2.5</t>
  </si>
  <si>
    <t>6.2.6</t>
  </si>
  <si>
    <t>6.2.7</t>
  </si>
  <si>
    <t>6.2.8</t>
  </si>
  <si>
    <t>6.3.1</t>
  </si>
  <si>
    <t>6.3.2</t>
  </si>
  <si>
    <t>6.3.3</t>
  </si>
  <si>
    <t>6.3.4</t>
  </si>
  <si>
    <t>6.3.5</t>
  </si>
  <si>
    <t>6.3.6</t>
  </si>
  <si>
    <t>8.1.1</t>
  </si>
  <si>
    <t>8.2.1</t>
  </si>
  <si>
    <t>9.1.1</t>
  </si>
  <si>
    <t>11.1.1</t>
  </si>
  <si>
    <t>12.1.1</t>
  </si>
  <si>
    <t>12.1.2</t>
  </si>
  <si>
    <t>12.1.3</t>
  </si>
  <si>
    <t>12.1.4</t>
  </si>
  <si>
    <t>12.1.5</t>
  </si>
  <si>
    <t>12.1.6</t>
  </si>
  <si>
    <t>12.1.7</t>
  </si>
  <si>
    <t>Number of motor/air operated control valves on backwash line per eductor</t>
  </si>
  <si>
    <t>back_MOV_eductor</t>
  </si>
  <si>
    <t>lbs accumulated per pound added</t>
  </si>
  <si>
    <t>ht_solids_density</t>
  </si>
  <si>
    <t>htank_TSSrem</t>
  </si>
  <si>
    <t>ven_fm_eq_res</t>
  </si>
  <si>
    <t>mag_fm_eq_res</t>
  </si>
  <si>
    <t>prop_fm_eq</t>
  </si>
  <si>
    <t>ven_fm_eq</t>
  </si>
  <si>
    <t>mag_fm_eq</t>
  </si>
  <si>
    <t>11.1</t>
  </si>
  <si>
    <t>11.2</t>
  </si>
  <si>
    <t>11.2.1</t>
  </si>
  <si>
    <t>11.3</t>
  </si>
  <si>
    <t>11.3.1</t>
  </si>
  <si>
    <t>11.4</t>
  </si>
  <si>
    <t>11.4.1</t>
  </si>
  <si>
    <t>11.13.1</t>
  </si>
  <si>
    <t>fm_lkp_io</t>
  </si>
  <si>
    <t>&lt;-- 1 for non-hazardous, 2 for hazardous, 3 for radioactive, 4 for radioactive hazardous</t>
  </si>
  <si>
    <t>Maximum radioactive (non-hazardous) waste shipment size</t>
  </si>
  <si>
    <t>Maximum radioactive hazardous waste shipment size</t>
  </si>
  <si>
    <t>max_hazrad_ship</t>
  </si>
  <si>
    <t>Miles to radioactive (non-hazardous) waste disposal site</t>
  </si>
  <si>
    <t>Miles to radioactive hazardous waste disposal site</t>
  </si>
  <si>
    <t>hazrad_miles</t>
  </si>
  <si>
    <t>max_rad_ship</t>
  </si>
  <si>
    <t>rad_miles</t>
  </si>
  <si>
    <t>Disposal method for non-hazardous secondary solids</t>
  </si>
  <si>
    <t>solids_method</t>
  </si>
  <si>
    <t>&lt;-- 1 for landfill, 2 for land application</t>
  </si>
  <si>
    <t>Ignored if solids are hazardous or radioactive</t>
  </si>
  <si>
    <t>Total construction management/job overhead cost</t>
  </si>
  <si>
    <t>cm_cost</t>
  </si>
  <si>
    <t>Bracket determined from direct capital cost</t>
  </si>
  <si>
    <t>PLC programming software</t>
  </si>
  <si>
    <t>PLC data collection software</t>
  </si>
  <si>
    <t>regen_type</t>
  </si>
  <si>
    <t>imp_mix_eq</t>
  </si>
  <si>
    <t>Space between skid mounted vessels is reduced, outside access space remains the same</t>
  </si>
  <si>
    <t>space_office_small</t>
  </si>
  <si>
    <t>Small systems do not require office space</t>
  </si>
  <si>
    <t>Backwash tank diameter</t>
  </si>
  <si>
    <t>bt_diam</t>
  </si>
  <si>
    <t>Salt saturator diameter</t>
  </si>
  <si>
    <t>ss_diam</t>
  </si>
  <si>
    <t>ht_diam</t>
  </si>
  <si>
    <t>Mixing tank diameter</t>
  </si>
  <si>
    <t>mx_diam</t>
  </si>
  <si>
    <t>Concrete pad thickness</t>
  </si>
  <si>
    <t>pad_thick</t>
  </si>
  <si>
    <t>Concrete pad thickness for small systems</t>
  </si>
  <si>
    <t>pad_thick_small</t>
  </si>
  <si>
    <t>Process costs</t>
  </si>
  <si>
    <t>Building costs</t>
  </si>
  <si>
    <t>average_flow_rate</t>
  </si>
  <si>
    <t>Using average flow</t>
  </si>
  <si>
    <t>regen_days</t>
  </si>
  <si>
    <t>Number of regeneration washes per month</t>
  </si>
  <si>
    <t>washes/vessel/month</t>
  </si>
  <si>
    <t>Salt needed per year</t>
  </si>
  <si>
    <t>free_board</t>
  </si>
  <si>
    <t xml:space="preserve">Top and bottom dished vessel sections height and access space </t>
  </si>
  <si>
    <t>mg/L</t>
  </si>
  <si>
    <t>Backwash tanks</t>
  </si>
  <si>
    <t>back_tanks</t>
  </si>
  <si>
    <t>Bypass pipe diameter</t>
  </si>
  <si>
    <t xml:space="preserve">Mangerial LOE as a percent of average technical labor </t>
  </si>
  <si>
    <t>Manager_percent</t>
  </si>
  <si>
    <t>fraction</t>
  </si>
  <si>
    <t>Clerical_percent</t>
  </si>
  <si>
    <t>Energy for lighting</t>
  </si>
  <si>
    <t>Regenerant Use</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</si>
  <si>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</si>
  <si>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</si>
  <si>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</si>
  <si>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</si>
  <si>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NaOH_day_tanks</t>
  </si>
  <si>
    <t>NaOH_day_tank_vol</t>
  </si>
  <si>
    <t>Number of motor/air operated control valves per day tank</t>
  </si>
  <si>
    <t>chem_mov_day</t>
  </si>
  <si>
    <t>Number of manual valves per day tank</t>
  </si>
  <si>
    <t>chem_man_day</t>
  </si>
  <si>
    <t>Day tank storage volume required (based on design flow)</t>
  </si>
  <si>
    <t>Number of day tanks</t>
  </si>
  <si>
    <t>Volume of day tanks</t>
  </si>
  <si>
    <t>NaOH_day_tank_vol_needed</t>
  </si>
  <si>
    <t>Maximum chemical tank mixer horsepower</t>
  </si>
  <si>
    <t>cmix_hp_max</t>
  </si>
  <si>
    <t>Mixers per storage tank</t>
  </si>
  <si>
    <t>cmix_per_tank</t>
  </si>
  <si>
    <t>Number of storage tank mixers</t>
  </si>
  <si>
    <t>cmixers</t>
  </si>
  <si>
    <t>Mixer size for storage tanks</t>
  </si>
  <si>
    <t>cmix_size</t>
  </si>
  <si>
    <t>Mixers per day tank</t>
  </si>
  <si>
    <t>dmix_per_tank</t>
  </si>
  <si>
    <t>Number of day tank mixers</t>
  </si>
  <si>
    <t>dmixers</t>
  </si>
  <si>
    <t>Mixer size for day tanks</t>
  </si>
  <si>
    <t>dmix_size</t>
  </si>
  <si>
    <t>Residuals holding tank diameter</t>
  </si>
  <si>
    <t>NaOH tank diameter</t>
  </si>
  <si>
    <t>NaOHtank_diam</t>
  </si>
  <si>
    <t>NaOH day tank diameter</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</si>
  <si>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</si>
  <si>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</si>
  <si>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</si>
  <si>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</si>
  <si>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</si>
  <si>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</si>
  <si>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include_bond</t>
  </si>
  <si>
    <t>Does not currently account for contaminant contribution to solids</t>
  </si>
  <si>
    <t>ORP_sensor</t>
  </si>
  <si>
    <t>Free board above media at full expansion</t>
  </si>
  <si>
    <t>Vessel thickness of wall</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</si>
  <si>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</si>
  <si>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Days of chemical storage</t>
  </si>
  <si>
    <t>cstore_days</t>
  </si>
  <si>
    <t>Salt needed in storage</t>
  </si>
  <si>
    <t>salt_store</t>
  </si>
  <si>
    <t>Days of storage provided by salt saturator</t>
  </si>
  <si>
    <t>salt_box_days</t>
  </si>
  <si>
    <t>Ratio of  length to diameter for horizontal vessels</t>
  </si>
  <si>
    <t>length_diam_ratio</t>
  </si>
  <si>
    <t>Total evaporation pond solids accumulation</t>
  </si>
  <si>
    <t>ep_solids</t>
  </si>
  <si>
    <t>Details</t>
  </si>
  <si>
    <t>Size used in estimate</t>
  </si>
  <si>
    <t>Unit Cost</t>
  </si>
  <si>
    <t>Total Cost</t>
  </si>
  <si>
    <t>Useful Life</t>
  </si>
  <si>
    <t>Pressure Vessels</t>
  </si>
  <si>
    <t>Stainless Steel</t>
  </si>
  <si>
    <t>comm_vol_gal</t>
  </si>
  <si>
    <t>Tanks</t>
  </si>
  <si>
    <t>&lt;-- 1 for yes, 0 for no</t>
  </si>
  <si>
    <t>For additional TSS removal, if desired</t>
  </si>
  <si>
    <t>coag_dose</t>
  </si>
  <si>
    <t>coag_density</t>
  </si>
  <si>
    <t>lb/ft3</t>
  </si>
  <si>
    <t>See indirect assumptions sheet to exclude individual add-on items</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</si>
  <si>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</si>
  <si>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</si>
  <si>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</si>
  <si>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</si>
  <si>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</si>
  <si>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</si>
  <si>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</si>
  <si>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</si>
  <si>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</si>
  <si>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</si>
  <si>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</si>
  <si>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</si>
  <si>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</si>
  <si>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</si>
  <si>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</si>
  <si>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Height available above media bed (for horizontal vessels)</t>
  </si>
  <si>
    <t>distance_above</t>
  </si>
  <si>
    <t>Adjust bypass percentage</t>
  </si>
  <si>
    <t>Adjust bed depth constraints</t>
  </si>
  <si>
    <t>Adjust vessel size constraints</t>
  </si>
  <si>
    <t>Adjust loading constraints</t>
  </si>
  <si>
    <t>Holding tanks are designed with a capacity of one generation event, multiplied by this safety factor. This multiplier accounts for less than perfect staggering of generation events and provides for solids accumulation (i.e., it provides excess capacity).</t>
  </si>
  <si>
    <t>Footprint for regenerant mixing tanks</t>
  </si>
  <si>
    <t>mix_tank_fp</t>
  </si>
  <si>
    <t>Footprint for salt saturators</t>
  </si>
  <si>
    <t>saltbox_fp</t>
  </si>
  <si>
    <t>STEP 4:</t>
  </si>
  <si>
    <t>MANUAL INPUTS</t>
  </si>
  <si>
    <t>maximum surface area</t>
  </si>
  <si>
    <t>comp_sa_max</t>
  </si>
  <si>
    <t>required dry volume</t>
  </si>
  <si>
    <t>volume of media in first-stage vessels</t>
  </si>
  <si>
    <t>to reach maximum loading rate</t>
  </si>
  <si>
    <t>to reach minimum loading rate</t>
  </si>
  <si>
    <t>volume of media in all vessels</t>
  </si>
  <si>
    <t>Vertical design search</t>
  </si>
  <si>
    <t>max media volume, vertical vessel</t>
  </si>
  <si>
    <t>Total indirect capital cost</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</si>
  <si>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</si>
  <si>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</si>
  <si>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</si>
  <si>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</si>
  <si>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</si>
  <si>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</si>
  <si>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</si>
  <si>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</si>
  <si>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</si>
  <si>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</si>
  <si>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</si>
  <si>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</si>
  <si>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</si>
  <si>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based on guidance and CDAs for max dimensions</t>
  </si>
  <si>
    <t>based on max_diam CDA</t>
  </si>
  <si>
    <t>based upon  media volume and bed depth</t>
  </si>
  <si>
    <t>below this number of lines, we are constrained to horizontal vessels</t>
  </si>
  <si>
    <t>strictest of the above minima</t>
  </si>
  <si>
    <t>lbs/gal</t>
  </si>
  <si>
    <t>Installation, Transportatation, and O&amp;P</t>
  </si>
  <si>
    <t>Building #1 value</t>
  </si>
  <si>
    <t>Determined using Use? Column of output sheet</t>
  </si>
  <si>
    <t>Building #2 value</t>
  </si>
  <si>
    <t>Total Direct Capital Cost (from above)</t>
  </si>
  <si>
    <t>Total Add-on Cost (from above)</t>
  </si>
  <si>
    <t>Total Indirect Cost (from above)</t>
  </si>
  <si>
    <t>Total of process and building costs</t>
  </si>
  <si>
    <t>Includes labor for regular operations, maintenance, regeneration, etc.</t>
  </si>
  <si>
    <t>Conservative estimate assumes all TSS removed in regeneration, no regenerant loss during regeneration</t>
  </si>
  <si>
    <t>Holding tank annual TSS accumulation</t>
  </si>
  <si>
    <t>lbs/year</t>
  </si>
  <si>
    <t>Holding tank annual coagulant accumulation</t>
  </si>
  <si>
    <t>Holding tank annual solids accumulation</t>
  </si>
  <si>
    <t>Energy for ventilation</t>
  </si>
  <si>
    <t>Energy for cooling</t>
  </si>
  <si>
    <t>Ventilation air change rate for contactor</t>
  </si>
  <si>
    <t>Air_changes_contactor</t>
  </si>
  <si>
    <t>air changes/hr</t>
  </si>
  <si>
    <t>Ventilation air change rate for pump room</t>
  </si>
  <si>
    <t>Air_changes_pump</t>
  </si>
  <si>
    <t>Loading rate minimum</t>
  </si>
  <si>
    <t>resin_volume_total</t>
  </si>
  <si>
    <t>Salt needed per vessel</t>
  </si>
  <si>
    <t>salt_regen</t>
  </si>
  <si>
    <t>vol_brine</t>
  </si>
  <si>
    <t>Time for regeneration</t>
  </si>
  <si>
    <t>time_regen</t>
  </si>
  <si>
    <t>BV_regen</t>
  </si>
  <si>
    <t>bed volumes</t>
  </si>
  <si>
    <t>Average Flow Rate</t>
  </si>
  <si>
    <t>st_ht_eq</t>
  </si>
  <si>
    <t>fg_ht_eq</t>
  </si>
  <si>
    <t>hdpe_ht_eq</t>
  </si>
  <si>
    <t>cpvc_pipe_eq_res</t>
  </si>
  <si>
    <t>pvc_pipe_eq_res</t>
  </si>
  <si>
    <t>ss_pipe_eq_res</t>
  </si>
  <si>
    <t>st_pipe_eq_res</t>
  </si>
  <si>
    <t>Polypropylene/PVC - residuals</t>
  </si>
  <si>
    <t>pp_mov_eq_res</t>
  </si>
  <si>
    <t>Stainless Steel - residuals</t>
  </si>
  <si>
    <t>ss_mov_eq_res</t>
  </si>
  <si>
    <t>Cast Iron - residuals</t>
  </si>
  <si>
    <t>ci_mov_eq_res</t>
  </si>
  <si>
    <t>Polypropylene/PVC - Residuals</t>
  </si>
  <si>
    <t>pp_chv_eq_res</t>
  </si>
  <si>
    <t>Stainless Steel - Residuals</t>
  </si>
  <si>
    <t>ss_chv_eq_res</t>
  </si>
  <si>
    <t>Cast Iron - Residuals</t>
  </si>
  <si>
    <t>ci_chv_eq_res</t>
  </si>
  <si>
    <t>res_pump_eq</t>
  </si>
  <si>
    <t>Brine</t>
  </si>
  <si>
    <t>hmount_mix_eq</t>
  </si>
  <si>
    <t>op_fm_eq_res</t>
  </si>
  <si>
    <t>Chemical Feed</t>
  </si>
  <si>
    <t>pp_chv_eq_caustic</t>
  </si>
  <si>
    <t>ss_chv_eq_caustic</t>
  </si>
  <si>
    <t>High/Low Alarm (for caustic tanks)</t>
  </si>
  <si>
    <t>Manual valves on caustic line per metering pump</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</si>
  <si>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</si>
  <si>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Minimum number of boreholes</t>
  </si>
  <si>
    <t>min_holes</t>
  </si>
  <si>
    <t>Borehole needed every x square feet</t>
  </si>
  <si>
    <t>hole_per_sf</t>
  </si>
  <si>
    <t>Boreholes per job</t>
  </si>
  <si>
    <t>hole_per_job</t>
  </si>
  <si>
    <t>boreholes/job</t>
  </si>
  <si>
    <t>Linear feet bored per day</t>
  </si>
  <si>
    <t>hole_per_day</t>
  </si>
  <si>
    <t>l.f./day</t>
  </si>
  <si>
    <t>Additional analog input because flow meters include pressure gauges</t>
  </si>
  <si>
    <t>Number of shifts</t>
  </si>
  <si>
    <t>shifts_day</t>
  </si>
  <si>
    <t>shifts/day</t>
  </si>
  <si>
    <t>Used to determine number of workstations</t>
  </si>
  <si>
    <t>Equation Name</t>
  </si>
  <si>
    <t>Result</t>
  </si>
  <si>
    <t>Variable</t>
  </si>
  <si>
    <t>Cost to maintain heating system, building 1</t>
  </si>
  <si>
    <t>Cost to maintain cooling system, building 1</t>
  </si>
  <si>
    <t>Cost to maintain heating system, building 2</t>
  </si>
  <si>
    <t>Cost to maintain cooling system, building 2</t>
  </si>
  <si>
    <t>bldg_maint_cost</t>
  </si>
  <si>
    <t>Labor and materials; includes routine in-house maintenance and major repairs</t>
  </si>
  <si>
    <t>Includes labor and materials</t>
  </si>
  <si>
    <t>booster_pump_maintenance</t>
  </si>
  <si>
    <t>Energy per booster pump</t>
  </si>
  <si>
    <t>Energy for all active booster pumps</t>
  </si>
  <si>
    <t>Mobilization and Demobilization</t>
  </si>
  <si>
    <t>High/Low Alarm (for holding tanks)</t>
  </si>
  <si>
    <t>/therm</t>
  </si>
  <si>
    <t>Natural gas condensing furnace</t>
  </si>
  <si>
    <t>gal/yr</t>
  </si>
  <si>
    <t>/gal</t>
  </si>
  <si>
    <t>Additional motor/air operated control valves on backwash line</t>
  </si>
  <si>
    <t>back_MOV_add</t>
  </si>
  <si>
    <t>Number of manual valves on process line per vessel</t>
  </si>
  <si>
    <t>pH Adjustment</t>
  </si>
  <si>
    <t>Treated water pH</t>
  </si>
  <si>
    <t>pHf</t>
  </si>
  <si>
    <t>SU</t>
  </si>
  <si>
    <t>Desired treated water pH</t>
  </si>
  <si>
    <t>Default Critical Design Assumptions</t>
  </si>
  <si>
    <t>Internal use</t>
  </si>
  <si>
    <t>Base expansion modules</t>
  </si>
  <si>
    <t>Base expansion controller modules</t>
  </si>
  <si>
    <t>UPSs</t>
  </si>
  <si>
    <t>Operator Equipment</t>
  </si>
  <si>
    <t>Instruments requiring daily observation</t>
  </si>
  <si>
    <t>All instruments for preventative maintenance</t>
  </si>
  <si>
    <t>Pumps requiring daily observation/adjustment</t>
  </si>
  <si>
    <t>Large, frequently operated pumps require preventative maintenance</t>
  </si>
  <si>
    <t>Leave blank to exclude pH adjustment for corrosion control</t>
  </si>
  <si>
    <t>Total weight of bulk NaOH solution in storage</t>
  </si>
  <si>
    <t>NaOH_lbs</t>
  </si>
  <si>
    <t>NaOH solution specific gravity</t>
  </si>
  <si>
    <t>NaOH_spgr</t>
  </si>
  <si>
    <t>coag_spf</t>
  </si>
  <si>
    <t>Check Valves</t>
  </si>
  <si>
    <t>Process - Polypropylene/PVC</t>
  </si>
  <si>
    <t>Process - Stainless Steel</t>
  </si>
  <si>
    <t>Process - Cast Iron</t>
  </si>
  <si>
    <t>Backwash - Polypropylene/PVC</t>
  </si>
  <si>
    <t>Backwash - Stainless Steel</t>
  </si>
  <si>
    <t>Backwash - Cast Iron</t>
  </si>
  <si>
    <t>Bypass - Polypropylene/PVC</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</si>
  <si>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</si>
  <si>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</si>
  <si>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</si>
  <si>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</si>
  <si>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</si>
  <si>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</si>
  <si>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</si>
  <si>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</si>
  <si>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</si>
  <si>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res_seductor_eq</t>
  </si>
  <si>
    <t>seductor_eq</t>
  </si>
  <si>
    <t>Indirect cost multiplier</t>
  </si>
  <si>
    <t>Indirect costs added</t>
  </si>
  <si>
    <t>Subtotal indirect and add-on cost</t>
  </si>
  <si>
    <t>level_switch_small</t>
  </si>
  <si>
    <t>tot_bp_chv_small</t>
  </si>
  <si>
    <t>Required only for technologies with significant electric-powered equipment outside a building.</t>
  </si>
  <si>
    <t>Footprint for vessels (large system assumptions)</t>
  </si>
  <si>
    <t>Footprint for vessels (skid mounted small system)</t>
  </si>
  <si>
    <t>Residual solids transfer equipment footprint</t>
  </si>
  <si>
    <t>If slurry pumps are used</t>
  </si>
  <si>
    <t>Actual yard piping diameter</t>
  </si>
  <si>
    <t>yard_pipe_diam</t>
  </si>
  <si>
    <t>Trench depth to top of pipe</t>
  </si>
  <si>
    <t>trench_depth</t>
  </si>
  <si>
    <t>Thrust force</t>
  </si>
  <si>
    <t>Minutes per valve per week</t>
  </si>
  <si>
    <t>Operating LOE assumptions</t>
  </si>
  <si>
    <t>uloe_inst</t>
  </si>
  <si>
    <t>uloe_pump</t>
  </si>
  <si>
    <t>uloe_valve</t>
  </si>
  <si>
    <t>uloe_fp</t>
  </si>
  <si>
    <t>uloe_autoregen</t>
  </si>
  <si>
    <t>uloe_throwaway</t>
  </si>
  <si>
    <t>min/day</t>
  </si>
  <si>
    <t>min/week</t>
  </si>
  <si>
    <t>min/event</t>
  </si>
  <si>
    <t>For manual systems only</t>
  </si>
  <si>
    <t>ss_pipe_eq_bp</t>
  </si>
  <si>
    <t>st_pipe_eq_bp</t>
  </si>
  <si>
    <t>cpvc_pipe_eq_bp</t>
  </si>
  <si>
    <t>ss_mov_eq_brine</t>
  </si>
  <si>
    <t>pp_mov_eq_brine</t>
  </si>
  <si>
    <t>Polypropylene/PVC - Bypass</t>
  </si>
  <si>
    <t>Stainless Steel - Bypass</t>
  </si>
  <si>
    <t>Polypropylene/PVC - Process</t>
  </si>
  <si>
    <t>Polypropylene/PVC - Backwash</t>
  </si>
  <si>
    <t>Polypropylene/PVC - Brine</t>
  </si>
  <si>
    <t>back_MOV_brine</t>
  </si>
  <si>
    <t>bypass_valve_size</t>
  </si>
  <si>
    <t>tot_brine_MOVs</t>
  </si>
  <si>
    <t>tot_brine_alarm</t>
  </si>
  <si>
    <t>alarm_brine</t>
  </si>
  <si>
    <t>brine_MOV_vessel</t>
  </si>
  <si>
    <t>comp_vert_bed_depth</t>
  </si>
  <si>
    <t>comp_vol_required</t>
  </si>
  <si>
    <t>ft^3</t>
  </si>
  <si>
    <t>di_pipe_eq_proc</t>
  </si>
  <si>
    <t>Regenerant reuse</t>
  </si>
  <si>
    <t>regen_reuse</t>
  </si>
  <si>
    <t>times</t>
  </si>
  <si>
    <t>Spent resin disposal</t>
  </si>
  <si>
    <t>Residuals Discharge</t>
  </si>
  <si>
    <t>Pipe length</t>
  </si>
  <si>
    <t>General_Oper_Labor</t>
  </si>
  <si>
    <t>Based on general operator labor and percentages in critical design assumptions</t>
  </si>
  <si>
    <t>Technology Name</t>
  </si>
  <si>
    <t>AX</t>
  </si>
  <si>
    <t>res_pipe_length</t>
  </si>
  <si>
    <t>ft</t>
  </si>
  <si>
    <t>Land acquisition cost</t>
  </si>
  <si>
    <t>land_cost</t>
  </si>
  <si>
    <t>/acre</t>
  </si>
  <si>
    <t>Use?</t>
  </si>
  <si>
    <t>Facility dimension assumed square</t>
  </si>
  <si>
    <t>facil_length</t>
  </si>
  <si>
    <t>in_out_pipe_diam</t>
  </si>
  <si>
    <t>in_out_pipe_length</t>
  </si>
  <si>
    <t>PVC - Motor Driven</t>
  </si>
  <si>
    <t>PVC - Electric</t>
  </si>
  <si>
    <t>pvc_mmpump_eq</t>
  </si>
  <si>
    <t>pvc_empump_eq</t>
  </si>
  <si>
    <t>Stainless Steel - Motor Driven</t>
  </si>
  <si>
    <t>Stainless Steel - Electric</t>
  </si>
  <si>
    <t>ss_mmpump_eq</t>
  </si>
  <si>
    <t>ss_empump_eq</t>
  </si>
  <si>
    <t>Maximum vessel height (circular vessels)</t>
  </si>
  <si>
    <t>brine_conc</t>
  </si>
  <si>
    <t>lb/gal</t>
  </si>
  <si>
    <t>Backwash loading rate</t>
  </si>
  <si>
    <t>Regenerant loading rate</t>
  </si>
  <si>
    <t>regen_rate</t>
  </si>
  <si>
    <t>Bypass piping length</t>
  </si>
  <si>
    <t>bp_pipe_length</t>
  </si>
  <si>
    <t>brine_pipe_length</t>
  </si>
  <si>
    <t>mixers</t>
  </si>
  <si>
    <t>Default inputs represent typical options used to generate national average compliance costs.</t>
  </si>
  <si>
    <t>Additional building after…</t>
  </si>
  <si>
    <t>add_2nd_building</t>
  </si>
  <si>
    <t>Minimum average flow as percentage of design</t>
  </si>
  <si>
    <t>min_avg_flow</t>
  </si>
  <si>
    <t>The minimum ratio of average flow to design flow. If the ratio falls below this value, it will trigger a warning on the INPUT sheet. If this value is zero, no minimum is enforced.</t>
  </si>
  <si>
    <t>Design flow expressed in gpm</t>
  </si>
  <si>
    <t>Average flow expressed in gpm</t>
  </si>
  <si>
    <t>POTW_base_fee</t>
  </si>
  <si>
    <t>&lt;-- 1 for yes, 2 for no</t>
  </si>
  <si>
    <t>Apply POTW discharge volume charge (i.e., $/1000 gallons)</t>
  </si>
  <si>
    <t>POTW_volume_fee</t>
  </si>
  <si>
    <t>Apply POTW discharge TSS charge (i.e., $/lb of TSS over limit below)</t>
  </si>
  <si>
    <t>POTW_TSS_fee</t>
  </si>
  <si>
    <t>Standard Designs</t>
  </si>
  <si>
    <t>System Size</t>
  </si>
  <si>
    <t>System Configuration and Vessel Design</t>
  </si>
  <si>
    <t>Optional</t>
  </si>
  <si>
    <t>in use</t>
  </si>
  <si>
    <t>&lt;--current inputs</t>
  </si>
  <si>
    <t>&lt;--inputs used at last "Generate Results"</t>
  </si>
  <si>
    <t>new pumps</t>
  </si>
  <si>
    <t>existing storage</t>
  </si>
  <si>
    <t>backwash_pump_valid</t>
  </si>
  <si>
    <t>existing pumps</t>
  </si>
  <si>
    <t>backwash_storage_valid</t>
  </si>
  <si>
    <t>new storage</t>
  </si>
  <si>
    <t>comp_level_valid</t>
  </si>
  <si>
    <t>system_automation_valid</t>
  </si>
  <si>
    <t>semi-automated</t>
  </si>
  <si>
    <t>treated_water_corr_ctrl_valid</t>
  </si>
  <si>
    <t>yes</t>
  </si>
  <si>
    <t>no</t>
  </si>
  <si>
    <t>ss_cst_eq</t>
  </si>
  <si>
    <t>ss_ct_eq</t>
  </si>
  <si>
    <t>ss_day_eq</t>
  </si>
  <si>
    <t>ss_polymer_st_eq</t>
  </si>
  <si>
    <t>Maximum chemical storage tank size</t>
  </si>
  <si>
    <t>Maximum access space per vessel or tank for custom designed systems</t>
  </si>
  <si>
    <t>max_space_vessels_cust</t>
  </si>
  <si>
    <t>Maximum access space per vessel or tank for pre-engineered systems</t>
  </si>
  <si>
    <t>max_space_vessels_pre</t>
  </si>
  <si>
    <t>Assumes skid-mounting with minimal access space</t>
  </si>
  <si>
    <t>Heat Tracing</t>
  </si>
  <si>
    <t>cst_heat_eq</t>
  </si>
  <si>
    <t>Insulation</t>
  </si>
  <si>
    <t>cst_insul_eq</t>
  </si>
  <si>
    <t>ct_heat_eq</t>
  </si>
  <si>
    <t>ct_insul_eq</t>
  </si>
  <si>
    <t>day_heat_eq</t>
  </si>
  <si>
    <t>day_insul_eq</t>
  </si>
  <si>
    <t>3.4.2</t>
  </si>
  <si>
    <t>3.4.3</t>
  </si>
  <si>
    <t>Building Lighting</t>
  </si>
  <si>
    <t>Typically bypass flow ranges between 0 % and 50 % of inflow. Enter zero to remove bypass piping and components. 0% is default consistent with the type of cost curves that EPA will need for its national cost simulation model.</t>
  </si>
  <si>
    <t>Polymer storage in pounds</t>
  </si>
  <si>
    <t>polymer_storage_lbs</t>
  </si>
  <si>
    <t>back_pump_op_hours</t>
  </si>
  <si>
    <t>cond</t>
  </si>
  <si>
    <t>pump_hp</t>
  </si>
  <si>
    <t>back_pump_hp</t>
  </si>
  <si>
    <r>
      <t xml:space="preserve">For information: </t>
    </r>
    <r>
      <rPr>
        <sz val="10"/>
        <color indexed="17"/>
        <rFont val="Arial"/>
        <family val="2"/>
      </rPr>
      <t>Component level</t>
    </r>
  </si>
  <si>
    <t>Automation</t>
  </si>
  <si>
    <t>Transportation unit cost</t>
  </si>
  <si>
    <t>Transportation minimum charge per shipment</t>
  </si>
  <si>
    <t>Transportation mileage</t>
  </si>
  <si>
    <t>$/ton-mile</t>
  </si>
  <si>
    <t>$/shipment</t>
  </si>
  <si>
    <t>Plastic/XLPE</t>
  </si>
  <si>
    <t>Total annual spent cartridge filter diposal fee</t>
  </si>
  <si>
    <t>Design Indices</t>
  </si>
  <si>
    <t>Internal Use</t>
  </si>
  <si>
    <t>Users may change any of the cells in the Value column; cells in gold are most important and may vary based on contaminant treated and site-specific conditions</t>
  </si>
  <si>
    <t>Keeping this assumption with a value of 1 is strongly recommended; the cost equations method is more appropriate for national cost estimating and will be more accurate for nearly all user-specified designs</t>
  </si>
  <si>
    <t>Valve Table</t>
  </si>
  <si>
    <t>I/O Port Table</t>
  </si>
  <si>
    <t>Default O&amp;M Assumptions</t>
  </si>
  <si>
    <t>Users may change any of the cells in the Value column</t>
  </si>
  <si>
    <t>Default Assumptions for Indirect and Add-On Costs</t>
  </si>
  <si>
    <t>Vessel Constraint Calculations</t>
  </si>
  <si>
    <t>Calculation</t>
  </si>
  <si>
    <t>Total vessel volume galons</t>
  </si>
  <si>
    <t>From Input</t>
  </si>
  <si>
    <t>Pumps, Piping, and Structure Calculations</t>
  </si>
  <si>
    <t>Instrumentation and Control Calculations</t>
  </si>
  <si>
    <t>Based on system size and component level (see cell comment), unless user overrides on input sheet</t>
  </si>
  <si>
    <t>Residuals Management Calculations</t>
  </si>
  <si>
    <t>Operation and Maintenance Calculations</t>
  </si>
  <si>
    <t>Booster &amp; Backwash Pumps</t>
  </si>
  <si>
    <t>Building Heating, Ventilating, and Air Conditioning Calculations</t>
  </si>
  <si>
    <t>Indirect and Add-on Cost Calculations</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</si>
  <si>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</si>
  <si>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</si>
  <si>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</si>
  <si>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</si>
  <si>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</si>
  <si>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</si>
  <si>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</si>
  <si>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Baseline priority selection</t>
  </si>
  <si>
    <t>Full Line Item Name</t>
  </si>
  <si>
    <t>Design Quanitity</t>
  </si>
  <si>
    <t>Design Size</t>
  </si>
  <si>
    <t>Validity Checks</t>
  </si>
  <si>
    <t>Total of direct line items above:</t>
  </si>
  <si>
    <t>Direct cost category</t>
  </si>
  <si>
    <r>
      <t xml:space="preserve">Add-on Cost Details </t>
    </r>
    <r>
      <rPr>
        <i/>
        <sz val="10"/>
        <color rgb="FF008000"/>
        <rFont val="Arial"/>
        <family val="2"/>
      </rPr>
      <t>(See indirect assumptions sheet to exclude individual add-on items)</t>
    </r>
  </si>
  <si>
    <t>Add-on Line Item</t>
  </si>
  <si>
    <r>
      <t xml:space="preserve">Indirect Capital Cost Details </t>
    </r>
    <r>
      <rPr>
        <i/>
        <sz val="10"/>
        <color rgb="FF008000"/>
        <rFont val="Arial"/>
        <family val="2"/>
      </rPr>
      <t>(See indirect assumptions sheet to exclude individual indirect items)</t>
    </r>
  </si>
  <si>
    <t>Indirect Line Item</t>
  </si>
  <si>
    <t>Percent</t>
  </si>
  <si>
    <t>Capital Cost Category</t>
  </si>
  <si>
    <r>
      <t>Grand total capital cost</t>
    </r>
    <r>
      <rPr>
        <b/>
        <sz val="12"/>
        <color rgb="FF008000"/>
        <rFont val="Arial"/>
        <family val="2"/>
      </rPr>
      <t xml:space="preserve"> </t>
    </r>
    <r>
      <rPr>
        <i/>
        <sz val="10"/>
        <color rgb="FF008000"/>
        <rFont val="Arial"/>
        <family val="2"/>
      </rPr>
      <t>(incorporating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</si>
  <si>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</si>
  <si>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Total Cost ($/yr)</t>
  </si>
  <si>
    <t>disposal_shipments</t>
  </si>
  <si>
    <t>disposal_miles</t>
  </si>
  <si>
    <t>sol_disposal_shipments</t>
  </si>
  <si>
    <t>sol_disposal_miles</t>
  </si>
  <si>
    <t>Sodium Chloride Purchasing</t>
  </si>
  <si>
    <t>Quantity required for large quantity purchase</t>
  </si>
  <si>
    <t>#N/A indicates that price data do not depend on volume purchased.</t>
  </si>
  <si>
    <t>Quantity required for mid quantity purchase</t>
  </si>
  <si>
    <t>Quantity required for small quantity purchase</t>
  </si>
  <si>
    <t>salt_purchase</t>
  </si>
  <si>
    <t>Returns descriptive term based on volume of each purchase for use in determining pricing. Blank indicates that price data do not depend on volume purchased.</t>
  </si>
  <si>
    <t>Ferric Chloride Purchasing</t>
  </si>
  <si>
    <t>FeCl3_purchase</t>
  </si>
  <si>
    <t>Sodium Hydroxide Purchasing</t>
  </si>
  <si>
    <t>Purchase Type</t>
  </si>
  <si>
    <t>NaOH_purchase</t>
  </si>
  <si>
    <t>polymer_purchase</t>
  </si>
  <si>
    <t>13.1.1</t>
  </si>
  <si>
    <t>13.1.2</t>
  </si>
  <si>
    <t>13.1.2.1</t>
  </si>
  <si>
    <t>13.1.3</t>
  </si>
  <si>
    <t>13.1.3.1</t>
  </si>
  <si>
    <t>13.2.1</t>
  </si>
  <si>
    <t>13.2.2</t>
  </si>
  <si>
    <t>13.2.2.1</t>
  </si>
  <si>
    <t>13.2.3</t>
  </si>
  <si>
    <t>13.2.3.1</t>
  </si>
  <si>
    <t>Polymers Purchasing</t>
  </si>
  <si>
    <t>throwaway_I</t>
  </si>
  <si>
    <t>pH_adj</t>
  </si>
  <si>
    <t>alk_I</t>
  </si>
  <si>
    <t>TDS_I</t>
  </si>
  <si>
    <t>Influent water temperature</t>
  </si>
  <si>
    <t>t_I</t>
  </si>
  <si>
    <t>degrees centigrade</t>
  </si>
  <si>
    <t>Applies to regenerant storage and caustic for pH adjustment</t>
  </si>
  <si>
    <t>Mixers for Caustic Storage Tanks</t>
  </si>
  <si>
    <t>Mixers for Caustic Day Tanks</t>
  </si>
  <si>
    <t>Temperature Dependence Coefficients for Calculating Equilibrium Constants</t>
  </si>
  <si>
    <t>From Table 2, Trussell 1998</t>
  </si>
  <si>
    <t>Range names are of the form "ax_Kx" (e.g., a1_Kw for first temperature coefficent for the equilbrium constant for water)</t>
  </si>
  <si>
    <t>Reaction</t>
  </si>
  <si>
    <t>Constant</t>
  </si>
  <si>
    <r>
      <t>a</t>
    </r>
    <r>
      <rPr>
        <u/>
        <vertAlign val="subscript"/>
        <sz val="10"/>
        <rFont val="Arial"/>
        <family val="2"/>
      </rPr>
      <t>1</t>
    </r>
  </si>
  <si>
    <r>
      <t>a</t>
    </r>
    <r>
      <rPr>
        <u/>
        <vertAlign val="subscript"/>
        <sz val="10"/>
        <rFont val="Arial"/>
        <family val="2"/>
      </rPr>
      <t>2</t>
    </r>
  </si>
  <si>
    <r>
      <t>a</t>
    </r>
    <r>
      <rPr>
        <u/>
        <vertAlign val="subscript"/>
        <sz val="10"/>
        <rFont val="Arial"/>
        <family val="2"/>
      </rPr>
      <t>3</t>
    </r>
  </si>
  <si>
    <r>
      <t>a</t>
    </r>
    <r>
      <rPr>
        <u/>
        <vertAlign val="subscript"/>
        <sz val="10"/>
        <rFont val="Arial"/>
        <family val="2"/>
      </rPr>
      <t>4</t>
    </r>
  </si>
  <si>
    <r>
      <t>a</t>
    </r>
    <r>
      <rPr>
        <u/>
        <vertAlign val="subscript"/>
        <sz val="10"/>
        <rFont val="Arial"/>
        <family val="2"/>
      </rPr>
      <t>5</t>
    </r>
  </si>
  <si>
    <r>
      <t>H</t>
    </r>
    <r>
      <rPr>
        <vertAlign val="subscript"/>
        <sz val="10"/>
        <rFont val="Arial"/>
        <family val="2"/>
      </rPr>
      <t>2</t>
    </r>
    <r>
      <rPr>
        <sz val="10"/>
        <rFont val="Arial"/>
        <family val="2"/>
      </rPr>
      <t>O &lt;-&gt; OH</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</si>
  <si>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w</t>
    </r>
  </si>
  <si>
    <r>
      <t>H</t>
    </r>
    <r>
      <rPr>
        <vertAlign val="subscript"/>
        <sz val="10"/>
        <rFont val="Arial"/>
        <family val="2"/>
      </rPr>
      <t>2</t>
    </r>
    <r>
      <rPr>
        <sz val="10"/>
        <rFont val="Arial"/>
        <family val="2"/>
      </rPr>
      <t>CO</t>
    </r>
    <r>
      <rPr>
        <vertAlign val="subscript"/>
        <sz val="10"/>
        <rFont val="Arial"/>
        <family val="2"/>
      </rPr>
      <t>3</t>
    </r>
    <r>
      <rPr>
        <sz val="10"/>
        <rFont val="Arial"/>
        <family val="2"/>
      </rPr>
      <t xml:space="preserve"> &lt;-&gt; HCO</t>
    </r>
    <r>
      <rPr>
        <vertAlign val="subscript"/>
        <sz val="10"/>
        <rFont val="Arial"/>
        <family val="2"/>
      </rPr>
      <t>3</t>
    </r>
    <r>
      <rPr>
        <vertAlign val="superscript"/>
        <sz val="10"/>
        <rFont val="Arial"/>
        <family val="2"/>
      </rPr>
      <t>-</t>
    </r>
    <r>
      <rPr>
        <sz val="10"/>
        <rFont val="Arial"/>
        <family val="2"/>
      </rPr>
      <t xml:space="preserve"> + H</t>
    </r>
    <r>
      <rPr>
        <vertAlign val="superscript"/>
        <sz val="10"/>
        <rFont val="Arial"/>
        <family val="2"/>
      </rPr>
      <t>+</t>
    </r>
  </si>
  <si>
    <r>
      <t>K</t>
    </r>
    <r>
      <rPr>
        <vertAlign val="subscript"/>
        <sz val="10"/>
        <rFont val="Arial"/>
        <family val="2"/>
      </rPr>
      <t>1</t>
    </r>
  </si>
  <si>
    <r>
      <t>HCO</t>
    </r>
    <r>
      <rPr>
        <vertAlign val="subscript"/>
        <sz val="10"/>
        <rFont val="Arial"/>
        <family val="2"/>
      </rPr>
      <t>3</t>
    </r>
    <r>
      <rPr>
        <vertAlign val="superscript"/>
        <sz val="10"/>
        <rFont val="Arial"/>
        <family val="2"/>
      </rPr>
      <t xml:space="preserve">- </t>
    </r>
    <r>
      <rPr>
        <sz val="10"/>
        <rFont val="Arial"/>
        <family val="2"/>
      </rPr>
      <t>&lt;-&gt; CO</t>
    </r>
    <r>
      <rPr>
        <vertAlign val="subscript"/>
        <sz val="10"/>
        <rFont val="Arial"/>
        <family val="2"/>
      </rPr>
      <t>3</t>
    </r>
    <r>
      <rPr>
        <vertAlign val="superscript"/>
        <sz val="10"/>
        <rFont val="Arial"/>
        <family val="2"/>
      </rPr>
      <t>2-</t>
    </r>
    <r>
      <rPr>
        <sz val="10"/>
        <rFont val="Arial"/>
        <family val="2"/>
      </rPr>
      <t xml:space="preserve"> + H</t>
    </r>
    <r>
      <rPr>
        <vertAlign val="superscript"/>
        <sz val="10"/>
        <rFont val="Arial"/>
        <family val="2"/>
      </rPr>
      <t>+</t>
    </r>
  </si>
  <si>
    <r>
      <t>K</t>
    </r>
    <r>
      <rPr>
        <vertAlign val="subscript"/>
        <sz val="10"/>
        <rFont val="Arial"/>
        <family val="2"/>
      </rPr>
      <t>2</t>
    </r>
  </si>
  <si>
    <t>pH Adjustment Chemistry</t>
  </si>
  <si>
    <t>Ionic strength (I)</t>
  </si>
  <si>
    <t>I_ion_str</t>
  </si>
  <si>
    <t>Temperature variance from 25 degrees centigrade</t>
  </si>
  <si>
    <t>t_minus25</t>
  </si>
  <si>
    <t>Dielectric constant (D)</t>
  </si>
  <si>
    <t>D_dielectric</t>
  </si>
  <si>
    <t>Temperature in degrees Kelvin</t>
  </si>
  <si>
    <t>T_K</t>
  </si>
  <si>
    <t>Limiting theoretical slope (A)</t>
  </si>
  <si>
    <t>A_slope_lim</t>
  </si>
  <si>
    <t>Monovalent activity coefficient (-log form)</t>
  </si>
  <si>
    <t>log_gamma_1</t>
  </si>
  <si>
    <t>Divalent activity coefficient (-log form)</t>
  </si>
  <si>
    <t>log_gamma_2</t>
  </si>
  <si>
    <r>
      <t>Monovalent activity coefficient (ɣ</t>
    </r>
    <r>
      <rPr>
        <vertAlign val="subscript"/>
        <sz val="10"/>
        <rFont val="Arial"/>
        <family val="2"/>
      </rPr>
      <t>1</t>
    </r>
    <r>
      <rPr>
        <sz val="10"/>
        <rFont val="Arial"/>
        <family val="2"/>
      </rPr>
      <t>)</t>
    </r>
  </si>
  <si>
    <t>gamma_1</t>
  </si>
  <si>
    <r>
      <t>Divalent activity coefficient (ɣ</t>
    </r>
    <r>
      <rPr>
        <vertAlign val="subscript"/>
        <sz val="10"/>
        <rFont val="Arial"/>
        <family val="2"/>
      </rPr>
      <t>2</t>
    </r>
    <r>
      <rPr>
        <sz val="10"/>
        <rFont val="Arial"/>
        <family val="2"/>
      </rPr>
      <t>)</t>
    </r>
  </si>
  <si>
    <t>gamma_2</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</si>
  <si>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(-log form)</t>
    </r>
  </si>
  <si>
    <t>pK_1</t>
  </si>
  <si>
    <r>
      <t>Equilibrium constant for bicarbonate (HCO</t>
    </r>
    <r>
      <rPr>
        <vertAlign val="subscript"/>
        <sz val="10"/>
        <rFont val="Arial"/>
        <family val="2"/>
      </rPr>
      <t>3</t>
    </r>
    <r>
      <rPr>
        <vertAlign val="superscript"/>
        <sz val="10"/>
        <rFont val="Arial"/>
        <family val="2"/>
      </rPr>
      <t>-</t>
    </r>
    <r>
      <rPr>
        <sz val="10"/>
        <rFont val="Arial"/>
        <family val="2"/>
      </rPr>
      <t>) (-log form)</t>
    </r>
  </si>
  <si>
    <t>pK_2</t>
  </si>
  <si>
    <r>
      <t>Equilibrium constant for water (H</t>
    </r>
    <r>
      <rPr>
        <vertAlign val="subscript"/>
        <sz val="10"/>
        <rFont val="Arial"/>
        <family val="2"/>
      </rPr>
      <t>2</t>
    </r>
    <r>
      <rPr>
        <sz val="10"/>
        <rFont val="Arial"/>
        <family val="2"/>
      </rPr>
      <t>O) (-log form)</t>
    </r>
  </si>
  <si>
    <t>pK_w</t>
  </si>
  <si>
    <r>
      <t>Equilibrium constant for carbonic acid (H</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1</t>
    </r>
    <r>
      <rPr>
        <sz val="10"/>
        <rFont val="Arial"/>
        <family val="2"/>
      </rPr>
      <t>)</t>
    </r>
  </si>
  <si>
    <t>K_1</t>
  </si>
  <si>
    <r>
      <t>Equilibrium constant for bicarbonate (HCO</t>
    </r>
    <r>
      <rPr>
        <vertAlign val="subscript"/>
        <sz val="10"/>
        <rFont val="Arial"/>
        <family val="2"/>
      </rPr>
      <t>3</t>
    </r>
    <r>
      <rPr>
        <vertAlign val="superscript"/>
        <sz val="10"/>
        <rFont val="Arial"/>
        <family val="2"/>
      </rPr>
      <t>-</t>
    </r>
    <r>
      <rPr>
        <sz val="10"/>
        <rFont val="Arial"/>
        <family val="2"/>
      </rPr>
      <t>) (K</t>
    </r>
    <r>
      <rPr>
        <vertAlign val="subscript"/>
        <sz val="10"/>
        <rFont val="Arial"/>
        <family val="2"/>
      </rPr>
      <t>2</t>
    </r>
    <r>
      <rPr>
        <sz val="10"/>
        <rFont val="Arial"/>
        <family val="2"/>
      </rPr>
      <t>)</t>
    </r>
  </si>
  <si>
    <t>K_2</t>
  </si>
  <si>
    <r>
      <t>Equilibrium constant for water (H</t>
    </r>
    <r>
      <rPr>
        <vertAlign val="subscript"/>
        <sz val="10"/>
        <rFont val="Arial"/>
        <family val="2"/>
      </rPr>
      <t>2</t>
    </r>
    <r>
      <rPr>
        <sz val="10"/>
        <rFont val="Arial"/>
        <family val="2"/>
      </rPr>
      <t>O) (K</t>
    </r>
    <r>
      <rPr>
        <vertAlign val="subscript"/>
        <sz val="10"/>
        <rFont val="Arial"/>
        <family val="2"/>
      </rPr>
      <t>w</t>
    </r>
    <r>
      <rPr>
        <sz val="10"/>
        <rFont val="Arial"/>
        <family val="2"/>
      </rPr>
      <t>)</t>
    </r>
  </si>
  <si>
    <t>K_w</t>
  </si>
  <si>
    <t>Intermediate calculation</t>
  </si>
  <si>
    <t>term1_i</t>
  </si>
  <si>
    <t>term2_i</t>
  </si>
  <si>
    <t>term3_i</t>
  </si>
  <si>
    <t>term4_i</t>
  </si>
  <si>
    <t>term5_i</t>
  </si>
  <si>
    <t>term6_i</t>
  </si>
  <si>
    <r>
      <t>Initial total inorganic carbon (C</t>
    </r>
    <r>
      <rPr>
        <vertAlign val="subscript"/>
        <sz val="10"/>
        <rFont val="Arial"/>
        <family val="2"/>
      </rPr>
      <t>T</t>
    </r>
    <r>
      <rPr>
        <sz val="10"/>
        <rFont val="Arial"/>
        <family val="2"/>
      </rPr>
      <t>)</t>
    </r>
  </si>
  <si>
    <t>C_T_i</t>
  </si>
  <si>
    <t>term1_f</t>
  </si>
  <si>
    <t>term2_f</t>
  </si>
  <si>
    <t>term3_f</t>
  </si>
  <si>
    <t>term4_f</t>
  </si>
  <si>
    <t>term5_f</t>
  </si>
  <si>
    <t>Treated water alkalinity</t>
  </si>
  <si>
    <t>alk_f</t>
  </si>
  <si>
    <r>
      <t>Hydroxide (OH</t>
    </r>
    <r>
      <rPr>
        <vertAlign val="superscript"/>
        <sz val="10"/>
        <rFont val="Arial"/>
        <family val="2"/>
      </rPr>
      <t>-</t>
    </r>
    <r>
      <rPr>
        <sz val="10"/>
        <rFont val="Arial"/>
        <family val="2"/>
      </rPr>
      <t>) required</t>
    </r>
  </si>
  <si>
    <t>OH_tot</t>
  </si>
  <si>
    <t>mol/L</t>
  </si>
  <si>
    <t>40,000 converts TDS to ionic strength, Equation 4, Trussell 1998</t>
  </si>
  <si>
    <t>degrees C</t>
  </si>
  <si>
    <t>For use in Equation S14, Trussell 1998</t>
  </si>
  <si>
    <t>Equation S14, Trussell 1998</t>
  </si>
  <si>
    <t>degrees K</t>
  </si>
  <si>
    <t>273 converts degrees C to degrees K</t>
  </si>
  <si>
    <t>Equation S13, Trussell 1998</t>
  </si>
  <si>
    <t>Modified Davies equation, Equation S12, Trussell 1998</t>
  </si>
  <si>
    <r>
      <t>ɣ</t>
    </r>
    <r>
      <rPr>
        <b/>
        <vertAlign val="subscript"/>
        <sz val="10"/>
        <color indexed="17"/>
        <rFont val="Arial"/>
        <family val="2"/>
      </rPr>
      <t>1</t>
    </r>
    <r>
      <rPr>
        <b/>
        <sz val="10"/>
        <color indexed="17"/>
        <rFont val="Arial"/>
        <family val="2"/>
      </rPr>
      <t>10</t>
    </r>
    <r>
      <rPr>
        <b/>
        <vertAlign val="superscript"/>
        <sz val="10"/>
        <color indexed="17"/>
        <rFont val="Arial"/>
        <family val="2"/>
      </rPr>
      <t>-pH</t>
    </r>
    <r>
      <rPr>
        <b/>
        <sz val="10"/>
        <color indexed="17"/>
        <rFont val="Arial"/>
        <family val="2"/>
      </rPr>
      <t xml:space="preserve"> / K</t>
    </r>
    <r>
      <rPr>
        <b/>
        <vertAlign val="subscript"/>
        <sz val="10"/>
        <color indexed="17"/>
        <rFont val="Arial"/>
        <family val="2"/>
      </rPr>
      <t>1</t>
    </r>
  </si>
  <si>
    <r>
      <t>ɣ</t>
    </r>
    <r>
      <rPr>
        <b/>
        <vertAlign val="subscript"/>
        <sz val="10"/>
        <color indexed="17"/>
        <rFont val="Arial"/>
        <family val="2"/>
      </rPr>
      <t>1</t>
    </r>
    <r>
      <rPr>
        <b/>
        <sz val="10"/>
        <color indexed="17"/>
        <rFont val="Arial"/>
        <family val="2"/>
      </rPr>
      <t>K</t>
    </r>
    <r>
      <rPr>
        <b/>
        <vertAlign val="subscript"/>
        <sz val="10"/>
        <color indexed="17"/>
        <rFont val="Arial"/>
        <family val="2"/>
      </rPr>
      <t>2</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</si>
  <si>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eq/L</t>
  </si>
  <si>
    <r>
      <t>Alk</t>
    </r>
    <r>
      <rPr>
        <b/>
        <sz val="10"/>
        <color indexed="17"/>
        <rFont val="Arial"/>
        <family val="2"/>
      </rPr>
      <t xml:space="preserve"> / 50,000 (where 50,000 converts mg/L to eq/L)</t>
    </r>
  </si>
  <si>
    <r>
      <t>K</t>
    </r>
    <r>
      <rPr>
        <b/>
        <vertAlign val="subscript"/>
        <sz val="10"/>
        <color indexed="17"/>
        <rFont val="Arial"/>
        <family val="2"/>
      </rPr>
      <t>w</t>
    </r>
    <r>
      <rPr>
        <b/>
        <sz val="10"/>
        <color indexed="17"/>
        <rFont val="Arial"/>
        <family val="2"/>
      </rPr>
      <t xml:space="preserve"> / ɣ</t>
    </r>
    <r>
      <rPr>
        <b/>
        <vertAlign val="subscript"/>
        <sz val="10"/>
        <color indexed="17"/>
        <rFont val="Arial"/>
        <family val="2"/>
      </rPr>
      <t>1</t>
    </r>
    <r>
      <rPr>
        <b/>
        <sz val="10"/>
        <color indexed="17"/>
        <rFont val="Arial"/>
        <family val="2"/>
      </rPr>
      <t>10</t>
    </r>
    <r>
      <rPr>
        <b/>
        <vertAlign val="superscript"/>
        <sz val="10"/>
        <color indexed="17"/>
        <rFont val="Arial"/>
        <family val="2"/>
      </rPr>
      <t>-pH</t>
    </r>
  </si>
  <si>
    <r>
      <t>10</t>
    </r>
    <r>
      <rPr>
        <b/>
        <vertAlign val="superscript"/>
        <sz val="10"/>
        <color indexed="17"/>
        <rFont val="Arial"/>
        <family val="2"/>
      </rPr>
      <t>-pH</t>
    </r>
    <r>
      <rPr>
        <b/>
        <sz val="10"/>
        <color indexed="17"/>
        <rFont val="Arial"/>
        <family val="2"/>
      </rPr>
      <t xml:space="preserve"> / ɣ</t>
    </r>
    <r>
      <rPr>
        <b/>
        <vertAlign val="subscript"/>
        <sz val="10"/>
        <color indexed="17"/>
        <rFont val="Arial"/>
        <family val="2"/>
      </rPr>
      <t>1</t>
    </r>
  </si>
  <si>
    <r>
      <t>2K</t>
    </r>
    <r>
      <rPr>
        <b/>
        <vertAlign val="subscript"/>
        <sz val="10"/>
        <color indexed="17"/>
        <rFont val="Arial"/>
        <family val="2"/>
      </rPr>
      <t>2</t>
    </r>
    <r>
      <rPr>
        <b/>
        <sz val="10"/>
        <color indexed="17"/>
        <rFont val="Arial"/>
        <family val="2"/>
      </rPr>
      <t>ɣ</t>
    </r>
    <r>
      <rPr>
        <b/>
        <vertAlign val="subscript"/>
        <sz val="10"/>
        <color indexed="17"/>
        <rFont val="Arial"/>
        <family val="2"/>
      </rPr>
      <t>1</t>
    </r>
    <r>
      <rPr>
        <b/>
        <sz val="10"/>
        <color indexed="17"/>
        <rFont val="Arial"/>
        <family val="2"/>
      </rPr>
      <t xml:space="preserve"> / ɣ</t>
    </r>
    <r>
      <rPr>
        <b/>
        <vertAlign val="subscript"/>
        <sz val="10"/>
        <color indexed="17"/>
        <rFont val="Arial"/>
        <family val="2"/>
      </rPr>
      <t>2</t>
    </r>
    <r>
      <rPr>
        <b/>
        <sz val="10"/>
        <color indexed="17"/>
        <rFont val="Arial"/>
        <family val="2"/>
      </rPr>
      <t>10</t>
    </r>
    <r>
      <rPr>
        <b/>
        <vertAlign val="superscript"/>
        <sz val="10"/>
        <color indexed="17"/>
        <rFont val="Arial"/>
        <family val="2"/>
      </rPr>
      <t>-pH</t>
    </r>
  </si>
  <si>
    <t>Equation 15, Najm 2001</t>
  </si>
  <si>
    <r>
      <t>mg/L as CaCO</t>
    </r>
    <r>
      <rPr>
        <vertAlign val="subscript"/>
        <sz val="10"/>
        <rFont val="Arial"/>
        <family val="2"/>
      </rPr>
      <t>3</t>
    </r>
  </si>
  <si>
    <t>Equation 17, Najm 2001, where 50,000 converts eq/L to mg/L</t>
  </si>
  <si>
    <t>Equation 20, Najm 2001, where 50,000 converts from mg/L to mol/L</t>
  </si>
  <si>
    <t>39.997 is molar mass of NaOH in g/mol, 1,000 converts g to mg</t>
  </si>
  <si>
    <t>Chemical Usage</t>
  </si>
  <si>
    <t>TDB_link</t>
  </si>
  <si>
    <t>Installation, Transportation, and O&amp;P</t>
  </si>
  <si>
    <t>hp per 1,000 gal</t>
  </si>
  <si>
    <t>Minimum chemical tank mixer horsepower</t>
  </si>
  <si>
    <t>min_cmix_hp</t>
  </si>
  <si>
    <t>Include mixers for chemical tanks</t>
  </si>
  <si>
    <t>include_cmix</t>
  </si>
  <si>
    <t>min_hmix_hp</t>
  </si>
  <si>
    <t>Minimum holding tank mixer horsepower</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</si>
  <si>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</si>
  <si>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</si>
  <si>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</si>
  <si>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</si>
  <si>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</si>
  <si>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</si>
  <si>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</si>
  <si>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</si>
  <si>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</si>
  <si>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</si>
  <si>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</si>
  <si>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</si>
  <si>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</si>
  <si>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</si>
  <si>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</si>
  <si>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</si>
  <si>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</si>
  <si>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</si>
  <si>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</si>
  <si>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</si>
  <si>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</si>
  <si>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</si>
  <si>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</si>
  <si>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</si>
  <si>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</si>
  <si>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</si>
  <si>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ct_cont_volume</t>
  </si>
  <si>
    <t>Footprint available</t>
  </si>
  <si>
    <t>ct_cont_fp</t>
  </si>
  <si>
    <t>Curb height required</t>
  </si>
  <si>
    <t>ct_curb_height</t>
  </si>
  <si>
    <t>Curb thickness</t>
  </si>
  <si>
    <t>ct_curb_thick</t>
  </si>
  <si>
    <t>Curb length (long side)</t>
  </si>
  <si>
    <t>ct_curb_len_long</t>
  </si>
  <si>
    <t>Curb length (short side)</t>
  </si>
  <si>
    <t>ct_curb_len_short</t>
  </si>
  <si>
    <t>Curb concrete volume</t>
  </si>
  <si>
    <t>ct_curb_concrete</t>
  </si>
  <si>
    <t>Chemical resistant coating required</t>
  </si>
  <si>
    <t>ct_coating_gal</t>
  </si>
  <si>
    <t>7.48 converts gallons to cubic feet</t>
  </si>
  <si>
    <t>Total footprint minus displacement by tanks themselves</t>
  </si>
  <si>
    <t>27 converts cubic feet to cubic yards</t>
  </si>
  <si>
    <t>Covers total footprint plus inside surface and top of curbs</t>
  </si>
  <si>
    <t>dt_cont_volume</t>
  </si>
  <si>
    <t>dt_cont_fp</t>
  </si>
  <si>
    <t>dt_curb_height</t>
  </si>
  <si>
    <t>dt_curb_thick</t>
  </si>
  <si>
    <t>dt_curb_len_long</t>
  </si>
  <si>
    <t>dt_curb_len_short</t>
  </si>
  <si>
    <t>dt_curb_concrete</t>
  </si>
  <si>
    <t>dt_coating_gal</t>
  </si>
  <si>
    <t>Secondary Containment for NaOH Storage Tanks</t>
  </si>
  <si>
    <t>Secondary Containment for NaOH Day Tanks</t>
  </si>
  <si>
    <t>3.2.2</t>
  </si>
  <si>
    <t>Secondary Containment - Concrete Curbing</t>
  </si>
  <si>
    <t>3.2.3</t>
  </si>
  <si>
    <t>Secondary Containment - Chemical Resistant Coating</t>
  </si>
  <si>
    <t>3.3.2</t>
  </si>
  <si>
    <t>3.3.3</t>
  </si>
  <si>
    <t>3.4.4</t>
  </si>
  <si>
    <t>3.4.5</t>
  </si>
  <si>
    <t>yes_no_valid</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</si>
  <si>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</si>
  <si>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</si>
  <si>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</si>
  <si>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</si>
  <si>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</si>
  <si>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</si>
  <si>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</si>
  <si>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</si>
  <si>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</si>
  <si>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</si>
  <si>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</si>
  <si>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</si>
  <si>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</si>
  <si>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</si>
  <si>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Cost excluding heating and cooling</t>
  </si>
  <si>
    <t>Building and HVAC Maintenance</t>
  </si>
  <si>
    <t>Total annual building and HVAC maintenance</t>
  </si>
  <si>
    <t>Building and HVAC maintenance (materials and labor)</t>
  </si>
  <si>
    <t>See input sheet to exclude buildings/HVAC; indirect assumptions sheet to exclude concrete pad</t>
  </si>
  <si>
    <r>
      <t>Excludes components in</t>
    </r>
    <r>
      <rPr>
        <i/>
        <sz val="10"/>
        <color indexed="17"/>
        <rFont val="Arial"/>
        <family val="2"/>
      </rPr>
      <t xml:space="preserve"> italics </t>
    </r>
    <r>
      <rPr>
        <sz val="10"/>
        <color indexed="17"/>
        <rFont val="Arial"/>
        <family val="2"/>
      </rPr>
      <t>(which are alternate costs for comparison).  Includes installation, transportation, and O&amp;P</t>
    </r>
  </si>
  <si>
    <t>contam_lookup</t>
  </si>
  <si>
    <t>Perfluorooctanoic Acid (PFOA)</t>
  </si>
  <si>
    <t>Perfluorooctane Sulfonate (PFOS)</t>
  </si>
  <si>
    <t>Gen X</t>
  </si>
  <si>
    <t>Other</t>
  </si>
  <si>
    <t>contam_list</t>
  </si>
  <si>
    <t>Select Contaminant</t>
  </si>
  <si>
    <t>Target Contaminant</t>
  </si>
  <si>
    <t>contam_type</t>
  </si>
  <si>
    <t>&lt;-- Click here for list</t>
  </si>
  <si>
    <t>Contaminant #</t>
  </si>
  <si>
    <t>PFAS-Selective</t>
  </si>
  <si>
    <t>PFAS-selective</t>
  </si>
  <si>
    <t>Contaminant</t>
  </si>
  <si>
    <t>For drinking water applications, vendors recommend throwaway operation. Design parameters are not currently available for regeneration, so this option is disabled.</t>
  </si>
  <si>
    <t>By default, assumes initial rinse only, with no additional backwash during operation</t>
  </si>
  <si>
    <t>Click here to adjust this assumption</t>
  </si>
  <si>
    <t>Regneration</t>
  </si>
  <si>
    <t>Regenerant brine concentration</t>
  </si>
  <si>
    <t>Recommended regenerant parameters not available for PFAS-selective resin</t>
  </si>
  <si>
    <t>Backwash/initial rinse and regeneration water rinse</t>
  </si>
  <si>
    <t>Backwash/Initial Rinse</t>
  </si>
  <si>
    <t>Regeneration</t>
  </si>
  <si>
    <t>For drinking water applications, vendors recommend throwaway operation. Design parameters are not currently available for regeneration, so the input option to select regeneration is disabled.</t>
  </si>
  <si>
    <t>Note: for drinking water applications, vendors recommend throwaway operation. Design parameters are not currently available for regeneration, so the input option to select regeneration is disabled.</t>
  </si>
  <si>
    <t>The calculations below are retained in case regeneration parameters become available in the future</t>
  </si>
  <si>
    <t>Regeneration water rinse volume</t>
  </si>
  <si>
    <t>Regeneration water rinse time</t>
  </si>
  <si>
    <t>Regeneration water rinse rate (gpm)</t>
  </si>
  <si>
    <t>Placeholder assumption only; recommended regenerant parameters not available for PFAS-selective resin</t>
  </si>
  <si>
    <t>Not applicable for this technology</t>
  </si>
  <si>
    <t>months at average flow</t>
  </si>
  <si>
    <t>Bed life in days</t>
  </si>
  <si>
    <t>Bed life in months</t>
  </si>
  <si>
    <t>regen_months</t>
  </si>
  <si>
    <t>Resin bed life</t>
  </si>
  <si>
    <t>Included only with regeneration, see note below</t>
  </si>
  <si>
    <t>3.3.4</t>
  </si>
  <si>
    <t>3.3.5</t>
  </si>
  <si>
    <t>5.7.2</t>
  </si>
  <si>
    <t>5.7.3</t>
  </si>
  <si>
    <t>5.7.4</t>
  </si>
  <si>
    <t>5.7.5</t>
  </si>
  <si>
    <t>7.3.1</t>
  </si>
  <si>
    <t>7.5.1</t>
  </si>
  <si>
    <t>11.10</t>
  </si>
  <si>
    <t>Spent Regenerant/Backwash/Initial Rinse</t>
  </si>
  <si>
    <t>regen_per_month</t>
  </si>
  <si>
    <t>Backwash and Bed Life Calculations</t>
  </si>
  <si>
    <t>Drive controller (to operate pump motors, mixers, valves, etc)</t>
  </si>
  <si>
    <t>Regenerant only, not backwash/rinse water</t>
  </si>
  <si>
    <t>Include backwash/rinse pump maintenance?</t>
  </si>
  <si>
    <t>include_back_maint</t>
  </si>
  <si>
    <t xml:space="preserve"> 0 = exclude, 1 = include</t>
  </si>
  <si>
    <t>Explicitly include labor and materials for maintenance if backwash/rinse occurs weekly or more frequently</t>
  </si>
  <si>
    <t xml:space="preserve">ANION EXCHANGE SYSTEM DESIGN AND COSTS INPUTS FOR PER- AND POLYFLUOROALKYL SUBSTANCES (PFAS) </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</si>
  <si>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</si>
  <si>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</si>
  <si>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</si>
  <si>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</si>
  <si>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</si>
  <si>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</si>
  <si>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</si>
  <si>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</si>
  <si>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</si>
  <si>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</si>
  <si>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</si>
  <si>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</si>
  <si>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</si>
  <si>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</si>
  <si>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Perfluorinated Carboxylic Acids</t>
  </si>
  <si>
    <t>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</si>
  <si>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</si>
  <si>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</si>
  <si>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</si>
  <si>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</si>
  <si>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</si>
  <si>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</si>
  <si>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</si>
  <si>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</si>
  <si>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</si>
  <si>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</si>
  <si>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</si>
  <si>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</si>
  <si>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</si>
  <si>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</si>
  <si>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</si>
  <si>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</si>
  <si>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</si>
  <si>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</si>
  <si>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</si>
  <si>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</si>
  <si>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</si>
  <si>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</si>
  <si>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</si>
  <si>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</si>
  <si>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</si>
  <si>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</si>
  <si>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</si>
  <si>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</si>
  <si>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B</t>
  </si>
  <si>
    <t>CFPUA</t>
  </si>
  <si>
    <t>~1,600</t>
  </si>
  <si>
    <t>&lt;dl</t>
  </si>
  <si>
    <t>Data are for column 7+8 series using Purofine PFA694E resin. BV calculated using actual totalized flow.</t>
  </si>
  <si>
    <t>CFPUA (lead vessel)</t>
  </si>
  <si>
    <t>Data for lead column in series (column 7) using Purofine PFA694E resin. BV calculated using actual totalized flow.</t>
  </si>
  <si>
    <t>See data on PFAS breakthrough from selected full- and pilot-scale installations</t>
  </si>
  <si>
    <t>Ferric chloride solution density</t>
  </si>
  <si>
    <t>Ferric chloride solution concentration</t>
  </si>
  <si>
    <t>coag_pct</t>
  </si>
  <si>
    <t>Number of check valves on ferric chloride line per metering pump</t>
  </si>
  <si>
    <t>coag_chv_pump</t>
  </si>
  <si>
    <t>Applies only with ferric addition to residuals</t>
  </si>
  <si>
    <t>Holding Tank Mixers (if coagulant is used)</t>
  </si>
  <si>
    <t>Mixers per holding tank</t>
  </si>
  <si>
    <t>Number of holding tank mixers</t>
  </si>
  <si>
    <t>Mixer size for holding tanks</t>
  </si>
  <si>
    <t>Pounds of pure ferric chloride needed per event</t>
  </si>
  <si>
    <t>coag_day_lbs</t>
  </si>
  <si>
    <t>Gallons of solution needed per event</t>
  </si>
  <si>
    <t>coag_day_gal</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</si>
  <si>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</si>
  <si>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</si>
  <si>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</si>
  <si>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</si>
  <si>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</si>
  <si>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</si>
  <si>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</si>
  <si>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</si>
  <si>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</si>
  <si>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</si>
  <si>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</si>
  <si>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</si>
  <si>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</si>
  <si>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</si>
  <si>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</si>
  <si>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</si>
  <si>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</si>
  <si>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</si>
  <si>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Ferric chloride addition pipe length</t>
  </si>
  <si>
    <t>coag_pipe_length</t>
  </si>
  <si>
    <t>With residuals ferric chloride addition only</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</si>
  <si>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</si>
  <si>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</si>
  <si>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</si>
  <si>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</si>
  <si>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</si>
  <si>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</si>
  <si>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</si>
  <si>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</si>
  <si>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</si>
  <si>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</si>
  <si>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</si>
  <si>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Secondary Containment for Ferric Chloride</t>
  </si>
  <si>
    <t>coag_cont_volume</t>
  </si>
  <si>
    <t>coag_cont_fp</t>
  </si>
  <si>
    <t>coag_curb_height</t>
  </si>
  <si>
    <t>coag_curb_thick</t>
  </si>
  <si>
    <t>coag_curb_len_long</t>
  </si>
  <si>
    <t>coag_curb_len_short</t>
  </si>
  <si>
    <t>coag_curb_concrete</t>
  </si>
  <si>
    <t>coag_coating_gal</t>
  </si>
  <si>
    <t>Size of valves for ferric chloride line</t>
  </si>
  <si>
    <t>coag_valve_size</t>
  </si>
  <si>
    <t>Number of MOVs for ferric chloride line</t>
  </si>
  <si>
    <t>tot_coag_MOVs</t>
  </si>
  <si>
    <t>Number of manual valves for ferric chloride line</t>
  </si>
  <si>
    <t>tot_coag_man</t>
  </si>
  <si>
    <t>Number of check valves for ferric chloride line</t>
  </si>
  <si>
    <t>tot_coag_chv</t>
  </si>
  <si>
    <t>Number of check valves for backwash line</t>
  </si>
  <si>
    <t>Number of check valves for caustic line</t>
  </si>
  <si>
    <t>Number of check valves for polymer line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</si>
  <si>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</si>
  <si>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</si>
  <si>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</si>
  <si>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</si>
  <si>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</si>
  <si>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</si>
  <si>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</si>
  <si>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</si>
  <si>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</si>
  <si>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</si>
  <si>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</si>
  <si>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</si>
  <si>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</si>
  <si>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</si>
  <si>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</si>
  <si>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</si>
  <si>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cmount_mix_eq_polymer</t>
  </si>
  <si>
    <t>cimp_mix_eq_polymer</t>
  </si>
  <si>
    <t>Polymer Mixers</t>
  </si>
  <si>
    <t>3.7.1</t>
  </si>
  <si>
    <t>3.6.2</t>
  </si>
  <si>
    <t>3.6.3</t>
  </si>
  <si>
    <t>5.9.1</t>
  </si>
  <si>
    <t>6.1.8</t>
  </si>
  <si>
    <t>Ferric Chloride - Polypropylene/PVC</t>
  </si>
  <si>
    <t>6.2.9</t>
  </si>
  <si>
    <t>6.3.7</t>
  </si>
  <si>
    <t>7.6.1</t>
  </si>
  <si>
    <t>Mixers for Polymer Storage Tanks</t>
  </si>
  <si>
    <t>8.6</t>
  </si>
  <si>
    <t>8.6.1</t>
  </si>
  <si>
    <t>8.5</t>
  </si>
  <si>
    <t>8.5.1</t>
  </si>
  <si>
    <t>Mixers for Ferric Chloride Storage Tanks</t>
  </si>
  <si>
    <t>Footprint for salt storage</t>
  </si>
  <si>
    <t>Price data are available for 50% and 25% solutions only</t>
  </si>
  <si>
    <t>&lt;- Autosize Std Inputs</t>
  </si>
  <si>
    <t>Autosize Standard Designs</t>
  </si>
  <si>
    <t>use_autosize</t>
  </si>
  <si>
    <t>inp_autosize</t>
  </si>
  <si>
    <t>All match</t>
  </si>
  <si>
    <t>Flow match</t>
  </si>
  <si>
    <t>if use_autosize</t>
  </si>
  <si>
    <t>if not use_autosize</t>
  </si>
  <si>
    <t>Important: bed life will vary based on water quality and system configuration. Select data for input carefully, based on the scenario being modeled.</t>
  </si>
  <si>
    <t>Bed life</t>
  </si>
  <si>
    <t>Bed life units</t>
  </si>
  <si>
    <t>BV_units</t>
  </si>
  <si>
    <t>With vessels in series, bed volumes are based on…</t>
  </si>
  <si>
    <t>BV_definition</t>
  </si>
  <si>
    <t>Different studies may use different defintions for "bed volumes." This assumption applies only when vessels are in series and the input for bed life is in bed volumes.</t>
  </si>
  <si>
    <t>Resin has not been changed out through 234 days of operation (54,021 bed volumes, based on average flow and total EBCT)</t>
  </si>
  <si>
    <t>Maximum chemical storage tank size excluding stainless</t>
  </si>
  <si>
    <t>max_chem_tank_size_noSS</t>
  </si>
  <si>
    <t>The largest size for which costs are available, excluding stainless steel</t>
  </si>
  <si>
    <t>Maximum chemical metering pump size excluding stainless</t>
  </si>
  <si>
    <t>max_cm_pump_size_noSS</t>
  </si>
  <si>
    <t>Pounds of pure ferric chloride in storage</t>
  </si>
  <si>
    <t>Pounds of bulk ferric chloride solution in storage</t>
  </si>
  <si>
    <t>coag_storage_lbs_bulk</t>
  </si>
  <si>
    <t>Annual ferric chloride use (lbs bulk solution)</t>
  </si>
  <si>
    <t>Annual fee</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</si>
  <si>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</si>
  <si>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</si>
  <si>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</si>
  <si>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</si>
  <si>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</si>
  <si>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</si>
  <si>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Included only if direct discharge to surface water is chosen, unless assumption "include_NEPA" is changed on CDA sheet</t>
  </si>
  <si>
    <t>Influent and treated water pipe length</t>
  </si>
  <si>
    <t>Influent and treated water pipe flow</t>
  </si>
  <si>
    <t>Polypropylene/PVC - Influent and treated water</t>
  </si>
  <si>
    <t>Stainless Steel - Influent and treated water</t>
  </si>
  <si>
    <t>Cast Iron - Influent and treated water</t>
  </si>
  <si>
    <t>Influent and treated water - Polypropylene/PVC</t>
  </si>
  <si>
    <t>Influent and treated water - Stainless Steel</t>
  </si>
  <si>
    <t>Influent and treated water - Cast Iron</t>
  </si>
  <si>
    <t>At both influent and treated water in this technology</t>
  </si>
  <si>
    <t>Size of valves for influent and treated water lines</t>
  </si>
  <si>
    <t>Based on output sheet selection for influent and treated water pipe</t>
  </si>
  <si>
    <t>Polypropylene/PVC - Influent and Treated Water</t>
  </si>
  <si>
    <t>Stainless Steel - Influent and Treated Water</t>
  </si>
  <si>
    <t>Cast Iron - Influent and Treated Water</t>
  </si>
  <si>
    <t>Flow Meters - Influent and Treated Water</t>
  </si>
  <si>
    <t>Influent and Treated Water Piping</t>
  </si>
  <si>
    <t>Influent and Treated Water - Polypropylene/PVC</t>
  </si>
  <si>
    <t>Influent and Treated Water - Stainless Steel</t>
  </si>
  <si>
    <t>Influent and Treated Water - Cast Iron</t>
  </si>
  <si>
    <t>Trench Volume Influent and Treated Water</t>
  </si>
  <si>
    <t>Flow meter lookup code - influent and treated water</t>
  </si>
  <si>
    <t>Flow meters for influent and treated water line</t>
  </si>
  <si>
    <t>Number of manual valves on influent and treated water line</t>
  </si>
  <si>
    <t>Influent piping diameter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</si>
  <si>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</si>
  <si>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</si>
  <si>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</si>
  <si>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</si>
  <si>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</si>
  <si>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</si>
  <si>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</si>
  <si>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</si>
  <si>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</si>
  <si>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</si>
  <si>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</si>
  <si>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</si>
  <si>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</si>
  <si>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</si>
  <si>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Process pipe length multiplier</t>
  </si>
  <si>
    <t>proc_pipe_mult</t>
  </si>
  <si>
    <t>Bypass pipe length multiplier</t>
  </si>
  <si>
    <t>bp_pipe_mult</t>
  </si>
  <si>
    <t>Backwash pipe length multiplier</t>
  </si>
  <si>
    <t>back_pipe_mult</t>
  </si>
  <si>
    <t>Chemical pipe length multiplier</t>
  </si>
  <si>
    <t>chem_pipe_mult</t>
  </si>
  <si>
    <t>Residuals pipe length multiplier</t>
  </si>
  <si>
    <t>res_pipe_mult</t>
  </si>
  <si>
    <t>One for influent line, one for treated water line, one on residual side of backwash line</t>
  </si>
  <si>
    <t>Total dissolved solids post-ion exchange treatment, pre-pH adustment</t>
  </si>
  <si>
    <t>One for influent line</t>
  </si>
  <si>
    <t>Calculated for input guidance when input is in months</t>
  </si>
  <si>
    <t>BV_regen_calculated</t>
  </si>
  <si>
    <t>Subtotal above + cartridge filter maintenance</t>
  </si>
  <si>
    <t>landfill (non-hazardous)</t>
  </si>
  <si>
    <t>landfill (hazardous)</t>
  </si>
  <si>
    <t>disposal (radioactive)</t>
  </si>
  <si>
    <t>disposal (radioactive hazardous)</t>
  </si>
  <si>
    <t>resin_haz_valid</t>
  </si>
  <si>
    <t>brine_method_valid</t>
  </si>
  <si>
    <t>discharge_valid</t>
  </si>
  <si>
    <t>holding_tank_valid</t>
  </si>
  <si>
    <t>holding_haz_valid</t>
  </si>
  <si>
    <t>Based on vendor data, smaller model: shipping weight 7 lb, assuming water fills 25% of the volume when they're thrown away, water weight is 9 lb, total weight at disposal is 16 lb.  Larger model: shipping weight 10 lb, assuming water fills 25% of the volume when they're thrown away, water weight is 14 lb, total weight at disposal is 24 lb.</t>
  </si>
  <si>
    <t>resin_haz_table</t>
  </si>
  <si>
    <t>Management option for spent resin</t>
  </si>
  <si>
    <t>Incineration Costs</t>
  </si>
  <si>
    <t>Year of incineration cost data</t>
  </si>
  <si>
    <t>Non-hazardous resin incineration cost</t>
  </si>
  <si>
    <t>$35 to $75/ft3 depending on the site, includes transportation, Frank Boodoo, Purolite, 6/8/21</t>
  </si>
  <si>
    <t>Residuals management sheet will escalate costs to be consistent with other cost data</t>
  </si>
  <si>
    <t>alt_media_disp_year</t>
  </si>
  <si>
    <t>Escalation factor for incineration cost</t>
  </si>
  <si>
    <t>Based on Consumer Price Index (CPI)</t>
  </si>
  <si>
    <t>Year</t>
  </si>
  <si>
    <t>Consumer Price Index (CPI)</t>
  </si>
  <si>
    <t>Escalation Factors (for Incineration Costs)</t>
  </si>
  <si>
    <t>Escalated non-hazardous resin incineration cost</t>
  </si>
  <si>
    <t>incin_cost_per_ton</t>
  </si>
  <si>
    <t>Escalated to current year</t>
  </si>
  <si>
    <t>Hazardous resin incineration cost</t>
  </si>
  <si>
    <t>alt_media_disp_haz</t>
  </si>
  <si>
    <t>incineration (non-hazardous)</t>
  </si>
  <si>
    <t>incineration (hazardous)</t>
  </si>
  <si>
    <t>Escalated hazardous resin incineration cost</t>
  </si>
  <si>
    <t>haz_incin_cost_per_ton</t>
  </si>
  <si>
    <t>Perfluorohexane Sulfonate (PFHxS)</t>
  </si>
  <si>
    <t>Perfluorobutane Sulfonate (PFBS)</t>
  </si>
  <si>
    <t>Perfluorohexanoic Acid (PFHxA)</t>
  </si>
  <si>
    <t>Perfluoroheptanoic Acid (PFHpA)</t>
  </si>
  <si>
    <t>upright</t>
  </si>
  <si>
    <t>minutes at design flow</t>
  </si>
  <si>
    <t>See Appendix E.  If higher R-value materials are desired, user may also need to adjust the cost of building materials in cl.xls</t>
  </si>
  <si>
    <t>BTU/Whr</t>
  </si>
  <si>
    <t>0.3, 0.6, and 1.2 W/sf are the assumptions used for building capital costs</t>
  </si>
  <si>
    <t>Secondary Containment for Regenerant Mixing Tanks</t>
  </si>
  <si>
    <t>mix_cont_volume</t>
  </si>
  <si>
    <t>mix_cont_fp</t>
  </si>
  <si>
    <t>mix_curb_height</t>
  </si>
  <si>
    <t>mix_curb_thick</t>
  </si>
  <si>
    <t>mix_curb_len_long</t>
  </si>
  <si>
    <t>mix_curb_len_short</t>
  </si>
  <si>
    <t>mix_curb_concrete</t>
  </si>
  <si>
    <t>mix_coating_gal</t>
  </si>
  <si>
    <t>INDEX</t>
  </si>
  <si>
    <t>This page provides an index to all user-adjustable inputs and assumptions.  Click on a variable name to go directly to the adjustable cells.</t>
  </si>
  <si>
    <t>User-adjustable Input or Assumption</t>
  </si>
  <si>
    <t>Variable Name and Link</t>
  </si>
  <si>
    <t>Holding tank for spent backwash/rinse or regenerant</t>
  </si>
  <si>
    <t>Discharge option for spent backwash/rinse or regenerant</t>
  </si>
  <si>
    <t>Vessel height or length</t>
  </si>
  <si>
    <t>Vessel diameter</t>
  </si>
  <si>
    <t>Add a redundant unit per x parallel lines</t>
  </si>
  <si>
    <t>Include a separate day tank if daily volume is x or greater</t>
  </si>
  <si>
    <t>Additional redundant cartridge filter per x MGD inflow</t>
  </si>
  <si>
    <t>Computer workstations per x operators</t>
  </si>
  <si>
    <t>Printers per x computer workstations</t>
  </si>
  <si>
    <t>Bed volume definition</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</si>
  <si>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</si>
  <si>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</si>
  <si>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</si>
  <si>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</si>
  <si>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</si>
  <si>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</si>
  <si>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</si>
  <si>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</si>
  <si>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</si>
  <si>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</si>
  <si>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level of effort for instruments (includes calibration)</t>
  </si>
  <si>
    <t>Maintenance level of effort for pumps</t>
  </si>
  <si>
    <t>Maintenance level of effort for valves</t>
  </si>
  <si>
    <t>Maintenance level of effort for chemical supply systems</t>
  </si>
  <si>
    <t>Head loss sensors per vessel for small systems</t>
  </si>
  <si>
    <t>Additional turbididy meters for small systems</t>
  </si>
  <si>
    <t>Turbidity meters per vessel for small systems</t>
  </si>
  <si>
    <t>Temperature meters for small systems</t>
  </si>
  <si>
    <t>Level switch/alarms per vessel for small systems</t>
  </si>
  <si>
    <t>Number of check valves on bypass line for small systems</t>
  </si>
  <si>
    <t>Thousands of BTU per hour</t>
  </si>
  <si>
    <t>1 ton cooling = 12,000 BTU/hr</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</si>
  <si>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</si>
  <si>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</si>
  <si>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</si>
  <si>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</si>
  <si>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</si>
  <si>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</si>
  <si>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</si>
  <si>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</si>
  <si>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</si>
  <si>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</si>
  <si>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</si>
  <si>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</si>
  <si>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</si>
  <si>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</si>
  <si>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Backfill and Compaction</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</si>
  <si>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</si>
  <si>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</si>
  <si>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</si>
  <si>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</si>
  <si>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</si>
  <si>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</si>
  <si>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</si>
  <si>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</si>
  <si>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</si>
  <si>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</si>
  <si>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</si>
  <si>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</si>
  <si>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</si>
  <si>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</si>
  <si>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</si>
  <si>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</si>
  <si>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</si>
  <si>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</si>
  <si>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</si>
  <si>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</si>
  <si>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</si>
  <si>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</si>
  <si>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</si>
  <si>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</si>
  <si>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</si>
  <si>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</si>
  <si>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</si>
  <si>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</si>
  <si>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</si>
  <si>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</si>
  <si>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</si>
  <si>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</si>
  <si>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</si>
  <si>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</si>
  <si>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</si>
  <si>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</si>
  <si>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</si>
  <si>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</si>
  <si>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</si>
  <si>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</si>
  <si>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</si>
  <si>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</si>
  <si>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</si>
  <si>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</si>
  <si>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</si>
  <si>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</si>
  <si>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</si>
  <si>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</si>
  <si>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</si>
  <si>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</si>
  <si>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</si>
  <si>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</si>
  <si>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</si>
  <si>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</si>
  <si>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</si>
  <si>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</si>
  <si>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</si>
  <si>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</si>
  <si>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</si>
  <si>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</si>
  <si>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</si>
  <si>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</si>
  <si>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</si>
  <si>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</si>
  <si>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</si>
  <si>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</si>
  <si>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</si>
  <si>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</si>
  <si>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</si>
  <si>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</si>
  <si>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</si>
  <si>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</si>
  <si>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</si>
  <si>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</si>
  <si>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</si>
  <si>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</si>
  <si>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</si>
  <si>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</si>
  <si>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</si>
  <si>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</si>
  <si>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</si>
  <si>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</si>
  <si>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</si>
  <si>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</si>
  <si>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</si>
  <si>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</si>
  <si>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</si>
  <si>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</si>
  <si>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</si>
  <si>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</si>
  <si>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</si>
  <si>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</si>
  <si>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</si>
  <si>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</si>
  <si>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</si>
  <si>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</si>
  <si>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</si>
  <si>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</si>
  <si>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</si>
  <si>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</si>
  <si>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</si>
  <si>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</si>
  <si>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</si>
  <si>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</si>
  <si>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</si>
  <si>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</si>
  <si>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</si>
  <si>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</si>
  <si>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</si>
  <si>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</si>
  <si>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</si>
  <si>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</si>
  <si>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</si>
  <si>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</si>
  <si>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</si>
  <si>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</si>
  <si>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</si>
  <si>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</si>
  <si>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</si>
  <si>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</si>
  <si>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</si>
  <si>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</si>
  <si>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</si>
  <si>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</si>
  <si>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</si>
  <si>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</si>
  <si>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</si>
  <si>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</si>
  <si>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</si>
  <si>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</si>
  <si>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</si>
  <si>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</si>
  <si>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</si>
  <si>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</si>
  <si>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</si>
  <si>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</si>
  <si>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</si>
  <si>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</si>
  <si>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</si>
  <si>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</si>
  <si>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</si>
  <si>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</si>
  <si>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</si>
  <si>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</si>
  <si>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fg_cst_cost_cl</t>
  </si>
  <si>
    <t>Fiberglass Pressure Vessels - Plastic Internals</t>
  </si>
  <si>
    <t>fg_pv_cost_cl</t>
  </si>
  <si>
    <t>bls114</t>
  </si>
  <si>
    <t>Fiberglass Salt Saturator (Brinemaker)</t>
  </si>
  <si>
    <t>Size Needed (tons)</t>
  </si>
  <si>
    <t>Size Selected (tons)</t>
  </si>
  <si>
    <t>fg_saltbox_cost_cl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</si>
  <si>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</si>
  <si>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</si>
  <si>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</si>
  <si>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</si>
  <si>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</si>
  <si>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</si>
  <si>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</si>
  <si>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</si>
  <si>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</si>
  <si>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</si>
  <si>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</si>
  <si>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</si>
  <si>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bls1154</t>
  </si>
  <si>
    <t>Laser Jet Printer</t>
  </si>
  <si>
    <t>laser_printer_cost_cl</t>
  </si>
  <si>
    <t>Magnetic Flow Meters</t>
  </si>
  <si>
    <t>mag_fm_cost_cl</t>
  </si>
  <si>
    <t>Metalwork</t>
  </si>
  <si>
    <t>Aluminum Railing</t>
  </si>
  <si>
    <t>Aluminum Stairs</t>
  </si>
  <si>
    <t>riser</t>
  </si>
  <si>
    <t>Checkered Plate Platform</t>
  </si>
  <si>
    <t>Grating</t>
  </si>
  <si>
    <t>metal_cost_cl</t>
  </si>
  <si>
    <t>Mounted Mixers (for neutralization tanks, etc)</t>
  </si>
  <si>
    <t>Size selected (hp)</t>
  </si>
  <si>
    <t>mount_mix_cost_cl</t>
  </si>
  <si>
    <t>Orifice Plate Flow Meters</t>
  </si>
  <si>
    <t>op_fm_cost_cl</t>
  </si>
  <si>
    <t>bls117507</t>
  </si>
  <si>
    <t>Operator Interface Software</t>
  </si>
  <si>
    <t>op_interface_software_cost_cl</t>
  </si>
  <si>
    <t>ORP Sensor</t>
  </si>
  <si>
    <t>orp_anal_cost_cl</t>
  </si>
  <si>
    <t>bls11510114</t>
  </si>
  <si>
    <t>PC Workstation</t>
  </si>
  <si>
    <t>pc_workstation_cost_cl</t>
  </si>
  <si>
    <t>pH Meters/Controllers</t>
  </si>
  <si>
    <t>pH_meter_cost_cl</t>
  </si>
  <si>
    <t>Hand Dug Test Pits</t>
  </si>
  <si>
    <t>pit_cost_cl</t>
  </si>
  <si>
    <t>Plastic (XLPE) Chemical Storage Tanks</t>
  </si>
  <si>
    <t>pl_cst_cost_cl</t>
  </si>
  <si>
    <t>Plastic Eductors (for liquid solutions)</t>
  </si>
  <si>
    <t>Size Needed (in. diam)</t>
  </si>
  <si>
    <t>Size Selected (in. diam)</t>
  </si>
  <si>
    <t>pl_eductor_cost_cl</t>
  </si>
  <si>
    <t>Reinforced Plastic Salt Saturator (Brinemaker)</t>
  </si>
  <si>
    <t>pl_saltbox_cost_cl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</si>
  <si>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</si>
  <si>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</si>
  <si>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</si>
  <si>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</si>
  <si>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</si>
  <si>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</si>
  <si>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</si>
  <si>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</si>
  <si>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</si>
  <si>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</si>
  <si>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</si>
  <si>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</si>
  <si>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</si>
  <si>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</si>
  <si>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</si>
  <si>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</si>
  <si>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</si>
  <si>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</si>
  <si>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</si>
  <si>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</si>
  <si>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</si>
  <si>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</si>
  <si>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</si>
  <si>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</si>
  <si>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</si>
  <si>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</si>
  <si>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</si>
  <si>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</si>
  <si>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</si>
  <si>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</si>
  <si>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</si>
  <si>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</si>
  <si>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</si>
  <si>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</si>
  <si>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</si>
  <si>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</si>
  <si>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</si>
  <si>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</si>
  <si>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</si>
  <si>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</si>
  <si>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</si>
  <si>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</si>
  <si>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</si>
  <si>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</si>
  <si>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</si>
  <si>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</si>
  <si>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</si>
  <si>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</si>
  <si>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</si>
  <si>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bls066</t>
  </si>
  <si>
    <t>Strong Base Anion Exchange Resins</t>
  </si>
  <si>
    <t>Resin Type</t>
  </si>
  <si>
    <t>Strong base polystyrenic gel-type Type I</t>
  </si>
  <si>
    <t>Strong base polystyrenic gel-type Type II</t>
  </si>
  <si>
    <t>Strong base polystyrenic macroporous Type I</t>
  </si>
  <si>
    <t>Strong base polystyrenic macroporous Type II</t>
  </si>
  <si>
    <t>Strong base polyacrylic</t>
  </si>
  <si>
    <t>Nitrate-selective</t>
  </si>
  <si>
    <t>sba_res_cost_cl</t>
  </si>
  <si>
    <t>Eductors (for bed transfer)</t>
  </si>
  <si>
    <t>seductor_cost_cl</t>
  </si>
  <si>
    <t>Sitework unit cost</t>
  </si>
  <si>
    <t>sitework_sf_cl</t>
  </si>
  <si>
    <t>Stainless Steel Check Valves</t>
  </si>
  <si>
    <t>ss_chv_cost_cl</t>
  </si>
  <si>
    <t>Stainless Steel Chemical Storage Tanks</t>
  </si>
  <si>
    <t>ss_cst_cost_cl</t>
  </si>
  <si>
    <t>Stainless Steel Eductors (for liquid solutions)</t>
  </si>
  <si>
    <t>ss_eductor_cost_cl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</si>
  <si>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</si>
  <si>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</si>
  <si>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</si>
  <si>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</si>
  <si>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</si>
  <si>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</si>
  <si>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</si>
  <si>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</si>
  <si>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</si>
  <si>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</si>
  <si>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</si>
  <si>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</si>
  <si>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</si>
  <si>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</si>
  <si>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</si>
  <si>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</si>
  <si>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</si>
  <si>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</si>
  <si>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</si>
  <si>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</si>
  <si>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</si>
  <si>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</si>
  <si>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</si>
  <si>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</si>
  <si>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</si>
  <si>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</si>
  <si>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</si>
  <si>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</si>
  <si>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</si>
  <si>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</si>
  <si>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</si>
  <si>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</si>
  <si>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</si>
  <si>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</si>
  <si>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</si>
  <si>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</si>
  <si>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</si>
  <si>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</si>
  <si>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</si>
  <si>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</si>
  <si>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</si>
  <si>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</si>
  <si>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</si>
  <si>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</si>
  <si>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</si>
  <si>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</si>
  <si>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</si>
  <si>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</si>
  <si>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</si>
  <si>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</si>
  <si>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</si>
  <si>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</si>
  <si>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</si>
  <si>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</si>
  <si>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</si>
  <si>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</si>
  <si>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</si>
  <si>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</si>
  <si>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</si>
  <si>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</si>
  <si>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</si>
  <si>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</si>
  <si>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</si>
  <si>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</si>
  <si>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</si>
  <si>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</si>
  <si>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</si>
  <si>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</si>
  <si>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</si>
  <si>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</si>
  <si>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</si>
  <si>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</si>
  <si>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</si>
  <si>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</si>
  <si>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</si>
  <si>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</si>
  <si>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</si>
  <si>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</si>
  <si>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</si>
  <si>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</si>
  <si>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</si>
  <si>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</si>
  <si>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</si>
  <si>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</si>
  <si>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</si>
  <si>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</si>
  <si>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</si>
  <si>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</si>
  <si>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</si>
  <si>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</si>
  <si>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</si>
  <si>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</si>
  <si>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</si>
  <si>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</si>
  <si>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</si>
  <si>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</si>
  <si>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</si>
  <si>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</si>
  <si>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</si>
  <si>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</si>
  <si>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</si>
  <si>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</si>
  <si>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</si>
  <si>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</si>
  <si>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</si>
  <si>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</si>
  <si>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</si>
  <si>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</si>
  <si>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</si>
  <si>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</si>
  <si>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</si>
  <si>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</si>
  <si>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</si>
  <si>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</si>
  <si>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</si>
  <si>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</si>
  <si>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</si>
  <si>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</si>
  <si>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</si>
  <si>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</si>
  <si>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</si>
  <si>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</si>
  <si>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</si>
  <si>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</si>
  <si>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</si>
  <si>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</si>
  <si>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</si>
  <si>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</si>
  <si>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</si>
  <si>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</si>
  <si>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</si>
  <si>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</si>
  <si>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</si>
  <si>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</si>
  <si>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</si>
  <si>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</si>
  <si>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</si>
  <si>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</si>
  <si>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</si>
  <si>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</si>
  <si>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</si>
  <si>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</si>
  <si>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</si>
  <si>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</si>
  <si>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</si>
  <si>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</si>
  <si>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</si>
  <si>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</si>
  <si>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</si>
  <si>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</si>
  <si>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</si>
  <si>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</si>
  <si>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</si>
  <si>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</si>
  <si>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</si>
  <si>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</si>
  <si>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</si>
  <si>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</si>
  <si>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</si>
  <si>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</si>
  <si>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</si>
  <si>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</si>
  <si>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</si>
  <si>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</si>
  <si>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</si>
  <si>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</si>
  <si>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</si>
  <si>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</si>
  <si>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</si>
  <si>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</si>
  <si>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</si>
  <si>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</si>
  <si>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</si>
  <si>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</si>
  <si>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</si>
  <si>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</si>
  <si>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</si>
  <si>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</si>
  <si>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</si>
  <si>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</si>
  <si>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</si>
  <si>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</si>
  <si>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</si>
  <si>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</si>
  <si>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</si>
  <si>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</si>
  <si>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</si>
  <si>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</si>
  <si>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</si>
  <si>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</si>
  <si>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</si>
  <si>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</si>
  <si>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</si>
  <si>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</si>
  <si>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</si>
  <si>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</si>
  <si>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</si>
  <si>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</si>
  <si>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</si>
  <si>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</si>
  <si>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</si>
  <si>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</si>
  <si>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</si>
  <si>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</si>
  <si>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</si>
  <si>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</si>
  <si>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</si>
  <si>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</si>
  <si>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</si>
  <si>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</si>
  <si>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</si>
  <si>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</si>
  <si>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</si>
  <si>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</si>
  <si>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</si>
  <si>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</si>
  <si>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</si>
  <si>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</si>
  <si>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</si>
  <si>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</si>
  <si>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</si>
  <si>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</si>
  <si>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</si>
  <si>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</si>
  <si>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</si>
  <si>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</si>
  <si>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</si>
  <si>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</si>
  <si>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</si>
  <si>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</si>
  <si>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</si>
  <si>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</si>
  <si>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</si>
  <si>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</si>
  <si>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</si>
  <si>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</si>
  <si>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</si>
  <si>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</si>
  <si>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</si>
  <si>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</si>
  <si>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</si>
  <si>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</si>
  <si>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</si>
  <si>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</si>
  <si>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</si>
  <si>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</si>
  <si>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</si>
  <si>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</si>
  <si>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</si>
  <si>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</si>
  <si>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</si>
  <si>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</si>
  <si>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</si>
  <si>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</si>
  <si>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</si>
  <si>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</si>
  <si>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</si>
  <si>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</si>
  <si>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</si>
  <si>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</si>
  <si>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</si>
  <si>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</si>
  <si>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</si>
  <si>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</si>
  <si>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</si>
  <si>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</si>
  <si>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</si>
  <si>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</si>
  <si>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</si>
  <si>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</si>
  <si>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</si>
  <si>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</si>
  <si>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</si>
  <si>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</si>
  <si>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</si>
  <si>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</si>
  <si>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</si>
  <si>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</si>
  <si>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</si>
  <si>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</si>
  <si>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</si>
  <si>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</si>
  <si>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</si>
  <si>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</si>
  <si>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</si>
  <si>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</si>
  <si>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</si>
  <si>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</si>
  <si>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</si>
  <si>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</si>
  <si>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</si>
  <si>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</si>
  <si>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NaOH Properties</t>
  </si>
  <si>
    <t>Percent NaOH</t>
  </si>
  <si>
    <t>Concentration (lbs/gallon)</t>
  </si>
  <si>
    <t>Concentration (g/L)</t>
  </si>
  <si>
    <t>Specific Gravity</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</si>
  <si>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</si>
  <si>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</si>
  <si>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</si>
  <si>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</si>
  <si>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</si>
  <si>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</si>
  <si>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</si>
  <si>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</si>
  <si>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</si>
  <si>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</si>
  <si>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</si>
  <si>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</si>
  <si>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</si>
  <si>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</si>
  <si>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</si>
  <si>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</si>
  <si>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Salt Saturator Dimensions</t>
  </si>
  <si>
    <t>Diameter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</si>
  <si>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</si>
  <si>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</si>
  <si>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</si>
  <si>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</si>
  <si>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</si>
  <si>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</si>
  <si>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</si>
  <si>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</si>
  <si>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</si>
  <si>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</si>
  <si>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</si>
  <si>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</si>
  <si>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</si>
  <si>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</si>
  <si>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</si>
  <si>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</si>
  <si>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</si>
  <si>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</si>
  <si>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</si>
  <si>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</si>
  <si>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</si>
  <si>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</si>
  <si>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</si>
  <si>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</si>
  <si>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</si>
  <si>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</si>
  <si>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</si>
  <si>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</si>
  <si>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</si>
  <si>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</si>
  <si>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</si>
  <si>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</si>
  <si>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</si>
  <si>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</si>
  <si>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</si>
  <si>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</si>
  <si>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</si>
  <si>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</si>
  <si>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</si>
  <si>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</si>
  <si>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</si>
  <si>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</si>
  <si>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</si>
  <si>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</si>
  <si>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</si>
  <si>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</si>
  <si>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</si>
  <si>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</si>
  <si>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</si>
  <si>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</si>
  <si>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</si>
  <si>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</si>
  <si>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</si>
  <si>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</si>
  <si>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</si>
  <si>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</si>
  <si>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</si>
  <si>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</si>
  <si>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</si>
  <si>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</si>
  <si>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</si>
  <si>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</si>
  <si>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</si>
  <si>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</si>
  <si>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</si>
  <si>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</si>
  <si>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</si>
  <si>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</si>
  <si>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</si>
  <si>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</si>
  <si>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</si>
  <si>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</si>
  <si>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</si>
  <si>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</si>
  <si>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</si>
  <si>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</si>
  <si>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</si>
  <si>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</si>
  <si>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</si>
  <si>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</si>
  <si>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</si>
  <si>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</si>
  <si>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</si>
  <si>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</si>
  <si>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</si>
  <si>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</si>
  <si>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</si>
  <si>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</si>
  <si>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</si>
  <si>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</si>
  <si>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</si>
  <si>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</si>
  <si>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</si>
  <si>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</si>
  <si>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</si>
  <si>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</si>
  <si>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</si>
  <si>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</si>
  <si>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</si>
  <si>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</si>
  <si>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</si>
  <si>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</si>
  <si>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</si>
  <si>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</si>
  <si>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</si>
  <si>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</si>
  <si>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</si>
  <si>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</si>
  <si>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</si>
  <si>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</si>
  <si>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</si>
  <si>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</si>
  <si>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</si>
  <si>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</si>
  <si>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</si>
  <si>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</si>
  <si>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</si>
  <si>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</si>
  <si>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</si>
  <si>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</si>
  <si>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</si>
  <si>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</si>
  <si>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</si>
  <si>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</si>
  <si>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</si>
  <si>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</si>
  <si>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</si>
  <si>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</si>
  <si>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</si>
  <si>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</si>
  <si>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</si>
  <si>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</si>
  <si>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</si>
  <si>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</si>
  <si>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</si>
  <si>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</si>
  <si>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</si>
  <si>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</si>
  <si>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</si>
  <si>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</si>
  <si>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</si>
  <si>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</si>
  <si>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</si>
  <si>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</si>
  <si>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</si>
  <si>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</si>
  <si>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</si>
  <si>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</si>
  <si>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</si>
  <si>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</si>
  <si>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12:42:50 PM</t>
  </si>
  <si>
    <t xml:space="preserve"> 1/23/2023 12:43:02 PM</t>
  </si>
  <si>
    <t xml:space="preserve"> 1/23/2023 12:43:50 PM</t>
  </si>
  <si>
    <t xml:space="preserve"> 1/23/2023 12:44:55 PM</t>
  </si>
  <si>
    <t xml:space="preserve"> 1/23/2023 12:45:14 PM</t>
  </si>
  <si>
    <t xml:space="preserve"> 1/23/2023 12:59:03 PM</t>
  </si>
  <si>
    <t xml:space="preserve"> 1/23/2023 12:59:16 PM</t>
  </si>
  <si>
    <t xml:space="preserve"> 1/23/2023 12:59:37 PM</t>
  </si>
  <si>
    <t xml:space="preserve"> 1/23/2023 12:59:50 PM</t>
  </si>
  <si>
    <t xml:space="preserve"> 1/24/2023 3:15:04 PM</t>
  </si>
  <si>
    <t xml:space="preserve"> 1/24/2023 3:21:14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</si>
  <si>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</si>
  <si>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</si>
  <si>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</si>
  <si>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</si>
  <si>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</si>
  <si>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</si>
  <si>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</si>
  <si>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</si>
  <si>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</si>
  <si>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</si>
  <si>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</si>
  <si>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</si>
  <si>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</si>
  <si>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</si>
  <si>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</si>
  <si>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</si>
  <si>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</si>
  <si>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</si>
  <si>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</si>
  <si>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</si>
  <si>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</si>
  <si>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</si>
  <si>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</si>
  <si>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</si>
  <si>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</si>
  <si>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Ion Exchange for PFAS Treatment</t>
  </si>
  <si>
    <r>
      <t xml:space="preserve">USEPA. 2023. </t>
    </r>
    <r>
      <rPr>
        <i/>
        <sz val="10"/>
        <rFont val="Arial"/>
        <family val="2"/>
      </rPr>
      <t>Work Breakdown Structure-Based Cost Model for Ion Exchange for PFAS Drinking Water Treatment</t>
    </r>
    <r>
      <rPr>
        <sz val="10"/>
        <rFont val="Arial"/>
        <family val="2"/>
      </rPr>
      <t>. Office of Water.</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</si>
  <si>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</si>
  <si>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</si>
  <si>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</si>
  <si>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Based on theoretical operating characteristics for vendor eductors</t>
  </si>
  <si>
    <t>Based on vendor filter housings.</t>
  </si>
  <si>
    <t>Coefficients for Component Cost Equations</t>
  </si>
  <si>
    <t>min size for which curve fits are valid</t>
  </si>
  <si>
    <t>Release Date: March 2023</t>
  </si>
  <si>
    <t>MGD</t>
    <phoneticPr fontId="0" type="noConversion"/>
  </si>
  <si>
    <t>upright</t>
    <phoneticPr fontId="0" type="noConversion"/>
  </si>
  <si>
    <t>months at average flow</t>
    <phoneticPr fontId="0" type="noConversion"/>
  </si>
  <si>
    <t>Residuals</t>
    <phoneticPr fontId="0" type="noConversion"/>
  </si>
  <si>
    <t>hazardous</t>
  </si>
  <si>
    <t>PFAS-selective</t>
    <phoneticPr fontId="0" type="noConversion"/>
  </si>
  <si>
    <t>lbs/ft3</t>
    <phoneticPr fontId="0" type="noConversion"/>
  </si>
  <si>
    <t>Final surface area of contact material</t>
    <phoneticPr fontId="0" type="noConversion"/>
  </si>
  <si>
    <t>Assume upper bound of unit cost above; in addition, residuals management sheet adds standard hazardous waste transportation cost to this unit cost</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</si>
</sst>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
    <numFmt numFmtId="183" formatCode="_(&quot;$&quot;* #,##0_);_(&quot;$&quot;* \(#,##0\);_(&quot;$&quot;* &quot;-&quot;??_);_(@_)"/>
    <numFmt numFmtId="184" formatCode="&quot;$&quot;#,##0"/>
    <numFmt numFmtId="185" formatCode="0.0"/>
    <numFmt numFmtId="186" formatCode="_(* #,##0.000_);_(* \(#,##0.000\);_(* &quot;-&quot;??_);_(@_)"/>
    <numFmt numFmtId="187" formatCode="0.0%"/>
    <numFmt numFmtId="188" formatCode="&quot;$&quot;#,##0.00"/>
    <numFmt numFmtId="189" formatCode="#,##0.0"/>
    <numFmt numFmtId="190" formatCode="_(&quot;$&quot;* #,##0.000_);_(&quot;$&quot;* \(#,##0.000\);_(&quot;$&quot;* &quot;-&quot;??_);_(@_)"/>
    <numFmt numFmtId="191" formatCode="#,##0.000"/>
    <numFmt numFmtId="192" formatCode="#,###"/>
    <numFmt numFmtId="193" formatCode="#,###.0"/>
    <numFmt numFmtId="194" formatCode="#,##0.0_);\(#,##0.0\)"/>
    <numFmt numFmtId="195" formatCode="0.0000"/>
  </numFmts>
  <fonts count="85">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39"/>
      <name val="Arial"/>
      <family val="2"/>
    </font>
    <font>
      <i/>
      <u/>
      <sz val="10"/>
      <name val="Arial"/>
      <family val="2"/>
    </font>
    <font>
      <sz val="10"/>
      <color indexed="10"/>
      <name val="Arial"/>
      <family val="2"/>
    </font>
    <font>
      <sz val="10"/>
      <color indexed="12"/>
      <name val="Arial"/>
      <family val="2"/>
    </font>
    <font>
      <b/>
      <i/>
      <sz val="10"/>
      <color indexed="17"/>
      <name val="Arial"/>
      <family val="2"/>
    </font>
    <font>
      <b/>
      <sz val="12"/>
      <name val="Arial"/>
      <family val="2"/>
    </font>
    <font>
      <sz val="10"/>
      <color indexed="17"/>
      <name val="Arial"/>
      <family val="2"/>
    </font>
    <font>
      <b/>
      <sz val="8"/>
      <color indexed="10"/>
      <name val="Arial"/>
      <family val="2"/>
    </font>
    <font>
      <sz val="8"/>
      <color indexed="81"/>
      <name val="Tahoma"/>
      <family val="2"/>
    </font>
    <font>
      <b/>
      <u/>
      <sz val="10"/>
      <name val="Arial"/>
      <family val="2"/>
    </font>
    <font>
      <sz val="10"/>
      <color indexed="23"/>
      <name val="Arial"/>
      <family val="2"/>
    </font>
    <font>
      <i/>
      <sz val="10"/>
      <color indexed="52"/>
      <name val="Arial"/>
      <family val="2"/>
    </font>
    <font>
      <i/>
      <sz val="10"/>
      <color indexed="40"/>
      <name val="Arial"/>
      <family val="2"/>
    </font>
    <font>
      <sz val="10"/>
      <color indexed="17"/>
      <name val="Arial"/>
      <family val="2"/>
    </font>
    <font>
      <sz val="8"/>
      <color indexed="17"/>
      <name val="Arial"/>
      <family val="2"/>
    </font>
    <font>
      <b/>
      <sz val="8"/>
      <color indexed="81"/>
      <name val="Tahoma"/>
      <family val="2"/>
    </font>
    <font>
      <b/>
      <u/>
      <sz val="12"/>
      <name val="Arial"/>
      <family val="2"/>
    </font>
    <font>
      <b/>
      <u/>
      <sz val="12"/>
      <color indexed="12"/>
      <name val="Arial"/>
      <family val="2"/>
    </font>
    <font>
      <b/>
      <sz val="12"/>
      <color indexed="12"/>
      <name val="Arial"/>
      <family val="2"/>
    </font>
    <font>
      <sz val="9"/>
      <color indexed="17"/>
      <name val="Arial"/>
      <family val="2"/>
    </font>
    <font>
      <sz val="10"/>
      <color indexed="9"/>
      <name val="Arial"/>
      <family val="2"/>
    </font>
    <font>
      <b/>
      <u/>
      <sz val="12"/>
      <color indexed="61"/>
      <name val="Arial"/>
      <family val="2"/>
    </font>
    <font>
      <b/>
      <sz val="12"/>
      <color indexed="61"/>
      <name val="Arial"/>
      <family val="2"/>
    </font>
    <font>
      <u/>
      <sz val="10"/>
      <name val="Arial"/>
      <family val="2"/>
    </font>
    <font>
      <sz val="10"/>
      <color indexed="51"/>
      <name val="Arial"/>
      <family val="2"/>
    </font>
    <font>
      <sz val="10"/>
      <color indexed="40"/>
      <name val="Arial"/>
      <family val="2"/>
    </font>
    <font>
      <sz val="10"/>
      <color indexed="18"/>
      <name val="Arial"/>
      <family val="2"/>
    </font>
    <font>
      <i/>
      <sz val="10"/>
      <name val="Arial"/>
      <family val="2"/>
    </font>
    <font>
      <b/>
      <sz val="10"/>
      <color indexed="17"/>
      <name val="Arial"/>
      <family val="2"/>
    </font>
    <font>
      <b/>
      <sz val="12"/>
      <color indexed="20"/>
      <name val="Arial"/>
      <family val="2"/>
    </font>
    <font>
      <sz val="8"/>
      <color indexed="57"/>
      <name val="Arial"/>
      <family val="2"/>
    </font>
    <font>
      <b/>
      <sz val="10"/>
      <name val="Arial"/>
      <family val="2"/>
    </font>
    <font>
      <sz val="8"/>
      <name val="Arial"/>
      <family val="2"/>
    </font>
    <font>
      <i/>
      <u/>
      <sz val="10"/>
      <color indexed="17"/>
      <name val="Arial"/>
      <family val="2"/>
    </font>
    <font>
      <sz val="10"/>
      <color indexed="17"/>
      <name val="Arial"/>
      <family val="2"/>
    </font>
    <font>
      <sz val="10"/>
      <color rgb="FF000000"/>
      <name val="Arial"/>
      <family val="2"/>
    </font>
    <font>
      <b/>
      <sz val="9"/>
      <color indexed="81"/>
      <name val="Tahoma"/>
      <family val="2"/>
    </font>
    <font>
      <sz val="9"/>
      <color indexed="81"/>
      <name val="Tahoma"/>
      <family val="2"/>
    </font>
    <font>
      <sz val="10"/>
      <color theme="1"/>
      <name val="Arial"/>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u/>
      <vertAlign val="subscript"/>
      <sz val="10"/>
      <name val="Arial"/>
      <family val="2"/>
    </font>
    <font>
      <vertAlign val="subscript"/>
      <sz val="10"/>
      <name val="Arial"/>
      <family val="2"/>
    </font>
    <font>
      <vertAlign val="superscript"/>
      <sz val="10"/>
      <name val="Arial"/>
      <family val="2"/>
    </font>
    <font>
      <b/>
      <vertAlign val="subscript"/>
      <sz val="10"/>
      <color indexed="17"/>
      <name val="Arial"/>
      <family val="2"/>
    </font>
    <font>
      <b/>
      <vertAlign val="superscript"/>
      <sz val="10"/>
      <color indexed="17"/>
      <name val="Arial"/>
      <family val="2"/>
    </font>
    <font>
      <sz val="10"/>
      <color rgb="FF008000"/>
      <name val="Arial"/>
      <family val="2"/>
    </font>
    <font>
      <sz val="10"/>
      <color rgb="FFFF0000"/>
      <name val="Arial"/>
      <family val="2"/>
    </font>
    <font>
      <b/>
      <sz val="10"/>
      <color rgb="FFFF0000"/>
      <name val="Arial"/>
      <family val="2"/>
    </font>
    <font>
      <i/>
      <sz val="10"/>
      <color indexed="17"/>
      <name val="Arial"/>
      <family val="2"/>
    </font>
    <font>
      <b/>
      <sz val="10"/>
      <color theme="1"/>
      <name val="Arial"/>
      <family val="2"/>
    </font>
    <font>
      <u/>
      <sz val="10"/>
      <color theme="1"/>
      <name val="Arial"/>
      <family val="2"/>
    </font>
    <font>
      <b/>
      <u/>
      <sz val="10"/>
      <color indexed="61"/>
      <name val="Arial"/>
      <family val="2"/>
    </font>
    <font>
      <b/>
      <i/>
      <sz val="10"/>
      <color indexed="18"/>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s>
  <fills count="20">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41"/>
        <bgColor indexed="64"/>
      </patternFill>
    </fill>
    <fill>
      <patternFill patternType="solid">
        <fgColor indexed="17"/>
        <bgColor indexed="64"/>
      </patternFill>
    </fill>
    <fill>
      <patternFill patternType="solid">
        <fgColor rgb="FFC0C0C0"/>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FFCC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99CC"/>
        <bgColor indexed="64"/>
      </patternFill>
    </fill>
  </fills>
  <borders count="7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22"/>
      </top>
      <bottom style="thin">
        <color indexed="64"/>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style="thin">
        <color indexed="64"/>
      </right>
      <top style="thin">
        <color indexed="64"/>
      </top>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diagonal/>
    </border>
    <border>
      <left style="thin">
        <color indexed="22"/>
      </left>
      <right style="thin">
        <color indexed="22"/>
      </right>
      <top style="thin">
        <color indexed="64"/>
      </top>
      <bottom/>
      <diagonal/>
    </border>
    <border>
      <left/>
      <right style="thin">
        <color indexed="64"/>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64"/>
      </bottom>
      <diagonal/>
    </border>
    <border>
      <left style="thin">
        <color indexed="22"/>
      </left>
      <right/>
      <top/>
      <bottom/>
      <diagonal/>
    </border>
    <border>
      <left style="thin">
        <color indexed="22"/>
      </left>
      <right/>
      <top style="thin">
        <color indexed="22"/>
      </top>
      <bottom/>
      <diagonal/>
    </border>
    <border>
      <left/>
      <right style="thin">
        <color indexed="22"/>
      </right>
      <top/>
      <bottom/>
      <diagonal/>
    </border>
    <border>
      <left/>
      <right style="thin">
        <color indexed="22"/>
      </right>
      <top/>
      <bottom style="thin">
        <color indexed="22"/>
      </bottom>
      <diagonal/>
    </border>
    <border>
      <left style="thin">
        <color indexed="22"/>
      </left>
      <right/>
      <top/>
      <bottom style="double">
        <color indexed="64"/>
      </bottom>
      <diagonal/>
    </border>
    <border>
      <left style="thin">
        <color indexed="22"/>
      </left>
      <right/>
      <top/>
      <bottom style="thin">
        <color indexed="64"/>
      </bottom>
      <diagonal/>
    </border>
    <border>
      <left/>
      <right style="thin">
        <color indexed="22"/>
      </right>
      <top/>
      <bottom style="thin">
        <color indexed="64"/>
      </bottom>
      <diagonal/>
    </border>
    <border>
      <left/>
      <right style="thin">
        <color indexed="22"/>
      </right>
      <top/>
      <bottom style="double">
        <color indexed="64"/>
      </bottom>
      <diagonal/>
    </border>
    <border>
      <left/>
      <right/>
      <top/>
      <bottom style="thin">
        <color indexed="22"/>
      </bottom>
      <diagonal/>
    </border>
    <border>
      <left style="thin">
        <color indexed="64"/>
      </left>
      <right style="thin">
        <color indexed="22"/>
      </right>
      <top/>
      <bottom/>
      <diagonal/>
    </border>
    <border>
      <left/>
      <right style="thin">
        <color indexed="22"/>
      </right>
      <top style="thin">
        <color indexed="22"/>
      </top>
      <bottom/>
      <diagonal/>
    </border>
    <border>
      <left/>
      <right/>
      <top style="thin">
        <color indexed="22"/>
      </top>
      <bottom/>
      <diagonal/>
    </border>
    <border>
      <left/>
      <right style="thin">
        <color indexed="22"/>
      </right>
      <top style="thin">
        <color indexed="64"/>
      </top>
      <bottom style="thin">
        <color indexed="22"/>
      </bottom>
      <diagonal/>
    </border>
    <border>
      <left style="thin">
        <color indexed="22"/>
      </left>
      <right style="thin">
        <color indexed="64"/>
      </right>
      <top/>
      <bottom style="thin">
        <color indexed="22"/>
      </bottom>
      <diagonal/>
    </border>
    <border>
      <left style="thin">
        <color indexed="64"/>
      </left>
      <right/>
      <top/>
      <bottom style="thin">
        <color indexed="22"/>
      </bottom>
      <diagonal/>
    </border>
    <border>
      <left style="thin">
        <color indexed="22"/>
      </left>
      <right style="thin">
        <color indexed="22"/>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22"/>
      </left>
      <right style="thin">
        <color indexed="22"/>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35">
    <xf numFmtId="0" fontId="0" fillId="0" borderId="0"/>
    <xf numFmtId="0" fontId="6" fillId="2" borderId="0" applyBorder="0" applyAlignment="0">
      <protection locked="0"/>
    </xf>
    <xf numFmtId="0" fontId="14" fillId="0" borderId="0">
      <alignment vertical="center"/>
    </xf>
    <xf numFmtId="0" fontId="11" fillId="3" borderId="0" applyNumberFormat="0" applyBorder="0">
      <alignment horizontal="right"/>
      <protection locked="0"/>
    </xf>
    <xf numFmtId="0" fontId="27" fillId="0" borderId="0" applyNumberFormat="0" applyBorder="0"/>
    <xf numFmtId="0" fontId="11" fillId="2" borderId="0" applyBorder="0" applyAlignment="0">
      <protection locked="0"/>
    </xf>
    <xf numFmtId="43" fontId="6" fillId="0" borderId="0" applyFont="0" applyFill="0" applyBorder="0" applyAlignment="0" applyProtection="0"/>
    <xf numFmtId="43" fontId="11" fillId="0" borderId="0" applyFont="0" applyFill="0" applyBorder="0" applyAlignment="0" applyProtection="0"/>
    <xf numFmtId="179" fontId="6" fillId="0" borderId="0" applyFont="0" applyFill="0" applyBorder="0" applyAlignment="0" applyProtection="0"/>
    <xf numFmtId="179" fontId="11" fillId="0" borderId="0" applyFont="0" applyFill="0" applyBorder="0" applyAlignment="0" applyProtection="0"/>
    <xf numFmtId="0" fontId="18" fillId="0" borderId="0" applyNumberFormat="0" applyFill="0" applyBorder="0" applyAlignment="0" applyProtection="0">
      <alignment vertical="top"/>
      <protection locked="0"/>
    </xf>
    <xf numFmtId="0" fontId="27" fillId="0" borderId="1" applyNumberFormat="0" applyBorder="0">
      <alignment horizontal="right" vertical="center" wrapText="1"/>
    </xf>
    <xf numFmtId="0" fontId="27" fillId="0" borderId="2" applyNumberFormat="0" applyBorder="0">
      <alignment horizontal="left" vertical="center" wrapText="1"/>
    </xf>
    <xf numFmtId="0" fontId="27" fillId="0" borderId="0" applyNumberFormat="0">
      <alignment vertical="center"/>
    </xf>
    <xf numFmtId="0" fontId="54" fillId="4" borderId="0" applyNumberFormat="0" applyFill="0" applyBorder="0">
      <alignment vertical="center" wrapText="1"/>
    </xf>
    <xf numFmtId="0" fontId="27" fillId="0" borderId="0" applyNumberFormat="0">
      <alignment vertical="center"/>
    </xf>
    <xf numFmtId="0" fontId="30" fillId="0" borderId="0" applyNumberFormat="0" applyBorder="0">
      <alignment vertical="center"/>
    </xf>
    <xf numFmtId="0" fontId="11" fillId="0" borderId="0" applyNumberFormat="0" applyFill="0" applyBorder="0">
      <alignment horizontal="left" vertical="center" wrapText="1" indent="1"/>
    </xf>
    <xf numFmtId="0" fontId="52" fillId="0" borderId="0" applyNumberFormat="0" applyBorder="0">
      <alignment vertical="center"/>
    </xf>
    <xf numFmtId="0" fontId="7" fillId="2" borderId="0" applyBorder="0">
      <alignment horizontal="right" vertical="center"/>
      <protection locked="0"/>
    </xf>
    <xf numFmtId="0" fontId="7" fillId="3" borderId="3" applyBorder="0">
      <alignment horizontal="right" vertical="center"/>
      <protection locked="0"/>
    </xf>
    <xf numFmtId="0" fontId="11" fillId="0" borderId="4" applyBorder="0">
      <alignment vertical="center"/>
    </xf>
    <xf numFmtId="0" fontId="14" fillId="0" borderId="5" applyNumberFormat="0" applyBorder="0">
      <alignment horizontal="right" vertical="center"/>
    </xf>
    <xf numFmtId="9" fontId="11" fillId="3" borderId="0" applyNumberFormat="0" applyFont="0" applyBorder="0">
      <protection locked="0"/>
    </xf>
    <xf numFmtId="0" fontId="11" fillId="0" borderId="0"/>
    <xf numFmtId="0" fontId="6" fillId="0" borderId="0"/>
    <xf numFmtId="9" fontId="6" fillId="0" borderId="0" applyFont="0" applyFill="0" applyBorder="0" applyAlignment="0" applyProtection="0"/>
    <xf numFmtId="0" fontId="48" fillId="0" borderId="0" applyNumberFormat="0" applyFill="0" applyBorder="0">
      <alignment vertical="center"/>
    </xf>
    <xf numFmtId="0" fontId="5" fillId="0" borderId="0"/>
    <xf numFmtId="0" fontId="18" fillId="0" borderId="0" applyNumberFormat="0" applyFill="0" applyBorder="0" applyAlignment="0" applyProtection="0">
      <alignment vertical="top"/>
      <protection locked="0"/>
    </xf>
    <xf numFmtId="43" fontId="4" fillId="0" borderId="0" applyFont="0" applyFill="0" applyBorder="0" applyAlignment="0" applyProtection="0"/>
    <xf numFmtId="0" fontId="3" fillId="0" borderId="0"/>
    <xf numFmtId="43" fontId="2" fillId="0" borderId="0" applyFont="0" applyFill="0" applyBorder="0" applyAlignment="0" applyProtection="0"/>
    <xf numFmtId="0" fontId="1" fillId="0" borderId="0"/>
    <xf numFmtId="0" fontId="6" fillId="0" borderId="0"/>
  </cellStyleXfs>
  <cellXfs count="1038">
    <xf numFmtId="0" fontId="0" fillId="0" borderId="0" xfId="0"/>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4" fillId="0" borderId="0" xfId="0" applyFont="1"/>
    <xf numFmtId="183" fontId="0" fillId="0" borderId="0" xfId="8" applyNumberFormat="1" applyFont="1"/>
    <xf numFmtId="0" fontId="0" fillId="0" borderId="0" xfId="0" applyAlignment="1">
      <alignment horizontal="center"/>
    </xf>
    <xf numFmtId="185" fontId="0" fillId="0" borderId="0" xfId="0" applyNumberFormat="1"/>
    <xf numFmtId="187" fontId="21" fillId="0" borderId="0" xfId="0" applyNumberFormat="1" applyFont="1"/>
    <xf numFmtId="0" fontId="13" fillId="0" borderId="0" xfId="0" applyFont="1"/>
    <xf numFmtId="0" fontId="23" fillId="0" borderId="0" xfId="0" applyFont="1"/>
    <xf numFmtId="0" fontId="14" fillId="0" borderId="0" xfId="0" quotePrefix="1" applyFont="1" applyAlignment="1">
      <alignment horizontal="left"/>
    </xf>
    <xf numFmtId="0" fontId="11" fillId="0" borderId="0" xfId="0" applyFont="1" applyProtection="1">
      <protection locked="0"/>
    </xf>
    <xf numFmtId="0" fontId="14" fillId="0" borderId="0" xfId="0" applyFont="1" applyProtection="1">
      <protection hidden="1"/>
    </xf>
    <xf numFmtId="0" fontId="0" fillId="0" borderId="0" xfId="0" applyProtection="1">
      <protection hidden="1"/>
    </xf>
    <xf numFmtId="1" fontId="0" fillId="0" borderId="0" xfId="0" applyNumberFormat="1" applyProtection="1">
      <protection hidden="1"/>
    </xf>
    <xf numFmtId="181" fontId="0" fillId="0" borderId="0" xfId="6" applyNumberFormat="1" applyFont="1" applyProtection="1">
      <protection hidden="1"/>
    </xf>
    <xf numFmtId="185" fontId="0" fillId="0" borderId="0" xfId="0" applyNumberFormat="1" applyProtection="1">
      <protection hidden="1"/>
    </xf>
    <xf numFmtId="2" fontId="0" fillId="0" borderId="0" xfId="0" applyNumberFormat="1" applyProtection="1">
      <protection hidden="1"/>
    </xf>
    <xf numFmtId="0" fontId="7" fillId="0" borderId="0" xfId="0" applyFont="1" applyProtection="1">
      <protection hidden="1"/>
    </xf>
    <xf numFmtId="0" fontId="9" fillId="0" borderId="0" xfId="0" applyFont="1" applyProtection="1">
      <protection hidden="1"/>
    </xf>
    <xf numFmtId="0" fontId="13" fillId="0" borderId="0" xfId="0" applyFont="1" applyProtection="1">
      <protection hidden="1"/>
    </xf>
    <xf numFmtId="0" fontId="0" fillId="0" borderId="0" xfId="0" quotePrefix="1" applyProtection="1">
      <protection hidden="1"/>
    </xf>
    <xf numFmtId="0" fontId="0" fillId="0" borderId="0" xfId="0" quotePrefix="1" applyAlignment="1" applyProtection="1">
      <alignment horizontal="left"/>
      <protection hidden="1"/>
    </xf>
    <xf numFmtId="183" fontId="0" fillId="0" borderId="0" xfId="0" applyNumberFormat="1" applyProtection="1">
      <protection hidden="1"/>
    </xf>
    <xf numFmtId="0" fontId="11" fillId="0" borderId="0" xfId="0" applyFont="1" applyProtection="1">
      <protection hidden="1"/>
    </xf>
    <xf numFmtId="0" fontId="7" fillId="5" borderId="0" xfId="0" applyFont="1" applyFill="1" applyProtection="1">
      <protection hidden="1"/>
    </xf>
    <xf numFmtId="0" fontId="11" fillId="6" borderId="0" xfId="0" applyFont="1" applyFill="1" applyProtection="1">
      <protection hidden="1"/>
    </xf>
    <xf numFmtId="0" fontId="0" fillId="0" borderId="0" xfId="0" applyAlignment="1" applyProtection="1">
      <alignment horizontal="right"/>
      <protection hidden="1"/>
    </xf>
    <xf numFmtId="2" fontId="0" fillId="0" borderId="0" xfId="0" applyNumberFormat="1" applyProtection="1">
      <protection locked="0"/>
    </xf>
    <xf numFmtId="43" fontId="0" fillId="0" borderId="0" xfId="6" applyFont="1" applyProtection="1">
      <protection hidden="1"/>
    </xf>
    <xf numFmtId="0" fontId="15" fillId="0" borderId="0" xfId="0" applyFont="1" applyProtection="1">
      <protection hidden="1"/>
    </xf>
    <xf numFmtId="3" fontId="11" fillId="0" borderId="0" xfId="0" applyNumberFormat="1" applyFont="1" applyProtection="1">
      <protection hidden="1"/>
    </xf>
    <xf numFmtId="189" fontId="11" fillId="0" borderId="0" xfId="0" applyNumberFormat="1" applyFont="1" applyProtection="1">
      <protection hidden="1"/>
    </xf>
    <xf numFmtId="188" fontId="11" fillId="0" borderId="0" xfId="0" applyNumberFormat="1" applyFont="1" applyProtection="1">
      <protection hidden="1"/>
    </xf>
    <xf numFmtId="181" fontId="0" fillId="0" borderId="0" xfId="6" applyNumberFormat="1" applyFont="1" applyAlignment="1" applyProtection="1">
      <alignment horizontal="right"/>
      <protection hidden="1"/>
    </xf>
    <xf numFmtId="0" fontId="14" fillId="0" borderId="0" xfId="0" applyFont="1" applyAlignment="1">
      <alignment horizontal="left"/>
    </xf>
    <xf numFmtId="3" fontId="0" fillId="0" borderId="0" xfId="0" applyNumberFormat="1" applyProtection="1">
      <protection hidden="1"/>
    </xf>
    <xf numFmtId="2" fontId="0" fillId="0" borderId="0" xfId="0" applyNumberFormat="1" applyAlignment="1" applyProtection="1">
      <alignment horizontal="right"/>
      <protection hidden="1"/>
    </xf>
    <xf numFmtId="0" fontId="11" fillId="6" borderId="0" xfId="0" applyFont="1" applyFill="1"/>
    <xf numFmtId="0" fontId="16" fillId="0" borderId="0" xfId="0" applyFont="1"/>
    <xf numFmtId="181" fontId="0" fillId="0" borderId="0" xfId="6" applyNumberFormat="1" applyFont="1" applyAlignment="1">
      <alignment horizontal="right"/>
    </xf>
    <xf numFmtId="0" fontId="0" fillId="0" borderId="0" xfId="0" applyAlignment="1">
      <alignment horizontal="right"/>
    </xf>
    <xf numFmtId="0" fontId="9" fillId="0" borderId="0" xfId="0" quotePrefix="1" applyFont="1" applyAlignment="1">
      <alignment horizontal="left"/>
    </xf>
    <xf numFmtId="185" fontId="24" fillId="0" borderId="0" xfId="0" applyNumberFormat="1" applyFont="1"/>
    <xf numFmtId="0" fontId="9" fillId="0" borderId="0" xfId="0" applyFont="1" applyAlignment="1">
      <alignment horizontal="left"/>
    </xf>
    <xf numFmtId="0" fontId="0" fillId="0" borderId="0" xfId="0" applyAlignment="1">
      <alignment wrapText="1"/>
    </xf>
    <xf numFmtId="181" fontId="0" fillId="0" borderId="0" xfId="6" applyNumberFormat="1" applyFont="1"/>
    <xf numFmtId="9" fontId="11" fillId="0" borderId="0" xfId="0" applyNumberFormat="1" applyFont="1"/>
    <xf numFmtId="187" fontId="11" fillId="0" borderId="0" xfId="0" applyNumberFormat="1" applyFont="1"/>
    <xf numFmtId="2" fontId="11" fillId="0" borderId="0" xfId="0" applyNumberFormat="1" applyFont="1" applyProtection="1">
      <protection hidden="1"/>
    </xf>
    <xf numFmtId="181" fontId="0" fillId="0" borderId="0" xfId="6" applyNumberFormat="1" applyFont="1" applyFill="1"/>
    <xf numFmtId="9" fontId="0" fillId="0" borderId="0" xfId="26" applyFont="1" applyFill="1"/>
    <xf numFmtId="185" fontId="0" fillId="0" borderId="0" xfId="6" applyNumberFormat="1" applyFont="1" applyFill="1"/>
    <xf numFmtId="181" fontId="0" fillId="0" borderId="0" xfId="6" quotePrefix="1" applyNumberFormat="1" applyFont="1" applyProtection="1">
      <protection hidden="1"/>
    </xf>
    <xf numFmtId="181" fontId="11" fillId="0" borderId="0" xfId="6" applyNumberFormat="1" applyFont="1"/>
    <xf numFmtId="4" fontId="11" fillId="0" borderId="0" xfId="0" quotePrefix="1" applyNumberFormat="1" applyFont="1" applyProtection="1">
      <protection hidden="1"/>
    </xf>
    <xf numFmtId="4" fontId="11" fillId="0" borderId="0" xfId="0" applyNumberFormat="1" applyFont="1" applyProtection="1">
      <protection hidden="1"/>
    </xf>
    <xf numFmtId="179" fontId="11" fillId="0" borderId="0" xfId="8" applyFont="1" applyProtection="1">
      <protection hidden="1"/>
    </xf>
    <xf numFmtId="0" fontId="25" fillId="0" borderId="0" xfId="0" applyFont="1"/>
    <xf numFmtId="0" fontId="0" fillId="0" borderId="8" xfId="0" applyBorder="1"/>
    <xf numFmtId="0" fontId="8" fillId="0" borderId="9" xfId="0" applyFont="1" applyBorder="1"/>
    <xf numFmtId="0" fontId="8" fillId="0" borderId="10" xfId="0" applyFont="1" applyBorder="1"/>
    <xf numFmtId="0" fontId="0" fillId="0" borderId="11" xfId="0" applyBorder="1"/>
    <xf numFmtId="0" fontId="0" fillId="2" borderId="0" xfId="0" applyFill="1"/>
    <xf numFmtId="0" fontId="0" fillId="2" borderId="12" xfId="0" applyFill="1" applyBorder="1"/>
    <xf numFmtId="0" fontId="0" fillId="0" borderId="13" xfId="0" applyBorder="1"/>
    <xf numFmtId="0" fontId="9" fillId="0" borderId="7" xfId="0" applyFont="1" applyBorder="1"/>
    <xf numFmtId="0" fontId="0" fillId="2" borderId="7" xfId="0" applyFill="1" applyBorder="1"/>
    <xf numFmtId="0" fontId="0" fillId="2" borderId="14" xfId="0" applyFill="1" applyBorder="1"/>
    <xf numFmtId="0" fontId="0" fillId="0" borderId="0" xfId="0" quotePrefix="1"/>
    <xf numFmtId="0" fontId="11" fillId="0" borderId="0" xfId="0" quotePrefix="1" applyFont="1"/>
    <xf numFmtId="183" fontId="0" fillId="0" borderId="0" xfId="0" applyNumberFormat="1"/>
    <xf numFmtId="181" fontId="11" fillId="0" borderId="0" xfId="6" applyNumberFormat="1" applyFont="1" applyProtection="1">
      <protection hidden="1"/>
    </xf>
    <xf numFmtId="0" fontId="0" fillId="0" borderId="0" xfId="0" applyAlignment="1">
      <alignment horizontal="left"/>
    </xf>
    <xf numFmtId="181" fontId="11" fillId="0" borderId="0" xfId="6" applyNumberFormat="1" applyFont="1" applyFill="1" applyProtection="1">
      <protection hidden="1"/>
    </xf>
    <xf numFmtId="181" fontId="11" fillId="0" borderId="0" xfId="6" applyNumberFormat="1" applyFont="1" applyFill="1" applyAlignment="1" applyProtection="1">
      <alignment horizontal="right"/>
      <protection hidden="1"/>
    </xf>
    <xf numFmtId="0" fontId="28" fillId="0" borderId="0" xfId="0" applyFont="1" applyAlignment="1">
      <alignment horizontal="left"/>
    </xf>
    <xf numFmtId="179" fontId="0" fillId="0" borderId="0" xfId="8" applyFont="1"/>
    <xf numFmtId="0" fontId="6" fillId="0" borderId="0" xfId="25"/>
    <xf numFmtId="181" fontId="0" fillId="0" borderId="0" xfId="0" applyNumberFormat="1"/>
    <xf numFmtId="185" fontId="6" fillId="0" borderId="0" xfId="25" applyNumberFormat="1"/>
    <xf numFmtId="2" fontId="6" fillId="0" borderId="0" xfId="25" applyNumberFormat="1"/>
    <xf numFmtId="179" fontId="0" fillId="0" borderId="0" xfId="0" applyNumberFormat="1"/>
    <xf numFmtId="0" fontId="0" fillId="0" borderId="15" xfId="0" applyBorder="1" applyAlignment="1">
      <alignment horizontal="center" wrapText="1"/>
    </xf>
    <xf numFmtId="0" fontId="0" fillId="0" borderId="15" xfId="0" applyBorder="1" applyAlignment="1">
      <alignment wrapText="1"/>
    </xf>
    <xf numFmtId="0" fontId="7" fillId="7" borderId="0" xfId="0" applyFont="1" applyFill="1"/>
    <xf numFmtId="0" fontId="9" fillId="7" borderId="0" xfId="0" applyFont="1" applyFill="1"/>
    <xf numFmtId="0" fontId="7" fillId="3" borderId="0" xfId="0" applyFont="1" applyFill="1"/>
    <xf numFmtId="0" fontId="9" fillId="3" borderId="0" xfId="0" applyFont="1" applyFill="1"/>
    <xf numFmtId="0" fontId="30" fillId="0" borderId="0" xfId="0" applyFont="1"/>
    <xf numFmtId="0" fontId="14" fillId="0" borderId="0" xfId="0" applyFont="1" applyAlignment="1">
      <alignment vertical="top"/>
    </xf>
    <xf numFmtId="0" fontId="31" fillId="0" borderId="0" xfId="0" applyFont="1" applyAlignment="1">
      <alignment horizontal="left" indent="1"/>
    </xf>
    <xf numFmtId="0" fontId="27" fillId="0" borderId="0" xfId="0" applyFont="1"/>
    <xf numFmtId="0" fontId="8" fillId="0" borderId="0" xfId="0" applyFont="1" applyProtection="1">
      <protection hidden="1"/>
    </xf>
    <xf numFmtId="180" fontId="0" fillId="0" borderId="0" xfId="6" applyNumberFormat="1" applyFont="1" applyProtection="1">
      <protection hidden="1"/>
    </xf>
    <xf numFmtId="186" fontId="0" fillId="0" borderId="0" xfId="6" applyNumberFormat="1" applyFont="1" applyProtection="1">
      <protection hidden="1"/>
    </xf>
    <xf numFmtId="0" fontId="11" fillId="6" borderId="0" xfId="0" applyFont="1" applyFill="1" applyProtection="1">
      <protection locked="0"/>
    </xf>
    <xf numFmtId="181" fontId="11" fillId="0" borderId="0" xfId="6" applyNumberFormat="1" applyFont="1" applyAlignment="1">
      <alignment horizontal="right"/>
    </xf>
    <xf numFmtId="43" fontId="11" fillId="0" borderId="0" xfId="6" applyFont="1"/>
    <xf numFmtId="43" fontId="11" fillId="0" borderId="0" xfId="6" applyFont="1" applyFill="1" applyAlignment="1" applyProtection="1">
      <alignment horizontal="right"/>
      <protection hidden="1"/>
    </xf>
    <xf numFmtId="180" fontId="11" fillId="0" borderId="0" xfId="6" applyNumberFormat="1" applyFont="1" applyFill="1" applyAlignment="1" applyProtection="1">
      <alignment horizontal="right"/>
      <protection hidden="1"/>
    </xf>
    <xf numFmtId="43" fontId="0" fillId="0" borderId="0" xfId="6" applyFont="1"/>
    <xf numFmtId="179" fontId="11" fillId="0" borderId="0" xfId="0" applyNumberFormat="1" applyFont="1" applyProtection="1">
      <protection hidden="1"/>
    </xf>
    <xf numFmtId="43" fontId="0" fillId="0" borderId="0" xfId="6" applyFont="1" applyAlignment="1">
      <alignment horizontal="right"/>
    </xf>
    <xf numFmtId="0" fontId="9" fillId="0" borderId="0" xfId="0" applyFont="1" applyAlignment="1" applyProtection="1">
      <alignment horizontal="left"/>
      <protection hidden="1"/>
    </xf>
    <xf numFmtId="0" fontId="0" fillId="0" borderId="0" xfId="0" applyAlignment="1">
      <alignment horizontal="left" indent="1"/>
    </xf>
    <xf numFmtId="0" fontId="0" fillId="0" borderId="0" xfId="0" applyAlignment="1" applyProtection="1">
      <alignment horizontal="left" indent="1"/>
      <protection hidden="1"/>
    </xf>
    <xf numFmtId="9" fontId="11" fillId="0" borderId="0" xfId="0" applyNumberFormat="1" applyFont="1" applyAlignment="1">
      <alignment horizontal="right"/>
    </xf>
    <xf numFmtId="9" fontId="0" fillId="0" borderId="0" xfId="0" applyNumberFormat="1" applyProtection="1">
      <protection hidden="1"/>
    </xf>
    <xf numFmtId="185" fontId="0" fillId="0" borderId="0" xfId="6" applyNumberFormat="1" applyFont="1" applyProtection="1">
      <protection hidden="1"/>
    </xf>
    <xf numFmtId="0" fontId="0" fillId="7" borderId="0" xfId="0" applyFill="1"/>
    <xf numFmtId="0" fontId="0" fillId="0" borderId="1" xfId="0" applyBorder="1"/>
    <xf numFmtId="2" fontId="0" fillId="0" borderId="0" xfId="0" applyNumberFormat="1" applyAlignment="1" applyProtection="1">
      <alignment horizontal="right" indent="1"/>
      <protection hidden="1"/>
    </xf>
    <xf numFmtId="0" fontId="0" fillId="4" borderId="0" xfId="0" applyFill="1"/>
    <xf numFmtId="0" fontId="7" fillId="4" borderId="0" xfId="0" applyFont="1" applyFill="1"/>
    <xf numFmtId="0" fontId="30" fillId="4" borderId="0" xfId="0" applyFont="1" applyFill="1" applyAlignment="1">
      <alignment horizontal="left"/>
    </xf>
    <xf numFmtId="0" fontId="11" fillId="4" borderId="0" xfId="0" applyFont="1" applyFill="1" applyAlignment="1">
      <alignment horizontal="right"/>
    </xf>
    <xf numFmtId="0" fontId="30" fillId="4" borderId="0" xfId="0" applyFont="1" applyFill="1" applyAlignment="1">
      <alignment horizontal="left" vertical="top"/>
    </xf>
    <xf numFmtId="0" fontId="11" fillId="4" borderId="0" xfId="0" applyFont="1" applyFill="1" applyAlignment="1">
      <alignment horizontal="right" wrapText="1"/>
    </xf>
    <xf numFmtId="0" fontId="7" fillId="4" borderId="0" xfId="0" applyFont="1" applyFill="1" applyAlignment="1">
      <alignment horizontal="center" wrapText="1"/>
    </xf>
    <xf numFmtId="0" fontId="30" fillId="4" borderId="0" xfId="0" applyFont="1" applyFill="1" applyAlignment="1">
      <alignment wrapText="1"/>
    </xf>
    <xf numFmtId="0" fontId="9" fillId="4" borderId="0" xfId="0" applyFont="1" applyFill="1" applyAlignment="1">
      <alignment wrapText="1"/>
    </xf>
    <xf numFmtId="0" fontId="0" fillId="4" borderId="17" xfId="0" applyFill="1" applyBorder="1"/>
    <xf numFmtId="0" fontId="0" fillId="4" borderId="18" xfId="0" applyFill="1" applyBorder="1"/>
    <xf numFmtId="0" fontId="0" fillId="4" borderId="1" xfId="0" applyFill="1" applyBorder="1"/>
    <xf numFmtId="0" fontId="27" fillId="4" borderId="0" xfId="0" quotePrefix="1" applyFont="1" applyFill="1" applyAlignment="1">
      <alignment vertical="top"/>
    </xf>
    <xf numFmtId="0" fontId="0" fillId="4" borderId="19" xfId="0" applyFill="1" applyBorder="1"/>
    <xf numFmtId="0" fontId="30" fillId="4" borderId="0" xfId="0" applyFont="1" applyFill="1"/>
    <xf numFmtId="0" fontId="9" fillId="4" borderId="0" xfId="0" applyFont="1" applyFill="1"/>
    <xf numFmtId="0" fontId="9" fillId="0" borderId="20" xfId="0" applyFont="1" applyBorder="1"/>
    <xf numFmtId="0" fontId="15" fillId="4" borderId="21" xfId="0" applyFont="1" applyFill="1" applyBorder="1" applyAlignment="1" applyProtection="1">
      <alignment horizontal="right"/>
      <protection locked="0"/>
    </xf>
    <xf numFmtId="0" fontId="7" fillId="0" borderId="22" xfId="0" applyFont="1" applyBorder="1"/>
    <xf numFmtId="0" fontId="7" fillId="0" borderId="23" xfId="0" applyFont="1" applyBorder="1"/>
    <xf numFmtId="0" fontId="8" fillId="4" borderId="0" xfId="0" applyFont="1" applyFill="1"/>
    <xf numFmtId="183" fontId="0" fillId="4" borderId="0" xfId="8" applyNumberFormat="1" applyFont="1" applyFill="1"/>
    <xf numFmtId="185" fontId="0" fillId="4" borderId="0" xfId="0" applyNumberFormat="1" applyFill="1"/>
    <xf numFmtId="181" fontId="0" fillId="4" borderId="0" xfId="6" applyNumberFormat="1" applyFont="1" applyFill="1"/>
    <xf numFmtId="0" fontId="0" fillId="4" borderId="0" xfId="6" applyNumberFormat="1" applyFont="1" applyFill="1"/>
    <xf numFmtId="0" fontId="9" fillId="4" borderId="15" xfId="0" applyFont="1" applyFill="1" applyBorder="1"/>
    <xf numFmtId="0" fontId="7" fillId="4" borderId="15" xfId="0" applyFont="1" applyFill="1" applyBorder="1" applyProtection="1">
      <protection locked="0"/>
    </xf>
    <xf numFmtId="0" fontId="0" fillId="4" borderId="15" xfId="0" applyFill="1" applyBorder="1"/>
    <xf numFmtId="0" fontId="15" fillId="4" borderId="0" xfId="0" applyFont="1" applyFill="1" applyProtection="1">
      <protection locked="0"/>
    </xf>
    <xf numFmtId="0" fontId="10" fillId="4" borderId="0" xfId="0" applyFont="1" applyFill="1"/>
    <xf numFmtId="0" fontId="15" fillId="0" borderId="0" xfId="0" applyFont="1" applyProtection="1">
      <protection locked="0"/>
    </xf>
    <xf numFmtId="0" fontId="7" fillId="4" borderId="0" xfId="0" applyFont="1" applyFill="1" applyProtection="1">
      <protection locked="0"/>
    </xf>
    <xf numFmtId="0" fontId="15" fillId="4" borderId="0" xfId="0" applyFont="1" applyFill="1" applyAlignment="1" applyProtection="1">
      <alignment horizontal="right"/>
      <protection locked="0"/>
    </xf>
    <xf numFmtId="0" fontId="7" fillId="0" borderId="17" xfId="0" applyFont="1" applyBorder="1" applyAlignment="1">
      <alignment vertical="center" wrapText="1"/>
    </xf>
    <xf numFmtId="0" fontId="7" fillId="3" borderId="24" xfId="0" applyFont="1" applyFill="1" applyBorder="1" applyAlignment="1" applyProtection="1">
      <alignment horizontal="right" vertical="center"/>
      <protection locked="0"/>
    </xf>
    <xf numFmtId="0" fontId="10" fillId="0" borderId="25" xfId="0" applyFont="1" applyBorder="1" applyAlignment="1">
      <alignment vertical="center"/>
    </xf>
    <xf numFmtId="0" fontId="7" fillId="3" borderId="6" xfId="0" applyFont="1" applyFill="1" applyBorder="1" applyAlignment="1" applyProtection="1">
      <alignment vertical="center"/>
      <protection locked="0"/>
    </xf>
    <xf numFmtId="0" fontId="9" fillId="0" borderId="6" xfId="0" applyFont="1" applyBorder="1"/>
    <xf numFmtId="0" fontId="7" fillId="0" borderId="23" xfId="0" applyFont="1" applyBorder="1" applyAlignment="1">
      <alignment vertical="center" wrapText="1"/>
    </xf>
    <xf numFmtId="0" fontId="14" fillId="4" borderId="1" xfId="0" applyFont="1" applyFill="1" applyBorder="1" applyAlignment="1">
      <alignment horizontal="right" vertical="center" wrapText="1"/>
    </xf>
    <xf numFmtId="0" fontId="10" fillId="0" borderId="26" xfId="0" applyFont="1" applyBorder="1" applyAlignment="1">
      <alignment vertical="center"/>
    </xf>
    <xf numFmtId="0" fontId="27" fillId="4" borderId="0" xfId="0" applyFont="1" applyFill="1" applyAlignment="1">
      <alignment vertical="center" wrapText="1"/>
    </xf>
    <xf numFmtId="0" fontId="14" fillId="4" borderId="0" xfId="0" applyFont="1" applyFill="1" applyAlignment="1" applyProtection="1">
      <alignment horizontal="right" vertical="center"/>
      <protection locked="0"/>
    </xf>
    <xf numFmtId="0" fontId="35" fillId="4" borderId="2" xfId="0" applyFont="1" applyFill="1" applyBorder="1" applyAlignment="1">
      <alignment vertical="center"/>
    </xf>
    <xf numFmtId="0" fontId="12" fillId="4" borderId="1" xfId="0" applyFont="1" applyFill="1" applyBorder="1" applyAlignment="1">
      <alignment horizontal="left"/>
    </xf>
    <xf numFmtId="0" fontId="7" fillId="0" borderId="27" xfId="0" applyFont="1" applyBorder="1" applyAlignment="1">
      <alignment horizontal="right" vertical="center"/>
    </xf>
    <xf numFmtId="0" fontId="7" fillId="0" borderId="1" xfId="0" quotePrefix="1" applyFont="1" applyBorder="1" applyAlignment="1">
      <alignment horizontal="right"/>
    </xf>
    <xf numFmtId="0" fontId="7" fillId="0" borderId="23" xfId="0" applyFont="1" applyBorder="1" applyAlignment="1">
      <alignment horizontal="right" vertical="center" wrapText="1"/>
    </xf>
    <xf numFmtId="0" fontId="7" fillId="3" borderId="6" xfId="0" applyFont="1" applyFill="1" applyBorder="1" applyAlignment="1" applyProtection="1">
      <alignment horizontal="right" vertical="center"/>
      <protection locked="0"/>
    </xf>
    <xf numFmtId="0" fontId="27" fillId="4" borderId="1" xfId="0" applyFont="1" applyFill="1" applyBorder="1" applyAlignment="1">
      <alignment horizontal="right" vertical="center" wrapText="1"/>
    </xf>
    <xf numFmtId="0" fontId="27" fillId="4" borderId="1" xfId="0" applyFont="1" applyFill="1" applyBorder="1" applyAlignment="1">
      <alignment horizontal="right" vertical="center"/>
    </xf>
    <xf numFmtId="0" fontId="0" fillId="4" borderId="1" xfId="0" quotePrefix="1" applyFill="1" applyBorder="1"/>
    <xf numFmtId="0" fontId="7" fillId="3" borderId="28" xfId="0" applyFont="1" applyFill="1" applyBorder="1" applyAlignment="1" applyProtection="1">
      <alignment vertical="center"/>
      <protection locked="0"/>
    </xf>
    <xf numFmtId="0" fontId="10" fillId="0" borderId="25" xfId="0" applyFont="1" applyBorder="1" applyAlignment="1">
      <alignment vertical="center" wrapText="1"/>
    </xf>
    <xf numFmtId="0" fontId="15" fillId="4" borderId="2" xfId="0" applyFont="1" applyFill="1" applyBorder="1" applyAlignment="1" applyProtection="1">
      <alignment horizontal="right"/>
      <protection locked="0"/>
    </xf>
    <xf numFmtId="0" fontId="15" fillId="4" borderId="16" xfId="0" applyFont="1" applyFill="1" applyBorder="1" applyAlignment="1" applyProtection="1">
      <alignment horizontal="right"/>
      <protection locked="0"/>
    </xf>
    <xf numFmtId="0" fontId="10" fillId="0" borderId="29" xfId="0" applyFont="1" applyBorder="1" applyAlignment="1">
      <alignment vertical="center"/>
    </xf>
    <xf numFmtId="0" fontId="10" fillId="0" borderId="2" xfId="0" applyFont="1" applyBorder="1"/>
    <xf numFmtId="0" fontId="0" fillId="4" borderId="0" xfId="0" applyFill="1" applyProtection="1">
      <protection locked="0"/>
    </xf>
    <xf numFmtId="0" fontId="10" fillId="4" borderId="2" xfId="0" applyFont="1" applyFill="1" applyBorder="1"/>
    <xf numFmtId="0" fontId="7" fillId="0" borderId="23" xfId="0" applyFont="1" applyBorder="1" applyAlignment="1">
      <alignment horizontal="right"/>
    </xf>
    <xf numFmtId="0" fontId="7" fillId="3" borderId="24" xfId="0" applyFont="1" applyFill="1" applyBorder="1" applyAlignment="1" applyProtection="1">
      <alignment horizontal="right" vertical="center" wrapText="1"/>
      <protection locked="0"/>
    </xf>
    <xf numFmtId="0" fontId="7" fillId="3" borderId="6" xfId="0" applyFont="1" applyFill="1" applyBorder="1" applyAlignment="1" applyProtection="1">
      <alignment horizontal="right" vertical="center" wrapText="1"/>
      <protection locked="0"/>
    </xf>
    <xf numFmtId="0" fontId="7" fillId="3" borderId="30" xfId="0" applyFont="1" applyFill="1" applyBorder="1" applyAlignment="1" applyProtection="1">
      <alignment horizontal="right" vertical="center" wrapText="1"/>
      <protection locked="0"/>
    </xf>
    <xf numFmtId="0" fontId="10" fillId="0" borderId="2" xfId="0" applyFont="1" applyBorder="1" applyAlignment="1">
      <alignment vertical="center"/>
    </xf>
    <xf numFmtId="0" fontId="7" fillId="0" borderId="22" xfId="0" applyFont="1" applyBorder="1" applyAlignment="1">
      <alignment vertical="center"/>
    </xf>
    <xf numFmtId="0" fontId="14" fillId="4" borderId="1" xfId="0" applyFont="1" applyFill="1" applyBorder="1" applyAlignment="1">
      <alignment horizontal="right" vertical="top" wrapText="1"/>
    </xf>
    <xf numFmtId="0" fontId="7" fillId="0" borderId="23" xfId="0" applyFont="1" applyBorder="1" applyAlignment="1">
      <alignment vertical="center"/>
    </xf>
    <xf numFmtId="0" fontId="14" fillId="4" borderId="0" xfId="0" applyFont="1" applyFill="1" applyAlignment="1" applyProtection="1">
      <alignment horizontal="right" vertical="top"/>
      <protection locked="0"/>
    </xf>
    <xf numFmtId="0" fontId="7" fillId="2" borderId="24" xfId="0" applyFont="1" applyFill="1" applyBorder="1" applyAlignment="1" applyProtection="1">
      <alignment vertical="center"/>
      <protection locked="0"/>
    </xf>
    <xf numFmtId="0" fontId="11" fillId="2" borderId="0" xfId="0" applyFont="1" applyFill="1" applyAlignment="1">
      <alignment horizontal="right"/>
    </xf>
    <xf numFmtId="0" fontId="0" fillId="2" borderId="0" xfId="0" applyFill="1" applyAlignment="1">
      <alignment horizontal="right"/>
    </xf>
    <xf numFmtId="9" fontId="0" fillId="2" borderId="0" xfId="26" applyFont="1" applyFill="1"/>
    <xf numFmtId="0" fontId="11" fillId="2" borderId="0" xfId="0" applyFont="1" applyFill="1"/>
    <xf numFmtId="0" fontId="0" fillId="2" borderId="0" xfId="6" applyNumberFormat="1" applyFont="1" applyFill="1"/>
    <xf numFmtId="181" fontId="0" fillId="2" borderId="0" xfId="6" applyNumberFormat="1" applyFont="1" applyFill="1"/>
    <xf numFmtId="180" fontId="0" fillId="2" borderId="0" xfId="6" applyNumberFormat="1" applyFont="1" applyFill="1"/>
    <xf numFmtId="0" fontId="11" fillId="2" borderId="0" xfId="0" applyFont="1" applyFill="1" applyProtection="1">
      <protection locked="0"/>
    </xf>
    <xf numFmtId="185" fontId="0" fillId="2" borderId="0" xfId="0" applyNumberFormat="1" applyFill="1"/>
    <xf numFmtId="179" fontId="11" fillId="2" borderId="0" xfId="8" applyFont="1" applyFill="1"/>
    <xf numFmtId="0" fontId="10" fillId="0" borderId="31" xfId="0" applyFont="1" applyBorder="1" applyAlignment="1">
      <alignment vertical="center"/>
    </xf>
    <xf numFmtId="0" fontId="35" fillId="4" borderId="2" xfId="0" applyFont="1" applyFill="1" applyBorder="1" applyAlignment="1">
      <alignment vertical="top"/>
    </xf>
    <xf numFmtId="0" fontId="7" fillId="2" borderId="6" xfId="0" applyFont="1" applyFill="1" applyBorder="1" applyAlignment="1" applyProtection="1">
      <alignment horizontal="right" vertical="center" wrapText="1"/>
      <protection locked="0"/>
    </xf>
    <xf numFmtId="0" fontId="7" fillId="2" borderId="6" xfId="0" applyFont="1" applyFill="1" applyBorder="1" applyAlignment="1">
      <alignment horizontal="right"/>
    </xf>
    <xf numFmtId="0" fontId="27" fillId="4" borderId="0" xfId="0" applyFont="1" applyFill="1"/>
    <xf numFmtId="0" fontId="27" fillId="4" borderId="0" xfId="0" applyFont="1" applyFill="1" applyAlignment="1">
      <alignment vertical="center"/>
    </xf>
    <xf numFmtId="0" fontId="7" fillId="0" borderId="32" xfId="0" applyFont="1" applyBorder="1"/>
    <xf numFmtId="0" fontId="7" fillId="2" borderId="33" xfId="0" applyFont="1" applyFill="1" applyBorder="1" applyAlignment="1">
      <alignment horizontal="right"/>
    </xf>
    <xf numFmtId="0" fontId="15" fillId="4" borderId="2" xfId="0" applyFont="1" applyFill="1" applyBorder="1" applyAlignment="1">
      <alignment horizontal="right" vertical="center"/>
    </xf>
    <xf numFmtId="0" fontId="0" fillId="0" borderId="0" xfId="0" applyAlignment="1">
      <alignment vertical="center"/>
    </xf>
    <xf numFmtId="0" fontId="7" fillId="0" borderId="15" xfId="0" applyFont="1" applyBorder="1"/>
    <xf numFmtId="0" fontId="7" fillId="0" borderId="15" xfId="0" applyFont="1" applyBorder="1" applyAlignment="1">
      <alignment horizontal="right"/>
    </xf>
    <xf numFmtId="0" fontId="7" fillId="0" borderId="0" xfId="0" applyFont="1" applyAlignment="1">
      <alignment horizontal="right"/>
    </xf>
    <xf numFmtId="0" fontId="11" fillId="4" borderId="1" xfId="0" applyFont="1" applyFill="1" applyBorder="1"/>
    <xf numFmtId="0" fontId="11" fillId="4" borderId="20" xfId="0" applyFont="1" applyFill="1" applyBorder="1"/>
    <xf numFmtId="0" fontId="11" fillId="4" borderId="0" xfId="0" applyFont="1" applyFill="1"/>
    <xf numFmtId="0" fontId="11" fillId="4" borderId="0" xfId="0" applyFont="1" applyFill="1" applyProtection="1">
      <protection hidden="1"/>
    </xf>
    <xf numFmtId="0" fontId="16" fillId="4" borderId="0" xfId="0" applyFont="1" applyFill="1" applyProtection="1">
      <protection hidden="1"/>
    </xf>
    <xf numFmtId="0" fontId="16" fillId="4" borderId="20" xfId="0" applyFont="1" applyFill="1" applyBorder="1" applyProtection="1">
      <protection hidden="1"/>
    </xf>
    <xf numFmtId="0" fontId="16" fillId="4" borderId="15" xfId="0" applyFont="1" applyFill="1" applyBorder="1" applyProtection="1">
      <protection hidden="1"/>
    </xf>
    <xf numFmtId="0" fontId="0" fillId="4" borderId="0" xfId="0" applyFill="1" applyProtection="1">
      <protection hidden="1"/>
    </xf>
    <xf numFmtId="0" fontId="38" fillId="4" borderId="17" xfId="0" applyFont="1" applyFill="1" applyBorder="1"/>
    <xf numFmtId="0" fontId="39" fillId="0" borderId="34" xfId="0" applyFont="1" applyBorder="1"/>
    <xf numFmtId="184" fontId="40" fillId="4" borderId="0" xfId="0" applyNumberFormat="1" applyFont="1" applyFill="1" applyProtection="1">
      <protection hidden="1"/>
    </xf>
    <xf numFmtId="0" fontId="27" fillId="4" borderId="35" xfId="0" applyFont="1" applyFill="1" applyBorder="1"/>
    <xf numFmtId="0" fontId="17" fillId="0" borderId="0" xfId="0" applyFont="1"/>
    <xf numFmtId="0" fontId="8" fillId="0" borderId="35" xfId="0" applyFont="1" applyBorder="1"/>
    <xf numFmtId="0" fontId="11" fillId="0" borderId="35" xfId="0" applyFont="1" applyBorder="1"/>
    <xf numFmtId="183" fontId="9" fillId="0" borderId="0" xfId="8" applyNumberFormat="1" applyFont="1" applyBorder="1"/>
    <xf numFmtId="9" fontId="0" fillId="2" borderId="37" xfId="26" applyFont="1" applyFill="1" applyBorder="1" applyProtection="1">
      <protection locked="0"/>
    </xf>
    <xf numFmtId="183" fontId="0" fillId="0" borderId="0" xfId="8" applyNumberFormat="1" applyFont="1" applyBorder="1"/>
    <xf numFmtId="9" fontId="0" fillId="0" borderId="37" xfId="26" applyFont="1" applyBorder="1" applyProtection="1">
      <protection locked="0"/>
    </xf>
    <xf numFmtId="9" fontId="0" fillId="2" borderId="38" xfId="26" applyFont="1" applyFill="1" applyBorder="1" applyProtection="1">
      <protection locked="0"/>
    </xf>
    <xf numFmtId="0" fontId="11" fillId="0" borderId="0" xfId="0" applyFont="1" applyAlignment="1">
      <alignment horizontal="right"/>
    </xf>
    <xf numFmtId="179" fontId="0" fillId="0" borderId="0" xfId="8" applyFont="1" applyFill="1"/>
    <xf numFmtId="0" fontId="27" fillId="4" borderId="15" xfId="0" applyFont="1" applyFill="1" applyBorder="1"/>
    <xf numFmtId="183" fontId="0" fillId="4" borderId="0" xfId="8" applyNumberFormat="1" applyFont="1" applyFill="1" applyProtection="1">
      <protection locked="0"/>
    </xf>
    <xf numFmtId="0" fontId="17" fillId="4" borderId="0" xfId="0" applyFont="1" applyFill="1"/>
    <xf numFmtId="0" fontId="40" fillId="4" borderId="0" xfId="0" applyFont="1" applyFill="1"/>
    <xf numFmtId="0" fontId="17" fillId="4" borderId="0" xfId="0" applyFont="1" applyFill="1" applyProtection="1">
      <protection hidden="1"/>
    </xf>
    <xf numFmtId="0" fontId="42" fillId="4" borderId="17" xfId="0" applyFont="1" applyFill="1" applyBorder="1"/>
    <xf numFmtId="0" fontId="11" fillId="0" borderId="36" xfId="0" applyFont="1" applyBorder="1"/>
    <xf numFmtId="0" fontId="11" fillId="0" borderId="39" xfId="0" applyFont="1" applyBorder="1"/>
    <xf numFmtId="183" fontId="0" fillId="0" borderId="0" xfId="8" applyNumberFormat="1" applyFont="1" applyBorder="1" applyProtection="1">
      <protection locked="0"/>
    </xf>
    <xf numFmtId="0" fontId="0" fillId="4" borderId="1" xfId="0" applyFill="1" applyBorder="1" applyProtection="1">
      <protection hidden="1"/>
    </xf>
    <xf numFmtId="0" fontId="0" fillId="4" borderId="18" xfId="0" applyFill="1" applyBorder="1" applyProtection="1">
      <protection hidden="1"/>
    </xf>
    <xf numFmtId="0" fontId="0" fillId="4" borderId="20" xfId="0" applyFill="1" applyBorder="1" applyProtection="1">
      <protection hidden="1"/>
    </xf>
    <xf numFmtId="0" fontId="0" fillId="4" borderId="20" xfId="0" quotePrefix="1" applyFill="1" applyBorder="1" applyAlignment="1" applyProtection="1">
      <alignment horizontal="left"/>
      <protection hidden="1"/>
    </xf>
    <xf numFmtId="0" fontId="0" fillId="4" borderId="25" xfId="0" applyFill="1" applyBorder="1" applyProtection="1">
      <protection hidden="1"/>
    </xf>
    <xf numFmtId="0" fontId="0" fillId="4" borderId="2" xfId="0" applyFill="1" applyBorder="1" applyProtection="1">
      <protection hidden="1"/>
    </xf>
    <xf numFmtId="0" fontId="0" fillId="4" borderId="15" xfId="0" applyFill="1" applyBorder="1" applyProtection="1">
      <protection hidden="1"/>
    </xf>
    <xf numFmtId="0" fontId="0" fillId="4" borderId="16" xfId="0" applyFill="1" applyBorder="1" applyProtection="1">
      <protection hidden="1"/>
    </xf>
    <xf numFmtId="183" fontId="0" fillId="0" borderId="0" xfId="8" applyNumberFormat="1" applyFont="1" applyFill="1" applyBorder="1" applyProtection="1">
      <protection locked="0"/>
    </xf>
    <xf numFmtId="183" fontId="39" fillId="0" borderId="41" xfId="0" applyNumberFormat="1" applyFont="1" applyBorder="1"/>
    <xf numFmtId="0" fontId="7" fillId="4" borderId="20" xfId="0" applyFont="1" applyFill="1" applyBorder="1" applyProtection="1">
      <protection hidden="1"/>
    </xf>
    <xf numFmtId="183" fontId="0" fillId="4" borderId="20" xfId="0" applyNumberFormat="1" applyFill="1" applyBorder="1" applyProtection="1">
      <protection hidden="1"/>
    </xf>
    <xf numFmtId="0" fontId="7" fillId="0" borderId="1" xfId="0" applyFont="1" applyBorder="1" applyProtection="1">
      <protection hidden="1"/>
    </xf>
    <xf numFmtId="0" fontId="20" fillId="5" borderId="0" xfId="0" applyFont="1" applyFill="1" applyProtection="1">
      <protection hidden="1"/>
    </xf>
    <xf numFmtId="0" fontId="7" fillId="5" borderId="2" xfId="0" applyFont="1" applyFill="1" applyBorder="1" applyProtection="1">
      <protection hidden="1"/>
    </xf>
    <xf numFmtId="181" fontId="7" fillId="5" borderId="0" xfId="6" applyNumberFormat="1" applyFont="1" applyFill="1" applyBorder="1" applyProtection="1">
      <protection hidden="1"/>
    </xf>
    <xf numFmtId="0" fontId="7" fillId="5" borderId="0" xfId="0" applyFont="1" applyFill="1" applyAlignment="1" applyProtection="1">
      <alignment horizontal="right"/>
      <protection hidden="1"/>
    </xf>
    <xf numFmtId="0" fontId="0" fillId="6" borderId="0" xfId="0" applyFill="1" applyProtection="1">
      <protection hidden="1"/>
    </xf>
    <xf numFmtId="0" fontId="16" fillId="6" borderId="0" xfId="0" applyFont="1" applyFill="1" applyProtection="1">
      <protection hidden="1"/>
    </xf>
    <xf numFmtId="181" fontId="0" fillId="6" borderId="0" xfId="6" applyNumberFormat="1" applyFont="1" applyFill="1" applyBorder="1" applyProtection="1">
      <protection hidden="1"/>
    </xf>
    <xf numFmtId="0" fontId="0" fillId="6" borderId="0" xfId="0" applyFill="1" applyAlignment="1" applyProtection="1">
      <alignment horizontal="right"/>
      <protection hidden="1"/>
    </xf>
    <xf numFmtId="0" fontId="0" fillId="6" borderId="2" xfId="0" applyFill="1" applyBorder="1" applyAlignment="1" applyProtection="1">
      <alignment horizontal="right"/>
      <protection hidden="1"/>
    </xf>
    <xf numFmtId="183" fontId="0" fillId="6" borderId="0" xfId="8" applyNumberFormat="1" applyFont="1" applyFill="1" applyBorder="1" applyProtection="1">
      <protection hidden="1"/>
    </xf>
    <xf numFmtId="183" fontId="0" fillId="6" borderId="0" xfId="0" applyNumberFormat="1" applyFill="1" applyAlignment="1" applyProtection="1">
      <alignment horizontal="right"/>
      <protection hidden="1"/>
    </xf>
    <xf numFmtId="0" fontId="0" fillId="6" borderId="0" xfId="0" applyFill="1"/>
    <xf numFmtId="0" fontId="0" fillId="6" borderId="2" xfId="0" applyFill="1" applyBorder="1"/>
    <xf numFmtId="183" fontId="0" fillId="6" borderId="0" xfId="8" applyNumberFormat="1" applyFont="1" applyFill="1" applyBorder="1" applyAlignment="1" applyProtection="1">
      <alignment horizontal="right"/>
      <protection hidden="1"/>
    </xf>
    <xf numFmtId="0" fontId="0" fillId="6" borderId="2" xfId="0" applyFill="1" applyBorder="1" applyProtection="1">
      <protection hidden="1"/>
    </xf>
    <xf numFmtId="0" fontId="0" fillId="0" borderId="2" xfId="0" applyBorder="1"/>
    <xf numFmtId="0" fontId="0" fillId="5" borderId="0" xfId="0" applyFill="1" applyProtection="1">
      <protection hidden="1"/>
    </xf>
    <xf numFmtId="0" fontId="16" fillId="5" borderId="0" xfId="0" applyFont="1" applyFill="1" applyProtection="1">
      <protection hidden="1"/>
    </xf>
    <xf numFmtId="0" fontId="0" fillId="5" borderId="0" xfId="0" applyFill="1" applyAlignment="1" applyProtection="1">
      <alignment horizontal="right"/>
      <protection hidden="1"/>
    </xf>
    <xf numFmtId="183" fontId="0" fillId="5" borderId="0" xfId="8" applyNumberFormat="1" applyFont="1" applyFill="1" applyBorder="1" applyAlignment="1" applyProtection="1">
      <alignment horizontal="right"/>
      <protection hidden="1"/>
    </xf>
    <xf numFmtId="183" fontId="0" fillId="5" borderId="0" xfId="0" applyNumberFormat="1" applyFill="1" applyAlignment="1" applyProtection="1">
      <alignment horizontal="right"/>
      <protection hidden="1"/>
    </xf>
    <xf numFmtId="0" fontId="0" fillId="6" borderId="0" xfId="0" applyFill="1" applyAlignment="1">
      <alignment horizontal="right"/>
    </xf>
    <xf numFmtId="0" fontId="7" fillId="5" borderId="0" xfId="0" quotePrefix="1" applyFont="1" applyFill="1" applyProtection="1">
      <protection hidden="1"/>
    </xf>
    <xf numFmtId="0" fontId="23" fillId="4" borderId="0" xfId="0" applyFont="1" applyFill="1" applyProtection="1">
      <protection hidden="1"/>
    </xf>
    <xf numFmtId="183" fontId="0" fillId="4" borderId="0" xfId="0" applyNumberFormat="1" applyFill="1" applyProtection="1">
      <protection locked="0"/>
    </xf>
    <xf numFmtId="0" fontId="0" fillId="4" borderId="0" xfId="0" applyFill="1" applyAlignment="1">
      <alignment wrapText="1"/>
    </xf>
    <xf numFmtId="0" fontId="0" fillId="4" borderId="2" xfId="0" applyFill="1" applyBorder="1" applyAlignment="1">
      <alignment wrapText="1"/>
    </xf>
    <xf numFmtId="0" fontId="0" fillId="4" borderId="15" xfId="0" applyFill="1" applyBorder="1" applyAlignment="1">
      <alignment wrapText="1"/>
    </xf>
    <xf numFmtId="0" fontId="0" fillId="4" borderId="16" xfId="0" applyFill="1" applyBorder="1" applyAlignment="1">
      <alignment wrapText="1"/>
    </xf>
    <xf numFmtId="0" fontId="39" fillId="4" borderId="0" xfId="0" applyFont="1" applyFill="1"/>
    <xf numFmtId="184" fontId="39" fillId="4" borderId="0" xfId="0" applyNumberFormat="1" applyFont="1" applyFill="1"/>
    <xf numFmtId="9" fontId="0" fillId="0" borderId="20" xfId="26" applyFont="1" applyBorder="1" applyProtection="1">
      <protection locked="0"/>
    </xf>
    <xf numFmtId="183" fontId="0" fillId="0" borderId="0" xfId="26" applyNumberFormat="1" applyFont="1" applyBorder="1" applyProtection="1">
      <protection locked="0"/>
    </xf>
    <xf numFmtId="183" fontId="0" fillId="0" borderId="15" xfId="8" applyNumberFormat="1" applyFont="1" applyBorder="1" applyProtection="1">
      <protection locked="0"/>
    </xf>
    <xf numFmtId="0" fontId="17" fillId="4" borderId="20" xfId="0" applyFont="1" applyFill="1" applyBorder="1" applyProtection="1">
      <protection hidden="1"/>
    </xf>
    <xf numFmtId="183" fontId="0" fillId="0" borderId="42" xfId="0" applyNumberFormat="1" applyBorder="1"/>
    <xf numFmtId="0" fontId="41" fillId="4" borderId="0" xfId="0" applyFont="1" applyFill="1" applyProtection="1">
      <protection hidden="1"/>
    </xf>
    <xf numFmtId="0" fontId="0" fillId="4" borderId="44" xfId="0" applyFill="1" applyBorder="1" applyProtection="1">
      <protection hidden="1"/>
    </xf>
    <xf numFmtId="183" fontId="0" fillId="0" borderId="37" xfId="8" applyNumberFormat="1" applyFont="1" applyFill="1" applyBorder="1" applyProtection="1">
      <protection locked="0"/>
    </xf>
    <xf numFmtId="9" fontId="0" fillId="0" borderId="45" xfId="26" applyFont="1" applyFill="1" applyBorder="1" applyProtection="1">
      <protection locked="0"/>
    </xf>
    <xf numFmtId="9" fontId="0" fillId="0" borderId="37" xfId="26" applyFont="1" applyFill="1" applyBorder="1" applyProtection="1">
      <protection locked="0"/>
    </xf>
    <xf numFmtId="183" fontId="0" fillId="4" borderId="37" xfId="8" applyNumberFormat="1" applyFont="1" applyFill="1" applyBorder="1" applyProtection="1">
      <protection locked="0"/>
    </xf>
    <xf numFmtId="183" fontId="0" fillId="0" borderId="37" xfId="26" applyNumberFormat="1" applyFont="1" applyBorder="1" applyProtection="1">
      <protection locked="0"/>
    </xf>
    <xf numFmtId="183" fontId="0" fillId="0" borderId="41" xfId="0" applyNumberFormat="1" applyBorder="1" applyProtection="1">
      <protection hidden="1"/>
    </xf>
    <xf numFmtId="183" fontId="0" fillId="0" borderId="37" xfId="8" applyNumberFormat="1" applyFont="1" applyBorder="1" applyProtection="1">
      <protection locked="0"/>
    </xf>
    <xf numFmtId="0" fontId="41" fillId="4" borderId="15" xfId="0" applyFont="1" applyFill="1" applyBorder="1"/>
    <xf numFmtId="0" fontId="39" fillId="0" borderId="40" xfId="0" applyFont="1" applyBorder="1"/>
    <xf numFmtId="0" fontId="23" fillId="4" borderId="18" xfId="0" applyFont="1" applyFill="1" applyBorder="1" applyProtection="1">
      <protection hidden="1"/>
    </xf>
    <xf numFmtId="0" fontId="23" fillId="4" borderId="44" xfId="0" applyFont="1" applyFill="1" applyBorder="1" applyProtection="1">
      <protection hidden="1"/>
    </xf>
    <xf numFmtId="0" fontId="7" fillId="5" borderId="0" xfId="0" applyFont="1" applyFill="1"/>
    <xf numFmtId="0" fontId="20" fillId="5" borderId="0" xfId="0" applyFont="1" applyFill="1"/>
    <xf numFmtId="183" fontId="0" fillId="4" borderId="0" xfId="0" applyNumberFormat="1" applyFill="1" applyProtection="1">
      <protection hidden="1"/>
    </xf>
    <xf numFmtId="181" fontId="0" fillId="4" borderId="0" xfId="0" applyNumberFormat="1" applyFill="1" applyProtection="1">
      <protection hidden="1"/>
    </xf>
    <xf numFmtId="0" fontId="7" fillId="5" borderId="35" xfId="0" quotePrefix="1" applyFont="1" applyFill="1" applyBorder="1" applyProtection="1">
      <protection hidden="1"/>
    </xf>
    <xf numFmtId="0" fontId="7" fillId="5" borderId="37" xfId="0" quotePrefix="1" applyFont="1" applyFill="1" applyBorder="1" applyProtection="1">
      <protection hidden="1"/>
    </xf>
    <xf numFmtId="0" fontId="0" fillId="6" borderId="35" xfId="0" applyFill="1" applyBorder="1" applyProtection="1">
      <protection hidden="1"/>
    </xf>
    <xf numFmtId="0" fontId="7" fillId="6" borderId="35" xfId="0" quotePrefix="1" applyFont="1" applyFill="1" applyBorder="1" applyProtection="1">
      <protection hidden="1"/>
    </xf>
    <xf numFmtId="0" fontId="7" fillId="5" borderId="35" xfId="0" quotePrefix="1" applyFont="1" applyFill="1" applyBorder="1"/>
    <xf numFmtId="0" fontId="15" fillId="4" borderId="0" xfId="0" applyFont="1" applyFill="1"/>
    <xf numFmtId="0" fontId="18" fillId="4" borderId="5" xfId="10" applyFill="1" applyBorder="1" applyAlignment="1" applyProtection="1">
      <alignment horizontal="center"/>
    </xf>
    <xf numFmtId="0" fontId="26" fillId="0" borderId="0" xfId="0" applyFont="1"/>
    <xf numFmtId="0" fontId="8" fillId="0" borderId="8" xfId="0" applyFont="1" applyBorder="1" applyAlignment="1">
      <alignment horizontal="left"/>
    </xf>
    <xf numFmtId="0" fontId="8" fillId="0" borderId="9" xfId="0" applyFont="1" applyBorder="1" applyAlignment="1">
      <alignment horizontal="right"/>
    </xf>
    <xf numFmtId="0" fontId="0" fillId="0" borderId="10" xfId="0" applyBorder="1"/>
    <xf numFmtId="0" fontId="25" fillId="0" borderId="0" xfId="0" applyFont="1" applyAlignment="1">
      <alignment horizontal="left"/>
    </xf>
    <xf numFmtId="0" fontId="10" fillId="0" borderId="12" xfId="0" applyFont="1" applyBorder="1"/>
    <xf numFmtId="0" fontId="10" fillId="0" borderId="14" xfId="0" applyFont="1" applyBorder="1"/>
    <xf numFmtId="0" fontId="0" fillId="0" borderId="15" xfId="0" applyBorder="1"/>
    <xf numFmtId="0" fontId="44" fillId="0" borderId="0" xfId="0" applyFont="1"/>
    <xf numFmtId="0" fontId="34" fillId="4" borderId="0" xfId="0" applyFont="1" applyFill="1" applyAlignment="1">
      <alignment horizontal="left" vertical="center"/>
    </xf>
    <xf numFmtId="9" fontId="0" fillId="0" borderId="45" xfId="0" applyNumberFormat="1" applyBorder="1" applyProtection="1">
      <protection locked="0"/>
    </xf>
    <xf numFmtId="0" fontId="11" fillId="4" borderId="0" xfId="0" applyFont="1" applyFill="1" applyAlignment="1">
      <alignment horizontal="left" wrapText="1"/>
    </xf>
    <xf numFmtId="0" fontId="11" fillId="4" borderId="0" xfId="0" applyFont="1" applyFill="1" applyAlignment="1">
      <alignment horizontal="left" vertical="center" wrapText="1"/>
    </xf>
    <xf numFmtId="0" fontId="7" fillId="3" borderId="47" xfId="0" applyFont="1" applyFill="1" applyBorder="1" applyProtection="1">
      <protection locked="0"/>
    </xf>
    <xf numFmtId="182" fontId="10" fillId="3" borderId="48" xfId="0" applyNumberFormat="1" applyFont="1" applyFill="1" applyBorder="1" applyAlignment="1" applyProtection="1">
      <alignment horizontal="left"/>
      <protection locked="0"/>
    </xf>
    <xf numFmtId="0" fontId="7" fillId="3" borderId="33" xfId="0" applyFont="1" applyFill="1" applyBorder="1" applyProtection="1">
      <protection locked="0"/>
    </xf>
    <xf numFmtId="182" fontId="10" fillId="3" borderId="26" xfId="0" applyNumberFormat="1" applyFont="1" applyFill="1" applyBorder="1" applyAlignment="1" applyProtection="1">
      <alignment horizontal="left"/>
      <protection locked="0"/>
    </xf>
    <xf numFmtId="0" fontId="7" fillId="4" borderId="18" xfId="0" applyFont="1" applyFill="1" applyBorder="1" applyAlignment="1">
      <alignment wrapText="1"/>
    </xf>
    <xf numFmtId="0" fontId="15" fillId="4" borderId="15" xfId="0" applyFont="1" applyFill="1" applyBorder="1" applyProtection="1">
      <protection locked="0"/>
    </xf>
    <xf numFmtId="0" fontId="7" fillId="0" borderId="49" xfId="0" applyFont="1" applyBorder="1" applyAlignment="1">
      <alignment vertical="center" wrapText="1"/>
    </xf>
    <xf numFmtId="0" fontId="7" fillId="3" borderId="6" xfId="0" applyFont="1" applyFill="1" applyBorder="1" applyProtection="1">
      <protection locked="0"/>
    </xf>
    <xf numFmtId="0" fontId="10" fillId="0" borderId="26" xfId="0" applyFont="1" applyBorder="1"/>
    <xf numFmtId="0" fontId="7" fillId="3" borderId="30" xfId="26" applyNumberFormat="1" applyFont="1" applyFill="1" applyBorder="1" applyProtection="1">
      <protection locked="0"/>
    </xf>
    <xf numFmtId="0" fontId="27" fillId="0" borderId="0" xfId="0" applyFont="1" applyAlignment="1">
      <alignment vertical="center"/>
    </xf>
    <xf numFmtId="0" fontId="7" fillId="2" borderId="6" xfId="0" applyFont="1" applyFill="1" applyBorder="1" applyAlignment="1" applyProtection="1">
      <alignment vertical="center"/>
      <protection locked="0"/>
    </xf>
    <xf numFmtId="0" fontId="7" fillId="0" borderId="1" xfId="0" applyFont="1" applyBorder="1" applyAlignment="1">
      <alignment vertical="center" wrapText="1"/>
    </xf>
    <xf numFmtId="0" fontId="9" fillId="0" borderId="20" xfId="0" applyFont="1" applyBorder="1" applyAlignment="1">
      <alignment vertical="center"/>
    </xf>
    <xf numFmtId="0" fontId="9" fillId="0" borderId="0" xfId="0" applyFont="1" applyAlignment="1">
      <alignment vertical="center"/>
    </xf>
    <xf numFmtId="0" fontId="15" fillId="4" borderId="16" xfId="0" applyFont="1" applyFill="1" applyBorder="1" applyAlignment="1">
      <alignment horizontal="right" vertical="center"/>
    </xf>
    <xf numFmtId="0" fontId="0" fillId="4" borderId="0" xfId="0" applyFill="1" applyAlignment="1" applyProtection="1">
      <alignment horizontal="left"/>
      <protection hidden="1"/>
    </xf>
    <xf numFmtId="181" fontId="0" fillId="4" borderId="0" xfId="6" applyNumberFormat="1" applyFont="1" applyFill="1" applyBorder="1" applyAlignment="1" applyProtection="1">
      <alignment horizontal="right"/>
      <protection hidden="1"/>
    </xf>
    <xf numFmtId="179" fontId="0" fillId="4" borderId="0" xfId="8" applyFont="1" applyFill="1" applyBorder="1" applyAlignment="1" applyProtection="1">
      <alignment horizontal="right"/>
      <protection hidden="1"/>
    </xf>
    <xf numFmtId="183" fontId="0" fillId="4" borderId="0" xfId="0" applyNumberFormat="1" applyFill="1" applyAlignment="1" applyProtection="1">
      <alignment horizontal="right"/>
      <protection hidden="1"/>
    </xf>
    <xf numFmtId="0" fontId="0" fillId="4" borderId="0" xfId="0" applyFill="1" applyAlignment="1" applyProtection="1">
      <alignment horizontal="right"/>
      <protection hidden="1"/>
    </xf>
    <xf numFmtId="183" fontId="0" fillId="0" borderId="45" xfId="0" applyNumberFormat="1" applyBorder="1" applyProtection="1">
      <protection hidden="1"/>
    </xf>
    <xf numFmtId="9" fontId="0" fillId="0" borderId="50" xfId="26" applyFont="1" applyFill="1" applyBorder="1" applyProtection="1">
      <protection locked="0"/>
    </xf>
    <xf numFmtId="183" fontId="0" fillId="0" borderId="41" xfId="0" applyNumberFormat="1" applyBorder="1"/>
    <xf numFmtId="0" fontId="11" fillId="0" borderId="40" xfId="0" applyFont="1" applyBorder="1" applyProtection="1">
      <protection hidden="1"/>
    </xf>
    <xf numFmtId="0" fontId="11" fillId="0" borderId="40" xfId="0" applyFont="1" applyBorder="1"/>
    <xf numFmtId="0" fontId="17" fillId="4" borderId="41" xfId="0" applyFont="1" applyFill="1" applyBorder="1" applyProtection="1">
      <protection hidden="1"/>
    </xf>
    <xf numFmtId="9" fontId="0" fillId="0" borderId="38" xfId="26" applyFont="1" applyFill="1" applyBorder="1" applyProtection="1">
      <protection locked="0"/>
    </xf>
    <xf numFmtId="183" fontId="39" fillId="0" borderId="40" xfId="0" applyNumberFormat="1" applyFont="1" applyBorder="1"/>
    <xf numFmtId="0" fontId="23" fillId="4" borderId="20" xfId="0" applyFont="1" applyFill="1" applyBorder="1"/>
    <xf numFmtId="0" fontId="43" fillId="4" borderId="15" xfId="0" applyFont="1" applyFill="1" applyBorder="1" applyAlignment="1">
      <alignment horizontal="right"/>
    </xf>
    <xf numFmtId="183" fontId="43" fillId="0" borderId="34" xfId="0" applyNumberFormat="1" applyFont="1" applyBorder="1" applyProtection="1">
      <protection locked="0"/>
    </xf>
    <xf numFmtId="0" fontId="14" fillId="4" borderId="27" xfId="0" applyFont="1" applyFill="1" applyBorder="1" applyAlignment="1">
      <alignment horizontal="right"/>
    </xf>
    <xf numFmtId="0" fontId="9" fillId="4" borderId="46" xfId="0" applyFont="1" applyFill="1" applyBorder="1"/>
    <xf numFmtId="182" fontId="7" fillId="4" borderId="46" xfId="0" applyNumberFormat="1" applyFont="1" applyFill="1" applyBorder="1" applyProtection="1">
      <protection locked="0"/>
    </xf>
    <xf numFmtId="182" fontId="10" fillId="4" borderId="29" xfId="0" applyNumberFormat="1" applyFont="1" applyFill="1" applyBorder="1" applyAlignment="1" applyProtection="1">
      <alignment horizontal="left"/>
      <protection locked="0"/>
    </xf>
    <xf numFmtId="0" fontId="27" fillId="4" borderId="1" xfId="0" applyFont="1" applyFill="1" applyBorder="1" applyAlignment="1">
      <alignment horizontal="right"/>
    </xf>
    <xf numFmtId="182" fontId="14"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187" fontId="11" fillId="2" borderId="0" xfId="0" applyNumberFormat="1" applyFont="1" applyFill="1"/>
    <xf numFmtId="0" fontId="0" fillId="0" borderId="0" xfId="6" quotePrefix="1" applyNumberFormat="1" applyFont="1" applyProtection="1">
      <protection hidden="1"/>
    </xf>
    <xf numFmtId="0" fontId="0" fillId="0" borderId="18" xfId="0" applyBorder="1" applyAlignment="1">
      <alignment wrapText="1"/>
    </xf>
    <xf numFmtId="0" fontId="0" fillId="0" borderId="16" xfId="0" applyBorder="1" applyAlignment="1">
      <alignment wrapText="1"/>
    </xf>
    <xf numFmtId="0" fontId="0" fillId="0" borderId="17" xfId="0" applyBorder="1"/>
    <xf numFmtId="0" fontId="0" fillId="0" borderId="25" xfId="0" applyBorder="1"/>
    <xf numFmtId="0" fontId="0" fillId="0" borderId="18" xfId="0" applyBorder="1"/>
    <xf numFmtId="0" fontId="0" fillId="0" borderId="16" xfId="0" applyBorder="1"/>
    <xf numFmtId="0" fontId="0" fillId="0" borderId="20" xfId="0" applyBorder="1"/>
    <xf numFmtId="1" fontId="0" fillId="0" borderId="0" xfId="0" applyNumberFormat="1"/>
    <xf numFmtId="0" fontId="19" fillId="8" borderId="0" xfId="0" applyFont="1" applyFill="1"/>
    <xf numFmtId="2" fontId="0" fillId="0" borderId="0" xfId="0" applyNumberFormat="1"/>
    <xf numFmtId="0" fontId="15" fillId="4" borderId="0" xfId="0" applyFont="1" applyFill="1" applyAlignment="1">
      <alignment horizontal="right" wrapText="1"/>
    </xf>
    <xf numFmtId="0" fontId="0" fillId="2" borderId="7" xfId="0" applyFill="1" applyBorder="1" applyAlignment="1">
      <alignment horizontal="right"/>
    </xf>
    <xf numFmtId="0" fontId="0" fillId="0" borderId="0" xfId="6" applyNumberFormat="1" applyFont="1" applyProtection="1">
      <protection hidden="1"/>
    </xf>
    <xf numFmtId="0" fontId="11" fillId="0" borderId="0" xfId="6" applyNumberFormat="1" applyFont="1" applyFill="1" applyProtection="1">
      <protection locked="0"/>
    </xf>
    <xf numFmtId="0" fontId="47" fillId="0" borderId="0" xfId="0" applyFont="1"/>
    <xf numFmtId="0" fontId="18" fillId="4" borderId="0" xfId="10" applyFill="1" applyAlignment="1" applyProtection="1"/>
    <xf numFmtId="0" fontId="18" fillId="4" borderId="0" xfId="10" applyFill="1" applyAlignment="1" applyProtection="1">
      <alignment vertical="top"/>
    </xf>
    <xf numFmtId="9" fontId="0" fillId="3" borderId="0" xfId="0" applyNumberFormat="1" applyFill="1"/>
    <xf numFmtId="9" fontId="0" fillId="3" borderId="0" xfId="26" applyFont="1" applyFill="1"/>
    <xf numFmtId="0" fontId="34" fillId="4" borderId="0" xfId="0" applyFont="1" applyFill="1" applyAlignment="1" applyProtection="1">
      <alignment vertical="center"/>
      <protection locked="0" hidden="1"/>
    </xf>
    <xf numFmtId="0" fontId="0" fillId="3" borderId="0" xfId="0" applyFill="1"/>
    <xf numFmtId="0" fontId="7" fillId="6" borderId="0" xfId="0" applyFont="1" applyFill="1" applyProtection="1">
      <protection hidden="1"/>
    </xf>
    <xf numFmtId="0" fontId="20" fillId="0" borderId="0" xfId="0" applyFont="1" applyProtection="1">
      <protection hidden="1"/>
    </xf>
    <xf numFmtId="181" fontId="7" fillId="0" borderId="0" xfId="6" applyNumberFormat="1" applyFont="1" applyBorder="1" applyProtection="1">
      <protection hidden="1"/>
    </xf>
    <xf numFmtId="183" fontId="7" fillId="0" borderId="0" xfId="8" applyNumberFormat="1" applyFont="1" applyBorder="1" applyAlignment="1" applyProtection="1">
      <alignment horizontal="right"/>
      <protection hidden="1"/>
    </xf>
    <xf numFmtId="183" fontId="7" fillId="0" borderId="0" xfId="0" applyNumberFormat="1" applyFont="1" applyAlignment="1" applyProtection="1">
      <alignment horizontal="right"/>
      <protection hidden="1"/>
    </xf>
    <xf numFmtId="0" fontId="7" fillId="0" borderId="2" xfId="0" applyFont="1" applyBorder="1" applyProtection="1">
      <protection hidden="1"/>
    </xf>
    <xf numFmtId="0" fontId="7" fillId="0" borderId="0" xfId="0" applyFont="1" applyAlignment="1" applyProtection="1">
      <alignment horizontal="right"/>
      <protection hidden="1"/>
    </xf>
    <xf numFmtId="179" fontId="7" fillId="0" borderId="0" xfId="8" applyFont="1" applyBorder="1" applyAlignment="1" applyProtection="1">
      <alignment horizontal="right"/>
      <protection hidden="1"/>
    </xf>
    <xf numFmtId="1" fontId="7" fillId="0" borderId="0" xfId="0" applyNumberFormat="1" applyFont="1" applyAlignment="1" applyProtection="1">
      <alignment horizontal="right"/>
      <protection hidden="1"/>
    </xf>
    <xf numFmtId="0" fontId="20" fillId="0" borderId="0" xfId="0" applyFont="1"/>
    <xf numFmtId="181" fontId="7" fillId="0" borderId="0" xfId="6" applyNumberFormat="1" applyFont="1" applyBorder="1" applyAlignment="1">
      <alignment horizontal="right"/>
    </xf>
    <xf numFmtId="183" fontId="7" fillId="0" borderId="0" xfId="8" applyNumberFormat="1" applyFont="1" applyBorder="1" applyAlignment="1">
      <alignment horizontal="right"/>
    </xf>
    <xf numFmtId="181" fontId="7" fillId="0" borderId="0" xfId="6" applyNumberFormat="1" applyFont="1" applyBorder="1" applyAlignment="1" applyProtection="1">
      <alignment horizontal="right"/>
      <protection hidden="1"/>
    </xf>
    <xf numFmtId="49" fontId="7" fillId="0" borderId="1" xfId="0" applyNumberFormat="1" applyFont="1" applyBorder="1"/>
    <xf numFmtId="183" fontId="7" fillId="0" borderId="0" xfId="8" applyNumberFormat="1" applyFont="1" applyBorder="1" applyProtection="1">
      <protection hidden="1"/>
    </xf>
    <xf numFmtId="1" fontId="7" fillId="0" borderId="0" xfId="0" applyNumberFormat="1" applyFont="1" applyAlignment="1">
      <alignment horizontal="right"/>
    </xf>
    <xf numFmtId="1" fontId="7" fillId="0" borderId="2" xfId="0" applyNumberFormat="1" applyFont="1" applyBorder="1" applyAlignment="1">
      <alignment horizontal="right"/>
    </xf>
    <xf numFmtId="0" fontId="7" fillId="0" borderId="0" xfId="0" applyFont="1" applyProtection="1">
      <protection locked="0"/>
    </xf>
    <xf numFmtId="179" fontId="7" fillId="0" borderId="0" xfId="8" applyFont="1" applyBorder="1" applyProtection="1">
      <protection hidden="1"/>
    </xf>
    <xf numFmtId="0" fontId="7" fillId="0" borderId="2" xfId="0" applyFont="1" applyBorder="1" applyAlignment="1">
      <alignment horizontal="right"/>
    </xf>
    <xf numFmtId="183" fontId="7" fillId="0" borderId="0" xfId="8" applyNumberFormat="1" applyFont="1" applyFill="1" applyBorder="1" applyAlignment="1" applyProtection="1">
      <alignment horizontal="right"/>
      <protection hidden="1"/>
    </xf>
    <xf numFmtId="0" fontId="7" fillId="0" borderId="2" xfId="0" applyFont="1" applyBorder="1" applyAlignment="1" applyProtection="1">
      <alignment horizontal="right"/>
      <protection hidden="1"/>
    </xf>
    <xf numFmtId="183" fontId="7" fillId="0" borderId="0" xfId="0" applyNumberFormat="1" applyFont="1" applyAlignment="1">
      <alignment horizontal="right"/>
    </xf>
    <xf numFmtId="0" fontId="7" fillId="6" borderId="0" xfId="0" applyFont="1" applyFill="1"/>
    <xf numFmtId="0" fontId="20" fillId="6" borderId="0" xfId="0" applyFont="1" applyFill="1"/>
    <xf numFmtId="181" fontId="7" fillId="6" borderId="0" xfId="6" applyNumberFormat="1" applyFont="1" applyFill="1" applyBorder="1" applyAlignment="1">
      <alignment horizontal="right"/>
    </xf>
    <xf numFmtId="183" fontId="7" fillId="6" borderId="0" xfId="8" applyNumberFormat="1" applyFont="1" applyFill="1" applyBorder="1" applyAlignment="1">
      <alignment horizontal="right"/>
    </xf>
    <xf numFmtId="183" fontId="7" fillId="6" borderId="0" xfId="0" applyNumberFormat="1" applyFont="1" applyFill="1" applyAlignment="1">
      <alignment horizontal="right"/>
    </xf>
    <xf numFmtId="0" fontId="7" fillId="6" borderId="0" xfId="0" applyFont="1" applyFill="1" applyAlignment="1">
      <alignment horizontal="right"/>
    </xf>
    <xf numFmtId="0" fontId="7" fillId="6" borderId="2" xfId="0" applyFont="1" applyFill="1" applyBorder="1" applyProtection="1">
      <protection hidden="1"/>
    </xf>
    <xf numFmtId="43" fontId="7" fillId="0" borderId="0" xfId="6" applyFont="1" applyBorder="1" applyAlignment="1">
      <alignment horizontal="right"/>
    </xf>
    <xf numFmtId="0" fontId="7" fillId="6" borderId="0" xfId="0" applyFont="1" applyFill="1" applyProtection="1">
      <protection locked="0"/>
    </xf>
    <xf numFmtId="0" fontId="20" fillId="6" borderId="0" xfId="0" applyFont="1" applyFill="1" applyProtection="1">
      <protection hidden="1"/>
    </xf>
    <xf numFmtId="0" fontId="7" fillId="6" borderId="0" xfId="0" applyFont="1" applyFill="1" applyAlignment="1" applyProtection="1">
      <alignment horizontal="right"/>
      <protection hidden="1"/>
    </xf>
    <xf numFmtId="0" fontId="7" fillId="6" borderId="2" xfId="0" applyFont="1" applyFill="1" applyBorder="1" applyAlignment="1" applyProtection="1">
      <alignment horizontal="right"/>
      <protection hidden="1"/>
    </xf>
    <xf numFmtId="0" fontId="7" fillId="0" borderId="2" xfId="0" applyFont="1" applyBorder="1"/>
    <xf numFmtId="0" fontId="7" fillId="0" borderId="0" xfId="0" quotePrefix="1" applyFont="1" applyProtection="1">
      <protection hidden="1"/>
    </xf>
    <xf numFmtId="0" fontId="7" fillId="6" borderId="2" xfId="0" applyFont="1" applyFill="1" applyBorder="1"/>
    <xf numFmtId="0" fontId="7" fillId="0" borderId="0" xfId="0" applyFont="1" applyAlignment="1" applyProtection="1">
      <alignment horizontal="left"/>
      <protection hidden="1"/>
    </xf>
    <xf numFmtId="0" fontId="7" fillId="6" borderId="43" xfId="0" applyFont="1" applyFill="1" applyBorder="1" applyProtection="1">
      <protection hidden="1"/>
    </xf>
    <xf numFmtId="0" fontId="7" fillId="0" borderId="43" xfId="0" applyFont="1" applyBorder="1" applyProtection="1">
      <protection hidden="1"/>
    </xf>
    <xf numFmtId="0" fontId="7" fillId="0" borderId="43" xfId="0" applyFont="1" applyBorder="1" applyAlignment="1" applyProtection="1">
      <alignment horizontal="left"/>
      <protection hidden="1"/>
    </xf>
    <xf numFmtId="181" fontId="7" fillId="0" borderId="43" xfId="6" applyNumberFormat="1" applyFont="1" applyBorder="1" applyAlignment="1" applyProtection="1">
      <alignment horizontal="right"/>
      <protection hidden="1"/>
    </xf>
    <xf numFmtId="179" fontId="7" fillId="0" borderId="43" xfId="8" applyFont="1" applyBorder="1" applyAlignment="1" applyProtection="1">
      <alignment horizontal="right"/>
      <protection hidden="1"/>
    </xf>
    <xf numFmtId="183" fontId="7" fillId="0" borderId="43" xfId="0" applyNumberFormat="1" applyFont="1" applyBorder="1" applyAlignment="1" applyProtection="1">
      <alignment horizontal="right"/>
      <protection hidden="1"/>
    </xf>
    <xf numFmtId="0" fontId="7" fillId="0" borderId="43" xfId="0" applyFont="1" applyBorder="1" applyAlignment="1" applyProtection="1">
      <alignment horizontal="right"/>
      <protection hidden="1"/>
    </xf>
    <xf numFmtId="0" fontId="7" fillId="0" borderId="51" xfId="0" applyFont="1" applyBorder="1" applyProtection="1">
      <protection hidden="1"/>
    </xf>
    <xf numFmtId="0" fontId="7" fillId="6" borderId="35" xfId="0" applyFont="1" applyFill="1" applyBorder="1" applyProtection="1">
      <protection hidden="1"/>
    </xf>
    <xf numFmtId="183" fontId="7" fillId="0" borderId="0" xfId="0" applyNumberFormat="1" applyFont="1" applyProtection="1">
      <protection hidden="1"/>
    </xf>
    <xf numFmtId="0" fontId="7" fillId="0" borderId="37" xfId="0" applyFont="1" applyBorder="1" applyProtection="1">
      <protection hidden="1"/>
    </xf>
    <xf numFmtId="0" fontId="7" fillId="6" borderId="0" xfId="0" applyFont="1" applyFill="1" applyAlignment="1">
      <alignment vertical="center"/>
    </xf>
    <xf numFmtId="181" fontId="7" fillId="0" borderId="0" xfId="6" applyNumberFormat="1" applyFont="1" applyBorder="1" applyAlignment="1" applyProtection="1">
      <alignment vertical="center"/>
      <protection hidden="1"/>
    </xf>
    <xf numFmtId="0" fontId="7" fillId="0" borderId="0" xfId="0" applyFont="1" applyAlignment="1" applyProtection="1">
      <alignment vertical="center"/>
      <protection hidden="1"/>
    </xf>
    <xf numFmtId="179" fontId="7" fillId="0" borderId="0" xfId="8" applyFont="1" applyBorder="1" applyAlignment="1" applyProtection="1">
      <alignment vertical="center"/>
      <protection hidden="1"/>
    </xf>
    <xf numFmtId="183" fontId="7" fillId="0" borderId="0" xfId="0" applyNumberFormat="1" applyFont="1" applyAlignment="1" applyProtection="1">
      <alignment vertical="center"/>
      <protection hidden="1"/>
    </xf>
    <xf numFmtId="0" fontId="7" fillId="0" borderId="37" xfId="0" applyFont="1" applyBorder="1" applyAlignment="1" applyProtection="1">
      <alignment vertical="center"/>
      <protection hidden="1"/>
    </xf>
    <xf numFmtId="0" fontId="13" fillId="6" borderId="0" xfId="0" applyFont="1" applyFill="1" applyProtection="1">
      <protection hidden="1"/>
    </xf>
    <xf numFmtId="181" fontId="7" fillId="6" borderId="0" xfId="6" applyNumberFormat="1" applyFont="1" applyFill="1" applyBorder="1" applyProtection="1">
      <protection hidden="1"/>
    </xf>
    <xf numFmtId="179" fontId="7" fillId="6" borderId="0" xfId="8" applyFont="1" applyFill="1" applyBorder="1" applyProtection="1">
      <protection hidden="1"/>
    </xf>
    <xf numFmtId="0" fontId="7" fillId="6" borderId="0" xfId="0" quotePrefix="1" applyFont="1" applyFill="1" applyProtection="1">
      <protection hidden="1"/>
    </xf>
    <xf numFmtId="183" fontId="7" fillId="6" borderId="0" xfId="0" applyNumberFormat="1" applyFont="1" applyFill="1" applyProtection="1">
      <protection hidden="1"/>
    </xf>
    <xf numFmtId="183" fontId="7" fillId="6" borderId="37" xfId="0" applyNumberFormat="1" applyFont="1" applyFill="1" applyBorder="1" applyProtection="1">
      <protection hidden="1"/>
    </xf>
    <xf numFmtId="43" fontId="7" fillId="0" borderId="0" xfId="6" applyFont="1" applyBorder="1" applyProtection="1">
      <protection hidden="1"/>
    </xf>
    <xf numFmtId="0" fontId="7" fillId="0" borderId="37" xfId="0" applyFont="1" applyBorder="1" applyProtection="1">
      <protection locked="0" hidden="1"/>
    </xf>
    <xf numFmtId="0" fontId="7" fillId="0" borderId="37" xfId="0" applyFont="1" applyBorder="1"/>
    <xf numFmtId="0" fontId="7" fillId="6" borderId="37" xfId="0" applyFont="1" applyFill="1" applyBorder="1"/>
    <xf numFmtId="190" fontId="7" fillId="0" borderId="0" xfId="8" applyNumberFormat="1" applyFont="1" applyBorder="1" applyAlignment="1" applyProtection="1">
      <alignment horizontal="right"/>
      <protection hidden="1"/>
    </xf>
    <xf numFmtId="1" fontId="11" fillId="2" borderId="0" xfId="0" applyNumberFormat="1" applyFont="1" applyFill="1"/>
    <xf numFmtId="0" fontId="48" fillId="0" borderId="0" xfId="27" applyAlignment="1"/>
    <xf numFmtId="0" fontId="6" fillId="2" borderId="0" xfId="1" applyAlignment="1">
      <protection locked="0"/>
    </xf>
    <xf numFmtId="0" fontId="6" fillId="2" borderId="0" xfId="1" applyBorder="1" applyAlignment="1">
      <protection locked="0"/>
    </xf>
    <xf numFmtId="0" fontId="16" fillId="0" borderId="12" xfId="0" applyFont="1" applyBorder="1"/>
    <xf numFmtId="0" fontId="11" fillId="0" borderId="0" xfId="0" applyFont="1" applyAlignment="1">
      <alignment vertical="center"/>
    </xf>
    <xf numFmtId="0" fontId="6" fillId="2" borderId="0" xfId="1">
      <protection locked="0"/>
    </xf>
    <xf numFmtId="0" fontId="14" fillId="0" borderId="0" xfId="0" applyFont="1" applyAlignment="1">
      <alignment vertical="center"/>
    </xf>
    <xf numFmtId="9" fontId="11" fillId="2" borderId="0" xfId="0" applyNumberFormat="1" applyFont="1" applyFill="1"/>
    <xf numFmtId="0" fontId="44" fillId="0" borderId="0" xfId="0" applyFont="1" applyProtection="1">
      <protection hidden="1"/>
    </xf>
    <xf numFmtId="0" fontId="9" fillId="0" borderId="0" xfId="0" applyFont="1" applyAlignment="1">
      <alignment horizontal="left" vertical="center"/>
    </xf>
    <xf numFmtId="180" fontId="11" fillId="0" borderId="0" xfId="6" applyNumberFormat="1" applyFont="1"/>
    <xf numFmtId="0" fontId="7" fillId="0" borderId="0" xfId="0" applyFont="1" applyAlignment="1">
      <alignment vertical="center"/>
    </xf>
    <xf numFmtId="9" fontId="0" fillId="0" borderId="0" xfId="26" applyFont="1" applyAlignment="1"/>
    <xf numFmtId="187" fontId="0" fillId="0" borderId="0" xfId="26" applyNumberFormat="1" applyFont="1" applyAlignment="1"/>
    <xf numFmtId="0" fontId="48" fillId="0" borderId="0" xfId="27">
      <alignment vertical="center"/>
    </xf>
    <xf numFmtId="179" fontId="0" fillId="0" borderId="0" xfId="8" applyFont="1" applyAlignment="1"/>
    <xf numFmtId="0" fontId="0" fillId="0" borderId="34" xfId="0" applyBorder="1" applyProtection="1">
      <protection hidden="1"/>
    </xf>
    <xf numFmtId="0" fontId="20" fillId="0" borderId="43" xfId="0" applyFont="1" applyBorder="1" applyProtection="1">
      <protection hidden="1"/>
    </xf>
    <xf numFmtId="179" fontId="7" fillId="0" borderId="43" xfId="8" applyFont="1" applyBorder="1" applyProtection="1">
      <protection hidden="1"/>
    </xf>
    <xf numFmtId="0" fontId="7" fillId="0" borderId="43" xfId="0" quotePrefix="1" applyFont="1" applyBorder="1" applyProtection="1">
      <protection hidden="1"/>
    </xf>
    <xf numFmtId="0" fontId="7" fillId="0" borderId="38" xfId="0" applyFont="1" applyBorder="1" applyProtection="1">
      <protection locked="0" hidden="1"/>
    </xf>
    <xf numFmtId="180" fontId="7" fillId="0" borderId="43" xfId="6" applyNumberFormat="1" applyFont="1" applyBorder="1" applyProtection="1">
      <protection hidden="1"/>
    </xf>
    <xf numFmtId="0" fontId="20" fillId="0" borderId="0" xfId="0" applyFont="1" applyAlignment="1">
      <alignment horizontal="left"/>
    </xf>
    <xf numFmtId="43" fontId="7" fillId="0" borderId="0" xfId="6" applyFont="1" applyBorder="1" applyAlignment="1" applyProtection="1">
      <alignment horizontal="right"/>
    </xf>
    <xf numFmtId="0" fontId="7" fillId="0" borderId="0" xfId="0" applyFont="1" applyAlignment="1">
      <alignment horizontal="left"/>
    </xf>
    <xf numFmtId="183" fontId="7" fillId="0" borderId="0" xfId="8" applyNumberFormat="1" applyFont="1" applyFill="1" applyBorder="1" applyAlignment="1" applyProtection="1">
      <alignment horizontal="right"/>
    </xf>
    <xf numFmtId="0" fontId="11" fillId="0" borderId="0" xfId="0" applyFont="1" applyAlignment="1">
      <alignment horizontal="left"/>
    </xf>
    <xf numFmtId="0" fontId="7" fillId="5" borderId="1" xfId="0" quotePrefix="1" applyFont="1" applyFill="1" applyBorder="1" applyAlignment="1" applyProtection="1">
      <alignment horizontal="left"/>
      <protection hidden="1"/>
    </xf>
    <xf numFmtId="0" fontId="7" fillId="6" borderId="1" xfId="0" applyFont="1" applyFill="1" applyBorder="1" applyAlignment="1" applyProtection="1">
      <alignment horizontal="left"/>
      <protection hidden="1"/>
    </xf>
    <xf numFmtId="0" fontId="0" fillId="6" borderId="1" xfId="0" applyFill="1" applyBorder="1" applyAlignment="1" applyProtection="1">
      <alignment horizontal="left"/>
      <protection hidden="1"/>
    </xf>
    <xf numFmtId="0" fontId="7" fillId="0" borderId="1" xfId="0" applyFont="1" applyBorder="1"/>
    <xf numFmtId="0" fontId="0" fillId="6" borderId="1" xfId="0" applyFill="1" applyBorder="1" applyAlignment="1">
      <alignment horizontal="left"/>
    </xf>
    <xf numFmtId="0" fontId="7" fillId="6" borderId="1" xfId="0" applyFont="1" applyFill="1" applyBorder="1" applyAlignment="1">
      <alignment horizontal="left"/>
    </xf>
    <xf numFmtId="0" fontId="7" fillId="0" borderId="1" xfId="0" applyFont="1" applyBorder="1" applyAlignment="1" applyProtection="1">
      <alignment horizontal="left"/>
      <protection hidden="1"/>
    </xf>
    <xf numFmtId="0" fontId="7" fillId="6" borderId="49" xfId="0" applyFont="1" applyFill="1" applyBorder="1" applyAlignment="1" applyProtection="1">
      <alignment horizontal="left"/>
      <protection hidden="1"/>
    </xf>
    <xf numFmtId="0" fontId="44" fillId="0" borderId="8" xfId="0" applyFont="1" applyBorder="1"/>
    <xf numFmtId="0" fontId="44" fillId="0" borderId="11" xfId="0" applyFont="1" applyBorder="1"/>
    <xf numFmtId="0" fontId="9" fillId="0" borderId="11" xfId="0" applyFont="1" applyBorder="1"/>
    <xf numFmtId="0" fontId="44" fillId="0" borderId="9" xfId="0" applyFont="1" applyBorder="1" applyAlignment="1">
      <alignment horizontal="centerContinuous"/>
    </xf>
    <xf numFmtId="0" fontId="0" fillId="0" borderId="10" xfId="0" applyBorder="1" applyAlignment="1">
      <alignment horizontal="centerContinuous"/>
    </xf>
    <xf numFmtId="0" fontId="44" fillId="0" borderId="0" xfId="0" applyFont="1" applyAlignment="1">
      <alignment horizontal="center"/>
    </xf>
    <xf numFmtId="0" fontId="44" fillId="0" borderId="12" xfId="0" applyFont="1" applyBorder="1" applyAlignment="1">
      <alignment horizontal="center"/>
    </xf>
    <xf numFmtId="0" fontId="44" fillId="0" borderId="12" xfId="0" applyFont="1" applyBorder="1"/>
    <xf numFmtId="0" fontId="6" fillId="2" borderId="0" xfId="0" applyFont="1" applyFill="1"/>
    <xf numFmtId="0" fontId="6" fillId="2" borderId="12" xfId="0" applyFont="1" applyFill="1" applyBorder="1"/>
    <xf numFmtId="0" fontId="0" fillId="0" borderId="12" xfId="0" applyBorder="1"/>
    <xf numFmtId="0" fontId="0" fillId="0" borderId="9" xfId="0" applyBorder="1"/>
    <xf numFmtId="0" fontId="0" fillId="0" borderId="7" xfId="0" applyBorder="1"/>
    <xf numFmtId="0" fontId="48" fillId="0" borderId="0" xfId="27" applyBorder="1">
      <alignment vertical="center"/>
    </xf>
    <xf numFmtId="49" fontId="0" fillId="6" borderId="1" xfId="0" applyNumberFormat="1" applyFill="1" applyBorder="1"/>
    <xf numFmtId="0" fontId="0" fillId="6" borderId="2" xfId="0" applyFill="1" applyBorder="1" applyAlignment="1">
      <alignment horizontal="right"/>
    </xf>
    <xf numFmtId="178" fontId="0" fillId="0" borderId="0" xfId="0" applyNumberFormat="1" applyProtection="1">
      <protection hidden="1"/>
    </xf>
    <xf numFmtId="0" fontId="0" fillId="6" borderId="1" xfId="0" applyFill="1" applyBorder="1"/>
    <xf numFmtId="183" fontId="0" fillId="4" borderId="0" xfId="0" applyNumberFormat="1" applyFill="1"/>
    <xf numFmtId="0" fontId="0" fillId="4" borderId="2" xfId="0" applyFill="1" applyBorder="1"/>
    <xf numFmtId="0" fontId="6" fillId="2" borderId="0" xfId="1" applyAlignment="1">
      <alignment horizontal="right"/>
      <protection locked="0"/>
    </xf>
    <xf numFmtId="0" fontId="6" fillId="2" borderId="0" xfId="1" applyBorder="1" applyAlignment="1">
      <alignment horizontal="right"/>
      <protection locked="0"/>
    </xf>
    <xf numFmtId="10" fontId="6" fillId="2" borderId="0" xfId="1" applyNumberFormat="1" applyBorder="1" applyAlignment="1">
      <alignment horizontal="right"/>
      <protection locked="0"/>
    </xf>
    <xf numFmtId="187" fontId="0" fillId="0" borderId="0" xfId="26" applyNumberFormat="1" applyFont="1"/>
    <xf numFmtId="180" fontId="0" fillId="0" borderId="0" xfId="0" applyNumberFormat="1" applyProtection="1">
      <protection hidden="1"/>
    </xf>
    <xf numFmtId="43" fontId="11" fillId="0" borderId="0" xfId="0" applyNumberFormat="1" applyFont="1" applyProtection="1">
      <protection hidden="1"/>
    </xf>
    <xf numFmtId="43" fontId="11" fillId="0" borderId="0" xfId="6" applyFont="1" applyProtection="1">
      <protection hidden="1"/>
    </xf>
    <xf numFmtId="43" fontId="11" fillId="0" borderId="0" xfId="0" quotePrefix="1" applyNumberFormat="1" applyFont="1" applyProtection="1">
      <protection hidden="1"/>
    </xf>
    <xf numFmtId="181" fontId="6" fillId="0" borderId="0" xfId="6" applyNumberFormat="1"/>
    <xf numFmtId="1" fontId="7" fillId="0" borderId="0" xfId="0" applyNumberFormat="1" applyFont="1" applyProtection="1">
      <protection hidden="1"/>
    </xf>
    <xf numFmtId="3" fontId="14" fillId="0" borderId="0" xfId="0" applyNumberFormat="1" applyFont="1" applyProtection="1">
      <protection hidden="1"/>
    </xf>
    <xf numFmtId="0" fontId="9" fillId="0" borderId="6" xfId="0" applyFont="1" applyBorder="1" applyAlignment="1">
      <alignment vertical="center"/>
    </xf>
    <xf numFmtId="10" fontId="0" fillId="0" borderId="0" xfId="6" applyNumberFormat="1" applyFont="1" applyFill="1"/>
    <xf numFmtId="0" fontId="7" fillId="6" borderId="1" xfId="0" applyFont="1" applyFill="1" applyBorder="1" applyProtection="1">
      <protection hidden="1"/>
    </xf>
    <xf numFmtId="183" fontId="34" fillId="4" borderId="0" xfId="0" applyNumberFormat="1" applyFont="1" applyFill="1" applyProtection="1">
      <protection hidden="1"/>
    </xf>
    <xf numFmtId="0" fontId="6" fillId="0" borderId="0" xfId="0" applyFont="1"/>
    <xf numFmtId="183" fontId="0" fillId="4" borderId="0" xfId="26" applyNumberFormat="1" applyFont="1" applyFill="1" applyProtection="1">
      <protection locked="0"/>
    </xf>
    <xf numFmtId="0" fontId="6" fillId="0" borderId="0" xfId="0" applyFont="1" applyAlignment="1">
      <alignment horizontal="center"/>
    </xf>
    <xf numFmtId="0" fontId="6" fillId="4" borderId="1" xfId="0" applyFont="1" applyFill="1" applyBorder="1"/>
    <xf numFmtId="0" fontId="6" fillId="4" borderId="6" xfId="0" applyFont="1" applyFill="1" applyBorder="1"/>
    <xf numFmtId="0" fontId="6" fillId="4" borderId="52" xfId="0" applyFont="1" applyFill="1" applyBorder="1"/>
    <xf numFmtId="0" fontId="11" fillId="4" borderId="6" xfId="0" applyFont="1" applyFill="1" applyBorder="1" applyAlignment="1">
      <alignment horizontal="right"/>
    </xf>
    <xf numFmtId="0" fontId="11" fillId="4" borderId="53" xfId="0" applyFont="1" applyFill="1" applyBorder="1" applyAlignment="1">
      <alignment horizontal="right"/>
    </xf>
    <xf numFmtId="0" fontId="23" fillId="4" borderId="0" xfId="0" applyFont="1" applyFill="1"/>
    <xf numFmtId="0" fontId="11" fillId="4" borderId="25" xfId="0" applyFont="1" applyFill="1" applyBorder="1"/>
    <xf numFmtId="9" fontId="11" fillId="2" borderId="6" xfId="26" applyFont="1" applyFill="1" applyBorder="1"/>
    <xf numFmtId="0" fontId="11" fillId="4" borderId="2" xfId="0" applyFont="1" applyFill="1" applyBorder="1"/>
    <xf numFmtId="9" fontId="11" fillId="2" borderId="6" xfId="26" applyFont="1" applyFill="1" applyBorder="1" applyAlignment="1">
      <alignment horizontal="right"/>
    </xf>
    <xf numFmtId="0" fontId="11" fillId="2" borderId="6" xfId="26" applyNumberFormat="1" applyFont="1" applyFill="1" applyBorder="1" applyAlignment="1">
      <alignment horizontal="right"/>
    </xf>
    <xf numFmtId="0" fontId="34" fillId="4" borderId="0" xfId="0" applyFont="1" applyFill="1"/>
    <xf numFmtId="0" fontId="6" fillId="4" borderId="0" xfId="0" applyFont="1" applyFill="1"/>
    <xf numFmtId="0" fontId="6" fillId="4" borderId="2" xfId="0" applyFont="1" applyFill="1" applyBorder="1"/>
    <xf numFmtId="180" fontId="6" fillId="4" borderId="6" xfId="6" applyNumberFormat="1" applyFont="1" applyFill="1" applyBorder="1"/>
    <xf numFmtId="180" fontId="6" fillId="0" borderId="52" xfId="6" applyNumberFormat="1" applyFont="1" applyFill="1" applyBorder="1" applyAlignment="1">
      <alignment horizontal="right"/>
    </xf>
    <xf numFmtId="177" fontId="11" fillId="4" borderId="6" xfId="0" applyNumberFormat="1" applyFont="1" applyFill="1" applyBorder="1"/>
    <xf numFmtId="176" fontId="11" fillId="4" borderId="53" xfId="0" applyNumberFormat="1" applyFont="1" applyFill="1" applyBorder="1"/>
    <xf numFmtId="0" fontId="0" fillId="4" borderId="16" xfId="0" applyFill="1" applyBorder="1"/>
    <xf numFmtId="0" fontId="7" fillId="5" borderId="1" xfId="0" applyFont="1" applyFill="1" applyBorder="1"/>
    <xf numFmtId="9" fontId="7" fillId="5" borderId="0" xfId="26" applyFont="1" applyFill="1" applyBorder="1"/>
    <xf numFmtId="0" fontId="7" fillId="5" borderId="0" xfId="0" applyFont="1" applyFill="1" applyAlignment="1">
      <alignment horizontal="right"/>
    </xf>
    <xf numFmtId="0" fontId="48" fillId="0" borderId="0" xfId="0" applyFont="1"/>
    <xf numFmtId="0" fontId="49" fillId="0" borderId="0" xfId="0" applyFont="1"/>
    <xf numFmtId="0" fontId="6" fillId="4" borderId="54" xfId="0" applyFont="1" applyFill="1" applyBorder="1" applyAlignment="1">
      <alignment horizontal="center"/>
    </xf>
    <xf numFmtId="0" fontId="14" fillId="4" borderId="46" xfId="0" quotePrefix="1" applyFont="1" applyFill="1" applyBorder="1" applyAlignment="1" applyProtection="1">
      <alignment horizontal="right" vertical="top"/>
      <protection locked="0"/>
    </xf>
    <xf numFmtId="0" fontId="14" fillId="4" borderId="43" xfId="0" quotePrefix="1" applyFont="1" applyFill="1" applyBorder="1" applyAlignment="1" applyProtection="1">
      <alignment horizontal="right" vertical="top" wrapText="1"/>
      <protection locked="0"/>
    </xf>
    <xf numFmtId="0" fontId="51" fillId="4" borderId="29" xfId="0" applyFont="1" applyFill="1" applyBorder="1" applyAlignment="1">
      <alignment vertical="top"/>
    </xf>
    <xf numFmtId="0" fontId="51" fillId="4" borderId="51" xfId="0" applyFont="1" applyFill="1" applyBorder="1" applyAlignment="1">
      <alignment vertical="top"/>
    </xf>
    <xf numFmtId="0" fontId="14" fillId="4" borderId="1" xfId="0" applyFont="1" applyFill="1" applyBorder="1" applyAlignment="1">
      <alignment horizontal="right" vertical="top"/>
    </xf>
    <xf numFmtId="0" fontId="27" fillId="4" borderId="49" xfId="18" applyFont="1" applyFill="1" applyBorder="1" applyAlignment="1">
      <alignment horizontal="right" vertical="top"/>
    </xf>
    <xf numFmtId="9" fontId="0" fillId="2" borderId="0" xfId="26" applyFont="1" applyFill="1" applyBorder="1" applyProtection="1">
      <protection locked="0"/>
    </xf>
    <xf numFmtId="0" fontId="0" fillId="4" borderId="55" xfId="0" applyFill="1" applyBorder="1" applyAlignment="1">
      <alignment wrapText="1"/>
    </xf>
    <xf numFmtId="180" fontId="0" fillId="0" borderId="0" xfId="6" applyNumberFormat="1" applyFont="1" applyFill="1"/>
    <xf numFmtId="0" fontId="9" fillId="0" borderId="0" xfId="27" applyFont="1">
      <alignment vertical="center"/>
    </xf>
    <xf numFmtId="182" fontId="0" fillId="0" borderId="0" xfId="0" quotePrefix="1" applyNumberFormat="1"/>
    <xf numFmtId="2" fontId="0" fillId="0" borderId="0" xfId="0" quotePrefix="1" applyNumberFormat="1"/>
    <xf numFmtId="1" fontId="0" fillId="0" borderId="0" xfId="0" quotePrefix="1" applyNumberFormat="1"/>
    <xf numFmtId="181" fontId="7" fillId="0" borderId="0" xfId="6" quotePrefix="1" applyNumberFormat="1" applyFont="1" applyBorder="1" applyAlignment="1" applyProtection="1">
      <alignment horizontal="right"/>
      <protection hidden="1"/>
    </xf>
    <xf numFmtId="183" fontId="7" fillId="0" borderId="0" xfId="8" quotePrefix="1" applyNumberFormat="1" applyFont="1" applyBorder="1" applyAlignment="1" applyProtection="1">
      <alignment horizontal="right"/>
      <protection hidden="1"/>
    </xf>
    <xf numFmtId="183" fontId="7" fillId="0" borderId="0" xfId="0" quotePrefix="1" applyNumberFormat="1" applyFont="1" applyAlignment="1" applyProtection="1">
      <alignment horizontal="right"/>
      <protection hidden="1"/>
    </xf>
    <xf numFmtId="0" fontId="7" fillId="0" borderId="0" xfId="0" quotePrefix="1" applyFont="1" applyAlignment="1" applyProtection="1">
      <alignment horizontal="right"/>
      <protection hidden="1"/>
    </xf>
    <xf numFmtId="49" fontId="11" fillId="6" borderId="1" xfId="0" applyNumberFormat="1" applyFont="1" applyFill="1" applyBorder="1"/>
    <xf numFmtId="0" fontId="11" fillId="6" borderId="1" xfId="0" quotePrefix="1" applyFont="1" applyFill="1" applyBorder="1" applyProtection="1">
      <protection hidden="1"/>
    </xf>
    <xf numFmtId="0" fontId="11" fillId="6" borderId="1" xfId="0" quotePrefix="1" applyFont="1" applyFill="1" applyBorder="1" applyAlignment="1" applyProtection="1">
      <alignment horizontal="left"/>
      <protection hidden="1"/>
    </xf>
    <xf numFmtId="182" fontId="7" fillId="0" borderId="0" xfId="0" quotePrefix="1" applyNumberFormat="1" applyFont="1" applyAlignment="1" applyProtection="1">
      <alignment horizontal="right"/>
      <protection hidden="1"/>
    </xf>
    <xf numFmtId="185" fontId="7" fillId="0" borderId="0" xfId="0" quotePrefix="1" applyNumberFormat="1" applyFont="1" applyAlignment="1" applyProtection="1">
      <alignment horizontal="right"/>
      <protection hidden="1"/>
    </xf>
    <xf numFmtId="0" fontId="11" fillId="0" borderId="0" xfId="24"/>
    <xf numFmtId="0" fontId="14" fillId="0" borderId="0" xfId="24" applyFont="1"/>
    <xf numFmtId="0" fontId="9" fillId="0" borderId="0" xfId="24" applyFont="1"/>
    <xf numFmtId="183" fontId="11" fillId="0" borderId="0" xfId="9" applyNumberFormat="1" applyFont="1" applyFill="1" applyProtection="1">
      <protection hidden="1"/>
    </xf>
    <xf numFmtId="183" fontId="11" fillId="0" borderId="0" xfId="24" applyNumberFormat="1"/>
    <xf numFmtId="0" fontId="8" fillId="0" borderId="0" xfId="24" applyFont="1"/>
    <xf numFmtId="0" fontId="11" fillId="0" borderId="0" xfId="24" applyProtection="1">
      <protection hidden="1"/>
    </xf>
    <xf numFmtId="179" fontId="11" fillId="0" borderId="0" xfId="9" applyFont="1" applyFill="1" applyAlignment="1" applyProtection="1">
      <alignment horizontal="right"/>
      <protection hidden="1"/>
    </xf>
    <xf numFmtId="43" fontId="11" fillId="0" borderId="0" xfId="7" applyFont="1" applyFill="1"/>
    <xf numFmtId="183" fontId="11" fillId="0" borderId="0" xfId="9" applyNumberFormat="1" applyFont="1" applyFill="1"/>
    <xf numFmtId="3" fontId="11" fillId="0" borderId="0" xfId="24" applyNumberFormat="1"/>
    <xf numFmtId="189" fontId="11" fillId="0" borderId="0" xfId="24" applyNumberFormat="1"/>
    <xf numFmtId="0" fontId="11" fillId="0" borderId="0" xfId="24" quotePrefix="1" applyProtection="1">
      <protection hidden="1"/>
    </xf>
    <xf numFmtId="179" fontId="11" fillId="0" borderId="0" xfId="9" applyFont="1" applyFill="1" applyProtection="1">
      <protection hidden="1"/>
    </xf>
    <xf numFmtId="181" fontId="11" fillId="0" borderId="0" xfId="7" applyNumberFormat="1" applyFont="1" applyFill="1"/>
    <xf numFmtId="3" fontId="11" fillId="0" borderId="0" xfId="7" applyNumberFormat="1" applyFont="1" applyFill="1"/>
    <xf numFmtId="1" fontId="11" fillId="0" borderId="0" xfId="7" applyNumberFormat="1" applyFont="1" applyFill="1"/>
    <xf numFmtId="189" fontId="11" fillId="0" borderId="0" xfId="7" applyNumberFormat="1" applyFont="1" applyFill="1"/>
    <xf numFmtId="181" fontId="11" fillId="0" borderId="0" xfId="7" applyNumberFormat="1" applyFont="1" applyFill="1" applyProtection="1">
      <protection hidden="1"/>
    </xf>
    <xf numFmtId="0" fontId="7" fillId="0" borderId="0" xfId="24" applyFont="1"/>
    <xf numFmtId="181" fontId="0" fillId="0" borderId="0" xfId="7" applyNumberFormat="1" applyFont="1"/>
    <xf numFmtId="181" fontId="11" fillId="0" borderId="0" xfId="6" quotePrefix="1" applyNumberFormat="1" applyFont="1" applyFill="1" applyProtection="1">
      <protection hidden="1"/>
    </xf>
    <xf numFmtId="0" fontId="11" fillId="0" borderId="0" xfId="7" applyNumberFormat="1" applyFont="1" applyFill="1" applyProtection="1">
      <protection hidden="1"/>
    </xf>
    <xf numFmtId="0" fontId="22" fillId="0" borderId="0" xfId="24" applyFont="1"/>
    <xf numFmtId="0" fontId="13" fillId="0" borderId="0" xfId="24" applyFont="1"/>
    <xf numFmtId="3" fontId="11" fillId="0" borderId="0" xfId="7" applyNumberFormat="1" applyFont="1" applyFill="1" applyProtection="1">
      <protection hidden="1"/>
    </xf>
    <xf numFmtId="0" fontId="11" fillId="0" borderId="0" xfId="0" applyFont="1" applyAlignment="1">
      <alignment horizontal="left" indent="1"/>
    </xf>
    <xf numFmtId="43" fontId="0" fillId="0" borderId="0" xfId="0" applyNumberFormat="1"/>
    <xf numFmtId="3" fontId="0" fillId="0" borderId="0" xfId="0" quotePrefix="1" applyNumberFormat="1"/>
    <xf numFmtId="49" fontId="7" fillId="5" borderId="1" xfId="0" applyNumberFormat="1" applyFont="1" applyFill="1" applyBorder="1"/>
    <xf numFmtId="49" fontId="7" fillId="5" borderId="0" xfId="0" applyNumberFormat="1" applyFont="1" applyFill="1"/>
    <xf numFmtId="0" fontId="7" fillId="5" borderId="0" xfId="0" quotePrefix="1" applyFont="1" applyFill="1"/>
    <xf numFmtId="0" fontId="7" fillId="5" borderId="2" xfId="0" quotePrefix="1" applyFont="1" applyFill="1" applyBorder="1"/>
    <xf numFmtId="0" fontId="16" fillId="6" borderId="0" xfId="0" applyFont="1" applyFill="1"/>
    <xf numFmtId="49" fontId="7" fillId="0" borderId="0" xfId="0" applyNumberFormat="1" applyFont="1"/>
    <xf numFmtId="181" fontId="7" fillId="0" borderId="0" xfId="7" applyNumberFormat="1" applyFont="1" applyBorder="1" applyAlignment="1">
      <alignment horizontal="right"/>
    </xf>
    <xf numFmtId="1" fontId="7" fillId="0" borderId="0" xfId="0" applyNumberFormat="1" applyFont="1"/>
    <xf numFmtId="179" fontId="7" fillId="0" borderId="0" xfId="9" applyFont="1" applyBorder="1" applyAlignment="1">
      <alignment horizontal="right"/>
    </xf>
    <xf numFmtId="0" fontId="16" fillId="6" borderId="0" xfId="0" applyFont="1" applyFill="1" applyAlignment="1">
      <alignment horizontal="left"/>
    </xf>
    <xf numFmtId="0" fontId="0" fillId="6" borderId="0" xfId="0" applyFill="1" applyAlignment="1">
      <alignment horizontal="left"/>
    </xf>
    <xf numFmtId="183" fontId="7" fillId="0" borderId="0" xfId="9" applyNumberFormat="1" applyFont="1" applyBorder="1" applyAlignment="1">
      <alignment horizontal="right"/>
    </xf>
    <xf numFmtId="185" fontId="7" fillId="0" borderId="0" xfId="0" applyNumberFormat="1" applyFont="1" applyAlignment="1">
      <alignment horizontal="right"/>
    </xf>
    <xf numFmtId="0" fontId="7" fillId="0" borderId="37" xfId="9" applyNumberFormat="1" applyFont="1" applyBorder="1" applyProtection="1">
      <protection hidden="1"/>
    </xf>
    <xf numFmtId="2" fontId="0" fillId="0" borderId="15" xfId="0" applyNumberFormat="1" applyBorder="1"/>
    <xf numFmtId="0" fontId="0" fillId="0" borderId="15" xfId="0" applyBorder="1" applyAlignment="1">
      <alignment horizontal="right"/>
    </xf>
    <xf numFmtId="186" fontId="0" fillId="0" borderId="0" xfId="6" applyNumberFormat="1" applyFont="1"/>
    <xf numFmtId="191" fontId="11" fillId="0" borderId="0" xfId="0" applyNumberFormat="1" applyFont="1" applyProtection="1">
      <protection hidden="1"/>
    </xf>
    <xf numFmtId="0" fontId="11" fillId="2" borderId="0" xfId="8" applyNumberFormat="1" applyFont="1" applyFill="1"/>
    <xf numFmtId="0" fontId="55" fillId="4" borderId="0" xfId="0" applyFont="1" applyFill="1" applyProtection="1">
      <protection hidden="1"/>
    </xf>
    <xf numFmtId="181" fontId="0" fillId="0" borderId="0" xfId="6" quotePrefix="1" applyNumberFormat="1" applyFont="1" applyFill="1"/>
    <xf numFmtId="0" fontId="0" fillId="2" borderId="0" xfId="7" applyNumberFormat="1" applyFont="1" applyFill="1"/>
    <xf numFmtId="0" fontId="11" fillId="0" borderId="0" xfId="0" quotePrefix="1" applyFont="1" applyProtection="1">
      <protection hidden="1"/>
    </xf>
    <xf numFmtId="181" fontId="0" fillId="6" borderId="0" xfId="0" applyNumberFormat="1" applyFill="1"/>
    <xf numFmtId="181" fontId="0" fillId="6" borderId="0" xfId="7" applyNumberFormat="1" applyFont="1" applyFill="1" applyBorder="1" applyAlignment="1">
      <alignment horizontal="right"/>
    </xf>
    <xf numFmtId="181" fontId="7" fillId="0" borderId="0" xfId="0" applyNumberFormat="1" applyFont="1" applyAlignment="1">
      <alignment horizontal="right"/>
    </xf>
    <xf numFmtId="179" fontId="7" fillId="0" borderId="0" xfId="9" applyFont="1" applyAlignment="1">
      <alignment horizontal="right"/>
    </xf>
    <xf numFmtId="0" fontId="0" fillId="6" borderId="1" xfId="0" quotePrefix="1" applyFill="1" applyBorder="1" applyAlignment="1">
      <alignment horizontal="left"/>
    </xf>
    <xf numFmtId="181" fontId="0" fillId="6" borderId="0" xfId="0" applyNumberFormat="1" applyFill="1" applyAlignment="1">
      <alignment horizontal="right"/>
    </xf>
    <xf numFmtId="181" fontId="0" fillId="6" borderId="0" xfId="0" applyNumberFormat="1" applyFill="1" applyProtection="1">
      <protection hidden="1"/>
    </xf>
    <xf numFmtId="186" fontId="0" fillId="6" borderId="0" xfId="7" applyNumberFormat="1" applyFont="1" applyFill="1" applyAlignment="1">
      <alignment horizontal="right"/>
    </xf>
    <xf numFmtId="181" fontId="0" fillId="6" borderId="0" xfId="7" applyNumberFormat="1" applyFont="1" applyFill="1" applyAlignment="1">
      <alignment horizontal="right"/>
    </xf>
    <xf numFmtId="183" fontId="0" fillId="6" borderId="0" xfId="9" applyNumberFormat="1" applyFont="1" applyFill="1" applyAlignment="1">
      <alignment horizontal="right"/>
    </xf>
    <xf numFmtId="183" fontId="0" fillId="6" borderId="0" xfId="0" applyNumberFormat="1" applyFill="1" applyAlignment="1">
      <alignment horizontal="right"/>
    </xf>
    <xf numFmtId="0" fontId="11" fillId="6" borderId="1" xfId="0" applyFont="1" applyFill="1" applyBorder="1" applyAlignment="1">
      <alignment horizontal="left"/>
    </xf>
    <xf numFmtId="0" fontId="11" fillId="2" borderId="0" xfId="1" applyFont="1" applyAlignment="1">
      <alignment horizontal="right"/>
      <protection locked="0"/>
    </xf>
    <xf numFmtId="181" fontId="6" fillId="0" borderId="0" xfId="6" applyNumberFormat="1" applyFont="1" applyFill="1"/>
    <xf numFmtId="0" fontId="6" fillId="6" borderId="1" xfId="0" applyFont="1" applyFill="1" applyBorder="1" applyAlignment="1">
      <alignment horizontal="left"/>
    </xf>
    <xf numFmtId="0" fontId="6" fillId="0" borderId="0" xfId="0" quotePrefix="1" applyFont="1"/>
    <xf numFmtId="0" fontId="6" fillId="0" borderId="0" xfId="24" applyFont="1"/>
    <xf numFmtId="185" fontId="6" fillId="0" borderId="0" xfId="24" applyNumberFormat="1" applyFont="1"/>
    <xf numFmtId="183" fontId="6" fillId="0" borderId="0" xfId="9" applyNumberFormat="1" applyFont="1" applyFill="1"/>
    <xf numFmtId="183" fontId="6" fillId="0" borderId="0" xfId="9" applyNumberFormat="1" applyFont="1" applyFill="1" applyProtection="1">
      <protection hidden="1"/>
    </xf>
    <xf numFmtId="0" fontId="14" fillId="4" borderId="27" xfId="0" applyFont="1" applyFill="1" applyBorder="1" applyAlignment="1">
      <alignment horizontal="right" vertical="center" wrapText="1"/>
    </xf>
    <xf numFmtId="0" fontId="14" fillId="4" borderId="46" xfId="0" applyFont="1" applyFill="1" applyBorder="1" applyAlignment="1" applyProtection="1">
      <alignment horizontal="right" vertical="center"/>
      <protection locked="0"/>
    </xf>
    <xf numFmtId="179" fontId="0" fillId="0" borderId="0" xfId="8" applyFont="1" applyAlignment="1">
      <alignment horizontal="right"/>
    </xf>
    <xf numFmtId="0" fontId="6" fillId="0" borderId="0" xfId="0" applyFont="1" applyProtection="1">
      <protection hidden="1"/>
    </xf>
    <xf numFmtId="0" fontId="6" fillId="4" borderId="19" xfId="0" applyFont="1" applyFill="1" applyBorder="1" applyAlignment="1">
      <alignment horizontal="center"/>
    </xf>
    <xf numFmtId="0" fontId="6" fillId="4" borderId="0" xfId="0" applyFont="1" applyFill="1" applyAlignment="1">
      <alignment horizontal="center" wrapText="1"/>
    </xf>
    <xf numFmtId="0" fontId="6" fillId="0" borderId="0" xfId="0" applyFont="1" applyAlignment="1">
      <alignment horizontal="right"/>
    </xf>
    <xf numFmtId="1" fontId="6" fillId="0" borderId="0" xfId="0" applyNumberFormat="1" applyFont="1"/>
    <xf numFmtId="0" fontId="7" fillId="4" borderId="0" xfId="0" applyFont="1" applyFill="1" applyProtection="1">
      <protection hidden="1"/>
    </xf>
    <xf numFmtId="0" fontId="60" fillId="0" borderId="0" xfId="0" applyFont="1"/>
    <xf numFmtId="0" fontId="30" fillId="0" borderId="0" xfId="0" applyFont="1" applyAlignment="1">
      <alignment vertical="top"/>
    </xf>
    <xf numFmtId="0" fontId="7" fillId="0" borderId="0" xfId="0" applyFont="1" applyAlignment="1">
      <alignment vertical="top"/>
    </xf>
    <xf numFmtId="0" fontId="6" fillId="0" borderId="0" xfId="0" applyFont="1" applyAlignment="1">
      <alignment horizontal="left" indent="1"/>
    </xf>
    <xf numFmtId="0" fontId="8" fillId="0" borderId="0" xfId="0" applyFont="1" applyAlignment="1">
      <alignment horizontal="left" indent="1"/>
    </xf>
    <xf numFmtId="0" fontId="0" fillId="9" borderId="0" xfId="0" applyFill="1"/>
    <xf numFmtId="0" fontId="7" fillId="10" borderId="15" xfId="0" applyFont="1" applyFill="1" applyBorder="1"/>
    <xf numFmtId="0" fontId="0" fillId="10" borderId="0" xfId="0" applyFill="1"/>
    <xf numFmtId="0" fontId="7" fillId="10" borderId="0" xfId="0" applyFont="1" applyFill="1"/>
    <xf numFmtId="0" fontId="30" fillId="10" borderId="0" xfId="0" applyFont="1" applyFill="1"/>
    <xf numFmtId="0" fontId="0" fillId="10" borderId="0" xfId="0" applyFill="1" applyProtection="1">
      <protection hidden="1"/>
    </xf>
    <xf numFmtId="0" fontId="11" fillId="10" borderId="0" xfId="0" applyFont="1" applyFill="1" applyProtection="1">
      <protection hidden="1"/>
    </xf>
    <xf numFmtId="0" fontId="16" fillId="10" borderId="0" xfId="0" applyFont="1" applyFill="1" applyProtection="1">
      <protection hidden="1"/>
    </xf>
    <xf numFmtId="0" fontId="11" fillId="10" borderId="0" xfId="0" applyFont="1" applyFill="1"/>
    <xf numFmtId="0" fontId="11" fillId="10" borderId="0" xfId="0" applyFont="1" applyFill="1" applyAlignment="1" applyProtection="1">
      <alignment horizontal="right"/>
      <protection hidden="1"/>
    </xf>
    <xf numFmtId="183" fontId="6" fillId="10" borderId="0" xfId="8" applyNumberFormat="1" applyFont="1" applyFill="1" applyBorder="1" applyProtection="1">
      <protection hidden="1"/>
    </xf>
    <xf numFmtId="0" fontId="18" fillId="10" borderId="0" xfId="10" applyFill="1" applyBorder="1" applyAlignment="1" applyProtection="1">
      <protection hidden="1"/>
    </xf>
    <xf numFmtId="183" fontId="11" fillId="10" borderId="0" xfId="8" applyNumberFormat="1" applyFont="1" applyFill="1" applyBorder="1" applyProtection="1">
      <protection hidden="1"/>
    </xf>
    <xf numFmtId="179" fontId="11" fillId="10" borderId="0" xfId="8" applyFont="1" applyFill="1" applyBorder="1" applyProtection="1">
      <protection hidden="1"/>
    </xf>
    <xf numFmtId="0" fontId="0" fillId="10" borderId="17" xfId="0" applyFill="1" applyBorder="1" applyProtection="1">
      <protection hidden="1"/>
    </xf>
    <xf numFmtId="0" fontId="11" fillId="10" borderId="20" xfId="0" applyFont="1" applyFill="1" applyBorder="1" applyProtection="1">
      <protection hidden="1"/>
    </xf>
    <xf numFmtId="0" fontId="16" fillId="10" borderId="20" xfId="0" applyFont="1" applyFill="1" applyBorder="1" applyProtection="1">
      <protection hidden="1"/>
    </xf>
    <xf numFmtId="0" fontId="0" fillId="10" borderId="25" xfId="0" applyFill="1" applyBorder="1" applyProtection="1">
      <protection hidden="1"/>
    </xf>
    <xf numFmtId="0" fontId="0" fillId="10" borderId="1" xfId="0" applyFill="1" applyBorder="1" applyProtection="1">
      <protection hidden="1"/>
    </xf>
    <xf numFmtId="0" fontId="0" fillId="10" borderId="2" xfId="0" applyFill="1" applyBorder="1" applyProtection="1">
      <protection hidden="1"/>
    </xf>
    <xf numFmtId="0" fontId="11" fillId="10" borderId="2" xfId="0" applyFont="1" applyFill="1" applyBorder="1" applyProtection="1">
      <protection hidden="1"/>
    </xf>
    <xf numFmtId="0" fontId="11" fillId="10" borderId="2" xfId="0" applyFont="1" applyFill="1" applyBorder="1"/>
    <xf numFmtId="0" fontId="0" fillId="10" borderId="18" xfId="0" applyFill="1" applyBorder="1" applyProtection="1">
      <protection hidden="1"/>
    </xf>
    <xf numFmtId="0" fontId="11" fillId="10" borderId="15" xfId="0" applyFont="1" applyFill="1" applyBorder="1" applyProtection="1">
      <protection hidden="1"/>
    </xf>
    <xf numFmtId="0" fontId="16" fillId="10" borderId="15" xfId="0" applyFont="1" applyFill="1" applyBorder="1" applyProtection="1">
      <protection hidden="1"/>
    </xf>
    <xf numFmtId="0" fontId="37" fillId="10" borderId="17" xfId="0" applyFont="1" applyFill="1" applyBorder="1"/>
    <xf numFmtId="183" fontId="0" fillId="10" borderId="0" xfId="0" applyNumberFormat="1" applyFill="1" applyProtection="1">
      <protection hidden="1"/>
    </xf>
    <xf numFmtId="0" fontId="0" fillId="10" borderId="0" xfId="0" quotePrefix="1" applyFill="1" applyAlignment="1" applyProtection="1">
      <alignment horizontal="left"/>
      <protection hidden="1"/>
    </xf>
    <xf numFmtId="0" fontId="38" fillId="4" borderId="1" xfId="0" applyFont="1" applyFill="1" applyBorder="1"/>
    <xf numFmtId="0" fontId="30" fillId="4" borderId="1" xfId="0" applyFont="1" applyFill="1" applyBorder="1" applyProtection="1">
      <protection hidden="1"/>
    </xf>
    <xf numFmtId="0" fontId="7" fillId="4" borderId="0" xfId="0" applyFont="1" applyFill="1" applyAlignment="1" applyProtection="1">
      <alignment horizontal="right"/>
      <protection hidden="1"/>
    </xf>
    <xf numFmtId="0" fontId="39" fillId="4" borderId="1" xfId="0" quotePrefix="1" applyFont="1" applyFill="1" applyBorder="1"/>
    <xf numFmtId="0" fontId="6" fillId="4" borderId="20" xfId="0" applyFont="1" applyFill="1" applyBorder="1"/>
    <xf numFmtId="183" fontId="0" fillId="4" borderId="20" xfId="0" applyNumberFormat="1" applyFill="1" applyBorder="1"/>
    <xf numFmtId="0" fontId="16" fillId="4" borderId="20" xfId="0" applyFont="1" applyFill="1" applyBorder="1"/>
    <xf numFmtId="0" fontId="7" fillId="4" borderId="0" xfId="0" applyFont="1" applyFill="1" applyAlignment="1">
      <alignment horizontal="right"/>
    </xf>
    <xf numFmtId="0" fontId="0" fillId="4" borderId="0" xfId="0" quotePrefix="1" applyFill="1" applyAlignment="1" applyProtection="1">
      <alignment horizontal="left"/>
      <protection hidden="1"/>
    </xf>
    <xf numFmtId="0" fontId="7" fillId="4" borderId="20" xfId="0" applyFont="1" applyFill="1" applyBorder="1"/>
    <xf numFmtId="0" fontId="0" fillId="4" borderId="20" xfId="0" applyFill="1" applyBorder="1"/>
    <xf numFmtId="0" fontId="20" fillId="4" borderId="20" xfId="0" applyFont="1" applyFill="1" applyBorder="1"/>
    <xf numFmtId="184" fontId="7" fillId="4" borderId="0" xfId="0" applyNumberFormat="1" applyFont="1" applyFill="1" applyProtection="1">
      <protection hidden="1"/>
    </xf>
    <xf numFmtId="0" fontId="42" fillId="4" borderId="1" xfId="0" applyFont="1" applyFill="1" applyBorder="1"/>
    <xf numFmtId="0" fontId="7" fillId="10" borderId="0" xfId="8" applyNumberFormat="1" applyFont="1" applyFill="1" applyBorder="1" applyAlignment="1">
      <alignment horizontal="right"/>
    </xf>
    <xf numFmtId="9" fontId="7" fillId="4" borderId="0" xfId="26" applyFont="1" applyFill="1" applyBorder="1" applyProtection="1">
      <protection locked="0"/>
    </xf>
    <xf numFmtId="0" fontId="15" fillId="10" borderId="0" xfId="0" applyFont="1" applyFill="1"/>
    <xf numFmtId="185" fontId="7" fillId="4" borderId="0" xfId="0" applyNumberFormat="1" applyFont="1" applyFill="1" applyAlignment="1" applyProtection="1">
      <alignment horizontal="right"/>
      <protection locked="0"/>
    </xf>
    <xf numFmtId="0" fontId="42" fillId="4" borderId="65" xfId="0" applyFont="1" applyFill="1" applyBorder="1"/>
    <xf numFmtId="0" fontId="0" fillId="4" borderId="25" xfId="0" applyFill="1" applyBorder="1"/>
    <xf numFmtId="0" fontId="6" fillId="4" borderId="36" xfId="0" applyFont="1" applyFill="1" applyBorder="1"/>
    <xf numFmtId="0" fontId="7" fillId="0" borderId="46" xfId="0" applyFont="1" applyBorder="1"/>
    <xf numFmtId="0" fontId="7" fillId="0" borderId="46" xfId="0" applyFont="1" applyBorder="1" applyAlignment="1">
      <alignment horizontal="center"/>
    </xf>
    <xf numFmtId="0" fontId="7" fillId="0" borderId="45" xfId="0" applyFont="1" applyBorder="1" applyAlignment="1">
      <alignment horizontal="center"/>
    </xf>
    <xf numFmtId="0" fontId="7" fillId="4" borderId="43" xfId="0" applyFont="1" applyFill="1" applyBorder="1" applyAlignment="1">
      <alignment horizontal="left"/>
    </xf>
    <xf numFmtId="0" fontId="7" fillId="10" borderId="43" xfId="26" applyNumberFormat="1" applyFont="1" applyFill="1" applyBorder="1" applyAlignment="1">
      <alignment horizontal="right"/>
    </xf>
    <xf numFmtId="0" fontId="6" fillId="0" borderId="0" xfId="1" applyFill="1" applyBorder="1" applyAlignment="1">
      <alignment horizontal="right"/>
      <protection locked="0"/>
    </xf>
    <xf numFmtId="0" fontId="6" fillId="10" borderId="15" xfId="0" applyFont="1" applyFill="1" applyBorder="1" applyAlignment="1">
      <alignment horizontal="left"/>
    </xf>
    <xf numFmtId="0" fontId="11" fillId="10" borderId="16" xfId="0" applyFont="1" applyFill="1" applyBorder="1"/>
    <xf numFmtId="0" fontId="59" fillId="0" borderId="0" xfId="0" applyFont="1"/>
    <xf numFmtId="181" fontId="59" fillId="0" borderId="0" xfId="30" applyNumberFormat="1" applyFont="1"/>
    <xf numFmtId="43" fontId="0" fillId="0" borderId="0" xfId="6" applyFont="1" applyFill="1"/>
    <xf numFmtId="0" fontId="6" fillId="2" borderId="0" xfId="0" applyFont="1" applyFill="1" applyProtection="1">
      <protection locked="0"/>
    </xf>
    <xf numFmtId="0" fontId="6" fillId="0" borderId="0" xfId="0" applyFont="1" applyAlignment="1">
      <alignment wrapText="1"/>
    </xf>
    <xf numFmtId="0" fontId="6" fillId="0" borderId="0" xfId="0" applyFont="1" applyAlignment="1">
      <alignment horizontal="left"/>
    </xf>
    <xf numFmtId="183" fontId="6" fillId="0" borderId="0" xfId="8" applyNumberFormat="1" applyFont="1"/>
    <xf numFmtId="0" fontId="6" fillId="2" borderId="0" xfId="0" applyFont="1" applyFill="1" applyAlignment="1">
      <alignment horizontal="right"/>
    </xf>
    <xf numFmtId="0" fontId="6" fillId="2" borderId="7" xfId="0" applyFont="1" applyFill="1" applyBorder="1"/>
    <xf numFmtId="0" fontId="6" fillId="6" borderId="0" xfId="0" applyFont="1" applyFill="1" applyProtection="1">
      <protection hidden="1"/>
    </xf>
    <xf numFmtId="0" fontId="8" fillId="0" borderId="0" xfId="0" applyFont="1" applyAlignment="1">
      <alignment horizontal="center"/>
    </xf>
    <xf numFmtId="0" fontId="18" fillId="0" borderId="0" xfId="10" applyAlignment="1" applyProtection="1"/>
    <xf numFmtId="185" fontId="6" fillId="0" borderId="0" xfId="0" applyNumberFormat="1" applyFont="1"/>
    <xf numFmtId="0" fontId="6" fillId="0" borderId="9" xfId="0" applyFont="1" applyBorder="1" applyAlignment="1">
      <alignment horizontal="centerContinuous"/>
    </xf>
    <xf numFmtId="0" fontId="0" fillId="11" borderId="0" xfId="0" applyFill="1"/>
    <xf numFmtId="0" fontId="0" fillId="12" borderId="0" xfId="0" applyFill="1"/>
    <xf numFmtId="0" fontId="6" fillId="4" borderId="0" xfId="0" applyFont="1" applyFill="1" applyAlignment="1">
      <alignment horizontal="left" wrapText="1"/>
    </xf>
    <xf numFmtId="0" fontId="69" fillId="4" borderId="0" xfId="0" quotePrefix="1" applyFont="1" applyFill="1" applyAlignment="1">
      <alignment vertical="center" wrapText="1"/>
    </xf>
    <xf numFmtId="0" fontId="69" fillId="4" borderId="0" xfId="0" applyFont="1" applyFill="1"/>
    <xf numFmtId="0" fontId="14" fillId="4" borderId="25" xfId="0" applyFont="1" applyFill="1" applyBorder="1" applyAlignment="1">
      <alignment vertical="center"/>
    </xf>
    <xf numFmtId="0" fontId="14" fillId="4" borderId="2" xfId="0" applyFont="1" applyFill="1" applyBorder="1" applyAlignment="1">
      <alignment vertical="center"/>
    </xf>
    <xf numFmtId="0" fontId="14" fillId="4" borderId="16" xfId="0" applyFont="1" applyFill="1" applyBorder="1" applyAlignment="1">
      <alignment vertical="center"/>
    </xf>
    <xf numFmtId="0" fontId="70" fillId="4" borderId="0" xfId="0" applyFont="1" applyFill="1"/>
    <xf numFmtId="0" fontId="71" fillId="4" borderId="2" xfId="0" applyFont="1" applyFill="1" applyBorder="1" applyAlignment="1">
      <alignment horizontal="left"/>
    </xf>
    <xf numFmtId="0" fontId="11" fillId="10" borderId="15" xfId="0" applyFont="1" applyFill="1" applyBorder="1"/>
    <xf numFmtId="183" fontId="6" fillId="10" borderId="15" xfId="8" applyNumberFormat="1" applyFont="1" applyFill="1" applyBorder="1" applyProtection="1">
      <protection hidden="1"/>
    </xf>
    <xf numFmtId="0" fontId="6" fillId="4" borderId="0" xfId="0" applyFont="1" applyFill="1" applyAlignment="1">
      <alignment horizontal="right"/>
    </xf>
    <xf numFmtId="0" fontId="6" fillId="4" borderId="46" xfId="26" applyNumberFormat="1" applyFont="1" applyFill="1" applyBorder="1" applyAlignment="1">
      <alignment horizontal="right"/>
    </xf>
    <xf numFmtId="0" fontId="7" fillId="4" borderId="52" xfId="0" applyFont="1" applyFill="1" applyBorder="1"/>
    <xf numFmtId="176" fontId="7" fillId="4" borderId="52" xfId="0" applyNumberFormat="1" applyFont="1" applyFill="1" applyBorder="1"/>
    <xf numFmtId="0" fontId="7" fillId="4" borderId="53" xfId="0" applyFont="1" applyFill="1" applyBorder="1"/>
    <xf numFmtId="176" fontId="7" fillId="4" borderId="53" xfId="0" applyNumberFormat="1" applyFont="1" applyFill="1" applyBorder="1"/>
    <xf numFmtId="0" fontId="43" fillId="4" borderId="66" xfId="0" applyFont="1" applyFill="1" applyBorder="1"/>
    <xf numFmtId="176" fontId="50" fillId="4" borderId="66" xfId="0" applyNumberFormat="1" applyFont="1" applyFill="1" applyBorder="1"/>
    <xf numFmtId="0" fontId="6" fillId="4" borderId="0" xfId="0" quotePrefix="1" applyFont="1" applyFill="1"/>
    <xf numFmtId="0" fontId="6" fillId="4" borderId="15" xfId="0" quotePrefix="1" applyFont="1" applyFill="1" applyBorder="1"/>
    <xf numFmtId="183" fontId="0" fillId="4" borderId="0" xfId="8" applyNumberFormat="1" applyFont="1" applyFill="1" applyBorder="1" applyProtection="1">
      <protection hidden="1"/>
    </xf>
    <xf numFmtId="0" fontId="0" fillId="0" borderId="19" xfId="0" applyBorder="1" applyAlignment="1">
      <alignment horizontal="center"/>
    </xf>
    <xf numFmtId="9" fontId="0" fillId="12" borderId="0" xfId="26" applyFont="1" applyFill="1" applyAlignment="1">
      <alignment horizontal="right"/>
    </xf>
    <xf numFmtId="0" fontId="0" fillId="12" borderId="0" xfId="0" applyFill="1" applyAlignment="1">
      <alignment horizontal="right"/>
    </xf>
    <xf numFmtId="0" fontId="52" fillId="4" borderId="67" xfId="18" applyFill="1" applyBorder="1">
      <alignment vertical="center"/>
    </xf>
    <xf numFmtId="0" fontId="9" fillId="4" borderId="68" xfId="0" applyFont="1" applyFill="1" applyBorder="1"/>
    <xf numFmtId="0" fontId="7" fillId="12" borderId="68" xfId="0" applyFont="1" applyFill="1" applyBorder="1" applyAlignment="1">
      <alignment horizontal="right"/>
    </xf>
    <xf numFmtId="0" fontId="10" fillId="4" borderId="69" xfId="0" applyFont="1" applyFill="1" applyBorder="1" applyAlignment="1">
      <alignment vertical="center"/>
    </xf>
    <xf numFmtId="0" fontId="52" fillId="4" borderId="23" xfId="18" applyFill="1" applyBorder="1">
      <alignment vertical="center"/>
    </xf>
    <xf numFmtId="0" fontId="9" fillId="4" borderId="6" xfId="0" applyFont="1" applyFill="1" applyBorder="1"/>
    <xf numFmtId="0" fontId="10" fillId="4" borderId="26" xfId="0" applyFont="1" applyFill="1" applyBorder="1" applyAlignment="1">
      <alignment vertical="center"/>
    </xf>
    <xf numFmtId="0" fontId="6" fillId="0" borderId="0" xfId="28" applyFont="1"/>
    <xf numFmtId="0" fontId="9" fillId="0" borderId="0" xfId="28" applyFont="1"/>
    <xf numFmtId="184" fontId="27" fillId="4" borderId="0" xfId="0" applyNumberFormat="1" applyFont="1" applyFill="1" applyProtection="1">
      <protection hidden="1"/>
    </xf>
    <xf numFmtId="0" fontId="27" fillId="4" borderId="0" xfId="0" applyFont="1" applyFill="1" applyProtection="1">
      <protection hidden="1"/>
    </xf>
    <xf numFmtId="0" fontId="14" fillId="4" borderId="0" xfId="0" quotePrefix="1" applyFont="1" applyFill="1" applyAlignment="1" applyProtection="1">
      <alignment horizontal="left"/>
      <protection hidden="1"/>
    </xf>
    <xf numFmtId="0" fontId="27" fillId="4" borderId="0" xfId="0" quotePrefix="1" applyFont="1" applyFill="1" applyAlignment="1" applyProtection="1">
      <alignment horizontal="left"/>
      <protection hidden="1"/>
    </xf>
    <xf numFmtId="0" fontId="14" fillId="4" borderId="0" xfId="0" applyFont="1" applyFill="1"/>
    <xf numFmtId="0" fontId="14" fillId="4" borderId="0" xfId="0" applyFont="1" applyFill="1" applyProtection="1">
      <protection hidden="1"/>
    </xf>
    <xf numFmtId="0" fontId="6" fillId="9" borderId="0" xfId="0" applyFont="1" applyFill="1"/>
    <xf numFmtId="0" fontId="6" fillId="4" borderId="0" xfId="0" applyFont="1" applyFill="1" applyAlignment="1">
      <alignment horizontal="left"/>
    </xf>
    <xf numFmtId="181" fontId="6" fillId="0" borderId="0" xfId="6" applyNumberFormat="1" applyFont="1" applyProtection="1">
      <protection hidden="1"/>
    </xf>
    <xf numFmtId="0" fontId="0" fillId="13" borderId="0" xfId="0" applyFill="1"/>
    <xf numFmtId="0" fontId="6" fillId="0" borderId="15" xfId="0" applyFont="1" applyBorder="1" applyAlignment="1">
      <alignment wrapText="1"/>
    </xf>
    <xf numFmtId="0" fontId="6" fillId="10" borderId="0" xfId="0" applyFont="1" applyFill="1"/>
    <xf numFmtId="0" fontId="69" fillId="4" borderId="0" xfId="0" applyFont="1" applyFill="1" applyAlignment="1">
      <alignment vertical="center" wrapText="1"/>
    </xf>
    <xf numFmtId="0" fontId="6" fillId="0" borderId="1" xfId="0" applyFont="1" applyBorder="1"/>
    <xf numFmtId="0" fontId="9" fillId="0" borderId="15" xfId="0" applyFont="1" applyBorder="1"/>
    <xf numFmtId="0" fontId="8" fillId="0" borderId="0" xfId="0" applyFont="1" applyAlignment="1" applyProtection="1">
      <alignment horizontal="left"/>
      <protection hidden="1"/>
    </xf>
    <xf numFmtId="0" fontId="0" fillId="0" borderId="0" xfId="0" applyAlignment="1" applyProtection="1">
      <alignment horizontal="left"/>
      <protection hidden="1"/>
    </xf>
    <xf numFmtId="10" fontId="0" fillId="12" borderId="0" xfId="6" applyNumberFormat="1" applyFont="1" applyFill="1"/>
    <xf numFmtId="183" fontId="0" fillId="0" borderId="45" xfId="26" applyNumberFormat="1" applyFont="1" applyBorder="1" applyProtection="1">
      <protection locked="0"/>
    </xf>
    <xf numFmtId="183" fontId="43" fillId="0" borderId="38" xfId="8" applyNumberFormat="1" applyFont="1" applyBorder="1" applyProtection="1">
      <protection locked="0"/>
    </xf>
    <xf numFmtId="0" fontId="43" fillId="0" borderId="70" xfId="0" applyFont="1" applyBorder="1"/>
    <xf numFmtId="0" fontId="0" fillId="10" borderId="0" xfId="0" applyFill="1" applyAlignment="1">
      <alignment wrapText="1"/>
    </xf>
    <xf numFmtId="182" fontId="35" fillId="10" borderId="2" xfId="0" applyNumberFormat="1" applyFont="1" applyFill="1" applyBorder="1" applyAlignment="1" applyProtection="1">
      <alignment horizontal="left"/>
      <protection locked="0"/>
    </xf>
    <xf numFmtId="0" fontId="15" fillId="10" borderId="16" xfId="0" applyFont="1" applyFill="1" applyBorder="1" applyAlignment="1" applyProtection="1">
      <alignment horizontal="right"/>
      <protection locked="0"/>
    </xf>
    <xf numFmtId="0" fontId="60" fillId="0" borderId="0" xfId="0" applyFont="1" applyProtection="1">
      <protection hidden="1"/>
    </xf>
    <xf numFmtId="0" fontId="7" fillId="6" borderId="1" xfId="0" quotePrefix="1" applyFont="1" applyFill="1" applyBorder="1" applyAlignment="1" applyProtection="1">
      <alignment horizontal="left"/>
      <protection hidden="1"/>
    </xf>
    <xf numFmtId="0" fontId="11" fillId="0" borderId="36" xfId="0" applyFont="1" applyBorder="1" applyProtection="1">
      <protection hidden="1"/>
    </xf>
    <xf numFmtId="183" fontId="0" fillId="0" borderId="45" xfId="8" applyNumberFormat="1" applyFont="1" applyBorder="1" applyProtection="1">
      <protection locked="0"/>
    </xf>
    <xf numFmtId="183" fontId="0" fillId="0" borderId="46" xfId="8" applyNumberFormat="1" applyFont="1" applyBorder="1" applyProtection="1">
      <protection locked="0"/>
    </xf>
    <xf numFmtId="0" fontId="6" fillId="0" borderId="11" xfId="0" applyFont="1" applyBorder="1"/>
    <xf numFmtId="0" fontId="6" fillId="10" borderId="0" xfId="0" applyFont="1" applyFill="1" applyProtection="1">
      <protection hidden="1"/>
    </xf>
    <xf numFmtId="0" fontId="6" fillId="10" borderId="2" xfId="0" applyFont="1" applyFill="1" applyBorder="1" applyProtection="1">
      <protection hidden="1"/>
    </xf>
    <xf numFmtId="0" fontId="0" fillId="10" borderId="71" xfId="0" applyFill="1" applyBorder="1"/>
    <xf numFmtId="0" fontId="7" fillId="10" borderId="55" xfId="0" applyFont="1" applyFill="1" applyBorder="1"/>
    <xf numFmtId="0" fontId="7" fillId="10" borderId="55" xfId="0" applyFont="1" applyFill="1" applyBorder="1" applyAlignment="1">
      <alignment horizontal="right"/>
    </xf>
    <xf numFmtId="0" fontId="6" fillId="10" borderId="72" xfId="0" applyFont="1" applyFill="1" applyBorder="1"/>
    <xf numFmtId="188" fontId="6" fillId="0" borderId="0" xfId="0" applyNumberFormat="1" applyFont="1" applyProtection="1">
      <protection hidden="1"/>
    </xf>
    <xf numFmtId="0" fontId="73" fillId="0" borderId="0" xfId="32" applyNumberFormat="1" applyFont="1"/>
    <xf numFmtId="181" fontId="59" fillId="0" borderId="0" xfId="32" applyNumberFormat="1" applyFont="1"/>
    <xf numFmtId="0" fontId="59" fillId="0" borderId="0" xfId="32" applyNumberFormat="1" applyFont="1" applyAlignment="1">
      <alignment horizontal="left" indent="1"/>
    </xf>
    <xf numFmtId="181" fontId="59" fillId="15" borderId="20" xfId="32" applyNumberFormat="1" applyFont="1" applyFill="1" applyBorder="1"/>
    <xf numFmtId="181" fontId="59" fillId="15" borderId="0" xfId="32" applyNumberFormat="1" applyFont="1" applyFill="1"/>
    <xf numFmtId="181" fontId="73" fillId="0" borderId="18" xfId="32" applyNumberFormat="1" applyFont="1" applyFill="1" applyBorder="1" applyAlignment="1">
      <alignment horizontal="center" vertical="center" wrapText="1"/>
    </xf>
    <xf numFmtId="181" fontId="73" fillId="0" borderId="15" xfId="32" applyNumberFormat="1" applyFont="1" applyFill="1" applyBorder="1" applyAlignment="1">
      <alignment horizontal="center" vertical="center"/>
    </xf>
    <xf numFmtId="181" fontId="73" fillId="0" borderId="16" xfId="32" applyNumberFormat="1" applyFont="1" applyFill="1" applyBorder="1" applyAlignment="1">
      <alignment horizontal="center" vertical="center"/>
    </xf>
    <xf numFmtId="181" fontId="73" fillId="0" borderId="15" xfId="32" applyNumberFormat="1" applyFont="1" applyFill="1" applyBorder="1" applyAlignment="1">
      <alignment horizontal="center" vertical="center" wrapText="1"/>
    </xf>
    <xf numFmtId="181" fontId="59" fillId="15" borderId="15" xfId="32" applyNumberFormat="1" applyFont="1" applyFill="1" applyBorder="1"/>
    <xf numFmtId="0" fontId="59" fillId="0" borderId="16" xfId="32" applyNumberFormat="1" applyFont="1" applyBorder="1"/>
    <xf numFmtId="192" fontId="59" fillId="0" borderId="15" xfId="32" applyNumberFormat="1" applyFont="1" applyBorder="1" applyAlignment="1">
      <alignment horizontal="center"/>
    </xf>
    <xf numFmtId="2" fontId="59" fillId="0" borderId="16" xfId="32" applyNumberFormat="1" applyFont="1" applyBorder="1" applyAlignment="1">
      <alignment horizontal="center"/>
    </xf>
    <xf numFmtId="192" fontId="59" fillId="0" borderId="18" xfId="32" applyNumberFormat="1" applyFont="1" applyBorder="1" applyAlignment="1">
      <alignment horizontal="center"/>
    </xf>
    <xf numFmtId="192" fontId="59" fillId="0" borderId="16" xfId="32" applyNumberFormat="1" applyFont="1" applyBorder="1" applyAlignment="1">
      <alignment horizontal="center"/>
    </xf>
    <xf numFmtId="0" fontId="59" fillId="0" borderId="15" xfId="32" applyNumberFormat="1" applyFont="1" applyBorder="1"/>
    <xf numFmtId="181" fontId="59" fillId="0" borderId="15" xfId="32" applyNumberFormat="1" applyFont="1" applyBorder="1"/>
    <xf numFmtId="0" fontId="59" fillId="0" borderId="25" xfId="32" applyNumberFormat="1" applyFont="1" applyBorder="1"/>
    <xf numFmtId="192" fontId="59" fillId="0" borderId="20" xfId="32" applyNumberFormat="1" applyFont="1" applyBorder="1" applyAlignment="1">
      <alignment horizontal="center"/>
    </xf>
    <xf numFmtId="185" fontId="59" fillId="0" borderId="25" xfId="32" applyNumberFormat="1" applyFont="1" applyBorder="1" applyAlignment="1">
      <alignment horizontal="center"/>
    </xf>
    <xf numFmtId="192" fontId="59" fillId="0" borderId="17" xfId="32" applyNumberFormat="1" applyFont="1" applyBorder="1" applyAlignment="1">
      <alignment horizontal="center"/>
    </xf>
    <xf numFmtId="192" fontId="59" fillId="0" borderId="25" xfId="32" applyNumberFormat="1" applyFont="1" applyBorder="1" applyAlignment="1">
      <alignment horizontal="center"/>
    </xf>
    <xf numFmtId="0" fontId="59" fillId="0" borderId="17" xfId="32" applyNumberFormat="1" applyFont="1" applyBorder="1" applyAlignment="1">
      <alignment horizontal="center"/>
    </xf>
    <xf numFmtId="0" fontId="59" fillId="0" borderId="20" xfId="32" applyNumberFormat="1" applyFont="1" applyBorder="1"/>
    <xf numFmtId="181" fontId="59" fillId="0" borderId="20" xfId="32" applyNumberFormat="1" applyFont="1" applyBorder="1"/>
    <xf numFmtId="185" fontId="59" fillId="0" borderId="16" xfId="32" applyNumberFormat="1" applyFont="1" applyBorder="1" applyAlignment="1">
      <alignment horizontal="center"/>
    </xf>
    <xf numFmtId="0" fontId="59" fillId="0" borderId="18" xfId="32" applyNumberFormat="1" applyFont="1" applyBorder="1" applyAlignment="1">
      <alignment horizontal="center"/>
    </xf>
    <xf numFmtId="0" fontId="59" fillId="0" borderId="2" xfId="32" applyNumberFormat="1" applyFont="1" applyBorder="1"/>
    <xf numFmtId="192" fontId="59" fillId="0" borderId="0" xfId="32" applyNumberFormat="1" applyFont="1" applyAlignment="1">
      <alignment horizontal="center"/>
    </xf>
    <xf numFmtId="2" fontId="59" fillId="0" borderId="2" xfId="32" applyNumberFormat="1" applyFont="1" applyBorder="1" applyAlignment="1">
      <alignment horizontal="center"/>
    </xf>
    <xf numFmtId="2" fontId="59" fillId="0" borderId="0" xfId="32" applyNumberFormat="1" applyFont="1" applyBorder="1" applyAlignment="1">
      <alignment horizontal="center"/>
    </xf>
    <xf numFmtId="192" fontId="59" fillId="0" borderId="0" xfId="32" applyNumberFormat="1" applyFont="1" applyBorder="1" applyAlignment="1">
      <alignment horizontal="center"/>
    </xf>
    <xf numFmtId="192" fontId="59" fillId="0" borderId="2" xfId="32" applyNumberFormat="1" applyFont="1" applyBorder="1" applyAlignment="1">
      <alignment horizontal="center"/>
    </xf>
    <xf numFmtId="192" fontId="59" fillId="0" borderId="1" xfId="32" applyNumberFormat="1" applyFont="1" applyBorder="1" applyAlignment="1">
      <alignment horizontal="center"/>
    </xf>
    <xf numFmtId="0" fontId="59" fillId="0" borderId="0" xfId="32" applyNumberFormat="1" applyFont="1"/>
    <xf numFmtId="0" fontId="18" fillId="4" borderId="0" xfId="10" applyFill="1" applyAlignment="1" applyProtection="1">
      <alignment vertical="center" wrapText="1"/>
    </xf>
    <xf numFmtId="193" fontId="59" fillId="0" borderId="15" xfId="32" applyNumberFormat="1" applyFont="1" applyBorder="1" applyAlignment="1">
      <alignment horizontal="center"/>
    </xf>
    <xf numFmtId="9" fontId="6" fillId="2" borderId="0" xfId="0" applyNumberFormat="1" applyFont="1" applyFill="1"/>
    <xf numFmtId="0" fontId="59" fillId="0" borderId="0" xfId="0" applyFont="1" applyAlignment="1">
      <alignment horizontal="left" indent="1"/>
    </xf>
    <xf numFmtId="0" fontId="6" fillId="6" borderId="0" xfId="0" applyFont="1" applyFill="1"/>
    <xf numFmtId="0" fontId="6" fillId="6" borderId="0" xfId="0" applyFont="1" applyFill="1" applyProtection="1">
      <protection locked="0"/>
    </xf>
    <xf numFmtId="0" fontId="6" fillId="6" borderId="1" xfId="0" quotePrefix="1" applyFont="1" applyFill="1" applyBorder="1" applyAlignment="1" applyProtection="1">
      <alignment horizontal="left"/>
      <protection hidden="1"/>
    </xf>
    <xf numFmtId="0" fontId="6" fillId="0" borderId="15" xfId="0" applyFont="1" applyBorder="1"/>
    <xf numFmtId="182" fontId="10" fillId="3" borderId="26" xfId="0" applyNumberFormat="1" applyFont="1" applyFill="1" applyBorder="1" applyAlignment="1" applyProtection="1">
      <alignment horizontal="left" vertical="center"/>
      <protection locked="0"/>
    </xf>
    <xf numFmtId="0" fontId="6" fillId="12" borderId="0" xfId="0" applyFont="1" applyFill="1" applyAlignment="1">
      <alignment horizontal="right"/>
    </xf>
    <xf numFmtId="0" fontId="60" fillId="0" borderId="0" xfId="0" applyFont="1" applyAlignment="1">
      <alignment vertical="center"/>
    </xf>
    <xf numFmtId="183" fontId="6" fillId="0" borderId="0" xfId="8" applyNumberFormat="1" applyFont="1" applyFill="1" applyBorder="1"/>
    <xf numFmtId="0" fontId="0" fillId="15" borderId="0" xfId="0" applyFill="1"/>
    <xf numFmtId="194" fontId="6" fillId="2" borderId="0" xfId="6" applyNumberFormat="1" applyFont="1" applyFill="1"/>
    <xf numFmtId="0" fontId="16" fillId="4" borderId="0" xfId="0" applyFont="1" applyFill="1"/>
    <xf numFmtId="185" fontId="0" fillId="2" borderId="0" xfId="0" applyNumberFormat="1" applyFill="1" applyProtection="1">
      <protection locked="0"/>
    </xf>
    <xf numFmtId="0" fontId="43" fillId="4" borderId="40" xfId="0" applyFont="1" applyFill="1" applyBorder="1" applyAlignment="1">
      <alignment horizontal="right"/>
    </xf>
    <xf numFmtId="9" fontId="6" fillId="0" borderId="0" xfId="26" quotePrefix="1" applyFont="1"/>
    <xf numFmtId="0" fontId="69" fillId="4" borderId="0" xfId="0" quotePrefix="1" applyFont="1" applyFill="1"/>
    <xf numFmtId="0" fontId="6" fillId="10" borderId="0" xfId="0" applyFont="1" applyFill="1" applyAlignment="1">
      <alignment horizontal="left"/>
    </xf>
    <xf numFmtId="185" fontId="11" fillId="2" borderId="0" xfId="0" applyNumberFormat="1" applyFont="1" applyFill="1" applyAlignment="1" applyProtection="1">
      <alignment horizontal="right"/>
      <protection locked="0"/>
    </xf>
    <xf numFmtId="0" fontId="75" fillId="4" borderId="0" xfId="0" applyFont="1" applyFill="1"/>
    <xf numFmtId="0" fontId="14" fillId="4" borderId="0" xfId="0" applyFont="1" applyFill="1" applyAlignment="1" applyProtection="1">
      <alignment horizontal="right"/>
      <protection locked="0"/>
    </xf>
    <xf numFmtId="0" fontId="6" fillId="11" borderId="0" xfId="0" applyFont="1" applyFill="1"/>
    <xf numFmtId="0" fontId="11" fillId="11" borderId="0" xfId="0" applyFont="1" applyFill="1"/>
    <xf numFmtId="2" fontId="6" fillId="0" borderId="0" xfId="0" applyNumberFormat="1" applyFont="1" applyAlignment="1">
      <alignment horizontal="right"/>
    </xf>
    <xf numFmtId="0" fontId="6" fillId="12" borderId="0" xfId="0" applyFont="1" applyFill="1" applyAlignment="1">
      <alignment horizontal="left"/>
    </xf>
    <xf numFmtId="0" fontId="0" fillId="10" borderId="73" xfId="0" applyFill="1" applyBorder="1" applyProtection="1">
      <protection hidden="1"/>
    </xf>
    <xf numFmtId="189" fontId="11" fillId="10" borderId="0" xfId="6" applyNumberFormat="1" applyFont="1" applyFill="1" applyBorder="1" applyProtection="1">
      <protection hidden="1"/>
    </xf>
    <xf numFmtId="0" fontId="59" fillId="2" borderId="0" xfId="0" applyFont="1" applyFill="1"/>
    <xf numFmtId="181" fontId="59" fillId="2" borderId="0" xfId="6" applyNumberFormat="1" applyFont="1" applyFill="1"/>
    <xf numFmtId="9" fontId="59" fillId="2" borderId="0" xfId="26" applyFont="1" applyFill="1"/>
    <xf numFmtId="185" fontId="59" fillId="2" borderId="0" xfId="6" applyNumberFormat="1" applyFont="1" applyFill="1"/>
    <xf numFmtId="0" fontId="73" fillId="0" borderId="0" xfId="33" applyFont="1"/>
    <xf numFmtId="0" fontId="59" fillId="0" borderId="0" xfId="33" applyFont="1"/>
    <xf numFmtId="0" fontId="14" fillId="0" borderId="0" xfId="33" applyFont="1"/>
    <xf numFmtId="0" fontId="59" fillId="0" borderId="0" xfId="28" applyFont="1"/>
    <xf numFmtId="0" fontId="6" fillId="10" borderId="0" xfId="0" quotePrefix="1" applyFont="1" applyFill="1" applyAlignment="1" applyProtection="1">
      <alignment horizontal="left"/>
      <protection hidden="1"/>
    </xf>
    <xf numFmtId="0" fontId="6" fillId="0" borderId="0" xfId="0" applyFont="1" applyAlignment="1">
      <alignment horizontal="centerContinuous"/>
    </xf>
    <xf numFmtId="0" fontId="6" fillId="0" borderId="0" xfId="8" applyNumberFormat="1" applyFont="1" applyAlignment="1">
      <alignment horizontal="right"/>
    </xf>
    <xf numFmtId="0" fontId="6" fillId="0" borderId="0" xfId="26" applyNumberFormat="1" applyFont="1" applyFill="1"/>
    <xf numFmtId="0" fontId="6" fillId="4" borderId="0" xfId="0" applyFont="1" applyFill="1" applyProtection="1">
      <protection hidden="1"/>
    </xf>
    <xf numFmtId="0" fontId="6" fillId="10" borderId="0" xfId="0" applyFont="1" applyFill="1" applyAlignment="1">
      <alignment wrapText="1"/>
    </xf>
    <xf numFmtId="183" fontId="6" fillId="10" borderId="0" xfId="0" applyNumberFormat="1" applyFont="1" applyFill="1"/>
    <xf numFmtId="0" fontId="6" fillId="0" borderId="0" xfId="1" applyFill="1" applyAlignment="1">
      <protection locked="0"/>
    </xf>
    <xf numFmtId="0" fontId="0" fillId="0" borderId="73" xfId="0" applyBorder="1"/>
    <xf numFmtId="2" fontId="6" fillId="0" borderId="0" xfId="0" applyNumberFormat="1" applyFont="1"/>
    <xf numFmtId="183" fontId="11" fillId="10" borderId="15" xfId="8" applyNumberFormat="1" applyFont="1" applyFill="1" applyBorder="1" applyProtection="1">
      <protection hidden="1"/>
    </xf>
    <xf numFmtId="0" fontId="9" fillId="0" borderId="15" xfId="0" applyFont="1" applyBorder="1" applyAlignment="1">
      <alignment horizontal="left"/>
    </xf>
    <xf numFmtId="3" fontId="0" fillId="0" borderId="0" xfId="0" applyNumberFormat="1"/>
    <xf numFmtId="0" fontId="7" fillId="0" borderId="20" xfId="0" applyFont="1" applyBorder="1"/>
    <xf numFmtId="0" fontId="7" fillId="19" borderId="20" xfId="0" applyFont="1" applyFill="1" applyBorder="1"/>
    <xf numFmtId="4" fontId="0" fillId="0" borderId="0" xfId="0" applyNumberFormat="1"/>
    <xf numFmtId="0" fontId="6" fillId="0" borderId="15" xfId="0" applyFont="1" applyBorder="1" applyAlignment="1">
      <alignment horizontal="center"/>
    </xf>
    <xf numFmtId="0" fontId="9" fillId="16" borderId="20" xfId="0" applyFont="1" applyFill="1" applyBorder="1"/>
    <xf numFmtId="0" fontId="7" fillId="16" borderId="20" xfId="0" applyFont="1" applyFill="1" applyBorder="1"/>
    <xf numFmtId="0" fontId="0" fillId="16" borderId="20" xfId="0" applyFill="1" applyBorder="1"/>
    <xf numFmtId="1" fontId="0" fillId="16" borderId="20" xfId="0" applyNumberFormat="1" applyFill="1" applyBorder="1"/>
    <xf numFmtId="0" fontId="0" fillId="0" borderId="55" xfId="0" applyBorder="1"/>
    <xf numFmtId="4" fontId="0" fillId="0" borderId="55" xfId="0" applyNumberFormat="1" applyBorder="1"/>
    <xf numFmtId="0" fontId="0" fillId="0" borderId="55" xfId="0" applyBorder="1" applyAlignment="1">
      <alignment horizontal="right"/>
    </xf>
    <xf numFmtId="0" fontId="6" fillId="0" borderId="55" xfId="0" applyFont="1" applyBorder="1"/>
    <xf numFmtId="4" fontId="0" fillId="0" borderId="20" xfId="0" applyNumberFormat="1" applyBorder="1"/>
    <xf numFmtId="0" fontId="0" fillId="0" borderId="20" xfId="0" applyBorder="1" applyAlignment="1">
      <alignment horizontal="right"/>
    </xf>
    <xf numFmtId="4" fontId="0" fillId="0" borderId="15" xfId="0" applyNumberFormat="1" applyBorder="1"/>
    <xf numFmtId="0" fontId="6" fillId="0" borderId="20" xfId="0" applyFont="1" applyBorder="1"/>
    <xf numFmtId="0" fontId="6" fillId="19" borderId="55" xfId="0" applyFont="1" applyFill="1" applyBorder="1"/>
    <xf numFmtId="1" fontId="6" fillId="0" borderId="15" xfId="0" applyNumberFormat="1" applyFont="1" applyBorder="1" applyAlignment="1">
      <alignment horizontal="center"/>
    </xf>
    <xf numFmtId="0" fontId="7" fillId="0" borderId="71" xfId="0" applyFont="1" applyBorder="1"/>
    <xf numFmtId="0" fontId="9" fillId="0" borderId="55" xfId="0" applyFont="1" applyBorder="1"/>
    <xf numFmtId="0" fontId="0" fillId="0" borderId="72" xfId="0" applyBorder="1"/>
    <xf numFmtId="1" fontId="6" fillId="0" borderId="15" xfId="0" applyNumberFormat="1" applyFont="1" applyBorder="1"/>
    <xf numFmtId="0" fontId="0" fillId="19" borderId="0" xfId="0" applyFill="1"/>
    <xf numFmtId="3" fontId="7" fillId="0" borderId="20" xfId="0" applyNumberFormat="1" applyFont="1" applyBorder="1"/>
    <xf numFmtId="0" fontId="76" fillId="0" borderId="0" xfId="0" applyFont="1"/>
    <xf numFmtId="3" fontId="6" fillId="0" borderId="0" xfId="0" applyNumberFormat="1" applyFont="1"/>
    <xf numFmtId="0" fontId="9" fillId="19" borderId="20" xfId="0" applyFont="1" applyFill="1" applyBorder="1"/>
    <xf numFmtId="0" fontId="0" fillId="19" borderId="20" xfId="0" applyFill="1" applyBorder="1"/>
    <xf numFmtId="1" fontId="0" fillId="19" borderId="20" xfId="0" applyNumberFormat="1" applyFill="1" applyBorder="1"/>
    <xf numFmtId="4" fontId="6" fillId="0" borderId="0" xfId="0" applyNumberFormat="1" applyFont="1"/>
    <xf numFmtId="4" fontId="6" fillId="0" borderId="0" xfId="8" applyNumberFormat="1" applyFont="1"/>
    <xf numFmtId="0" fontId="9" fillId="16" borderId="20" xfId="0" applyFont="1" applyFill="1" applyBorder="1" applyAlignment="1">
      <alignment horizontal="left"/>
    </xf>
    <xf numFmtId="188" fontId="21" fillId="19" borderId="20" xfId="0" applyNumberFormat="1" applyFont="1" applyFill="1" applyBorder="1"/>
    <xf numFmtId="177" fontId="0" fillId="0" borderId="15" xfId="0" applyNumberFormat="1" applyBorder="1"/>
    <xf numFmtId="0" fontId="77" fillId="5" borderId="0" xfId="0" applyFont="1" applyFill="1"/>
    <xf numFmtId="0" fontId="78" fillId="5" borderId="0" xfId="0" applyFont="1" applyFill="1"/>
    <xf numFmtId="0" fontId="79" fillId="5" borderId="0" xfId="0" applyFont="1" applyFill="1"/>
    <xf numFmtId="0" fontId="9" fillId="0" borderId="15" xfId="0" applyFont="1" applyBorder="1" applyAlignment="1">
      <alignment horizontal="center"/>
    </xf>
    <xf numFmtId="190" fontId="0" fillId="0" borderId="0" xfId="0" applyNumberFormat="1"/>
    <xf numFmtId="0" fontId="9" fillId="5" borderId="0" xfId="0" applyFont="1" applyFill="1"/>
    <xf numFmtId="0" fontId="0" fillId="5" borderId="0" xfId="0" applyFill="1"/>
    <xf numFmtId="0" fontId="13" fillId="0" borderId="55" xfId="0" applyFont="1" applyBorder="1" applyAlignment="1">
      <alignment horizontal="left"/>
    </xf>
    <xf numFmtId="0" fontId="30" fillId="0" borderId="55" xfId="0" applyFont="1" applyBorder="1"/>
    <xf numFmtId="0" fontId="14" fillId="0" borderId="55" xfId="0" applyFont="1" applyBorder="1"/>
    <xf numFmtId="0" fontId="13" fillId="0" borderId="55" xfId="0" applyFont="1" applyBorder="1"/>
    <xf numFmtId="3" fontId="0" fillId="0" borderId="15" xfId="0" applyNumberFormat="1" applyBorder="1"/>
    <xf numFmtId="0" fontId="0" fillId="0" borderId="0" xfId="0" applyAlignment="1">
      <alignment horizontal="center" wrapText="1"/>
    </xf>
    <xf numFmtId="0" fontId="7" fillId="10" borderId="0" xfId="34" applyFont="1" applyFill="1" applyAlignment="1">
      <alignment horizontal="center" vertical="center"/>
    </xf>
    <xf numFmtId="0" fontId="6" fillId="10" borderId="0" xfId="34" applyFill="1"/>
    <xf numFmtId="49" fontId="6" fillId="10" borderId="15" xfId="34" applyNumberFormat="1" applyFill="1" applyBorder="1" applyAlignment="1">
      <alignment horizontal="center" vertical="center"/>
    </xf>
    <xf numFmtId="0" fontId="81" fillId="10" borderId="0" xfId="34" applyFont="1" applyFill="1" applyAlignment="1">
      <alignment horizontal="left" vertical="center"/>
    </xf>
    <xf numFmtId="0" fontId="6" fillId="10" borderId="0" xfId="34" applyFill="1" applyAlignment="1">
      <alignment vertical="center"/>
    </xf>
    <xf numFmtId="0" fontId="6" fillId="10" borderId="0" xfId="34" applyFill="1" applyAlignment="1">
      <alignment vertical="center" wrapText="1"/>
    </xf>
    <xf numFmtId="0" fontId="6" fillId="10" borderId="0" xfId="34" applyFill="1" applyAlignment="1">
      <alignment horizontal="left" vertical="center" indent="2"/>
    </xf>
    <xf numFmtId="0" fontId="18" fillId="10" borderId="0" xfId="29" applyFill="1" applyAlignment="1" applyProtection="1">
      <alignment vertical="center"/>
    </xf>
    <xf numFmtId="183" fontId="6" fillId="0" borderId="0" xfId="8" applyNumberFormat="1" applyFill="1"/>
    <xf numFmtId="187" fontId="0" fillId="0" borderId="0" xfId="26" applyNumberFormat="1" applyFont="1" applyFill="1"/>
    <xf numFmtId="0" fontId="80" fillId="0" borderId="0" xfId="0" applyFont="1"/>
    <xf numFmtId="10" fontId="0" fillId="0" borderId="0" xfId="0" applyNumberFormat="1"/>
    <xf numFmtId="9" fontId="6" fillId="0" borderId="0" xfId="26" applyFill="1"/>
    <xf numFmtId="10" fontId="0" fillId="0" borderId="0" xfId="26" applyNumberFormat="1" applyFont="1" applyFill="1"/>
    <xf numFmtId="0" fontId="6" fillId="0" borderId="0" xfId="10" applyFont="1" applyFill="1" applyAlignment="1" applyProtection="1"/>
    <xf numFmtId="185" fontId="0" fillId="0" borderId="0" xfId="0" applyNumberFormat="1" applyAlignment="1">
      <alignment horizontal="center"/>
    </xf>
    <xf numFmtId="1" fontId="0" fillId="0" borderId="0" xfId="0" applyNumberFormat="1" applyAlignment="1">
      <alignment horizontal="center"/>
    </xf>
    <xf numFmtId="195" fontId="0" fillId="0" borderId="0" xfId="0" applyNumberFormat="1"/>
    <xf numFmtId="10" fontId="7" fillId="0" borderId="0" xfId="0" applyNumberFormat="1" applyFont="1"/>
    <xf numFmtId="10" fontId="8" fillId="0" borderId="0" xfId="0" applyNumberFormat="1" applyFont="1"/>
    <xf numFmtId="195" fontId="8" fillId="0" borderId="0" xfId="0" applyNumberFormat="1" applyFont="1"/>
    <xf numFmtId="1" fontId="0" fillId="0" borderId="0" xfId="6" applyNumberFormat="1" applyFont="1" applyFill="1"/>
    <xf numFmtId="10" fontId="6" fillId="0" borderId="0" xfId="0" applyNumberFormat="1" applyFont="1"/>
    <xf numFmtId="195" fontId="6" fillId="0" borderId="0" xfId="0" applyNumberFormat="1" applyFont="1"/>
    <xf numFmtId="22" fontId="0" fillId="0" borderId="0" xfId="0" applyNumberFormat="1"/>
    <xf numFmtId="0" fontId="6" fillId="14" borderId="0" xfId="0" applyFont="1" applyFill="1" applyAlignment="1">
      <alignment horizontal="left" indent="1"/>
    </xf>
    <xf numFmtId="0" fontId="9" fillId="14" borderId="0" xfId="0" applyFont="1" applyFill="1"/>
    <xf numFmtId="179" fontId="6" fillId="14" borderId="0" xfId="8" applyFont="1" applyFill="1"/>
    <xf numFmtId="0" fontId="6" fillId="14" borderId="0" xfId="0" quotePrefix="1" applyFont="1" applyFill="1"/>
    <xf numFmtId="0" fontId="0" fillId="14" borderId="0" xfId="0" applyFill="1" applyAlignment="1">
      <alignment horizontal="left" indent="1"/>
    </xf>
    <xf numFmtId="179" fontId="0" fillId="14" borderId="0" xfId="8" applyFont="1" applyFill="1" applyAlignment="1">
      <alignment horizontal="right"/>
    </xf>
    <xf numFmtId="0" fontId="6" fillId="14" borderId="0" xfId="0" applyFont="1" applyFill="1"/>
    <xf numFmtId="181" fontId="0" fillId="14" borderId="0" xfId="6" applyNumberFormat="1" applyFont="1" applyFill="1" applyAlignment="1">
      <alignment horizontal="right"/>
    </xf>
    <xf numFmtId="0" fontId="0" fillId="14" borderId="0" xfId="0" applyFill="1"/>
    <xf numFmtId="0" fontId="14" fillId="14" borderId="0" xfId="0" applyFont="1" applyFill="1"/>
    <xf numFmtId="179" fontId="11" fillId="14" borderId="0" xfId="8" applyFont="1" applyFill="1"/>
    <xf numFmtId="3" fontId="0" fillId="14" borderId="0" xfId="0" applyNumberFormat="1" applyFill="1"/>
    <xf numFmtId="0" fontId="0" fillId="14" borderId="0" xfId="0" applyFill="1" applyAlignment="1">
      <alignment horizontal="right"/>
    </xf>
    <xf numFmtId="4" fontId="6" fillId="14" borderId="0" xfId="8" applyNumberFormat="1" applyFont="1" applyFill="1"/>
    <xf numFmtId="179" fontId="0" fillId="14" borderId="0" xfId="0" applyNumberFormat="1" applyFill="1"/>
    <xf numFmtId="0" fontId="0" fillId="14" borderId="0" xfId="0" quotePrefix="1" applyFill="1"/>
    <xf numFmtId="2" fontId="0" fillId="14" borderId="0" xfId="0" applyNumberFormat="1" applyFill="1" applyAlignment="1">
      <alignment horizontal="center" vertical="center"/>
    </xf>
    <xf numFmtId="0" fontId="15" fillId="4"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0" fillId="0" borderId="18" xfId="0" applyBorder="1" applyAlignment="1">
      <alignment wrapText="1"/>
    </xf>
    <xf numFmtId="0" fontId="0" fillId="0" borderId="16" xfId="0" applyBorder="1" applyAlignment="1">
      <alignment wrapText="1"/>
    </xf>
    <xf numFmtId="0" fontId="34" fillId="4" borderId="0" xfId="0" applyFont="1" applyFill="1" applyAlignment="1">
      <alignment horizontal="left" vertical="center"/>
    </xf>
    <xf numFmtId="0" fontId="0" fillId="0" borderId="0" xfId="0"/>
    <xf numFmtId="0" fontId="27" fillId="4" borderId="0" xfId="0" applyFont="1" applyFill="1" applyAlignment="1">
      <alignment wrapText="1"/>
    </xf>
    <xf numFmtId="0" fontId="11" fillId="4" borderId="0" xfId="0" applyFont="1" applyFill="1" applyAlignment="1">
      <alignment wrapText="1"/>
    </xf>
    <xf numFmtId="0" fontId="7" fillId="4" borderId="56" xfId="0" applyFont="1" applyFill="1" applyBorder="1" applyAlignment="1">
      <alignment horizontal="center"/>
    </xf>
    <xf numFmtId="0" fontId="7" fillId="4" borderId="59" xfId="0" applyFont="1" applyFill="1" applyBorder="1" applyAlignment="1">
      <alignment horizontal="center"/>
    </xf>
    <xf numFmtId="0" fontId="7" fillId="4" borderId="62" xfId="0" applyFont="1" applyFill="1" applyBorder="1" applyAlignment="1">
      <alignment horizontal="center"/>
    </xf>
    <xf numFmtId="0" fontId="7" fillId="4" borderId="57" xfId="0" applyFont="1" applyFill="1" applyBorder="1" applyAlignment="1">
      <alignment horizontal="center"/>
    </xf>
    <xf numFmtId="0" fontId="7" fillId="4" borderId="60" xfId="0" applyFont="1" applyFill="1" applyBorder="1" applyAlignment="1">
      <alignment horizontal="center"/>
    </xf>
    <xf numFmtId="0" fontId="7" fillId="4" borderId="63" xfId="0" applyFont="1" applyFill="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27" fillId="4" borderId="0" xfId="0" applyFont="1" applyFill="1" applyAlignment="1">
      <alignment vertical="center" wrapText="1"/>
    </xf>
    <xf numFmtId="0" fontId="27" fillId="4" borderId="2" xfId="0" applyFont="1" applyFill="1" applyBorder="1" applyAlignment="1">
      <alignment vertical="center" wrapText="1"/>
    </xf>
    <xf numFmtId="0" fontId="7" fillId="0" borderId="46" xfId="0" applyFont="1" applyBorder="1" applyAlignment="1">
      <alignment horizontal="center"/>
    </xf>
    <xf numFmtId="0" fontId="7" fillId="4" borderId="58" xfId="0" applyFont="1" applyFill="1" applyBorder="1" applyAlignment="1">
      <alignment horizontal="center"/>
    </xf>
    <xf numFmtId="0" fontId="7" fillId="4" borderId="61" xfId="0" applyFont="1" applyFill="1" applyBorder="1" applyAlignment="1">
      <alignment horizontal="center"/>
    </xf>
    <xf numFmtId="0" fontId="7" fillId="4" borderId="64" xfId="0" applyFont="1" applyFill="1" applyBorder="1" applyAlignment="1">
      <alignment horizontal="center"/>
    </xf>
    <xf numFmtId="0" fontId="7" fillId="4" borderId="57" xfId="0" applyFont="1" applyFill="1" applyBorder="1" applyAlignment="1">
      <alignment horizontal="center" wrapText="1"/>
    </xf>
    <xf numFmtId="0" fontId="7" fillId="4" borderId="60" xfId="0" applyFont="1" applyFill="1" applyBorder="1" applyAlignment="1">
      <alignment horizontal="center" wrapText="1"/>
    </xf>
    <xf numFmtId="0" fontId="7" fillId="4" borderId="63" xfId="0" applyFont="1" applyFill="1" applyBorder="1" applyAlignment="1">
      <alignment horizontal="center" wrapText="1"/>
    </xf>
    <xf numFmtId="3" fontId="11" fillId="0" borderId="0" xfId="24" applyNumberFormat="1" applyAlignment="1">
      <alignment horizontal="center"/>
    </xf>
    <xf numFmtId="0" fontId="73" fillId="14" borderId="71" xfId="32" applyNumberFormat="1" applyFont="1" applyFill="1" applyBorder="1" applyAlignment="1">
      <alignment horizontal="center" vertical="center" wrapText="1"/>
    </xf>
    <xf numFmtId="0" fontId="73" fillId="14" borderId="55" xfId="32" applyNumberFormat="1" applyFont="1" applyFill="1" applyBorder="1" applyAlignment="1">
      <alignment horizontal="center" vertical="center" wrapText="1"/>
    </xf>
    <xf numFmtId="0" fontId="73" fillId="14" borderId="72"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xf>
    <xf numFmtId="181" fontId="73" fillId="15" borderId="2" xfId="32" applyNumberFormat="1" applyFont="1" applyFill="1" applyBorder="1" applyAlignment="1">
      <alignment horizontal="center" vertical="center"/>
    </xf>
    <xf numFmtId="181" fontId="73" fillId="15" borderId="20" xfId="32" applyNumberFormat="1" applyFont="1" applyFill="1" applyBorder="1" applyAlignment="1">
      <alignment horizontal="center" vertical="center" wrapText="1"/>
    </xf>
    <xf numFmtId="181" fontId="73" fillId="15" borderId="0" xfId="32" applyNumberFormat="1" applyFont="1" applyFill="1" applyBorder="1" applyAlignment="1">
      <alignment horizontal="center" vertical="center" wrapText="1"/>
    </xf>
    <xf numFmtId="181" fontId="73" fillId="15" borderId="15" xfId="32" applyNumberFormat="1" applyFont="1" applyFill="1" applyBorder="1" applyAlignment="1">
      <alignment horizontal="center" vertical="center" wrapText="1"/>
    </xf>
    <xf numFmtId="181" fontId="73" fillId="15" borderId="25" xfId="32" applyNumberFormat="1" applyFont="1" applyFill="1" applyBorder="1" applyAlignment="1">
      <alignment horizontal="center" vertical="center" wrapText="1"/>
    </xf>
    <xf numFmtId="181" fontId="73" fillId="15" borderId="2" xfId="32" applyNumberFormat="1" applyFont="1" applyFill="1" applyBorder="1" applyAlignment="1">
      <alignment horizontal="center" vertical="center" wrapText="1"/>
    </xf>
    <xf numFmtId="181" fontId="73" fillId="0" borderId="1" xfId="32" applyNumberFormat="1" applyFont="1" applyFill="1" applyBorder="1" applyAlignment="1">
      <alignment horizontal="center"/>
    </xf>
    <xf numFmtId="181" fontId="73" fillId="0" borderId="0" xfId="32" applyNumberFormat="1" applyFont="1" applyFill="1" applyBorder="1" applyAlignment="1">
      <alignment horizontal="center"/>
    </xf>
    <xf numFmtId="181" fontId="73" fillId="0" borderId="2" xfId="32" applyNumberFormat="1" applyFont="1" applyFill="1" applyBorder="1" applyAlignment="1">
      <alignment horizontal="center"/>
    </xf>
    <xf numFmtId="0" fontId="73" fillId="16" borderId="71" xfId="32" applyNumberFormat="1" applyFont="1" applyFill="1" applyBorder="1" applyAlignment="1">
      <alignment horizontal="left"/>
    </xf>
    <xf numFmtId="0" fontId="73" fillId="16" borderId="55" xfId="32" applyNumberFormat="1" applyFont="1" applyFill="1" applyBorder="1" applyAlignment="1">
      <alignment horizontal="left"/>
    </xf>
    <xf numFmtId="0" fontId="73" fillId="16" borderId="72" xfId="32" applyNumberFormat="1" applyFont="1" applyFill="1" applyBorder="1" applyAlignment="1">
      <alignment horizontal="left"/>
    </xf>
    <xf numFmtId="0" fontId="73" fillId="17" borderId="71" xfId="32" applyNumberFormat="1" applyFont="1" applyFill="1" applyBorder="1" applyAlignment="1">
      <alignment horizontal="left"/>
    </xf>
    <xf numFmtId="0" fontId="73" fillId="17" borderId="55" xfId="32" applyNumberFormat="1" applyFont="1" applyFill="1" applyBorder="1" applyAlignment="1">
      <alignment horizontal="left"/>
    </xf>
    <xf numFmtId="0" fontId="73" fillId="18" borderId="71" xfId="32" applyNumberFormat="1" applyFont="1" applyFill="1" applyBorder="1" applyAlignment="1">
      <alignment horizontal="left"/>
    </xf>
    <xf numFmtId="0" fontId="73" fillId="18" borderId="55" xfId="32" applyNumberFormat="1" applyFont="1" applyFill="1" applyBorder="1" applyAlignment="1">
      <alignment horizontal="left"/>
    </xf>
    <xf numFmtId="0" fontId="73" fillId="18" borderId="72" xfId="32" applyNumberFormat="1" applyFont="1" applyFill="1" applyBorder="1" applyAlignment="1">
      <alignment horizontal="left"/>
    </xf>
    <xf numFmtId="181" fontId="73" fillId="15" borderId="17" xfId="32" applyNumberFormat="1" applyFont="1" applyFill="1" applyBorder="1" applyAlignment="1">
      <alignment horizontal="left" vertical="center"/>
    </xf>
    <xf numFmtId="181" fontId="73" fillId="15" borderId="1" xfId="32" applyNumberFormat="1" applyFont="1" applyFill="1" applyBorder="1" applyAlignment="1">
      <alignment horizontal="left" vertical="center"/>
    </xf>
    <xf numFmtId="0" fontId="0" fillId="0" borderId="0" xfId="0" applyAlignment="1">
      <alignment horizontal="center" wrapText="1"/>
    </xf>
    <xf numFmtId="0" fontId="19" fillId="6" borderId="0" xfId="0" applyFont="1" applyFill="1" applyAlignment="1">
      <alignment horizontal="center"/>
    </xf>
    <xf numFmtId="0" fontId="19" fillId="6" borderId="2" xfId="0" applyFont="1" applyFill="1" applyBorder="1" applyAlignment="1">
      <alignment horizontal="center"/>
    </xf>
    <xf numFmtId="185" fontId="19" fillId="6" borderId="1" xfId="0" applyNumberFormat="1" applyFont="1" applyFill="1" applyBorder="1" applyAlignment="1">
      <alignment horizontal="center"/>
    </xf>
    <xf numFmtId="185" fontId="19" fillId="6" borderId="0" xfId="0" applyNumberFormat="1" applyFont="1" applyFill="1" applyAlignment="1">
      <alignment horizontal="center"/>
    </xf>
    <xf numFmtId="185" fontId="19" fillId="6" borderId="2" xfId="0" applyNumberFormat="1" applyFont="1" applyFill="1" applyBorder="1" applyAlignment="1">
      <alignment horizontal="center"/>
    </xf>
    <xf numFmtId="0" fontId="19" fillId="6" borderId="1" xfId="0" applyFont="1" applyFill="1" applyBorder="1" applyAlignment="1">
      <alignment horizontal="center"/>
    </xf>
    <xf numFmtId="0" fontId="14" fillId="0" borderId="0" xfId="0" applyFont="1" applyAlignment="1">
      <alignment wrapText="1"/>
    </xf>
    <xf numFmtId="0" fontId="0" fillId="0" borderId="0" xfId="0" applyAlignment="1">
      <alignment wrapText="1"/>
    </xf>
  </cellXfs>
  <cellStyles count="35">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omma 4" xfId="30" xr:uid="{00000000-0005-0000-0000-000008000000}"/>
    <cellStyle name="Currency 2" xfId="9" xr:uid="{00000000-0005-0000-0000-00000A000000}"/>
    <cellStyle name="Hyperlink 2" xfId="29" xr:uid="{00000000-0005-0000-0000-00000C000000}"/>
    <cellStyle name="Input Design Information" xfId="11" xr:uid="{00000000-0005-0000-0000-00000D000000}"/>
    <cellStyle name="Input Design Information Units" xfId="12" xr:uid="{00000000-0005-0000-0000-00000E000000}"/>
    <cellStyle name="Input Guidance" xfId="13" xr:uid="{00000000-0005-0000-0000-00000F000000}"/>
    <cellStyle name="Input Guidance Hyperlink" xfId="14" xr:uid="{00000000-0005-0000-0000-000010000000}"/>
    <cellStyle name="Input Guidance_CDA in progress" xfId="15" xr:uid="{00000000-0005-0000-0000-000011000000}"/>
    <cellStyle name="Input Header" xfId="16" xr:uid="{00000000-0005-0000-0000-000012000000}"/>
    <cellStyle name="Input Instruction" xfId="17" xr:uid="{00000000-0005-0000-0000-000013000000}"/>
    <cellStyle name="Input Manual Name" xfId="18" xr:uid="{00000000-0005-0000-0000-000014000000}"/>
    <cellStyle name="Input Optional Entry" xfId="19" xr:uid="{00000000-0005-0000-0000-000015000000}"/>
    <cellStyle name="Input Required Entry" xfId="20" xr:uid="{00000000-0005-0000-0000-000016000000}"/>
    <cellStyle name="Input Units" xfId="21" xr:uid="{00000000-0005-0000-0000-000017000000}"/>
    <cellStyle name="Input Warning" xfId="22" xr:uid="{00000000-0005-0000-0000-000018000000}"/>
    <cellStyle name="Main CDA" xfId="23" xr:uid="{00000000-0005-0000-0000-000019000000}"/>
    <cellStyle name="Normal 2" xfId="24" xr:uid="{00000000-0005-0000-0000-00001B000000}"/>
    <cellStyle name="Normal 2 2" xfId="34" xr:uid="{C5F012DF-85AD-4364-8307-4A3F20B758F2}"/>
    <cellStyle name="Normal 3" xfId="28" xr:uid="{00000000-0005-0000-0000-00001C000000}"/>
    <cellStyle name="Normal 4" xfId="31" xr:uid="{00000000-0005-0000-0000-00001D000000}"/>
    <cellStyle name="Normal 5" xfId="33" xr:uid="{F4A336E5-4238-4E13-BF36-8255A59D032B}"/>
    <cellStyle name="Normal_Yard Piping" xfId="25" xr:uid="{00000000-0005-0000-0000-00001E000000}"/>
    <cellStyle name="Range Name" xfId="27" xr:uid="{00000000-0005-0000-0000-000020000000}"/>
    <cellStyle name="百分比" xfId="26" builtinId="5"/>
    <cellStyle name="常规" xfId="0" builtinId="0"/>
    <cellStyle name="超链接" xfId="10" builtinId="8"/>
    <cellStyle name="货币" xfId="8" builtinId="4"/>
    <cellStyle name="千位分隔" xfId="6" builtinId="3"/>
  </cellStyles>
  <dxfs count="188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condense val="0"/>
        <extend val="0"/>
        <color indexed="9"/>
      </font>
    </dxf>
    <dxf>
      <font>
        <condense val="0"/>
        <extend val="0"/>
        <color indexed="9"/>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val="0"/>
        <i val="0"/>
        <condense val="0"/>
        <extend val="0"/>
        <color auto="1"/>
      </font>
    </dxf>
    <dxf>
      <font>
        <condense val="0"/>
        <extend val="0"/>
        <color indexed="10"/>
      </font>
    </dxf>
    <dxf>
      <font>
        <b/>
        <i val="0"/>
        <condense val="0"/>
        <extend val="0"/>
        <color indexed="10"/>
      </font>
    </dxf>
    <dxf>
      <font>
        <b val="0"/>
        <i/>
        <condense val="0"/>
        <extend val="0"/>
      </font>
    </dxf>
    <dxf>
      <font>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condense val="0"/>
        <extend val="0"/>
        <color indexed="22"/>
      </font>
      <fill>
        <patternFill>
          <bgColor indexed="22"/>
        </patternFill>
      </fill>
    </dxf>
    <dxf>
      <font>
        <b/>
        <i/>
        <condense val="0"/>
        <extend val="0"/>
        <color indexed="23"/>
      </font>
    </dxf>
    <dxf>
      <font>
        <condense val="0"/>
        <extend val="0"/>
        <color indexed="22"/>
      </font>
      <fill>
        <patternFill>
          <bgColor indexed="22"/>
        </patternFill>
      </fill>
    </dxf>
    <dxf>
      <font>
        <b/>
        <i/>
        <condense val="0"/>
        <extend val="0"/>
        <color indexed="23"/>
      </font>
    </dxf>
    <dxf>
      <font>
        <b/>
        <i val="0"/>
        <condense val="0"/>
        <extend val="0"/>
        <color indexed="17"/>
      </font>
    </dxf>
    <dxf>
      <font>
        <b/>
        <i val="0"/>
        <condense val="0"/>
        <extend val="0"/>
        <color indexed="17"/>
      </font>
    </dxf>
    <dxf>
      <font>
        <condense val="0"/>
        <extend val="0"/>
        <color indexed="55"/>
      </font>
      <fill>
        <patternFill>
          <bgColor indexed="22"/>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val="0"/>
        <i val="0"/>
        <condense val="0"/>
        <extend val="0"/>
        <color indexed="17"/>
      </font>
    </dxf>
  </dxfs>
  <tableStyles count="0" defaultTableStyle="TableStyleMedium9" defaultPivotStyle="PivotStyleLight16"/>
  <colors>
    <mruColors>
      <color rgb="FF008000"/>
      <color rgb="FF00CC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7" dropStyle="combo" dx="31" fmlaLink="contam_type" fmlaRange="contam_list" noThreeD="1" sel="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12700</xdr:rowOff>
        </xdr:from>
        <xdr:to>
          <xdr:col>5</xdr:col>
          <xdr:colOff>2044700</xdr:colOff>
          <xdr:row>4</xdr:row>
          <xdr:rowOff>12700</xdr:rowOff>
        </xdr:to>
        <xdr:sp macro="" textlink="">
          <xdr:nvSpPr>
            <xdr:cNvPr id="7183" name="ddResinChoice" hidden="1">
              <a:extLst>
                <a:ext uri="{63B3BB69-23CF-44E3-9099-C40C66FF867C}">
                  <a14:compatExt spid="_x0000_s7183"/>
                </a:ext>
                <a:ext uri="{FF2B5EF4-FFF2-40B4-BE49-F238E27FC236}">
                  <a16:creationId xmlns:a16="http://schemas.microsoft.com/office/drawing/2014/main" id="{00000000-0008-0000-02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50800</xdr:colOff>
          <xdr:row>43</xdr:row>
          <xdr:rowOff>63500</xdr:rowOff>
        </xdr:from>
        <xdr:to>
          <xdr:col>3</xdr:col>
          <xdr:colOff>1041400</xdr:colOff>
          <xdr:row>47</xdr:row>
          <xdr:rowOff>0</xdr:rowOff>
        </xdr:to>
        <xdr:sp macro="" textlink="">
          <xdr:nvSpPr>
            <xdr:cNvPr id="7288" name="cmdAutoSize" hidden="1">
              <a:extLst>
                <a:ext uri="{63B3BB69-23CF-44E3-9099-C40C66FF867C}">
                  <a14:compatExt spid="_x0000_s7288"/>
                </a:ext>
                <a:ext uri="{FF2B5EF4-FFF2-40B4-BE49-F238E27FC236}">
                  <a16:creationId xmlns:a16="http://schemas.microsoft.com/office/drawing/2014/main" id="{00000000-0008-0000-0200-00007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17</xdr:row>
          <xdr:rowOff>152400</xdr:rowOff>
        </xdr:from>
        <xdr:to>
          <xdr:col>6</xdr:col>
          <xdr:colOff>1752600</xdr:colOff>
          <xdr:row>21</xdr:row>
          <xdr:rowOff>0</xdr:rowOff>
        </xdr:to>
        <xdr:sp macro="" textlink="">
          <xdr:nvSpPr>
            <xdr:cNvPr id="7289" name="cmdCompSelect"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5</xdr:row>
          <xdr:rowOff>63500</xdr:rowOff>
        </xdr:from>
        <xdr:to>
          <xdr:col>5</xdr:col>
          <xdr:colOff>2006600</xdr:colOff>
          <xdr:row>6</xdr:row>
          <xdr:rowOff>38100</xdr:rowOff>
        </xdr:to>
        <xdr:sp macro="" textlink="">
          <xdr:nvSpPr>
            <xdr:cNvPr id="7290" name="CommandButton1" hidden="1">
              <a:extLst>
                <a:ext uri="{63B3BB69-23CF-44E3-9099-C40C66FF867C}">
                  <a14:compatExt spid="_x0000_s7290"/>
                </a:ext>
                <a:ext uri="{FF2B5EF4-FFF2-40B4-BE49-F238E27FC236}">
                  <a16:creationId xmlns:a16="http://schemas.microsoft.com/office/drawing/2014/main" id="{00000000-0008-0000-0200-00007A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6</xdr:row>
          <xdr:rowOff>50800</xdr:rowOff>
        </xdr:from>
        <xdr:to>
          <xdr:col>5</xdr:col>
          <xdr:colOff>2006600</xdr:colOff>
          <xdr:row>7</xdr:row>
          <xdr:rowOff>12700</xdr:rowOff>
        </xdr:to>
        <xdr:sp macro="" textlink="">
          <xdr:nvSpPr>
            <xdr:cNvPr id="7291" name="CommandButton2" hidden="1">
              <a:extLst>
                <a:ext uri="{63B3BB69-23CF-44E3-9099-C40C66FF867C}">
                  <a14:compatExt spid="_x0000_s7291"/>
                </a:ext>
                <a:ext uri="{FF2B5EF4-FFF2-40B4-BE49-F238E27FC236}">
                  <a16:creationId xmlns:a16="http://schemas.microsoft.com/office/drawing/2014/main" id="{00000000-0008-0000-0200-00007B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7</xdr:row>
          <xdr:rowOff>38100</xdr:rowOff>
        </xdr:from>
        <xdr:to>
          <xdr:col>5</xdr:col>
          <xdr:colOff>2006600</xdr:colOff>
          <xdr:row>7</xdr:row>
          <xdr:rowOff>330200</xdr:rowOff>
        </xdr:to>
        <xdr:sp macro="" textlink="">
          <xdr:nvSpPr>
            <xdr:cNvPr id="7292" name="CommandButton3" hidden="1">
              <a:extLst>
                <a:ext uri="{63B3BB69-23CF-44E3-9099-C40C66FF867C}">
                  <a14:compatExt spid="_x0000_s7292"/>
                </a:ext>
                <a:ext uri="{FF2B5EF4-FFF2-40B4-BE49-F238E27FC236}">
                  <a16:creationId xmlns:a16="http://schemas.microsoft.com/office/drawing/2014/main" id="{00000000-0008-0000-0200-00007C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8</xdr:row>
          <xdr:rowOff>38100</xdr:rowOff>
        </xdr:from>
        <xdr:to>
          <xdr:col>5</xdr:col>
          <xdr:colOff>2006600</xdr:colOff>
          <xdr:row>8</xdr:row>
          <xdr:rowOff>330200</xdr:rowOff>
        </xdr:to>
        <xdr:sp macro="" textlink="">
          <xdr:nvSpPr>
            <xdr:cNvPr id="7293" name="CommandButton4" hidden="1">
              <a:extLst>
                <a:ext uri="{63B3BB69-23CF-44E3-9099-C40C66FF867C}">
                  <a14:compatExt spid="_x0000_s7293"/>
                </a:ext>
                <a:ext uri="{FF2B5EF4-FFF2-40B4-BE49-F238E27FC236}">
                  <a16:creationId xmlns:a16="http://schemas.microsoft.com/office/drawing/2014/main" id="{00000000-0008-0000-0200-00007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38100</xdr:rowOff>
        </xdr:from>
        <xdr:to>
          <xdr:col>5</xdr:col>
          <xdr:colOff>2006600</xdr:colOff>
          <xdr:row>9</xdr:row>
          <xdr:rowOff>330200</xdr:rowOff>
        </xdr:to>
        <xdr:sp macro="" textlink="">
          <xdr:nvSpPr>
            <xdr:cNvPr id="7294" name="CommandButton5" hidden="1">
              <a:extLst>
                <a:ext uri="{63B3BB69-23CF-44E3-9099-C40C66FF867C}">
                  <a14:compatExt spid="_x0000_s7294"/>
                </a:ext>
                <a:ext uri="{FF2B5EF4-FFF2-40B4-BE49-F238E27FC236}">
                  <a16:creationId xmlns:a16="http://schemas.microsoft.com/office/drawing/2014/main" id="{00000000-0008-0000-0200-00007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xdr:row>
          <xdr:rowOff>25400</xdr:rowOff>
        </xdr:from>
        <xdr:to>
          <xdr:col>5</xdr:col>
          <xdr:colOff>2006600</xdr:colOff>
          <xdr:row>10</xdr:row>
          <xdr:rowOff>317500</xdr:rowOff>
        </xdr:to>
        <xdr:sp macro="" textlink="">
          <xdr:nvSpPr>
            <xdr:cNvPr id="7295" name="CommandButton6" hidden="1">
              <a:extLst>
                <a:ext uri="{63B3BB69-23CF-44E3-9099-C40C66FF867C}">
                  <a14:compatExt spid="_x0000_s7295"/>
                </a:ext>
                <a:ext uri="{FF2B5EF4-FFF2-40B4-BE49-F238E27FC236}">
                  <a16:creationId xmlns:a16="http://schemas.microsoft.com/office/drawing/2014/main" id="{00000000-0008-0000-0200-00007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11</xdr:row>
          <xdr:rowOff>12700</xdr:rowOff>
        </xdr:from>
        <xdr:to>
          <xdr:col>5</xdr:col>
          <xdr:colOff>2006600</xdr:colOff>
          <xdr:row>11</xdr:row>
          <xdr:rowOff>292100</xdr:rowOff>
        </xdr:to>
        <xdr:sp macro="" textlink="">
          <xdr:nvSpPr>
            <xdr:cNvPr id="7296" name="CommandButton7" hidden="1">
              <a:extLst>
                <a:ext uri="{63B3BB69-23CF-44E3-9099-C40C66FF867C}">
                  <a14:compatExt spid="_x0000_s7296"/>
                </a:ext>
                <a:ext uri="{FF2B5EF4-FFF2-40B4-BE49-F238E27FC236}">
                  <a16:creationId xmlns:a16="http://schemas.microsoft.com/office/drawing/2014/main" id="{00000000-0008-0000-0200-00008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12700</xdr:rowOff>
        </xdr:from>
        <xdr:to>
          <xdr:col>5</xdr:col>
          <xdr:colOff>2006600</xdr:colOff>
          <xdr:row>12</xdr:row>
          <xdr:rowOff>292100</xdr:rowOff>
        </xdr:to>
        <xdr:sp macro="" textlink="">
          <xdr:nvSpPr>
            <xdr:cNvPr id="7297" name="CommandButton8" hidden="1">
              <a:extLst>
                <a:ext uri="{63B3BB69-23CF-44E3-9099-C40C66FF867C}">
                  <a14:compatExt spid="_x0000_s7297"/>
                </a:ext>
                <a:ext uri="{FF2B5EF4-FFF2-40B4-BE49-F238E27FC236}">
                  <a16:creationId xmlns:a16="http://schemas.microsoft.com/office/drawing/2014/main" id="{00000000-0008-0000-0200-00008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12</xdr:row>
          <xdr:rowOff>330200</xdr:rowOff>
        </xdr:from>
        <xdr:to>
          <xdr:col>5</xdr:col>
          <xdr:colOff>2006600</xdr:colOff>
          <xdr:row>13</xdr:row>
          <xdr:rowOff>292100</xdr:rowOff>
        </xdr:to>
        <xdr:sp macro="" textlink="">
          <xdr:nvSpPr>
            <xdr:cNvPr id="7298" name="CommandButton9" hidden="1">
              <a:extLst>
                <a:ext uri="{63B3BB69-23CF-44E3-9099-C40C66FF867C}">
                  <a14:compatExt spid="_x0000_s7298"/>
                </a:ext>
                <a:ext uri="{FF2B5EF4-FFF2-40B4-BE49-F238E27FC236}">
                  <a16:creationId xmlns:a16="http://schemas.microsoft.com/office/drawing/2014/main" id="{00000000-0008-0000-0200-00008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2070100</xdr:colOff>
          <xdr:row>0</xdr:row>
          <xdr:rowOff>25400</xdr:rowOff>
        </xdr:from>
        <xdr:to>
          <xdr:col>7</xdr:col>
          <xdr:colOff>2057400</xdr:colOff>
          <xdr:row>2</xdr:row>
          <xdr:rowOff>38100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200-00008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12700</xdr:rowOff>
        </xdr:from>
        <xdr:to>
          <xdr:col>6</xdr:col>
          <xdr:colOff>1003300</xdr:colOff>
          <xdr:row>5</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5</xdr:row>
          <xdr:rowOff>127000</xdr:rowOff>
        </xdr:from>
        <xdr:to>
          <xdr:col>6</xdr:col>
          <xdr:colOff>977900</xdr:colOff>
          <xdr:row>8</xdr:row>
          <xdr:rowOff>114300</xdr:rowOff>
        </xdr:to>
        <xdr:sp macro="" textlink="">
          <xdr:nvSpPr>
            <xdr:cNvPr id="1084" name="CmdCompSelect"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88900</xdr:rowOff>
        </xdr:from>
        <xdr:to>
          <xdr:col>2</xdr:col>
          <xdr:colOff>254000</xdr:colOff>
          <xdr:row>4</xdr:row>
          <xdr:rowOff>50800</xdr:rowOff>
        </xdr:to>
        <xdr:sp macro="" textlink="">
          <xdr:nvSpPr>
            <xdr:cNvPr id="22540" name="cmdFactoryDefaults" hidden="1">
              <a:extLst>
                <a:ext uri="{63B3BB69-23CF-44E3-9099-C40C66FF867C}">
                  <a14:compatExt spid="_x0000_s22540"/>
                </a:ext>
                <a:ext uri="{FF2B5EF4-FFF2-40B4-BE49-F238E27FC236}">
                  <a16:creationId xmlns:a16="http://schemas.microsoft.com/office/drawing/2014/main" id="{00000000-0008-0000-1200-00000C5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A4B58-8160-48C6-BFF6-CE73FD99DA6A}">
  <dimension ref="A1:A16"/>
  <sheetViews>
    <sheetView topLeftCell="A7" workbookViewId="0"/>
  </sheetViews>
  <sheetFormatPr baseColWidth="10" defaultColWidth="9.1640625" defaultRowHeight="13"/>
  <cols>
    <col min="1" max="1" width="122.6640625" style="938" customWidth="1"/>
    <col min="2" max="16384" width="9.1640625" style="938"/>
  </cols>
  <sheetData>
    <row r="1" spans="1:1" ht="16" customHeight="1">
      <c r="A1" s="937" t="s">
        <v>4359</v>
      </c>
    </row>
    <row r="2" spans="1:1" ht="16" customHeight="1">
      <c r="A2" s="937" t="s">
        <v>4371</v>
      </c>
    </row>
    <row r="3" spans="1:1" ht="16" customHeight="1">
      <c r="A3" s="939" t="s">
        <v>4380</v>
      </c>
    </row>
    <row r="4" spans="1:1" ht="20" customHeight="1">
      <c r="A4" s="940" t="s">
        <v>4360</v>
      </c>
    </row>
    <row r="5" spans="1:1" ht="20" customHeight="1">
      <c r="A5" s="941" t="s">
        <v>4361</v>
      </c>
    </row>
    <row r="6" spans="1:1" ht="20" customHeight="1">
      <c r="A6" s="941" t="s">
        <v>4362</v>
      </c>
    </row>
    <row r="7" spans="1:1" ht="20" customHeight="1">
      <c r="A7" s="941" t="s">
        <v>4363</v>
      </c>
    </row>
    <row r="8" spans="1:1" ht="20" customHeight="1">
      <c r="A8" s="941" t="s">
        <v>4364</v>
      </c>
    </row>
    <row r="9" spans="1:1" ht="33.75" customHeight="1">
      <c r="A9" s="942" t="s">
        <v>4365</v>
      </c>
    </row>
    <row r="10" spans="1:1" ht="20" customHeight="1">
      <c r="A10" s="941" t="s">
        <v>4366</v>
      </c>
    </row>
    <row r="11" spans="1:1" ht="20" customHeight="1">
      <c r="A11" s="941" t="s">
        <v>4367</v>
      </c>
    </row>
    <row r="12" spans="1:1" ht="20" customHeight="1">
      <c r="A12" s="941" t="s">
        <v>4368</v>
      </c>
    </row>
    <row r="13" spans="1:1" ht="20" customHeight="1">
      <c r="A13" s="941" t="s">
        <v>4369</v>
      </c>
    </row>
    <row r="14" spans="1:1" ht="20" customHeight="1">
      <c r="A14" s="943" t="s">
        <v>4372</v>
      </c>
    </row>
    <row r="15" spans="1:1" ht="20" customHeight="1">
      <c r="A15" s="944" t="s">
        <v>4370</v>
      </c>
    </row>
    <row r="16" spans="1:1" ht="16" customHeight="1">
      <c r="A16" s="941"/>
    </row>
  </sheetData>
  <phoneticPr fontId="84" type="noConversion"/>
  <hyperlinks>
    <hyperlink ref="A15" location="INPUT!A1" display="· To begin using the model, go to the INPUT sheet." xr:uid="{E1D797C0-9D45-4BBD-B026-3EAEDCA31FB4}"/>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E872C-85A1-4828-B449-F6ADE25DFC43}">
  <sheetPr codeName="Sheet11"/>
  <dimension ref="A1:B344"/>
  <sheetViews>
    <sheetView workbookViewId="0">
      <pane ySplit="4" topLeftCell="A90" activePane="bottomLeft" state="frozen"/>
      <selection pane="bottomLeft" activeCell="B112" sqref="B112"/>
    </sheetView>
  </sheetViews>
  <sheetFormatPr baseColWidth="10" defaultColWidth="9.1640625" defaultRowHeight="13"/>
  <cols>
    <col min="1" max="1" width="80.6640625" style="874" customWidth="1"/>
    <col min="2" max="2" width="23.6640625" style="874" customWidth="1"/>
    <col min="3" max="16384" width="9.1640625" style="874"/>
  </cols>
  <sheetData>
    <row r="1" spans="1:2">
      <c r="A1" s="873" t="s">
        <v>3549</v>
      </c>
    </row>
    <row r="2" spans="1:2">
      <c r="A2" s="875" t="s">
        <v>3550</v>
      </c>
    </row>
    <row r="4" spans="1:2">
      <c r="A4" s="873" t="s">
        <v>3551</v>
      </c>
      <c r="B4" s="873" t="s">
        <v>3552</v>
      </c>
    </row>
    <row r="5" spans="1:2">
      <c r="A5" s="874" t="s">
        <v>2403</v>
      </c>
      <c r="B5" s="730" t="s">
        <v>2402</v>
      </c>
    </row>
    <row r="6" spans="1:2">
      <c r="A6" s="874" t="s">
        <v>1825</v>
      </c>
      <c r="B6" s="730" t="s">
        <v>1826</v>
      </c>
    </row>
    <row r="7" spans="1:2">
      <c r="A7" s="874" t="s">
        <v>1827</v>
      </c>
      <c r="B7" s="730" t="s">
        <v>1828</v>
      </c>
    </row>
    <row r="8" spans="1:2">
      <c r="A8" s="874" t="s">
        <v>3557</v>
      </c>
      <c r="B8" s="730" t="s">
        <v>258</v>
      </c>
    </row>
    <row r="9" spans="1:2">
      <c r="A9" s="874" t="s">
        <v>1178</v>
      </c>
      <c r="B9" s="730" t="s">
        <v>1179</v>
      </c>
    </row>
    <row r="10" spans="1:2">
      <c r="A10" s="874" t="s">
        <v>2871</v>
      </c>
      <c r="B10" s="730" t="s">
        <v>2872</v>
      </c>
    </row>
    <row r="11" spans="1:2">
      <c r="A11" s="874" t="s">
        <v>1758</v>
      </c>
      <c r="B11" s="730" t="s">
        <v>1447</v>
      </c>
    </row>
    <row r="12" spans="1:2">
      <c r="A12" s="874" t="s">
        <v>3133</v>
      </c>
      <c r="B12" s="730" t="s">
        <v>3134</v>
      </c>
    </row>
    <row r="13" spans="1:2">
      <c r="A13" s="874" t="s">
        <v>3559</v>
      </c>
      <c r="B13" s="730" t="s">
        <v>1283</v>
      </c>
    </row>
    <row r="14" spans="1:2">
      <c r="A14" s="874" t="s">
        <v>804</v>
      </c>
      <c r="B14" s="730" t="s">
        <v>805</v>
      </c>
    </row>
    <row r="15" spans="1:2">
      <c r="A15" s="874" t="s">
        <v>1444</v>
      </c>
      <c r="B15" s="730" t="s">
        <v>2299</v>
      </c>
    </row>
    <row r="16" spans="1:2">
      <c r="A16" s="874" t="s">
        <v>3578</v>
      </c>
      <c r="B16" s="730" t="s">
        <v>1139</v>
      </c>
    </row>
    <row r="17" spans="1:2">
      <c r="A17" s="874" t="s">
        <v>2305</v>
      </c>
      <c r="B17" s="730" t="s">
        <v>2519</v>
      </c>
    </row>
    <row r="18" spans="1:2">
      <c r="A18" s="874" t="s">
        <v>2271</v>
      </c>
      <c r="B18" s="730" t="s">
        <v>2272</v>
      </c>
    </row>
    <row r="19" spans="1:2">
      <c r="A19" s="874" t="s">
        <v>2254</v>
      </c>
      <c r="B19" s="730" t="s">
        <v>2255</v>
      </c>
    </row>
    <row r="20" spans="1:2">
      <c r="A20" s="874" t="s">
        <v>2248</v>
      </c>
      <c r="B20" s="730" t="s">
        <v>2249</v>
      </c>
    </row>
    <row r="21" spans="1:2">
      <c r="A21" s="874" t="s">
        <v>1551</v>
      </c>
      <c r="B21" s="730" t="s">
        <v>1552</v>
      </c>
    </row>
    <row r="22" spans="1:2">
      <c r="A22" s="874" t="s">
        <v>827</v>
      </c>
      <c r="B22" s="730" t="s">
        <v>2878</v>
      </c>
    </row>
    <row r="23" spans="1:2">
      <c r="A23" s="874" t="s">
        <v>2882</v>
      </c>
      <c r="B23" s="730" t="s">
        <v>2883</v>
      </c>
    </row>
    <row r="24" spans="1:2">
      <c r="A24" s="874" t="s">
        <v>2880</v>
      </c>
      <c r="B24" s="730" t="s">
        <v>2881</v>
      </c>
    </row>
    <row r="25" spans="1:2">
      <c r="A25" s="874" t="s">
        <v>987</v>
      </c>
      <c r="B25" s="730" t="s">
        <v>988</v>
      </c>
    </row>
    <row r="26" spans="1:2">
      <c r="A26" s="874" t="s">
        <v>994</v>
      </c>
      <c r="B26" s="730" t="s">
        <v>995</v>
      </c>
    </row>
    <row r="27" spans="1:2">
      <c r="A27" s="874" t="s">
        <v>55</v>
      </c>
      <c r="B27" s="730" t="s">
        <v>56</v>
      </c>
    </row>
    <row r="28" spans="1:2">
      <c r="A28" s="874" t="s">
        <v>1420</v>
      </c>
      <c r="B28" s="730" t="s">
        <v>2120</v>
      </c>
    </row>
    <row r="29" spans="1:2">
      <c r="A29" s="874" t="s">
        <v>2863</v>
      </c>
      <c r="B29" s="730" t="s">
        <v>138</v>
      </c>
    </row>
    <row r="30" spans="1:2">
      <c r="A30" s="874" t="s">
        <v>3487</v>
      </c>
      <c r="B30" s="730" t="s">
        <v>3488</v>
      </c>
    </row>
    <row r="31" spans="1:2">
      <c r="A31" s="874" t="s">
        <v>137</v>
      </c>
      <c r="B31" s="730" t="s">
        <v>139</v>
      </c>
    </row>
    <row r="32" spans="1:2">
      <c r="A32" s="874" t="s">
        <v>2128</v>
      </c>
      <c r="B32" s="730" t="s">
        <v>1034</v>
      </c>
    </row>
    <row r="33" spans="1:2">
      <c r="A33" s="874" t="s">
        <v>2129</v>
      </c>
      <c r="B33" s="730" t="s">
        <v>1881</v>
      </c>
    </row>
    <row r="34" spans="1:2">
      <c r="A34" s="874" t="s">
        <v>479</v>
      </c>
      <c r="B34" s="730" t="s">
        <v>480</v>
      </c>
    </row>
    <row r="35" spans="1:2">
      <c r="A35" s="874" t="s">
        <v>59</v>
      </c>
      <c r="B35" s="730" t="s">
        <v>65</v>
      </c>
    </row>
    <row r="36" spans="1:2">
      <c r="A36" s="874" t="s">
        <v>3421</v>
      </c>
      <c r="B36" s="730" t="s">
        <v>2676</v>
      </c>
    </row>
    <row r="37" spans="1:2">
      <c r="A37" s="874" t="s">
        <v>3562</v>
      </c>
      <c r="B37" s="730" t="s">
        <v>3425</v>
      </c>
    </row>
    <row r="38" spans="1:2">
      <c r="A38" s="874" t="s">
        <v>1619</v>
      </c>
      <c r="B38" s="730" t="s">
        <v>1620</v>
      </c>
    </row>
    <row r="39" spans="1:2">
      <c r="A39" s="874" t="s">
        <v>1621</v>
      </c>
      <c r="B39" s="730" t="s">
        <v>1622</v>
      </c>
    </row>
    <row r="40" spans="1:2">
      <c r="A40" s="874" t="s">
        <v>477</v>
      </c>
      <c r="B40" s="730" t="s">
        <v>478</v>
      </c>
    </row>
    <row r="41" spans="1:2">
      <c r="A41" s="874" t="s">
        <v>475</v>
      </c>
      <c r="B41" s="730" t="s">
        <v>476</v>
      </c>
    </row>
    <row r="42" spans="1:2">
      <c r="A42" s="874" t="s">
        <v>474</v>
      </c>
      <c r="B42" s="730" t="s">
        <v>483</v>
      </c>
    </row>
    <row r="43" spans="1:2">
      <c r="A43" s="874" t="s">
        <v>2710</v>
      </c>
      <c r="B43" s="730" t="s">
        <v>2711</v>
      </c>
    </row>
    <row r="44" spans="1:2">
      <c r="A44" s="874" t="s">
        <v>2712</v>
      </c>
      <c r="B44" s="730" t="s">
        <v>2713</v>
      </c>
    </row>
    <row r="45" spans="1:2">
      <c r="A45" s="874" t="s">
        <v>660</v>
      </c>
      <c r="B45" s="730" t="s">
        <v>2199</v>
      </c>
    </row>
    <row r="46" spans="1:2">
      <c r="A46" s="874" t="s">
        <v>1780</v>
      </c>
      <c r="B46" s="730" t="s">
        <v>1781</v>
      </c>
    </row>
    <row r="47" spans="1:2">
      <c r="A47" s="874" t="s">
        <v>2556</v>
      </c>
      <c r="B47" s="730" t="s">
        <v>2557</v>
      </c>
    </row>
    <row r="48" spans="1:2">
      <c r="A48" s="874" t="s">
        <v>1200</v>
      </c>
      <c r="B48" s="730" t="s">
        <v>1201</v>
      </c>
    </row>
    <row r="49" spans="1:2">
      <c r="A49" s="874" t="s">
        <v>3485</v>
      </c>
      <c r="B49" s="730" t="s">
        <v>3486</v>
      </c>
    </row>
    <row r="50" spans="1:2">
      <c r="A50" s="874" t="s">
        <v>2173</v>
      </c>
      <c r="B50" s="730" t="s">
        <v>2203</v>
      </c>
    </row>
    <row r="51" spans="1:2">
      <c r="A51" s="874" t="s">
        <v>3489</v>
      </c>
      <c r="B51" s="730" t="s">
        <v>3490</v>
      </c>
    </row>
    <row r="52" spans="1:2">
      <c r="A52" s="874" t="s">
        <v>3140</v>
      </c>
      <c r="B52" s="730" t="s">
        <v>3141</v>
      </c>
    </row>
    <row r="53" spans="1:2">
      <c r="A53" s="874" t="s">
        <v>1360</v>
      </c>
      <c r="B53" s="730" t="s">
        <v>1430</v>
      </c>
    </row>
    <row r="54" spans="1:2">
      <c r="A54" s="874" t="s">
        <v>2524</v>
      </c>
      <c r="B54" s="730" t="s">
        <v>2525</v>
      </c>
    </row>
    <row r="55" spans="1:2">
      <c r="A55" s="874" t="s">
        <v>3469</v>
      </c>
      <c r="B55" s="730" t="s">
        <v>3571</v>
      </c>
    </row>
    <row r="56" spans="1:2">
      <c r="A56" s="874" t="s">
        <v>3470</v>
      </c>
      <c r="B56" s="730" t="s">
        <v>3572</v>
      </c>
    </row>
    <row r="57" spans="1:2">
      <c r="A57" s="874" t="s">
        <v>440</v>
      </c>
      <c r="B57" s="730" t="s">
        <v>1094</v>
      </c>
    </row>
    <row r="58" spans="1:2">
      <c r="A58" s="874" t="s">
        <v>1886</v>
      </c>
      <c r="B58" s="730" t="s">
        <v>1887</v>
      </c>
    </row>
    <row r="59" spans="1:2">
      <c r="A59" s="874" t="s">
        <v>1615</v>
      </c>
      <c r="B59" s="730" t="s">
        <v>1616</v>
      </c>
    </row>
    <row r="60" spans="1:2">
      <c r="A60" s="874" t="s">
        <v>158</v>
      </c>
      <c r="B60" s="730" t="s">
        <v>1035</v>
      </c>
    </row>
    <row r="61" spans="1:2">
      <c r="A61" s="874" t="s">
        <v>3560</v>
      </c>
      <c r="B61" s="730" t="s">
        <v>417</v>
      </c>
    </row>
    <row r="62" spans="1:2">
      <c r="A62" s="874" t="s">
        <v>2498</v>
      </c>
      <c r="B62" s="730" t="s">
        <v>2499</v>
      </c>
    </row>
    <row r="63" spans="1:2">
      <c r="A63" s="874" t="s">
        <v>2500</v>
      </c>
      <c r="B63" s="730" t="s">
        <v>2501</v>
      </c>
    </row>
    <row r="64" spans="1:2">
      <c r="A64" s="874" t="s">
        <v>462</v>
      </c>
      <c r="B64" s="730" t="s">
        <v>461</v>
      </c>
    </row>
    <row r="65" spans="1:2">
      <c r="A65" s="874" t="s">
        <v>1445</v>
      </c>
      <c r="B65" s="730" t="s">
        <v>1446</v>
      </c>
    </row>
    <row r="66" spans="1:2">
      <c r="A66" s="876" t="s">
        <v>3569</v>
      </c>
      <c r="B66" s="730" t="s">
        <v>2313</v>
      </c>
    </row>
    <row r="67" spans="1:2">
      <c r="A67" s="876" t="s">
        <v>3570</v>
      </c>
      <c r="B67" s="730" t="s">
        <v>2314</v>
      </c>
    </row>
    <row r="68" spans="1:2">
      <c r="A68" s="874" t="s">
        <v>2259</v>
      </c>
      <c r="B68" s="730" t="s">
        <v>2260</v>
      </c>
    </row>
    <row r="69" spans="1:2">
      <c r="A69" s="874" t="s">
        <v>281</v>
      </c>
      <c r="B69" s="730" t="s">
        <v>1207</v>
      </c>
    </row>
    <row r="70" spans="1:2">
      <c r="A70" s="874" t="s">
        <v>928</v>
      </c>
      <c r="B70" s="730" t="s">
        <v>2733</v>
      </c>
    </row>
    <row r="71" spans="1:2">
      <c r="A71" s="874" t="s">
        <v>2566</v>
      </c>
      <c r="B71" s="730" t="s">
        <v>2567</v>
      </c>
    </row>
    <row r="72" spans="1:2">
      <c r="A72" s="874" t="s">
        <v>1076</v>
      </c>
      <c r="B72" s="730" t="s">
        <v>1077</v>
      </c>
    </row>
    <row r="73" spans="1:2">
      <c r="A73" s="874" t="s">
        <v>430</v>
      </c>
      <c r="B73" s="730" t="s">
        <v>431</v>
      </c>
    </row>
    <row r="74" spans="1:2">
      <c r="A74" s="874" t="s">
        <v>53</v>
      </c>
      <c r="B74" s="730" t="s">
        <v>52</v>
      </c>
    </row>
    <row r="75" spans="1:2">
      <c r="A75" s="874" t="s">
        <v>167</v>
      </c>
      <c r="B75" s="730" t="s">
        <v>169</v>
      </c>
    </row>
    <row r="76" spans="1:2">
      <c r="A76" s="874" t="s">
        <v>1453</v>
      </c>
      <c r="B76" s="730" t="s">
        <v>3014</v>
      </c>
    </row>
    <row r="77" spans="1:2">
      <c r="A77" s="874" t="s">
        <v>2749</v>
      </c>
      <c r="B77" s="730" t="s">
        <v>2747</v>
      </c>
    </row>
    <row r="78" spans="1:2">
      <c r="A78" s="874" t="s">
        <v>3554</v>
      </c>
      <c r="B78" s="730" t="s">
        <v>2200</v>
      </c>
    </row>
    <row r="79" spans="1:2">
      <c r="A79" s="874" t="s">
        <v>2477</v>
      </c>
      <c r="B79" s="730" t="s">
        <v>2478</v>
      </c>
    </row>
    <row r="80" spans="1:2">
      <c r="A80" s="874" t="s">
        <v>356</v>
      </c>
      <c r="B80" s="730" t="s">
        <v>357</v>
      </c>
    </row>
    <row r="81" spans="1:2">
      <c r="A81" s="874" t="s">
        <v>1642</v>
      </c>
      <c r="B81" s="730" t="s">
        <v>978</v>
      </c>
    </row>
    <row r="82" spans="1:2">
      <c r="A82" s="874" t="s">
        <v>1641</v>
      </c>
      <c r="B82" s="730" t="s">
        <v>977</v>
      </c>
    </row>
    <row r="83" spans="1:2">
      <c r="A83" s="874" t="s">
        <v>1638</v>
      </c>
      <c r="B83" s="730" t="s">
        <v>1832</v>
      </c>
    </row>
    <row r="84" spans="1:2">
      <c r="A84" s="874" t="s">
        <v>1640</v>
      </c>
      <c r="B84" s="730" t="s">
        <v>1651</v>
      </c>
    </row>
    <row r="85" spans="1:2">
      <c r="A85" s="874" t="s">
        <v>1639</v>
      </c>
      <c r="B85" s="730" t="s">
        <v>953</v>
      </c>
    </row>
    <row r="86" spans="1:2">
      <c r="A86" s="874" t="s">
        <v>2131</v>
      </c>
      <c r="B86" s="730" t="s">
        <v>310</v>
      </c>
    </row>
    <row r="87" spans="1:2">
      <c r="A87" s="874" t="s">
        <v>2261</v>
      </c>
      <c r="B87" s="730" t="s">
        <v>2262</v>
      </c>
    </row>
    <row r="88" spans="1:2">
      <c r="A88" s="874" t="s">
        <v>1014</v>
      </c>
      <c r="B88" s="730" t="s">
        <v>1015</v>
      </c>
    </row>
    <row r="89" spans="1:2">
      <c r="A89" s="874" t="s">
        <v>1025</v>
      </c>
      <c r="B89" s="730" t="s">
        <v>1026</v>
      </c>
    </row>
    <row r="90" spans="1:2">
      <c r="A90" s="874" t="s">
        <v>1023</v>
      </c>
      <c r="B90" s="730" t="s">
        <v>1024</v>
      </c>
    </row>
    <row r="91" spans="1:2">
      <c r="A91" s="874" t="s">
        <v>1020</v>
      </c>
      <c r="B91" s="730" t="s">
        <v>1021</v>
      </c>
    </row>
    <row r="92" spans="1:2">
      <c r="A92" s="874" t="s">
        <v>297</v>
      </c>
      <c r="B92" s="730" t="s">
        <v>1725</v>
      </c>
    </row>
    <row r="93" spans="1:2">
      <c r="A93" s="874" t="s">
        <v>2322</v>
      </c>
      <c r="B93" s="730" t="s">
        <v>2323</v>
      </c>
    </row>
    <row r="94" spans="1:2">
      <c r="A94" s="874" t="s">
        <v>808</v>
      </c>
      <c r="B94" s="730" t="s">
        <v>809</v>
      </c>
    </row>
    <row r="95" spans="1:2">
      <c r="A95" s="874" t="s">
        <v>283</v>
      </c>
      <c r="B95" s="730" t="s">
        <v>284</v>
      </c>
    </row>
    <row r="96" spans="1:2">
      <c r="A96" s="874" t="s">
        <v>2320</v>
      </c>
      <c r="B96" s="730" t="s">
        <v>2321</v>
      </c>
    </row>
    <row r="97" spans="1:2">
      <c r="A97" s="874" t="s">
        <v>1878</v>
      </c>
      <c r="B97" s="730" t="s">
        <v>1879</v>
      </c>
    </row>
    <row r="98" spans="1:2">
      <c r="A98" s="874" t="s">
        <v>991</v>
      </c>
      <c r="B98" s="730" t="s">
        <v>992</v>
      </c>
    </row>
    <row r="99" spans="1:2">
      <c r="A99" s="874" t="s">
        <v>495</v>
      </c>
      <c r="B99" s="730" t="s">
        <v>2587</v>
      </c>
    </row>
    <row r="100" spans="1:2">
      <c r="A100" s="874" t="s">
        <v>496</v>
      </c>
      <c r="B100" s="730" t="s">
        <v>2765</v>
      </c>
    </row>
    <row r="101" spans="1:2">
      <c r="A101" s="874" t="s">
        <v>3311</v>
      </c>
      <c r="B101" s="730" t="s">
        <v>3312</v>
      </c>
    </row>
    <row r="102" spans="1:2">
      <c r="A102" s="874" t="s">
        <v>3310</v>
      </c>
      <c r="B102" s="730" t="s">
        <v>2588</v>
      </c>
    </row>
    <row r="103" spans="1:2">
      <c r="A103" s="874" t="s">
        <v>591</v>
      </c>
      <c r="B103" s="730" t="s">
        <v>592</v>
      </c>
    </row>
    <row r="104" spans="1:2">
      <c r="A104" s="874" t="s">
        <v>555</v>
      </c>
      <c r="B104" s="730" t="s">
        <v>556</v>
      </c>
    </row>
    <row r="105" spans="1:2">
      <c r="A105" s="874" t="s">
        <v>1108</v>
      </c>
      <c r="B105" s="730" t="s">
        <v>1109</v>
      </c>
    </row>
    <row r="106" spans="1:2">
      <c r="A106" s="874" t="s">
        <v>2290</v>
      </c>
      <c r="B106" s="730" t="s">
        <v>1437</v>
      </c>
    </row>
    <row r="107" spans="1:2">
      <c r="A107" s="874" t="s">
        <v>3466</v>
      </c>
      <c r="B107" s="730" t="s">
        <v>1752</v>
      </c>
    </row>
    <row r="108" spans="1:2">
      <c r="A108" s="874" t="s">
        <v>2289</v>
      </c>
      <c r="B108" s="730" t="s">
        <v>1754</v>
      </c>
    </row>
    <row r="109" spans="1:2">
      <c r="A109" s="874" t="s">
        <v>819</v>
      </c>
      <c r="B109" s="730" t="s">
        <v>820</v>
      </c>
    </row>
    <row r="110" spans="1:2">
      <c r="A110" s="874" t="s">
        <v>2563</v>
      </c>
      <c r="B110" s="730" t="s">
        <v>2510</v>
      </c>
    </row>
    <row r="111" spans="1:2">
      <c r="A111" s="874" t="s">
        <v>2775</v>
      </c>
      <c r="B111" s="730" t="s">
        <v>2776</v>
      </c>
    </row>
    <row r="112" spans="1:2">
      <c r="A112" s="874" t="s">
        <v>3525</v>
      </c>
      <c r="B112" s="730" t="s">
        <v>3526</v>
      </c>
    </row>
    <row r="113" spans="1:2">
      <c r="A113" s="874" t="s">
        <v>1289</v>
      </c>
      <c r="B113" s="730" t="s">
        <v>1290</v>
      </c>
    </row>
    <row r="114" spans="1:2">
      <c r="A114" s="874" t="s">
        <v>800</v>
      </c>
      <c r="B114" s="730" t="s">
        <v>801</v>
      </c>
    </row>
    <row r="115" spans="1:2">
      <c r="A115" s="874" t="s">
        <v>3577</v>
      </c>
      <c r="B115" s="730" t="s">
        <v>1138</v>
      </c>
    </row>
    <row r="116" spans="1:2">
      <c r="A116" s="874" t="s">
        <v>2273</v>
      </c>
      <c r="B116" s="730" t="s">
        <v>2274</v>
      </c>
    </row>
    <row r="117" spans="1:2">
      <c r="A117" s="874" t="s">
        <v>2263</v>
      </c>
      <c r="B117" s="730" t="s">
        <v>2264</v>
      </c>
    </row>
    <row r="118" spans="1:2">
      <c r="A118" s="874" t="s">
        <v>10</v>
      </c>
      <c r="B118" s="730" t="s">
        <v>606</v>
      </c>
    </row>
    <row r="119" spans="1:2">
      <c r="A119" s="876" t="s">
        <v>3567</v>
      </c>
      <c r="B119" s="730" t="s">
        <v>2311</v>
      </c>
    </row>
    <row r="120" spans="1:2">
      <c r="A120" s="876" t="s">
        <v>3568</v>
      </c>
      <c r="B120" s="730" t="s">
        <v>2312</v>
      </c>
    </row>
    <row r="121" spans="1:2">
      <c r="A121" s="874" t="s">
        <v>2256</v>
      </c>
      <c r="B121" s="730" t="s">
        <v>2257</v>
      </c>
    </row>
    <row r="122" spans="1:2">
      <c r="A122" s="874" t="s">
        <v>1757</v>
      </c>
      <c r="B122" s="730" t="s">
        <v>1511</v>
      </c>
    </row>
    <row r="123" spans="1:2">
      <c r="A123" s="874" t="s">
        <v>821</v>
      </c>
      <c r="B123" s="730" t="s">
        <v>822</v>
      </c>
    </row>
    <row r="124" spans="1:2">
      <c r="A124" s="874" t="s">
        <v>1307</v>
      </c>
      <c r="B124" s="730" t="s">
        <v>1306</v>
      </c>
    </row>
    <row r="125" spans="1:2">
      <c r="A125" s="874" t="s">
        <v>1045</v>
      </c>
      <c r="B125" s="730" t="s">
        <v>2826</v>
      </c>
    </row>
    <row r="126" spans="1:2">
      <c r="A126" s="874" t="s">
        <v>432</v>
      </c>
      <c r="B126" s="730" t="s">
        <v>433</v>
      </c>
    </row>
    <row r="127" spans="1:2">
      <c r="A127" s="874" t="s">
        <v>435</v>
      </c>
      <c r="B127" s="730" t="s">
        <v>436</v>
      </c>
    </row>
    <row r="128" spans="1:2">
      <c r="A128" s="874" t="s">
        <v>3553</v>
      </c>
      <c r="B128" s="730" t="s">
        <v>2201</v>
      </c>
    </row>
    <row r="129" spans="1:2">
      <c r="A129" s="874" t="s">
        <v>307</v>
      </c>
      <c r="B129" s="730" t="s">
        <v>308</v>
      </c>
    </row>
    <row r="130" spans="1:2">
      <c r="A130" s="874" t="s">
        <v>441</v>
      </c>
      <c r="B130" s="730" t="s">
        <v>839</v>
      </c>
    </row>
    <row r="131" spans="1:2">
      <c r="A131" s="874" t="s">
        <v>437</v>
      </c>
      <c r="B131" s="730" t="s">
        <v>2452</v>
      </c>
    </row>
    <row r="132" spans="1:2">
      <c r="A132" s="874" t="s">
        <v>439</v>
      </c>
      <c r="B132" s="730" t="s">
        <v>1093</v>
      </c>
    </row>
    <row r="133" spans="1:2">
      <c r="A133" s="874" t="s">
        <v>438</v>
      </c>
      <c r="B133" s="730" t="s">
        <v>2453</v>
      </c>
    </row>
    <row r="134" spans="1:2">
      <c r="A134" s="874" t="s">
        <v>1915</v>
      </c>
      <c r="B134" s="730" t="s">
        <v>2807</v>
      </c>
    </row>
    <row r="135" spans="1:2">
      <c r="A135" s="876" t="s">
        <v>3565</v>
      </c>
      <c r="B135" s="730" t="s">
        <v>3566</v>
      </c>
    </row>
    <row r="136" spans="1:2">
      <c r="A136" s="874" t="s">
        <v>3558</v>
      </c>
      <c r="B136" s="730" t="s">
        <v>2523</v>
      </c>
    </row>
    <row r="137" spans="1:2">
      <c r="A137" s="874" t="s">
        <v>545</v>
      </c>
      <c r="B137" s="730" t="s">
        <v>546</v>
      </c>
    </row>
    <row r="138" spans="1:2">
      <c r="A138" s="874" t="s">
        <v>932</v>
      </c>
      <c r="B138" s="730" t="s">
        <v>931</v>
      </c>
    </row>
    <row r="139" spans="1:2">
      <c r="A139" s="874" t="s">
        <v>3182</v>
      </c>
      <c r="B139" s="730" t="s">
        <v>3183</v>
      </c>
    </row>
    <row r="140" spans="1:2">
      <c r="A140" s="874" t="s">
        <v>1272</v>
      </c>
      <c r="B140" s="730" t="s">
        <v>1273</v>
      </c>
    </row>
    <row r="141" spans="1:2">
      <c r="A141" s="874" t="s">
        <v>1892</v>
      </c>
      <c r="B141" s="730" t="s">
        <v>1893</v>
      </c>
    </row>
    <row r="142" spans="1:2">
      <c r="A142" s="874" t="s">
        <v>1830</v>
      </c>
      <c r="B142" s="730" t="s">
        <v>1831</v>
      </c>
    </row>
    <row r="143" spans="1:2">
      <c r="A143" s="874" t="s">
        <v>1896</v>
      </c>
      <c r="B143" s="730" t="s">
        <v>1897</v>
      </c>
    </row>
    <row r="144" spans="1:2">
      <c r="A144" s="874" t="s">
        <v>553</v>
      </c>
      <c r="B144" s="730" t="s">
        <v>554</v>
      </c>
    </row>
    <row r="145" spans="1:2">
      <c r="A145" s="874" t="s">
        <v>549</v>
      </c>
      <c r="B145" s="730" t="s">
        <v>550</v>
      </c>
    </row>
    <row r="146" spans="1:2">
      <c r="A146" s="874" t="s">
        <v>551</v>
      </c>
      <c r="B146" s="730" t="s">
        <v>552</v>
      </c>
    </row>
    <row r="147" spans="1:2">
      <c r="A147" s="874" t="s">
        <v>174</v>
      </c>
      <c r="B147" s="730" t="s">
        <v>175</v>
      </c>
    </row>
    <row r="148" spans="1:2">
      <c r="A148" s="874" t="s">
        <v>1010</v>
      </c>
      <c r="B148" s="730" t="s">
        <v>1011</v>
      </c>
    </row>
    <row r="149" spans="1:2">
      <c r="A149" s="874" t="s">
        <v>1006</v>
      </c>
      <c r="B149" s="730" t="s">
        <v>1007</v>
      </c>
    </row>
    <row r="150" spans="1:2">
      <c r="A150" s="874" t="s">
        <v>1008</v>
      </c>
      <c r="B150" s="730" t="s">
        <v>1009</v>
      </c>
    </row>
    <row r="151" spans="1:2">
      <c r="A151" s="874" t="s">
        <v>171</v>
      </c>
      <c r="B151" s="730" t="s">
        <v>172</v>
      </c>
    </row>
    <row r="152" spans="1:2">
      <c r="A152" s="874" t="s">
        <v>3185</v>
      </c>
      <c r="B152" s="730" t="s">
        <v>3186</v>
      </c>
    </row>
    <row r="153" spans="1:2">
      <c r="A153" s="874" t="s">
        <v>3188</v>
      </c>
      <c r="B153" s="730" t="s">
        <v>3189</v>
      </c>
    </row>
    <row r="154" spans="1:2">
      <c r="A154" s="874" t="s">
        <v>3114</v>
      </c>
      <c r="B154" s="730" t="s">
        <v>3115</v>
      </c>
    </row>
    <row r="155" spans="1:2">
      <c r="A155" s="874" t="s">
        <v>3438</v>
      </c>
      <c r="B155" s="730" t="s">
        <v>883</v>
      </c>
    </row>
    <row r="156" spans="1:2">
      <c r="A156" s="874" t="s">
        <v>2559</v>
      </c>
      <c r="B156" s="730" t="s">
        <v>2560</v>
      </c>
    </row>
    <row r="157" spans="1:2">
      <c r="A157" s="874" t="s">
        <v>2592</v>
      </c>
      <c r="B157" s="730" t="s">
        <v>2593</v>
      </c>
    </row>
    <row r="158" spans="1:2">
      <c r="A158" s="874" t="s">
        <v>2594</v>
      </c>
      <c r="B158" s="730" t="s">
        <v>2595</v>
      </c>
    </row>
    <row r="159" spans="1:2">
      <c r="A159" s="874" t="s">
        <v>3127</v>
      </c>
      <c r="B159" s="730" t="s">
        <v>3128</v>
      </c>
    </row>
    <row r="160" spans="1:2">
      <c r="A160" s="874" t="s">
        <v>1002</v>
      </c>
      <c r="B160" s="730" t="s">
        <v>1003</v>
      </c>
    </row>
    <row r="161" spans="1:2">
      <c r="A161" s="874" t="s">
        <v>547</v>
      </c>
      <c r="B161" s="730" t="s">
        <v>548</v>
      </c>
    </row>
    <row r="162" spans="1:2">
      <c r="A162" s="874" t="s">
        <v>1012</v>
      </c>
      <c r="B162" s="730" t="s">
        <v>1013</v>
      </c>
    </row>
    <row r="163" spans="1:2">
      <c r="A163" s="874" t="s">
        <v>1004</v>
      </c>
      <c r="B163" s="730" t="s">
        <v>1005</v>
      </c>
    </row>
    <row r="164" spans="1:2">
      <c r="A164" s="874" t="s">
        <v>3480</v>
      </c>
      <c r="B164" s="730" t="s">
        <v>3481</v>
      </c>
    </row>
    <row r="165" spans="1:2">
      <c r="A165" s="874" t="s">
        <v>3016</v>
      </c>
      <c r="B165" s="730" t="s">
        <v>3017</v>
      </c>
    </row>
    <row r="166" spans="1:2">
      <c r="A166" s="874" t="s">
        <v>2604</v>
      </c>
      <c r="B166" s="730" t="s">
        <v>2605</v>
      </c>
    </row>
    <row r="167" spans="1:2">
      <c r="A167" s="874" t="s">
        <v>1017</v>
      </c>
      <c r="B167" s="730" t="s">
        <v>1018</v>
      </c>
    </row>
    <row r="168" spans="1:2">
      <c r="A168" s="874" t="s">
        <v>1296</v>
      </c>
      <c r="B168" s="730" t="s">
        <v>1297</v>
      </c>
    </row>
    <row r="169" spans="1:2">
      <c r="A169" s="874" t="s">
        <v>967</v>
      </c>
      <c r="B169" s="730" t="s">
        <v>968</v>
      </c>
    </row>
    <row r="170" spans="1:2">
      <c r="A170" s="874" t="s">
        <v>1755</v>
      </c>
      <c r="B170" s="730" t="s">
        <v>145</v>
      </c>
    </row>
    <row r="171" spans="1:2">
      <c r="A171" s="874" t="s">
        <v>3581</v>
      </c>
      <c r="B171" s="730" t="s">
        <v>2788</v>
      </c>
    </row>
    <row r="172" spans="1:2">
      <c r="A172" s="874" t="s">
        <v>1292</v>
      </c>
      <c r="B172" s="730" t="s">
        <v>1293</v>
      </c>
    </row>
    <row r="173" spans="1:2">
      <c r="A173" s="874" t="s">
        <v>118</v>
      </c>
      <c r="B173" s="730" t="s">
        <v>119</v>
      </c>
    </row>
    <row r="174" spans="1:2">
      <c r="A174" s="874" t="s">
        <v>113</v>
      </c>
      <c r="B174" s="730" t="s">
        <v>114</v>
      </c>
    </row>
    <row r="175" spans="1:2">
      <c r="A175" s="874" t="s">
        <v>116</v>
      </c>
      <c r="B175" s="730" t="s">
        <v>117</v>
      </c>
    </row>
    <row r="176" spans="1:2">
      <c r="A176" s="874" t="s">
        <v>2715</v>
      </c>
      <c r="B176" s="730" t="s">
        <v>2716</v>
      </c>
    </row>
    <row r="177" spans="1:2">
      <c r="A177" s="874" t="s">
        <v>1057</v>
      </c>
      <c r="B177" s="730" t="s">
        <v>1066</v>
      </c>
    </row>
    <row r="178" spans="1:2">
      <c r="A178" s="874" t="s">
        <v>2669</v>
      </c>
      <c r="B178" s="730" t="s">
        <v>1065</v>
      </c>
    </row>
    <row r="179" spans="1:2">
      <c r="A179" s="874" t="s">
        <v>3576</v>
      </c>
      <c r="B179" s="730" t="s">
        <v>317</v>
      </c>
    </row>
    <row r="180" spans="1:2">
      <c r="A180" s="874" t="s">
        <v>3573</v>
      </c>
      <c r="B180" s="730" t="s">
        <v>129</v>
      </c>
    </row>
    <row r="181" spans="1:2">
      <c r="A181" s="874" t="s">
        <v>3574</v>
      </c>
      <c r="B181" s="730" t="s">
        <v>132</v>
      </c>
    </row>
    <row r="182" spans="1:2">
      <c r="A182" s="874" t="s">
        <v>3575</v>
      </c>
      <c r="B182" s="730" t="s">
        <v>313</v>
      </c>
    </row>
    <row r="183" spans="1:2">
      <c r="A183" s="874" t="s">
        <v>3510</v>
      </c>
      <c r="B183" s="730" t="s">
        <v>2202</v>
      </c>
    </row>
    <row r="184" spans="1:2">
      <c r="A184" s="874" t="s">
        <v>2516</v>
      </c>
      <c r="B184" s="730" t="s">
        <v>2517</v>
      </c>
    </row>
    <row r="185" spans="1:2">
      <c r="A185" s="874" t="s">
        <v>2908</v>
      </c>
      <c r="B185" s="730" t="s">
        <v>2909</v>
      </c>
    </row>
    <row r="186" spans="1:2">
      <c r="A186" s="874" t="s">
        <v>2910</v>
      </c>
      <c r="B186" s="730" t="s">
        <v>2911</v>
      </c>
    </row>
    <row r="187" spans="1:2">
      <c r="A187" s="874" t="s">
        <v>80</v>
      </c>
      <c r="B187" s="730" t="s">
        <v>81</v>
      </c>
    </row>
    <row r="188" spans="1:2">
      <c r="A188" s="874" t="s">
        <v>3136</v>
      </c>
      <c r="B188" s="730" t="s">
        <v>3137</v>
      </c>
    </row>
    <row r="189" spans="1:2">
      <c r="A189" s="874" t="s">
        <v>286</v>
      </c>
      <c r="B189" s="730" t="s">
        <v>287</v>
      </c>
    </row>
    <row r="190" spans="1:2">
      <c r="A190" s="874" t="s">
        <v>980</v>
      </c>
      <c r="B190" s="730" t="s">
        <v>981</v>
      </c>
    </row>
    <row r="191" spans="1:2">
      <c r="A191" s="874" t="s">
        <v>1549</v>
      </c>
      <c r="B191" s="730" t="s">
        <v>1550</v>
      </c>
    </row>
    <row r="192" spans="1:2">
      <c r="A192" s="874" t="s">
        <v>2469</v>
      </c>
      <c r="B192" s="730" t="s">
        <v>2475</v>
      </c>
    </row>
    <row r="193" spans="1:2">
      <c r="A193" s="874" t="s">
        <v>2470</v>
      </c>
      <c r="B193" s="730" t="s">
        <v>2471</v>
      </c>
    </row>
    <row r="194" spans="1:2">
      <c r="A194" s="874" t="s">
        <v>620</v>
      </c>
      <c r="B194" s="730" t="s">
        <v>1924</v>
      </c>
    </row>
    <row r="195" spans="1:2">
      <c r="A195" s="874" t="s">
        <v>2860</v>
      </c>
      <c r="B195" s="730" t="s">
        <v>222</v>
      </c>
    </row>
    <row r="196" spans="1:2">
      <c r="A196" s="874" t="s">
        <v>224</v>
      </c>
      <c r="B196" s="730" t="s">
        <v>225</v>
      </c>
    </row>
    <row r="197" spans="1:2">
      <c r="A197" s="874" t="s">
        <v>1500</v>
      </c>
      <c r="B197" s="730" t="s">
        <v>3012</v>
      </c>
    </row>
    <row r="198" spans="1:2">
      <c r="A198" s="874" t="s">
        <v>1914</v>
      </c>
      <c r="B198" s="730" t="s">
        <v>2270</v>
      </c>
    </row>
    <row r="199" spans="1:2">
      <c r="A199" s="874" t="s">
        <v>985</v>
      </c>
      <c r="B199" s="730" t="s">
        <v>986</v>
      </c>
    </row>
    <row r="200" spans="1:2">
      <c r="A200" s="874" t="s">
        <v>982</v>
      </c>
      <c r="B200" s="730" t="s">
        <v>983</v>
      </c>
    </row>
    <row r="201" spans="1:2">
      <c r="A201" s="874" t="s">
        <v>2472</v>
      </c>
      <c r="B201" s="730" t="s">
        <v>2476</v>
      </c>
    </row>
    <row r="202" spans="1:2">
      <c r="A202" s="874" t="s">
        <v>2473</v>
      </c>
      <c r="B202" s="730" t="s">
        <v>2474</v>
      </c>
    </row>
    <row r="203" spans="1:2">
      <c r="A203" s="874" t="s">
        <v>2873</v>
      </c>
      <c r="B203" s="730" t="s">
        <v>2874</v>
      </c>
    </row>
    <row r="204" spans="1:2">
      <c r="A204" s="874" t="s">
        <v>78</v>
      </c>
      <c r="B204" s="730" t="s">
        <v>79</v>
      </c>
    </row>
    <row r="205" spans="1:2">
      <c r="A205" s="874" t="s">
        <v>3118</v>
      </c>
      <c r="B205" s="730" t="s">
        <v>3119</v>
      </c>
    </row>
    <row r="206" spans="1:2">
      <c r="A206" s="874" t="s">
        <v>3112</v>
      </c>
      <c r="B206" s="730" t="s">
        <v>3113</v>
      </c>
    </row>
    <row r="207" spans="1:2">
      <c r="A207" s="874" t="s">
        <v>3117</v>
      </c>
      <c r="B207" s="730" t="s">
        <v>3116</v>
      </c>
    </row>
    <row r="208" spans="1:2">
      <c r="A208" s="874" t="s">
        <v>2708</v>
      </c>
      <c r="B208" s="730" t="s">
        <v>2709</v>
      </c>
    </row>
    <row r="209" spans="1:2">
      <c r="A209" s="874" t="s">
        <v>1275</v>
      </c>
      <c r="B209" s="730" t="s">
        <v>1276</v>
      </c>
    </row>
    <row r="210" spans="1:2">
      <c r="A210" s="874" t="s">
        <v>288</v>
      </c>
      <c r="B210" s="730" t="s">
        <v>289</v>
      </c>
    </row>
    <row r="211" spans="1:2">
      <c r="A211" s="874" t="s">
        <v>1504</v>
      </c>
      <c r="B211" s="730" t="s">
        <v>1502</v>
      </c>
    </row>
    <row r="212" spans="1:2">
      <c r="A212" s="874" t="s">
        <v>1540</v>
      </c>
      <c r="B212" s="730" t="s">
        <v>1541</v>
      </c>
    </row>
    <row r="213" spans="1:2">
      <c r="A213" s="874" t="s">
        <v>1398</v>
      </c>
      <c r="B213" s="730" t="s">
        <v>1399</v>
      </c>
    </row>
    <row r="214" spans="1:2">
      <c r="A214" s="874" t="s">
        <v>1889</v>
      </c>
      <c r="B214" s="730" t="s">
        <v>1890</v>
      </c>
    </row>
    <row r="215" spans="1:2">
      <c r="A215" s="874" t="s">
        <v>2777</v>
      </c>
      <c r="B215" s="730" t="s">
        <v>2778</v>
      </c>
    </row>
    <row r="216" spans="1:2">
      <c r="A216" s="874" t="s">
        <v>2302</v>
      </c>
      <c r="B216" s="730" t="s">
        <v>2805</v>
      </c>
    </row>
    <row r="217" spans="1:2">
      <c r="A217" s="874" t="s">
        <v>1132</v>
      </c>
      <c r="B217" s="730" t="s">
        <v>2802</v>
      </c>
    </row>
    <row r="218" spans="1:2">
      <c r="A218" s="874" t="s">
        <v>828</v>
      </c>
      <c r="B218" s="730" t="s">
        <v>2803</v>
      </c>
    </row>
    <row r="219" spans="1:2">
      <c r="A219" s="874" t="s">
        <v>1418</v>
      </c>
      <c r="B219" s="730" t="s">
        <v>2806</v>
      </c>
    </row>
    <row r="220" spans="1:2">
      <c r="A220" s="874" t="s">
        <v>2800</v>
      </c>
      <c r="B220" s="730" t="s">
        <v>2804</v>
      </c>
    </row>
    <row r="221" spans="1:2">
      <c r="A221" s="874" t="s">
        <v>1027</v>
      </c>
      <c r="B221" s="730" t="s">
        <v>1028</v>
      </c>
    </row>
    <row r="222" spans="1:2">
      <c r="A222" s="874" t="s">
        <v>1785</v>
      </c>
      <c r="B222" s="730" t="s">
        <v>271</v>
      </c>
    </row>
    <row r="223" spans="1:2">
      <c r="A223" s="874" t="s">
        <v>2602</v>
      </c>
      <c r="B223" s="730" t="s">
        <v>2603</v>
      </c>
    </row>
    <row r="224" spans="1:2">
      <c r="A224" s="874" t="s">
        <v>2600</v>
      </c>
      <c r="B224" s="730" t="s">
        <v>2601</v>
      </c>
    </row>
    <row r="225" spans="1:2">
      <c r="A225" s="874" t="s">
        <v>2597</v>
      </c>
      <c r="B225" s="730" t="s">
        <v>2598</v>
      </c>
    </row>
    <row r="226" spans="1:2">
      <c r="A226" s="874" t="s">
        <v>2267</v>
      </c>
      <c r="B226" s="730" t="s">
        <v>2268</v>
      </c>
    </row>
    <row r="227" spans="1:2">
      <c r="A227" s="874" t="s">
        <v>2265</v>
      </c>
      <c r="B227" s="730" t="s">
        <v>2266</v>
      </c>
    </row>
    <row r="228" spans="1:2">
      <c r="A228" s="874" t="s">
        <v>1106</v>
      </c>
      <c r="B228" s="730" t="s">
        <v>1107</v>
      </c>
    </row>
    <row r="229" spans="1:2">
      <c r="A229" s="874" t="s">
        <v>3513</v>
      </c>
      <c r="B229" s="730" t="s">
        <v>1479</v>
      </c>
    </row>
    <row r="230" spans="1:2">
      <c r="A230" s="874" t="s">
        <v>226</v>
      </c>
      <c r="B230" s="730" t="s">
        <v>1032</v>
      </c>
    </row>
    <row r="231" spans="1:2">
      <c r="A231" s="874" t="s">
        <v>1750</v>
      </c>
      <c r="B231" s="730" t="s">
        <v>1751</v>
      </c>
    </row>
    <row r="232" spans="1:2">
      <c r="A232" s="874" t="s">
        <v>182</v>
      </c>
      <c r="B232" s="730" t="s">
        <v>183</v>
      </c>
    </row>
    <row r="233" spans="1:2">
      <c r="A233" s="874" t="s">
        <v>3582</v>
      </c>
      <c r="B233" s="730" t="s">
        <v>2789</v>
      </c>
    </row>
    <row r="234" spans="1:2">
      <c r="A234" s="874" t="s">
        <v>1042</v>
      </c>
      <c r="B234" s="730" t="s">
        <v>1043</v>
      </c>
    </row>
    <row r="235" spans="1:2">
      <c r="A235" s="874" t="s">
        <v>3313</v>
      </c>
      <c r="B235" s="730" t="s">
        <v>3314</v>
      </c>
    </row>
    <row r="236" spans="1:2">
      <c r="A236" s="874" t="s">
        <v>423</v>
      </c>
      <c r="B236" s="730" t="s">
        <v>424</v>
      </c>
    </row>
    <row r="237" spans="1:2">
      <c r="A237" s="874" t="s">
        <v>1363</v>
      </c>
      <c r="B237" s="730" t="s">
        <v>1364</v>
      </c>
    </row>
    <row r="238" spans="1:2">
      <c r="A238" s="874" t="s">
        <v>675</v>
      </c>
      <c r="B238" s="730" t="s">
        <v>676</v>
      </c>
    </row>
    <row r="239" spans="1:2">
      <c r="A239" s="874" t="s">
        <v>673</v>
      </c>
      <c r="B239" s="730" t="s">
        <v>674</v>
      </c>
    </row>
    <row r="240" spans="1:2">
      <c r="A240" s="874" t="s">
        <v>1764</v>
      </c>
      <c r="B240" s="730" t="s">
        <v>1492</v>
      </c>
    </row>
    <row r="241" spans="1:2">
      <c r="A241" s="874" t="s">
        <v>806</v>
      </c>
      <c r="B241" s="730" t="s">
        <v>1038</v>
      </c>
    </row>
    <row r="242" spans="1:2">
      <c r="A242" s="874" t="s">
        <v>3467</v>
      </c>
      <c r="B242" s="730" t="s">
        <v>1749</v>
      </c>
    </row>
    <row r="243" spans="1:2">
      <c r="A243" s="874" t="s">
        <v>2744</v>
      </c>
      <c r="B243" s="730" t="s">
        <v>680</v>
      </c>
    </row>
    <row r="244" spans="1:2">
      <c r="A244" s="874" t="s">
        <v>1526</v>
      </c>
      <c r="B244" s="730" t="s">
        <v>1527</v>
      </c>
    </row>
    <row r="245" spans="1:2">
      <c r="A245" s="874" t="s">
        <v>1521</v>
      </c>
      <c r="B245" s="730" t="s">
        <v>1522</v>
      </c>
    </row>
    <row r="246" spans="1:2">
      <c r="A246" s="874" t="s">
        <v>1515</v>
      </c>
      <c r="B246" s="730" t="s">
        <v>1516</v>
      </c>
    </row>
    <row r="247" spans="1:2">
      <c r="A247" s="874" t="s">
        <v>1523</v>
      </c>
      <c r="B247" s="730" t="s">
        <v>1524</v>
      </c>
    </row>
    <row r="248" spans="1:2">
      <c r="A248" s="874" t="s">
        <v>1518</v>
      </c>
      <c r="B248" s="730" t="s">
        <v>1519</v>
      </c>
    </row>
    <row r="249" spans="1:2">
      <c r="A249" s="874" t="s">
        <v>1513</v>
      </c>
      <c r="B249" s="730" t="s">
        <v>1514</v>
      </c>
    </row>
    <row r="250" spans="1:2">
      <c r="A250" s="874" t="s">
        <v>1280</v>
      </c>
      <c r="B250" s="730" t="s">
        <v>1281</v>
      </c>
    </row>
    <row r="251" spans="1:2">
      <c r="A251" s="874" t="s">
        <v>498</v>
      </c>
      <c r="B251" s="730" t="s">
        <v>497</v>
      </c>
    </row>
    <row r="252" spans="1:2">
      <c r="A252" s="874" t="s">
        <v>238</v>
      </c>
      <c r="B252" s="730" t="s">
        <v>239</v>
      </c>
    </row>
    <row r="253" spans="1:2">
      <c r="A253" s="874" t="s">
        <v>236</v>
      </c>
      <c r="B253" s="730" t="s">
        <v>237</v>
      </c>
    </row>
    <row r="254" spans="1:2">
      <c r="A254" s="874" t="s">
        <v>1030</v>
      </c>
      <c r="B254" s="730" t="s">
        <v>1033</v>
      </c>
    </row>
    <row r="255" spans="1:2">
      <c r="A255" s="874" t="s">
        <v>2719</v>
      </c>
      <c r="B255" s="730" t="s">
        <v>2720</v>
      </c>
    </row>
    <row r="256" spans="1:2">
      <c r="A256" s="874" t="s">
        <v>849</v>
      </c>
      <c r="B256" s="730" t="s">
        <v>850</v>
      </c>
    </row>
    <row r="257" spans="1:2">
      <c r="A257" s="874" t="s">
        <v>849</v>
      </c>
      <c r="B257" s="730" t="s">
        <v>2489</v>
      </c>
    </row>
    <row r="258" spans="1:2">
      <c r="A258" s="874" t="s">
        <v>1765</v>
      </c>
      <c r="B258" s="730" t="s">
        <v>1726</v>
      </c>
    </row>
    <row r="259" spans="1:2">
      <c r="A259" s="874" t="s">
        <v>797</v>
      </c>
      <c r="B259" s="730" t="s">
        <v>2562</v>
      </c>
    </row>
    <row r="260" spans="1:2">
      <c r="A260" s="874" t="s">
        <v>811</v>
      </c>
      <c r="B260" s="730" t="s">
        <v>812</v>
      </c>
    </row>
    <row r="261" spans="1:2">
      <c r="A261" s="874" t="s">
        <v>463</v>
      </c>
      <c r="B261" s="730" t="s">
        <v>464</v>
      </c>
    </row>
    <row r="262" spans="1:2">
      <c r="A262" s="874" t="s">
        <v>383</v>
      </c>
      <c r="B262" s="730" t="s">
        <v>384</v>
      </c>
    </row>
    <row r="263" spans="1:2">
      <c r="A263" s="874" t="s">
        <v>381</v>
      </c>
      <c r="B263" s="730" t="s">
        <v>382</v>
      </c>
    </row>
    <row r="264" spans="1:2">
      <c r="A264" s="874" t="s">
        <v>1627</v>
      </c>
      <c r="B264" s="730" t="s">
        <v>1628</v>
      </c>
    </row>
    <row r="265" spans="1:2">
      <c r="A265" s="874" t="s">
        <v>598</v>
      </c>
      <c r="B265" s="730" t="s">
        <v>599</v>
      </c>
    </row>
    <row r="266" spans="1:2">
      <c r="A266" s="874" t="s">
        <v>490</v>
      </c>
      <c r="B266" s="730" t="s">
        <v>491</v>
      </c>
    </row>
    <row r="267" spans="1:2">
      <c r="A267" s="874" t="s">
        <v>493</v>
      </c>
      <c r="B267" s="730" t="s">
        <v>494</v>
      </c>
    </row>
    <row r="268" spans="1:2">
      <c r="A268" s="874" t="s">
        <v>1362</v>
      </c>
      <c r="B268" s="730" t="s">
        <v>492</v>
      </c>
    </row>
    <row r="269" spans="1:2">
      <c r="A269" s="874" t="s">
        <v>825</v>
      </c>
      <c r="B269" s="730" t="s">
        <v>826</v>
      </c>
    </row>
    <row r="270" spans="1:2">
      <c r="A270" s="874" t="s">
        <v>858</v>
      </c>
      <c r="B270" s="730" t="s">
        <v>859</v>
      </c>
    </row>
    <row r="271" spans="1:2">
      <c r="A271" s="874" t="s">
        <v>933</v>
      </c>
      <c r="B271" s="730" t="s">
        <v>934</v>
      </c>
    </row>
    <row r="272" spans="1:2">
      <c r="A272" s="874" t="s">
        <v>3561</v>
      </c>
      <c r="B272" s="730" t="s">
        <v>2367</v>
      </c>
    </row>
    <row r="273" spans="1:2">
      <c r="A273" s="874" t="s">
        <v>3483</v>
      </c>
      <c r="B273" s="730" t="s">
        <v>3484</v>
      </c>
    </row>
    <row r="274" spans="1:2">
      <c r="A274" s="874" t="s">
        <v>927</v>
      </c>
      <c r="B274" s="730" t="s">
        <v>930</v>
      </c>
    </row>
    <row r="275" spans="1:2">
      <c r="A275" s="874" t="s">
        <v>622</v>
      </c>
      <c r="B275" s="730" t="s">
        <v>623</v>
      </c>
    </row>
    <row r="276" spans="1:2">
      <c r="A276" s="874" t="s">
        <v>181</v>
      </c>
      <c r="B276" s="730" t="s">
        <v>929</v>
      </c>
    </row>
    <row r="277" spans="1:2">
      <c r="A277" s="874" t="s">
        <v>2572</v>
      </c>
      <c r="B277" s="730" t="s">
        <v>2573</v>
      </c>
    </row>
    <row r="278" spans="1:2">
      <c r="A278" s="874" t="s">
        <v>124</v>
      </c>
      <c r="B278" s="730" t="s">
        <v>125</v>
      </c>
    </row>
    <row r="279" spans="1:2">
      <c r="A279" s="874" t="s">
        <v>1617</v>
      </c>
      <c r="B279" s="730" t="s">
        <v>1618</v>
      </c>
    </row>
    <row r="280" spans="1:2">
      <c r="A280" s="874" t="s">
        <v>1165</v>
      </c>
      <c r="B280" s="730" t="s">
        <v>1166</v>
      </c>
    </row>
    <row r="281" spans="1:2">
      <c r="A281" s="874" t="s">
        <v>1173</v>
      </c>
      <c r="B281" s="730" t="s">
        <v>1172</v>
      </c>
    </row>
    <row r="282" spans="1:2">
      <c r="A282" s="874" t="s">
        <v>1133</v>
      </c>
      <c r="B282" s="730" t="s">
        <v>1134</v>
      </c>
    </row>
    <row r="283" spans="1:2">
      <c r="A283" s="874" t="s">
        <v>843</v>
      </c>
      <c r="B283" s="730" t="s">
        <v>844</v>
      </c>
    </row>
    <row r="284" spans="1:2">
      <c r="A284" s="874" t="s">
        <v>3220</v>
      </c>
      <c r="B284" s="730" t="s">
        <v>2861</v>
      </c>
    </row>
    <row r="285" spans="1:2">
      <c r="A285" s="874" t="s">
        <v>2832</v>
      </c>
      <c r="B285" s="730" t="s">
        <v>2833</v>
      </c>
    </row>
    <row r="286" spans="1:2">
      <c r="A286" s="874" t="s">
        <v>1643</v>
      </c>
      <c r="B286" s="730" t="s">
        <v>1644</v>
      </c>
    </row>
    <row r="287" spans="1:2">
      <c r="A287" s="874" t="s">
        <v>190</v>
      </c>
      <c r="B287" s="730" t="s">
        <v>191</v>
      </c>
    </row>
    <row r="288" spans="1:2">
      <c r="A288" s="874" t="s">
        <v>3491</v>
      </c>
      <c r="B288" s="730" t="s">
        <v>3492</v>
      </c>
    </row>
    <row r="289" spans="1:2">
      <c r="A289" s="874" t="s">
        <v>1258</v>
      </c>
      <c r="B289" s="730" t="s">
        <v>1259</v>
      </c>
    </row>
    <row r="290" spans="1:2">
      <c r="A290" s="874" t="s">
        <v>771</v>
      </c>
      <c r="B290" s="730" t="s">
        <v>2238</v>
      </c>
    </row>
    <row r="291" spans="1:2">
      <c r="A291" s="874" t="s">
        <v>62</v>
      </c>
      <c r="B291" s="730" t="s">
        <v>66</v>
      </c>
    </row>
    <row r="292" spans="1:2">
      <c r="A292" s="874" t="s">
        <v>1469</v>
      </c>
      <c r="B292" s="730" t="s">
        <v>1471</v>
      </c>
    </row>
    <row r="293" spans="1:2">
      <c r="A293" s="874" t="s">
        <v>2246</v>
      </c>
      <c r="B293" s="730" t="s">
        <v>2247</v>
      </c>
    </row>
    <row r="294" spans="1:2">
      <c r="A294" s="874" t="s">
        <v>668</v>
      </c>
      <c r="B294" s="730" t="s">
        <v>669</v>
      </c>
    </row>
    <row r="295" spans="1:2">
      <c r="A295" s="874" t="s">
        <v>231</v>
      </c>
      <c r="B295" s="730" t="s">
        <v>232</v>
      </c>
    </row>
    <row r="296" spans="1:2">
      <c r="A296" s="874" t="s">
        <v>589</v>
      </c>
      <c r="B296" s="730" t="s">
        <v>590</v>
      </c>
    </row>
    <row r="297" spans="1:2">
      <c r="A297" s="874" t="s">
        <v>1427</v>
      </c>
      <c r="B297" s="730" t="s">
        <v>1428</v>
      </c>
    </row>
    <row r="298" spans="1:2">
      <c r="A298" s="874" t="s">
        <v>955</v>
      </c>
      <c r="B298" s="730" t="s">
        <v>956</v>
      </c>
    </row>
    <row r="299" spans="1:2">
      <c r="A299" s="874" t="s">
        <v>802</v>
      </c>
      <c r="B299" s="730" t="s">
        <v>803</v>
      </c>
    </row>
    <row r="300" spans="1:2">
      <c r="A300" s="874" t="s">
        <v>1786</v>
      </c>
      <c r="B300" s="730" t="s">
        <v>1787</v>
      </c>
    </row>
    <row r="301" spans="1:2">
      <c r="A301" s="874" t="s">
        <v>419</v>
      </c>
      <c r="B301" s="730" t="s">
        <v>420</v>
      </c>
    </row>
    <row r="302" spans="1:2">
      <c r="A302" s="874" t="s">
        <v>1483</v>
      </c>
      <c r="B302" s="730" t="s">
        <v>1484</v>
      </c>
    </row>
    <row r="303" spans="1:2">
      <c r="A303" s="874" t="s">
        <v>2780</v>
      </c>
      <c r="B303" s="730" t="s">
        <v>2781</v>
      </c>
    </row>
    <row r="304" spans="1:2">
      <c r="A304" s="874" t="s">
        <v>1913</v>
      </c>
      <c r="B304" s="730" t="s">
        <v>2269</v>
      </c>
    </row>
    <row r="305" spans="1:2">
      <c r="A305" s="874" t="s">
        <v>1169</v>
      </c>
      <c r="B305" s="730" t="s">
        <v>2196</v>
      </c>
    </row>
    <row r="306" spans="1:2">
      <c r="A306" s="874" t="s">
        <v>82</v>
      </c>
      <c r="B306" s="730" t="s">
        <v>83</v>
      </c>
    </row>
    <row r="307" spans="1:2">
      <c r="A307" s="874" t="s">
        <v>86</v>
      </c>
      <c r="B307" s="730" t="s">
        <v>87</v>
      </c>
    </row>
    <row r="308" spans="1:2">
      <c r="A308" s="874" t="s">
        <v>84</v>
      </c>
      <c r="B308" s="730" t="s">
        <v>85</v>
      </c>
    </row>
    <row r="309" spans="1:2">
      <c r="A309" s="874" t="s">
        <v>164</v>
      </c>
      <c r="B309" s="730" t="s">
        <v>165</v>
      </c>
    </row>
    <row r="310" spans="1:2">
      <c r="A310" s="874" t="s">
        <v>1716</v>
      </c>
      <c r="B310" s="730" t="s">
        <v>1717</v>
      </c>
    </row>
    <row r="311" spans="1:2">
      <c r="A311" s="874" t="s">
        <v>798</v>
      </c>
      <c r="B311" s="730" t="s">
        <v>799</v>
      </c>
    </row>
    <row r="312" spans="1:2">
      <c r="A312" s="874" t="s">
        <v>3580</v>
      </c>
      <c r="B312" s="730" t="s">
        <v>1141</v>
      </c>
    </row>
    <row r="313" spans="1:2">
      <c r="A313" s="874" t="s">
        <v>1712</v>
      </c>
      <c r="B313" s="730" t="s">
        <v>1713</v>
      </c>
    </row>
    <row r="314" spans="1:2">
      <c r="A314" s="874" t="s">
        <v>235</v>
      </c>
      <c r="B314" s="730" t="s">
        <v>1709</v>
      </c>
    </row>
    <row r="315" spans="1:2">
      <c r="A315" s="874" t="s">
        <v>1710</v>
      </c>
      <c r="B315" s="730" t="s">
        <v>1711</v>
      </c>
    </row>
    <row r="316" spans="1:2">
      <c r="A316" s="874" t="s">
        <v>1505</v>
      </c>
      <c r="B316" s="730" t="s">
        <v>1503</v>
      </c>
    </row>
    <row r="317" spans="1:2">
      <c r="A317" s="874" t="s">
        <v>2674</v>
      </c>
      <c r="B317" s="730" t="s">
        <v>2675</v>
      </c>
    </row>
    <row r="318" spans="1:2">
      <c r="A318" s="874" t="s">
        <v>193</v>
      </c>
      <c r="B318" s="730" t="s">
        <v>194</v>
      </c>
    </row>
    <row r="319" spans="1:2">
      <c r="A319" s="874" t="s">
        <v>2511</v>
      </c>
      <c r="B319" s="730" t="s">
        <v>4</v>
      </c>
    </row>
    <row r="320" spans="1:2">
      <c r="A320" s="874" t="s">
        <v>3494</v>
      </c>
      <c r="B320" s="730" t="s">
        <v>3015</v>
      </c>
    </row>
    <row r="321" spans="1:2">
      <c r="A321" s="874" t="s">
        <v>923</v>
      </c>
      <c r="B321" s="730" t="s">
        <v>3013</v>
      </c>
    </row>
    <row r="322" spans="1:2">
      <c r="A322" s="874" t="s">
        <v>2746</v>
      </c>
      <c r="B322" s="730" t="s">
        <v>926</v>
      </c>
    </row>
    <row r="323" spans="1:2">
      <c r="A323" s="874" t="s">
        <v>1624</v>
      </c>
      <c r="B323" s="730" t="s">
        <v>1625</v>
      </c>
    </row>
    <row r="324" spans="1:2">
      <c r="A324" s="874" t="s">
        <v>9</v>
      </c>
      <c r="B324" s="730" t="s">
        <v>612</v>
      </c>
    </row>
    <row r="325" spans="1:2">
      <c r="A325" s="874" t="s">
        <v>823</v>
      </c>
      <c r="B325" s="730" t="s">
        <v>824</v>
      </c>
    </row>
    <row r="326" spans="1:2">
      <c r="A326" s="874" t="s">
        <v>2297</v>
      </c>
      <c r="B326" s="730" t="s">
        <v>2298</v>
      </c>
    </row>
    <row r="327" spans="1:2">
      <c r="A327" s="874" t="s">
        <v>3579</v>
      </c>
      <c r="B327" s="730" t="s">
        <v>1140</v>
      </c>
    </row>
    <row r="328" spans="1:2">
      <c r="A328" s="874" t="s">
        <v>487</v>
      </c>
      <c r="B328" s="730" t="s">
        <v>488</v>
      </c>
    </row>
    <row r="329" spans="1:2">
      <c r="A329" s="874" t="s">
        <v>1095</v>
      </c>
      <c r="B329" s="730" t="s">
        <v>1096</v>
      </c>
    </row>
    <row r="330" spans="1:2">
      <c r="A330" s="874" t="s">
        <v>2754</v>
      </c>
      <c r="B330" s="730" t="s">
        <v>1727</v>
      </c>
    </row>
    <row r="331" spans="1:2">
      <c r="A331" s="876" t="s">
        <v>3563</v>
      </c>
      <c r="B331" s="730" t="s">
        <v>3564</v>
      </c>
    </row>
    <row r="332" spans="1:2">
      <c r="A332" s="874" t="s">
        <v>2224</v>
      </c>
      <c r="B332" s="730" t="s">
        <v>2225</v>
      </c>
    </row>
    <row r="333" spans="1:2">
      <c r="A333" s="874" t="s">
        <v>2664</v>
      </c>
      <c r="B333" s="730" t="s">
        <v>2665</v>
      </c>
    </row>
    <row r="334" spans="1:2">
      <c r="A334" s="874" t="s">
        <v>1932</v>
      </c>
      <c r="B334" s="730" t="s">
        <v>1933</v>
      </c>
    </row>
    <row r="335" spans="1:2">
      <c r="A335" s="874" t="s">
        <v>2667</v>
      </c>
      <c r="B335" s="730" t="s">
        <v>2668</v>
      </c>
    </row>
    <row r="336" spans="1:2">
      <c r="A336" s="874" t="s">
        <v>3556</v>
      </c>
      <c r="B336" s="730" t="s">
        <v>741</v>
      </c>
    </row>
    <row r="337" spans="1:2">
      <c r="A337" s="874" t="s">
        <v>160</v>
      </c>
      <c r="B337" s="730" t="s">
        <v>595</v>
      </c>
    </row>
    <row r="338" spans="1:2">
      <c r="A338" s="874" t="s">
        <v>3555</v>
      </c>
      <c r="B338" s="730" t="s">
        <v>740</v>
      </c>
    </row>
    <row r="339" spans="1:2">
      <c r="A339" s="874" t="s">
        <v>2564</v>
      </c>
      <c r="B339" s="730" t="s">
        <v>742</v>
      </c>
    </row>
    <row r="340" spans="1:2">
      <c r="A340" s="874" t="s">
        <v>3129</v>
      </c>
      <c r="B340" s="730" t="s">
        <v>3130</v>
      </c>
    </row>
    <row r="341" spans="1:2">
      <c r="A341" s="874" t="s">
        <v>3131</v>
      </c>
      <c r="B341" s="730" t="s">
        <v>3132</v>
      </c>
    </row>
    <row r="342" spans="1:2">
      <c r="A342" s="874" t="s">
        <v>1783</v>
      </c>
      <c r="B342" s="730" t="s">
        <v>1784</v>
      </c>
    </row>
    <row r="343" spans="1:2">
      <c r="A343" s="874" t="s">
        <v>1795</v>
      </c>
      <c r="B343" s="730" t="s">
        <v>1796</v>
      </c>
    </row>
    <row r="344" spans="1:2">
      <c r="A344" s="874" t="s">
        <v>3512</v>
      </c>
      <c r="B344" s="730" t="s">
        <v>3516</v>
      </c>
    </row>
  </sheetData>
  <phoneticPr fontId="84" type="noConversion"/>
  <hyperlinks>
    <hyperlink ref="B5" location="space_other_equip" display="space_other_equip" xr:uid="{458114D4-C881-4C26-BC7E-7ABAAF1CB102}"/>
    <hyperlink ref="B6" location="space_pumps_cust" display="space_pumps_cust" xr:uid="{7D141282-7503-4949-8CF8-C0DD0971C0CD}"/>
    <hyperlink ref="B7" location="space_pumps_pre" display="space_pumps_pre" xr:uid="{C880ECD7-53D1-4C9A-8691-36FAEC852E8A}"/>
    <hyperlink ref="B8" location="redund_freq" display="redund_freq" xr:uid="{EE360310-569A-43A9-8154-6D9317F0C81E}"/>
    <hyperlink ref="B9" location="coag_res" display="coag_res" xr:uid="{6B0CEC40-FC2B-4CA2-A65B-439F7052CE51}"/>
    <hyperlink ref="B10" location="add_2nd_building" display="add_2nd_building" xr:uid="{24B9C23D-74FE-4D0A-BE68-D795CB03F97C}"/>
    <hyperlink ref="B11" location="add_cond" display="add_cond" xr:uid="{E8090655-62BC-4EC3-A2DB-2799ED4EE859}"/>
    <hyperlink ref="B12" location="sec_cont_freeboard" display="sec_cont_freeboard" xr:uid="{06E2C504-2D62-4EF0-9BD1-42A523EA76C5}"/>
    <hyperlink ref="B13" location="addl_redund_cart_per_flow" display="addl_redund_cart_per_flow" xr:uid="{10A49D08-F101-495C-BAF8-91E8BED30BAF}"/>
    <hyperlink ref="B14" location="add_ports" display="add_ports" xr:uid="{856A155F-F3C4-4869-8E38-684932D3CB7B}"/>
    <hyperlink ref="B15" location="add_turb" display="add_turb" xr:uid="{F743D474-EAF8-44A9-AE6F-C63933902CBB}"/>
    <hyperlink ref="B16" location="add_turb_small" display="add_turb_small" xr:uid="{6AB1ECBA-DD2D-48E9-BCD8-81D46924C50F}"/>
    <hyperlink ref="B17" location="Clerical_percent" display="Clerical_percent" xr:uid="{8A39581B-4B3B-4215-B8FD-1081C4BDF590}"/>
    <hyperlink ref="B18" location="EER" display="EER" xr:uid="{B39EA3BE-A131-4888-A254-1FABF2ECD7CD}"/>
    <hyperlink ref="B19" location="cool_DD" display="cool_DD" xr:uid="{9F5936AB-F49A-4A0D-8F4A-7248B525BE59}"/>
    <hyperlink ref="B20" location="heat_DD" display="heat_DD" xr:uid="{51EA14F8-B65D-4823-8A0B-CFDD9B4F76FC}"/>
    <hyperlink ref="B21" location="resin_loss_annual" display="resin_loss_annual" xr:uid="{D7DB3C86-6FF8-49E8-90B3-FA290F78AF7A}"/>
    <hyperlink ref="B22" location="POTW_base_fee" display="POTW_base_fee" xr:uid="{41DDD58C-FE41-4F69-A6AE-70892EFBF5CE}"/>
    <hyperlink ref="B23" location="POTW_TSS_fee" display="POTW_TSS_fee" xr:uid="{6B00028B-4DEC-467C-B036-DD63BD17AF65}"/>
    <hyperlink ref="B24" location="POTW_volume_fee" display="POTW_volume_fee" xr:uid="{2A7E45AA-5F47-467B-BA60-B2E2CA3DAA32}"/>
    <hyperlink ref="B25" location="pan_evap" display="pan_evap" xr:uid="{A67D64DD-0206-4C86-BB6B-46037502048E}"/>
    <hyperlink ref="B26" location="precip" display="precip" xr:uid="{260F3445-785A-437F-ABC5-4986F687C249}"/>
    <hyperlink ref="B27" location="average_flow_I" display="average_flow_I" xr:uid="{7793AC2E-4998-4C70-84B5-7A518229B4F4}"/>
    <hyperlink ref="B28" location="add_backwash_freq" display="add_backwash_freq" xr:uid="{5BC44D2E-04BC-4EDB-A5AC-58614A6329CF}"/>
    <hyperlink ref="B29" location="h2oflush_backwash_rate" display="h2oflush_backwash_rate" xr:uid="{E9DC35E6-213A-49BB-AB60-8110DD826CFC}"/>
    <hyperlink ref="B30" location="back_pipe_mult" display="back_pipe_mult" xr:uid="{939E977A-04E8-47AC-A86F-E41863AF1FED}"/>
    <hyperlink ref="B31" location="backwash_time" display="backwash_time" xr:uid="{05872300-2A98-40C5-BB34-74C8745DF6B0}"/>
    <hyperlink ref="B32" location="no_backwash_I" display="no_backwash_I" xr:uid="{E8F2BA94-5410-4400-88EF-A18E7A59D363}"/>
    <hyperlink ref="B33" location="no_back_tank_I" display="no_back_tank_I" xr:uid="{18F615A7-0A59-4EDF-BF83-6C72D4BE7A16}"/>
    <hyperlink ref="B34" location="deep_bore_need" display="deep_bore_need" xr:uid="{D131A1D6-26D7-407F-9FCB-33F4D7E57B84}"/>
    <hyperlink ref="B35" location="bed_depth" display="bed_depth" xr:uid="{EB672D22-DB19-475D-8540-C675A3A86620}"/>
    <hyperlink ref="B36" location="BV_regen" display="BV_regen" xr:uid="{044FDF91-4B82-44AF-9930-E3921783B850}"/>
    <hyperlink ref="B37" location="BV_definition" display="BV_definition" xr:uid="{CE490BEA-AD99-4FD1-8319-7D03170D49E8}"/>
    <hyperlink ref="B38" location="bedding_depth" display="bedding_depth" xr:uid="{EE9C5C57-CEEE-4EAE-A10C-BED8266F171B}"/>
    <hyperlink ref="B39" location="bedding_pct" display="bedding_pct" xr:uid="{B9822CD7-88CB-4A86-BA62-C7117F3FBB7F}"/>
    <hyperlink ref="B40" location="bore_depth_max" display="bore_depth_max" xr:uid="{8A5C5519-C9EE-4079-A9A3-03E841350B71}"/>
    <hyperlink ref="B41" location="bore_depth_min" display="bore_depth_min" xr:uid="{FA830761-04A9-41FA-85A7-8BC67BF63BEA}"/>
    <hyperlink ref="B42" location="bore_depth_nobasin" display="bore_depth_nobasin" xr:uid="{454DD7A7-1AFA-451F-AF51-F179D5AF6300}"/>
    <hyperlink ref="B43" location="hole_per_sf" display="hole_per_sf" xr:uid="{A7A91469-53C3-4F55-90AB-03D945FCD59E}"/>
    <hyperlink ref="B44" location="hole_per_job" display="hole_per_job" xr:uid="{3FE51EC1-A9C3-4CCC-98D1-6A1419360094}"/>
    <hyperlink ref="B45" location="brine_method_I" display="brine_method_I" xr:uid="{4D34D42A-01B1-4874-8CB8-5EE12FBFA815}"/>
    <hyperlink ref="B46" location="brine_load" display="brine_load" xr:uid="{9FEF57C0-BBD3-4D97-807E-32FC3D7C411E}"/>
    <hyperlink ref="B47" location="br_ins_pct" display="br_ins_pct" xr:uid="{766CA401-41FB-4FEF-978E-F561176752F3}"/>
    <hyperlink ref="B48" location="bp_pct" display="bp_pct" xr:uid="{70E34D4A-C2D9-4639-A409-FF88CAB8DF9D}"/>
    <hyperlink ref="B49" location="bp_pipe_mult" display="bp_pipe_mult" xr:uid="{0751ECF3-47BB-4F15-A202-AE6470F4E36E}"/>
    <hyperlink ref="B50" location="solids_haz_I" display="solids_haz_I" xr:uid="{B0BF68DB-47B6-4A83-BD6E-511D7E2DCD01}"/>
    <hyperlink ref="B51" location="chem_pipe_mult" display="chem_pipe_mult" xr:uid="{F793802A-C593-4F63-AE79-A07C9D7DE046}"/>
    <hyperlink ref="B52" location="sec_cont_coating_cvg" display="sec_cont_coating_cvg" xr:uid="{F055AA82-C4CD-4934-A1D1-DEB8C2E7E1C4}"/>
    <hyperlink ref="B53" location="storage_height" display="storage_height" xr:uid="{E80C7D68-4BD9-4969-8885-1623BA5BA0A9}"/>
    <hyperlink ref="B54" location="cmix_hp_per" display="cmix_hp_per" xr:uid="{114EEB1C-71D4-4947-9DFB-AAE6C96169C9}"/>
    <hyperlink ref="B55" location="City_Index" display="City_Index" xr:uid="{62867F0F-1461-408A-BD8D-A4ECA969C563}"/>
    <hyperlink ref="B56" location="OM_City_Index" display="OM_City_Index" xr:uid="{33AAA787-675E-4DA8-BB42-C9F378B11582}"/>
    <hyperlink ref="B57" location="htank_clean_pct" display="htank_clean_pct" xr:uid="{0AF7A679-4204-4AC3-B5CB-07B85C812F77}"/>
    <hyperlink ref="B58" location="ceiling_clearance" display="ceiling_clearance" xr:uid="{7B0E2E57-B06E-4936-97BB-0EAA55673B7D}"/>
    <hyperlink ref="B59" location="Coeff_Kp" display="Coeff_Kp" xr:uid="{14371504-AA54-474D-A5DB-059BA0376210}"/>
    <hyperlink ref="B60" location="component_level_I" display="component_level_I" xr:uid="{ED7508E4-F3AE-471A-97AE-4AC0D31ACDC0}"/>
    <hyperlink ref="B61" location="workstation_ratio" display="workstation_ratio" xr:uid="{25E883E8-75AC-4FCB-AC00-8EE1FC6BA527}"/>
    <hyperlink ref="B62" location="pad_thick" display="pad_thick" xr:uid="{EBECAE76-1311-4E98-8992-EA5868F0A679}"/>
    <hyperlink ref="B63" location="pad_thick_small" display="pad_thick_small" xr:uid="{1EB5D8D7-1BE4-40BE-A32B-70C0CDA8E2A8}"/>
    <hyperlink ref="B64" location="conc_thick" display="conc_thick" xr:uid="{9FCC9D61-0B95-40B9-98F8-B7156C8F28B3}"/>
    <hyperlink ref="B65" location="cond_tank" display="cond_tank" xr:uid="{932BC8A0-22B1-48C1-8999-C26771018A1E}"/>
    <hyperlink ref="B66" location="cooling_table" display="cooling_table" xr:uid="{C6C410F3-18BE-4F86-AA04-D6748CCAE979}"/>
    <hyperlink ref="B67" location="cooling_table_shed" display="cooling_table_shed" xr:uid="{7B343C0B-7927-44FB-B730-1C95BD709DEB}"/>
    <hyperlink ref="B68" location="cool_viload" display="cool_viload" xr:uid="{615CE2B3-AC26-4513-B77E-FC767986DCB3}"/>
    <hyperlink ref="B69" location="curve" display="curve" xr:uid="{E21ADBF9-D850-4ACE-BC25-0F95A866EF30}"/>
    <hyperlink ref="B70" location="booster_pump_maintenance" display="booster_pump_maintenance" xr:uid="{473358CA-424F-4156-AE99-8D076EB05306}"/>
    <hyperlink ref="B71" location="cstore_days" display="cstore_days" xr:uid="{BCBDC219-DF1C-4948-8B16-7CBFD1B94EAD}"/>
    <hyperlink ref="B72" location="winter_days" display="winter_days" xr:uid="{ABC9D5A4-B230-4119-B00C-7B0CA3E6FFD8}"/>
    <hyperlink ref="B73" location="hbasins_default" display="hbasins_default" xr:uid="{0C2C8ADD-6D2D-47D0-B6ED-D2701A0537A7}"/>
    <hyperlink ref="B74" location="design_flow_I" display="design_flow_I" xr:uid="{E3BEE75B-DD92-4FB3-8C39-7ACC66CC5534}"/>
    <hyperlink ref="B75" location="std_safety_factor" display="std_safety_factor" xr:uid="{C0FCBAFA-BD8B-428A-9AB4-02E40CBF7EB1}"/>
    <hyperlink ref="B76" location="alk_I" display="alk_I" xr:uid="{FFE43C2F-3D10-4FAD-8300-8D2F8D793F13}"/>
    <hyperlink ref="B77" location="pHf" display="pHf" xr:uid="{B73016C7-F259-4F7B-A20A-617718D1C17E}"/>
    <hyperlink ref="B78" location="res_s2_opt_I" display="res_s2_opt_I" xr:uid="{A8F45F56-F832-4703-97A1-2D2E09373C8C}"/>
    <hyperlink ref="B79" location="solids_method" display="solids_method" xr:uid="{1D67D4E0-0996-4CF1-ACB8-C4FA889CC7D6}"/>
    <hyperlink ref="B80" location="add_res_pipe_length" display="add_res_pipe_length" xr:uid="{9292F116-E1B0-4549-B713-68DCF3A305C2}"/>
    <hyperlink ref="B81" location="S_back_pump" display="S_back_pump" xr:uid="{C213C1F1-003D-403F-8CDF-E5CC7D13F7E7}"/>
    <hyperlink ref="B82" location="S_booster_pump" display="S_booster_pump" xr:uid="{F9803EE5-E4F9-47ED-B360-F45755AE94ED}"/>
    <hyperlink ref="B83" location="S_eductor" display="S_eductor" xr:uid="{4A96DDCD-AD69-4386-9BBF-17901E41FCB6}"/>
    <hyperlink ref="B84" location="S_cm_pump" display="S_cm_pump" xr:uid="{F114A853-36D8-445E-B15B-6CB7BAE1C369}"/>
    <hyperlink ref="B85" location="S_mixer" display="S_mixer" xr:uid="{11AAE759-07EF-415B-B3D6-0363E98EA64D}"/>
    <hyperlink ref="B86" location="S_res_pump" display="S_res_pump" xr:uid="{58A935B8-CF5C-4F9E-949D-0D25E21A8FF1}"/>
    <hyperlink ref="B87" location="resist_eff" display="resist_eff" xr:uid="{840EB6A3-C7A1-4DB6-9485-AFD2E2D6B288}"/>
    <hyperlink ref="B88" location="elect_pct" display="elect_pct" xr:uid="{E6ED8E27-9936-4330-B21F-8A06E9F36FBB}"/>
    <hyperlink ref="B89" location="eng_pct_large" display="eng_pct_large" xr:uid="{CA2FF796-808E-4693-BA44-4ACDD1CE0AAA}"/>
    <hyperlink ref="B90" location="eng_pct_medium" display="eng_pct_medium" xr:uid="{3A27AEBB-6258-4C20-B174-9713A1B97873}"/>
    <hyperlink ref="B91" location="eng_pct_small" display="eng_pct_small" xr:uid="{C60278E9-EE41-4C8A-BD6A-DB35E8449453}"/>
    <hyperlink ref="B92" location="plc_ethernet " display="plc_ethernet " xr:uid="{83E0EF37-C92E-4D7C-BA22-30B6F8EB6385}"/>
    <hyperlink ref="B93" location="dike_xsection" display="dike_xsection" xr:uid="{ADB82E70-4FAF-48D7-8257-AEF3F69EC2BE}"/>
    <hyperlink ref="B94" location="ep_freeboard" display="ep_freeboard" xr:uid="{48D69E76-DCA1-413C-8B19-FF822DD709FA}"/>
    <hyperlink ref="B95" location="ep_safety_factor" display="ep_safety_factor" xr:uid="{107563A2-5207-4554-8F47-56DFCE6970B2}"/>
    <hyperlink ref="B96" location="ep_solids_density" display="ep_solids_density" xr:uid="{F23A62DA-4629-4AFA-8082-936209CC687B}"/>
    <hyperlink ref="B97" location="dredging_freq" display="dredging_freq" xr:uid="{FD15CC4F-618A-4F8A-B4F3-B5595FC4CAF7}"/>
    <hyperlink ref="B98" location="evap_ratio" display="evap_ratio" xr:uid="{15495986-8CB6-48CF-8DA1-A67C15B389F5}"/>
    <hyperlink ref="B99" location="coag_dose" display="coag_dose" xr:uid="{688A7374-3E6C-4BFC-8CEB-F853F47A162F}"/>
    <hyperlink ref="B100" location="coag_spf" display="coag_spf" xr:uid="{A249F5F3-8091-463A-A1E4-92FDCC96C4A7}"/>
    <hyperlink ref="B101" location="coag_pct" display="coag_pct" xr:uid="{16C0B9AA-4824-486C-BBDB-E18625D6BD0F}"/>
    <hyperlink ref="B102" location="coag_density" display="coag_density" xr:uid="{120A8F22-419F-4DEE-A528-5A4369A04B96}"/>
    <hyperlink ref="B103" location="finance_pct" display="finance_pct" xr:uid="{AB76D327-C269-4AF3-A0D3-B5A143CADD20}"/>
    <hyperlink ref="B104" location="finance_pct_small" display="finance_pct_small" xr:uid="{DEDC729A-D0D4-476C-B703-AE240D7B0E9A}"/>
    <hyperlink ref="B105" location="fire_buffer" display="fire_buffer" xr:uid="{1FD6CD35-B0A6-4813-BD97-FCF65DD3E0A4}"/>
    <hyperlink ref="B106" location="fm_back" display="fm_back" xr:uid="{A6B08303-75F2-4356-8FA1-B810A3857C5C}"/>
    <hyperlink ref="B107" location="tot_fm_in" display="tot_fm_in" xr:uid="{1657C1C2-9A27-4B88-9290-7CC0EA40EF10}"/>
    <hyperlink ref="B108" location="fm_proc" display="fm_proc" xr:uid="{7E9A0701-C881-4E49-825D-34793EFBAB68}"/>
    <hyperlink ref="B109" location="tot_fm_res" display="tot_fm_res" xr:uid="{6D1AFF2A-315F-47FF-96AE-1665C4802244}"/>
    <hyperlink ref="B110" location="free_board" display="free_board" xr:uid="{FCFA7344-88CE-4802-B55B-2BFFC2CABD0E}"/>
    <hyperlink ref="B111" location="frost" display="frost" xr:uid="{8529AE1E-2DF1-4194-BFC5-29B5BFD1EEB1}"/>
    <hyperlink ref="B112" location="alt_media_disp_haz" display="alt_media_disp_haz" xr:uid="{DDF5ED24-36D6-4BF3-9B7B-CCF423556D9C}"/>
    <hyperlink ref="B113" location="headloss_cart" display="headloss_cart" xr:uid="{EB624BC7-D475-45DE-9146-9B901E27E207}"/>
    <hyperlink ref="B114" location="head_tank" display="head_tank" xr:uid="{81059F55-9A0A-4395-A367-24FAD8E61A50}"/>
    <hyperlink ref="B115" location="head_tank_small" display="head_tank_small" xr:uid="{EFD70D56-A137-4CA0-BC26-5100875FB154}"/>
    <hyperlink ref="B116" location="hp_EER" display="hp_EER" xr:uid="{4B88FCFB-592C-405A-9889-19B7AC8A2E85}"/>
    <hyperlink ref="B117" location="COP" display="COP" xr:uid="{DEBF8542-D8BA-4C1C-BBC3-89037A6E3046}"/>
    <hyperlink ref="B118" location="diesel_heat_content" display="diesel_heat_content" xr:uid="{36958C4F-E2A8-45A3-BDE9-AB9258BA4340}"/>
    <hyperlink ref="B119" location="heating_table" display="heating_table" xr:uid="{B584F604-EBC0-4DC3-8D06-34F13798F7D6}"/>
    <hyperlink ref="B120" location="heating_table_shed" display="heating_table_shed" xr:uid="{38ADDB04-905F-4954-89CC-E8DCDA2A8111}"/>
    <hyperlink ref="B121" location="heat_viload" display="heat_viload" xr:uid="{3EC0035B-ECD5-4D2D-A64F-4DA23FEBCAB5}"/>
    <hyperlink ref="B122" location="alarm_back" display="alarm_back" xr:uid="{62BD1A01-C401-4B2A-8CAB-4A98DB21624E}"/>
    <hyperlink ref="B123" location="alarm_res" display="alarm_res" xr:uid="{E932914E-4AA4-40CD-A8DE-C8966E9D4A11}"/>
    <hyperlink ref="B124" location="alarm_caustic" display="alarm_caustic" xr:uid="{F4DF6494-8C82-4891-A1F2-628CDF3FFE90}"/>
    <hyperlink ref="B125" location="alarm_brine" display="alarm_brine" xr:uid="{4420769A-C139-4A5B-A55A-52CAA4E80C94}"/>
    <hyperlink ref="B126" location="holding_ratio" display="holding_ratio" xr:uid="{528555CB-7087-4661-A042-2F87220FD2C1}"/>
    <hyperlink ref="B127" location="holding_freeboard" display="holding_freeboard" xr:uid="{3ED117F2-D2C1-4B99-AE26-545CB713AA36}"/>
    <hyperlink ref="B128" location="res_s1_opt_I" display="res_s1_opt_I" xr:uid="{EE70B35F-99EB-4DA6-965D-0C016739A2A4}"/>
    <hyperlink ref="B129" location="hmix_hp_per" display="hmix_hp_per" xr:uid="{C283A330-55D4-47D7-AB8E-685DF032CAE7}"/>
    <hyperlink ref="B130" location="res_cap_factor" display="res_cap_factor" xr:uid="{6FB1FB91-BAE6-48DD-ACBC-E9B9319C60EA}"/>
    <hyperlink ref="B131" location="ht_solids_density" display="ht_solids_density" xr:uid="{1D5F4E7F-C8CC-4B63-AF13-D770292CD655}"/>
    <hyperlink ref="B132" location="coag_TSSrem" display="coag_TSSrem" xr:uid="{C23E5D1A-45D0-4B4A-B4F3-0BC8FD1C0966}"/>
    <hyperlink ref="B133" location="htank_TSSrem" display="htank_TSSrem" xr:uid="{FF72A17E-1ECE-4BC8-8321-63100E5BB38C}"/>
    <hyperlink ref="B134" location="uloe_throwaway" display="uloe_throwaway" xr:uid="{0B633B77-E270-4E85-942A-AF7558FAB407}"/>
    <hyperlink ref="B135" location="port_table" display="port_table" xr:uid="{4D34F89B-5BC0-4332-83CD-CEC9E4EB4F9E}"/>
    <hyperlink ref="B136" location="day_tank_needed" display="day_tank_needed" xr:uid="{38357735-F815-428E-999D-850EF20520AD}"/>
    <hyperlink ref="B137" location="include_arch_small" display="include_arch_small" xr:uid="{23F9D3BB-6CF5-4976-A5DC-9E37F649C1CF}"/>
    <hyperlink ref="B138" location="include_arch" display="include_arch" xr:uid="{D810B5D8-53F5-47A7-906B-5FF83CE97F06}"/>
    <hyperlink ref="B139" location="include_buildings_I" display="include_buildings_I" xr:uid="{5A57A494-7778-41AF-9863-FC882F04B1F4}"/>
    <hyperlink ref="B140" location="include_cart" display="include_cart" xr:uid="{4C1D2D82-5F69-4C0A-8DD3-524BD6BCF7D2}"/>
    <hyperlink ref="B141" location="include_pad" display="include_pad" xr:uid="{9762EF6E-DEB3-4ECD-BF2B-B570ABC42BE0}"/>
    <hyperlink ref="B142" location="include_cm_pre" display="include_cm_pre" xr:uid="{524D75F6-F92C-485D-B994-FB3A41859421}"/>
    <hyperlink ref="B143" location="include_cm" display="include_cm" xr:uid="{C690DC29-4FF7-414D-9097-EF893B7636D6}"/>
    <hyperlink ref="B144" location="include_conting_high" display="include_conting_high" xr:uid="{701443E2-3F7A-43D9-AAE8-11EFEF45DA9D}"/>
    <hyperlink ref="B145" location="include_conting_low" display="include_conting_low" xr:uid="{FE4CA689-D4FB-4B28-AC6F-8E2D9C384BE1}"/>
    <hyperlink ref="B146" location="include_conting_medium" display="include_conting_medium" xr:uid="{2F4E22D1-45C4-4C47-A159-B2F59F78DD9C}"/>
    <hyperlink ref="B147" location="need_cool" display="need_cool" xr:uid="{8852A865-7E9F-4B25-84BF-3CD68F44EB3C}"/>
    <hyperlink ref="B148" location="include_geo_high" display="include_geo_high" xr:uid="{CEBD76F1-3190-40A3-9238-ED5D05A5EB84}"/>
    <hyperlink ref="B149" location="include_geo_low" display="include_geo_low" xr:uid="{83226CC0-6544-4562-BFE8-E5BE18363B02}"/>
    <hyperlink ref="B150" location="include_geo_medium" display="include_geo_medium" xr:uid="{4A5D7BF6-1802-4D4B-81EC-08821C3E0135}"/>
    <hyperlink ref="B151" location="need_heat" display="need_heat" xr:uid="{F09A6C53-5A12-420A-8FDB-B14EDD641F72}"/>
    <hyperlink ref="B152" location="include_HVAC_I" display="include_HVAC_I" xr:uid="{EBCFC38B-B7B0-4E2A-B37E-3413026F1439}"/>
    <hyperlink ref="B153" location="include_land_I" display="include_land_I" xr:uid="{E56DA0F6-8747-4898-8950-F7B7B4DE6731}"/>
    <hyperlink ref="B154" location="include_cmix" display="include_cmix" xr:uid="{BD2953B0-5C5A-4A13-B879-F060E1B563AE}"/>
    <hyperlink ref="B155" location="include_NEPA" display="include_NEPA" xr:uid="{F250D8E4-975F-4B5A-85AB-D266F63ADE3D}"/>
    <hyperlink ref="B156" location="include_bond" display="include_bond" xr:uid="{1759B2F9-585C-4D96-B0D4-79B2AC8906FC}"/>
    <hyperlink ref="B157" location="include_permits" display="include_permits" xr:uid="{58184675-0520-4756-82D7-F1AEE5395AC9}"/>
    <hyperlink ref="B158" location="include_pilot" display="include_pilot" xr:uid="{0B40148D-FB9C-4E0E-8D89-263B317EFEA8}"/>
    <hyperlink ref="B159" location="include_sec_cont" display="include_sec_cont" xr:uid="{6E61A791-4B89-473C-B53A-399FDF894D75}"/>
    <hyperlink ref="B160" location="include_sitework" display="include_sitework" xr:uid="{F6FA6DF9-41C6-4027-A2B3-D141C233D216}"/>
    <hyperlink ref="B161" location="include_standby_small" display="include_standby_small" xr:uid="{355056E7-E786-43BA-BA1C-5318E38BDC77}"/>
    <hyperlink ref="B162" location="include_standby" display="include_standby" xr:uid="{DD1140AE-F358-430F-B6A1-AA5E2D951DCF}"/>
    <hyperlink ref="B163" location="include_yardpipe" display="include_yardpipe" xr:uid="{537C50D8-F8E4-4248-A511-943482409DF1}"/>
    <hyperlink ref="B164" location="in_out_pipe_mult" display="in_out_pipe_mult" xr:uid="{B91A430F-36C1-4A36-8737-2D7AD22E84F3}"/>
    <hyperlink ref="B165" location="t_I" display="t_I" xr:uid="{0F269B43-03C1-4AE0-BAF4-077E1CE00DB4}"/>
    <hyperlink ref="B166" location="inst_pct" display="inst_pct" xr:uid="{565DB204-3D3F-4D77-92BA-76660D13CEFF}"/>
    <hyperlink ref="B167" location="i_c_pct" display="i_c_pct" xr:uid="{8ECFE5B8-DB04-4A60-8901-6D0C78220E6B}"/>
    <hyperlink ref="B168" location="hrs_filter" display="hrs_filter" xr:uid="{7D387692-E8AB-408E-B4DB-DBCA27D7A042}"/>
    <hyperlink ref="B169" location="legal_pct" display="legal_pct" xr:uid="{563A2B66-ACBD-4F81-A3A5-D74148982185}"/>
    <hyperlink ref="B170" location="level_switch" display="level_switch" xr:uid="{C2F725BA-43EE-46A1-A1B7-0A50A30EEA4A}"/>
    <hyperlink ref="B171" location="level_switch_small" display="level_switch_small" xr:uid="{A88BD5B7-EA86-481D-8A06-B3C5431BA724}"/>
    <hyperlink ref="B172" location="cart_life" display="cart_life" xr:uid="{A9882AD3-AC8D-4CA0-8FA7-FADAE975BE82}"/>
    <hyperlink ref="B173" location="lighting_power_high" display="lighting_power_high" xr:uid="{65DE6AB3-A177-4EBF-9632-48FDAE8A984A}"/>
    <hyperlink ref="B174" location="lighting_power_low" display="lighting_power_low" xr:uid="{7EABD55A-E2AC-4299-B522-BC4C31261B04}"/>
    <hyperlink ref="B175" location="lighting_power_mid" display="lighting_power_mid" xr:uid="{F56A90CC-990B-440F-9696-8773A6C162B9}"/>
    <hyperlink ref="B176" location="hole_per_day" display="hole_per_day" xr:uid="{8D9414C9-92FD-4DAC-B649-4A895751A898}"/>
    <hyperlink ref="B177" location="load_max" display="load_max" xr:uid="{5321A25A-DCE7-4C41-82E8-0A399A4B60F1}"/>
    <hyperlink ref="B178" location="load_min" display="load_min" xr:uid="{0D58A75F-4BB4-4BFE-B649-E96277FAD758}"/>
    <hyperlink ref="B179" location="uloe_chem_maint" display="uloe_chem_maint" xr:uid="{571455FF-7A5A-40C1-8398-83A7D0531675}"/>
    <hyperlink ref="B180" location="uloe_inst_maint" display="uloe_inst_maint" xr:uid="{8AEBB5BA-188A-4DF8-B3D7-738337ED3E8C}"/>
    <hyperlink ref="B181" location="uloe_pump_maint" display="uloe_pump_maint" xr:uid="{7B02E811-9122-44AD-B8DE-73532472C695}"/>
    <hyperlink ref="B182" location="uloe_valve_maint" display="uloe_valve_maint" xr:uid="{42053C6A-31E6-486E-BF8B-A7CB7285D66D}"/>
    <hyperlink ref="B183" location="media_haz_I" display="media_haz_I" xr:uid="{D021B6E0-EE29-4574-A5C0-D72A72641EBB}"/>
    <hyperlink ref="B184" location="Manager_percent" display="Manager_percent" xr:uid="{5DF77721-63E7-4192-84AD-4F17BC5BCFF3}"/>
    <hyperlink ref="B185" location="max_space_vessels_cust" display="max_space_vessels_cust" xr:uid="{C53ADAB0-7EEC-426A-BB8E-A2A207489C91}"/>
    <hyperlink ref="B186" location="max_space_vessels_pre" display="max_space_vessels_pre" xr:uid="{EFD5458B-52A5-46EB-AF52-B50CCAB006B1}"/>
    <hyperlink ref="B187" location="max_bed_depth" display="max_bed_depth" xr:uid="{2BB40472-1E6D-495D-A3E3-BBF11F836C01}"/>
    <hyperlink ref="B188" location="sec_cont_max_thick" display="sec_cont_max_thick" xr:uid="{3302A604-8EFB-4B7C-A463-DABE9DCE3233}"/>
    <hyperlink ref="B189" location="max_ep_cell_area" display="max_ep_cell_area" xr:uid="{5FBA4D88-3BED-4E69-A0F4-087D78546C26}"/>
    <hyperlink ref="B190" location="max_haz_ship" display="max_haz_ship" xr:uid="{84AE3C2F-5426-4D0D-AEAB-33F7C57D23FC}"/>
    <hyperlink ref="B191" location="max_lhaz_ship" display="max_lhaz_ship" xr:uid="{B2FFD020-71FC-42E5-A04C-405A87519877}"/>
    <hyperlink ref="B192" location="max_rad_ship" display="max_rad_ship" xr:uid="{9D5D1001-086F-48C5-B04D-369A1BFE927B}"/>
    <hyperlink ref="B193" location="max_hazrad_ship" display="max_hazrad_ship" xr:uid="{C05D9A12-DDE4-4AC6-BFF2-96F1A82837B8}"/>
    <hyperlink ref="B194" location="max_diam_override" display="max_diam_override" xr:uid="{683BE3A4-DB26-4451-8121-48F38D5EB965}"/>
    <hyperlink ref="B195" location="max_height" display="max_height" xr:uid="{1FC67EF8-6F17-45D0-B0C3-5E5894DBFF05}"/>
    <hyperlink ref="B196" location="max_length" display="max_length" xr:uid="{263144B4-0CAA-4B3E-B363-2F250E390D28}"/>
    <hyperlink ref="B197" location="throwaway_I" display="throwaway_I" xr:uid="{A5FB9B4D-A852-4B41-B577-98B194E203AB}"/>
    <hyperlink ref="B198" location="diesel_eff" display="diesel_eff" xr:uid="{EF8DE4E5-F087-42FD-A2C8-C95E8F8C6D14}"/>
    <hyperlink ref="B199" location="haz_miles" display="haz_miles" xr:uid="{C1E8DDEE-A0A9-4459-844F-8418C3BA38C5}"/>
    <hyperlink ref="B200" location="non_haz_miles" display="non_haz_miles" xr:uid="{D63C2819-C17C-4C93-B1B3-349C815451A5}"/>
    <hyperlink ref="B201" location="rad_miles" display="rad_miles" xr:uid="{D79CDE57-A247-4194-BE87-DE37A59F9A60}"/>
    <hyperlink ref="B202" location="hazrad_miles" display="hazrad_miles" xr:uid="{2FD98E1C-06B3-4667-92A0-4A003AB4EAB4}"/>
    <hyperlink ref="B203" location="min_avg_flow" display="min_avg_flow" xr:uid="{409C592D-F060-43F9-9615-8193E0A676B5}"/>
    <hyperlink ref="B204" location="min_bed_depth" display="min_bed_depth" xr:uid="{E151354D-1E56-408A-95DD-7CD50B199DEC}"/>
    <hyperlink ref="B205" location="min_chem_flow" display="min_chem_flow" xr:uid="{0A665F9B-1499-4D66-B55A-D8C46F7D9CC2}"/>
    <hyperlink ref="B206" location="min_cmix_hp" display="min_cmix_hp" xr:uid="{356A07FC-F46B-4544-9B2F-8FB3BC36516F}"/>
    <hyperlink ref="B207" location="min_hmix_hp" display="min_hmix_hp" xr:uid="{3E4F45FE-A07A-4258-897C-4E70165BD3E3}"/>
    <hyperlink ref="B208" location="min_holes" display="min_holes" xr:uid="{86E6C89E-84F9-4D61-A149-380F7654FF0F}"/>
    <hyperlink ref="B209" location="min_cart" display="min_cart" xr:uid="{2AA22818-01C9-40DD-8670-7B924EEC6518}"/>
    <hyperlink ref="B210" location="min_ep_cells" display="min_ep_cells" xr:uid="{D03F9464-F57B-47B9-A5E3-45574C42012F}"/>
    <hyperlink ref="B211" location="num_tanks_I" display="num_tanks_I" xr:uid="{FAF16A9B-DFB6-4A5E-BB0D-E09EEA4773DF}"/>
    <hyperlink ref="B212" location="min_res_pipe_size" display="min_res_pipe_size" xr:uid="{A8797484-00FF-45B5-8944-1B675080E169}"/>
    <hyperlink ref="B213" location="res_coag_settle_time" display="res_coag_settle_time" xr:uid="{B1315CB5-91EC-4941-AF53-978E9F237297}"/>
    <hyperlink ref="B214" location="min_standby" display="min_standby" xr:uid="{937F5A32-96F1-46BE-8FF9-FE378C494879}"/>
    <hyperlink ref="B215" location="min_trench_depth" display="min_trench_depth" xr:uid="{440D8D6B-66F6-4D20-B07E-0FC247E2889D}"/>
    <hyperlink ref="B216" location="uloe_fp" display="uloe_fp" xr:uid="{F2F8A610-1413-43C8-84B6-18AE681350D3}"/>
    <hyperlink ref="B217" location="uloe_inst" display="uloe_inst" xr:uid="{55F8CC41-4128-4840-97E7-0ACA45AA90A3}"/>
    <hyperlink ref="B218" location="uloe_pump" display="uloe_pump" xr:uid="{E46E9E6E-390C-4B2D-820A-B1EFBA74C1F8}"/>
    <hyperlink ref="B219" location="uloe_autoregen" display="uloe_autoregen" xr:uid="{2E3F3680-BB3D-42B8-9BCD-2FBD9A53A2DA}"/>
    <hyperlink ref="B220" location="uloe_valve" display="uloe_valve" xr:uid="{B9614FE7-F39F-4A66-8A97-99F7D072FDD0}"/>
    <hyperlink ref="B221" location="misc_pct" display="misc_pct" xr:uid="{752E8A84-E8FB-4BBE-9C84-585EEC0DA5A1}"/>
    <hyperlink ref="B222" location="mixer_size" display="mixer_size" xr:uid="{67E1A9AF-3DFE-4D62-A032-0F86839CBCA9}"/>
    <hyperlink ref="B223" location="mob_pct_large" display="mob_pct_large" xr:uid="{D3ED78A7-6627-4C2C-A4E8-D15B4C049BAE}"/>
    <hyperlink ref="B224" location="mob_pct_medium" display="mob_pct_medium" xr:uid="{6C30D07D-8377-405D-B05E-F9B90C1A4C98}"/>
    <hyperlink ref="B225" location="mob_pct_small" display="mob_pct_small" xr:uid="{4FE0EBDE-058D-44F4-85DA-BD21E72BE2A4}"/>
    <hyperlink ref="B226" location="gas_eff" display="gas_eff" xr:uid="{9D4A7D58-B16A-4261-81AB-EEC2371BDAC9}"/>
    <hyperlink ref="B227" location="gas_non_eff" display="gas_non_eff" xr:uid="{C80BC3F9-6831-4A0B-A786-710063AC8FBB}"/>
    <hyperlink ref="B228" location="non_fire_buffer" display="non_fire_buffer" xr:uid="{D169D166-14DE-4293-829B-4288A7634FD8}"/>
    <hyperlink ref="B229" location="alt_media_disp" display="alt_media_disp" xr:uid="{420CBDF9-8D7F-40C9-99A6-135B44F6EC7D}"/>
    <hyperlink ref="B230" location="lines_pump_I" display="lines_pump_I" xr:uid="{817DAF9A-EB98-4C22-AA57-0B2010ACDDDA}"/>
    <hyperlink ref="B231" location="back_chv_pump" display="back_chv_pump" xr:uid="{FFC63BEE-1EB5-498D-BC7D-33B026C45618}"/>
    <hyperlink ref="B232" location="tot_bp_chv" display="tot_bp_chv" xr:uid="{2921D7E0-B7B4-4526-B66A-66CA7DD94596}"/>
    <hyperlink ref="B233" location="tot_bp_chv_small" display="tot_bp_chv_small" xr:uid="{BE26F32E-407C-4B87-9AA9-7492473398B6}"/>
    <hyperlink ref="B234" location="caustic_chv_pump" display="caustic_chv_pump" xr:uid="{9E197912-5ADC-4D61-9BD7-16B8C6528F37}"/>
    <hyperlink ref="B235" location="coag_chv_pump" display="coag_chv_pump" xr:uid="{2F9F883D-0DEF-4845-ADE3-975816436395}"/>
    <hyperlink ref="B236" location="tot_in_chv" display="tot_in_chv" xr:uid="{850BBD47-81FD-4846-81C4-6380A0BA04CE}"/>
    <hyperlink ref="B237" location="polymer_chv_pump" display="polymer_chv_pump" xr:uid="{FBD771D3-B4B5-4B06-AA9E-A480F7485A9C}"/>
    <hyperlink ref="B238" location="res_chv_no_pump" display="res_chv_no_pump" xr:uid="{CDDF50F2-A3FA-4D1A-88C3-7CC0794A6B5F}"/>
    <hyperlink ref="B239" location="res_chv_pump" display="res_chv_pump" xr:uid="{7B7DDC50-A102-4383-ACC4-C6B6A9224AC4}"/>
    <hyperlink ref="B240" location="plc_cpu" display="plc_cpu" xr:uid="{AAD5323B-C374-4FF3-9938-A0EC9D4CA41E}"/>
    <hyperlink ref="B241" location="elec_encl" display="elec_encl" xr:uid="{F53974BE-8E80-46F6-BED7-D137E1FA63EB}"/>
    <hyperlink ref="B242" location="tot_man_valves" display="tot_man_valves" xr:uid="{FA7191ED-8624-4D91-93D0-AD683B0CA330}"/>
    <hyperlink ref="B243" location="proc_man_vessel" display="proc_man_vessel" xr:uid="{820738A8-B621-4204-8E0C-C341ED65FEEA}"/>
    <hyperlink ref="B244" location="fan_days_build2_large" display="fan_days_build2_large" xr:uid="{DE177D49-F9E8-492F-A9EB-4E53E826E92D}"/>
    <hyperlink ref="B245" location="fan_days_build2_medium" display="fan_days_build2_medium" xr:uid="{30D0F5CF-1E95-4DF9-99C1-E8419A64CD71}"/>
    <hyperlink ref="B246" location="fan_days_build2_small" display="fan_days_build2_small" xr:uid="{3D4337B8-0009-4D23-86EE-0622FADDA0F8}"/>
    <hyperlink ref="B247" location="fan_days_build1_large" display="fan_days_build1_large" xr:uid="{8EE72602-5A06-4145-9A0E-74D6DFE89146}"/>
    <hyperlink ref="B248" location="fan_days_build1_medium" display="fan_days_build1_medium" xr:uid="{5F4CB4BB-7F8B-4043-A50A-6694B6AB95A3}"/>
    <hyperlink ref="B249" location="fan_days_build1_small" display="fan_days_build1_small" xr:uid="{B8227A28-1B67-467E-A328-FE2F3AFD5A17}"/>
    <hyperlink ref="B250" location="init_NRD_cart" display="init_NRD_cart" xr:uid="{BC270F23-5CA7-470B-BC9F-C8EBB95A1591}"/>
    <hyperlink ref="B251" location="NRD_cm_pump" display="NRD_cm_pump" xr:uid="{74502B3F-BE87-40A6-9EE1-C50925502377}"/>
    <hyperlink ref="B252" location="NRD_small" display="NRD_small" xr:uid="{1BFEC7C1-1F4C-42DE-8F51-3BE0849166F7}"/>
    <hyperlink ref="B253" location="NRD_small_1" display="NRD_small_1" xr:uid="{2B7A723E-564A-4B0D-B5ED-666BC9388B71}"/>
    <hyperlink ref="B254" location="NRD_I" display="NRD_I" xr:uid="{0AD02F4E-558B-477B-9C34-C30B96C41EEC}"/>
    <hyperlink ref="B255" location="shifts_day" display="shifts_day" xr:uid="{39445516-4301-45B7-A60E-9EBE8E38C1AA}"/>
    <hyperlink ref="B256" location="space_office" display="space_office" xr:uid="{12523ED1-B452-4B35-9510-E41E149ABFC3}"/>
    <hyperlink ref="B257" location="space_office_small" display="space_office_small" xr:uid="{4C50BF95-A80C-494E-BFD3-A1F35695458F}"/>
    <hyperlink ref="B258" location="plc_interface" display="plc_interface" xr:uid="{485ED043-6933-4E88-A1C6-C891DF85EF58}"/>
    <hyperlink ref="B259" location="ORP_sensor" display="ORP_sensor" xr:uid="{374B1FFE-EBD1-423E-AAE8-8EA2CE61148D}"/>
    <hyperlink ref="B260" location="ep_overexcavate" display="ep_overexcavate" xr:uid="{34A47E74-BDF3-4C94-A3D7-823E586B563E}"/>
    <hyperlink ref="B261" location="overexcavate" display="overexcavate" xr:uid="{82B1C9FF-02EE-4D68-AF6C-6A28E78478B9}"/>
    <hyperlink ref="B262" location="pH_corr" display="pH_corr" xr:uid="{CB06F918-BABC-4C41-BA49-B1F20CD63F61}"/>
    <hyperlink ref="B263" location="pH_nocorr" display="pH_nocorr" xr:uid="{CF3120C2-240C-45BE-8A3C-F2A0F5FAC80A}"/>
    <hyperlink ref="B264" location="yard_in" display="yard_in" xr:uid="{3C4C9695-F48F-4BA6-84B8-B39B29EDD887}"/>
    <hyperlink ref="B265" location="yard_out" display="yard_out" xr:uid="{44E9FE24-AE2D-4A01-BB0A-5C5B92DD2657}"/>
    <hyperlink ref="B266" location="polymer_dose" display="polymer_dose" xr:uid="{BA0A95B0-1D43-41F7-AF1E-84C7DBFA1FE9}"/>
    <hyperlink ref="B267" location="polymer_spf" display="polymer_spf" xr:uid="{73F93BC3-3440-47E2-91D9-2285D6592328}"/>
    <hyperlink ref="B268" location="polymer_density" display="polymer_density" xr:uid="{FDCFFDBD-1417-4059-8B23-8728DA255965}"/>
    <hyperlink ref="B269" location="POTW_rate_type" display="POTW_rate_type" xr:uid="{19F49D53-B398-4F87-97DE-5513898D61D5}"/>
    <hyperlink ref="B270" location="POTW_TSS_limit" display="POTW_TSS_limit" xr:uid="{26B706DA-C820-41AF-B50B-CFE025AD48C6}"/>
    <hyperlink ref="B271" location="Fan_pressure_drop" display="Fan_pressure_drop" xr:uid="{B934BDA5-28A3-4E4D-B038-736D80F253E4}"/>
    <hyperlink ref="B272" location="printer_ratio" display="printer_ratio" xr:uid="{C582116E-3FA3-4260-BFE8-960BA6EC3647}"/>
    <hyperlink ref="B273" location="proc_pipe_mult" display="proc_pipe_mult" xr:uid="{4CDBED7E-E135-49B2-AB0B-462FF6A2AE82}"/>
    <hyperlink ref="B274" location="booster_pump_efficiency" display="booster_pump_efficiency" xr:uid="{32868F7D-CE46-43D8-979A-795DBFC811FA}"/>
    <hyperlink ref="B275" location="backwash_pump_head" display="backwash_pump_head" xr:uid="{C1433B22-6724-4FCC-94C8-B2CC6DA9C562}"/>
    <hyperlink ref="B276" location="booster_pump_head" display="booster_pump_head" xr:uid="{811FE636-9FF6-4D43-887B-6F73CD6632D9}"/>
    <hyperlink ref="B277" location="length_diam_ratio" display="length_diam_ratio" xr:uid="{D1C2C934-66E2-4727-BBFB-D70B0275B2C6}"/>
    <hyperlink ref="B278" location="uloe_inst_auto" display="uloe_inst_auto" xr:uid="{9657B5BD-9C27-4D99-9EDE-584A597CD81C}"/>
    <hyperlink ref="B279" location="Reduction" display="Reduction" xr:uid="{7F341567-EED8-411C-8565-13F265EB72DE}"/>
    <hyperlink ref="B280" location="NRD_back_pumps" display="NRD_back_pumps" xr:uid="{2929D510-6471-4AF0-BB6F-0CD711D24D58}"/>
    <hyperlink ref="B281" location="NRD_pumps" display="NRD_pumps" xr:uid="{493E8ED5-F1C6-4959-B3E0-730758C53CA0}"/>
    <hyperlink ref="B282" location="NRD_pH_pumps" display="NRD_pH_pumps" xr:uid="{B29FA150-E1CD-44A4-AF62-9C3541E4CAF7}"/>
    <hyperlink ref="B283" location="NRD_res_pump" display="NRD_res_pump" xr:uid="{A8035507-3701-464F-8155-086AC088E692}"/>
    <hyperlink ref="B284" location="brine_conc" display="brine_conc" xr:uid="{5551E9FB-CD2A-48E0-B09A-84A5B46411F6}"/>
    <hyperlink ref="B285" location="regen_reuse" display="regen_reuse" xr:uid="{CEF6F666-B657-4F3C-9A58-E58194CFE639}"/>
    <hyperlink ref="B286" location="solids_storage_height" display="solids_storage_height" xr:uid="{7DBF7338-2E6E-47E6-AA45-FD7D7BC8E48E}"/>
    <hyperlink ref="B287" location="res_transfer_method" display="res_transfer_method" xr:uid="{B989DA83-D638-45DC-8998-21815B68E5E5}"/>
    <hyperlink ref="B288" location="res_pipe_mult" display="res_pipe_mult" xr:uid="{98CD2C37-72B4-4C93-A208-1F4B18F9110D}"/>
    <hyperlink ref="B289" location="res_pump_psi" display="res_pump_psi" xr:uid="{4A1358F0-C4C9-4478-93AC-2F05D2A4A5F8}"/>
    <hyperlink ref="B290" location="media_density" display="media_density" xr:uid="{8341FB7C-3D26-4873-AED1-C9EC8CB2F84B}"/>
    <hyperlink ref="B291" location="bed_expansion" display="bed_expansion" xr:uid="{67AA72AA-FECA-4662-B663-D9E3873E9F62}"/>
    <hyperlink ref="B292" location="resin_life" display="resin_life" xr:uid="{230BABB1-B1D7-4D89-B22C-88844523F6F4}"/>
    <hyperlink ref="B293" location="R_ceiling" display="R_ceiling" xr:uid="{EEAB2B2E-01B8-42AA-A522-5C71072899AC}"/>
    <hyperlink ref="B294" location="R_wall" display="R_wall" xr:uid="{44E490A4-9DF1-4A8C-931A-F9D271EF6D1B}"/>
    <hyperlink ref="B295" location="pump_safety_factor" display="pump_safety_factor" xr:uid="{30B082B4-B14F-409D-976E-77C589C361FD}"/>
    <hyperlink ref="B296" location="tax_pct" display="tax_pct" xr:uid="{20C8FC90-032D-458A-9F95-30EA4FD4E51A}"/>
    <hyperlink ref="B297" location="salt_density" display="salt_density" xr:uid="{4D8BD750-4207-4474-8DF6-DE05F0D52BDE}"/>
    <hyperlink ref="B298" location="ports_bp" display="ports_bp" xr:uid="{9939E074-45F9-4202-9E79-29A853D3D0AB}"/>
    <hyperlink ref="B299" location="ports_tank" display="ports_tank" xr:uid="{0C5EF4A8-6FF8-45AB-9B0C-E424650E1D12}"/>
    <hyperlink ref="B300" location="brine_conc_sat" display="brine_conc_sat" xr:uid="{816A30E1-623A-479C-A6CD-3BCE8DCBEDE0}"/>
    <hyperlink ref="B301" location="min_saltbox" display="min_saltbox" xr:uid="{C570818C-D8C7-4568-9C12-09DBA5485CCA}"/>
    <hyperlink ref="B302" location="NaOH_pct" display="NaOH_pct" xr:uid="{C251E297-5987-407F-A8D0-7573EAF9E23B}"/>
    <hyperlink ref="B303" location="soil_dens" display="soil_dens" xr:uid="{602AF3BC-BBD0-469E-9443-F4926F6F692D}"/>
    <hyperlink ref="B304" location="diesel_non_eff" display="diesel_non_eff" xr:uid="{5C542675-04FA-4A38-BF6C-5C71BCB25B81}"/>
    <hyperlink ref="B305" location="manual_I" display="manual_I" xr:uid="{EA2A2BDF-A53E-49A5-9E4D-11B0FE88AE1C}"/>
    <hyperlink ref="B306" location="target_bed_depth_under" display="target_bed_depth_under" xr:uid="{68D730D1-FE19-4D6F-A0AA-9D86EE57EE87}"/>
    <hyperlink ref="B307" location="target_bed_depth_horiz" display="target_bed_depth_horiz" xr:uid="{41D819A5-DF7E-4F37-A38A-6E4F7157CAB8}"/>
    <hyperlink ref="B308" location="target_bed_depth_over" display="target_bed_depth_over" xr:uid="{B6D5138E-2373-4E9F-930B-B7AC2A006CC9}"/>
    <hyperlink ref="B309" location="complexity" display="complexity" xr:uid="{E67E22AB-7180-4464-96A3-845D038D0F40}"/>
    <hyperlink ref="B310" location="bore_need" display="bore_need" xr:uid="{96ED16EF-B1A3-4AE4-8AAE-F78481E26339}"/>
    <hyperlink ref="B311" location="temp_meters" display="temp_meters" xr:uid="{5DE06B83-60E8-436E-A052-8709F2D36DE9}"/>
    <hyperlink ref="B312" location="temp_meters_small" display="temp_meters_small" xr:uid="{50842A6C-B1AF-43E1-BE71-2373964010D3}"/>
    <hyperlink ref="B313" location="pit_depth" display="pit_depth" xr:uid="{56765B90-A5BF-4363-AE81-3B32815DD95C}"/>
    <hyperlink ref="B314" location="pit_length" display="pit_length" xr:uid="{130E23B7-955B-4B0A-B65B-205A5E6B4734}"/>
    <hyperlink ref="B315" location="pit_width" display="pit_width" xr:uid="{605EC1FA-9D6F-49BE-9999-CDE440E29A67}"/>
    <hyperlink ref="B316" location="EBCT_I" display="EBCT_I" xr:uid="{387A66AC-153E-4C76-A25E-22ACAA2934B2}"/>
    <hyperlink ref="B317" location="time_regen" display="time_regen" xr:uid="{D223E2FA-7477-4DA6-BD46-45D23610B620}"/>
    <hyperlink ref="B318" location="transfer_time" display="transfer_time" xr:uid="{AC8675B9-54E6-46C3-BBE7-4F03BC8B2259}"/>
    <hyperlink ref="B319" location="Top_bottom_Vessel_space" display="Top_bottom_Vessel_space" xr:uid="{D766F3C8-4585-49AB-A335-501175BB2FF3}"/>
    <hyperlink ref="B320" location="TDS_I" display="TDS_I" xr:uid="{E95F5ECB-C1E7-4C06-AD35-4C564236EC34}"/>
    <hyperlink ref="B321" location="pH_adj" display="pH_adj" xr:uid="{5D7F18E3-7ABD-4CFF-955D-FC081D8B5B4F}"/>
    <hyperlink ref="B322" location="pHo" display="pHo" xr:uid="{004C7D7E-7121-4F07-B4EB-16268EB018E5}"/>
    <hyperlink ref="B323" location="trench_angle" display="trench_angle" xr:uid="{219A4A28-26B8-43DB-B06B-75602079A2B4}"/>
    <hyperlink ref="B324" location="influent_TSS" display="influent_TSS" xr:uid="{53570224-37F4-4D58-B407-159894EE519C}"/>
    <hyperlink ref="B325" location="effluent_TSS" display="effluent_TSS" xr:uid="{F5DC8258-4CDB-4769-9597-9236B7485960}"/>
    <hyperlink ref="B326" location="turb_tank" display="turb_tank" xr:uid="{33910BA2-6475-42FE-83CB-FD3878A391A4}"/>
    <hyperlink ref="B327" location="turb_tank_small" display="turb_tank_small" xr:uid="{4EC4FC12-29AF-41A8-B2B0-9C2FE8F7BF6E}"/>
    <hyperlink ref="B328" location="coag_type" display="coag_type" xr:uid="{9D4DF923-AEF0-4998-A316-090F3D378C0F}"/>
    <hyperlink ref="B329" location="horiz_underdrain" display="horiz_underdrain" xr:uid="{21FCD1F1-DF4B-43D6-B590-7368307E0BE3}"/>
    <hyperlink ref="B330" location="ups" display="ups" xr:uid="{3B3F47D4-4300-46E5-9A1B-28CD35C49209}"/>
    <hyperlink ref="B331" location="valve_table" display="valve_table" xr:uid="{29BC17E2-506C-46AC-8C58-71B18F9F9F3D}"/>
    <hyperlink ref="B332" location="Air_changes_chem_storage" display="Air_changes_chem_storage" xr:uid="{BFC2139F-8EA1-43B8-8966-2D16C794911E}"/>
    <hyperlink ref="B333" location="Air_changes_contactor" display="Air_changes_contactor" xr:uid="{1491E2BA-CD7A-4EC0-A941-482FDE29354D}"/>
    <hyperlink ref="B334" location="Air_changes_office" display="Air_changes_office" xr:uid="{E572152B-5DAF-412D-AEBF-2C93BE84AA70}"/>
    <hyperlink ref="B335" location="Air_changes_pump" display="Air_changes_pump" xr:uid="{4E5F4F4C-C5F4-4328-B5DB-3EE5CDA2606D}"/>
    <hyperlink ref="B336" location="comm_diam" display="comm_diam" xr:uid="{7BC4A224-701D-4FFA-8AF6-9826EEC87141}"/>
    <hyperlink ref="B337" location="tank_geom_I" display="tank_geom_I" xr:uid="{DBC4F0FD-F2A4-4FE5-ADA2-B264D3736E09}"/>
    <hyperlink ref="B338" location="comm_height_length" display="comm_height_length" xr:uid="{ACC77B56-E087-4662-BD4D-D86C869775D6}"/>
    <hyperlink ref="B339" location="Vessel_thickness" display="Vessel_thickness" xr:uid="{D9153082-4760-4075-BD53-8E700F20C7EF}"/>
    <hyperlink ref="B340" location="sec_cont_pct_of_largest" display="sec_cont_pct_of_largest" xr:uid="{5F262DA7-5AF9-43E7-99D8-53D0C96CC36F}"/>
    <hyperlink ref="B341" location="sec_cont_pct_of_total" display="sec_cont_pct_of_total" xr:uid="{E047D1AF-4C4C-4928-8A7F-6587081AE427}"/>
    <hyperlink ref="B342" location="rinse_BV" display="rinse_BV" xr:uid="{F2455E76-4B58-45B0-A772-1A48B851EE21}"/>
    <hyperlink ref="B343" location="rinse_rate" display="rinse_rate" xr:uid="{4433B087-4F75-4055-A15C-FC0614311C75}"/>
    <hyperlink ref="B344" location="alt_media_disp_year" display="alt_media_disp_year" xr:uid="{CF044584-4CE1-4C05-8239-7AB729011784}"/>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X148"/>
  <sheetViews>
    <sheetView topLeftCell="A20" zoomScale="158" zoomScaleNormal="100" zoomScaleSheetLayoutView="75" workbookViewId="0">
      <selection activeCell="F36" sqref="F36"/>
    </sheetView>
  </sheetViews>
  <sheetFormatPr baseColWidth="10" defaultColWidth="9.1640625" defaultRowHeight="13"/>
  <cols>
    <col min="1" max="1" width="3.1640625" style="116" customWidth="1"/>
    <col min="2" max="2" width="5.1640625" hidden="1" customWidth="1"/>
    <col min="3" max="3" width="9" hidden="1" customWidth="1"/>
    <col min="4" max="4" width="42" customWidth="1"/>
    <col min="5" max="5" width="18.5" hidden="1" customWidth="1"/>
    <col min="6" max="6" width="30.83203125" customWidth="1"/>
    <col min="7" max="7" width="31.33203125" customWidth="1"/>
    <col min="8" max="8" width="81" customWidth="1"/>
    <col min="9" max="9" width="13.33203125" customWidth="1"/>
    <col min="10" max="10" width="11.33203125" customWidth="1"/>
    <col min="11" max="11" width="8.83203125"/>
    <col min="12" max="12" width="13.83203125" bestFit="1" customWidth="1"/>
    <col min="13" max="16" width="8.83203125"/>
    <col min="17" max="24" width="9.1640625" style="116" customWidth="1"/>
    <col min="25" max="16384" width="9.1640625" style="664"/>
  </cols>
  <sheetData>
    <row r="1" spans="1:16">
      <c r="A1" s="656" t="s">
        <v>3257</v>
      </c>
      <c r="B1" s="21"/>
      <c r="D1" s="116"/>
      <c r="E1" s="116"/>
      <c r="F1" s="116"/>
      <c r="G1" s="116"/>
      <c r="H1" s="116"/>
      <c r="I1" s="116"/>
      <c r="J1" s="116"/>
      <c r="K1" s="116"/>
      <c r="L1" s="116"/>
      <c r="M1" s="116"/>
      <c r="N1" s="116"/>
      <c r="O1" s="116"/>
      <c r="P1" s="116"/>
    </row>
    <row r="2" spans="1:16" ht="16">
      <c r="C2" s="313"/>
      <c r="D2" s="116"/>
      <c r="E2" s="116"/>
      <c r="F2" s="116"/>
      <c r="G2" s="116"/>
      <c r="H2" s="116"/>
      <c r="I2" s="116"/>
      <c r="J2" s="116"/>
      <c r="K2" s="116"/>
      <c r="L2" s="116"/>
      <c r="M2" s="116"/>
      <c r="N2" s="116"/>
      <c r="O2" s="116"/>
      <c r="P2" s="116"/>
    </row>
    <row r="3" spans="1:16" ht="16">
      <c r="C3" s="313"/>
      <c r="D3" s="118" t="s">
        <v>1112</v>
      </c>
      <c r="E3" s="116"/>
      <c r="F3" s="116"/>
      <c r="G3" s="116"/>
      <c r="H3" s="116"/>
      <c r="I3" s="116"/>
      <c r="J3" s="116"/>
      <c r="K3" s="116"/>
      <c r="L3" s="116"/>
      <c r="M3" s="116"/>
      <c r="N3" s="116"/>
      <c r="O3" s="116"/>
      <c r="P3" s="116"/>
    </row>
    <row r="4" spans="1:16" ht="16">
      <c r="C4" s="313"/>
      <c r="D4" s="775" t="s">
        <v>3208</v>
      </c>
      <c r="E4" s="116"/>
      <c r="F4" s="116"/>
      <c r="G4" s="737" t="str">
        <f>IF(contam_type&lt;&gt;7,"","For other contaminants, the buttons shown in Step 2 will enter flows only, and clear all other inputs. Advanced users can change this behavior by entering inputs on the Standard Inputs sheet")</f>
        <v>For other contaminants, the buttons shown in Step 2 will enter flows only, and clear all other inputs. Advanced users can change this behavior by entering inputs on the Standard Inputs sheet</v>
      </c>
      <c r="H4" s="116"/>
      <c r="I4" s="116"/>
      <c r="J4" s="116"/>
      <c r="K4" s="116"/>
      <c r="L4" s="116"/>
      <c r="M4" s="116"/>
      <c r="N4" s="116"/>
      <c r="O4" s="116"/>
      <c r="P4" s="116"/>
    </row>
    <row r="5" spans="1:16" ht="16">
      <c r="C5" s="313"/>
      <c r="D5" s="119"/>
      <c r="E5" s="116"/>
      <c r="F5" s="116"/>
      <c r="G5" s="116"/>
      <c r="H5" s="116"/>
      <c r="I5" s="116"/>
      <c r="J5" s="116"/>
      <c r="K5" s="116"/>
      <c r="L5" s="116"/>
      <c r="M5" s="116"/>
      <c r="N5" s="116"/>
      <c r="O5" s="116"/>
      <c r="P5" s="116"/>
    </row>
    <row r="6" spans="1:16" ht="25.5" customHeight="1">
      <c r="C6" s="313"/>
      <c r="D6" s="120" t="s">
        <v>1113</v>
      </c>
      <c r="E6" s="116"/>
      <c r="F6" s="125"/>
      <c r="G6" s="738" t="str">
        <f>IF(OR('Standard Inputs'!AG9,'Standard Inputs'!AG17,'Standard Inputs'!AG25,'Standard Inputs'!AG33,'Standard Inputs'!AG41,'Standard Inputs'!AG49),"&lt;- Using this design",IF(OR('Standard Inputs'!AH9,'Standard Inputs'!AH17,'Standard Inputs'!AH25,'Standard Inputs'!AH33,'Standard Inputs'!AH41,'Standard Inputs'!AH49),"&lt;- You modified this design",""))</f>
        <v/>
      </c>
      <c r="H6" s="736" t="s">
        <v>3122</v>
      </c>
      <c r="I6" s="116"/>
      <c r="J6" s="116"/>
      <c r="K6" s="116"/>
      <c r="L6" s="116"/>
      <c r="M6" s="116"/>
      <c r="N6" s="116"/>
      <c r="O6" s="116"/>
      <c r="P6" s="116"/>
    </row>
    <row r="7" spans="1:16" ht="25.5" customHeight="1">
      <c r="C7" s="313"/>
      <c r="D7" s="735" t="s">
        <v>3121</v>
      </c>
      <c r="E7" s="116"/>
      <c r="F7" s="127"/>
      <c r="G7" s="739" t="str">
        <f>IF(OR('Standard Inputs'!AG10,'Standard Inputs'!AG18,'Standard Inputs'!AG26,'Standard Inputs'!AG34,'Standard Inputs'!AG42,'Standard Inputs'!AG50),"&lt;- Using this design",IF(OR('Standard Inputs'!AH10,'Standard Inputs'!AH18,'Standard Inputs'!AH26,'Standard Inputs'!AH34,'Standard Inputs'!AH42,'Standard Inputs'!AH50),"&lt;- You modified this design",""))</f>
        <v/>
      </c>
      <c r="H7" s="116"/>
      <c r="I7" s="116"/>
      <c r="J7" s="116"/>
      <c r="K7" s="116"/>
      <c r="L7" s="116"/>
      <c r="M7" s="116"/>
      <c r="N7" s="116"/>
      <c r="O7" s="116"/>
      <c r="P7" s="116"/>
    </row>
    <row r="8" spans="1:16" ht="25.5" customHeight="1">
      <c r="C8" s="313"/>
      <c r="D8" s="121"/>
      <c r="E8" s="116"/>
      <c r="F8" s="127"/>
      <c r="G8" s="739" t="str">
        <f>IF(OR('Standard Inputs'!AG11,'Standard Inputs'!AG19,'Standard Inputs'!AG27,'Standard Inputs'!AG35,'Standard Inputs'!AG43,'Standard Inputs'!AG51),"&lt;- Using this design",IF(OR('Standard Inputs'!AH11,'Standard Inputs'!AH19,'Standard Inputs'!AH27,'Standard Inputs'!AH35,'Standard Inputs'!AH43,'Standard Inputs'!AH51),"&lt;- You modified this design",""))</f>
        <v/>
      </c>
      <c r="H8" s="116"/>
      <c r="I8" s="116"/>
      <c r="J8" s="116"/>
      <c r="K8" s="116"/>
      <c r="L8" s="116"/>
      <c r="M8" s="116"/>
      <c r="N8" s="116"/>
      <c r="O8" s="116"/>
      <c r="P8" s="116"/>
    </row>
    <row r="9" spans="1:16" ht="25.5" customHeight="1">
      <c r="C9" s="313"/>
      <c r="D9" s="122"/>
      <c r="E9" s="116"/>
      <c r="F9" s="127"/>
      <c r="G9" s="739" t="str">
        <f>IF(OR('Standard Inputs'!AG12,'Standard Inputs'!AG20,'Standard Inputs'!AG28,'Standard Inputs'!AG36,'Standard Inputs'!AG44,'Standard Inputs'!AG52),"&lt;- Using this design",IF(OR('Standard Inputs'!AH12,'Standard Inputs'!AH20,'Standard Inputs'!AH28,'Standard Inputs'!AH36,'Standard Inputs'!AH44,'Standard Inputs'!AH52),"&lt;- You modified this design",""))</f>
        <v/>
      </c>
      <c r="H9" s="116"/>
      <c r="I9" s="116"/>
      <c r="J9" s="116"/>
      <c r="K9" s="116"/>
      <c r="L9" s="116"/>
      <c r="M9" s="116"/>
      <c r="N9" s="116"/>
      <c r="O9" s="116"/>
      <c r="P9" s="116"/>
    </row>
    <row r="10" spans="1:16" ht="25.5" customHeight="1">
      <c r="C10" s="313"/>
      <c r="E10" s="116"/>
      <c r="F10" s="127"/>
      <c r="G10" s="739" t="str">
        <f>IF(OR('Standard Inputs'!AG13,'Standard Inputs'!AG21,'Standard Inputs'!AG29,'Standard Inputs'!AG37,'Standard Inputs'!AG45,'Standard Inputs'!AG53),"&lt;- Using this design",IF(OR('Standard Inputs'!AH13,'Standard Inputs'!AH21,'Standard Inputs'!AH29,'Standard Inputs'!AH37,'Standard Inputs'!AH45,'Standard Inputs'!AH53),"&lt;- You modified this design",""))</f>
        <v/>
      </c>
      <c r="H10" s="116"/>
      <c r="I10" s="116"/>
      <c r="J10" s="116"/>
      <c r="K10" s="116"/>
      <c r="L10" s="116"/>
      <c r="M10" s="116"/>
      <c r="N10" s="116"/>
      <c r="O10" s="116"/>
      <c r="P10" s="116"/>
    </row>
    <row r="11" spans="1:16" ht="25.5" customHeight="1">
      <c r="C11" s="313"/>
      <c r="D11" s="324"/>
      <c r="E11" s="116"/>
      <c r="F11" s="127"/>
      <c r="G11" s="739" t="str">
        <f>IF(OR('Standard Inputs'!AG14,'Standard Inputs'!AG22,'Standard Inputs'!AG30,'Standard Inputs'!AG38,'Standard Inputs'!AG46,'Standard Inputs'!AG54),"&lt;- Using this design",IF(OR('Standard Inputs'!AH14,'Standard Inputs'!AH22,'Standard Inputs'!AH30,'Standard Inputs'!AH38,'Standard Inputs'!AH46,'Standard Inputs'!AH54),"&lt;- You modified this design",""))</f>
        <v/>
      </c>
      <c r="H11" s="128"/>
      <c r="I11" s="116"/>
      <c r="J11" s="116"/>
      <c r="K11" s="116"/>
      <c r="L11" s="116"/>
      <c r="M11" s="116"/>
      <c r="N11" s="116"/>
      <c r="O11" s="116"/>
      <c r="P11" s="116"/>
    </row>
    <row r="12" spans="1:16" ht="25.5" customHeight="1">
      <c r="C12" s="313"/>
      <c r="E12" s="116"/>
      <c r="F12" s="127"/>
      <c r="G12" s="739" t="str">
        <f>IF(OR('Standard Inputs'!AG15,'Standard Inputs'!AG23,'Standard Inputs'!AG31,'Standard Inputs'!AG39,'Standard Inputs'!AG47,'Standard Inputs'!AG55),"&lt;- Using this design",IF(OR('Standard Inputs'!AH15,'Standard Inputs'!AH23,'Standard Inputs'!AH31,'Standard Inputs'!AH39,'Standard Inputs'!AH47,'Standard Inputs'!AH55),"&lt;- You modified this design",""))</f>
        <v/>
      </c>
      <c r="I12" s="116"/>
      <c r="J12" s="116"/>
      <c r="K12" s="116"/>
      <c r="L12" s="116"/>
      <c r="M12" s="116"/>
      <c r="N12" s="116"/>
      <c r="O12" s="116"/>
      <c r="P12" s="116"/>
    </row>
    <row r="13" spans="1:16" ht="25.5" customHeight="1">
      <c r="C13" s="313"/>
      <c r="D13" s="116"/>
      <c r="E13" s="116"/>
      <c r="F13" s="127"/>
      <c r="G13" s="739" t="str">
        <f>IF(OR('Standard Inputs'!AG16,'Standard Inputs'!AG24,'Standard Inputs'!AG32,'Standard Inputs'!AG40,'Standard Inputs'!AG48,'Standard Inputs'!AG56),"&lt;- Using this design",IF(OR('Standard Inputs'!AH16,'Standard Inputs'!AH24,'Standard Inputs'!AH32,'Standard Inputs'!AH40,'Standard Inputs'!AH48,'Standard Inputs'!AH56),"&lt;- You modified this design",""))</f>
        <v/>
      </c>
      <c r="H13" s="116"/>
      <c r="I13" s="116"/>
      <c r="J13" s="116"/>
      <c r="K13" s="116"/>
      <c r="L13" s="116"/>
      <c r="M13" s="116"/>
      <c r="N13" s="116"/>
      <c r="O13" s="116"/>
      <c r="P13" s="116"/>
    </row>
    <row r="14" spans="1:16" ht="25.5" customHeight="1">
      <c r="C14" s="313"/>
      <c r="D14" s="121"/>
      <c r="E14" s="116"/>
      <c r="F14" s="126"/>
      <c r="G14" s="740" t="str">
        <f>IF(COUNTIF(G6:G13,"")=8,"Using a manual design","")</f>
        <v>Using a manual design</v>
      </c>
      <c r="H14" s="386" t="str">
        <f>IF(COUNTIF(G6:G13,"")=8,"Fill in all gold cells below, then consider using AutoSize button","")</f>
        <v>Fill in all gold cells below, then consider using AutoSize button</v>
      </c>
      <c r="I14" s="116"/>
      <c r="J14" s="116"/>
      <c r="K14" s="116"/>
      <c r="L14" s="116"/>
      <c r="M14" s="116"/>
      <c r="N14" s="116"/>
      <c r="O14" s="116"/>
      <c r="P14" s="116"/>
    </row>
    <row r="15" spans="1:16" ht="16">
      <c r="C15" s="313"/>
      <c r="D15" s="123" t="s">
        <v>1114</v>
      </c>
      <c r="E15" s="116"/>
      <c r="F15" s="116"/>
      <c r="G15" s="116"/>
      <c r="H15" s="116"/>
      <c r="I15" s="116"/>
      <c r="J15" s="116"/>
      <c r="K15" s="116"/>
      <c r="L15" s="116"/>
      <c r="M15" s="116"/>
      <c r="N15" s="116"/>
      <c r="O15" s="116"/>
      <c r="P15" s="116"/>
    </row>
    <row r="16" spans="1:16" ht="16">
      <c r="C16" s="313"/>
      <c r="D16" s="124" t="s">
        <v>1115</v>
      </c>
      <c r="E16" s="116"/>
      <c r="F16" s="979" t="str">
        <f>IF(input_complete,IF('Standard Inputs'!AG67,"Input Complete -- Results Ready","Input Complete -- Press 'Generate Results'"),"Input Incomplete -- Check for Error Messages Below")</f>
        <v>Input Complete -- Results Ready</v>
      </c>
      <c r="G16" s="980"/>
      <c r="H16" s="983" t="str">
        <f>IF(AND(C52,C54,C53,C55,C57),"","Fill in all gold cells below. If errors persist, consider using AutoSize button.")</f>
        <v/>
      </c>
      <c r="I16" s="116"/>
      <c r="J16" s="116"/>
      <c r="K16" s="116"/>
      <c r="L16" s="116"/>
      <c r="M16" s="116"/>
      <c r="N16" s="116"/>
      <c r="O16" s="116"/>
      <c r="P16" s="116"/>
    </row>
    <row r="17" spans="1:24" ht="28">
      <c r="C17" s="526" t="b">
        <f>AND(C32,C38,C52,C53,C54,C55,C57,C65,C83)</f>
        <v>1</v>
      </c>
      <c r="D17" s="325" t="s">
        <v>2707</v>
      </c>
      <c r="E17" s="116"/>
      <c r="F17" s="981"/>
      <c r="G17" s="982"/>
      <c r="H17" s="984"/>
      <c r="I17" s="116"/>
      <c r="J17" s="116"/>
      <c r="K17" s="116"/>
      <c r="L17" s="116"/>
      <c r="M17" s="116"/>
      <c r="N17" s="116"/>
      <c r="O17" s="116"/>
      <c r="P17" s="116"/>
    </row>
    <row r="18" spans="1:24" ht="16">
      <c r="C18" s="313"/>
      <c r="E18" s="116"/>
      <c r="F18" s="116"/>
      <c r="G18" s="116"/>
      <c r="H18" s="322"/>
      <c r="I18" s="116"/>
      <c r="J18" s="116"/>
      <c r="K18" s="116"/>
      <c r="L18" s="116"/>
      <c r="M18" s="116"/>
      <c r="N18" s="116"/>
      <c r="O18" s="116"/>
      <c r="P18" s="116"/>
    </row>
    <row r="19" spans="1:24" ht="16">
      <c r="C19" s="313"/>
      <c r="D19" s="123" t="s">
        <v>2617</v>
      </c>
      <c r="E19" s="116"/>
      <c r="F19" s="116"/>
      <c r="G19" s="116"/>
      <c r="H19" s="312" t="str">
        <f>"Resulting Costs (in year "&amp;TEXT(current_year_cl,0)&amp;" dollars, see OUTPUT sheet for details)"</f>
        <v>Resulting Costs (in year 2021 dollars, see OUTPUT sheet for details)</v>
      </c>
      <c r="I19" s="116"/>
      <c r="J19" s="116"/>
      <c r="K19" s="116"/>
      <c r="L19" s="116"/>
      <c r="M19" s="116"/>
      <c r="N19" s="116"/>
      <c r="O19" s="116"/>
      <c r="P19" s="116"/>
    </row>
    <row r="20" spans="1:24" s="779" customFormat="1" ht="14">
      <c r="A20" s="541"/>
      <c r="B20" s="526"/>
      <c r="C20" s="1"/>
      <c r="D20" s="377" t="str">
        <f>IF(F16="input complete -- results ready","Results are ready (no need to click button)","Click here to generate results --&gt;")</f>
        <v>Results are ready (no need to click button)</v>
      </c>
      <c r="E20" s="541"/>
      <c r="F20" s="541"/>
      <c r="G20" s="541"/>
      <c r="H20" s="652" t="str">
        <f>"Direct Capital Cost: "&amp;IF(input_status&lt;&gt;"input complete -- results ready",input_status,IF(Missing_Cost,"Missing cost!",IF(cost_buildup_error,"Cost buildup error!",IF(ISERROR(direct_cost),"Calculation error!",TEXT(direct_cost,"$0,0")))))</f>
        <v>Direct Capital Cost: $644,501</v>
      </c>
      <c r="I20" s="541"/>
      <c r="J20" s="541"/>
      <c r="K20" s="541"/>
      <c r="L20" s="541"/>
      <c r="M20" s="541"/>
      <c r="N20" s="541"/>
      <c r="O20" s="541"/>
      <c r="P20" s="541"/>
      <c r="Q20" s="541"/>
      <c r="R20" s="541"/>
      <c r="S20" s="541"/>
      <c r="T20" s="541"/>
      <c r="U20" s="541"/>
      <c r="V20" s="541"/>
      <c r="W20" s="541"/>
      <c r="X20" s="541"/>
    </row>
    <row r="21" spans="1:24" s="779" customFormat="1">
      <c r="A21" s="541"/>
      <c r="B21" s="526"/>
      <c r="C21" s="1"/>
      <c r="D21" s="653"/>
      <c r="E21" s="541"/>
      <c r="F21" s="541"/>
      <c r="G21" s="541"/>
      <c r="H21" s="652" t="str">
        <f>"Total Capital Cost: " &amp; IF(input_status&lt;&gt;"input complete -- results ready",input_status,IF(Missing_Cost,"Missing cost!",IF(cost_buildup_error,"Cost buildup error!",IF(ISERROR(system_cost),"Calculation error!",TEXT(system_cost,"$0,0")))))</f>
        <v>Total Capital Cost: $1,127,733</v>
      </c>
      <c r="I21" s="541"/>
      <c r="J21" s="541"/>
      <c r="K21" s="541"/>
      <c r="L21" s="541"/>
      <c r="M21" s="541"/>
      <c r="N21" s="541"/>
      <c r="O21" s="541"/>
      <c r="P21" s="541"/>
      <c r="Q21" s="541"/>
      <c r="R21" s="541"/>
      <c r="S21" s="541"/>
      <c r="T21" s="541"/>
      <c r="U21" s="541"/>
      <c r="V21" s="541"/>
      <c r="W21" s="541"/>
      <c r="X21" s="541"/>
    </row>
    <row r="22" spans="1:24" s="779" customFormat="1">
      <c r="A22" s="541"/>
      <c r="B22" s="526"/>
      <c r="C22" s="1"/>
      <c r="D22" s="653"/>
      <c r="E22" s="541"/>
      <c r="F22" s="541"/>
      <c r="G22" s="541"/>
      <c r="H22" s="756"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$93,255 per year (over 27.7 years at 7%)</v>
      </c>
      <c r="I22" s="541"/>
      <c r="J22" s="541"/>
      <c r="K22" s="541"/>
      <c r="L22" s="541"/>
      <c r="M22" s="541"/>
      <c r="N22" s="541"/>
      <c r="O22" s="541"/>
      <c r="P22" s="541"/>
      <c r="Q22" s="541"/>
      <c r="R22" s="541"/>
      <c r="S22" s="541"/>
      <c r="T22" s="541"/>
      <c r="U22" s="541"/>
      <c r="V22" s="541"/>
      <c r="W22" s="541"/>
      <c r="X22" s="541"/>
    </row>
    <row r="23" spans="1:24" s="779" customFormat="1">
      <c r="A23" s="541"/>
      <c r="B23" s="526"/>
      <c r="C23" s="1"/>
      <c r="D23" s="653"/>
      <c r="E23" s="541"/>
      <c r="F23" s="541"/>
      <c r="G23" s="541"/>
      <c r="H23" s="652" t="str">
        <f>"Annual O&amp;M Cost: "&amp;IF(input_status&lt;&gt;"Input Complete -- Results Ready",input_status,IF(ISERROR(OM_cost),"Calculation error!",TEXT(OM_cost,"$0,0")&amp;" per year"))</f>
        <v>Annual O&amp;M Cost: $474,879 per year</v>
      </c>
      <c r="I23" s="541"/>
      <c r="J23" s="541"/>
      <c r="K23" s="541"/>
      <c r="L23" s="541"/>
      <c r="M23" s="541"/>
      <c r="N23" s="541"/>
      <c r="O23" s="541"/>
      <c r="P23" s="541"/>
      <c r="Q23" s="541"/>
      <c r="R23" s="541"/>
      <c r="S23" s="541"/>
      <c r="T23" s="541"/>
      <c r="U23" s="541"/>
      <c r="V23" s="541"/>
      <c r="W23" s="541"/>
      <c r="X23" s="541"/>
    </row>
    <row r="24" spans="1:24" ht="13.5" customHeight="1">
      <c r="C24" s="313"/>
      <c r="D24" s="130" t="s">
        <v>2618</v>
      </c>
      <c r="E24" s="116"/>
      <c r="F24" s="116"/>
      <c r="G24" s="116"/>
      <c r="H24" s="55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$568,133 per year (16% capital, 84% O&amp;M)</v>
      </c>
      <c r="I24" s="116"/>
      <c r="J24" s="116"/>
      <c r="K24" s="116"/>
      <c r="L24" s="116"/>
      <c r="M24" s="116"/>
      <c r="N24" s="116"/>
      <c r="O24" s="116"/>
      <c r="P24" s="116"/>
    </row>
    <row r="25" spans="1:24" ht="13.5" customHeight="1">
      <c r="C25" s="313"/>
      <c r="D25" s="131" t="s">
        <v>1497</v>
      </c>
      <c r="E25" s="116"/>
      <c r="F25" s="116"/>
      <c r="G25" s="143"/>
      <c r="H25" s="741" t="str">
        <f>IF(Missing_Cost,"A price is not available for at least one required component. See Use? column on OUTPUT sheet.",IF(cost_buildup_error,"There is an Excel error in the price for at least one component. Please see the Use? column on OUTPUT sheet.",""))</f>
        <v/>
      </c>
      <c r="I25" s="116"/>
      <c r="J25" s="116"/>
      <c r="K25" s="116"/>
      <c r="L25" s="116"/>
      <c r="M25" s="116"/>
      <c r="N25" s="116"/>
      <c r="O25" s="116"/>
      <c r="P25" s="116"/>
    </row>
    <row r="26" spans="1:24">
      <c r="D26" s="136"/>
      <c r="E26" s="116"/>
      <c r="F26" s="116"/>
      <c r="G26" s="129" t="s">
        <v>1498</v>
      </c>
      <c r="H26" s="137"/>
      <c r="I26" s="137"/>
      <c r="J26" s="137"/>
      <c r="K26" s="138"/>
      <c r="L26" s="116"/>
      <c r="M26" s="116"/>
      <c r="N26" s="116"/>
      <c r="O26" s="116"/>
      <c r="P26" s="116"/>
    </row>
    <row r="27" spans="1:24">
      <c r="D27" s="134" t="s">
        <v>53</v>
      </c>
      <c r="E27" s="132" t="s">
        <v>52</v>
      </c>
      <c r="F27" s="326">
        <v>2.1520000000000001</v>
      </c>
      <c r="G27" s="327" t="s">
        <v>4381</v>
      </c>
      <c r="H27" s="137"/>
      <c r="I27" s="139"/>
      <c r="J27" s="140"/>
      <c r="K27" s="116"/>
      <c r="L27" s="116"/>
      <c r="M27" s="116"/>
      <c r="N27" s="116"/>
      <c r="O27" s="116"/>
      <c r="P27" s="116"/>
    </row>
    <row r="28" spans="1:24">
      <c r="D28" s="135" t="s">
        <v>55</v>
      </c>
      <c r="E28" s="3" t="s">
        <v>56</v>
      </c>
      <c r="F28" s="328">
        <v>2.1520000000000001</v>
      </c>
      <c r="G28" s="329" t="s">
        <v>4381</v>
      </c>
      <c r="H28" s="116"/>
      <c r="I28" s="137"/>
      <c r="J28" s="116"/>
      <c r="K28" s="116"/>
      <c r="L28" s="116"/>
      <c r="M28" s="116"/>
      <c r="N28" s="116"/>
      <c r="O28" s="116"/>
      <c r="P28" s="116"/>
    </row>
    <row r="29" spans="1:24">
      <c r="D29" s="358" t="s">
        <v>1921</v>
      </c>
      <c r="E29" s="359"/>
      <c r="F29" s="360"/>
      <c r="G29" s="361"/>
      <c r="H29" s="211"/>
      <c r="I29" s="137"/>
      <c r="J29" s="116"/>
      <c r="K29" s="116"/>
      <c r="L29" s="116"/>
      <c r="M29" s="116"/>
      <c r="N29" s="116"/>
      <c r="O29" s="116"/>
      <c r="P29" s="116"/>
    </row>
    <row r="30" spans="1:24">
      <c r="D30" s="362" t="s">
        <v>1922</v>
      </c>
      <c r="E30" s="131"/>
      <c r="F30" s="363">
        <f>IF(ISERROR(design_flow),"",IF(df_units="gpm",design_flow_rate, design_flow))</f>
        <v>2.1520000000000001</v>
      </c>
      <c r="G30" s="364" t="str">
        <f>df_units</f>
        <v>MGD</v>
      </c>
      <c r="H30" s="200" t="str">
        <f>"Current bypass percentage is "&amp;TEXT(bp_pct,"0%")&amp;".  Go to Critical Design Assumptions to change this value."</f>
        <v>Current bypass percentage is 0%.  Go to Critical Design Assumptions to change this value.</v>
      </c>
      <c r="I30" s="137"/>
      <c r="J30" s="116"/>
      <c r="K30" s="116"/>
      <c r="L30" s="116"/>
      <c r="M30" s="116"/>
      <c r="N30" s="116"/>
      <c r="O30" s="116"/>
      <c r="P30" s="116"/>
    </row>
    <row r="31" spans="1:24">
      <c r="D31" s="362" t="s">
        <v>1923</v>
      </c>
      <c r="E31" s="131"/>
      <c r="F31" s="363">
        <f>IF(ISERROR(design_flow),"",IF(df_units="gpm",bp_flow_rate, bp_flow_rate*60*24/10^6))</f>
        <v>0</v>
      </c>
      <c r="G31" s="364" t="str">
        <f>df_units</f>
        <v>MGD</v>
      </c>
      <c r="H31" s="382" t="s">
        <v>2608</v>
      </c>
      <c r="I31" s="137"/>
      <c r="J31" s="116"/>
      <c r="K31" s="116"/>
      <c r="L31" s="116"/>
      <c r="M31" s="116"/>
      <c r="N31" s="116"/>
      <c r="O31" s="116"/>
      <c r="P31" s="116"/>
    </row>
    <row r="32" spans="1:24">
      <c r="C32" t="b">
        <f>IF(G32="Flow Input OK",TRUE)</f>
        <v>1</v>
      </c>
      <c r="D32" s="126"/>
      <c r="E32" s="141"/>
      <c r="F32" s="142"/>
      <c r="G32" s="171" t="str">
        <f>IF(OR(df_units="",af_units=""),"Choose units for design and average flow",IF(average_flow&gt;design_flow,"The average flow should not be greater than the design flow",IF(OR(design_flow_I=0,average_flow_I=0),"Input incomplete",IF(average_flow&lt;design_flow*min_avg_flow,"The average flow must be at least " &amp; min_avg_flow &amp; " times design flow","Flow Input OK"))))</f>
        <v>Flow Input OK</v>
      </c>
      <c r="H32" s="116"/>
      <c r="I32" s="116"/>
      <c r="J32" s="116"/>
      <c r="K32" s="116"/>
      <c r="L32" s="116"/>
      <c r="M32" s="116"/>
      <c r="N32" s="116"/>
      <c r="O32" s="116"/>
      <c r="P32" s="116"/>
    </row>
    <row r="33" spans="2:16" ht="6" customHeight="1">
      <c r="D33" s="116"/>
      <c r="E33" s="131"/>
      <c r="F33" s="147"/>
      <c r="G33" s="148"/>
      <c r="H33" s="116"/>
      <c r="I33" s="116"/>
      <c r="J33" s="116"/>
      <c r="K33" s="116"/>
      <c r="L33" s="116"/>
      <c r="M33" s="116"/>
      <c r="N33" s="116"/>
      <c r="O33" s="116"/>
      <c r="P33" s="116"/>
    </row>
    <row r="34" spans="2:16" ht="32.25" customHeight="1">
      <c r="D34" s="149" t="s">
        <v>1500</v>
      </c>
      <c r="E34" s="132" t="s">
        <v>3012</v>
      </c>
      <c r="F34" s="150" t="s">
        <v>1501</v>
      </c>
      <c r="G34" s="151" t="s">
        <v>1499</v>
      </c>
      <c r="H34" s="780" t="s">
        <v>3216</v>
      </c>
      <c r="I34" s="116"/>
      <c r="J34" s="116"/>
      <c r="K34" s="116"/>
      <c r="L34" s="116"/>
      <c r="M34" s="116"/>
      <c r="N34" s="116"/>
      <c r="O34" s="116"/>
      <c r="P34" s="116"/>
    </row>
    <row r="35" spans="2:16" ht="34.5" customHeight="1">
      <c r="D35" s="332" t="s">
        <v>3421</v>
      </c>
      <c r="E35" s="3" t="s">
        <v>2676</v>
      </c>
      <c r="F35" s="152">
        <v>86800</v>
      </c>
      <c r="G35" s="848" t="s">
        <v>2677</v>
      </c>
      <c r="H35" s="157" t="s">
        <v>3420</v>
      </c>
      <c r="I35" s="116"/>
      <c r="J35" s="116"/>
      <c r="K35" s="116"/>
      <c r="L35" s="116"/>
      <c r="M35" s="116"/>
      <c r="N35" s="116"/>
      <c r="O35" s="116"/>
      <c r="P35" s="116"/>
    </row>
    <row r="36" spans="2:16">
      <c r="D36" s="358" t="s">
        <v>1921</v>
      </c>
      <c r="E36" s="359"/>
      <c r="F36" s="360"/>
      <c r="G36" s="361"/>
      <c r="H36" s="850" t="str">
        <f>IF(AND(BV_units="bed volumes",Num_tanks&gt;1),"Important: bed life calculation assumes bed volumes are based on "&amp;BV_definition,"")</f>
        <v>Important: bed life calculation assumes bed volumes are based on EBCT per vessel</v>
      </c>
      <c r="I36" s="116"/>
      <c r="J36" s="116"/>
      <c r="K36" s="116"/>
      <c r="L36" s="116"/>
      <c r="M36" s="116"/>
      <c r="N36" s="116"/>
      <c r="O36" s="116"/>
      <c r="P36" s="116"/>
    </row>
    <row r="37" spans="2:16" ht="14">
      <c r="D37" s="362" t="s">
        <v>3421</v>
      </c>
      <c r="E37" s="131"/>
      <c r="F37" s="862" t="str">
        <f>IF(BV_units="bed volumes",IF(ISERROR(regen_months),"",TEXT(regen_months,"#,##0.0")),IF(ISERROR(BV_regen_calculated),"",TEXT(BV_regen_calculated,"#,###")))</f>
        <v>3.2</v>
      </c>
      <c r="G37" s="790" t="s">
        <v>4383</v>
      </c>
      <c r="H37" s="157" t="str">
        <f>IF(AND(NOT(ISERROR(regen_months)),NOT(ISERROR(Num_tanks))),IF(Num_tanks&gt;1,"Bed life shown reflects time between "&amp;IF(regen_type=2,"change outs","regenerations")&amp;" of the lead vessel",""),"")</f>
        <v>Bed life shown reflects time between change outs of the lead vessel</v>
      </c>
      <c r="I37" s="116"/>
      <c r="J37" s="116"/>
      <c r="K37" s="116"/>
      <c r="L37" s="116"/>
      <c r="M37" s="116"/>
      <c r="N37" s="116"/>
      <c r="O37" s="116"/>
      <c r="P37" s="116"/>
    </row>
    <row r="38" spans="2:16" ht="19.5" customHeight="1">
      <c r="C38" t="b">
        <f>IF(G38="Bed Life Input OK",TRUE)</f>
        <v>1</v>
      </c>
      <c r="D38" s="330"/>
      <c r="E38" s="141"/>
      <c r="F38" s="331"/>
      <c r="G38" s="791" t="str">
        <f>IF(OR(throwaway_I="",BV_regen=0,BV_units=""),"Input incomplete","Bed Life Input OK")</f>
        <v>Bed Life Input OK</v>
      </c>
      <c r="H38" s="840" t="s">
        <v>3309</v>
      </c>
      <c r="I38" s="116"/>
      <c r="J38" s="116"/>
      <c r="K38" s="116"/>
      <c r="L38" s="116"/>
      <c r="M38" s="116"/>
      <c r="N38" s="116"/>
      <c r="O38" s="116"/>
      <c r="P38" s="116"/>
    </row>
    <row r="39" spans="2:16" ht="6" customHeight="1">
      <c r="D39" s="116"/>
      <c r="E39" s="131"/>
      <c r="F39" s="144"/>
      <c r="G39" s="145"/>
      <c r="H39" s="116"/>
      <c r="I39" s="116"/>
      <c r="J39" s="116"/>
      <c r="K39" s="116"/>
      <c r="L39" s="116"/>
      <c r="M39" s="116"/>
      <c r="N39" s="116"/>
      <c r="O39" s="116"/>
      <c r="P39" s="116"/>
    </row>
    <row r="40" spans="2:16" ht="52.5" customHeight="1">
      <c r="D40" s="149" t="s">
        <v>1504</v>
      </c>
      <c r="E40" s="132" t="s">
        <v>1502</v>
      </c>
      <c r="F40" s="168">
        <v>2</v>
      </c>
      <c r="G40" s="169" t="s">
        <v>1507</v>
      </c>
      <c r="H40" s="116"/>
      <c r="I40" s="116"/>
      <c r="J40" s="116"/>
      <c r="K40" s="116"/>
      <c r="L40" s="116"/>
      <c r="M40" s="116"/>
      <c r="N40" s="116"/>
      <c r="O40" s="116"/>
      <c r="P40" s="116"/>
    </row>
    <row r="41" spans="2:16" ht="39.75" customHeight="1">
      <c r="D41" s="154" t="s">
        <v>1505</v>
      </c>
      <c r="E41" s="153" t="s">
        <v>1503</v>
      </c>
      <c r="F41" s="152">
        <v>3</v>
      </c>
      <c r="G41" s="156" t="s">
        <v>60</v>
      </c>
      <c r="H41" s="116"/>
      <c r="I41" s="116"/>
      <c r="J41" s="116"/>
      <c r="K41" s="116"/>
      <c r="L41" s="116"/>
      <c r="M41" s="116"/>
      <c r="N41" s="116"/>
      <c r="O41" s="116"/>
      <c r="P41" s="116"/>
    </row>
    <row r="42" spans="2:16" ht="13.5" customHeight="1">
      <c r="B42" s="526"/>
      <c r="C42" s="526" t="s">
        <v>3412</v>
      </c>
      <c r="D42" s="155" t="s">
        <v>1506</v>
      </c>
      <c r="E42" s="131"/>
      <c r="F42" s="158">
        <f>IF(ISERROR(EBCT_tank),"",EBCT_tank)</f>
        <v>1.5</v>
      </c>
      <c r="G42" s="159" t="s">
        <v>60</v>
      </c>
      <c r="H42" s="116"/>
      <c r="I42" s="116"/>
      <c r="J42" s="116"/>
      <c r="K42" s="116"/>
      <c r="L42" s="116"/>
      <c r="M42" s="116"/>
      <c r="N42" s="116"/>
      <c r="O42" s="116"/>
      <c r="P42" s="116"/>
    </row>
    <row r="43" spans="2:16" ht="13.5" customHeight="1">
      <c r="D43" s="160" t="s">
        <v>594</v>
      </c>
      <c r="E43" s="131"/>
      <c r="F43" s="144"/>
      <c r="G43" s="175"/>
      <c r="H43" s="116"/>
      <c r="I43" s="116"/>
      <c r="J43" s="116"/>
      <c r="K43" s="116"/>
      <c r="L43" s="116"/>
      <c r="M43" s="116"/>
      <c r="N43" s="116"/>
      <c r="O43" s="116"/>
      <c r="P43" s="116"/>
    </row>
    <row r="44" spans="2:16" ht="15.75" customHeight="1">
      <c r="D44" s="176" t="s">
        <v>59</v>
      </c>
      <c r="E44" s="3" t="s">
        <v>65</v>
      </c>
      <c r="F44" s="333">
        <v>2.4</v>
      </c>
      <c r="G44" s="334" t="s">
        <v>61</v>
      </c>
      <c r="H44" s="116"/>
      <c r="I44" s="116"/>
      <c r="J44" s="116"/>
      <c r="K44" s="116"/>
      <c r="L44" s="116"/>
      <c r="M44" s="116"/>
      <c r="N44" s="116"/>
      <c r="O44" s="116"/>
      <c r="P44" s="116"/>
    </row>
    <row r="45" spans="2:16" ht="15.75" customHeight="1">
      <c r="D45" s="161" t="s">
        <v>160</v>
      </c>
      <c r="E45" s="3" t="s">
        <v>595</v>
      </c>
      <c r="F45" s="164" t="s">
        <v>4382</v>
      </c>
      <c r="G45" s="172" t="s">
        <v>1499</v>
      </c>
      <c r="H45" s="116"/>
      <c r="I45" s="116"/>
      <c r="J45" s="116"/>
      <c r="K45" s="116"/>
      <c r="L45" s="116"/>
      <c r="M45" s="116"/>
      <c r="N45" s="116"/>
      <c r="O45" s="116"/>
      <c r="P45" s="116"/>
    </row>
    <row r="46" spans="2:16" ht="12" customHeight="1">
      <c r="D46" s="162" t="str">
        <f>IF(tank_geom=1,"Height (straight)",IF(tank_geom=2,"Length (straight)",""))</f>
        <v>Height (straight)</v>
      </c>
      <c r="E46" s="3" t="s">
        <v>740</v>
      </c>
      <c r="F46" s="333">
        <v>6</v>
      </c>
      <c r="G46" s="173" t="str">
        <f>IF(tank_geom&lt;&gt;"","feet","")</f>
        <v>feet</v>
      </c>
      <c r="H46" s="116"/>
      <c r="I46" s="116"/>
      <c r="J46" s="116"/>
      <c r="K46" s="116"/>
      <c r="L46" s="116"/>
      <c r="M46" s="116"/>
      <c r="N46" s="116"/>
      <c r="O46" s="116"/>
      <c r="P46" s="116"/>
    </row>
    <row r="47" spans="2:16" ht="15.75" customHeight="1">
      <c r="D47" s="163" t="s">
        <v>1352</v>
      </c>
      <c r="E47" s="3" t="s">
        <v>741</v>
      </c>
      <c r="F47" s="335">
        <v>13</v>
      </c>
      <c r="G47" s="156" t="str">
        <f>IF(tank_geom&lt;&gt;"","feet","")</f>
        <v>feet</v>
      </c>
      <c r="H47" s="116"/>
      <c r="I47" s="116"/>
      <c r="J47" s="116"/>
      <c r="K47" s="116"/>
      <c r="L47" s="116"/>
      <c r="M47" s="116"/>
      <c r="N47" s="116"/>
      <c r="O47" s="116"/>
      <c r="P47" s="116"/>
    </row>
    <row r="48" spans="2:16" ht="13.5" customHeight="1">
      <c r="D48" s="155" t="s">
        <v>596</v>
      </c>
      <c r="E48" s="131"/>
      <c r="F48" s="146"/>
      <c r="G48" s="159"/>
      <c r="H48" s="116"/>
      <c r="I48" s="116"/>
      <c r="J48" s="116"/>
      <c r="K48" s="116"/>
      <c r="L48" s="116"/>
      <c r="M48" s="116"/>
      <c r="N48" s="116"/>
      <c r="O48" s="116"/>
      <c r="P48" s="116"/>
    </row>
    <row r="49" spans="3:16" ht="13.5" customHeight="1">
      <c r="D49" s="165" t="s">
        <v>653</v>
      </c>
      <c r="E49" s="131"/>
      <c r="F49" s="158">
        <f>IF(ISERROR(num_treat_lines),"",num_treat_lines)</f>
        <v>1</v>
      </c>
      <c r="G49" s="159" t="s">
        <v>656</v>
      </c>
      <c r="H49" s="116"/>
      <c r="I49" s="116"/>
      <c r="J49" s="116"/>
      <c r="K49" s="116"/>
      <c r="L49" s="116"/>
      <c r="M49" s="116"/>
      <c r="N49" s="116"/>
      <c r="O49" s="116"/>
      <c r="P49" s="116"/>
    </row>
    <row r="50" spans="3:16" ht="13.5" customHeight="1">
      <c r="D50" s="165" t="s">
        <v>654</v>
      </c>
      <c r="E50" s="131"/>
      <c r="F50" s="158">
        <f>IF(ISERROR(op_num_tanks),"",op_num_tanks)</f>
        <v>2</v>
      </c>
      <c r="G50" s="159" t="s">
        <v>657</v>
      </c>
      <c r="H50" s="116"/>
      <c r="I50" s="116"/>
      <c r="J50" s="116"/>
      <c r="K50" s="116"/>
      <c r="L50" s="116"/>
      <c r="M50" s="116"/>
      <c r="N50" s="116"/>
      <c r="O50" s="116"/>
      <c r="P50" s="116"/>
    </row>
    <row r="51" spans="3:16" ht="13.5" customHeight="1">
      <c r="D51" s="166" t="s">
        <v>655</v>
      </c>
      <c r="E51" s="131"/>
      <c r="F51" s="158">
        <f>IF(ISERROR(final_num_tanks),"",final_num_tanks)</f>
        <v>3</v>
      </c>
      <c r="G51" s="159" t="s">
        <v>657</v>
      </c>
      <c r="H51" s="116"/>
      <c r="I51" s="116"/>
      <c r="J51" s="116"/>
      <c r="K51" s="116"/>
      <c r="L51" s="116"/>
      <c r="M51" s="116"/>
      <c r="N51" s="116"/>
      <c r="O51" s="116"/>
      <c r="P51" s="116"/>
    </row>
    <row r="52" spans="3:16" ht="13.5" customHeight="1">
      <c r="C52" t="b">
        <f>IF(G52="bed depth ok",TRUE)</f>
        <v>1</v>
      </c>
      <c r="D52" s="167"/>
      <c r="E52" s="131"/>
      <c r="F52" s="144"/>
      <c r="G52" s="170" t="str">
        <f>IF(OR(num_tanks_I="",EBCT_I="",bed_depth="",comm_height_length="",comm_diam="",tank_geom_I=""),"Input incomplete",IF(bed_depth&gt;max_bed_depth,"Warning: bed depth too great",IF(bed_depth&gt;2*comm_diam,"Warning: bed depth should be less than twice the vessel diameter",IF(bed_depth&lt;min_bed_depth,"Warning: bed depth too shallow","Bed Depth OK"))))</f>
        <v>Bed Depth OK</v>
      </c>
      <c r="H52" s="383" t="s">
        <v>2609</v>
      </c>
      <c r="I52" s="116"/>
      <c r="J52" s="116"/>
      <c r="K52" s="116"/>
      <c r="L52" s="116"/>
      <c r="M52" s="116"/>
      <c r="N52" s="116"/>
      <c r="O52" s="116"/>
      <c r="P52" s="116"/>
    </row>
    <row r="53" spans="3:16" ht="13.5" customHeight="1">
      <c r="C53" t="b">
        <f>IF(OR(G53="height ok",G53="length ok"),TRUE)</f>
        <v>1</v>
      </c>
      <c r="D53" s="167"/>
      <c r="E53" s="131"/>
      <c r="F53" s="144"/>
      <c r="G53" s="170" t="str">
        <f>IF(G52="Input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H53" s="383" t="s">
        <v>2610</v>
      </c>
      <c r="I53" s="116"/>
      <c r="J53" s="116"/>
      <c r="K53" s="116"/>
      <c r="L53" s="116"/>
      <c r="M53" s="116"/>
      <c r="N53" s="116"/>
      <c r="O53" s="116"/>
      <c r="P53" s="116"/>
    </row>
    <row r="54" spans="3:16">
      <c r="C54" t="b">
        <f>IF(G54="diameter ok",TRUE)</f>
        <v>1</v>
      </c>
      <c r="D54" s="167"/>
      <c r="E54" s="131"/>
      <c r="F54" s="144"/>
      <c r="G54" s="170" t="str">
        <f>IF(G52="Input incomplete","",IF(tank_geom=1,IF(comm_diam&gt;max_diam,"Warning: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small","Diameter OK")))),"")))</f>
        <v>Diameter OK</v>
      </c>
      <c r="H54" s="116"/>
      <c r="I54" s="116"/>
      <c r="J54" s="116"/>
      <c r="K54" s="116"/>
      <c r="L54" s="116"/>
      <c r="M54" s="116"/>
      <c r="N54" s="116"/>
      <c r="O54" s="116"/>
      <c r="P54" s="116"/>
    </row>
    <row r="55" spans="3:16">
      <c r="C55" t="b">
        <f>IF(G55="volume ok",TRUE)</f>
        <v>1</v>
      </c>
      <c r="D55" s="127"/>
      <c r="E55" s="131"/>
      <c r="F55" s="174"/>
      <c r="G55" s="170" t="str">
        <f>IF(G52="Input incomplete","",IF(input_vol_vess&lt;media_volume_expanded,"Warning: vessel too small for this bed depth","Volume OK"))</f>
        <v>Volume OK</v>
      </c>
      <c r="H55" s="116"/>
      <c r="I55" s="116"/>
      <c r="J55" s="116"/>
      <c r="K55" s="116"/>
      <c r="L55" s="116"/>
      <c r="M55" s="116"/>
      <c r="N55" s="116"/>
      <c r="O55" s="116"/>
      <c r="P55" s="116"/>
    </row>
    <row r="56" spans="3:16">
      <c r="D56" s="127"/>
      <c r="E56" s="131"/>
      <c r="F56" s="174"/>
      <c r="G56" s="170" t="str">
        <f>IF(G52="Input incomplete","",IF(input_vol_vess&lt;media_volume_expanded,CHOOSE(tank_geom,"Hint: reduce bed depth or increase diameter or height","Hint: reduce bed depth or increase diameter"),""))</f>
        <v/>
      </c>
      <c r="H56" s="116"/>
      <c r="I56" s="116"/>
      <c r="J56" s="116"/>
      <c r="K56" s="116"/>
      <c r="L56" s="116"/>
      <c r="M56" s="116"/>
      <c r="N56" s="116"/>
      <c r="O56" s="116"/>
      <c r="P56" s="116"/>
    </row>
    <row r="57" spans="3:16">
      <c r="C57" t="b">
        <f>IF(G57="loading ok",TRUE)</f>
        <v>1</v>
      </c>
      <c r="D57" s="127"/>
      <c r="E57" s="131"/>
      <c r="F57" s="174"/>
      <c r="G57" s="170" t="str">
        <f>IF(G52="Input incomplete","",IF(tank_geom=1,IF(comm_load_rate&gt;load_max,"Warning: design exceeds maximum loading",IF(comm_load_rate&lt;load_min,"Warning: design below minimum loading","Loading OK")),IF(comm_load_rate&gt;load_max,"Warning: design exceeds maximum loading",IF(comm_load_rate&lt;load_min,"Warning: design below minimum loading","Loading OK"))))</f>
        <v>Loading OK</v>
      </c>
      <c r="H57" s="383" t="s">
        <v>2611</v>
      </c>
      <c r="I57" s="116"/>
      <c r="J57" s="116"/>
      <c r="K57" s="116"/>
      <c r="L57" s="116"/>
      <c r="M57" s="116"/>
      <c r="N57" s="116"/>
      <c r="O57" s="116"/>
      <c r="P57" s="116"/>
    </row>
    <row r="58" spans="3:16">
      <c r="D58" s="126"/>
      <c r="E58" s="143"/>
      <c r="F58" s="143"/>
      <c r="G58" s="171" t="str">
        <f>IF(G52="Input incomplete","",IF(tank_geom=1,IF(comm_load_rate&gt;load_max,"Hint: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H58" s="116"/>
      <c r="I58" s="116"/>
      <c r="J58" s="116"/>
      <c r="K58" s="116"/>
      <c r="L58" s="116"/>
      <c r="M58" s="116"/>
      <c r="N58" s="116"/>
      <c r="O58" s="116"/>
      <c r="P58" s="116"/>
    </row>
    <row r="59" spans="3:16" ht="6" customHeight="1">
      <c r="D59" s="116"/>
      <c r="E59" s="116"/>
      <c r="F59" s="116"/>
      <c r="G59" s="148"/>
      <c r="H59" s="116"/>
      <c r="I59" s="116"/>
      <c r="J59" s="116"/>
      <c r="K59" s="116"/>
      <c r="L59" s="116"/>
      <c r="M59" s="116"/>
      <c r="N59" s="116"/>
      <c r="O59" s="116"/>
      <c r="P59" s="116"/>
    </row>
    <row r="60" spans="3:16" ht="27" customHeight="1">
      <c r="D60" s="149" t="s">
        <v>660</v>
      </c>
      <c r="E60" s="339" t="s">
        <v>2199</v>
      </c>
      <c r="F60" s="177"/>
      <c r="G60" s="151" t="str">
        <f>IF(regen_type=2,"not required","&lt;-- pick one")</f>
        <v>not required</v>
      </c>
      <c r="H60" s="116"/>
      <c r="I60" s="116"/>
      <c r="J60" s="116"/>
      <c r="K60" s="116"/>
      <c r="L60" s="116"/>
      <c r="M60" s="116"/>
      <c r="N60" s="116"/>
      <c r="O60" s="116"/>
      <c r="P60" s="116"/>
    </row>
    <row r="61" spans="3:16" ht="27" customHeight="1">
      <c r="D61" s="338" t="str">
        <f>"Discharge option for "&amp;IF(regen_type=2,"spent backwash/rinse","spent regenerant")</f>
        <v>Discharge option for spent backwash/rinse</v>
      </c>
      <c r="E61" s="340" t="s">
        <v>2200</v>
      </c>
      <c r="F61" s="179" t="s">
        <v>1543</v>
      </c>
      <c r="G61" s="180" t="s">
        <v>1499</v>
      </c>
      <c r="H61" s="737" t="s">
        <v>3217</v>
      </c>
      <c r="I61" s="116"/>
      <c r="J61" s="116"/>
      <c r="K61" s="116"/>
      <c r="L61" s="116"/>
      <c r="M61" s="116"/>
      <c r="N61" s="116"/>
      <c r="O61" s="116"/>
      <c r="P61" s="116"/>
    </row>
    <row r="62" spans="3:16" ht="27" customHeight="1">
      <c r="D62" s="338" t="str">
        <f>"Holding tank for "&amp;IF(regen_type=2,"spent backwash/rinse","spent regenerant")</f>
        <v>Holding tank for spent backwash/rinse</v>
      </c>
      <c r="E62" s="340" t="s">
        <v>2201</v>
      </c>
      <c r="F62" s="179" t="s">
        <v>1912</v>
      </c>
      <c r="G62" s="180" t="str">
        <f>IF(res_s2_opt=3,"not required",IF(res_s2_opt=4,"required","&lt;--pick one"))</f>
        <v>required</v>
      </c>
      <c r="H62" s="383" t="s">
        <v>3218</v>
      </c>
      <c r="I62" s="116"/>
      <c r="J62" s="116"/>
      <c r="K62" s="116"/>
      <c r="L62" s="116"/>
      <c r="M62" s="116"/>
      <c r="N62" s="116"/>
      <c r="O62" s="116"/>
      <c r="P62" s="116"/>
    </row>
    <row r="63" spans="3:16" ht="27" customHeight="1">
      <c r="D63" s="338" t="s">
        <v>3510</v>
      </c>
      <c r="E63" s="340" t="s">
        <v>2202</v>
      </c>
      <c r="F63" s="178" t="s">
        <v>3528</v>
      </c>
      <c r="G63" s="180" t="s">
        <v>1499</v>
      </c>
      <c r="H63" s="116"/>
      <c r="I63" s="116"/>
      <c r="J63" s="116"/>
      <c r="K63" s="116"/>
      <c r="L63" s="116"/>
      <c r="M63" s="116"/>
      <c r="N63" s="116"/>
      <c r="O63" s="116"/>
      <c r="P63" s="116"/>
    </row>
    <row r="64" spans="3:16" ht="27" customHeight="1">
      <c r="D64" s="332" t="str">
        <f>IF(res_s2_opt=3,"Characteristics of evaporation pond solids","Characteristics of holding tank solids")</f>
        <v>Characteristics of holding tank solids</v>
      </c>
      <c r="E64" s="340" t="s">
        <v>2203</v>
      </c>
      <c r="F64" s="179" t="s">
        <v>4385</v>
      </c>
      <c r="G64" s="180" t="str">
        <f>IF(OR(res_s1_opt=2,res_s2_opt=2),"not required","&lt;-- pick one")</f>
        <v>&lt;-- pick one</v>
      </c>
      <c r="H64" s="116"/>
      <c r="I64" s="116"/>
      <c r="J64" s="116"/>
      <c r="K64" s="116"/>
      <c r="L64" s="116"/>
      <c r="M64" s="116"/>
      <c r="N64" s="116"/>
      <c r="O64" s="116"/>
      <c r="P64" s="116"/>
    </row>
    <row r="65" spans="3:16" ht="20.25" customHeight="1">
      <c r="C65" t="b">
        <f>IF(G65="Residuals Input OK",TRUE)</f>
        <v>1</v>
      </c>
      <c r="D65" s="126"/>
      <c r="E65" s="143"/>
      <c r="F65" s="143"/>
      <c r="G65" s="133" t="str">
        <f>IF(OR(media_haz_I="",AND(regen_type=1,brine_method_I=""),res_s2_opt_I="",AND(res_s2_opt&lt;&gt;3,res_s1_opt_I=""),AND(res_s1_opt&lt;&gt;2,solids_haz_I="")),"Input incomplete","Residuals Input OK")</f>
        <v>Residuals Input OK</v>
      </c>
      <c r="H65" s="116"/>
      <c r="I65" s="116"/>
      <c r="J65" s="116"/>
      <c r="K65" s="116"/>
      <c r="L65" s="116"/>
      <c r="M65" s="116"/>
      <c r="N65" s="116"/>
      <c r="O65" s="116"/>
      <c r="P65" s="116"/>
    </row>
    <row r="66" spans="3:16" ht="6" customHeight="1">
      <c r="D66" s="116"/>
      <c r="E66" s="116"/>
      <c r="F66" s="116"/>
      <c r="G66" s="148"/>
      <c r="H66" s="116"/>
      <c r="I66" s="116"/>
      <c r="J66" s="116"/>
      <c r="K66" s="116"/>
      <c r="L66" s="116"/>
      <c r="M66" s="116"/>
      <c r="N66" s="116"/>
      <c r="O66" s="116"/>
      <c r="P66" s="116"/>
    </row>
    <row r="67" spans="3:16" ht="27" customHeight="1">
      <c r="D67" s="181" t="s">
        <v>226</v>
      </c>
      <c r="E67" s="132" t="s">
        <v>1032</v>
      </c>
      <c r="F67" s="185"/>
      <c r="G67" s="196" t="s">
        <v>68</v>
      </c>
      <c r="H67" s="985" t="s">
        <v>560</v>
      </c>
      <c r="I67" s="986"/>
      <c r="J67" s="986"/>
      <c r="K67" s="986"/>
      <c r="L67" s="986"/>
      <c r="M67" s="986"/>
      <c r="N67" s="116"/>
      <c r="O67" s="116"/>
      <c r="P67" s="116"/>
    </row>
    <row r="68" spans="3:16" ht="16.5" customHeight="1">
      <c r="D68" s="182" t="s">
        <v>2204</v>
      </c>
      <c r="E68" s="184"/>
      <c r="F68" s="184">
        <f>IF(ISERROR(booster_pumps),"",booster_pumps)</f>
        <v>1</v>
      </c>
      <c r="G68" s="197" t="s">
        <v>68</v>
      </c>
      <c r="H68" s="116"/>
      <c r="I68" s="116"/>
      <c r="J68" s="116"/>
      <c r="K68" s="116"/>
      <c r="L68" s="116"/>
      <c r="M68" s="116"/>
      <c r="N68" s="116"/>
      <c r="O68" s="116"/>
      <c r="P68" s="116"/>
    </row>
    <row r="69" spans="3:16" ht="14">
      <c r="D69" s="154" t="s">
        <v>1030</v>
      </c>
      <c r="E69" s="3" t="s">
        <v>1033</v>
      </c>
      <c r="F69" s="337"/>
      <c r="G69" s="156" t="s">
        <v>64</v>
      </c>
      <c r="H69" s="336" t="s">
        <v>255</v>
      </c>
      <c r="I69" s="116"/>
      <c r="J69" s="116"/>
      <c r="K69" s="116"/>
      <c r="L69" s="116"/>
      <c r="M69" s="116"/>
      <c r="N69" s="116"/>
      <c r="O69" s="116"/>
      <c r="P69" s="116"/>
    </row>
    <row r="70" spans="3:16" ht="18.75" customHeight="1">
      <c r="D70" s="182" t="s">
        <v>1031</v>
      </c>
      <c r="F70" s="184">
        <f>IF(ISERROR(NRD),"",NRD)</f>
        <v>1</v>
      </c>
      <c r="G70" s="170"/>
      <c r="H70" s="116"/>
      <c r="I70" s="116"/>
      <c r="J70" s="116"/>
      <c r="K70" s="116"/>
      <c r="L70" s="116"/>
      <c r="M70" s="116"/>
      <c r="N70" s="116"/>
      <c r="O70" s="116"/>
      <c r="P70" s="116"/>
    </row>
    <row r="71" spans="3:16" ht="20.25" customHeight="1">
      <c r="D71" s="183" t="s">
        <v>923</v>
      </c>
      <c r="E71" s="3" t="s">
        <v>3013</v>
      </c>
      <c r="F71" s="198"/>
      <c r="G71" s="156" t="s">
        <v>1037</v>
      </c>
      <c r="H71" s="201" t="s">
        <v>2760</v>
      </c>
      <c r="I71" s="116"/>
      <c r="J71" s="116"/>
      <c r="K71" s="116"/>
      <c r="L71" s="116"/>
      <c r="M71" s="116"/>
      <c r="N71" s="116"/>
      <c r="O71" s="116"/>
      <c r="P71" s="116"/>
    </row>
    <row r="72" spans="3:16" ht="19.5" customHeight="1">
      <c r="D72" s="183" t="s">
        <v>2128</v>
      </c>
      <c r="E72" s="522" t="s">
        <v>1034</v>
      </c>
      <c r="F72" s="198" t="s">
        <v>2891</v>
      </c>
      <c r="G72" s="156" t="s">
        <v>1037</v>
      </c>
      <c r="H72" s="201" t="s">
        <v>1606</v>
      </c>
      <c r="I72" s="116"/>
      <c r="J72" s="116"/>
      <c r="K72" s="116"/>
      <c r="L72" s="116"/>
      <c r="M72" s="116"/>
      <c r="N72" s="116"/>
      <c r="O72" s="116"/>
      <c r="P72" s="116"/>
    </row>
    <row r="73" spans="3:16" ht="19.5" customHeight="1">
      <c r="D73" s="183" t="s">
        <v>2129</v>
      </c>
      <c r="E73" s="522" t="s">
        <v>1881</v>
      </c>
      <c r="F73" s="198" t="s">
        <v>2896</v>
      </c>
      <c r="G73" s="156" t="s">
        <v>1037</v>
      </c>
      <c r="H73" s="201" t="s">
        <v>542</v>
      </c>
      <c r="I73" s="116"/>
      <c r="J73" s="116"/>
      <c r="K73" s="116"/>
      <c r="L73" s="116"/>
      <c r="M73" s="116"/>
      <c r="N73" s="116"/>
      <c r="O73" s="116"/>
      <c r="P73" s="116"/>
    </row>
    <row r="74" spans="3:16">
      <c r="D74" s="558" t="s">
        <v>543</v>
      </c>
      <c r="E74" s="340"/>
      <c r="F74" s="554">
        <f>IF(ISERROR(backwash_pumps),"",backwash_pumps)</f>
        <v>2</v>
      </c>
      <c r="G74" s="556" t="s">
        <v>64</v>
      </c>
      <c r="H74" s="157"/>
      <c r="I74" s="116"/>
      <c r="J74" s="116"/>
      <c r="K74" s="116"/>
      <c r="L74" s="116"/>
      <c r="M74" s="116"/>
      <c r="N74" s="116"/>
      <c r="O74" s="116"/>
      <c r="P74" s="116"/>
    </row>
    <row r="75" spans="3:16" ht="19.5" customHeight="1">
      <c r="D75" s="559" t="s">
        <v>544</v>
      </c>
      <c r="E75" s="340"/>
      <c r="F75" s="555">
        <f>IF(ISERROR(back_tanks),"",back_tanks)</f>
        <v>1</v>
      </c>
      <c r="G75" s="557" t="s">
        <v>64</v>
      </c>
      <c r="H75" s="157"/>
      <c r="I75" s="116"/>
      <c r="J75" s="116"/>
      <c r="K75" s="116"/>
      <c r="L75" s="116"/>
      <c r="M75" s="116"/>
      <c r="N75" s="116"/>
      <c r="O75" s="116"/>
      <c r="P75" s="116"/>
    </row>
    <row r="76" spans="3:16">
      <c r="D76" s="135" t="s">
        <v>158</v>
      </c>
      <c r="E76" s="3" t="s">
        <v>1035</v>
      </c>
      <c r="F76" s="199"/>
      <c r="G76" s="156" t="s">
        <v>1037</v>
      </c>
      <c r="H76" s="200" t="s">
        <v>1183</v>
      </c>
      <c r="I76" s="116"/>
      <c r="J76" s="116"/>
      <c r="K76" s="116"/>
      <c r="L76" s="116"/>
      <c r="M76" s="116"/>
      <c r="N76" s="116"/>
      <c r="O76" s="116"/>
      <c r="P76" s="116"/>
    </row>
    <row r="77" spans="3:16">
      <c r="D77" s="202" t="s">
        <v>1169</v>
      </c>
      <c r="E77" s="3" t="s">
        <v>2196</v>
      </c>
      <c r="F77" s="203"/>
      <c r="G77" s="156" t="s">
        <v>1037</v>
      </c>
      <c r="H77" s="201" t="s">
        <v>1184</v>
      </c>
      <c r="I77" s="116"/>
      <c r="J77" s="116"/>
      <c r="K77" s="116"/>
      <c r="L77" s="116"/>
      <c r="M77" s="116"/>
      <c r="N77" s="116"/>
      <c r="O77" s="116"/>
      <c r="P77" s="116"/>
    </row>
    <row r="78" spans="3:16">
      <c r="D78" s="759" t="s">
        <v>3182</v>
      </c>
      <c r="E78" s="760" t="s">
        <v>3183</v>
      </c>
      <c r="F78" s="761" t="s">
        <v>2902</v>
      </c>
      <c r="G78" s="762" t="s">
        <v>1037</v>
      </c>
      <c r="H78" s="200" t="s">
        <v>3184</v>
      </c>
      <c r="I78" s="116"/>
      <c r="J78" s="116"/>
      <c r="K78" s="116"/>
      <c r="L78" s="116"/>
      <c r="M78" s="116"/>
      <c r="N78" s="116"/>
      <c r="O78" s="116"/>
      <c r="P78" s="116"/>
    </row>
    <row r="79" spans="3:16">
      <c r="D79" s="763" t="s">
        <v>3185</v>
      </c>
      <c r="E79" s="764" t="s">
        <v>3186</v>
      </c>
      <c r="F79" s="761"/>
      <c r="G79" s="765" t="s">
        <v>1037</v>
      </c>
      <c r="H79" s="200" t="s">
        <v>3187</v>
      </c>
      <c r="I79" s="116"/>
      <c r="J79" s="116"/>
      <c r="K79" s="116"/>
      <c r="L79" s="116"/>
      <c r="M79" s="116"/>
      <c r="N79" s="116"/>
      <c r="O79" s="116"/>
      <c r="P79" s="116"/>
    </row>
    <row r="80" spans="3:16">
      <c r="D80" s="759" t="s">
        <v>3188</v>
      </c>
      <c r="E80" s="760" t="s">
        <v>3189</v>
      </c>
      <c r="F80" s="761" t="s">
        <v>2902</v>
      </c>
      <c r="G80" s="762" t="s">
        <v>1037</v>
      </c>
      <c r="H80" s="200" t="s">
        <v>3190</v>
      </c>
      <c r="I80" s="116"/>
      <c r="J80" s="116"/>
      <c r="K80" s="116"/>
      <c r="L80" s="116"/>
      <c r="M80" s="116"/>
      <c r="N80" s="116"/>
      <c r="O80" s="116"/>
      <c r="P80" s="116"/>
    </row>
    <row r="81" spans="3:16" ht="14">
      <c r="D81" s="648" t="s">
        <v>2931</v>
      </c>
      <c r="F81" s="649" t="str">
        <f>IF(component_level=2,"high cost",IF(component_level=1,"mid cost","low cost"))</f>
        <v>low cost</v>
      </c>
      <c r="G81" s="180"/>
      <c r="H81" s="201"/>
      <c r="I81" s="116"/>
      <c r="J81" s="116"/>
      <c r="K81" s="116"/>
      <c r="L81" s="116"/>
      <c r="M81" s="116"/>
      <c r="N81" s="116"/>
      <c r="O81" s="116"/>
      <c r="P81" s="116"/>
    </row>
    <row r="82" spans="3:16" ht="14">
      <c r="D82" s="165" t="s">
        <v>2932</v>
      </c>
      <c r="F82" s="158" t="str">
        <f>IF(manual=1,"manual",IF(manual=2,"semi-automated",IF(manual=3,"fully automated")))</f>
        <v>manual</v>
      </c>
      <c r="G82" s="175"/>
      <c r="H82" s="116"/>
      <c r="I82" s="116"/>
      <c r="J82" s="116"/>
      <c r="K82" s="116"/>
      <c r="L82" s="116"/>
      <c r="M82" s="116"/>
      <c r="N82" s="116"/>
      <c r="O82" s="116"/>
      <c r="P82" s="116"/>
    </row>
    <row r="83" spans="3:16">
      <c r="C83" t="b">
        <f>IF(G83="Optional Inputs OK",TRUE)</f>
        <v>1</v>
      </c>
      <c r="D83" s="127"/>
      <c r="E83" s="116"/>
      <c r="F83" s="147"/>
      <c r="G83" s="204" t="str">
        <f>IF(ISERROR(pump_rating),"Input incomplete",IF(pump_rating&gt;max_pump_size,"Warning: insufficent number of pumps.","Optional Inputs OK"))</f>
        <v>Optional Inputs OK</v>
      </c>
      <c r="H83" s="116"/>
      <c r="I83" s="116"/>
      <c r="J83" s="116"/>
      <c r="K83" s="116"/>
      <c r="L83" s="116"/>
      <c r="M83" s="116"/>
      <c r="N83" s="116"/>
      <c r="O83" s="116"/>
      <c r="P83" s="116"/>
    </row>
    <row r="84" spans="3:16">
      <c r="D84" s="126"/>
      <c r="E84" s="141"/>
      <c r="F84" s="142"/>
      <c r="G84" s="341" t="str">
        <f>IF(OR(G83="input incomplete",G83="Optional Inputs OK"),"",IF(pump_rating&gt;max_pump_size,"Hint: increase number of pumps or leave that input blank",""))</f>
        <v/>
      </c>
      <c r="H84" s="116"/>
      <c r="I84" s="116"/>
      <c r="J84" s="116"/>
      <c r="K84" s="116"/>
      <c r="L84" s="116"/>
      <c r="M84" s="116"/>
      <c r="N84" s="116"/>
      <c r="O84" s="116"/>
      <c r="P84" s="116"/>
    </row>
    <row r="85" spans="3:16">
      <c r="D85" s="116"/>
      <c r="E85" s="116"/>
      <c r="F85" s="116"/>
      <c r="G85" s="116"/>
      <c r="H85" s="116"/>
      <c r="I85" s="116"/>
      <c r="J85" s="116"/>
      <c r="K85" s="116"/>
      <c r="L85" s="116"/>
      <c r="M85" s="116"/>
      <c r="N85" s="116"/>
      <c r="O85" s="116"/>
      <c r="P85" s="116"/>
    </row>
    <row r="86" spans="3:16">
      <c r="D86" s="116"/>
      <c r="E86" s="116"/>
      <c r="F86" s="116"/>
      <c r="G86" s="116"/>
      <c r="H86" s="116"/>
      <c r="I86" s="116"/>
      <c r="J86" s="116"/>
      <c r="K86" s="116"/>
      <c r="L86" s="116"/>
      <c r="M86" s="116"/>
      <c r="N86" s="116"/>
      <c r="O86" s="116"/>
      <c r="P86" s="116"/>
    </row>
    <row r="87" spans="3:16">
      <c r="D87" s="116"/>
      <c r="E87" s="116"/>
      <c r="F87" s="116"/>
      <c r="G87" s="116"/>
      <c r="H87" s="116"/>
      <c r="I87" s="116"/>
      <c r="J87" s="116"/>
      <c r="K87" s="116"/>
      <c r="L87" s="116"/>
      <c r="M87" s="116"/>
      <c r="N87" s="116"/>
      <c r="O87" s="116"/>
      <c r="P87" s="116"/>
    </row>
    <row r="88" spans="3:16">
      <c r="D88" s="116"/>
      <c r="E88" s="116"/>
      <c r="F88" s="116"/>
      <c r="G88" s="116"/>
      <c r="H88" s="116"/>
      <c r="I88" s="116"/>
      <c r="J88" s="116"/>
      <c r="K88" s="116"/>
      <c r="L88" s="116"/>
      <c r="M88" s="116"/>
      <c r="N88" s="116"/>
      <c r="O88" s="116"/>
      <c r="P88" s="116"/>
    </row>
    <row r="89" spans="3:16">
      <c r="D89" s="116"/>
      <c r="E89" s="116"/>
      <c r="F89" s="116"/>
      <c r="G89" s="116"/>
      <c r="H89" s="116"/>
      <c r="I89" s="116"/>
      <c r="J89" s="116"/>
      <c r="K89" s="116"/>
      <c r="L89" s="116"/>
      <c r="M89" s="116"/>
      <c r="N89" s="116"/>
      <c r="O89" s="116"/>
      <c r="P89" s="116"/>
    </row>
    <row r="90" spans="3:16">
      <c r="D90" s="116"/>
      <c r="E90" s="116"/>
      <c r="F90" s="116"/>
      <c r="G90" s="116"/>
      <c r="H90" s="116"/>
      <c r="I90" s="116"/>
      <c r="J90" s="116"/>
      <c r="K90" s="116"/>
      <c r="L90" s="116"/>
      <c r="M90" s="116"/>
      <c r="N90" s="116"/>
      <c r="O90" s="116"/>
      <c r="P90" s="116"/>
    </row>
    <row r="91" spans="3:16">
      <c r="D91" s="116"/>
      <c r="E91" s="116"/>
      <c r="F91" s="116"/>
      <c r="G91" s="116"/>
      <c r="H91" s="116"/>
      <c r="I91" s="116"/>
      <c r="J91" s="116"/>
      <c r="K91" s="116"/>
      <c r="L91" s="116"/>
      <c r="M91" s="116"/>
      <c r="N91" s="116"/>
      <c r="O91" s="116"/>
      <c r="P91" s="116"/>
    </row>
    <row r="92" spans="3:16">
      <c r="D92" s="116"/>
      <c r="E92" s="116"/>
      <c r="F92" s="116"/>
      <c r="G92" s="116"/>
      <c r="H92" s="116"/>
      <c r="I92" s="116"/>
      <c r="J92" s="116"/>
      <c r="K92" s="116"/>
      <c r="L92" s="116"/>
      <c r="M92" s="116"/>
      <c r="N92" s="116"/>
      <c r="O92" s="116"/>
      <c r="P92" s="116"/>
    </row>
    <row r="93" spans="3:16">
      <c r="D93" s="116"/>
      <c r="E93" s="116"/>
      <c r="F93" s="116"/>
      <c r="G93" s="116"/>
      <c r="H93" s="116"/>
      <c r="I93" s="116"/>
      <c r="J93" s="116"/>
      <c r="K93" s="116"/>
      <c r="L93" s="116"/>
      <c r="M93" s="116"/>
      <c r="N93" s="116"/>
      <c r="O93" s="116"/>
      <c r="P93" s="116"/>
    </row>
    <row r="94" spans="3:16">
      <c r="D94" s="116"/>
      <c r="E94" s="116"/>
      <c r="F94" s="116"/>
      <c r="G94" s="116"/>
      <c r="H94" s="116"/>
      <c r="I94" s="116"/>
      <c r="J94" s="116"/>
      <c r="K94" s="116"/>
      <c r="L94" s="116"/>
      <c r="M94" s="116"/>
      <c r="N94" s="116"/>
      <c r="O94" s="116"/>
      <c r="P94" s="116"/>
    </row>
    <row r="95" spans="3:16">
      <c r="D95" s="116"/>
      <c r="E95" s="116"/>
      <c r="F95" s="116"/>
      <c r="G95" s="116"/>
      <c r="H95" s="116"/>
      <c r="I95" s="116"/>
      <c r="J95" s="116"/>
      <c r="K95" s="116"/>
      <c r="L95" s="116"/>
      <c r="M95" s="116"/>
      <c r="N95" s="116"/>
      <c r="O95" s="116"/>
      <c r="P95" s="116"/>
    </row>
    <row r="96" spans="3:16">
      <c r="D96" s="116"/>
      <c r="E96" s="116"/>
      <c r="F96" s="116"/>
      <c r="G96" s="116"/>
      <c r="H96" s="116"/>
      <c r="I96" s="116"/>
      <c r="J96" s="116"/>
      <c r="K96" s="116"/>
      <c r="L96" s="116"/>
      <c r="M96" s="116"/>
      <c r="N96" s="116"/>
      <c r="O96" s="116"/>
      <c r="P96" s="116"/>
    </row>
    <row r="97" spans="4:16">
      <c r="D97" s="116"/>
      <c r="E97" s="116"/>
      <c r="F97" s="116"/>
      <c r="G97" s="116"/>
      <c r="H97" s="116"/>
      <c r="I97" s="116"/>
      <c r="J97" s="116"/>
      <c r="K97" s="116"/>
      <c r="L97" s="116"/>
      <c r="M97" s="116"/>
      <c r="N97" s="116"/>
      <c r="O97" s="116"/>
      <c r="P97" s="116"/>
    </row>
    <row r="98" spans="4:16">
      <c r="D98" s="116"/>
      <c r="E98" s="116"/>
      <c r="F98" s="116"/>
      <c r="G98" s="116"/>
      <c r="H98" s="116"/>
      <c r="I98" s="116"/>
      <c r="J98" s="116"/>
      <c r="K98" s="116"/>
      <c r="L98" s="116"/>
      <c r="M98" s="116"/>
      <c r="N98" s="116"/>
      <c r="O98" s="116"/>
      <c r="P98" s="116"/>
    </row>
    <row r="99" spans="4:16">
      <c r="D99" s="116"/>
      <c r="E99" s="116"/>
      <c r="F99" s="116"/>
      <c r="G99" s="116"/>
      <c r="H99" s="116"/>
      <c r="I99" s="116"/>
      <c r="J99" s="116"/>
      <c r="K99" s="116"/>
      <c r="L99" s="116"/>
      <c r="M99" s="116"/>
      <c r="N99" s="116"/>
      <c r="O99" s="116"/>
      <c r="P99" s="116"/>
    </row>
    <row r="100" spans="4:16">
      <c r="D100" s="116"/>
      <c r="E100" s="116"/>
      <c r="F100" s="116"/>
      <c r="G100" s="116"/>
      <c r="H100" s="116"/>
      <c r="I100" s="116"/>
      <c r="J100" s="116"/>
      <c r="K100" s="116"/>
      <c r="L100" s="116"/>
      <c r="M100" s="116"/>
      <c r="N100" s="116"/>
      <c r="O100" s="116"/>
      <c r="P100" s="116"/>
    </row>
    <row r="101" spans="4:16">
      <c r="D101" s="116"/>
      <c r="E101" s="116"/>
      <c r="F101" s="116"/>
      <c r="G101" s="116"/>
      <c r="H101" s="116"/>
      <c r="I101" s="116"/>
      <c r="J101" s="116"/>
      <c r="K101" s="116"/>
      <c r="L101" s="116"/>
      <c r="M101" s="116"/>
      <c r="N101" s="116"/>
      <c r="O101" s="116"/>
      <c r="P101" s="116"/>
    </row>
    <row r="102" spans="4:16">
      <c r="D102" s="116"/>
      <c r="E102" s="116"/>
      <c r="F102" s="116"/>
      <c r="G102" s="116"/>
      <c r="H102" s="116"/>
      <c r="I102" s="116"/>
      <c r="J102" s="116"/>
      <c r="K102" s="116"/>
      <c r="L102" s="116"/>
      <c r="M102" s="116"/>
      <c r="N102" s="116"/>
      <c r="O102" s="116"/>
      <c r="P102" s="116"/>
    </row>
    <row r="103" spans="4:16">
      <c r="D103" s="116"/>
      <c r="E103" s="116"/>
      <c r="F103" s="116"/>
      <c r="G103" s="116"/>
      <c r="H103" s="116"/>
      <c r="I103" s="116"/>
      <c r="J103" s="116"/>
      <c r="K103" s="116"/>
      <c r="L103" s="116"/>
      <c r="M103" s="116"/>
      <c r="N103" s="116"/>
      <c r="O103" s="116"/>
      <c r="P103" s="116"/>
    </row>
    <row r="104" spans="4:16">
      <c r="D104" s="116"/>
      <c r="E104" s="116"/>
      <c r="F104" s="116"/>
      <c r="G104" s="116"/>
      <c r="H104" s="116"/>
      <c r="I104" s="116"/>
      <c r="J104" s="116"/>
      <c r="K104" s="116"/>
      <c r="L104" s="116"/>
      <c r="M104" s="116"/>
      <c r="N104" s="116"/>
      <c r="O104" s="116"/>
      <c r="P104" s="116"/>
    </row>
    <row r="105" spans="4:16">
      <c r="D105" s="116"/>
      <c r="E105" s="116"/>
      <c r="F105" s="116"/>
      <c r="G105" s="116"/>
      <c r="H105" s="116"/>
      <c r="I105" s="116"/>
      <c r="J105" s="116"/>
      <c r="K105" s="116"/>
      <c r="L105" s="116"/>
      <c r="M105" s="116"/>
      <c r="N105" s="116"/>
      <c r="O105" s="116"/>
      <c r="P105" s="116"/>
    </row>
    <row r="106" spans="4:16">
      <c r="D106" s="116"/>
      <c r="E106" s="116"/>
      <c r="F106" s="116"/>
      <c r="G106" s="116"/>
      <c r="H106" s="116"/>
      <c r="I106" s="116"/>
      <c r="J106" s="116"/>
      <c r="K106" s="116"/>
      <c r="L106" s="116"/>
      <c r="M106" s="116"/>
      <c r="N106" s="116"/>
      <c r="O106" s="116"/>
      <c r="P106" s="116"/>
    </row>
    <row r="107" spans="4:16">
      <c r="D107" s="116"/>
      <c r="E107" s="116"/>
      <c r="F107" s="116"/>
      <c r="G107" s="116"/>
      <c r="H107" s="116"/>
      <c r="I107" s="116"/>
      <c r="J107" s="116"/>
      <c r="K107" s="116"/>
      <c r="L107" s="116"/>
      <c r="M107" s="116"/>
      <c r="N107" s="116"/>
      <c r="O107" s="116"/>
      <c r="P107" s="116"/>
    </row>
    <row r="108" spans="4:16">
      <c r="D108" s="116"/>
      <c r="E108" s="116"/>
      <c r="F108" s="116"/>
      <c r="G108" s="116"/>
      <c r="H108" s="116"/>
      <c r="I108" s="116"/>
      <c r="J108" s="116"/>
      <c r="K108" s="116"/>
      <c r="L108" s="116"/>
      <c r="M108" s="116"/>
      <c r="N108" s="116"/>
      <c r="O108" s="116"/>
      <c r="P108" s="116"/>
    </row>
    <row r="109" spans="4:16">
      <c r="D109" s="116"/>
      <c r="E109" s="116"/>
      <c r="F109" s="116"/>
      <c r="G109" s="116"/>
      <c r="H109" s="116"/>
      <c r="I109" s="116"/>
      <c r="J109" s="116"/>
      <c r="K109" s="116"/>
      <c r="L109" s="116"/>
      <c r="M109" s="116"/>
      <c r="N109" s="116"/>
      <c r="O109" s="116"/>
      <c r="P109" s="116"/>
    </row>
    <row r="110" spans="4:16">
      <c r="D110" s="116"/>
      <c r="E110" s="116"/>
      <c r="F110" s="116"/>
      <c r="G110" s="116"/>
      <c r="H110" s="116"/>
      <c r="I110" s="116"/>
      <c r="J110" s="116"/>
      <c r="K110" s="116"/>
      <c r="L110" s="116"/>
      <c r="M110" s="116"/>
      <c r="N110" s="116"/>
      <c r="O110" s="116"/>
      <c r="P110" s="116"/>
    </row>
    <row r="111" spans="4:16">
      <c r="D111" s="116"/>
      <c r="E111" s="116"/>
      <c r="F111" s="116"/>
      <c r="G111" s="116"/>
      <c r="H111" s="116"/>
      <c r="I111" s="116"/>
      <c r="J111" s="116"/>
      <c r="K111" s="116"/>
      <c r="L111" s="116"/>
      <c r="M111" s="116"/>
      <c r="N111" s="116"/>
      <c r="O111" s="116"/>
      <c r="P111" s="116"/>
    </row>
    <row r="112" spans="4:16">
      <c r="D112" s="116"/>
      <c r="E112" s="116"/>
      <c r="F112" s="116"/>
      <c r="G112" s="116"/>
      <c r="H112" s="116"/>
      <c r="I112" s="116"/>
      <c r="J112" s="116"/>
      <c r="K112" s="116"/>
      <c r="L112" s="116"/>
      <c r="M112" s="116"/>
      <c r="N112" s="116"/>
      <c r="O112" s="116"/>
      <c r="P112" s="116"/>
    </row>
    <row r="113" spans="4:16">
      <c r="D113" s="116"/>
      <c r="E113" s="116"/>
      <c r="F113" s="116"/>
      <c r="G113" s="116"/>
      <c r="H113" s="116"/>
      <c r="I113" s="116"/>
      <c r="J113" s="116"/>
      <c r="K113" s="116"/>
      <c r="L113" s="116"/>
      <c r="M113" s="116"/>
      <c r="N113" s="116"/>
      <c r="O113" s="116"/>
      <c r="P113" s="116"/>
    </row>
    <row r="114" spans="4:16">
      <c r="D114" s="116"/>
      <c r="E114" s="116"/>
      <c r="F114" s="116"/>
      <c r="G114" s="116"/>
      <c r="H114" s="116"/>
      <c r="I114" s="116"/>
      <c r="J114" s="116"/>
      <c r="K114" s="116"/>
      <c r="L114" s="116"/>
      <c r="M114" s="116"/>
      <c r="N114" s="116"/>
      <c r="O114" s="116"/>
      <c r="P114" s="116"/>
    </row>
    <row r="115" spans="4:16">
      <c r="D115" s="116"/>
      <c r="E115" s="116"/>
      <c r="F115" s="116"/>
      <c r="G115" s="116"/>
      <c r="H115" s="116"/>
      <c r="I115" s="116"/>
      <c r="J115" s="116"/>
      <c r="K115" s="116"/>
      <c r="L115" s="116"/>
      <c r="M115" s="116"/>
      <c r="N115" s="116"/>
      <c r="O115" s="116"/>
      <c r="P115" s="116"/>
    </row>
    <row r="116" spans="4:16">
      <c r="D116" s="116"/>
      <c r="E116" s="116"/>
      <c r="F116" s="116"/>
      <c r="G116" s="116"/>
      <c r="H116" s="116"/>
      <c r="I116" s="116"/>
      <c r="J116" s="116"/>
      <c r="K116" s="116"/>
      <c r="L116" s="116"/>
      <c r="M116" s="116"/>
      <c r="N116" s="116"/>
      <c r="O116" s="116"/>
      <c r="P116" s="116"/>
    </row>
    <row r="117" spans="4:16">
      <c r="D117" s="116"/>
      <c r="E117" s="116"/>
      <c r="F117" s="116"/>
      <c r="G117" s="116"/>
      <c r="H117" s="116"/>
      <c r="I117" s="116"/>
      <c r="J117" s="116"/>
      <c r="K117" s="116"/>
      <c r="L117" s="116"/>
      <c r="M117" s="116"/>
      <c r="N117" s="116"/>
      <c r="O117" s="116"/>
      <c r="P117" s="116"/>
    </row>
    <row r="118" spans="4:16">
      <c r="D118" s="116"/>
      <c r="E118" s="116"/>
      <c r="F118" s="116"/>
      <c r="G118" s="116"/>
      <c r="H118" s="116"/>
      <c r="I118" s="116"/>
      <c r="J118" s="116"/>
      <c r="K118" s="116"/>
      <c r="L118" s="116"/>
      <c r="M118" s="116"/>
      <c r="N118" s="116"/>
      <c r="O118" s="116"/>
      <c r="P118" s="116"/>
    </row>
    <row r="119" spans="4:16">
      <c r="D119" s="116"/>
      <c r="E119" s="116"/>
      <c r="F119" s="116"/>
      <c r="G119" s="116"/>
      <c r="H119" s="116"/>
      <c r="I119" s="116"/>
      <c r="J119" s="116"/>
      <c r="K119" s="116"/>
      <c r="L119" s="116"/>
      <c r="M119" s="116"/>
      <c r="N119" s="116"/>
      <c r="O119" s="116"/>
      <c r="P119" s="116"/>
    </row>
    <row r="120" spans="4:16">
      <c r="D120" s="116"/>
      <c r="E120" s="116"/>
      <c r="F120" s="116"/>
      <c r="G120" s="116"/>
      <c r="H120" s="116"/>
      <c r="I120" s="116"/>
      <c r="J120" s="116"/>
      <c r="K120" s="116"/>
      <c r="L120" s="116"/>
      <c r="M120" s="116"/>
      <c r="N120" s="116"/>
      <c r="O120" s="116"/>
      <c r="P120" s="116"/>
    </row>
    <row r="121" spans="4:16">
      <c r="D121" s="116"/>
      <c r="E121" s="116"/>
      <c r="F121" s="116"/>
      <c r="G121" s="116"/>
      <c r="H121" s="116"/>
      <c r="I121" s="116"/>
      <c r="J121" s="116"/>
      <c r="K121" s="116"/>
      <c r="L121" s="116"/>
      <c r="M121" s="116"/>
      <c r="N121" s="116"/>
      <c r="O121" s="116"/>
      <c r="P121" s="116"/>
    </row>
    <row r="122" spans="4:16">
      <c r="D122" s="116"/>
      <c r="E122" s="116"/>
      <c r="F122" s="116"/>
      <c r="G122" s="116"/>
      <c r="H122" s="116"/>
      <c r="I122" s="116"/>
      <c r="J122" s="116"/>
      <c r="K122" s="116"/>
      <c r="L122" s="116"/>
      <c r="M122" s="116"/>
      <c r="N122" s="116"/>
      <c r="O122" s="116"/>
      <c r="P122" s="116"/>
    </row>
    <row r="123" spans="4:16">
      <c r="D123" s="116"/>
      <c r="E123" s="116"/>
      <c r="F123" s="116"/>
      <c r="G123" s="116"/>
      <c r="H123" s="116"/>
      <c r="I123" s="116"/>
      <c r="J123" s="116"/>
      <c r="K123" s="116"/>
      <c r="L123" s="116"/>
      <c r="M123" s="116"/>
      <c r="N123" s="116"/>
      <c r="O123" s="116"/>
      <c r="P123" s="116"/>
    </row>
    <row r="124" spans="4:16">
      <c r="D124" s="116"/>
      <c r="E124" s="116"/>
      <c r="F124" s="116"/>
      <c r="G124" s="116"/>
      <c r="H124" s="116"/>
      <c r="I124" s="116"/>
      <c r="J124" s="116"/>
      <c r="K124" s="116"/>
      <c r="L124" s="116"/>
      <c r="M124" s="116"/>
      <c r="N124" s="116"/>
      <c r="O124" s="116"/>
      <c r="P124" s="116"/>
    </row>
    <row r="125" spans="4:16">
      <c r="D125" s="116"/>
      <c r="E125" s="116"/>
      <c r="F125" s="116"/>
      <c r="G125" s="116"/>
      <c r="H125" s="116"/>
      <c r="I125" s="116"/>
      <c r="J125" s="116"/>
      <c r="K125" s="116"/>
      <c r="L125" s="116"/>
      <c r="M125" s="116"/>
      <c r="N125" s="116"/>
      <c r="O125" s="116"/>
      <c r="P125" s="116"/>
    </row>
    <row r="126" spans="4:16">
      <c r="D126" s="116"/>
      <c r="E126" s="116"/>
      <c r="F126" s="116"/>
      <c r="G126" s="116"/>
      <c r="H126" s="116"/>
      <c r="I126" s="116"/>
      <c r="J126" s="116"/>
      <c r="K126" s="116"/>
      <c r="L126" s="116"/>
      <c r="M126" s="116"/>
      <c r="N126" s="116"/>
      <c r="O126" s="116"/>
      <c r="P126" s="116"/>
    </row>
    <row r="127" spans="4:16">
      <c r="D127" s="116"/>
      <c r="E127" s="116"/>
      <c r="F127" s="116"/>
      <c r="G127" s="116"/>
      <c r="H127" s="116"/>
      <c r="I127" s="116"/>
      <c r="J127" s="116"/>
      <c r="K127" s="116"/>
      <c r="L127" s="116"/>
      <c r="M127" s="116"/>
      <c r="N127" s="116"/>
      <c r="O127" s="116"/>
      <c r="P127" s="116"/>
    </row>
    <row r="128" spans="4:16">
      <c r="D128" s="116"/>
      <c r="E128" s="116"/>
      <c r="F128" s="116"/>
      <c r="G128" s="116"/>
      <c r="H128" s="116"/>
      <c r="I128" s="116"/>
      <c r="J128" s="116"/>
      <c r="K128" s="116"/>
      <c r="L128" s="116"/>
      <c r="M128" s="116"/>
      <c r="N128" s="116"/>
      <c r="O128" s="116"/>
      <c r="P128" s="116"/>
    </row>
    <row r="129" spans="4:16">
      <c r="D129" s="116"/>
      <c r="E129" s="116"/>
      <c r="F129" s="116"/>
      <c r="G129" s="116"/>
      <c r="H129" s="116"/>
      <c r="I129" s="116"/>
      <c r="J129" s="116"/>
      <c r="K129" s="116"/>
      <c r="L129" s="116"/>
      <c r="M129" s="116"/>
      <c r="N129" s="116"/>
      <c r="O129" s="116"/>
      <c r="P129" s="116"/>
    </row>
    <row r="130" spans="4:16">
      <c r="D130" s="116"/>
      <c r="E130" s="116"/>
      <c r="F130" s="116"/>
      <c r="G130" s="116"/>
      <c r="H130" s="116"/>
      <c r="I130" s="116"/>
      <c r="J130" s="116"/>
      <c r="K130" s="116"/>
      <c r="L130" s="116"/>
      <c r="M130" s="116"/>
      <c r="N130" s="116"/>
      <c r="O130" s="116"/>
      <c r="P130" s="116"/>
    </row>
    <row r="131" spans="4:16">
      <c r="D131" s="116"/>
      <c r="E131" s="116"/>
      <c r="F131" s="116"/>
      <c r="G131" s="116"/>
      <c r="H131" s="116"/>
      <c r="I131" s="116"/>
      <c r="J131" s="116"/>
      <c r="K131" s="116"/>
      <c r="L131" s="116"/>
      <c r="M131" s="116"/>
      <c r="N131" s="116"/>
      <c r="O131" s="116"/>
      <c r="P131" s="116"/>
    </row>
    <row r="132" spans="4:16">
      <c r="D132" s="116"/>
      <c r="E132" s="116"/>
      <c r="F132" s="116"/>
      <c r="G132" s="116"/>
      <c r="H132" s="116"/>
      <c r="I132" s="116"/>
      <c r="J132" s="116"/>
      <c r="K132" s="116"/>
      <c r="L132" s="116"/>
      <c r="M132" s="116"/>
      <c r="N132" s="116"/>
      <c r="O132" s="116"/>
      <c r="P132" s="116"/>
    </row>
    <row r="133" spans="4:16">
      <c r="D133" s="116"/>
      <c r="E133" s="116"/>
      <c r="F133" s="116"/>
      <c r="G133" s="116"/>
      <c r="H133" s="116"/>
      <c r="I133" s="116"/>
      <c r="J133" s="116"/>
      <c r="K133" s="116"/>
      <c r="L133" s="116"/>
      <c r="M133" s="116"/>
      <c r="N133" s="116"/>
      <c r="O133" s="116"/>
      <c r="P133" s="116"/>
    </row>
    <row r="134" spans="4:16">
      <c r="D134" s="116"/>
      <c r="E134" s="116"/>
      <c r="F134" s="116"/>
      <c r="G134" s="116"/>
      <c r="H134" s="116"/>
      <c r="I134" s="116"/>
      <c r="J134" s="116"/>
      <c r="K134" s="116"/>
      <c r="L134" s="116"/>
      <c r="M134" s="116"/>
      <c r="N134" s="116"/>
      <c r="O134" s="116"/>
      <c r="P134" s="116"/>
    </row>
    <row r="135" spans="4:16">
      <c r="D135" s="116"/>
      <c r="E135" s="116"/>
      <c r="F135" s="116"/>
      <c r="G135" s="116"/>
      <c r="H135" s="116"/>
      <c r="I135" s="116"/>
      <c r="J135" s="116"/>
      <c r="K135" s="116"/>
      <c r="L135" s="116"/>
      <c r="M135" s="116"/>
      <c r="N135" s="116"/>
      <c r="O135" s="116"/>
      <c r="P135" s="116"/>
    </row>
    <row r="136" spans="4:16">
      <c r="D136" s="116"/>
      <c r="E136" s="116"/>
      <c r="F136" s="116"/>
      <c r="G136" s="116"/>
      <c r="H136" s="116"/>
      <c r="I136" s="116"/>
      <c r="J136" s="116"/>
      <c r="K136" s="116"/>
      <c r="L136" s="116"/>
      <c r="M136" s="116"/>
      <c r="N136" s="116"/>
      <c r="O136" s="116"/>
      <c r="P136" s="116"/>
    </row>
    <row r="137" spans="4:16">
      <c r="D137" s="116"/>
      <c r="E137" s="116"/>
      <c r="F137" s="116"/>
      <c r="G137" s="116"/>
      <c r="H137" s="116"/>
      <c r="I137" s="116"/>
      <c r="J137" s="116"/>
      <c r="K137" s="116"/>
      <c r="L137" s="116"/>
      <c r="M137" s="116"/>
      <c r="N137" s="116"/>
      <c r="O137" s="116"/>
      <c r="P137" s="116"/>
    </row>
    <row r="138" spans="4:16">
      <c r="D138" s="116"/>
      <c r="E138" s="116"/>
      <c r="F138" s="116"/>
      <c r="G138" s="116"/>
      <c r="H138" s="116"/>
      <c r="I138" s="116"/>
      <c r="J138" s="116"/>
      <c r="K138" s="116"/>
      <c r="L138" s="116"/>
      <c r="M138" s="116"/>
      <c r="N138" s="116"/>
      <c r="O138" s="116"/>
      <c r="P138" s="116"/>
    </row>
    <row r="139" spans="4:16">
      <c r="D139" s="116"/>
      <c r="E139" s="116"/>
      <c r="F139" s="116"/>
      <c r="G139" s="116"/>
      <c r="H139" s="116"/>
      <c r="I139" s="116"/>
      <c r="J139" s="116"/>
      <c r="K139" s="116"/>
      <c r="L139" s="116"/>
      <c r="M139" s="116"/>
      <c r="N139" s="116"/>
      <c r="O139" s="116"/>
      <c r="P139" s="116"/>
    </row>
    <row r="140" spans="4:16">
      <c r="D140" s="116"/>
      <c r="E140" s="116"/>
      <c r="F140" s="116"/>
      <c r="G140" s="116"/>
      <c r="H140" s="116"/>
      <c r="I140" s="116"/>
      <c r="J140" s="116"/>
      <c r="K140" s="116"/>
      <c r="L140" s="116"/>
      <c r="M140" s="116"/>
      <c r="N140" s="116"/>
      <c r="O140" s="116"/>
      <c r="P140" s="116"/>
    </row>
    <row r="141" spans="4:16">
      <c r="D141" s="116"/>
      <c r="E141" s="116"/>
      <c r="F141" s="116"/>
      <c r="G141" s="116"/>
      <c r="H141" s="116"/>
      <c r="I141" s="116"/>
      <c r="J141" s="116"/>
      <c r="K141" s="116"/>
      <c r="L141" s="116"/>
      <c r="M141" s="116"/>
      <c r="N141" s="116"/>
      <c r="O141" s="116"/>
      <c r="P141" s="116"/>
    </row>
    <row r="142" spans="4:16">
      <c r="D142" s="116"/>
      <c r="E142" s="116"/>
      <c r="F142" s="116"/>
      <c r="G142" s="116"/>
      <c r="H142" s="116"/>
      <c r="I142" s="116"/>
      <c r="J142" s="116"/>
      <c r="K142" s="116"/>
      <c r="L142" s="116"/>
      <c r="M142" s="116"/>
      <c r="N142" s="116"/>
      <c r="O142" s="116"/>
      <c r="P142" s="116"/>
    </row>
    <row r="143" spans="4:16">
      <c r="D143" s="116"/>
      <c r="E143" s="116"/>
      <c r="F143" s="116"/>
      <c r="G143" s="116"/>
      <c r="H143" s="116"/>
      <c r="I143" s="116"/>
      <c r="J143" s="116"/>
      <c r="K143" s="116"/>
      <c r="L143" s="116"/>
      <c r="M143" s="116"/>
      <c r="N143" s="116"/>
      <c r="O143" s="116"/>
      <c r="P143" s="116"/>
    </row>
    <row r="144" spans="4:16">
      <c r="D144" s="116"/>
      <c r="E144" s="116"/>
      <c r="F144" s="116"/>
      <c r="G144" s="116"/>
      <c r="H144" s="116"/>
      <c r="I144" s="116"/>
      <c r="J144" s="116"/>
      <c r="K144" s="116"/>
      <c r="L144" s="116"/>
      <c r="M144" s="116"/>
      <c r="N144" s="116"/>
      <c r="O144" s="116"/>
      <c r="P144" s="116"/>
    </row>
    <row r="145" spans="4:16">
      <c r="D145" s="116"/>
      <c r="E145" s="116"/>
      <c r="F145" s="116"/>
      <c r="G145" s="116"/>
      <c r="H145" s="116"/>
      <c r="I145" s="116"/>
      <c r="J145" s="116"/>
      <c r="K145" s="116"/>
      <c r="L145" s="116"/>
      <c r="M145" s="116"/>
      <c r="N145" s="116"/>
      <c r="O145" s="116"/>
      <c r="P145" s="116"/>
    </row>
    <row r="146" spans="4:16">
      <c r="D146" s="116"/>
      <c r="E146" s="116"/>
      <c r="F146" s="116"/>
      <c r="G146" s="116"/>
      <c r="H146" s="116"/>
      <c r="I146" s="116"/>
      <c r="J146" s="116"/>
      <c r="K146" s="116"/>
      <c r="L146" s="116"/>
      <c r="M146" s="116"/>
      <c r="N146" s="116"/>
      <c r="O146" s="116"/>
      <c r="P146" s="116"/>
    </row>
    <row r="147" spans="4:16">
      <c r="D147" s="116"/>
      <c r="E147" s="116"/>
      <c r="F147" s="116"/>
      <c r="G147" s="116"/>
      <c r="H147" s="116"/>
      <c r="I147" s="116"/>
      <c r="J147" s="116"/>
      <c r="K147" s="116"/>
      <c r="L147" s="116"/>
      <c r="M147" s="116"/>
      <c r="N147" s="116"/>
      <c r="O147" s="116"/>
      <c r="P147" s="116"/>
    </row>
    <row r="148" spans="4:16">
      <c r="H148" s="116"/>
      <c r="I148" s="116"/>
      <c r="J148" s="116"/>
      <c r="K148" s="116"/>
      <c r="L148" s="116"/>
      <c r="M148" s="116"/>
      <c r="N148" s="116"/>
      <c r="O148" s="116"/>
      <c r="P148" s="116"/>
    </row>
  </sheetData>
  <mergeCells count="3">
    <mergeCell ref="F16:G17"/>
    <mergeCell ref="H16:H17"/>
    <mergeCell ref="H67:M67"/>
  </mergeCells>
  <phoneticPr fontId="0" type="noConversion"/>
  <conditionalFormatting sqref="D20">
    <cfRule type="expression" dxfId="1881" priority="1" stopIfTrue="1">
      <formula>F16="input complete -- results ready"</formula>
    </cfRule>
  </conditionalFormatting>
  <conditionalFormatting sqref="G32:G33">
    <cfRule type="cellIs" dxfId="1880" priority="2" stopIfTrue="1" operator="equal">
      <formula>"Flow Input OK"</formula>
    </cfRule>
  </conditionalFormatting>
  <conditionalFormatting sqref="G52">
    <cfRule type="cellIs" dxfId="1879" priority="3" stopIfTrue="1" operator="equal">
      <formula>"bed depth ok"</formula>
    </cfRule>
  </conditionalFormatting>
  <conditionalFormatting sqref="G58:G59 G66 G70">
    <cfRule type="cellIs" dxfId="1878" priority="4" stopIfTrue="1" operator="equal">
      <formula>"height ok"</formula>
    </cfRule>
  </conditionalFormatting>
  <conditionalFormatting sqref="G54">
    <cfRule type="cellIs" dxfId="1877" priority="5" stopIfTrue="1" operator="equal">
      <formula>"diameter ok"</formula>
    </cfRule>
  </conditionalFormatting>
  <conditionalFormatting sqref="G55:G56">
    <cfRule type="cellIs" dxfId="1876" priority="6" stopIfTrue="1" operator="equal">
      <formula>"volume ok"</formula>
    </cfRule>
  </conditionalFormatting>
  <conditionalFormatting sqref="G57">
    <cfRule type="cellIs" dxfId="1875" priority="7" stopIfTrue="1" operator="equal">
      <formula>"loading ok"</formula>
    </cfRule>
  </conditionalFormatting>
  <conditionalFormatting sqref="G53">
    <cfRule type="cellIs" dxfId="1874" priority="8" stopIfTrue="1" operator="equal">
      <formula>"height ok"</formula>
    </cfRule>
    <cfRule type="cellIs" dxfId="1873" priority="9" stopIfTrue="1" operator="equal">
      <formula>"length ok"</formula>
    </cfRule>
  </conditionalFormatting>
  <conditionalFormatting sqref="G65">
    <cfRule type="cellIs" dxfId="1872" priority="10" stopIfTrue="1" operator="equal">
      <formula>"Residuals Input OK"</formula>
    </cfRule>
  </conditionalFormatting>
  <conditionalFormatting sqref="G83">
    <cfRule type="cellIs" dxfId="1871" priority="11" stopIfTrue="1" operator="equal">
      <formula>"Optional Inputs OK"</formula>
    </cfRule>
  </conditionalFormatting>
  <conditionalFormatting sqref="G38">
    <cfRule type="cellIs" dxfId="1870" priority="15" stopIfTrue="1" operator="equal">
      <formula>"Bed Life Input OK"</formula>
    </cfRule>
  </conditionalFormatting>
  <conditionalFormatting sqref="D60 G60">
    <cfRule type="expression" dxfId="1869" priority="16" stopIfTrue="1">
      <formula>regen_type=2</formula>
    </cfRule>
  </conditionalFormatting>
  <conditionalFormatting sqref="F60">
    <cfRule type="expression" dxfId="1868" priority="17" stopIfTrue="1">
      <formula>regen_type=2</formula>
    </cfRule>
  </conditionalFormatting>
  <conditionalFormatting sqref="G84">
    <cfRule type="cellIs" dxfId="1867" priority="18" stopIfTrue="1" operator="equal">
      <formula>""</formula>
    </cfRule>
  </conditionalFormatting>
  <conditionalFormatting sqref="F16:G17">
    <cfRule type="cellIs" dxfId="1866" priority="19" stopIfTrue="1" operator="equal">
      <formula>"Input Complete -- Results Ready"</formula>
    </cfRule>
  </conditionalFormatting>
  <conditionalFormatting sqref="D62 G62">
    <cfRule type="expression" dxfId="1865" priority="36" stopIfTrue="1">
      <formula>res_s2_opt&gt;2</formula>
    </cfRule>
  </conditionalFormatting>
  <conditionalFormatting sqref="F62">
    <cfRule type="expression" dxfId="1864" priority="37" stopIfTrue="1">
      <formula>res_s2_opt&gt;2</formula>
    </cfRule>
  </conditionalFormatting>
  <conditionalFormatting sqref="G64 D64">
    <cfRule type="expression" dxfId="1863" priority="38" stopIfTrue="1">
      <formula>res_s1_opt=2</formula>
    </cfRule>
  </conditionalFormatting>
  <conditionalFormatting sqref="F64">
    <cfRule type="expression" dxfId="1862" priority="39" stopIfTrue="1">
      <formula>res_s1_opt=2</formula>
    </cfRule>
  </conditionalFormatting>
  <dataValidations count="19">
    <dataValidation type="list" allowBlank="1" showInputMessage="1" showErrorMessage="1" error="Invalid selection" sqref="G27" xr:uid="{00000000-0002-0000-0300-000000000000}">
      <formula1>"MGD,gpm"</formula1>
    </dataValidation>
    <dataValidation type="list" allowBlank="1" showInputMessage="1" showErrorMessage="1" error="Invalid selection" sqref="G28" xr:uid="{00000000-0002-0000-0300-000001000000}">
      <formula1>"MGD,gpm,fraction of design flow"</formula1>
    </dataValidation>
    <dataValidation type="list" allowBlank="1" showInputMessage="1" showErrorMessage="1" sqref="F34" xr:uid="{00000000-0002-0000-0300-000002000000}">
      <formula1>"throwaway"</formula1>
    </dataValidation>
    <dataValidation type="decimal" operator="greaterThan" allowBlank="1" showInputMessage="1" showErrorMessage="1" sqref="F41 F27:F30 F44 F46:F47 F35:F36" xr:uid="{00000000-0002-0000-0300-000003000000}">
      <formula1>0</formula1>
    </dataValidation>
    <dataValidation type="whole" operator="greaterThan" allowBlank="1" showInputMessage="1" showErrorMessage="1" sqref="F40" xr:uid="{00000000-0002-0000-0300-000004000000}">
      <formula1>0</formula1>
    </dataValidation>
    <dataValidation type="list" allowBlank="1" showInputMessage="1" showErrorMessage="1" sqref="F45" xr:uid="{00000000-0002-0000-0300-000005000000}">
      <formula1>"upright,horizontal"</formula1>
    </dataValidation>
    <dataValidation type="list" allowBlank="1" showInputMessage="1" showErrorMessage="1" sqref="F60" xr:uid="{00000000-0002-0000-0300-000006000000}">
      <formula1>brine_method_valid</formula1>
    </dataValidation>
    <dataValidation type="list" allowBlank="1" showInputMessage="1" showErrorMessage="1" sqref="F61" xr:uid="{00000000-0002-0000-0300-000007000000}">
      <formula1>discharge_valid</formula1>
    </dataValidation>
    <dataValidation type="list" allowBlank="1" showInputMessage="1" showErrorMessage="1" sqref="F62" xr:uid="{00000000-0002-0000-0300-000008000000}">
      <formula1>holding_tank_valid</formula1>
    </dataValidation>
    <dataValidation type="list" allowBlank="1" showInputMessage="1" showErrorMessage="1" sqref="F64" xr:uid="{00000000-0002-0000-0300-000009000000}">
      <formula1>holding_haz_valid</formula1>
    </dataValidation>
    <dataValidation type="whole" operator="greaterThanOrEqual" allowBlank="1" showInputMessage="1" showErrorMessage="1" sqref="F67 F69" xr:uid="{00000000-0002-0000-0300-00000A000000}">
      <formula1>0</formula1>
    </dataValidation>
    <dataValidation type="list" allowBlank="1" showInputMessage="1" showErrorMessage="1" sqref="F63" xr:uid="{00000000-0002-0000-0300-00000B000000}">
      <formula1>resin_haz_valid</formula1>
    </dataValidation>
    <dataValidation type="list" allowBlank="1" showInputMessage="1" showErrorMessage="1" sqref="F76" xr:uid="{00000000-0002-0000-0300-00000C000000}">
      <formula1>comp_level_valid</formula1>
    </dataValidation>
    <dataValidation type="list" allowBlank="1" showInputMessage="1" showErrorMessage="1" sqref="F77" xr:uid="{00000000-0002-0000-0300-00000D000000}">
      <formula1>system_automation_valid</formula1>
    </dataValidation>
    <dataValidation type="list" allowBlank="1" showInputMessage="1" showErrorMessage="1" sqref="F71" xr:uid="{00000000-0002-0000-0300-00000E000000}">
      <formula1>treated_water_corr_ctrl_valid</formula1>
    </dataValidation>
    <dataValidation type="list" allowBlank="1" showInputMessage="1" showErrorMessage="1" sqref="F73" xr:uid="{00000000-0002-0000-0300-00000F000000}">
      <formula1>backwash_storage_valid</formula1>
    </dataValidation>
    <dataValidation type="list" allowBlank="1" showInputMessage="1" showErrorMessage="1" sqref="F72" xr:uid="{00000000-0002-0000-0300-000010000000}">
      <formula1>backwash_pump_valid</formula1>
    </dataValidation>
    <dataValidation type="list" allowBlank="1" showInputMessage="1" showErrorMessage="1" sqref="F78:F80" xr:uid="{00000000-0002-0000-0300-000011000000}">
      <formula1>yes_no_valid</formula1>
    </dataValidation>
    <dataValidation type="list" allowBlank="1" showInputMessage="1" showErrorMessage="1" error="Invalid selection" sqref="G35" xr:uid="{00000000-0002-0000-0300-000012000000}">
      <formula1>"bed volumes,months"</formula1>
    </dataValidation>
  </dataValidations>
  <hyperlinks>
    <hyperlink ref="H31" location="bp_pct" display="Adjust bypass percentage" xr:uid="{00000000-0004-0000-0300-000001000000}"/>
    <hyperlink ref="H52" location="link_bed_constraints" display="Adjust bed depth constraints" xr:uid="{00000000-0004-0000-0300-000002000000}"/>
    <hyperlink ref="H53" location="link_dim_constraints" display="Adjust vessel size constraints" xr:uid="{00000000-0004-0000-0300-000003000000}"/>
    <hyperlink ref="H57" location="link_load" display="Adjust loading constraints" xr:uid="{00000000-0004-0000-0300-000004000000}"/>
    <hyperlink ref="H62" location="add_backwash_freq" display="Click here to adjust this assumption" xr:uid="{00000000-0004-0000-0300-000005000000}"/>
    <hyperlink ref="H38" location="'PFAS Reference'!A1" display="See data on PFAS breakthrough from selected full- and pilot-scale installations" xr:uid="{00000000-0004-0000-0300-000006000000}"/>
    <hyperlink ref="H19" location="link_output" display="Results summary (see OUTPUT sheet for details)" xr:uid="{00000000-0004-0000-0300-000000000000}"/>
  </hyperlinks>
  <pageMargins left="0.75" right="1.1599999999999999" top="1" bottom="1" header="0.5" footer="0.5"/>
  <pageSetup scale="7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83" r:id="rId4" name="ddResinChoice">
              <controlPr defaultSize="0" autoLine="0" autoPict="0" macro="[0]!ddContamChoice_Change">
                <anchor moveWithCells="1">
                  <from>
                    <xdr:col>5</xdr:col>
                    <xdr:colOff>38100</xdr:colOff>
                    <xdr:row>3</xdr:row>
                    <xdr:rowOff>12700</xdr:rowOff>
                  </from>
                  <to>
                    <xdr:col>5</xdr:col>
                    <xdr:colOff>2044700</xdr:colOff>
                    <xdr:row>4</xdr:row>
                    <xdr:rowOff>12700</xdr:rowOff>
                  </to>
                </anchor>
              </controlPr>
            </control>
          </mc:Choice>
        </mc:AlternateContent>
        <mc:AlternateContent xmlns:mc="http://schemas.openxmlformats.org/markup-compatibility/2006">
          <mc:Choice Requires="x14">
            <control shapeId="7288" r:id="rId5" name="cmdAutoSize">
              <controlPr defaultSize="0" print="0" autoFill="0" autoPict="0" macro="[0]!Sheet1.cmdAutoSize_Click">
                <anchor moveWithCells="1" sizeWithCells="1">
                  <from>
                    <xdr:col>3</xdr:col>
                    <xdr:colOff>50800</xdr:colOff>
                    <xdr:row>43</xdr:row>
                    <xdr:rowOff>63500</xdr:rowOff>
                  </from>
                  <to>
                    <xdr:col>3</xdr:col>
                    <xdr:colOff>1041400</xdr:colOff>
                    <xdr:row>47</xdr:row>
                    <xdr:rowOff>0</xdr:rowOff>
                  </to>
                </anchor>
              </controlPr>
            </control>
          </mc:Choice>
        </mc:AlternateContent>
        <mc:AlternateContent xmlns:mc="http://schemas.openxmlformats.org/markup-compatibility/2006">
          <mc:Choice Requires="x14">
            <control shapeId="7289" r:id="rId6" name="cmdCompSelect">
              <controlPr defaultSize="0" print="0" autoFill="0" autoPict="0" macro="[0]!Sheet1.cmdCompSelect_Click">
                <anchor moveWithCells="1" sizeWithCells="1">
                  <from>
                    <xdr:col>5</xdr:col>
                    <xdr:colOff>25400</xdr:colOff>
                    <xdr:row>17</xdr:row>
                    <xdr:rowOff>152400</xdr:rowOff>
                  </from>
                  <to>
                    <xdr:col>6</xdr:col>
                    <xdr:colOff>1752600</xdr:colOff>
                    <xdr:row>21</xdr:row>
                    <xdr:rowOff>0</xdr:rowOff>
                  </to>
                </anchor>
              </controlPr>
            </control>
          </mc:Choice>
        </mc:AlternateContent>
        <mc:AlternateContent xmlns:mc="http://schemas.openxmlformats.org/markup-compatibility/2006">
          <mc:Choice Requires="x14">
            <control shapeId="7290" r:id="rId7" name="CommandButton1">
              <controlPr defaultSize="0" print="0" autoFill="0" autoPict="0" macro="[0]!Sheet1.CommandButton1_Click">
                <anchor moveWithCells="1" sizeWithCells="1">
                  <from>
                    <xdr:col>5</xdr:col>
                    <xdr:colOff>63500</xdr:colOff>
                    <xdr:row>5</xdr:row>
                    <xdr:rowOff>63500</xdr:rowOff>
                  </from>
                  <to>
                    <xdr:col>5</xdr:col>
                    <xdr:colOff>2006600</xdr:colOff>
                    <xdr:row>6</xdr:row>
                    <xdr:rowOff>38100</xdr:rowOff>
                  </to>
                </anchor>
              </controlPr>
            </control>
          </mc:Choice>
        </mc:AlternateContent>
        <mc:AlternateContent xmlns:mc="http://schemas.openxmlformats.org/markup-compatibility/2006">
          <mc:Choice Requires="x14">
            <control shapeId="7291" r:id="rId8" name="CommandButton2">
              <controlPr defaultSize="0" print="0" autoFill="0" autoPict="0" macro="[0]!Sheet1.CommandButton2_Click">
                <anchor moveWithCells="1" sizeWithCells="1">
                  <from>
                    <xdr:col>5</xdr:col>
                    <xdr:colOff>63500</xdr:colOff>
                    <xdr:row>6</xdr:row>
                    <xdr:rowOff>50800</xdr:rowOff>
                  </from>
                  <to>
                    <xdr:col>5</xdr:col>
                    <xdr:colOff>2006600</xdr:colOff>
                    <xdr:row>7</xdr:row>
                    <xdr:rowOff>12700</xdr:rowOff>
                  </to>
                </anchor>
              </controlPr>
            </control>
          </mc:Choice>
        </mc:AlternateContent>
        <mc:AlternateContent xmlns:mc="http://schemas.openxmlformats.org/markup-compatibility/2006">
          <mc:Choice Requires="x14">
            <control shapeId="7292" r:id="rId9" name="CommandButton3">
              <controlPr defaultSize="0" print="0" autoFill="0" autoPict="0" macro="[0]!Sheet1.CommandButton3_Click">
                <anchor moveWithCells="1" sizeWithCells="1">
                  <from>
                    <xdr:col>5</xdr:col>
                    <xdr:colOff>63500</xdr:colOff>
                    <xdr:row>7</xdr:row>
                    <xdr:rowOff>38100</xdr:rowOff>
                  </from>
                  <to>
                    <xdr:col>5</xdr:col>
                    <xdr:colOff>2006600</xdr:colOff>
                    <xdr:row>7</xdr:row>
                    <xdr:rowOff>330200</xdr:rowOff>
                  </to>
                </anchor>
              </controlPr>
            </control>
          </mc:Choice>
        </mc:AlternateContent>
        <mc:AlternateContent xmlns:mc="http://schemas.openxmlformats.org/markup-compatibility/2006">
          <mc:Choice Requires="x14">
            <control shapeId="7293" r:id="rId10" name="CommandButton4">
              <controlPr defaultSize="0" print="0" autoFill="0" autoPict="0" macro="[0]!Sheet1.CommandButton4_Click">
                <anchor moveWithCells="1" sizeWithCells="1">
                  <from>
                    <xdr:col>5</xdr:col>
                    <xdr:colOff>63500</xdr:colOff>
                    <xdr:row>8</xdr:row>
                    <xdr:rowOff>38100</xdr:rowOff>
                  </from>
                  <to>
                    <xdr:col>5</xdr:col>
                    <xdr:colOff>2006600</xdr:colOff>
                    <xdr:row>8</xdr:row>
                    <xdr:rowOff>330200</xdr:rowOff>
                  </to>
                </anchor>
              </controlPr>
            </control>
          </mc:Choice>
        </mc:AlternateContent>
        <mc:AlternateContent xmlns:mc="http://schemas.openxmlformats.org/markup-compatibility/2006">
          <mc:Choice Requires="x14">
            <control shapeId="7294" r:id="rId11" name="CommandButton5">
              <controlPr defaultSize="0" print="0" autoFill="0" autoPict="0" macro="[0]!Sheet1.CommandButton5_Click">
                <anchor moveWithCells="1" sizeWithCells="1">
                  <from>
                    <xdr:col>5</xdr:col>
                    <xdr:colOff>63500</xdr:colOff>
                    <xdr:row>9</xdr:row>
                    <xdr:rowOff>38100</xdr:rowOff>
                  </from>
                  <to>
                    <xdr:col>5</xdr:col>
                    <xdr:colOff>2006600</xdr:colOff>
                    <xdr:row>9</xdr:row>
                    <xdr:rowOff>330200</xdr:rowOff>
                  </to>
                </anchor>
              </controlPr>
            </control>
          </mc:Choice>
        </mc:AlternateContent>
        <mc:AlternateContent xmlns:mc="http://schemas.openxmlformats.org/markup-compatibility/2006">
          <mc:Choice Requires="x14">
            <control shapeId="7295" r:id="rId12" name="CommandButton6">
              <controlPr defaultSize="0" print="0" autoFill="0" autoPict="0" macro="[0]!Sheet1.CommandButton6_Click">
                <anchor moveWithCells="1" sizeWithCells="1">
                  <from>
                    <xdr:col>5</xdr:col>
                    <xdr:colOff>63500</xdr:colOff>
                    <xdr:row>10</xdr:row>
                    <xdr:rowOff>25400</xdr:rowOff>
                  </from>
                  <to>
                    <xdr:col>5</xdr:col>
                    <xdr:colOff>2006600</xdr:colOff>
                    <xdr:row>10</xdr:row>
                    <xdr:rowOff>317500</xdr:rowOff>
                  </to>
                </anchor>
              </controlPr>
            </control>
          </mc:Choice>
        </mc:AlternateContent>
        <mc:AlternateContent xmlns:mc="http://schemas.openxmlformats.org/markup-compatibility/2006">
          <mc:Choice Requires="x14">
            <control shapeId="7296" r:id="rId13" name="CommandButton7">
              <controlPr defaultSize="0" print="0" autoFill="0" autoPict="0" macro="[0]!Sheet1.CommandButton7_Click">
                <anchor moveWithCells="1" sizeWithCells="1">
                  <from>
                    <xdr:col>5</xdr:col>
                    <xdr:colOff>63500</xdr:colOff>
                    <xdr:row>11</xdr:row>
                    <xdr:rowOff>12700</xdr:rowOff>
                  </from>
                  <to>
                    <xdr:col>5</xdr:col>
                    <xdr:colOff>2006600</xdr:colOff>
                    <xdr:row>11</xdr:row>
                    <xdr:rowOff>292100</xdr:rowOff>
                  </to>
                </anchor>
              </controlPr>
            </control>
          </mc:Choice>
        </mc:AlternateContent>
        <mc:AlternateContent xmlns:mc="http://schemas.openxmlformats.org/markup-compatibility/2006">
          <mc:Choice Requires="x14">
            <control shapeId="7297" r:id="rId14" name="CommandButton8">
              <controlPr defaultSize="0" print="0" autoFill="0" autoPict="0" macro="[0]!Sheet1.CommandButton8_Click">
                <anchor moveWithCells="1" sizeWithCells="1">
                  <from>
                    <xdr:col>5</xdr:col>
                    <xdr:colOff>63500</xdr:colOff>
                    <xdr:row>12</xdr:row>
                    <xdr:rowOff>12700</xdr:rowOff>
                  </from>
                  <to>
                    <xdr:col>5</xdr:col>
                    <xdr:colOff>2006600</xdr:colOff>
                    <xdr:row>12</xdr:row>
                    <xdr:rowOff>292100</xdr:rowOff>
                  </to>
                </anchor>
              </controlPr>
            </control>
          </mc:Choice>
        </mc:AlternateContent>
        <mc:AlternateContent xmlns:mc="http://schemas.openxmlformats.org/markup-compatibility/2006">
          <mc:Choice Requires="x14">
            <control shapeId="7298" r:id="rId15" name="CommandButton9">
              <controlPr defaultSize="0" print="0" autoFill="0" autoPict="0" macro="[0]!Sheet1.CommandButton9_Click">
                <anchor moveWithCells="1" sizeWithCells="1">
                  <from>
                    <xdr:col>5</xdr:col>
                    <xdr:colOff>63500</xdr:colOff>
                    <xdr:row>12</xdr:row>
                    <xdr:rowOff>330200</xdr:rowOff>
                  </from>
                  <to>
                    <xdr:col>5</xdr:col>
                    <xdr:colOff>2006600</xdr:colOff>
                    <xdr:row>13</xdr:row>
                    <xdr:rowOff>292100</xdr:rowOff>
                  </to>
                </anchor>
              </controlPr>
            </control>
          </mc:Choice>
        </mc:AlternateContent>
        <mc:AlternateContent xmlns:mc="http://schemas.openxmlformats.org/markup-compatibility/2006">
          <mc:Choice Requires="x14">
            <control shapeId="7299" r:id="rId16" name="Button 131">
              <controlPr defaultSize="0" print="0" autoFill="0" autoPict="0" macro="[0]!Sheet1.cmdTDB_Click">
                <anchor moveWithCells="1" sizeWithCells="1">
                  <from>
                    <xdr:col>6</xdr:col>
                    <xdr:colOff>2070100</xdr:colOff>
                    <xdr:row>0</xdr:row>
                    <xdr:rowOff>25400</xdr:rowOff>
                  </from>
                  <to>
                    <xdr:col>7</xdr:col>
                    <xdr:colOff>2057400</xdr:colOff>
                    <xdr:row>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497"/>
  <sheetViews>
    <sheetView zoomScaleNormal="100" zoomScaleSheetLayoutView="50" workbookViewId="0">
      <selection activeCell="F25" sqref="F25"/>
    </sheetView>
  </sheetViews>
  <sheetFormatPr baseColWidth="10" defaultColWidth="9.1640625" defaultRowHeight="13"/>
  <cols>
    <col min="1" max="1" width="13.1640625" style="216" customWidth="1"/>
    <col min="2" max="2" width="51.5" style="212" customWidth="1"/>
    <col min="3" max="3" width="16.5" style="216" customWidth="1"/>
    <col min="4" max="4" width="10.6640625" style="213" customWidth="1"/>
    <col min="5" max="5" width="18.83203125" style="216" customWidth="1"/>
    <col min="6" max="6" width="8.83203125" style="216" customWidth="1"/>
    <col min="7" max="7" width="16.33203125" style="216" customWidth="1"/>
    <col min="8" max="8" width="10.6640625" style="216" customWidth="1"/>
    <col min="9" max="9" width="17.1640625" style="216" customWidth="1"/>
    <col min="10" max="10" width="13.83203125" style="216" customWidth="1"/>
    <col min="11" max="11" width="11.6640625" style="216" customWidth="1"/>
    <col min="12" max="12" width="7.6640625" style="216" customWidth="1"/>
    <col min="13" max="13" width="81.1640625" style="216" bestFit="1" customWidth="1"/>
    <col min="14" max="14" width="11.33203125" style="881" customWidth="1"/>
    <col min="15" max="22" width="7.6640625" style="881" customWidth="1"/>
    <col min="23" max="23" width="9.1640625" style="216"/>
    <col min="24" max="24" width="11.33203125" style="216" customWidth="1"/>
    <col min="25" max="16384" width="9.1640625" style="216"/>
  </cols>
  <sheetData>
    <row r="1" spans="1:22" s="667" customFormat="1" ht="16">
      <c r="A1" s="687" t="s">
        <v>2152</v>
      </c>
      <c r="B1" s="668"/>
      <c r="D1" s="669"/>
      <c r="N1" s="798"/>
      <c r="O1" s="798"/>
      <c r="P1" s="798"/>
      <c r="Q1" s="798"/>
      <c r="R1" s="798"/>
      <c r="S1" s="798"/>
      <c r="T1" s="798"/>
      <c r="U1" s="798"/>
      <c r="V1" s="798"/>
    </row>
    <row r="2" spans="1:22" s="664" customFormat="1">
      <c r="A2" s="800"/>
      <c r="B2" s="801" t="s">
        <v>2966</v>
      </c>
      <c r="C2" s="802" t="s">
        <v>278</v>
      </c>
      <c r="D2" s="801" t="s">
        <v>279</v>
      </c>
      <c r="E2" s="803"/>
      <c r="N2" s="779"/>
      <c r="O2" s="779"/>
      <c r="P2" s="779"/>
      <c r="Q2" s="779"/>
      <c r="R2" s="779"/>
      <c r="S2" s="779"/>
      <c r="T2" s="779"/>
      <c r="U2" s="779"/>
      <c r="V2" s="779"/>
    </row>
    <row r="3" spans="1:22" s="667" customFormat="1">
      <c r="A3" s="676"/>
      <c r="B3" s="677" t="s">
        <v>2840</v>
      </c>
      <c r="C3" s="677" t="s">
        <v>2841</v>
      </c>
      <c r="D3" s="678"/>
      <c r="E3" s="679"/>
      <c r="J3" s="688"/>
      <c r="L3" s="689"/>
      <c r="M3" s="689"/>
      <c r="N3" s="798"/>
      <c r="O3" s="798"/>
      <c r="P3" s="798"/>
      <c r="Q3" s="798"/>
      <c r="R3" s="798"/>
      <c r="S3" s="798"/>
      <c r="T3" s="798"/>
      <c r="U3" s="798"/>
      <c r="V3" s="798"/>
    </row>
    <row r="4" spans="1:22" s="667" customFormat="1">
      <c r="A4" s="680"/>
      <c r="B4" s="670" t="s">
        <v>1327</v>
      </c>
      <c r="C4" s="668" t="str">
        <f>IF(design_flow&lt;1,"small","large")</f>
        <v>large</v>
      </c>
      <c r="D4" s="668"/>
      <c r="E4" s="681"/>
      <c r="N4" s="877"/>
      <c r="O4" s="798"/>
      <c r="P4" s="798"/>
      <c r="Q4" s="798"/>
      <c r="R4" s="798"/>
      <c r="S4" s="798"/>
      <c r="T4" s="798"/>
      <c r="U4" s="798"/>
      <c r="V4" s="798"/>
    </row>
    <row r="5" spans="1:22" s="667" customFormat="1">
      <c r="A5" s="680"/>
      <c r="B5" s="779" t="s">
        <v>3215</v>
      </c>
      <c r="C5" s="668" t="str">
        <f>VLOOKUP(contam_type,contam_lookup,2)</f>
        <v>Other</v>
      </c>
      <c r="D5" s="669"/>
      <c r="E5" s="681"/>
      <c r="N5" s="877"/>
      <c r="O5" s="798"/>
      <c r="P5" s="798"/>
      <c r="Q5" s="798"/>
      <c r="R5" s="798"/>
      <c r="S5" s="798"/>
      <c r="T5" s="798"/>
      <c r="U5" s="798"/>
      <c r="V5" s="798"/>
    </row>
    <row r="6" spans="1:22" s="667" customFormat="1">
      <c r="A6" s="680"/>
      <c r="B6" s="670" t="s">
        <v>55</v>
      </c>
      <c r="C6" s="668">
        <f>average_flow</f>
        <v>2.1520000000000001</v>
      </c>
      <c r="D6" s="798" t="s">
        <v>2161</v>
      </c>
      <c r="E6" s="799"/>
      <c r="F6" s="668"/>
      <c r="G6" s="670"/>
      <c r="H6" s="668"/>
      <c r="N6" s="877"/>
      <c r="O6" s="798"/>
      <c r="P6" s="798"/>
      <c r="Q6" s="798"/>
      <c r="R6" s="798"/>
      <c r="S6" s="798"/>
      <c r="T6" s="798"/>
      <c r="U6" s="798"/>
      <c r="V6" s="798"/>
    </row>
    <row r="7" spans="1:22" s="667" customFormat="1">
      <c r="A7" s="680"/>
      <c r="B7" s="670" t="s">
        <v>2158</v>
      </c>
      <c r="C7" s="668">
        <f>num_treat_lines</f>
        <v>1</v>
      </c>
      <c r="D7" s="798" t="s">
        <v>656</v>
      </c>
      <c r="E7" s="799"/>
      <c r="F7" s="668"/>
      <c r="G7" s="670"/>
      <c r="H7" s="668"/>
      <c r="N7" s="877"/>
      <c r="O7" s="798"/>
      <c r="P7" s="798"/>
      <c r="Q7" s="798"/>
      <c r="R7" s="798"/>
      <c r="S7" s="798"/>
      <c r="T7" s="798"/>
      <c r="U7" s="798"/>
      <c r="V7" s="798"/>
    </row>
    <row r="8" spans="1:22" s="667" customFormat="1">
      <c r="A8" s="680"/>
      <c r="B8" s="670" t="s">
        <v>2159</v>
      </c>
      <c r="C8" s="668">
        <f>Num_tanks</f>
        <v>2</v>
      </c>
      <c r="D8" s="670" t="s">
        <v>2162</v>
      </c>
      <c r="E8" s="682"/>
      <c r="F8" s="668"/>
      <c r="G8" s="670"/>
      <c r="H8" s="668"/>
      <c r="N8" s="877"/>
      <c r="O8" s="798"/>
      <c r="P8" s="798"/>
      <c r="Q8" s="798"/>
      <c r="R8" s="798"/>
      <c r="S8" s="798"/>
      <c r="T8" s="798"/>
      <c r="U8" s="798"/>
      <c r="V8" s="798"/>
    </row>
    <row r="9" spans="1:22" s="667" customFormat="1">
      <c r="A9" s="680"/>
      <c r="B9" s="670" t="s">
        <v>2160</v>
      </c>
      <c r="C9" s="668">
        <f>EBCT</f>
        <v>3</v>
      </c>
      <c r="D9" s="779" t="s">
        <v>3536</v>
      </c>
      <c r="E9" s="683"/>
      <c r="F9" s="668"/>
      <c r="G9" s="670"/>
      <c r="H9" s="668"/>
      <c r="N9" s="877"/>
      <c r="O9" s="798"/>
      <c r="P9" s="798"/>
      <c r="Q9" s="798"/>
      <c r="R9" s="798"/>
      <c r="S9" s="798"/>
      <c r="T9" s="798"/>
      <c r="U9" s="798"/>
      <c r="V9" s="798"/>
    </row>
    <row r="10" spans="1:22" s="667" customFormat="1">
      <c r="A10" s="680"/>
      <c r="B10" s="670" t="s">
        <v>1064</v>
      </c>
      <c r="C10" s="668">
        <f>EBCT_tank</f>
        <v>1.5</v>
      </c>
      <c r="D10" s="779" t="s">
        <v>3536</v>
      </c>
      <c r="E10" s="683"/>
      <c r="F10" s="668"/>
      <c r="G10" s="670"/>
      <c r="H10" s="668"/>
      <c r="N10" s="877"/>
      <c r="O10" s="798"/>
      <c r="P10" s="798"/>
      <c r="Q10" s="798"/>
      <c r="R10" s="798"/>
      <c r="S10" s="798"/>
      <c r="T10" s="798"/>
      <c r="U10" s="798"/>
      <c r="V10" s="798"/>
    </row>
    <row r="11" spans="1:22" s="667" customFormat="1">
      <c r="A11" s="867"/>
      <c r="B11" s="779" t="s">
        <v>3421</v>
      </c>
      <c r="C11" s="868">
        <f>regen_months</f>
        <v>3.2036541741283888</v>
      </c>
      <c r="D11" s="779" t="s">
        <v>3233</v>
      </c>
      <c r="E11" s="683"/>
      <c r="F11" s="668"/>
      <c r="G11" s="670"/>
      <c r="H11" s="668"/>
      <c r="N11" s="877"/>
      <c r="O11" s="798"/>
      <c r="P11" s="798"/>
      <c r="Q11" s="798"/>
      <c r="R11" s="798"/>
      <c r="S11" s="798"/>
      <c r="T11" s="798"/>
      <c r="U11" s="798"/>
      <c r="V11" s="798"/>
    </row>
    <row r="12" spans="1:22" s="667" customFormat="1">
      <c r="A12" s="680"/>
      <c r="B12" s="670" t="s">
        <v>59</v>
      </c>
      <c r="C12" s="668">
        <f>bed_depth</f>
        <v>2.4</v>
      </c>
      <c r="D12" s="670" t="s">
        <v>61</v>
      </c>
      <c r="E12" s="683"/>
      <c r="F12" s="668"/>
      <c r="G12" s="670"/>
      <c r="H12" s="668"/>
      <c r="N12" s="877"/>
      <c r="O12" s="798"/>
      <c r="P12" s="798"/>
      <c r="Q12" s="798"/>
      <c r="R12" s="798"/>
      <c r="S12" s="798"/>
      <c r="T12" s="798"/>
      <c r="U12" s="798"/>
      <c r="V12" s="798"/>
    </row>
    <row r="13" spans="1:22" s="667" customFormat="1">
      <c r="A13" s="680"/>
      <c r="B13" s="670" t="s">
        <v>160</v>
      </c>
      <c r="C13" s="671" t="str">
        <f>tank_geom_I</f>
        <v>upright</v>
      </c>
      <c r="D13" s="670"/>
      <c r="E13" s="683"/>
      <c r="F13" s="668"/>
      <c r="G13" s="670"/>
      <c r="H13" s="668"/>
      <c r="N13" s="877"/>
      <c r="O13" s="798"/>
      <c r="P13" s="798"/>
      <c r="Q13" s="798"/>
      <c r="R13" s="798"/>
      <c r="S13" s="798"/>
      <c r="T13" s="798"/>
      <c r="U13" s="798"/>
      <c r="V13" s="798"/>
    </row>
    <row r="14" spans="1:22" s="667" customFormat="1">
      <c r="A14" s="680"/>
      <c r="B14" s="670" t="str">
        <f>IF(tank_geom=1,"Height (straight)",IF(tank_geom=2,"Length (straight)",""))</f>
        <v>Height (straight)</v>
      </c>
      <c r="C14" s="668">
        <f>comm_height_length</f>
        <v>6</v>
      </c>
      <c r="D14" s="670" t="s">
        <v>61</v>
      </c>
      <c r="E14" s="683"/>
      <c r="F14" s="668"/>
      <c r="G14" s="670"/>
      <c r="H14" s="668"/>
      <c r="N14" s="877"/>
      <c r="O14" s="798"/>
      <c r="P14" s="798"/>
      <c r="Q14" s="798"/>
      <c r="R14" s="798"/>
      <c r="S14" s="798"/>
      <c r="T14" s="798"/>
      <c r="U14" s="798"/>
      <c r="V14" s="798"/>
    </row>
    <row r="15" spans="1:22" s="667" customFormat="1">
      <c r="A15" s="680"/>
      <c r="B15" s="670" t="s">
        <v>1352</v>
      </c>
      <c r="C15" s="668">
        <f>comm_diam</f>
        <v>13</v>
      </c>
      <c r="D15" s="670" t="s">
        <v>61</v>
      </c>
      <c r="E15" s="683"/>
      <c r="F15" s="668"/>
      <c r="G15" s="670"/>
      <c r="H15" s="668"/>
      <c r="N15" s="877"/>
      <c r="O15" s="798"/>
      <c r="P15" s="798"/>
      <c r="Q15" s="798"/>
      <c r="R15" s="798"/>
      <c r="S15" s="798"/>
      <c r="T15" s="798"/>
      <c r="U15" s="798"/>
      <c r="V15" s="798"/>
    </row>
    <row r="16" spans="1:22" s="667" customFormat="1">
      <c r="A16" s="867"/>
      <c r="B16" s="779" t="s">
        <v>158</v>
      </c>
      <c r="C16" s="671" t="str">
        <f>IF(component_level=2,"high cost",IF(component_level=1,"mid cost","low cost"))</f>
        <v>low cost</v>
      </c>
      <c r="D16" s="670"/>
      <c r="E16" s="683"/>
      <c r="F16" s="668"/>
      <c r="G16" s="670"/>
      <c r="H16" s="668"/>
      <c r="N16" s="877"/>
      <c r="O16" s="798"/>
      <c r="P16" s="798"/>
      <c r="Q16" s="798"/>
      <c r="R16" s="798"/>
      <c r="S16" s="798"/>
      <c r="T16" s="798"/>
      <c r="U16" s="798"/>
      <c r="V16" s="798"/>
    </row>
    <row r="17" spans="1:24" s="667" customFormat="1">
      <c r="A17" s="867"/>
      <c r="B17" s="779" t="s">
        <v>1169</v>
      </c>
      <c r="C17" s="671" t="str">
        <f>IF(manual=1,"manual",IF(manual=2,"semi-automated",IF(manual=3,"fully automated")))</f>
        <v>manual</v>
      </c>
      <c r="D17" s="670"/>
      <c r="E17" s="683"/>
      <c r="F17" s="668"/>
      <c r="G17" s="670"/>
      <c r="H17" s="668"/>
      <c r="N17" s="877"/>
      <c r="O17" s="798"/>
      <c r="P17" s="798"/>
      <c r="Q17" s="798"/>
      <c r="R17" s="798"/>
      <c r="S17" s="798"/>
      <c r="T17" s="798"/>
      <c r="U17" s="798"/>
      <c r="V17" s="798"/>
    </row>
    <row r="18" spans="1:24" s="667" customFormat="1">
      <c r="A18" s="680"/>
      <c r="B18" s="666" t="str">
        <f>"Resulting Costs (in year "&amp;TEXT(current_year_cl,0)&amp;" dollars)"</f>
        <v>Resulting Costs (in year 2021 dollars)</v>
      </c>
      <c r="C18" s="668"/>
      <c r="D18" s="669"/>
      <c r="E18" s="681"/>
      <c r="H18" s="668"/>
      <c r="N18" s="877"/>
      <c r="O18" s="798"/>
      <c r="P18" s="798"/>
      <c r="Q18" s="798"/>
      <c r="R18" s="798"/>
      <c r="S18" s="798"/>
      <c r="T18" s="798"/>
      <c r="U18" s="798"/>
      <c r="V18" s="798"/>
    </row>
    <row r="19" spans="1:24" s="667" customFormat="1">
      <c r="A19" s="680"/>
      <c r="B19" s="670" t="s">
        <v>2153</v>
      </c>
      <c r="C19" s="672">
        <f>IF(input_status&lt;&gt;"input complete -- results ready","Action required",IF(Missing_Cost,"Missing cost!",IF(cost_buildup_error,"Error in buildup!",direct_cost)))</f>
        <v>644501.32758148748</v>
      </c>
      <c r="D19" s="673" t="s">
        <v>2576</v>
      </c>
      <c r="E19" s="742"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19" s="668"/>
      <c r="N19" s="877"/>
      <c r="O19" s="798"/>
      <c r="P19" s="798"/>
      <c r="Q19" s="798"/>
      <c r="R19" s="798"/>
      <c r="S19" s="798"/>
      <c r="T19" s="798"/>
      <c r="U19" s="798"/>
      <c r="V19" s="798"/>
    </row>
    <row r="20" spans="1:24" s="667" customFormat="1">
      <c r="A20" s="680"/>
      <c r="B20" s="670" t="s">
        <v>2154</v>
      </c>
      <c r="C20" s="672">
        <f>IF(input_status&lt;&gt;"input complete -- results ready","Action required",addon_cost)</f>
        <v>70452.836495493655</v>
      </c>
      <c r="D20" s="673" t="s">
        <v>2576</v>
      </c>
      <c r="E20" s="681"/>
      <c r="H20" s="668"/>
      <c r="N20" s="877"/>
      <c r="O20" s="798"/>
      <c r="P20" s="798"/>
      <c r="Q20" s="798"/>
      <c r="R20" s="798"/>
      <c r="S20" s="798"/>
      <c r="T20" s="798"/>
      <c r="U20" s="798"/>
      <c r="V20" s="798"/>
    </row>
    <row r="21" spans="1:24" s="667" customFormat="1">
      <c r="A21" s="680"/>
      <c r="B21" s="743" t="s">
        <v>2155</v>
      </c>
      <c r="C21" s="744">
        <f>IF(input_status&lt;&gt;"input complete -- results ready","Action required",indirect_cost)</f>
        <v>412778.78815733065</v>
      </c>
      <c r="D21" s="673" t="s">
        <v>2576</v>
      </c>
      <c r="E21" s="681"/>
      <c r="H21" s="668"/>
      <c r="N21" s="877"/>
      <c r="O21" s="798"/>
      <c r="P21" s="798"/>
      <c r="Q21" s="798"/>
      <c r="R21" s="798"/>
      <c r="S21" s="798"/>
      <c r="T21" s="798"/>
      <c r="U21" s="798"/>
      <c r="V21" s="798"/>
    </row>
    <row r="22" spans="1:24" s="667" customFormat="1">
      <c r="A22" s="680"/>
      <c r="B22" s="665" t="s">
        <v>2156</v>
      </c>
      <c r="C22" s="672">
        <f>IF(input_status&lt;&gt;"input complete -- results ready","Action required",IF(Missing_Cost,"Missing cost!",IF(cost_buildup_error,"Error in buildup!",system_cost)))</f>
        <v>1127732.9522343117</v>
      </c>
      <c r="D22" s="673" t="s">
        <v>2576</v>
      </c>
      <c r="E22" s="681"/>
      <c r="H22" s="668"/>
      <c r="N22" s="877"/>
      <c r="O22" s="798"/>
      <c r="P22" s="798"/>
      <c r="Q22" s="798"/>
      <c r="R22" s="798"/>
      <c r="S22" s="798"/>
      <c r="T22" s="798"/>
      <c r="U22" s="798"/>
      <c r="V22" s="798"/>
    </row>
    <row r="23" spans="1:24" s="667" customFormat="1">
      <c r="A23" s="680"/>
      <c r="B23" s="541" t="str">
        <f>"Annualized Capital Cost "&amp;IF(OR(input_status&lt;&gt;"input complete -- results ready",Missing_Cost,cost_buildup_error),"","(per year over "&amp;useful_life&amp;" years at "&amp;Discount_rate*100&amp;"%)")</f>
        <v>Annualized Capital Cost (per year over 27.7 years at 7%)</v>
      </c>
      <c r="C23" s="755">
        <f>IF(input_status&lt;&gt;"input complete -- results ready","Action required",Annualized_Capital_Cost)</f>
        <v>93254.601935055398</v>
      </c>
      <c r="D23" s="673" t="s">
        <v>2576</v>
      </c>
      <c r="E23" s="681"/>
      <c r="H23" s="668"/>
      <c r="N23" s="877"/>
      <c r="O23" s="798"/>
      <c r="P23" s="798"/>
      <c r="Q23" s="798"/>
      <c r="R23" s="798"/>
      <c r="S23" s="798"/>
      <c r="T23" s="798"/>
      <c r="U23" s="798"/>
      <c r="V23" s="798"/>
    </row>
    <row r="24" spans="1:24" s="667" customFormat="1">
      <c r="A24" s="680"/>
      <c r="B24" s="117" t="s">
        <v>3125</v>
      </c>
      <c r="C24" s="672">
        <f>IF(input_status&lt;&gt;"input complete -- results ready","Action required",OM_cost)</f>
        <v>474878.65710766456</v>
      </c>
      <c r="D24" s="673" t="s">
        <v>2576</v>
      </c>
      <c r="E24" s="683"/>
      <c r="F24" s="668"/>
      <c r="G24" s="670"/>
      <c r="H24" s="668"/>
      <c r="J24" s="688"/>
      <c r="N24" s="798"/>
      <c r="O24" s="798"/>
      <c r="P24" s="798"/>
      <c r="Q24" s="798"/>
      <c r="R24" s="798"/>
      <c r="S24" s="798"/>
      <c r="T24" s="798"/>
      <c r="U24" s="798"/>
      <c r="V24" s="798"/>
    </row>
    <row r="25" spans="1:24" s="667" customFormat="1">
      <c r="A25" s="680"/>
      <c r="B25" s="117" t="str">
        <f>"Total Annualized Cost (per year"&amp;IF(OR(input_status&lt;&gt;"input complete -- results ready",ISERROR(OR(TAC_pct_cap,TAC_pct_OM))),"",", "&amp;TEXT(TAC_pct_cap,"0%")&amp;" capital, "&amp;TEXT(TAC_pct_OM,"0%")&amp;" O&amp;M")&amp;")"</f>
        <v>Total Annualized Cost (per year, 16% capital, 84% O&amp;M)</v>
      </c>
      <c r="C25" s="674">
        <f>IF(input_status&lt;&gt;"input complete -- results ready","Action required",IF(Missing_Cost,"Missing cost!",IF(cost_buildup_error,"Error in buildup!",Annualized_Cost)))</f>
        <v>568133.25904271996</v>
      </c>
      <c r="D25" s="673" t="s">
        <v>2576</v>
      </c>
      <c r="E25" s="683"/>
      <c r="F25" s="670"/>
      <c r="G25" s="670"/>
      <c r="H25" s="670"/>
      <c r="J25" s="688"/>
      <c r="N25" s="798"/>
      <c r="O25" s="798"/>
      <c r="P25" s="798"/>
      <c r="Q25" s="798"/>
      <c r="R25" s="798"/>
      <c r="S25" s="798"/>
      <c r="T25" s="798"/>
      <c r="U25" s="798"/>
      <c r="V25" s="798"/>
    </row>
    <row r="26" spans="1:24" s="667" customFormat="1">
      <c r="A26" s="680"/>
      <c r="B26" s="859" t="s">
        <v>30</v>
      </c>
      <c r="C26" s="675">
        <f>IF(input_status&lt;&gt;"input complete -- results ready","Action required",IF(Missing_Cost,"Missing cost!",IF(cost_buildup_error,"Error in buildup!",C444)))</f>
        <v>0.72329436655639856</v>
      </c>
      <c r="D26" s="670"/>
      <c r="E26" s="683"/>
      <c r="F26" s="670"/>
      <c r="G26" s="670"/>
      <c r="H26" s="670"/>
      <c r="J26" s="688"/>
      <c r="N26" s="798"/>
      <c r="O26" s="798"/>
      <c r="P26" s="798"/>
      <c r="Q26" s="798"/>
      <c r="R26" s="798"/>
      <c r="S26" s="798"/>
      <c r="T26" s="798"/>
      <c r="U26" s="798"/>
      <c r="V26" s="798"/>
    </row>
    <row r="27" spans="1:24" s="667" customFormat="1">
      <c r="A27" s="684"/>
      <c r="B27" s="717" t="s">
        <v>3478</v>
      </c>
      <c r="C27" s="887">
        <f>IF(input_status&lt;&gt;"input complete -- results ready","Action required",IF(Missing_Cost,"Missing cost!",IF(cost_buildup_error,"Error in buildup!",C445)))</f>
        <v>90.888588316337973</v>
      </c>
      <c r="D27" s="743"/>
      <c r="E27" s="718"/>
      <c r="F27" s="670"/>
      <c r="G27" s="670"/>
      <c r="H27" s="670"/>
      <c r="J27" s="688"/>
      <c r="N27" s="798"/>
      <c r="O27" s="798"/>
      <c r="P27" s="798"/>
      <c r="Q27" s="798"/>
      <c r="R27" s="798"/>
      <c r="S27" s="798"/>
      <c r="T27" s="798"/>
      <c r="U27" s="798"/>
      <c r="V27" s="798"/>
    </row>
    <row r="28" spans="1:24" s="667" customFormat="1">
      <c r="A28" s="684"/>
      <c r="B28" s="663"/>
      <c r="C28" s="685"/>
      <c r="D28" s="686"/>
      <c r="E28" s="685"/>
      <c r="F28" s="668"/>
      <c r="G28" s="668"/>
      <c r="H28" s="668"/>
      <c r="J28" s="688"/>
      <c r="N28" s="798"/>
      <c r="O28" s="798"/>
      <c r="P28" s="798"/>
      <c r="Q28" s="798"/>
      <c r="R28" s="798"/>
      <c r="S28" s="798"/>
      <c r="T28" s="798"/>
      <c r="U28" s="798"/>
      <c r="V28" s="798"/>
    </row>
    <row r="29" spans="1:24" s="16" customFormat="1" ht="18" customHeight="1">
      <c r="A29" s="217" t="s">
        <v>2967</v>
      </c>
      <c r="B29" s="250"/>
      <c r="C29" s="242"/>
      <c r="D29" s="214"/>
      <c r="E29" s="242"/>
      <c r="F29" s="242"/>
      <c r="G29" s="242"/>
      <c r="H29" s="242"/>
      <c r="I29" s="242"/>
      <c r="J29" s="251"/>
      <c r="K29" s="242"/>
      <c r="L29" s="244"/>
      <c r="M29" s="216"/>
      <c r="N29" s="651"/>
      <c r="O29" s="651"/>
      <c r="P29" s="651"/>
      <c r="Q29" s="651"/>
      <c r="R29" s="651"/>
      <c r="S29" s="651"/>
      <c r="T29" s="651"/>
      <c r="U29" s="651"/>
      <c r="V29" s="651"/>
    </row>
    <row r="30" spans="1:24" s="16" customFormat="1" ht="18" customHeight="1">
      <c r="A30" s="987" t="s">
        <v>1909</v>
      </c>
      <c r="B30" s="990" t="s">
        <v>1910</v>
      </c>
      <c r="C30" s="990" t="s">
        <v>2970</v>
      </c>
      <c r="D30" s="990"/>
      <c r="E30" s="990" t="s">
        <v>2971</v>
      </c>
      <c r="F30" s="990"/>
      <c r="G30" s="1002" t="s">
        <v>2577</v>
      </c>
      <c r="H30" s="1002"/>
      <c r="I30" s="990" t="s">
        <v>2578</v>
      </c>
      <c r="J30" s="990" t="s">
        <v>2579</v>
      </c>
      <c r="K30" s="990" t="s">
        <v>2580</v>
      </c>
      <c r="L30" s="999" t="s">
        <v>2847</v>
      </c>
      <c r="M30" s="994" t="s">
        <v>2969</v>
      </c>
      <c r="N30" s="993" t="s">
        <v>2968</v>
      </c>
      <c r="O30" s="993"/>
      <c r="P30" s="993"/>
      <c r="Q30" s="993"/>
      <c r="R30" s="993"/>
      <c r="S30" s="993"/>
      <c r="T30" s="993"/>
      <c r="U30" s="993"/>
      <c r="V30" s="993"/>
      <c r="W30" s="993" t="s">
        <v>2580</v>
      </c>
      <c r="X30" s="993"/>
    </row>
    <row r="31" spans="1:24" s="16" customFormat="1" ht="18" customHeight="1">
      <c r="A31" s="988"/>
      <c r="B31" s="991"/>
      <c r="C31" s="991"/>
      <c r="D31" s="991"/>
      <c r="E31" s="991"/>
      <c r="F31" s="991"/>
      <c r="G31" s="1003"/>
      <c r="H31" s="1003"/>
      <c r="I31" s="991"/>
      <c r="J31" s="991"/>
      <c r="K31" s="991"/>
      <c r="L31" s="1000"/>
      <c r="M31" s="995"/>
      <c r="N31" s="878" t="s">
        <v>1319</v>
      </c>
      <c r="O31" s="878"/>
      <c r="P31" s="878"/>
      <c r="Q31" s="878" t="s">
        <v>1320</v>
      </c>
      <c r="R31" s="878"/>
      <c r="S31" s="878"/>
      <c r="T31" s="878" t="s">
        <v>1321</v>
      </c>
      <c r="U31" s="878"/>
      <c r="V31" s="878"/>
      <c r="W31" s="993"/>
      <c r="X31" s="993"/>
    </row>
    <row r="32" spans="1:24" s="16" customFormat="1" ht="18" customHeight="1">
      <c r="A32" s="989"/>
      <c r="B32" s="992"/>
      <c r="C32" s="992"/>
      <c r="D32" s="992"/>
      <c r="E32" s="992"/>
      <c r="F32" s="992"/>
      <c r="G32" s="1004"/>
      <c r="H32" s="1004"/>
      <c r="I32" s="992"/>
      <c r="J32" s="992"/>
      <c r="K32" s="992"/>
      <c r="L32" s="1001"/>
      <c r="M32" s="995"/>
      <c r="N32" s="528" t="s">
        <v>1322</v>
      </c>
      <c r="O32" s="528" t="s">
        <v>1323</v>
      </c>
      <c r="P32" s="528" t="s">
        <v>1324</v>
      </c>
      <c r="Q32" s="528" t="s">
        <v>1322</v>
      </c>
      <c r="R32" s="528" t="s">
        <v>1323</v>
      </c>
      <c r="S32" s="528" t="s">
        <v>1324</v>
      </c>
      <c r="T32" s="528" t="s">
        <v>1322</v>
      </c>
      <c r="U32" s="528" t="s">
        <v>1323</v>
      </c>
      <c r="V32" s="528" t="s">
        <v>1324</v>
      </c>
      <c r="W32" s="526" t="s">
        <v>19</v>
      </c>
      <c r="X32" s="528" t="s">
        <v>20</v>
      </c>
    </row>
    <row r="33" spans="1:25" s="16" customFormat="1">
      <c r="A33" s="483">
        <v>1</v>
      </c>
      <c r="B33" s="28" t="s">
        <v>2581</v>
      </c>
      <c r="C33" s="28"/>
      <c r="D33" s="253"/>
      <c r="E33" s="28"/>
      <c r="F33" s="28"/>
      <c r="G33" s="28"/>
      <c r="H33" s="28"/>
      <c r="I33" s="28"/>
      <c r="J33" s="28"/>
      <c r="K33" s="28"/>
      <c r="L33" s="254"/>
      <c r="M33" s="216"/>
      <c r="N33" s="651"/>
      <c r="O33" s="651"/>
      <c r="P33" s="651"/>
      <c r="Q33" s="651"/>
      <c r="R33" s="651"/>
      <c r="S33" s="651"/>
      <c r="T33" s="651"/>
      <c r="U33" s="651"/>
      <c r="V33" s="651"/>
    </row>
    <row r="34" spans="1:25" s="16" customFormat="1">
      <c r="A34" s="484">
        <v>1.1000000000000001</v>
      </c>
      <c r="B34" s="388" t="s">
        <v>2582</v>
      </c>
      <c r="C34" s="21">
        <f>final_num_tanks</f>
        <v>3</v>
      </c>
      <c r="D34" s="389" t="s">
        <v>64</v>
      </c>
      <c r="E34" s="390">
        <f>comm_vol_gal</f>
        <v>5957.0251578838952</v>
      </c>
      <c r="F34" s="21" t="s">
        <v>1131</v>
      </c>
      <c r="G34" s="390">
        <f>IF(curve=1,comm_vol_gal,VLOOKUP(comm_vol_gal,ss_pv_cost_cl,2))</f>
        <v>5957.0251578838952</v>
      </c>
      <c r="H34" s="21" t="s">
        <v>1131</v>
      </c>
      <c r="I34" s="391">
        <f>IF(curve=1,ss_pv_eq,VLOOKUP(comm_vol_gal,ss_pv_cost_cl,3))</f>
        <v>136281.64860188006</v>
      </c>
      <c r="J34" s="392">
        <f>IF(I34="contact vendor","--",C34*I34)</f>
        <v>408844.94580564019</v>
      </c>
      <c r="K34" s="21">
        <f>VLOOKUP(comm_vol_gal,ss_pv_cost_cl,IF(ss_cat="large",4,5))</f>
        <v>35</v>
      </c>
      <c r="L34" s="393">
        <v>0</v>
      </c>
      <c r="M34" s="16" t="str">
        <f>$B$33&amp;" - "&amp;B34</f>
        <v>Pressure Vessels - Stainless Steel</v>
      </c>
      <c r="N34" s="526">
        <v>4</v>
      </c>
      <c r="O34" s="526">
        <v>4</v>
      </c>
      <c r="P34" s="526">
        <v>1</v>
      </c>
      <c r="Q34" s="526">
        <v>4</v>
      </c>
      <c r="R34" s="526">
        <v>4</v>
      </c>
      <c r="S34" s="526">
        <v>1</v>
      </c>
      <c r="T34" s="526">
        <v>4</v>
      </c>
      <c r="U34" s="526">
        <v>4</v>
      </c>
      <c r="V34" s="526">
        <v>1</v>
      </c>
      <c r="W34" s="526">
        <f t="shared" ref="W34:W105" si="0">IF(ISERROR(K34*L34),0,IF(K34&lt;1,0,L34))</f>
        <v>0</v>
      </c>
      <c r="X34" s="526">
        <f t="shared" ref="X34:X105" si="1">IF(W34,J34/K34,0)</f>
        <v>0</v>
      </c>
    </row>
    <row r="35" spans="1:25" s="16" customFormat="1">
      <c r="A35" s="484">
        <v>1.1000000000000001</v>
      </c>
      <c r="B35" s="388" t="s">
        <v>1206</v>
      </c>
      <c r="C35" s="21">
        <f>final_num_tanks</f>
        <v>3</v>
      </c>
      <c r="D35" s="389" t="s">
        <v>64</v>
      </c>
      <c r="E35" s="390">
        <f>comm_vol_gal</f>
        <v>5957.0251578838952</v>
      </c>
      <c r="F35" s="21" t="s">
        <v>1131</v>
      </c>
      <c r="G35" s="390">
        <f>IF(curve=1,comm_vol_gal,VLOOKUP(comm_vol_gal,cs_pv_cost_cl,2))</f>
        <v>5957.0251578838952</v>
      </c>
      <c r="H35" s="21" t="s">
        <v>1131</v>
      </c>
      <c r="I35" s="391">
        <f>IF(curve=1,cs_pv_eq,VLOOKUP(comm_vol_gal,cs_pv_cost_cl,3))</f>
        <v>86652.823875483999</v>
      </c>
      <c r="J35" s="392">
        <f>IF(I35="contact vendor","--",C35*I35)</f>
        <v>259958.471626452</v>
      </c>
      <c r="K35" s="21">
        <f>VLOOKUP(comm_vol_gal,cs_pv_cost_cl,IF(ss_cat="large",4,5))</f>
        <v>35</v>
      </c>
      <c r="L35" s="393">
        <v>0</v>
      </c>
      <c r="M35" s="16" t="str">
        <f>$B$33&amp;" - "&amp;B35</f>
        <v>Pressure Vessels - Carbon Steel - Stainless Internals</v>
      </c>
      <c r="N35" s="526">
        <v>3</v>
      </c>
      <c r="O35" s="526">
        <v>3</v>
      </c>
      <c r="P35" s="526">
        <v>2</v>
      </c>
      <c r="Q35" s="526">
        <v>3</v>
      </c>
      <c r="R35" s="526">
        <v>3</v>
      </c>
      <c r="S35" s="526">
        <v>2</v>
      </c>
      <c r="T35" s="526">
        <v>3</v>
      </c>
      <c r="U35" s="526">
        <v>3</v>
      </c>
      <c r="V35" s="526">
        <v>2</v>
      </c>
      <c r="W35" s="526">
        <f t="shared" si="0"/>
        <v>0</v>
      </c>
      <c r="X35" s="526">
        <f t="shared" si="1"/>
        <v>0</v>
      </c>
    </row>
    <row r="36" spans="1:25" s="16" customFormat="1">
      <c r="A36" s="484">
        <v>1.1000000000000001</v>
      </c>
      <c r="B36" s="388" t="s">
        <v>47</v>
      </c>
      <c r="C36" s="21">
        <f>final_num_tanks</f>
        <v>3</v>
      </c>
      <c r="D36" s="389" t="s">
        <v>64</v>
      </c>
      <c r="E36" s="390">
        <f>comm_vol_gal</f>
        <v>5957.0251578838952</v>
      </c>
      <c r="F36" s="21" t="s">
        <v>1131</v>
      </c>
      <c r="G36" s="390">
        <f>IF(curve=1,comm_vol_gal,VLOOKUP(comm_vol_gal,csp_pv_cost_cl,2))</f>
        <v>5957.0251578838952</v>
      </c>
      <c r="H36" s="21" t="s">
        <v>1131</v>
      </c>
      <c r="I36" s="391">
        <f>IF(curve=1,csp_pv_eq,VLOOKUP(comm_vol_gal,csp_pv_cost_cl,3))</f>
        <v>71143.162039456423</v>
      </c>
      <c r="J36" s="392">
        <f>IF(I36="contact vendor","--",C36*I36)</f>
        <v>213429.48611836927</v>
      </c>
      <c r="K36" s="21">
        <f>VLOOKUP(comm_vol_gal,csp_pv_cost_cl,IF(ss_cat="large",4,5))</f>
        <v>35</v>
      </c>
      <c r="L36" s="393">
        <v>1</v>
      </c>
      <c r="M36" s="16" t="str">
        <f>$B$33&amp;" - "&amp;B36</f>
        <v>Pressure Vessels - Carbon Steel - Plastic Internals</v>
      </c>
      <c r="N36" s="526">
        <v>2</v>
      </c>
      <c r="O36" s="526">
        <v>1</v>
      </c>
      <c r="P36" s="526">
        <v>3</v>
      </c>
      <c r="Q36" s="526">
        <v>2</v>
      </c>
      <c r="R36" s="526">
        <v>1</v>
      </c>
      <c r="S36" s="526">
        <v>3</v>
      </c>
      <c r="T36" s="526">
        <v>2</v>
      </c>
      <c r="U36" s="526">
        <v>1</v>
      </c>
      <c r="V36" s="526">
        <v>3</v>
      </c>
      <c r="W36" s="526">
        <f t="shared" si="0"/>
        <v>1</v>
      </c>
      <c r="X36" s="526">
        <f t="shared" si="1"/>
        <v>6097.9853176676934</v>
      </c>
    </row>
    <row r="37" spans="1:25" s="16" customFormat="1">
      <c r="A37" s="484">
        <v>1.1000000000000001</v>
      </c>
      <c r="B37" s="388" t="s">
        <v>1326</v>
      </c>
      <c r="C37" s="21">
        <f>final_num_tanks</f>
        <v>3</v>
      </c>
      <c r="D37" s="389" t="s">
        <v>64</v>
      </c>
      <c r="E37" s="390">
        <f>comm_vol_gal</f>
        <v>5957.0251578838952</v>
      </c>
      <c r="F37" s="21" t="s">
        <v>1131</v>
      </c>
      <c r="G37" s="390">
        <f>IF(curve=1,comm_vol_gal,VLOOKUP(comm_vol_gal,fg_pv_cost_cl,2))</f>
        <v>5957.0251578838952</v>
      </c>
      <c r="H37" s="21" t="s">
        <v>1131</v>
      </c>
      <c r="I37" s="391" t="str">
        <f>IF(curve=1,fg_pv_eq,VLOOKUP(comm_vol_gal,fg_pv_cost_cl,3))</f>
        <v>contact vendor</v>
      </c>
      <c r="J37" s="392" t="str">
        <f>IF(I37="contact vendor","--",C37*I37)</f>
        <v>--</v>
      </c>
      <c r="K37" s="21">
        <f>VLOOKUP(comm_vol_gal,fg_pv_cost_cl,IF(ss_cat="large",4,5))</f>
        <v>25</v>
      </c>
      <c r="L37" s="393">
        <v>0</v>
      </c>
      <c r="M37" s="16" t="str">
        <f>$B$33&amp;" - "&amp;B37</f>
        <v>Pressure Vessels - Fiberglass</v>
      </c>
      <c r="N37" s="526">
        <v>1</v>
      </c>
      <c r="O37" s="526">
        <v>2</v>
      </c>
      <c r="P37" s="526">
        <v>4</v>
      </c>
      <c r="Q37" s="526">
        <v>1</v>
      </c>
      <c r="R37" s="526">
        <v>2</v>
      </c>
      <c r="S37" s="526">
        <v>4</v>
      </c>
      <c r="T37" s="526">
        <v>1</v>
      </c>
      <c r="U37" s="526">
        <v>2</v>
      </c>
      <c r="V37" s="526">
        <v>4</v>
      </c>
      <c r="W37" s="526">
        <f t="shared" si="0"/>
        <v>0</v>
      </c>
      <c r="X37" s="526">
        <f t="shared" si="1"/>
        <v>0</v>
      </c>
    </row>
    <row r="38" spans="1:25" s="16" customFormat="1">
      <c r="A38" s="483">
        <v>2</v>
      </c>
      <c r="B38" s="28" t="s">
        <v>244</v>
      </c>
      <c r="C38" s="28"/>
      <c r="D38" s="253"/>
      <c r="E38" s="255"/>
      <c r="F38" s="28"/>
      <c r="G38" s="255"/>
      <c r="H38" s="28"/>
      <c r="I38" s="256"/>
      <c r="J38" s="256"/>
      <c r="K38" s="28"/>
      <c r="L38" s="254"/>
      <c r="N38" s="651"/>
      <c r="O38" s="651"/>
      <c r="P38" s="651"/>
      <c r="Q38" s="651"/>
      <c r="R38" s="651"/>
      <c r="S38" s="651"/>
      <c r="T38" s="651"/>
      <c r="U38" s="651"/>
      <c r="V38" s="651"/>
      <c r="W38" s="526">
        <f t="shared" si="0"/>
        <v>0</v>
      </c>
      <c r="X38" s="526">
        <f t="shared" si="1"/>
        <v>0</v>
      </c>
    </row>
    <row r="39" spans="1:25" s="16" customFormat="1">
      <c r="A39" s="484">
        <v>2.1</v>
      </c>
      <c r="B39" s="388" t="s">
        <v>3213</v>
      </c>
      <c r="C39" s="390">
        <f>resin_volume_total</f>
        <v>955.6724852220151</v>
      </c>
      <c r="D39" s="389" t="s">
        <v>1099</v>
      </c>
      <c r="E39" s="394" t="s">
        <v>1343</v>
      </c>
      <c r="F39" s="21"/>
      <c r="G39" s="394" t="s">
        <v>1343</v>
      </c>
      <c r="H39" s="21"/>
      <c r="I39" s="395">
        <f>VLOOKUP(B39,sba_res_cost_cl,3,FALSE)</f>
        <v>156</v>
      </c>
      <c r="J39" s="392">
        <f>IF(I39="contact vendor","--",C39*I39)</f>
        <v>149084.90769463434</v>
      </c>
      <c r="K39" s="396" t="str">
        <f>VLOOKUP(B39,sba_res_cost_cl,IF(ss_cat="large",4,5),FALSE)</f>
        <v>N/A</v>
      </c>
      <c r="L39" s="393">
        <v>1</v>
      </c>
      <c r="M39" s="16" t="str">
        <f>$B$38&amp;" - "&amp;B39</f>
        <v>Ion Exchange Resin - PFAS-Selective</v>
      </c>
      <c r="N39" s="651">
        <v>1</v>
      </c>
      <c r="O39" s="651">
        <v>1</v>
      </c>
      <c r="P39" s="651">
        <v>1</v>
      </c>
      <c r="Q39" s="651">
        <v>1</v>
      </c>
      <c r="R39" s="651">
        <v>1</v>
      </c>
      <c r="S39" s="651">
        <v>1</v>
      </c>
      <c r="T39" s="651">
        <v>1</v>
      </c>
      <c r="U39" s="651">
        <v>1</v>
      </c>
      <c r="V39" s="651">
        <v>1</v>
      </c>
      <c r="W39" s="526">
        <f t="shared" si="0"/>
        <v>0</v>
      </c>
      <c r="X39" s="526">
        <f t="shared" si="1"/>
        <v>0</v>
      </c>
    </row>
    <row r="40" spans="1:25" s="16" customFormat="1">
      <c r="A40" s="483">
        <v>3</v>
      </c>
      <c r="B40" s="28" t="s">
        <v>2584</v>
      </c>
      <c r="C40" s="28"/>
      <c r="D40" s="253"/>
      <c r="E40" s="255"/>
      <c r="F40" s="28"/>
      <c r="G40" s="255"/>
      <c r="H40" s="28"/>
      <c r="I40" s="256"/>
      <c r="J40" s="256"/>
      <c r="K40" s="28"/>
      <c r="L40" s="254"/>
      <c r="N40" s="651"/>
      <c r="O40" s="651"/>
      <c r="P40" s="651"/>
      <c r="Q40" s="651"/>
      <c r="R40" s="651"/>
      <c r="S40" s="651"/>
      <c r="T40" s="651"/>
      <c r="U40" s="651"/>
      <c r="V40" s="651"/>
      <c r="W40" s="526">
        <f t="shared" si="0"/>
        <v>0</v>
      </c>
      <c r="X40" s="526">
        <f t="shared" si="1"/>
        <v>0</v>
      </c>
    </row>
    <row r="41" spans="1:25" s="16" customFormat="1">
      <c r="A41" s="485">
        <v>3.1</v>
      </c>
      <c r="B41" s="29" t="s">
        <v>2124</v>
      </c>
      <c r="C41" s="257"/>
      <c r="D41" s="258"/>
      <c r="E41" s="259"/>
      <c r="F41" s="257"/>
      <c r="G41" s="259"/>
      <c r="H41" s="257"/>
      <c r="I41" s="260"/>
      <c r="J41" s="260"/>
      <c r="K41" s="257"/>
      <c r="L41" s="261"/>
      <c r="N41" s="651"/>
      <c r="O41" s="651"/>
      <c r="P41" s="651"/>
      <c r="Q41" s="651"/>
      <c r="R41" s="651"/>
      <c r="S41" s="651"/>
      <c r="T41" s="651"/>
      <c r="U41" s="651"/>
      <c r="V41" s="651"/>
      <c r="W41" s="526">
        <f t="shared" si="0"/>
        <v>0</v>
      </c>
      <c r="X41" s="526">
        <f t="shared" si="1"/>
        <v>0</v>
      </c>
    </row>
    <row r="42" spans="1:25" s="16" customFormat="1">
      <c r="A42" s="252" t="s">
        <v>2404</v>
      </c>
      <c r="B42" s="21" t="s">
        <v>1334</v>
      </c>
      <c r="C42" s="1">
        <f>back_tanks</f>
        <v>1</v>
      </c>
      <c r="D42" s="397" t="s">
        <v>64</v>
      </c>
      <c r="E42" s="398">
        <f>IF(back_tanks=0,"NA",back_tank_vol)</f>
        <v>4776</v>
      </c>
      <c r="F42" s="208" t="str">
        <f>IF(back_tanks=0,"","gal")</f>
        <v>gal</v>
      </c>
      <c r="G42" s="398">
        <f>IF(back_tanks=0,"NA",IF(curve=1,back_tank_vol,VLOOKUP(back_tank_vol,st_bwt_cost_cl,2)))</f>
        <v>4776</v>
      </c>
      <c r="H42" s="208" t="str">
        <f>IF(back_tanks=0,"","gal")</f>
        <v>gal</v>
      </c>
      <c r="I42" s="399">
        <f>IF(back_tanks=0,"NA",IF(curve=1,st_bwt_eq,VLOOKUP(back_tank_vol,st_bwt_cost_cl,3)))</f>
        <v>21617.305300809461</v>
      </c>
      <c r="J42" s="392">
        <f>IF(back_tanks=0,"--",IF(I42="contact vendor","--",C42*I42))</f>
        <v>21617.305300809461</v>
      </c>
      <c r="K42" s="208">
        <f>IF(back_tanks=0,"NA",VLOOKUP(back_tank_vol,st_bwt_cost_cl,IF(ss_cat="large",4,5)))</f>
        <v>35</v>
      </c>
      <c r="L42" s="393">
        <v>0</v>
      </c>
      <c r="M42" s="16" t="str">
        <f>$B$41&amp;" - "&amp;B42</f>
        <v>Backwash/Rinse Tanks - Steel</v>
      </c>
      <c r="N42" s="526">
        <v>3</v>
      </c>
      <c r="O42" s="651">
        <v>3</v>
      </c>
      <c r="P42" s="526">
        <v>1</v>
      </c>
      <c r="Q42" s="526">
        <v>3</v>
      </c>
      <c r="R42" s="651">
        <v>3</v>
      </c>
      <c r="S42" s="526">
        <v>1</v>
      </c>
      <c r="T42" s="526">
        <v>3</v>
      </c>
      <c r="U42" s="651">
        <v>3</v>
      </c>
      <c r="V42" s="526">
        <v>1</v>
      </c>
      <c r="W42" s="526">
        <f t="shared" si="0"/>
        <v>0</v>
      </c>
      <c r="X42" s="526">
        <f t="shared" si="1"/>
        <v>0</v>
      </c>
    </row>
    <row r="43" spans="1:25" s="16" customFormat="1">
      <c r="A43" s="252" t="s">
        <v>2404</v>
      </c>
      <c r="B43" s="21" t="s">
        <v>1326</v>
      </c>
      <c r="C43" s="1">
        <f>back_tanks</f>
        <v>1</v>
      </c>
      <c r="D43" s="397" t="s">
        <v>64</v>
      </c>
      <c r="E43" s="398">
        <f>IF(back_tanks=0,"NA",back_tank_vol)</f>
        <v>4776</v>
      </c>
      <c r="F43" s="208" t="str">
        <f>IF(back_tanks=0,"","gal")</f>
        <v>gal</v>
      </c>
      <c r="G43" s="398">
        <f>IF(back_tanks=0,"NA",IF(curve=1,back_tank_vol,VLOOKUP(back_tank_vol,fg_bwt_cost_cl,2)))</f>
        <v>4776</v>
      </c>
      <c r="H43" s="208" t="str">
        <f>IF(back_tanks=0,"","gal")</f>
        <v>gal</v>
      </c>
      <c r="I43" s="399">
        <f>IF(back_tanks=0,"NA",IF(curve=1,fg_bwt_eq,VLOOKUP(back_tank_vol,fg_bwt_cost_cl,3)))</f>
        <v>36949.817138450322</v>
      </c>
      <c r="J43" s="392">
        <f>IF(back_tanks=0,"--",IF(I43="contact vendor","--",C43*I43))</f>
        <v>36949.817138450322</v>
      </c>
      <c r="K43" s="208">
        <f>IF(back_tanks=0,"NA",VLOOKUP(back_tank_vol,fg_bwt_cost_cl,IF(ss_cat="large",4,5)))</f>
        <v>25</v>
      </c>
      <c r="L43" s="393">
        <v>0</v>
      </c>
      <c r="M43" s="16" t="str">
        <f>$B$41&amp;" - "&amp;B43</f>
        <v>Backwash/Rinse Tanks - Fiberglass</v>
      </c>
      <c r="N43" s="526">
        <v>2</v>
      </c>
      <c r="O43" s="526">
        <v>1</v>
      </c>
      <c r="P43" s="526">
        <v>2</v>
      </c>
      <c r="Q43" s="526">
        <v>2</v>
      </c>
      <c r="R43" s="526">
        <v>1</v>
      </c>
      <c r="S43" s="526">
        <v>2</v>
      </c>
      <c r="T43" s="526">
        <v>2</v>
      </c>
      <c r="U43" s="526">
        <v>1</v>
      </c>
      <c r="V43" s="526">
        <v>2</v>
      </c>
      <c r="W43" s="526">
        <f t="shared" si="0"/>
        <v>0</v>
      </c>
      <c r="X43" s="526">
        <f t="shared" si="1"/>
        <v>0</v>
      </c>
    </row>
    <row r="44" spans="1:25" s="16" customFormat="1">
      <c r="A44" s="252" t="s">
        <v>2404</v>
      </c>
      <c r="B44" s="21" t="s">
        <v>739</v>
      </c>
      <c r="C44" s="1">
        <f>back_tanks</f>
        <v>1</v>
      </c>
      <c r="D44" s="397" t="s">
        <v>64</v>
      </c>
      <c r="E44" s="398">
        <f>IF(back_tanks=0,"NA",back_tank_vol)</f>
        <v>4776</v>
      </c>
      <c r="F44" s="208" t="str">
        <f>IF(back_tanks=0,"","gal")</f>
        <v>gal</v>
      </c>
      <c r="G44" s="398">
        <f>IF(back_tanks=0,"NA",IF(curve=1,back_tank_vol,VLOOKUP(back_tank_vol,hdpe_bwt_cost_cl,2)))</f>
        <v>4776</v>
      </c>
      <c r="H44" s="208" t="str">
        <f>IF(back_tanks=0,"","gal")</f>
        <v>gal</v>
      </c>
      <c r="I44" s="399">
        <f>IF(back_tanks=0,"NA",IF(curve=1,hdpe_bwt_eq,VLOOKUP(back_tank_vol,hdpe_bwt_cost_cl,3)))</f>
        <v>9754.4955630039985</v>
      </c>
      <c r="J44" s="392">
        <f>IF(back_tanks=0,"--",IF(I44="contact vendor","--",C44*I44))</f>
        <v>9754.4955630039985</v>
      </c>
      <c r="K44" s="208">
        <f>IF(back_tanks=0,"NA",VLOOKUP(back_tank_vol,hdpe_bwt_cost_cl,IF(ss_cat="large",4,5)))</f>
        <v>25</v>
      </c>
      <c r="L44" s="393">
        <v>1</v>
      </c>
      <c r="M44" s="16" t="str">
        <f>$B$41&amp;" - "&amp;B44</f>
        <v>Backwash/Rinse Tanks - Plastic/HDPE</v>
      </c>
      <c r="N44" s="526">
        <v>1</v>
      </c>
      <c r="O44" s="526">
        <v>2</v>
      </c>
      <c r="P44" s="526">
        <v>3</v>
      </c>
      <c r="Q44" s="526">
        <v>1</v>
      </c>
      <c r="R44" s="526">
        <v>2</v>
      </c>
      <c r="S44" s="526">
        <v>3</v>
      </c>
      <c r="T44" s="526">
        <v>1</v>
      </c>
      <c r="U44" s="526">
        <v>2</v>
      </c>
      <c r="V44" s="526">
        <v>3</v>
      </c>
      <c r="W44" s="526">
        <f t="shared" si="0"/>
        <v>1</v>
      </c>
      <c r="X44" s="526">
        <f t="shared" si="1"/>
        <v>390.17982252015992</v>
      </c>
      <c r="Y44" s="26"/>
    </row>
    <row r="45" spans="1:25" s="16" customFormat="1">
      <c r="A45" s="485">
        <v>3.2</v>
      </c>
      <c r="B45" s="29" t="s">
        <v>902</v>
      </c>
      <c r="C45" s="257"/>
      <c r="D45" s="258"/>
      <c r="E45" s="257"/>
      <c r="F45" s="257"/>
      <c r="G45" s="259"/>
      <c r="H45" s="257"/>
      <c r="I45" s="260"/>
      <c r="J45" s="260"/>
      <c r="K45" s="257"/>
      <c r="L45" s="261"/>
      <c r="N45" s="651"/>
      <c r="O45" s="651"/>
      <c r="P45" s="651"/>
      <c r="Q45" s="651"/>
      <c r="R45" s="651"/>
      <c r="S45" s="651"/>
      <c r="T45" s="651"/>
      <c r="U45" s="651"/>
      <c r="V45" s="651"/>
      <c r="W45" s="526">
        <f t="shared" si="0"/>
        <v>0</v>
      </c>
      <c r="X45" s="526">
        <f t="shared" si="1"/>
        <v>0</v>
      </c>
    </row>
    <row r="46" spans="1:25" s="16" customFormat="1">
      <c r="A46" s="252" t="s">
        <v>2405</v>
      </c>
      <c r="B46" s="21" t="s">
        <v>2938</v>
      </c>
      <c r="C46" s="21">
        <f>mix_tanks</f>
        <v>0</v>
      </c>
      <c r="D46" s="389" t="s">
        <v>64</v>
      </c>
      <c r="E46" s="400" t="str">
        <f>IF(mix_tanks=0,"NA",mix_tank_vol)</f>
        <v>NA</v>
      </c>
      <c r="F46" s="21" t="str">
        <f>IF(mix_tanks=0,"","gal")</f>
        <v/>
      </c>
      <c r="G46" s="400" t="str">
        <f>IF(mix_tanks=0,"NA",IF(curve=1,mix_tank_vol,VLOOKUP(mix_tank_vol,pl_cst_cost_cl,2)))</f>
        <v>NA</v>
      </c>
      <c r="H46" s="21" t="str">
        <f>IF(mix_tanks=0,"","gal")</f>
        <v/>
      </c>
      <c r="I46" s="391" t="str">
        <f>IF(mix_tanks=0,"NA",IF(curve=1,pl_cst_eq,VLOOKUP(mix_tank_vol,pl_cst_cost_cl,3)))</f>
        <v>NA</v>
      </c>
      <c r="J46" s="392" t="str">
        <f>IF(mix_tanks=0,"--",IF(I46="contact vendor","--",C46*I46))</f>
        <v>--</v>
      </c>
      <c r="K46" s="394" t="str">
        <f>IF(mix_tanks=0,"NA",VLOOKUP(mix_tank_vol,pl_cst_cost_cl,IF(ss_cat="large",4,5)))</f>
        <v>NA</v>
      </c>
      <c r="L46" s="393"/>
      <c r="M46" s="16" t="str">
        <f>$B$45&amp;" - "&amp;B46</f>
        <v>Regenerant Mixing Tanks - Plastic/XLPE</v>
      </c>
      <c r="N46" s="526">
        <v>1</v>
      </c>
      <c r="O46" s="651">
        <v>2</v>
      </c>
      <c r="P46" s="526">
        <v>3</v>
      </c>
      <c r="Q46" s="526">
        <v>1</v>
      </c>
      <c r="R46" s="651">
        <v>2</v>
      </c>
      <c r="S46" s="526">
        <v>3</v>
      </c>
      <c r="T46" s="526">
        <v>1</v>
      </c>
      <c r="U46" s="651">
        <v>2</v>
      </c>
      <c r="V46" s="526">
        <v>3</v>
      </c>
      <c r="W46" s="526">
        <f t="shared" si="0"/>
        <v>0</v>
      </c>
      <c r="X46" s="526">
        <f t="shared" si="1"/>
        <v>0</v>
      </c>
    </row>
    <row r="47" spans="1:25" s="16" customFormat="1">
      <c r="A47" s="252" t="s">
        <v>2405</v>
      </c>
      <c r="B47" s="21" t="s">
        <v>1326</v>
      </c>
      <c r="C47" s="21">
        <f>mix_tanks</f>
        <v>0</v>
      </c>
      <c r="D47" s="389" t="s">
        <v>64</v>
      </c>
      <c r="E47" s="400" t="str">
        <f>IF(mix_tanks=0,"NA",mix_tank_vol)</f>
        <v>NA</v>
      </c>
      <c r="F47" s="21" t="str">
        <f>IF(mix_tanks=0,"","gal")</f>
        <v/>
      </c>
      <c r="G47" s="400" t="str">
        <f>IF(mix_tanks=0,"NA",IF(curve=1,mix_tank_vol,VLOOKUP(mix_tank_vol,fg_cst_cost_cl,2)))</f>
        <v>NA</v>
      </c>
      <c r="H47" s="21" t="str">
        <f>IF(mix_tanks=0,"","gal")</f>
        <v/>
      </c>
      <c r="I47" s="391" t="str">
        <f>IF(mix_tanks=0,"NA",IF(curve=1,fg_cst_eq,VLOOKUP(mix_tank_vol,fg_cst_cost_cl,3)))</f>
        <v>NA</v>
      </c>
      <c r="J47" s="392" t="str">
        <f>IF(mix_tanks=0,"--",IF(I47="contact vendor","--",C47*I47))</f>
        <v>--</v>
      </c>
      <c r="K47" s="394" t="str">
        <f>IF(mix_tanks=0,"NA",VLOOKUP(mix_tank_vol,fg_cst_cost_cl,IF(ss_cat="large",4,5)))</f>
        <v>NA</v>
      </c>
      <c r="L47" s="393"/>
      <c r="M47" s="16" t="str">
        <f>$B$45&amp;" - "&amp;B47</f>
        <v>Regenerant Mixing Tanks - Fiberglass</v>
      </c>
      <c r="N47" s="526">
        <v>2</v>
      </c>
      <c r="O47" s="651">
        <v>1</v>
      </c>
      <c r="P47" s="526">
        <v>2</v>
      </c>
      <c r="Q47" s="526">
        <v>2</v>
      </c>
      <c r="R47" s="651">
        <v>1</v>
      </c>
      <c r="S47" s="526">
        <v>2</v>
      </c>
      <c r="T47" s="526">
        <v>2</v>
      </c>
      <c r="U47" s="651">
        <v>1</v>
      </c>
      <c r="V47" s="526">
        <v>2</v>
      </c>
      <c r="W47" s="526">
        <f t="shared" si="0"/>
        <v>0</v>
      </c>
      <c r="X47" s="526">
        <f t="shared" si="1"/>
        <v>0</v>
      </c>
    </row>
    <row r="48" spans="1:25" s="16" customFormat="1">
      <c r="A48" s="252" t="s">
        <v>2405</v>
      </c>
      <c r="B48" s="21" t="s">
        <v>2582</v>
      </c>
      <c r="C48" s="21">
        <f>mix_tanks</f>
        <v>0</v>
      </c>
      <c r="D48" s="389" t="s">
        <v>64</v>
      </c>
      <c r="E48" s="400" t="str">
        <f>IF(mix_tanks=0,"NA",mix_tank_vol)</f>
        <v>NA</v>
      </c>
      <c r="F48" s="21" t="str">
        <f>IF(mix_tanks=0,"","gal")</f>
        <v/>
      </c>
      <c r="G48" s="400" t="str">
        <f>IF(mix_tanks=0,"NA",IF(curve=1,mix_tank_vol,VLOOKUP(mix_tank_vol,ss_cst_cost_cl,2)))</f>
        <v>NA</v>
      </c>
      <c r="H48" s="21" t="str">
        <f>IF(mix_tanks=0,"","gal")</f>
        <v/>
      </c>
      <c r="I48" s="391" t="str">
        <f>IF(mix_tanks=0,"NA",IF(curve=1,ss_cst_eq,VLOOKUP(mix_tank_vol,ss_cst_cost_cl,3)))</f>
        <v>NA</v>
      </c>
      <c r="J48" s="392" t="str">
        <f>IF(mix_tanks=0,"--",IF(I48="contact vendor","--",C48*I48))</f>
        <v>--</v>
      </c>
      <c r="K48" s="394" t="str">
        <f>IF(mix_tanks=0,"NA",VLOOKUP(mix_tank_vol,ss_cst_cost_cl,IF(ss_cat="large",4,5)))</f>
        <v>NA</v>
      </c>
      <c r="L48" s="393"/>
      <c r="M48" s="16" t="str">
        <f>$B$45&amp;" - "&amp;B48</f>
        <v>Regenerant Mixing Tanks - Stainless Steel</v>
      </c>
      <c r="N48" s="526">
        <v>3</v>
      </c>
      <c r="O48" s="651">
        <v>3</v>
      </c>
      <c r="P48" s="526">
        <v>1</v>
      </c>
      <c r="Q48" s="526">
        <v>3</v>
      </c>
      <c r="R48" s="651">
        <v>3</v>
      </c>
      <c r="S48" s="526">
        <v>1</v>
      </c>
      <c r="T48" s="526">
        <v>3</v>
      </c>
      <c r="U48" s="651">
        <v>3</v>
      </c>
      <c r="V48" s="526">
        <v>1</v>
      </c>
      <c r="W48" s="526">
        <f t="shared" si="0"/>
        <v>0</v>
      </c>
      <c r="X48" s="526">
        <f t="shared" si="1"/>
        <v>0</v>
      </c>
    </row>
    <row r="49" spans="1:24" s="16" customFormat="1">
      <c r="A49" s="252" t="s">
        <v>3173</v>
      </c>
      <c r="B49" s="21" t="s">
        <v>3174</v>
      </c>
      <c r="C49" s="21">
        <f>_xlfn.SINGLE(IF(OR(include_sec_cont=0,mix_tanks=0),0,mix_curb_concrete))</f>
        <v>0</v>
      </c>
      <c r="D49" s="389" t="s">
        <v>1349</v>
      </c>
      <c r="E49" s="400" t="s">
        <v>1343</v>
      </c>
      <c r="F49" s="21"/>
      <c r="G49" s="400" t="s">
        <v>1343</v>
      </c>
      <c r="H49" s="21"/>
      <c r="I49" s="391" t="str">
        <f>IF(C49=0,"NA",VLOOKUP(0,conc_basin_cost_cl,3))</f>
        <v>NA</v>
      </c>
      <c r="J49" s="392" t="str">
        <f>IF(C49=0,"--",IF(I49="contact vendor","--",C49*I49))</f>
        <v>--</v>
      </c>
      <c r="K49" s="394" t="str">
        <f>IF(C49=0,"NA",VLOOKUP(0,conc_basin_cost_cl,IF(ss_cat="large",4,5)))</f>
        <v>NA</v>
      </c>
      <c r="L49" s="393"/>
      <c r="M49" s="16" t="str">
        <f>$B$45&amp;" - "&amp;B49</f>
        <v>Regenerant Mixing Tanks - Secondary Containment - Concrete Curbing</v>
      </c>
      <c r="N49" s="526">
        <v>1</v>
      </c>
      <c r="O49" s="651">
        <v>1</v>
      </c>
      <c r="P49" s="526">
        <v>1</v>
      </c>
      <c r="Q49" s="526">
        <v>1</v>
      </c>
      <c r="R49" s="651">
        <v>1</v>
      </c>
      <c r="S49" s="526">
        <v>1</v>
      </c>
      <c r="T49" s="526">
        <v>1</v>
      </c>
      <c r="U49" s="651">
        <v>1</v>
      </c>
      <c r="V49" s="526">
        <v>1</v>
      </c>
      <c r="W49" s="526">
        <f>IF(ISERROR(K49*L49),0,IF(K49&lt;1,0,L49))</f>
        <v>0</v>
      </c>
      <c r="X49" s="526">
        <f>IF(W49,J49/K49,0)</f>
        <v>0</v>
      </c>
    </row>
    <row r="50" spans="1:24" s="16" customFormat="1">
      <c r="A50" s="252" t="s">
        <v>3175</v>
      </c>
      <c r="B50" s="21" t="s">
        <v>3176</v>
      </c>
      <c r="C50" s="21">
        <f>_xlfn.SINGLE(IF(OR(include_sec_cont=0,mix_tanks=0),0,mix_coating_gal))</f>
        <v>0</v>
      </c>
      <c r="D50" s="389" t="s">
        <v>1131</v>
      </c>
      <c r="E50" s="400" t="s">
        <v>1343</v>
      </c>
      <c r="F50" s="21"/>
      <c r="G50" s="400" t="s">
        <v>1343</v>
      </c>
      <c r="H50" s="21"/>
      <c r="I50" s="391" t="str">
        <f>IF(C50=0,"NA",VLOOKUP(0,conc_coating_cost_cl,3))</f>
        <v>NA</v>
      </c>
      <c r="J50" s="392" t="str">
        <f>IF(C50=0,"--",IF(I50="contact vendor","--",C50*I50))</f>
        <v>--</v>
      </c>
      <c r="K50" s="394" t="str">
        <f>IF(C50=0,"NA",VLOOKUP(0,conc_coating_cost_cl,IF(ss_cat="large",4,5)))</f>
        <v>NA</v>
      </c>
      <c r="L50" s="393"/>
      <c r="M50" s="16" t="str">
        <f>$B$45&amp;" - "&amp;B50</f>
        <v>Regenerant Mixing Tanks - Secondary Containment - Chemical Resistant Coating</v>
      </c>
      <c r="N50" s="526">
        <v>1</v>
      </c>
      <c r="O50" s="651">
        <v>1</v>
      </c>
      <c r="P50" s="526">
        <v>1</v>
      </c>
      <c r="Q50" s="526">
        <v>1</v>
      </c>
      <c r="R50" s="651">
        <v>1</v>
      </c>
      <c r="S50" s="526">
        <v>1</v>
      </c>
      <c r="T50" s="526">
        <v>1</v>
      </c>
      <c r="U50" s="651">
        <v>1</v>
      </c>
      <c r="V50" s="526">
        <v>1</v>
      </c>
      <c r="W50" s="526">
        <f>IF(ISERROR(K50*L50),0,IF(K50&lt;1,0,L50))</f>
        <v>0</v>
      </c>
      <c r="X50" s="526">
        <f>IF(W50,J50/K50,0)</f>
        <v>0</v>
      </c>
    </row>
    <row r="51" spans="1:24" s="16" customFormat="1">
      <c r="A51" s="485">
        <v>3.3</v>
      </c>
      <c r="B51" s="29" t="s">
        <v>240</v>
      </c>
      <c r="C51" s="257"/>
      <c r="D51" s="258"/>
      <c r="E51" s="257"/>
      <c r="F51" s="257"/>
      <c r="G51" s="259"/>
      <c r="H51" s="257"/>
      <c r="I51" s="260"/>
      <c r="J51" s="260"/>
      <c r="K51" s="257"/>
      <c r="L51" s="261"/>
      <c r="N51" s="526"/>
      <c r="O51" s="651"/>
      <c r="P51" s="526"/>
      <c r="Q51" s="526"/>
      <c r="R51" s="651"/>
      <c r="S51" s="526"/>
      <c r="T51" s="526"/>
      <c r="U51" s="651"/>
      <c r="V51" s="526"/>
      <c r="W51" s="526">
        <f t="shared" si="0"/>
        <v>0</v>
      </c>
      <c r="X51" s="526">
        <f t="shared" si="1"/>
        <v>0</v>
      </c>
    </row>
    <row r="52" spans="1:24" s="16" customFormat="1">
      <c r="A52" s="252" t="s">
        <v>2406</v>
      </c>
      <c r="B52" s="21" t="s">
        <v>2938</v>
      </c>
      <c r="C52" s="21">
        <f>NaOH_tanks</f>
        <v>0</v>
      </c>
      <c r="D52" s="389" t="s">
        <v>64</v>
      </c>
      <c r="E52" s="400" t="str">
        <f>IF(NaOH_tanks=0,"NA",NaOH_tank_vol)</f>
        <v>NA</v>
      </c>
      <c r="F52" s="21" t="str">
        <f>IF(NaOH_tanks=0,"","gal")</f>
        <v/>
      </c>
      <c r="G52" s="400" t="str">
        <f>IF(NaOH_tanks=0,"NA",IF(curve=1,NaOH_tank_vol,VLOOKUP(NaOH_tank_vol,pl_cst_cost_cl,2)))</f>
        <v>NA</v>
      </c>
      <c r="H52" s="21" t="str">
        <f>IF(NaOH_tanks=0,"","gal")</f>
        <v/>
      </c>
      <c r="I52" s="391" t="str">
        <f>IF(NaOH_tanks=0,"NA",IF(curve=1,pl_ct_eq,VLOOKUP(NaOH_tank_vol,pl_cst_cost_cl,3)))</f>
        <v>NA</v>
      </c>
      <c r="J52" s="392" t="str">
        <f>IF(NaOH_tanks=0,"--",IF(I52="contact vendor","--",C52*I52))</f>
        <v>--</v>
      </c>
      <c r="K52" s="394" t="str">
        <f>IF(NaOH_tanks=0,"NA",VLOOKUP(NaOH_tank_vol,pl_cst_cost_cl,IF(ss_cat="large",4,5)))</f>
        <v>NA</v>
      </c>
      <c r="L52" s="393"/>
      <c r="M52" s="16" t="str">
        <f t="shared" ref="M52:M58" si="2">$B$51&amp;" - "&amp;B52</f>
        <v>Caustic Storage Tanks - Plastic/XLPE</v>
      </c>
      <c r="N52" s="526">
        <v>1</v>
      </c>
      <c r="O52" s="651">
        <v>2</v>
      </c>
      <c r="P52" s="526">
        <v>3</v>
      </c>
      <c r="Q52" s="526">
        <v>1</v>
      </c>
      <c r="R52" s="651">
        <v>2</v>
      </c>
      <c r="S52" s="526">
        <v>3</v>
      </c>
      <c r="T52" s="526">
        <v>1</v>
      </c>
      <c r="U52" s="651">
        <v>2</v>
      </c>
      <c r="V52" s="526">
        <v>3</v>
      </c>
      <c r="W52" s="526">
        <f t="shared" si="0"/>
        <v>0</v>
      </c>
      <c r="X52" s="526">
        <f t="shared" si="1"/>
        <v>0</v>
      </c>
    </row>
    <row r="53" spans="1:24" s="16" customFormat="1">
      <c r="A53" s="252" t="s">
        <v>2406</v>
      </c>
      <c r="B53" s="21" t="s">
        <v>1326</v>
      </c>
      <c r="C53" s="21">
        <f>NaOH_tanks</f>
        <v>0</v>
      </c>
      <c r="D53" s="389" t="s">
        <v>64</v>
      </c>
      <c r="E53" s="400" t="str">
        <f>IF(NaOH_tanks=0,"NA",NaOH_tank_vol)</f>
        <v>NA</v>
      </c>
      <c r="F53" s="21" t="str">
        <f>IF(NaOH_tanks=0,"","gal")</f>
        <v/>
      </c>
      <c r="G53" s="400" t="str">
        <f>IF(NaOH_tanks=0,"NA",IF(curve=1,NaOH_tank_vol,VLOOKUP(NaOH_tank_vol,fg_cst_cost_cl,2)))</f>
        <v>NA</v>
      </c>
      <c r="H53" s="21" t="str">
        <f>IF(NaOH_tanks=0,"","gal")</f>
        <v/>
      </c>
      <c r="I53" s="391" t="str">
        <f>IF(NaOH_tanks=0,"NA",IF(curve=1,fg_ct_eq,VLOOKUP(NaOH_tank_vol,fg_cst_cost_cl,3)))</f>
        <v>NA</v>
      </c>
      <c r="J53" s="392" t="str">
        <f>IF(NaOH_tanks=0,"--",IF(I53="contact vendor","--",C53*I53))</f>
        <v>--</v>
      </c>
      <c r="K53" s="394" t="str">
        <f>IF(NaOH_tanks=0,"NA",VLOOKUP(NaOH_tank_vol,fg_cst_cost_cl,IF(ss_cat="large",4,5)))</f>
        <v>NA</v>
      </c>
      <c r="L53" s="393"/>
      <c r="M53" s="16" t="str">
        <f t="shared" si="2"/>
        <v>Caustic Storage Tanks - Fiberglass</v>
      </c>
      <c r="N53" s="526">
        <v>2</v>
      </c>
      <c r="O53" s="651">
        <v>1</v>
      </c>
      <c r="P53" s="526">
        <v>2</v>
      </c>
      <c r="Q53" s="526">
        <v>2</v>
      </c>
      <c r="R53" s="651">
        <v>1</v>
      </c>
      <c r="S53" s="526">
        <v>2</v>
      </c>
      <c r="T53" s="526">
        <v>2</v>
      </c>
      <c r="U53" s="651">
        <v>1</v>
      </c>
      <c r="V53" s="526">
        <v>2</v>
      </c>
      <c r="W53" s="526">
        <f t="shared" si="0"/>
        <v>0</v>
      </c>
      <c r="X53" s="526">
        <f t="shared" si="1"/>
        <v>0</v>
      </c>
    </row>
    <row r="54" spans="1:24" s="16" customFormat="1">
      <c r="A54" s="252" t="s">
        <v>2406</v>
      </c>
      <c r="B54" s="21" t="s">
        <v>2582</v>
      </c>
      <c r="C54" s="21">
        <f>NaOH_tanks</f>
        <v>0</v>
      </c>
      <c r="D54" s="389" t="s">
        <v>64</v>
      </c>
      <c r="E54" s="400" t="str">
        <f>IF(NaOH_tanks=0,"NA",NaOH_tank_vol)</f>
        <v>NA</v>
      </c>
      <c r="F54" s="21" t="str">
        <f>IF(NaOH_tanks=0,"","gal")</f>
        <v/>
      </c>
      <c r="G54" s="400" t="str">
        <f>IF(NaOH_tanks=0,"NA",IF(curve=1,NaOH_tank_vol,VLOOKUP(NaOH_tank_vol,ss_cst_cost_cl,2)))</f>
        <v>NA</v>
      </c>
      <c r="H54" s="21" t="str">
        <f>IF(NaOH_tanks=0,"","gal")</f>
        <v/>
      </c>
      <c r="I54" s="391" t="str">
        <f>IF(NaOH_tanks=0,"NA",IF(curve=1,ss_ct_eq,VLOOKUP(NaOH_tank_vol,ss_cst_cost_cl,3)))</f>
        <v>NA</v>
      </c>
      <c r="J54" s="392" t="str">
        <f>IF(NaOH_tanks=0,"--",IF(I54="contact vendor","--",C54*I54))</f>
        <v>--</v>
      </c>
      <c r="K54" s="394" t="str">
        <f>IF(NaOH_tanks=0,"NA",VLOOKUP(NaOH_tank_vol,ss_cst_cost_cl,IF(ss_cat="large",4,5)))</f>
        <v>NA</v>
      </c>
      <c r="L54" s="393"/>
      <c r="M54" s="16" t="str">
        <f t="shared" si="2"/>
        <v>Caustic Storage Tanks - Stainless Steel</v>
      </c>
      <c r="N54" s="526">
        <v>3</v>
      </c>
      <c r="O54" s="651">
        <v>3</v>
      </c>
      <c r="P54" s="526">
        <v>1</v>
      </c>
      <c r="Q54" s="526">
        <v>3</v>
      </c>
      <c r="R54" s="651">
        <v>3</v>
      </c>
      <c r="S54" s="526">
        <v>1</v>
      </c>
      <c r="T54" s="526">
        <v>3</v>
      </c>
      <c r="U54" s="651">
        <v>3</v>
      </c>
      <c r="V54" s="526">
        <v>1</v>
      </c>
      <c r="W54" s="526">
        <f t="shared" si="0"/>
        <v>0</v>
      </c>
      <c r="X54" s="526">
        <f t="shared" si="1"/>
        <v>0</v>
      </c>
    </row>
    <row r="55" spans="1:24" s="16" customFormat="1">
      <c r="A55" s="252" t="s">
        <v>3177</v>
      </c>
      <c r="B55" s="21" t="s">
        <v>2913</v>
      </c>
      <c r="C55" s="21">
        <f>NaOH_tanks</f>
        <v>0</v>
      </c>
      <c r="D55" s="389" t="s">
        <v>64</v>
      </c>
      <c r="E55" s="400" t="str">
        <f>IF(NaOH_tanks=0,"NA",NaOH_tank_vol)</f>
        <v>NA</v>
      </c>
      <c r="F55" s="21" t="str">
        <f>IF(NaOH_tanks=0,"","gal")</f>
        <v/>
      </c>
      <c r="G55" s="400" t="str">
        <f>IF(NaOH_tanks=0,"NA",IF(curve=1,NaOH_tank_vol,VLOOKUP(NaOH_tank_vol,cst_heat_cost_cl,2)))</f>
        <v>NA</v>
      </c>
      <c r="H55" s="21" t="str">
        <f>IF(NaOH_tanks=0,"","gal")</f>
        <v/>
      </c>
      <c r="I55" s="391" t="str">
        <f>IF(NaOH_tanks=0,"NA",IF(curve=1,ct_heat_eq,VLOOKUP(NaOH_tank_vol,cst_heat_cost_cl,3)))</f>
        <v>NA</v>
      </c>
      <c r="J55" s="392" t="str">
        <f>IF(NaOH_tanks=0,"--",IF(I55="contact vendor","--",C55*I55))</f>
        <v>--</v>
      </c>
      <c r="K55" s="394" t="str">
        <f>IF(NaOH_tanks=0,"NA",VLOOKUP(NaOH_tank_vol,cst_heat_cost_cl,IF(ss_cat="large",4,5)))</f>
        <v>NA</v>
      </c>
      <c r="L55" s="393"/>
      <c r="M55" s="16" t="str">
        <f t="shared" si="2"/>
        <v>Caustic Storage Tanks - Heat Tracing</v>
      </c>
      <c r="N55" s="526">
        <v>1</v>
      </c>
      <c r="O55" s="651">
        <v>1</v>
      </c>
      <c r="P55" s="526">
        <v>1</v>
      </c>
      <c r="Q55" s="526">
        <v>1</v>
      </c>
      <c r="R55" s="651">
        <v>1</v>
      </c>
      <c r="S55" s="526">
        <v>1</v>
      </c>
      <c r="T55" s="526">
        <v>1</v>
      </c>
      <c r="U55" s="651">
        <v>1</v>
      </c>
      <c r="V55" s="526">
        <v>1</v>
      </c>
      <c r="W55" s="526">
        <f t="shared" si="0"/>
        <v>0</v>
      </c>
      <c r="X55" s="526">
        <f t="shared" si="1"/>
        <v>0</v>
      </c>
    </row>
    <row r="56" spans="1:24" s="16" customFormat="1">
      <c r="A56" s="252" t="s">
        <v>3178</v>
      </c>
      <c r="B56" s="21" t="s">
        <v>2915</v>
      </c>
      <c r="C56" s="21">
        <f>NaOH_tanks</f>
        <v>0</v>
      </c>
      <c r="D56" s="389" t="s">
        <v>64</v>
      </c>
      <c r="E56" s="400" t="str">
        <f>IF(NaOH_tanks=0,"NA",NaOH_tank_vol)</f>
        <v>NA</v>
      </c>
      <c r="F56" s="21" t="str">
        <f>IF(NaOH_tanks=0,"","gal")</f>
        <v/>
      </c>
      <c r="G56" s="400" t="str">
        <f>IF(NaOH_tanks=0,"NA",IF(curve=1,NaOH_tank_vol,VLOOKUP(NaOH_tank_vol,cst_insul_cost_cl,2)))</f>
        <v>NA</v>
      </c>
      <c r="H56" s="21" t="str">
        <f>IF(NaOH_tanks=0,"","gal")</f>
        <v/>
      </c>
      <c r="I56" s="391" t="str">
        <f>IF(NaOH_tanks=0,"NA",IF(curve=1,ct_insul_eq,VLOOKUP(NaOH_tank_vol,cst_insul_cost_cl,3)))</f>
        <v>NA</v>
      </c>
      <c r="J56" s="392" t="str">
        <f>IF(NaOH_tanks=0,"--",IF(I56="contact vendor","--",C56*I56))</f>
        <v>--</v>
      </c>
      <c r="K56" s="394" t="str">
        <f>IF(NaOH_tanks=0,"NA",VLOOKUP(NaOH_tank_vol,cst_insul_cost_cl,IF(ss_cat="large",4,5)))</f>
        <v>NA</v>
      </c>
      <c r="L56" s="393"/>
      <c r="M56" s="16" t="str">
        <f t="shared" si="2"/>
        <v>Caustic Storage Tanks - Insulation</v>
      </c>
      <c r="N56" s="526">
        <v>1</v>
      </c>
      <c r="O56" s="651">
        <v>1</v>
      </c>
      <c r="P56" s="526">
        <v>1</v>
      </c>
      <c r="Q56" s="526">
        <v>1</v>
      </c>
      <c r="R56" s="651">
        <v>1</v>
      </c>
      <c r="S56" s="526">
        <v>1</v>
      </c>
      <c r="T56" s="526">
        <v>1</v>
      </c>
      <c r="U56" s="651">
        <v>1</v>
      </c>
      <c r="V56" s="526">
        <v>1</v>
      </c>
      <c r="W56" s="526">
        <f t="shared" si="0"/>
        <v>0</v>
      </c>
      <c r="X56" s="526">
        <f t="shared" si="1"/>
        <v>0</v>
      </c>
    </row>
    <row r="57" spans="1:24" s="16" customFormat="1">
      <c r="A57" s="252" t="s">
        <v>3239</v>
      </c>
      <c r="B57" s="21" t="s">
        <v>3174</v>
      </c>
      <c r="C57" s="21">
        <f>IF(OR(include_sec_cont=0,NaOH_tanks=0),0,ct_curb_concrete)</f>
        <v>0</v>
      </c>
      <c r="D57" s="389" t="s">
        <v>1349</v>
      </c>
      <c r="E57" s="400" t="s">
        <v>1343</v>
      </c>
      <c r="F57" s="21"/>
      <c r="G57" s="400" t="s">
        <v>1343</v>
      </c>
      <c r="H57" s="21"/>
      <c r="I57" s="391" t="str">
        <f>IF(C57=0,"NA",VLOOKUP(0,conc_basin_cost_cl,3))</f>
        <v>NA</v>
      </c>
      <c r="J57" s="392" t="str">
        <f>IF(C57=0,"--",IF(I57="contact vendor","--",C57*I57))</f>
        <v>--</v>
      </c>
      <c r="K57" s="394" t="str">
        <f>IF(C57=0,"NA",VLOOKUP(0,conc_basin_cost_cl,IF(ss_cat="large",4,5)))</f>
        <v>NA</v>
      </c>
      <c r="L57" s="393"/>
      <c r="M57" s="16" t="str">
        <f t="shared" si="2"/>
        <v>Caustic Storage Tanks - Secondary Containment - Concrete Curbing</v>
      </c>
      <c r="N57" s="526">
        <v>1</v>
      </c>
      <c r="O57" s="651">
        <v>1</v>
      </c>
      <c r="P57" s="526">
        <v>1</v>
      </c>
      <c r="Q57" s="526">
        <v>1</v>
      </c>
      <c r="R57" s="651">
        <v>1</v>
      </c>
      <c r="S57" s="526">
        <v>1</v>
      </c>
      <c r="T57" s="526">
        <v>1</v>
      </c>
      <c r="U57" s="651">
        <v>1</v>
      </c>
      <c r="V57" s="526">
        <v>1</v>
      </c>
      <c r="W57" s="526">
        <f>IF(ISERROR(K57*L57),0,IF(K57&lt;1,0,L57))</f>
        <v>0</v>
      </c>
      <c r="X57" s="526">
        <f>IF(W57,J57/K57,0)</f>
        <v>0</v>
      </c>
    </row>
    <row r="58" spans="1:24" s="16" customFormat="1">
      <c r="A58" s="252" t="s">
        <v>3240</v>
      </c>
      <c r="B58" s="21" t="s">
        <v>3176</v>
      </c>
      <c r="C58" s="21">
        <f>IF(OR(include_sec_cont=0,NaOH_tanks=0),0,ct_coating_gal)</f>
        <v>0</v>
      </c>
      <c r="D58" s="389" t="s">
        <v>1131</v>
      </c>
      <c r="E58" s="400" t="s">
        <v>1343</v>
      </c>
      <c r="F58" s="21"/>
      <c r="G58" s="400" t="s">
        <v>1343</v>
      </c>
      <c r="H58" s="21"/>
      <c r="I58" s="391" t="str">
        <f>IF(C58=0,"NA",VLOOKUP(0,conc_coating_cost_cl,3))</f>
        <v>NA</v>
      </c>
      <c r="J58" s="392" t="str">
        <f>IF(C58=0,"--",IF(I58="contact vendor","--",C58*I58))</f>
        <v>--</v>
      </c>
      <c r="K58" s="394" t="str">
        <f>IF(C58=0,"NA",VLOOKUP(0,conc_coating_cost_cl,IF(ss_cat="large",4,5)))</f>
        <v>NA</v>
      </c>
      <c r="L58" s="393"/>
      <c r="M58" s="16" t="str">
        <f t="shared" si="2"/>
        <v>Caustic Storage Tanks - Secondary Containment - Chemical Resistant Coating</v>
      </c>
      <c r="N58" s="526">
        <v>1</v>
      </c>
      <c r="O58" s="651">
        <v>1</v>
      </c>
      <c r="P58" s="526">
        <v>1</v>
      </c>
      <c r="Q58" s="526">
        <v>1</v>
      </c>
      <c r="R58" s="651">
        <v>1</v>
      </c>
      <c r="S58" s="526">
        <v>1</v>
      </c>
      <c r="T58" s="526">
        <v>1</v>
      </c>
      <c r="U58" s="651">
        <v>1</v>
      </c>
      <c r="V58" s="526">
        <v>1</v>
      </c>
      <c r="W58" s="526">
        <f>IF(ISERROR(K58*L58),0,IF(K58&lt;1,0,L58))</f>
        <v>0</v>
      </c>
      <c r="X58" s="526">
        <f>IF(W58,J58/K58,0)</f>
        <v>0</v>
      </c>
    </row>
    <row r="59" spans="1:24" s="16" customFormat="1">
      <c r="A59" s="485">
        <v>3.4</v>
      </c>
      <c r="B59" s="41" t="s">
        <v>1956</v>
      </c>
      <c r="C59" s="257"/>
      <c r="D59" s="258"/>
      <c r="E59" s="257"/>
      <c r="F59" s="264"/>
      <c r="G59" s="259"/>
      <c r="H59" s="264"/>
      <c r="I59" s="260"/>
      <c r="J59" s="257"/>
      <c r="K59" s="257"/>
      <c r="L59" s="267"/>
      <c r="N59" s="526"/>
      <c r="O59" s="651"/>
      <c r="P59" s="526"/>
      <c r="Q59" s="526"/>
      <c r="R59" s="651"/>
      <c r="S59" s="526"/>
      <c r="T59" s="526"/>
      <c r="U59" s="651"/>
      <c r="V59" s="526"/>
      <c r="W59" s="526">
        <f t="shared" si="0"/>
        <v>0</v>
      </c>
      <c r="X59" s="526">
        <f t="shared" si="1"/>
        <v>0</v>
      </c>
    </row>
    <row r="60" spans="1:24" s="16" customFormat="1">
      <c r="A60" s="252" t="s">
        <v>2407</v>
      </c>
      <c r="B60" s="1" t="s">
        <v>2938</v>
      </c>
      <c r="C60" s="424">
        <f>NaOH_day_tanks</f>
        <v>0</v>
      </c>
      <c r="D60" s="389" t="s">
        <v>64</v>
      </c>
      <c r="E60" s="567" t="str">
        <f>IF(C60=0,"NA",NaOH_day_tank_vol)</f>
        <v>NA</v>
      </c>
      <c r="F60" s="424" t="str">
        <f>IF(C60=0,"","gal")</f>
        <v/>
      </c>
      <c r="G60" s="567" t="str">
        <f>IF(C60=0,"NA",IF(curve=1,NaOH_day_tank_vol,VLOOKUP(NaOH_day_tank_vol,pl_cst_cost_cl,2)))</f>
        <v>NA</v>
      </c>
      <c r="H60" s="424" t="str">
        <f>IF(C60=0,"","gal")</f>
        <v/>
      </c>
      <c r="I60" s="568" t="str">
        <f>IF(C60=0,"NA",IF(curve=1,pl_day_eq,VLOOKUP(NaOH_day_tank_vol,pl_cst_cost_cl,3)))</f>
        <v>NA</v>
      </c>
      <c r="J60" s="569" t="str">
        <f t="shared" ref="J60:J66" si="3">IF(C60=0,"--",IF(I60="contact vendor","--",C60*I60))</f>
        <v>--</v>
      </c>
      <c r="K60" s="570" t="str">
        <f>IF(C60=0,"NA",VLOOKUP(NaOH_day_tank_vol,pl_cst_cost_cl,IF(ss_cat="large",4,5)))</f>
        <v>NA</v>
      </c>
      <c r="L60" s="407"/>
      <c r="M60" s="16" t="str">
        <f t="shared" ref="M60:M66" si="4">$B$59&amp;" - "&amp;B60</f>
        <v>Caustic Day Tanks - Plastic/XLPE</v>
      </c>
      <c r="N60" s="526">
        <v>1</v>
      </c>
      <c r="O60" s="526">
        <v>2</v>
      </c>
      <c r="P60" s="526">
        <v>3</v>
      </c>
      <c r="Q60" s="526">
        <v>1</v>
      </c>
      <c r="R60" s="526">
        <v>2</v>
      </c>
      <c r="S60" s="526">
        <v>3</v>
      </c>
      <c r="T60" s="526">
        <v>1</v>
      </c>
      <c r="U60" s="526">
        <v>2</v>
      </c>
      <c r="V60" s="526">
        <v>3</v>
      </c>
      <c r="W60" s="526">
        <f t="shared" si="0"/>
        <v>0</v>
      </c>
      <c r="X60" s="526">
        <f t="shared" si="1"/>
        <v>0</v>
      </c>
    </row>
    <row r="61" spans="1:24" s="16" customFormat="1">
      <c r="A61" s="252" t="s">
        <v>2407</v>
      </c>
      <c r="B61" s="1" t="s">
        <v>1326</v>
      </c>
      <c r="C61" s="424">
        <f>NaOH_day_tanks</f>
        <v>0</v>
      </c>
      <c r="D61" s="389" t="s">
        <v>64</v>
      </c>
      <c r="E61" s="567" t="str">
        <f>IF(C61=0,"NA",NaOH_day_tank_vol)</f>
        <v>NA</v>
      </c>
      <c r="F61" s="424" t="str">
        <f>IF(C61=0,"","gal")</f>
        <v/>
      </c>
      <c r="G61" s="567" t="str">
        <f>IF(C61=0,"NA",IF(curve=1,NaOH_day_tank_vol,VLOOKUP(NaOH_day_tank_vol,fg_cst_cost_cl,2)))</f>
        <v>NA</v>
      </c>
      <c r="H61" s="424" t="str">
        <f>IF(C61=0,"","gal")</f>
        <v/>
      </c>
      <c r="I61" s="568" t="str">
        <f>IF(C61=0,"NA",IF(curve=1,fg_day_eq,VLOOKUP(NaOH_day_tank_vol,fg_cst_cost_cl,3)))</f>
        <v>NA</v>
      </c>
      <c r="J61" s="569" t="str">
        <f t="shared" si="3"/>
        <v>--</v>
      </c>
      <c r="K61" s="570" t="str">
        <f>IF(C61=0,"NA",VLOOKUP(NaOH_day_tank_vol,fg_cst_cost_cl,IF(ss_cat="large",4,5)))</f>
        <v>NA</v>
      </c>
      <c r="L61" s="407"/>
      <c r="M61" s="16" t="str">
        <f t="shared" si="4"/>
        <v>Caustic Day Tanks - Fiberglass</v>
      </c>
      <c r="N61" s="526">
        <v>2</v>
      </c>
      <c r="O61" s="526">
        <v>1</v>
      </c>
      <c r="P61" s="526">
        <v>2</v>
      </c>
      <c r="Q61" s="526">
        <v>2</v>
      </c>
      <c r="R61" s="526">
        <v>1</v>
      </c>
      <c r="S61" s="526">
        <v>2</v>
      </c>
      <c r="T61" s="526">
        <v>2</v>
      </c>
      <c r="U61" s="526">
        <v>1</v>
      </c>
      <c r="V61" s="526">
        <v>2</v>
      </c>
      <c r="W61" s="526">
        <f t="shared" si="0"/>
        <v>0</v>
      </c>
      <c r="X61" s="526">
        <f t="shared" si="1"/>
        <v>0</v>
      </c>
    </row>
    <row r="62" spans="1:24" s="16" customFormat="1">
      <c r="A62" s="252" t="s">
        <v>2407</v>
      </c>
      <c r="B62" s="1" t="s">
        <v>2582</v>
      </c>
      <c r="C62" s="424">
        <f>NaOH_day_tanks</f>
        <v>0</v>
      </c>
      <c r="D62" s="389" t="s">
        <v>64</v>
      </c>
      <c r="E62" s="567" t="str">
        <f>IF(C62=0,"NA",NaOH_day_tank_vol)</f>
        <v>NA</v>
      </c>
      <c r="F62" s="424" t="str">
        <f>IF(C62=0,"","gal")</f>
        <v/>
      </c>
      <c r="G62" s="567" t="str">
        <f>IF(C62=0,"NA",IF(curve=1,NaOH_day_tank_vol,VLOOKUP(NaOH_day_tank_vol,ss_cst_cost_cl,2)))</f>
        <v>NA</v>
      </c>
      <c r="H62" s="424" t="str">
        <f>IF(C62=0,"","gal")</f>
        <v/>
      </c>
      <c r="I62" s="568" t="str">
        <f>IF(C62=0,"NA",IF(curve=1,ss_day_eq,VLOOKUP(NaOH_day_tank_vol,ss_cst_cost_cl,3)))</f>
        <v>NA</v>
      </c>
      <c r="J62" s="569" t="str">
        <f t="shared" si="3"/>
        <v>--</v>
      </c>
      <c r="K62" s="570" t="str">
        <f>IF(C62=0,"NA",VLOOKUP(NaOH_day_tank_vol,ss_cst_cost_cl,IF(ss_cat="large",4,5)))</f>
        <v>NA</v>
      </c>
      <c r="L62" s="407"/>
      <c r="M62" s="16" t="str">
        <f t="shared" si="4"/>
        <v>Caustic Day Tanks - Stainless Steel</v>
      </c>
      <c r="N62" s="526">
        <v>3</v>
      </c>
      <c r="O62" s="526">
        <v>3</v>
      </c>
      <c r="P62" s="526">
        <v>1</v>
      </c>
      <c r="Q62" s="526">
        <v>3</v>
      </c>
      <c r="R62" s="526">
        <v>3</v>
      </c>
      <c r="S62" s="526">
        <v>1</v>
      </c>
      <c r="T62" s="526">
        <v>3</v>
      </c>
      <c r="U62" s="526">
        <v>3</v>
      </c>
      <c r="V62" s="526">
        <v>1</v>
      </c>
      <c r="W62" s="526">
        <f t="shared" si="0"/>
        <v>0</v>
      </c>
      <c r="X62" s="526">
        <f t="shared" si="1"/>
        <v>0</v>
      </c>
    </row>
    <row r="63" spans="1:24" s="16" customFormat="1">
      <c r="A63" s="252" t="s">
        <v>2921</v>
      </c>
      <c r="B63" s="1" t="s">
        <v>2913</v>
      </c>
      <c r="C63" s="424">
        <f>NaOH_day_tanks</f>
        <v>0</v>
      </c>
      <c r="D63" s="389" t="s">
        <v>64</v>
      </c>
      <c r="E63" s="567" t="str">
        <f>IF(C63=0,"NA",NaOH_day_tank_vol)</f>
        <v>NA</v>
      </c>
      <c r="F63" s="424" t="str">
        <f>IF(C63=0,"","gal")</f>
        <v/>
      </c>
      <c r="G63" s="567" t="str">
        <f>IF(C63=0,"NA",IF(curve=1,NaOH_day_tank_vol,VLOOKUP(NaOH_day_tank_vol,cst_heat_cost_cl,2)))</f>
        <v>NA</v>
      </c>
      <c r="H63" s="424" t="str">
        <f>IF(C63=0,"","gal")</f>
        <v/>
      </c>
      <c r="I63" s="568" t="str">
        <f>IF(C63=0,"NA",IF(curve=1,day_heat_eq,VLOOKUP(NaOH_day_tank_vol,cst_heat_cost_cl,3)))</f>
        <v>NA</v>
      </c>
      <c r="J63" s="569" t="str">
        <f t="shared" si="3"/>
        <v>--</v>
      </c>
      <c r="K63" s="570" t="str">
        <f>IF(C63=0,"NA",VLOOKUP(NaOH_day_tank_vol,cst_heat_cost_cl,IF(ss_cat="large",4,5)))</f>
        <v>NA</v>
      </c>
      <c r="L63" s="407"/>
      <c r="M63" s="16" t="str">
        <f t="shared" si="4"/>
        <v>Caustic Day Tanks - Heat Tracing</v>
      </c>
      <c r="N63" s="526">
        <v>1</v>
      </c>
      <c r="O63" s="526">
        <v>1</v>
      </c>
      <c r="P63" s="526">
        <v>1</v>
      </c>
      <c r="Q63" s="526">
        <v>1</v>
      </c>
      <c r="R63" s="526">
        <v>1</v>
      </c>
      <c r="S63" s="526">
        <v>1</v>
      </c>
      <c r="T63" s="526">
        <v>1</v>
      </c>
      <c r="U63" s="526">
        <v>1</v>
      </c>
      <c r="V63" s="526">
        <v>1</v>
      </c>
      <c r="W63" s="526">
        <f t="shared" si="0"/>
        <v>0</v>
      </c>
      <c r="X63" s="526">
        <f t="shared" si="1"/>
        <v>0</v>
      </c>
    </row>
    <row r="64" spans="1:24" s="16" customFormat="1">
      <c r="A64" s="252" t="s">
        <v>2922</v>
      </c>
      <c r="B64" s="1" t="s">
        <v>2915</v>
      </c>
      <c r="C64" s="424">
        <f>NaOH_day_tanks</f>
        <v>0</v>
      </c>
      <c r="D64" s="389" t="s">
        <v>64</v>
      </c>
      <c r="E64" s="567" t="str">
        <f>IF(C64=0,"NA",NaOH_day_tank_vol)</f>
        <v>NA</v>
      </c>
      <c r="F64" s="424" t="str">
        <f>IF(C64=0,"","gal")</f>
        <v/>
      </c>
      <c r="G64" s="567" t="str">
        <f>IF(C64=0,"NA",IF(curve=1,NaOH_day_tank_vol,VLOOKUP(NaOH_day_tank_vol,cst_insul_cost_cl,2)))</f>
        <v>NA</v>
      </c>
      <c r="H64" s="424" t="str">
        <f>IF(C64=0,"","gal")</f>
        <v/>
      </c>
      <c r="I64" s="568" t="str">
        <f>IF(C64=0,"NA",IF(curve=1,day_insul_eq,VLOOKUP(NaOH_day_tank_vol,cst_insul_cost_cl,3)))</f>
        <v>NA</v>
      </c>
      <c r="J64" s="569" t="str">
        <f t="shared" si="3"/>
        <v>--</v>
      </c>
      <c r="K64" s="570" t="str">
        <f>IF(C64=0,"NA",VLOOKUP(NaOH_day_tank_vol,cst_insul_cost_cl,IF(ss_cat="large",4,5)))</f>
        <v>NA</v>
      </c>
      <c r="L64" s="407"/>
      <c r="M64" s="16" t="str">
        <f t="shared" si="4"/>
        <v>Caustic Day Tanks - Insulation</v>
      </c>
      <c r="N64" s="526">
        <v>1</v>
      </c>
      <c r="O64" s="526">
        <v>1</v>
      </c>
      <c r="P64" s="526">
        <v>1</v>
      </c>
      <c r="Q64" s="526">
        <v>1</v>
      </c>
      <c r="R64" s="526">
        <v>1</v>
      </c>
      <c r="S64" s="526">
        <v>1</v>
      </c>
      <c r="T64" s="526">
        <v>1</v>
      </c>
      <c r="U64" s="526">
        <v>1</v>
      </c>
      <c r="V64" s="526">
        <v>1</v>
      </c>
      <c r="W64" s="526">
        <f t="shared" si="0"/>
        <v>0</v>
      </c>
      <c r="X64" s="526">
        <f t="shared" si="1"/>
        <v>0</v>
      </c>
    </row>
    <row r="65" spans="1:24" s="16" customFormat="1">
      <c r="A65" s="252" t="s">
        <v>3179</v>
      </c>
      <c r="B65" s="21" t="s">
        <v>3174</v>
      </c>
      <c r="C65" s="21">
        <f>IF(OR(include_sec_cont=0,NaOH_day_tanks=0),0,dt_curb_concrete)</f>
        <v>0</v>
      </c>
      <c r="D65" s="389" t="s">
        <v>1349</v>
      </c>
      <c r="E65" s="400" t="s">
        <v>1343</v>
      </c>
      <c r="F65" s="21"/>
      <c r="G65" s="400" t="s">
        <v>1343</v>
      </c>
      <c r="H65" s="21"/>
      <c r="I65" s="391" t="str">
        <f>IF(C65=0,"NA",VLOOKUP(0,conc_basin_cost_cl,3))</f>
        <v>NA</v>
      </c>
      <c r="J65" s="392" t="str">
        <f t="shared" si="3"/>
        <v>--</v>
      </c>
      <c r="K65" s="394" t="str">
        <f>IF(C65=0,"NA",VLOOKUP(0,conc_basin_cost_cl,IF(ss_cat="large",4,5)))</f>
        <v>NA</v>
      </c>
      <c r="L65" s="393"/>
      <c r="M65" s="16" t="str">
        <f t="shared" si="4"/>
        <v>Caustic Day Tanks - Secondary Containment - Concrete Curbing</v>
      </c>
      <c r="N65" s="526">
        <v>1</v>
      </c>
      <c r="O65" s="651">
        <v>1</v>
      </c>
      <c r="P65" s="526">
        <v>1</v>
      </c>
      <c r="Q65" s="526">
        <v>1</v>
      </c>
      <c r="R65" s="651">
        <v>1</v>
      </c>
      <c r="S65" s="526">
        <v>1</v>
      </c>
      <c r="T65" s="526">
        <v>1</v>
      </c>
      <c r="U65" s="651">
        <v>1</v>
      </c>
      <c r="V65" s="526">
        <v>1</v>
      </c>
      <c r="W65" s="526">
        <f t="shared" si="0"/>
        <v>0</v>
      </c>
      <c r="X65" s="526">
        <f t="shared" si="1"/>
        <v>0</v>
      </c>
    </row>
    <row r="66" spans="1:24" s="16" customFormat="1">
      <c r="A66" s="252" t="s">
        <v>3180</v>
      </c>
      <c r="B66" s="21" t="s">
        <v>3176</v>
      </c>
      <c r="C66" s="21">
        <f>IF(OR(include_sec_cont=0,NaOH_day_tanks=0),0,dt_coating_gal)</f>
        <v>0</v>
      </c>
      <c r="D66" s="389" t="s">
        <v>1131</v>
      </c>
      <c r="E66" s="400" t="s">
        <v>1343</v>
      </c>
      <c r="F66" s="21"/>
      <c r="G66" s="400" t="s">
        <v>1343</v>
      </c>
      <c r="H66" s="21"/>
      <c r="I66" s="391" t="str">
        <f>IF(C66=0,"NA",VLOOKUP(0,conc_coating_cost_cl,3))</f>
        <v>NA</v>
      </c>
      <c r="J66" s="392" t="str">
        <f t="shared" si="3"/>
        <v>--</v>
      </c>
      <c r="K66" s="394" t="str">
        <f>IF(C66=0,"NA",VLOOKUP(0,conc_coating_cost_cl,IF(ss_cat="large",4,5)))</f>
        <v>NA</v>
      </c>
      <c r="L66" s="393"/>
      <c r="M66" s="16" t="str">
        <f t="shared" si="4"/>
        <v>Caustic Day Tanks - Secondary Containment - Chemical Resistant Coating</v>
      </c>
      <c r="N66" s="526">
        <v>1</v>
      </c>
      <c r="O66" s="651">
        <v>1</v>
      </c>
      <c r="P66" s="526">
        <v>1</v>
      </c>
      <c r="Q66" s="526">
        <v>1</v>
      </c>
      <c r="R66" s="651">
        <v>1</v>
      </c>
      <c r="S66" s="526">
        <v>1</v>
      </c>
      <c r="T66" s="526">
        <v>1</v>
      </c>
      <c r="U66" s="651">
        <v>1</v>
      </c>
      <c r="V66" s="526">
        <v>1</v>
      </c>
      <c r="W66" s="526">
        <f t="shared" si="0"/>
        <v>0</v>
      </c>
      <c r="X66" s="526">
        <f t="shared" si="1"/>
        <v>0</v>
      </c>
    </row>
    <row r="67" spans="1:24" s="16" customFormat="1">
      <c r="A67" s="642">
        <v>3.5</v>
      </c>
      <c r="B67" s="99" t="s">
        <v>466</v>
      </c>
      <c r="C67" s="257"/>
      <c r="D67" s="258"/>
      <c r="E67" s="259"/>
      <c r="F67" s="257"/>
      <c r="G67" s="259"/>
      <c r="H67" s="257"/>
      <c r="I67" s="262"/>
      <c r="J67" s="263"/>
      <c r="K67" s="264"/>
      <c r="L67" s="265"/>
      <c r="M67" s="27"/>
      <c r="N67" s="526"/>
      <c r="O67" s="651"/>
      <c r="P67" s="526"/>
      <c r="Q67" s="526"/>
      <c r="R67" s="651"/>
      <c r="S67" s="526"/>
      <c r="T67" s="526"/>
      <c r="U67" s="651"/>
      <c r="V67" s="526"/>
      <c r="W67" s="526">
        <f t="shared" si="0"/>
        <v>0</v>
      </c>
      <c r="X67" s="526">
        <f t="shared" si="1"/>
        <v>0</v>
      </c>
    </row>
    <row r="68" spans="1:24" s="16" customFormat="1">
      <c r="A68" s="401" t="s">
        <v>2408</v>
      </c>
      <c r="B68" s="1" t="s">
        <v>467</v>
      </c>
      <c r="C68" s="21">
        <f>hbasins</f>
        <v>1</v>
      </c>
      <c r="D68" s="389" t="s">
        <v>64</v>
      </c>
      <c r="E68" s="400">
        <f>IF(hbasins=0,"NA",hbasin_vol)</f>
        <v>14661</v>
      </c>
      <c r="F68" s="21" t="str">
        <f>IF(C68=0,"","gal")</f>
        <v>gal</v>
      </c>
      <c r="G68" s="400">
        <f>IF(hbasins=0,"NA",hbasin_vol)</f>
        <v>14661</v>
      </c>
      <c r="H68" s="21" t="str">
        <f>IF(C68=0,"","gal")</f>
        <v>gal</v>
      </c>
      <c r="I68" s="391">
        <f>IF(hbasins=0,"NA",J68/hbasins)</f>
        <v>47532.277183994156</v>
      </c>
      <c r="J68" s="392">
        <f>IF(hbasins=0,"--",hconc_vol*VLOOKUP(0,conc_basin_cost_cl,3)+hexcavation_vol*VLOOKUP(0,excavate_cost_cl,3)+hbackfill_vol*VLOOKUP(0,backfill_cost_cl,3)+hrailing*VLOOKUP("aluminum railing",metal_cost_cl,3))</f>
        <v>47532.277183994156</v>
      </c>
      <c r="K68" s="403">
        <f>IF(hbasins=0,"NA",VLOOKUP(0,conc_basin_cost_cl,IF(ss_cat="large",4,5)))</f>
        <v>40</v>
      </c>
      <c r="L68" s="404">
        <v>0</v>
      </c>
      <c r="M68" s="27" t="str">
        <f>$B$67&amp;" - "&amp;B68</f>
        <v>Residuals Holding Tanks/Basins - Concrete Basins (includes Excavation, Backfill, and Compaction)</v>
      </c>
      <c r="N68" s="526">
        <v>3</v>
      </c>
      <c r="O68" s="526">
        <v>3</v>
      </c>
      <c r="P68" s="526">
        <v>2</v>
      </c>
      <c r="Q68" s="526">
        <v>3</v>
      </c>
      <c r="R68" s="526">
        <v>3</v>
      </c>
      <c r="S68" s="526">
        <v>2</v>
      </c>
      <c r="T68" s="526">
        <v>3</v>
      </c>
      <c r="U68" s="526">
        <v>3</v>
      </c>
      <c r="V68" s="526">
        <v>2</v>
      </c>
      <c r="W68" s="526">
        <f t="shared" si="0"/>
        <v>0</v>
      </c>
      <c r="X68" s="526">
        <f t="shared" si="1"/>
        <v>0</v>
      </c>
    </row>
    <row r="69" spans="1:24" s="16" customFormat="1">
      <c r="A69" s="401" t="s">
        <v>2408</v>
      </c>
      <c r="B69" s="1" t="s">
        <v>1265</v>
      </c>
      <c r="C69" s="21">
        <f>htanks</f>
        <v>1</v>
      </c>
      <c r="D69" s="389" t="s">
        <v>64</v>
      </c>
      <c r="E69" s="400">
        <f>IF(C69=0,"NA",htank_vol)</f>
        <v>9552</v>
      </c>
      <c r="F69" s="21" t="str">
        <f>IF(C69=0,"","gal")</f>
        <v>gal</v>
      </c>
      <c r="G69" s="400">
        <f>IF(htanks=0,"NA",IF(curve=1,htank_vol,VLOOKUP(htank_vol,st_bwt_cost_cl,2)))</f>
        <v>9552</v>
      </c>
      <c r="H69" s="21" t="str">
        <f>IF(C69=0,"","gal")</f>
        <v>gal</v>
      </c>
      <c r="I69" s="391">
        <f>IF(htanks=0,"NA",IF(curve=1,st_ht_eq,VLOOKUP(htank_vol,st_bwt_cost_cl,3)))</f>
        <v>30602.600782486101</v>
      </c>
      <c r="J69" s="392">
        <f>IF(OR(C69=0,I69="contact vendor"),"--",C69*I69)</f>
        <v>30602.600782486101</v>
      </c>
      <c r="K69" s="403">
        <f>IF(htanks=0,"NA",VLOOKUP(htank_vol,st_bwt_cost_cl,IF(ss_cat="large",4,5)))</f>
        <v>35</v>
      </c>
      <c r="L69" s="404">
        <v>0</v>
      </c>
      <c r="M69" s="27" t="str">
        <f>$B$67&amp;" - "&amp;B69</f>
        <v>Residuals Holding Tanks/Basins - Steel Tanks</v>
      </c>
      <c r="N69" s="526">
        <v>4</v>
      </c>
      <c r="O69" s="526">
        <v>4</v>
      </c>
      <c r="P69" s="526">
        <v>1</v>
      </c>
      <c r="Q69" s="526">
        <v>4</v>
      </c>
      <c r="R69" s="526">
        <v>4</v>
      </c>
      <c r="S69" s="526">
        <v>1</v>
      </c>
      <c r="T69" s="526">
        <v>4</v>
      </c>
      <c r="U69" s="526">
        <v>4</v>
      </c>
      <c r="V69" s="526">
        <v>1</v>
      </c>
      <c r="W69" s="526">
        <f t="shared" si="0"/>
        <v>0</v>
      </c>
      <c r="X69" s="526">
        <f t="shared" si="1"/>
        <v>0</v>
      </c>
    </row>
    <row r="70" spans="1:24" s="16" customFormat="1">
      <c r="A70" s="401" t="s">
        <v>2408</v>
      </c>
      <c r="B70" s="1" t="s">
        <v>1266</v>
      </c>
      <c r="C70" s="21">
        <f>htanks</f>
        <v>1</v>
      </c>
      <c r="D70" s="389" t="s">
        <v>64</v>
      </c>
      <c r="E70" s="400">
        <f>IF(C70=0,"NA",htank_vol)</f>
        <v>9552</v>
      </c>
      <c r="F70" s="21" t="str">
        <f>IF(C70=0,"","gal")</f>
        <v>gal</v>
      </c>
      <c r="G70" s="400">
        <f>IF(htanks=0,"NA",IF(curve=1,htank_vol,VLOOKUP(htank_vol,fg_bwt_cost_cl,2)))</f>
        <v>9552</v>
      </c>
      <c r="H70" s="21" t="str">
        <f>IF(C70=0,"","gal")</f>
        <v>gal</v>
      </c>
      <c r="I70" s="391">
        <f>IF(htanks=0,"NA",IF(curve=1,fg_ht_eq,VLOOKUP(htank_vol,fg_bwt_cost_cl,3)))</f>
        <v>58473.924014097152</v>
      </c>
      <c r="J70" s="392">
        <f>IF(OR(C70=0,I70="contact vendor"),"--",C70*I70)</f>
        <v>58473.924014097152</v>
      </c>
      <c r="K70" s="403">
        <f>IF(htanks=0,"NA",VLOOKUP(htank_vol,fg_bwt_cost_cl,IF(ss_cat="large",4,5)))</f>
        <v>25</v>
      </c>
      <c r="L70" s="404">
        <v>0</v>
      </c>
      <c r="M70" s="27" t="str">
        <f>$B$67&amp;" - "&amp;B70</f>
        <v>Residuals Holding Tanks/Basins - Fiberglass Tanks</v>
      </c>
      <c r="N70" s="526">
        <v>2</v>
      </c>
      <c r="O70" s="526">
        <v>1</v>
      </c>
      <c r="P70" s="526">
        <v>3</v>
      </c>
      <c r="Q70" s="526">
        <v>2</v>
      </c>
      <c r="R70" s="526">
        <v>1</v>
      </c>
      <c r="S70" s="526">
        <v>3</v>
      </c>
      <c r="T70" s="526">
        <v>2</v>
      </c>
      <c r="U70" s="526">
        <v>1</v>
      </c>
      <c r="V70" s="526">
        <v>3</v>
      </c>
      <c r="W70" s="526">
        <f t="shared" si="0"/>
        <v>0</v>
      </c>
      <c r="X70" s="526">
        <f t="shared" si="1"/>
        <v>0</v>
      </c>
    </row>
    <row r="71" spans="1:24" s="16" customFormat="1">
      <c r="A71" s="401" t="s">
        <v>2408</v>
      </c>
      <c r="B71" s="1" t="s">
        <v>1267</v>
      </c>
      <c r="C71" s="21">
        <f>htanks</f>
        <v>1</v>
      </c>
      <c r="D71" s="389" t="s">
        <v>64</v>
      </c>
      <c r="E71" s="400">
        <f>IF(C71=0,"NA",htank_vol)</f>
        <v>9552</v>
      </c>
      <c r="F71" s="21" t="str">
        <f>IF(C71=0,"","gal")</f>
        <v>gal</v>
      </c>
      <c r="G71" s="400">
        <f>IF(htanks=0,"NA",IF(curve=1,htank_vol,VLOOKUP(htank_vol,hdpe_bwt_cost_cl,2)))</f>
        <v>9552</v>
      </c>
      <c r="H71" s="21" t="str">
        <f>IF(C71=0,"","gal")</f>
        <v>gal</v>
      </c>
      <c r="I71" s="391">
        <f>IF(htanks=0,"NA",IF(curve=1,hdpe_ht_eq,VLOOKUP(htank_vol,hdpe_bwt_cost_cl,3)))</f>
        <v>18988.900494124002</v>
      </c>
      <c r="J71" s="392">
        <f>IF(OR(C71=0,I71="contact vendor"),"--",C71*I71)</f>
        <v>18988.900494124002</v>
      </c>
      <c r="K71" s="403">
        <f>IF(htanks=0,"NA",VLOOKUP(htank_vol,hdpe_bwt_cost_cl,IF(ss_cat="large",4,5)))</f>
        <v>25</v>
      </c>
      <c r="L71" s="404">
        <v>1</v>
      </c>
      <c r="M71" s="27" t="str">
        <f>$B$67&amp;" - "&amp;B71</f>
        <v>Residuals Holding Tanks/Basins - Plastic/HDPE Tanks</v>
      </c>
      <c r="N71" s="526">
        <v>1</v>
      </c>
      <c r="O71" s="526">
        <v>2</v>
      </c>
      <c r="P71" s="526">
        <v>4</v>
      </c>
      <c r="Q71" s="526">
        <v>1</v>
      </c>
      <c r="R71" s="526">
        <v>2</v>
      </c>
      <c r="S71" s="526">
        <v>4</v>
      </c>
      <c r="T71" s="526">
        <v>1</v>
      </c>
      <c r="U71" s="526">
        <v>2</v>
      </c>
      <c r="V71" s="526">
        <v>4</v>
      </c>
      <c r="W71" s="526">
        <f t="shared" si="0"/>
        <v>1</v>
      </c>
      <c r="X71" s="526">
        <f t="shared" si="1"/>
        <v>759.55601976496007</v>
      </c>
    </row>
    <row r="72" spans="1:24" s="16" customFormat="1">
      <c r="A72" s="571" t="s">
        <v>1954</v>
      </c>
      <c r="B72" s="844" t="s">
        <v>3376</v>
      </c>
      <c r="C72" s="628"/>
      <c r="D72" s="609"/>
      <c r="E72" s="274"/>
      <c r="F72" s="615"/>
      <c r="G72" s="629"/>
      <c r="H72" s="615"/>
      <c r="I72" s="274"/>
      <c r="J72" s="274"/>
      <c r="K72" s="274"/>
      <c r="L72" s="265"/>
      <c r="M72" s="27"/>
      <c r="N72" s="526"/>
      <c r="O72" s="526"/>
      <c r="P72" s="526"/>
      <c r="Q72" s="526"/>
      <c r="R72" s="526"/>
      <c r="S72" s="526"/>
      <c r="T72" s="526"/>
      <c r="U72" s="526"/>
      <c r="V72" s="526"/>
      <c r="W72" s="526">
        <f>IF(ISERROR(K72*L72),0,IF(K72&lt;1,0,L72))</f>
        <v>0</v>
      </c>
      <c r="X72" s="526">
        <f>IF(W72,J72/K72,0)</f>
        <v>0</v>
      </c>
    </row>
    <row r="73" spans="1:24" s="16" customFormat="1">
      <c r="A73" s="401" t="s">
        <v>1955</v>
      </c>
      <c r="B73" s="1" t="s">
        <v>2938</v>
      </c>
      <c r="C73" s="21">
        <f>coag_tanks</f>
        <v>0</v>
      </c>
      <c r="D73" s="397" t="s">
        <v>64</v>
      </c>
      <c r="E73" s="630" t="str">
        <f>IF(C73=0,"NA",coag_tank_vol)</f>
        <v>NA</v>
      </c>
      <c r="F73" s="1" t="str">
        <f>IF(C73=0,"","gal")</f>
        <v/>
      </c>
      <c r="G73" s="630" t="str">
        <f>IF(C73=0,"NA",IF(curve=1,coag_tank_vol,VLOOKUP(coag_tank_vol,pl_cst_cost_cl,2)))</f>
        <v>NA</v>
      </c>
      <c r="H73" s="480" t="str">
        <f>IF(C73=0,"","gal")</f>
        <v/>
      </c>
      <c r="I73" s="631" t="str">
        <f>IF(C73=0,"NA",IF(curve=1,pl_coag_st_eq,VLOOKUP(coag_tank_vol,pl_cst_cost_cl,3)))</f>
        <v>NA</v>
      </c>
      <c r="J73" s="410" t="str">
        <f>IF(OR(C73=0,I73="contact vendor"),"--",C73*I73)</f>
        <v>--</v>
      </c>
      <c r="K73" s="208" t="str">
        <f>IF(C73=0,"NA",VLOOKUP(coag_tank_vol,pl_cst_cost_cl,IF(ss_cat="large",4,5)))</f>
        <v>NA</v>
      </c>
      <c r="L73" s="407"/>
      <c r="M73" s="16" t="str">
        <f>$B$72&amp;" - "&amp;B73</f>
        <v>Ferric Chloride Storage Tanks - Plastic/XLPE</v>
      </c>
      <c r="N73" s="526">
        <v>1</v>
      </c>
      <c r="O73" s="526">
        <v>2</v>
      </c>
      <c r="P73" s="526">
        <v>2</v>
      </c>
      <c r="Q73" s="526">
        <v>1</v>
      </c>
      <c r="R73" s="526">
        <v>2</v>
      </c>
      <c r="S73" s="526">
        <v>2</v>
      </c>
      <c r="T73" s="526">
        <v>1</v>
      </c>
      <c r="U73" s="526">
        <v>2</v>
      </c>
      <c r="V73" s="526">
        <v>2</v>
      </c>
      <c r="W73" s="526">
        <f>IF(ISERROR(K73*L73),0,IF(K73&lt;1,0,L73))</f>
        <v>0</v>
      </c>
      <c r="X73" s="526">
        <f>IF(W73,J73/K73,0)</f>
        <v>0</v>
      </c>
    </row>
    <row r="74" spans="1:24" s="16" customFormat="1">
      <c r="A74" s="401" t="s">
        <v>1955</v>
      </c>
      <c r="B74" s="1" t="s">
        <v>1326</v>
      </c>
      <c r="C74" s="21">
        <f>coag_tanks</f>
        <v>0</v>
      </c>
      <c r="D74" s="397" t="s">
        <v>64</v>
      </c>
      <c r="E74" s="630" t="str">
        <f>IF(C74=0,"NA",coag_tank_vol)</f>
        <v>NA</v>
      </c>
      <c r="F74" s="1" t="str">
        <f>IF(C74=0,"","gal")</f>
        <v/>
      </c>
      <c r="G74" s="630" t="str">
        <f>IF(C74=0,"NA",IF(curve=1,coag_tank_vol,VLOOKUP(coag_tank_vol,fg_cst_cost_cl,2)))</f>
        <v>NA</v>
      </c>
      <c r="H74" s="480" t="str">
        <f>IF(C74=0,"","gal")</f>
        <v/>
      </c>
      <c r="I74" s="631" t="str">
        <f>IF(C74=0,"NA",IF(curve=1,fg_coag_st_eq,VLOOKUP(coag_tank_vol,fg_cst_cost_cl,3)))</f>
        <v>NA</v>
      </c>
      <c r="J74" s="410" t="str">
        <f>IF(OR(C74=0,I74="contact vendor"),"--",C74*I74)</f>
        <v>--</v>
      </c>
      <c r="K74" s="208" t="str">
        <f>IF(C74=0,"NA",VLOOKUP(coag_tank_vol,fg_cst_cost_cl,IF(ss_cat="large",4,5)))</f>
        <v>NA</v>
      </c>
      <c r="L74" s="407"/>
      <c r="M74" s="16" t="str">
        <f>$B$72&amp;" - "&amp;B74</f>
        <v>Ferric Chloride Storage Tanks - Fiberglass</v>
      </c>
      <c r="N74" s="526">
        <v>2</v>
      </c>
      <c r="O74" s="526">
        <v>1</v>
      </c>
      <c r="P74" s="526">
        <v>1</v>
      </c>
      <c r="Q74" s="526">
        <v>2</v>
      </c>
      <c r="R74" s="526">
        <v>1</v>
      </c>
      <c r="S74" s="526">
        <v>1</v>
      </c>
      <c r="T74" s="526">
        <v>2</v>
      </c>
      <c r="U74" s="526">
        <v>1</v>
      </c>
      <c r="V74" s="526">
        <v>1</v>
      </c>
      <c r="W74" s="526">
        <f>IF(ISERROR(K74*L74),0,IF(K74&lt;1,0,L74))</f>
        <v>0</v>
      </c>
      <c r="X74" s="526">
        <f>IF(W74,J74/K74,0)</f>
        <v>0</v>
      </c>
    </row>
    <row r="75" spans="1:24" s="16" customFormat="1">
      <c r="A75" s="252" t="s">
        <v>3396</v>
      </c>
      <c r="B75" s="21" t="s">
        <v>3174</v>
      </c>
      <c r="C75" s="21">
        <f>IF(OR(include_sec_cont=0,coag_tanks=0),0,coag_curb_concrete)</f>
        <v>0</v>
      </c>
      <c r="D75" s="389" t="s">
        <v>1349</v>
      </c>
      <c r="E75" s="400" t="s">
        <v>1343</v>
      </c>
      <c r="F75" s="21"/>
      <c r="G75" s="400" t="s">
        <v>1343</v>
      </c>
      <c r="H75" s="21"/>
      <c r="I75" s="391" t="str">
        <f>IF(C75=0,"NA",VLOOKUP(0,conc_basin_cost_cl,3))</f>
        <v>NA</v>
      </c>
      <c r="J75" s="392" t="str">
        <f>IF(C75=0,"--",IF(I75="contact vendor","--",C75*I75))</f>
        <v>--</v>
      </c>
      <c r="K75" s="394" t="str">
        <f>IF(C75=0,"NA",VLOOKUP(0,conc_basin_cost_cl,IF(ss_cat="large",4,5)))</f>
        <v>NA</v>
      </c>
      <c r="L75" s="393"/>
      <c r="M75" s="16" t="str">
        <f>$B$72&amp;" - "&amp;B75</f>
        <v>Ferric Chloride Storage Tanks - Secondary Containment - Concrete Curbing</v>
      </c>
      <c r="N75" s="526">
        <v>1</v>
      </c>
      <c r="O75" s="526">
        <v>1</v>
      </c>
      <c r="P75" s="526">
        <v>1</v>
      </c>
      <c r="Q75" s="526">
        <v>1</v>
      </c>
      <c r="R75" s="526">
        <v>1</v>
      </c>
      <c r="S75" s="526">
        <v>1</v>
      </c>
      <c r="T75" s="526">
        <v>1</v>
      </c>
      <c r="U75" s="526">
        <v>1</v>
      </c>
      <c r="V75" s="526">
        <v>1</v>
      </c>
      <c r="W75" s="526">
        <f>IF(ISERROR(K75*L75),0,IF(K75&lt;1,0,L75))</f>
        <v>0</v>
      </c>
      <c r="X75" s="526">
        <f>IF(W75,J75/K75,0)</f>
        <v>0</v>
      </c>
    </row>
    <row r="76" spans="1:24" s="16" customFormat="1">
      <c r="A76" s="252" t="s">
        <v>3397</v>
      </c>
      <c r="B76" s="21" t="s">
        <v>3176</v>
      </c>
      <c r="C76" s="21">
        <f>IF(OR(include_sec_cont=0,coag_tanks=0),0,coag_coating_gal)</f>
        <v>0</v>
      </c>
      <c r="D76" s="389" t="s">
        <v>1131</v>
      </c>
      <c r="E76" s="400" t="s">
        <v>1343</v>
      </c>
      <c r="F76" s="21"/>
      <c r="G76" s="400" t="s">
        <v>1343</v>
      </c>
      <c r="H76" s="21"/>
      <c r="I76" s="391" t="str">
        <f>IF(C76=0,"NA",VLOOKUP(0,conc_coating_cost_cl,3))</f>
        <v>NA</v>
      </c>
      <c r="J76" s="392" t="str">
        <f>IF(C76=0,"--",IF(I76="contact vendor","--",C76*I76))</f>
        <v>--</v>
      </c>
      <c r="K76" s="394" t="str">
        <f>IF(C76=0,"NA",VLOOKUP(0,conc_coating_cost_cl,IF(ss_cat="large",4,5)))</f>
        <v>NA</v>
      </c>
      <c r="L76" s="393"/>
      <c r="M76" s="16" t="str">
        <f>$B$72&amp;" - "&amp;B76</f>
        <v>Ferric Chloride Storage Tanks - Secondary Containment - Chemical Resistant Coating</v>
      </c>
      <c r="N76" s="526">
        <v>1</v>
      </c>
      <c r="O76" s="526">
        <v>1</v>
      </c>
      <c r="P76" s="526">
        <v>1</v>
      </c>
      <c r="Q76" s="526">
        <v>1</v>
      </c>
      <c r="R76" s="526">
        <v>1</v>
      </c>
      <c r="S76" s="526">
        <v>1</v>
      </c>
      <c r="T76" s="526">
        <v>1</v>
      </c>
      <c r="U76" s="526">
        <v>1</v>
      </c>
      <c r="V76" s="526">
        <v>1</v>
      </c>
      <c r="W76" s="526">
        <f>IF(ISERROR(K76*L76),0,IF(K76&lt;1,0,L76))</f>
        <v>0</v>
      </c>
      <c r="X76" s="526">
        <f>IF(W76,J76/K76,0)</f>
        <v>0</v>
      </c>
    </row>
    <row r="77" spans="1:24" s="16" customFormat="1">
      <c r="A77" s="571">
        <v>3.7</v>
      </c>
      <c r="B77" s="41" t="s">
        <v>1367</v>
      </c>
      <c r="C77" s="628"/>
      <c r="D77" s="609"/>
      <c r="E77" s="274"/>
      <c r="F77" s="615"/>
      <c r="G77" s="629"/>
      <c r="H77" s="615"/>
      <c r="I77" s="274"/>
      <c r="J77" s="274"/>
      <c r="K77" s="274"/>
      <c r="L77" s="265"/>
      <c r="M77" s="27"/>
      <c r="N77" s="526"/>
      <c r="O77" s="526"/>
      <c r="P77" s="526"/>
      <c r="Q77" s="526"/>
      <c r="R77" s="526"/>
      <c r="S77" s="526"/>
      <c r="T77" s="526"/>
      <c r="U77" s="526"/>
      <c r="V77" s="526"/>
      <c r="W77" s="526">
        <f t="shared" si="0"/>
        <v>0</v>
      </c>
      <c r="X77" s="526">
        <f t="shared" si="1"/>
        <v>0</v>
      </c>
    </row>
    <row r="78" spans="1:24" s="16" customFormat="1">
      <c r="A78" s="401" t="s">
        <v>3395</v>
      </c>
      <c r="B78" s="1" t="s">
        <v>2938</v>
      </c>
      <c r="C78" s="21">
        <f>polymer_tanks</f>
        <v>0</v>
      </c>
      <c r="D78" s="397" t="s">
        <v>64</v>
      </c>
      <c r="E78" s="630" t="str">
        <f>IF(C78=0,"NA",polymer_tank_vol)</f>
        <v>NA</v>
      </c>
      <c r="F78" s="1" t="str">
        <f>IF(C78=0,"","gal")</f>
        <v/>
      </c>
      <c r="G78" s="630" t="str">
        <f>IF(C78=0,"NA",IF(curve=1,polymer_tank_vol,VLOOKUP(polymer_tank_vol,pl_cst_cost_cl,2)))</f>
        <v>NA</v>
      </c>
      <c r="H78" s="480" t="str">
        <f>IF(C78=0,"","gal")</f>
        <v/>
      </c>
      <c r="I78" s="631" t="str">
        <f>IF(C78=0,"NA",IF(curve=1,pl_polymer_st_eq,VLOOKUP(polymer_tank_vol,pl_cst_cost_cl,3)))</f>
        <v>NA</v>
      </c>
      <c r="J78" s="410" t="str">
        <f>IF(OR(C78=0,I78="contact vendor"),"--",C78*I78)</f>
        <v>--</v>
      </c>
      <c r="K78" s="208" t="str">
        <f>IF(C78=0,"NA",VLOOKUP(polymer_tank_vol,pl_cst_cost_cl,IF(ss_cat="large",4,5)))</f>
        <v>NA</v>
      </c>
      <c r="L78" s="407"/>
      <c r="M78" s="16" t="str">
        <f>$B$77&amp;" - "&amp;B78</f>
        <v>Polymer Storage Tanks - Plastic/XLPE</v>
      </c>
      <c r="N78" s="526">
        <v>1</v>
      </c>
      <c r="O78" s="526">
        <v>2</v>
      </c>
      <c r="P78" s="526">
        <v>3</v>
      </c>
      <c r="Q78" s="526">
        <v>1</v>
      </c>
      <c r="R78" s="526">
        <v>2</v>
      </c>
      <c r="S78" s="526">
        <v>3</v>
      </c>
      <c r="T78" s="526">
        <v>1</v>
      </c>
      <c r="U78" s="526">
        <v>2</v>
      </c>
      <c r="V78" s="526">
        <v>3</v>
      </c>
      <c r="W78" s="526">
        <f t="shared" si="0"/>
        <v>0</v>
      </c>
      <c r="X78" s="526">
        <f t="shared" si="1"/>
        <v>0</v>
      </c>
    </row>
    <row r="79" spans="1:24" s="16" customFormat="1">
      <c r="A79" s="401" t="s">
        <v>3395</v>
      </c>
      <c r="B79" s="1" t="s">
        <v>1326</v>
      </c>
      <c r="C79" s="21">
        <f>polymer_tanks</f>
        <v>0</v>
      </c>
      <c r="D79" s="397" t="s">
        <v>64</v>
      </c>
      <c r="E79" s="630" t="str">
        <f>IF(C79=0,"NA",polymer_tank_vol)</f>
        <v>NA</v>
      </c>
      <c r="F79" s="1" t="str">
        <f>IF(C79=0,"","gal")</f>
        <v/>
      </c>
      <c r="G79" s="630" t="str">
        <f>IF(C79=0,"NA",IF(curve=1,polymer_tank_vol,VLOOKUP(polymer_tank_vol,fg_cst_cost_cl,2)))</f>
        <v>NA</v>
      </c>
      <c r="H79" s="480" t="str">
        <f>IF(C79=0,"","gal")</f>
        <v/>
      </c>
      <c r="I79" s="631" t="str">
        <f>IF(C79=0,"NA",IF(curve=1,fg_polymer_st_eq,VLOOKUP(polymer_tank_vol,fg_cst_cost_cl,3)))</f>
        <v>NA</v>
      </c>
      <c r="J79" s="410" t="str">
        <f>IF(OR(C79=0,I79="contact vendor"),"--",C79*I79)</f>
        <v>--</v>
      </c>
      <c r="K79" s="208" t="str">
        <f>IF(C79=0,"NA",VLOOKUP(polymer_tank_vol,fg_cst_cost_cl,IF(ss_cat="large",4,5)))</f>
        <v>NA</v>
      </c>
      <c r="L79" s="407"/>
      <c r="M79" s="16" t="str">
        <f>$B$77&amp;" - "&amp;B79</f>
        <v>Polymer Storage Tanks - Fiberglass</v>
      </c>
      <c r="N79" s="526">
        <v>2</v>
      </c>
      <c r="O79" s="526">
        <v>1</v>
      </c>
      <c r="P79" s="526">
        <v>2</v>
      </c>
      <c r="Q79" s="526">
        <v>2</v>
      </c>
      <c r="R79" s="526">
        <v>1</v>
      </c>
      <c r="S79" s="526">
        <v>2</v>
      </c>
      <c r="T79" s="526">
        <v>2</v>
      </c>
      <c r="U79" s="526">
        <v>1</v>
      </c>
      <c r="V79" s="526">
        <v>2</v>
      </c>
      <c r="W79" s="526">
        <f t="shared" si="0"/>
        <v>0</v>
      </c>
      <c r="X79" s="526">
        <f t="shared" si="1"/>
        <v>0</v>
      </c>
    </row>
    <row r="80" spans="1:24" s="16" customFormat="1">
      <c r="A80" s="401" t="s">
        <v>3395</v>
      </c>
      <c r="B80" s="1" t="s">
        <v>2582</v>
      </c>
      <c r="C80" s="21">
        <f>polymer_tanks</f>
        <v>0</v>
      </c>
      <c r="D80" s="397" t="s">
        <v>64</v>
      </c>
      <c r="E80" s="630" t="str">
        <f>IF(C80=0,"NA",polymer_tank_vol)</f>
        <v>NA</v>
      </c>
      <c r="F80" s="1" t="str">
        <f>IF(C80=0,"","gal")</f>
        <v/>
      </c>
      <c r="G80" s="630" t="str">
        <f>IF(C80=0,"NA",IF(curve=1,polymer_tank_vol,VLOOKUP(polymer_tank_vol,ss_cst_cost_cl,2)))</f>
        <v>NA</v>
      </c>
      <c r="H80" s="480" t="str">
        <f>IF(C80=0,"","gal")</f>
        <v/>
      </c>
      <c r="I80" s="631" t="str">
        <f>IF(C80=0,"NA",IF(curve=1,ss_polymer_st_eq,VLOOKUP(polymer_tank_vol,ss_cst_cost_cl,3)))</f>
        <v>NA</v>
      </c>
      <c r="J80" s="410" t="str">
        <f>IF(OR(C80=0,I80="contact vendor"),"--",C80*I80)</f>
        <v>--</v>
      </c>
      <c r="K80" s="208" t="str">
        <f>IF(C80=0,"NA",VLOOKUP(polymer_tank_vol,ss_cst_cost_cl,IF(ss_cat="large",4,5)))</f>
        <v>NA</v>
      </c>
      <c r="L80" s="407"/>
      <c r="M80" s="16" t="str">
        <f>$B$77&amp;" - "&amp;B80</f>
        <v>Polymer Storage Tanks - Stainless Steel</v>
      </c>
      <c r="N80" s="526">
        <v>3</v>
      </c>
      <c r="O80" s="526">
        <v>3</v>
      </c>
      <c r="P80" s="526">
        <v>1</v>
      </c>
      <c r="Q80" s="526">
        <v>3</v>
      </c>
      <c r="R80" s="526">
        <v>3</v>
      </c>
      <c r="S80" s="526">
        <v>1</v>
      </c>
      <c r="T80" s="526">
        <v>3</v>
      </c>
      <c r="U80" s="526">
        <v>3</v>
      </c>
      <c r="V80" s="526">
        <v>1</v>
      </c>
      <c r="W80" s="526">
        <f t="shared" si="0"/>
        <v>0</v>
      </c>
      <c r="X80" s="526">
        <f t="shared" si="1"/>
        <v>0</v>
      </c>
    </row>
    <row r="81" spans="1:24" s="16" customFormat="1">
      <c r="A81" s="483">
        <v>4</v>
      </c>
      <c r="B81" s="28" t="s">
        <v>785</v>
      </c>
      <c r="C81" s="28"/>
      <c r="D81" s="253"/>
      <c r="E81" s="255"/>
      <c r="F81" s="28"/>
      <c r="G81" s="255"/>
      <c r="H81" s="28"/>
      <c r="I81" s="256"/>
      <c r="J81" s="256"/>
      <c r="K81" s="28"/>
      <c r="L81" s="254"/>
      <c r="N81" s="651"/>
      <c r="O81" s="651"/>
      <c r="P81" s="651"/>
      <c r="Q81" s="651"/>
      <c r="R81" s="651"/>
      <c r="S81" s="651"/>
      <c r="T81" s="651"/>
      <c r="U81" s="651"/>
      <c r="V81" s="651"/>
      <c r="W81" s="526">
        <f t="shared" si="0"/>
        <v>0</v>
      </c>
      <c r="X81" s="526">
        <f t="shared" si="1"/>
        <v>0</v>
      </c>
    </row>
    <row r="82" spans="1:24" s="16" customFormat="1">
      <c r="A82" s="484">
        <v>4.0999999999999996</v>
      </c>
      <c r="B82" s="388" t="s">
        <v>785</v>
      </c>
      <c r="C82" s="208">
        <f>num_filters</f>
        <v>3</v>
      </c>
      <c r="D82" s="478" t="s">
        <v>64</v>
      </c>
      <c r="E82" s="479">
        <f>filter_size</f>
        <v>1.0760000000000001</v>
      </c>
      <c r="F82" s="480" t="s">
        <v>51</v>
      </c>
      <c r="G82" s="479">
        <f>IF(curve=1,filter_size,VLOOKUP(filter_size,cart_cost_cl,2))</f>
        <v>1.0760000000000001</v>
      </c>
      <c r="H82" s="480" t="s">
        <v>51</v>
      </c>
      <c r="I82" s="481">
        <f>IF(C82=0,0,IF(curve=1,cart_eq,VLOOKUP(filter_size,cart_cost_cl,3)))</f>
        <v>18343.374722291886</v>
      </c>
      <c r="J82" s="410">
        <f>IF(C82=0,"--",IF(I82="contact vendor","--",C82*I82))</f>
        <v>55030.124166875656</v>
      </c>
      <c r="K82" s="208">
        <f>IF(C82=0,"NA",VLOOKUP(E82,cart_cost_cl,IF(ss_cat="large",4,5)))</f>
        <v>35</v>
      </c>
      <c r="L82" s="407">
        <v>1</v>
      </c>
      <c r="M82" s="482" t="str">
        <f>$B$81&amp;" - "&amp;B82</f>
        <v>Cartridge Filters - Cartridge Filters</v>
      </c>
      <c r="N82" s="651">
        <v>1</v>
      </c>
      <c r="O82" s="651">
        <v>1</v>
      </c>
      <c r="P82" s="651">
        <v>1</v>
      </c>
      <c r="Q82" s="651">
        <v>1</v>
      </c>
      <c r="R82" s="651">
        <v>1</v>
      </c>
      <c r="S82" s="651">
        <v>1</v>
      </c>
      <c r="T82" s="651">
        <v>1</v>
      </c>
      <c r="U82" s="651">
        <v>1</v>
      </c>
      <c r="V82" s="651">
        <v>1</v>
      </c>
      <c r="W82" s="526">
        <f t="shared" si="0"/>
        <v>1</v>
      </c>
      <c r="X82" s="526">
        <f t="shared" si="1"/>
        <v>1572.2892619107331</v>
      </c>
    </row>
    <row r="83" spans="1:24" s="16" customFormat="1">
      <c r="A83" s="483">
        <v>5</v>
      </c>
      <c r="B83" s="28" t="s">
        <v>1328</v>
      </c>
      <c r="C83" s="28"/>
      <c r="D83" s="253"/>
      <c r="E83" s="28"/>
      <c r="F83" s="28"/>
      <c r="G83" s="28"/>
      <c r="H83" s="28"/>
      <c r="I83" s="256"/>
      <c r="J83" s="256"/>
      <c r="K83" s="28"/>
      <c r="L83" s="254"/>
      <c r="N83" s="651"/>
      <c r="O83" s="651"/>
      <c r="P83" s="651"/>
      <c r="Q83" s="651"/>
      <c r="R83" s="651"/>
      <c r="S83" s="651"/>
      <c r="T83" s="651"/>
      <c r="U83" s="651"/>
      <c r="V83" s="651"/>
      <c r="W83" s="526">
        <f t="shared" si="0"/>
        <v>0</v>
      </c>
      <c r="X83" s="526">
        <f t="shared" si="1"/>
        <v>0</v>
      </c>
    </row>
    <row r="84" spans="1:24" s="16" customFormat="1">
      <c r="A84" s="485">
        <v>5.0999999999999996</v>
      </c>
      <c r="B84" s="29" t="s">
        <v>1335</v>
      </c>
      <c r="C84" s="257"/>
      <c r="D84" s="258"/>
      <c r="E84" s="257"/>
      <c r="F84" s="257"/>
      <c r="G84" s="257"/>
      <c r="H84" s="257"/>
      <c r="I84" s="260"/>
      <c r="J84" s="260"/>
      <c r="K84" s="257"/>
      <c r="L84" s="261"/>
      <c r="N84" s="651"/>
      <c r="O84" s="651"/>
      <c r="P84" s="651"/>
      <c r="Q84" s="651"/>
      <c r="R84" s="651"/>
      <c r="S84" s="651"/>
      <c r="T84" s="651"/>
      <c r="U84" s="651"/>
      <c r="V84" s="651"/>
      <c r="W84" s="526">
        <f t="shared" si="0"/>
        <v>0</v>
      </c>
      <c r="X84" s="526">
        <f t="shared" si="1"/>
        <v>0</v>
      </c>
    </row>
    <row r="85" spans="1:24" s="16" customFormat="1">
      <c r="A85" s="252" t="s">
        <v>2409</v>
      </c>
      <c r="B85" s="21" t="s">
        <v>1332</v>
      </c>
      <c r="C85" s="21">
        <f>back_pipe_length</f>
        <v>150</v>
      </c>
      <c r="D85" s="389" t="s">
        <v>1330</v>
      </c>
      <c r="E85" s="394">
        <f>IF(back_pipe_length=0,"NA",back_pipe_diam)</f>
        <v>6</v>
      </c>
      <c r="F85" s="21" t="str">
        <f>IF(back_pipe_length=0,"","in. diam")</f>
        <v>in. diam</v>
      </c>
      <c r="G85" s="394">
        <f>IF(back_pipe_length=0,"NA",IF(curve=1,back_pipe_diam,VLOOKUP(back_pipe_diam,cpvc_pipe_cost_cl,2)))</f>
        <v>6</v>
      </c>
      <c r="H85" s="21" t="str">
        <f>IF(back_pipe_length=0,"","in. diam")</f>
        <v>in. diam</v>
      </c>
      <c r="I85" s="395">
        <f>IF(back_pipe_length=0,"NA",IF(curve=1,cpvc_pipe_eq_back,VLOOKUP(back_pipe_diam,cpvc_pipe_cost_cl,3)))</f>
        <v>46.607783347999998</v>
      </c>
      <c r="J85" s="392">
        <f>IF(back_pipe_length=0,"--",IF(I85="contact vendor","--",C85*I85))</f>
        <v>6991.1675021999999</v>
      </c>
      <c r="K85" s="394">
        <f>IF(back_pipe_length=0,"NA",VLOOKUP(back_pipe_diam,cpvc_pipe_cost_cl,IF(ss_cat="large",4,5)))</f>
        <v>22</v>
      </c>
      <c r="L85" s="393">
        <v>0</v>
      </c>
      <c r="M85" s="16" t="str">
        <f>$B$84&amp;" - "&amp;B85</f>
        <v>Backwash Piping - CPVC</v>
      </c>
      <c r="N85" s="526">
        <v>2</v>
      </c>
      <c r="O85" s="526">
        <v>1</v>
      </c>
      <c r="P85" s="526">
        <v>3</v>
      </c>
      <c r="Q85" s="526">
        <v>2</v>
      </c>
      <c r="R85" s="526">
        <v>1</v>
      </c>
      <c r="S85" s="526">
        <v>3</v>
      </c>
      <c r="T85" s="526">
        <v>2</v>
      </c>
      <c r="U85" s="526">
        <v>1</v>
      </c>
      <c r="V85" s="526">
        <v>3</v>
      </c>
      <c r="W85" s="526">
        <f t="shared" si="0"/>
        <v>0</v>
      </c>
      <c r="X85" s="526">
        <f t="shared" si="1"/>
        <v>0</v>
      </c>
    </row>
    <row r="86" spans="1:24" s="16" customFormat="1">
      <c r="A86" s="252" t="s">
        <v>2409</v>
      </c>
      <c r="B86" s="21" t="s">
        <v>1333</v>
      </c>
      <c r="C86" s="21">
        <f>back_pipe_length</f>
        <v>150</v>
      </c>
      <c r="D86" s="389" t="s">
        <v>1330</v>
      </c>
      <c r="E86" s="394">
        <f>IF(back_pipe_length=0,"NA",back_pipe_diam)</f>
        <v>6</v>
      </c>
      <c r="F86" s="21" t="str">
        <f>IF(back_pipe_length=0,"","in. diam")</f>
        <v>in. diam</v>
      </c>
      <c r="G86" s="394">
        <f>IF(back_pipe_length=0,"NA",IF(curve=1,back_pipe_diam,VLOOKUP(back_pipe_diam,pvc_pipe_cost_cl,2)))</f>
        <v>6</v>
      </c>
      <c r="H86" s="21" t="str">
        <f>IF(back_pipe_length=0,"","in. diam")</f>
        <v>in. diam</v>
      </c>
      <c r="I86" s="395">
        <f>IF(back_pipe_length=0,"NA",IF(curve=1,pvc_pipe_eq_back,VLOOKUP(back_pipe_diam,pvc_pipe_cost_cl,3)))</f>
        <v>9.7294354409999997</v>
      </c>
      <c r="J86" s="392">
        <f>IF(back_pipe_length=0,"--",IF(I86="contact vendor","--",C86*I86))</f>
        <v>1459.4153161499999</v>
      </c>
      <c r="K86" s="394">
        <f>IF(back_pipe_length=0,"NA",VLOOKUP(back_pipe_diam,pvc_pipe_cost_cl,IF(ss_cat="large",4,5)))</f>
        <v>22</v>
      </c>
      <c r="L86" s="393">
        <v>1</v>
      </c>
      <c r="M86" s="16" t="str">
        <f>$B$84&amp;" - "&amp;B86</f>
        <v>Backwash Piping - PVC</v>
      </c>
      <c r="N86" s="526">
        <v>1</v>
      </c>
      <c r="O86" s="651">
        <v>2</v>
      </c>
      <c r="P86" s="526">
        <v>4</v>
      </c>
      <c r="Q86" s="526">
        <v>1</v>
      </c>
      <c r="R86" s="651">
        <v>2</v>
      </c>
      <c r="S86" s="526">
        <v>4</v>
      </c>
      <c r="T86" s="526">
        <v>1</v>
      </c>
      <c r="U86" s="651">
        <v>2</v>
      </c>
      <c r="V86" s="526">
        <v>4</v>
      </c>
      <c r="W86" s="526">
        <f t="shared" si="0"/>
        <v>1</v>
      </c>
      <c r="X86" s="526">
        <f t="shared" si="1"/>
        <v>66.337059824999997</v>
      </c>
    </row>
    <row r="87" spans="1:24" s="16" customFormat="1">
      <c r="A87" s="252" t="s">
        <v>2409</v>
      </c>
      <c r="B87" s="21" t="s">
        <v>2582</v>
      </c>
      <c r="C87" s="21">
        <f>back_pipe_length</f>
        <v>150</v>
      </c>
      <c r="D87" s="389" t="s">
        <v>1330</v>
      </c>
      <c r="E87" s="394">
        <f>IF(back_pipe_length=0,"NA",back_pipe_diam)</f>
        <v>6</v>
      </c>
      <c r="F87" s="21" t="str">
        <f>IF(back_pipe_length=0,"","in. diam")</f>
        <v>in. diam</v>
      </c>
      <c r="G87" s="394">
        <f>IF(back_pipe_length=0,"NA",IF(curve=1,back_pipe_diam,VLOOKUP(back_pipe_diam,ss_pipe_cost_cl,2)))</f>
        <v>6</v>
      </c>
      <c r="H87" s="21" t="str">
        <f>IF(back_pipe_length=0,"","in. diam")</f>
        <v>in. diam</v>
      </c>
      <c r="I87" s="395">
        <f>IF(back_pipe_length=0,"NA",IF(curve=1,ss_pipe_eq_back,VLOOKUP(back_pipe_diam,ss_pipe_cost_cl,3)))</f>
        <v>258.55539581699992</v>
      </c>
      <c r="J87" s="392">
        <f>IF(back_pipe_length=0,"--",IF(I87="contact vendor","--",C87*I87))</f>
        <v>38783.309372549986</v>
      </c>
      <c r="K87" s="394">
        <f>IF(back_pipe_length=0,"NA",VLOOKUP(back_pipe_diam,ss_pipe_cost_cl,IF(ss_cat="large",4,5)))</f>
        <v>45</v>
      </c>
      <c r="L87" s="393">
        <v>0</v>
      </c>
      <c r="M87" s="16" t="str">
        <f>$B$84&amp;" - "&amp;B87</f>
        <v>Backwash Piping - Stainless Steel</v>
      </c>
      <c r="N87" s="526">
        <v>4</v>
      </c>
      <c r="O87" s="651">
        <v>4</v>
      </c>
      <c r="P87" s="526">
        <v>1</v>
      </c>
      <c r="Q87" s="526">
        <v>4</v>
      </c>
      <c r="R87" s="651">
        <v>4</v>
      </c>
      <c r="S87" s="526">
        <v>1</v>
      </c>
      <c r="T87" s="526">
        <v>4</v>
      </c>
      <c r="U87" s="651">
        <v>4</v>
      </c>
      <c r="V87" s="526">
        <v>1</v>
      </c>
      <c r="W87" s="526">
        <f t="shared" si="0"/>
        <v>0</v>
      </c>
      <c r="X87" s="526">
        <f t="shared" si="1"/>
        <v>0</v>
      </c>
    </row>
    <row r="88" spans="1:24" s="16" customFormat="1">
      <c r="A88" s="252" t="s">
        <v>2409</v>
      </c>
      <c r="B88" s="21" t="s">
        <v>1334</v>
      </c>
      <c r="C88" s="21">
        <f>back_pipe_length</f>
        <v>150</v>
      </c>
      <c r="D88" s="389" t="s">
        <v>1330</v>
      </c>
      <c r="E88" s="394">
        <f>IF(back_pipe_length=0,"NA",back_pipe_diam)</f>
        <v>6</v>
      </c>
      <c r="F88" s="21" t="str">
        <f>IF(back_pipe_length=0,"","in. diam")</f>
        <v>in. diam</v>
      </c>
      <c r="G88" s="394">
        <f>IF(back_pipe_length=0,"NA",IF(curve=1,back_pipe_diam,VLOOKUP(back_pipe_diam,st_pipe_cost_cl,2)))</f>
        <v>6</v>
      </c>
      <c r="H88" s="21" t="str">
        <f>IF(back_pipe_length=0,"","in. diam")</f>
        <v>in. diam</v>
      </c>
      <c r="I88" s="395">
        <f>IF(back_pipe_length=0,"NA",IF(curve=1,st_pipe_eq_back,VLOOKUP(back_pipe_diam,st_pipe_cost_cl,3)))</f>
        <v>108.71702273657689</v>
      </c>
      <c r="J88" s="392">
        <f>IF(back_pipe_length=0,"--",IF(I88="contact vendor","--",C88*I88))</f>
        <v>16307.553410486535</v>
      </c>
      <c r="K88" s="394">
        <f>IF(back_pipe_length=0,"NA",VLOOKUP(back_pipe_diam,st_pipe_cost_cl,IF(ss_cat="large",4,5)))</f>
        <v>35</v>
      </c>
      <c r="L88" s="393">
        <v>0</v>
      </c>
      <c r="M88" s="16" t="str">
        <f>$B$84&amp;" - "&amp;B88</f>
        <v>Backwash Piping - Steel</v>
      </c>
      <c r="N88" s="526">
        <v>3</v>
      </c>
      <c r="O88" s="651">
        <v>3</v>
      </c>
      <c r="P88" s="526">
        <v>2</v>
      </c>
      <c r="Q88" s="526">
        <v>3</v>
      </c>
      <c r="R88" s="651">
        <v>3</v>
      </c>
      <c r="S88" s="526">
        <v>2</v>
      </c>
      <c r="T88" s="526">
        <v>3</v>
      </c>
      <c r="U88" s="651">
        <v>3</v>
      </c>
      <c r="V88" s="526">
        <v>2</v>
      </c>
      <c r="W88" s="526">
        <f t="shared" si="0"/>
        <v>0</v>
      </c>
      <c r="X88" s="526">
        <f t="shared" si="1"/>
        <v>0</v>
      </c>
    </row>
    <row r="89" spans="1:24" s="16" customFormat="1">
      <c r="A89" s="485">
        <v>5.2</v>
      </c>
      <c r="B89" s="29" t="s">
        <v>1461</v>
      </c>
      <c r="C89" s="257"/>
      <c r="D89" s="258"/>
      <c r="E89" s="257"/>
      <c r="F89" s="257"/>
      <c r="G89" s="257"/>
      <c r="H89" s="257"/>
      <c r="I89" s="260"/>
      <c r="J89" s="260"/>
      <c r="K89" s="257"/>
      <c r="L89" s="261"/>
      <c r="N89" s="651"/>
      <c r="O89" s="651"/>
      <c r="P89" s="651"/>
      <c r="Q89" s="651"/>
      <c r="R89" s="651"/>
      <c r="S89" s="651"/>
      <c r="T89" s="651"/>
      <c r="U89" s="651"/>
      <c r="V89" s="651"/>
      <c r="W89" s="526">
        <f t="shared" si="0"/>
        <v>0</v>
      </c>
      <c r="X89" s="526">
        <f t="shared" si="1"/>
        <v>0</v>
      </c>
    </row>
    <row r="90" spans="1:24" s="16" customFormat="1">
      <c r="A90" s="252" t="s">
        <v>2410</v>
      </c>
      <c r="B90" s="21" t="s">
        <v>1332</v>
      </c>
      <c r="C90" s="21">
        <f>brine_pipe_length</f>
        <v>0</v>
      </c>
      <c r="D90" s="389" t="s">
        <v>1330</v>
      </c>
      <c r="E90" s="394" t="str">
        <f>IF(brine_pipe_length=0,"NA",brine_pipe_diam)</f>
        <v>NA</v>
      </c>
      <c r="F90" s="21" t="str">
        <f>IF(brine_pipe_length=0,"","in. diam")</f>
        <v/>
      </c>
      <c r="G90" s="394" t="str">
        <f>IF(brine_pipe_length=0,"NA",IF(curve=1,brine_pipe_diam,VLOOKUP(brine_pipe_diam,cpvc_pipe_cost_cl,2)))</f>
        <v>NA</v>
      </c>
      <c r="H90" s="21" t="str">
        <f>IF(brine_pipe_length=0,"","in. diam")</f>
        <v/>
      </c>
      <c r="I90" s="395" t="str">
        <f>IF(brine_pipe_length=0,"NA",IF(curve=1,cpvc_pipe_eq_brine,VLOOKUP(brine_pipe_diam,cpvc_pipe_cost_cl,3)))</f>
        <v>NA</v>
      </c>
      <c r="J90" s="392" t="str">
        <f>IF(brine_pipe_length=0,"--",IF(I90="contact vendor","--",C90*I90))</f>
        <v>--</v>
      </c>
      <c r="K90" s="394" t="str">
        <f>IF(brine_pipe_length=0,"NA",VLOOKUP(brine_pipe_diam,cpvc_pipe_cost_cl,IF(ss_cat="large",4,5)))</f>
        <v>NA</v>
      </c>
      <c r="L90" s="393"/>
      <c r="M90" s="16" t="str">
        <f>$B$89&amp;" - "&amp;B90</f>
        <v>Regenerant Piping - CPVC</v>
      </c>
      <c r="N90" s="526">
        <v>2</v>
      </c>
      <c r="O90" s="651">
        <v>1</v>
      </c>
      <c r="P90" s="526">
        <v>2</v>
      </c>
      <c r="Q90" s="526">
        <v>2</v>
      </c>
      <c r="R90" s="651">
        <v>1</v>
      </c>
      <c r="S90" s="526">
        <v>2</v>
      </c>
      <c r="T90" s="526">
        <v>2</v>
      </c>
      <c r="U90" s="651">
        <v>1</v>
      </c>
      <c r="V90" s="526">
        <v>2</v>
      </c>
      <c r="W90" s="526">
        <f t="shared" si="0"/>
        <v>0</v>
      </c>
      <c r="X90" s="526">
        <f t="shared" si="1"/>
        <v>0</v>
      </c>
    </row>
    <row r="91" spans="1:24" s="16" customFormat="1">
      <c r="A91" s="252" t="s">
        <v>2410</v>
      </c>
      <c r="B91" s="21" t="s">
        <v>1333</v>
      </c>
      <c r="C91" s="21">
        <f>brine_pipe_length</f>
        <v>0</v>
      </c>
      <c r="D91" s="389" t="s">
        <v>1330</v>
      </c>
      <c r="E91" s="394" t="str">
        <f>IF(brine_pipe_length=0,"NA",brine_pipe_diam)</f>
        <v>NA</v>
      </c>
      <c r="F91" s="21" t="str">
        <f>IF(brine_pipe_length=0,"","in. diam")</f>
        <v/>
      </c>
      <c r="G91" s="394" t="str">
        <f>IF(brine_pipe_length=0,"NA",IF(curve=1,brine_pipe_diam,VLOOKUP(brine_pipe_diam,pvc_pipe_cost_cl,2)))</f>
        <v>NA</v>
      </c>
      <c r="H91" s="21" t="str">
        <f>IF(brine_pipe_length=0,"","in. diam")</f>
        <v/>
      </c>
      <c r="I91" s="395" t="str">
        <f>IF(brine_pipe_length=0,"NA",IF(curve=1,pvc_pipe_eq_brine,VLOOKUP(brine_pipe_diam,pvc_pipe_cost_cl,3)))</f>
        <v>NA</v>
      </c>
      <c r="J91" s="392" t="str">
        <f>IF(brine_pipe_length=0,"--",IF(I91="contact vendor","--",C91*I91))</f>
        <v>--</v>
      </c>
      <c r="K91" s="394" t="str">
        <f>IF(brine_pipe_length=0,"NA",VLOOKUP(brine_pipe_diam,pvc_pipe_cost_cl,IF(ss_cat="large",4,5)))</f>
        <v>NA</v>
      </c>
      <c r="L91" s="393"/>
      <c r="M91" s="16" t="str">
        <f>$B$89&amp;" - "&amp;B91</f>
        <v>Regenerant Piping - PVC</v>
      </c>
      <c r="N91" s="526">
        <v>1</v>
      </c>
      <c r="O91" s="651">
        <v>2</v>
      </c>
      <c r="P91" s="526">
        <v>3</v>
      </c>
      <c r="Q91" s="526">
        <v>1</v>
      </c>
      <c r="R91" s="651">
        <v>2</v>
      </c>
      <c r="S91" s="526">
        <v>3</v>
      </c>
      <c r="T91" s="526">
        <v>1</v>
      </c>
      <c r="U91" s="651">
        <v>2</v>
      </c>
      <c r="V91" s="526">
        <v>3</v>
      </c>
      <c r="W91" s="526">
        <f t="shared" si="0"/>
        <v>0</v>
      </c>
      <c r="X91" s="526">
        <f t="shared" si="1"/>
        <v>0</v>
      </c>
    </row>
    <row r="92" spans="1:24" s="16" customFormat="1">
      <c r="A92" s="252" t="s">
        <v>2410</v>
      </c>
      <c r="B92" s="21" t="s">
        <v>2582</v>
      </c>
      <c r="C92" s="21">
        <f>brine_pipe_length</f>
        <v>0</v>
      </c>
      <c r="D92" s="389" t="s">
        <v>1330</v>
      </c>
      <c r="E92" s="394" t="str">
        <f>IF(brine_pipe_length=0,"NA",brine_pipe_diam)</f>
        <v>NA</v>
      </c>
      <c r="F92" s="21" t="str">
        <f>IF(brine_pipe_length=0,"","in. diam")</f>
        <v/>
      </c>
      <c r="G92" s="394" t="str">
        <f>IF(brine_pipe_length=0,"NA",IF(curve=1,brine_pipe_diam,VLOOKUP(brine_pipe_diam,ss_pipe_cost_cl,2)))</f>
        <v>NA</v>
      </c>
      <c r="H92" s="21" t="str">
        <f>IF(brine_pipe_length=0,"","in. diam")</f>
        <v/>
      </c>
      <c r="I92" s="395" t="str">
        <f>IF(brine_pipe_length=0,"NA",IF(curve=1,ss_pipe_eq_brine,VLOOKUP(brine_pipe_diam,ss_pipe_cost_cl,3)))</f>
        <v>NA</v>
      </c>
      <c r="J92" s="392" t="str">
        <f>IF(brine_pipe_length=0,"--",IF(I92="contact vendor","--",C92*I92))</f>
        <v>--</v>
      </c>
      <c r="K92" s="394" t="str">
        <f>IF(brine_pipe_length=0,"NA",VLOOKUP(brine_pipe_diam,ss_pipe_cost_cl,IF(ss_cat="large",4,5)))</f>
        <v>NA</v>
      </c>
      <c r="L92" s="393"/>
      <c r="M92" s="16" t="str">
        <f>$B$89&amp;" - "&amp;B92</f>
        <v>Regenerant Piping - Stainless Steel</v>
      </c>
      <c r="N92" s="526">
        <v>3</v>
      </c>
      <c r="O92" s="651">
        <v>3</v>
      </c>
      <c r="P92" s="526">
        <v>1</v>
      </c>
      <c r="Q92" s="526">
        <v>3</v>
      </c>
      <c r="R92" s="651">
        <v>3</v>
      </c>
      <c r="S92" s="526">
        <v>1</v>
      </c>
      <c r="T92" s="526">
        <v>3</v>
      </c>
      <c r="U92" s="651">
        <v>3</v>
      </c>
      <c r="V92" s="526">
        <v>1</v>
      </c>
      <c r="W92" s="526">
        <f t="shared" si="0"/>
        <v>0</v>
      </c>
      <c r="X92" s="526">
        <f t="shared" si="1"/>
        <v>0</v>
      </c>
    </row>
    <row r="93" spans="1:24" s="16" customFormat="1">
      <c r="A93" s="485">
        <v>5.3</v>
      </c>
      <c r="B93" s="29" t="s">
        <v>1329</v>
      </c>
      <c r="C93" s="257"/>
      <c r="D93" s="258"/>
      <c r="E93" s="257"/>
      <c r="F93" s="257"/>
      <c r="G93" s="257"/>
      <c r="H93" s="257"/>
      <c r="I93" s="260"/>
      <c r="J93" s="260"/>
      <c r="K93" s="257"/>
      <c r="L93" s="261"/>
      <c r="N93" s="651"/>
      <c r="O93" s="651"/>
      <c r="P93" s="651"/>
      <c r="Q93" s="651"/>
      <c r="R93" s="651"/>
      <c r="S93" s="651"/>
      <c r="T93" s="651"/>
      <c r="U93" s="651"/>
      <c r="V93" s="651"/>
      <c r="W93" s="526">
        <f t="shared" si="0"/>
        <v>0</v>
      </c>
      <c r="X93" s="526">
        <f t="shared" si="1"/>
        <v>0</v>
      </c>
    </row>
    <row r="94" spans="1:24" s="16" customFormat="1">
      <c r="A94" s="252" t="s">
        <v>2411</v>
      </c>
      <c r="B94" s="21" t="s">
        <v>846</v>
      </c>
      <c r="C94" s="21">
        <f>proc_pipe_length</f>
        <v>120</v>
      </c>
      <c r="D94" s="389" t="s">
        <v>1330</v>
      </c>
      <c r="E94" s="21">
        <f>proc_pipe_diam</f>
        <v>10</v>
      </c>
      <c r="F94" s="21" t="s">
        <v>1331</v>
      </c>
      <c r="G94" s="21">
        <f>IF(curve=1,proc_pipe_diam,VLOOKUP(proc_pipe_diam,di_pipe_cost_cl,2))</f>
        <v>10</v>
      </c>
      <c r="H94" s="21" t="s">
        <v>1331</v>
      </c>
      <c r="I94" s="395">
        <f>IF(curve=1,di_pipe_eq_proc,VLOOKUP(proc_pipe_diam,di_pipe_cost_cl,3))</f>
        <v>141.73754675700002</v>
      </c>
      <c r="J94" s="392">
        <f>IF(I94="contact vendor","--",C94*I94)</f>
        <v>17008.505610840002</v>
      </c>
      <c r="K94" s="21">
        <f>VLOOKUP(proc_pipe_diam,di_pipe_cost_cl,IF(ss_cat="large",4,5))</f>
        <v>40</v>
      </c>
      <c r="L94" s="393">
        <v>0</v>
      </c>
      <c r="M94" s="16" t="str">
        <f>$B$93&amp;" "&amp;" - "&amp;B94</f>
        <v>Process Piping  - Ductile Iron</v>
      </c>
      <c r="N94" s="526">
        <v>3</v>
      </c>
      <c r="O94" s="651">
        <v>3</v>
      </c>
      <c r="P94" s="526">
        <v>3</v>
      </c>
      <c r="Q94" s="526">
        <v>3</v>
      </c>
      <c r="R94" s="651">
        <v>3</v>
      </c>
      <c r="S94" s="526">
        <v>3</v>
      </c>
      <c r="T94" s="526">
        <v>3</v>
      </c>
      <c r="U94" s="651">
        <v>3</v>
      </c>
      <c r="V94" s="526">
        <v>3</v>
      </c>
      <c r="W94" s="526">
        <f t="shared" si="0"/>
        <v>0</v>
      </c>
      <c r="X94" s="526">
        <f t="shared" si="1"/>
        <v>0</v>
      </c>
    </row>
    <row r="95" spans="1:24" s="16" customFormat="1">
      <c r="A95" s="252" t="s">
        <v>2411</v>
      </c>
      <c r="B95" s="21" t="s">
        <v>1332</v>
      </c>
      <c r="C95" s="21">
        <f>proc_pipe_length</f>
        <v>120</v>
      </c>
      <c r="D95" s="389" t="s">
        <v>1330</v>
      </c>
      <c r="E95" s="21">
        <f>proc_pipe_diam</f>
        <v>10</v>
      </c>
      <c r="F95" s="21" t="s">
        <v>1331</v>
      </c>
      <c r="G95" s="21">
        <f>IF(curve=1,proc_pipe_diam,VLOOKUP(proc_pipe_diam,cpvc_pipe_cost_cl,2))</f>
        <v>10</v>
      </c>
      <c r="H95" s="21" t="s">
        <v>1331</v>
      </c>
      <c r="I95" s="395">
        <f>IF(curve=1,cpvc_pipe_eq_proc,VLOOKUP(proc_pipe_diam,cpvc_pipe_cost_cl,3))</f>
        <v>110.97367943600001</v>
      </c>
      <c r="J95" s="392">
        <f>IF(I95="contact vendor","--",C95*I95)</f>
        <v>13316.841532320001</v>
      </c>
      <c r="K95" s="21">
        <f>VLOOKUP(proc_pipe_diam,cpvc_pipe_cost_cl,IF(ss_cat="large",4,5))</f>
        <v>22</v>
      </c>
      <c r="L95" s="393">
        <v>0</v>
      </c>
      <c r="M95" s="16" t="str">
        <f>$B$93&amp;" "&amp;" - "&amp;B95</f>
        <v>Process Piping  - CPVC</v>
      </c>
      <c r="N95" s="526">
        <v>2</v>
      </c>
      <c r="O95" s="651">
        <v>1</v>
      </c>
      <c r="P95" s="526">
        <v>4</v>
      </c>
      <c r="Q95" s="526">
        <v>2</v>
      </c>
      <c r="R95" s="651">
        <v>1</v>
      </c>
      <c r="S95" s="526">
        <v>4</v>
      </c>
      <c r="T95" s="526">
        <v>2</v>
      </c>
      <c r="U95" s="651">
        <v>1</v>
      </c>
      <c r="V95" s="526">
        <v>4</v>
      </c>
      <c r="W95" s="526">
        <f t="shared" si="0"/>
        <v>0</v>
      </c>
      <c r="X95" s="526">
        <f t="shared" si="1"/>
        <v>0</v>
      </c>
    </row>
    <row r="96" spans="1:24" s="16" customFormat="1">
      <c r="A96" s="252" t="s">
        <v>2411</v>
      </c>
      <c r="B96" s="21" t="s">
        <v>1333</v>
      </c>
      <c r="C96" s="21">
        <f>proc_pipe_length</f>
        <v>120</v>
      </c>
      <c r="D96" s="389" t="s">
        <v>1330</v>
      </c>
      <c r="E96" s="21">
        <f>proc_pipe_diam</f>
        <v>10</v>
      </c>
      <c r="F96" s="21" t="s">
        <v>1331</v>
      </c>
      <c r="G96" s="21">
        <f>IF(curve=1,proc_pipe_diam,VLOOKUP(proc_pipe_diam,pvc_pipe_cost_cl,2))</f>
        <v>10</v>
      </c>
      <c r="H96" s="21" t="s">
        <v>1331</v>
      </c>
      <c r="I96" s="395">
        <f>IF(curve=1,pvc_pipe_eq_proc,VLOOKUP(proc_pipe_diam,pvc_pipe_cost_cl,3))</f>
        <v>19.148192264999999</v>
      </c>
      <c r="J96" s="392">
        <f>IF(I96="contact vendor","--",C96*I96)</f>
        <v>2297.7830718</v>
      </c>
      <c r="K96" s="21">
        <f>VLOOKUP(proc_pipe_diam,pvc_pipe_cost_cl,IF(ss_cat="large",4,5))</f>
        <v>22</v>
      </c>
      <c r="L96" s="393">
        <v>1</v>
      </c>
      <c r="M96" s="16" t="str">
        <f>$B$93&amp;" "&amp;" - "&amp;B96</f>
        <v>Process Piping  - PVC</v>
      </c>
      <c r="N96" s="526">
        <v>1</v>
      </c>
      <c r="O96" s="651">
        <v>2</v>
      </c>
      <c r="P96" s="526">
        <v>5</v>
      </c>
      <c r="Q96" s="526">
        <v>1</v>
      </c>
      <c r="R96" s="651">
        <v>2</v>
      </c>
      <c r="S96" s="526">
        <v>5</v>
      </c>
      <c r="T96" s="526">
        <v>1</v>
      </c>
      <c r="U96" s="651">
        <v>2</v>
      </c>
      <c r="V96" s="526">
        <v>5</v>
      </c>
      <c r="W96" s="526">
        <f t="shared" si="0"/>
        <v>1</v>
      </c>
      <c r="X96" s="526">
        <f t="shared" si="1"/>
        <v>104.44468508181818</v>
      </c>
    </row>
    <row r="97" spans="1:24" s="16" customFormat="1">
      <c r="A97" s="252" t="s">
        <v>2411</v>
      </c>
      <c r="B97" s="21" t="s">
        <v>2582</v>
      </c>
      <c r="C97" s="21">
        <f>proc_pipe_length</f>
        <v>120</v>
      </c>
      <c r="D97" s="389" t="s">
        <v>1330</v>
      </c>
      <c r="E97" s="21">
        <f>proc_pipe_diam</f>
        <v>10</v>
      </c>
      <c r="F97" s="21" t="s">
        <v>1331</v>
      </c>
      <c r="G97" s="21">
        <f>IF(curve=1,proc_pipe_diam,VLOOKUP(proc_pipe_diam,ss_pipe_cost_cl,2))</f>
        <v>10</v>
      </c>
      <c r="H97" s="21" t="s">
        <v>1331</v>
      </c>
      <c r="I97" s="395">
        <f>IF(curve=1,ss_pipe_eq_proc,VLOOKUP(proc_pipe_diam,ss_pipe_cost_cl,3))</f>
        <v>366.94979630500001</v>
      </c>
      <c r="J97" s="392">
        <f>IF(I97="contact vendor","--",C97*I97)</f>
        <v>44033.975556600002</v>
      </c>
      <c r="K97" s="21">
        <f>VLOOKUP(proc_pipe_diam,ss_pipe_cost_cl,IF(ss_cat="large",4,5))</f>
        <v>45</v>
      </c>
      <c r="L97" s="393">
        <v>0</v>
      </c>
      <c r="M97" s="16" t="str">
        <f>$B$93&amp;" "&amp;" - "&amp;B97</f>
        <v>Process Piping  - Stainless Steel</v>
      </c>
      <c r="N97" s="526">
        <v>5</v>
      </c>
      <c r="O97" s="526">
        <v>5</v>
      </c>
      <c r="P97" s="526">
        <v>1</v>
      </c>
      <c r="Q97" s="526">
        <v>5</v>
      </c>
      <c r="R97" s="526">
        <v>5</v>
      </c>
      <c r="S97" s="526">
        <v>1</v>
      </c>
      <c r="T97" s="526">
        <v>5</v>
      </c>
      <c r="U97" s="526">
        <v>5</v>
      </c>
      <c r="V97" s="526">
        <v>1</v>
      </c>
      <c r="W97" s="526">
        <f t="shared" si="0"/>
        <v>0</v>
      </c>
      <c r="X97" s="526">
        <f t="shared" si="1"/>
        <v>0</v>
      </c>
    </row>
    <row r="98" spans="1:24" s="16" customFormat="1">
      <c r="A98" s="252" t="s">
        <v>2411</v>
      </c>
      <c r="B98" s="21" t="s">
        <v>1334</v>
      </c>
      <c r="C98" s="21">
        <f>proc_pipe_length</f>
        <v>120</v>
      </c>
      <c r="D98" s="389" t="s">
        <v>1330</v>
      </c>
      <c r="E98" s="21">
        <f>proc_pipe_diam</f>
        <v>10</v>
      </c>
      <c r="F98" s="21" t="s">
        <v>1331</v>
      </c>
      <c r="G98" s="21">
        <f>IF(curve=1,proc_pipe_diam,VLOOKUP(proc_pipe_diam,st_pipe_cost_cl,2))</f>
        <v>10</v>
      </c>
      <c r="H98" s="21" t="s">
        <v>1331</v>
      </c>
      <c r="I98" s="395">
        <f>IF(curve=1,st_pipe_eq_proc,VLOOKUP(proc_pipe_diam,st_pipe_cost_cl,3))</f>
        <v>174.27949943716169</v>
      </c>
      <c r="J98" s="392">
        <f>IF(I98="contact vendor","--",C98*I98)</f>
        <v>20913.539932459404</v>
      </c>
      <c r="K98" s="21">
        <f>VLOOKUP(proc_pipe_diam,st_pipe_cost_cl,IF(ss_cat="large",4,5))</f>
        <v>35</v>
      </c>
      <c r="L98" s="393">
        <v>0</v>
      </c>
      <c r="M98" s="16" t="str">
        <f>$B$93&amp;" "&amp;" - "&amp;B98</f>
        <v>Process Piping  - Steel</v>
      </c>
      <c r="N98" s="526">
        <v>4</v>
      </c>
      <c r="O98" s="526">
        <v>4</v>
      </c>
      <c r="P98" s="526">
        <v>2</v>
      </c>
      <c r="Q98" s="526">
        <v>4</v>
      </c>
      <c r="R98" s="526">
        <v>4</v>
      </c>
      <c r="S98" s="526">
        <v>2</v>
      </c>
      <c r="T98" s="526">
        <v>4</v>
      </c>
      <c r="U98" s="526">
        <v>4</v>
      </c>
      <c r="V98" s="526">
        <v>2</v>
      </c>
      <c r="W98" s="526">
        <f t="shared" si="0"/>
        <v>0</v>
      </c>
      <c r="X98" s="526">
        <f t="shared" si="1"/>
        <v>0</v>
      </c>
    </row>
    <row r="99" spans="1:24" s="16" customFormat="1">
      <c r="A99" s="485">
        <v>5.4</v>
      </c>
      <c r="B99" s="29" t="s">
        <v>2190</v>
      </c>
      <c r="C99" s="257"/>
      <c r="D99" s="258"/>
      <c r="E99" s="257"/>
      <c r="F99" s="257"/>
      <c r="G99" s="257"/>
      <c r="H99" s="257"/>
      <c r="I99" s="260"/>
      <c r="J99" s="260"/>
      <c r="K99" s="257"/>
      <c r="L99" s="261"/>
      <c r="N99" s="651"/>
      <c r="O99" s="651"/>
      <c r="P99" s="651"/>
      <c r="Q99" s="651"/>
      <c r="R99" s="651"/>
      <c r="S99" s="651"/>
      <c r="T99" s="651"/>
      <c r="U99" s="651"/>
      <c r="V99" s="651"/>
      <c r="W99" s="526">
        <f t="shared" si="0"/>
        <v>0</v>
      </c>
      <c r="X99" s="526">
        <f t="shared" si="1"/>
        <v>0</v>
      </c>
    </row>
    <row r="100" spans="1:24" s="16" customFormat="1">
      <c r="A100" s="252" t="s">
        <v>2412</v>
      </c>
      <c r="B100" s="21" t="s">
        <v>1332</v>
      </c>
      <c r="C100" s="21">
        <f>bp_pipe_length</f>
        <v>0</v>
      </c>
      <c r="D100" s="389" t="s">
        <v>1330</v>
      </c>
      <c r="E100" s="394" t="str">
        <f>IF(bp_pct&gt;0,bp_pipe_diam,"NA")</f>
        <v>NA</v>
      </c>
      <c r="F100" s="21" t="str">
        <f>IF(bp_pct=0," ","in. diam")</f>
        <v xml:space="preserve"> </v>
      </c>
      <c r="G100" s="394" t="str">
        <f>IF(bp_pct=0,"NA",IF(curve=1,bp_pipe_diam,VLOOKUP(bp_pipe_diam,cpvc_pipe_cost_cl,2)))</f>
        <v>NA</v>
      </c>
      <c r="H100" s="21" t="str">
        <f>IF(bp_pct=0," ","in. diam")</f>
        <v xml:space="preserve"> </v>
      </c>
      <c r="I100" s="395" t="str">
        <f>IF(bp_pct=0,"NA",IF(curve=1,cpvc_pipe_eq_bp,VLOOKUP(bp_pipe_diam,cpvc_pipe_cost_cl,3)))</f>
        <v>NA</v>
      </c>
      <c r="J100" s="392" t="str">
        <f>IF(OR(C100=0,I100="contact vendor"),"--",C100*I100)</f>
        <v>--</v>
      </c>
      <c r="K100" s="394" t="str">
        <f>IF(bp_pct=0,"NA",VLOOKUP(bp_pipe_diam,cpvc_pipe_cost_cl,IF(ss_cat="large",4,5)))</f>
        <v>NA</v>
      </c>
      <c r="L100" s="393"/>
      <c r="M100" s="16" t="str">
        <f>$B$99&amp;" "&amp;" - "&amp;B100</f>
        <v>Bypass Piping  - CPVC</v>
      </c>
      <c r="N100" s="526">
        <v>2</v>
      </c>
      <c r="O100" s="651">
        <v>1</v>
      </c>
      <c r="P100" s="526">
        <v>3</v>
      </c>
      <c r="Q100" s="526">
        <v>2</v>
      </c>
      <c r="R100" s="651">
        <v>1</v>
      </c>
      <c r="S100" s="526">
        <v>3</v>
      </c>
      <c r="T100" s="526">
        <v>2</v>
      </c>
      <c r="U100" s="651">
        <v>1</v>
      </c>
      <c r="V100" s="526">
        <v>3</v>
      </c>
      <c r="W100" s="526">
        <f t="shared" si="0"/>
        <v>0</v>
      </c>
      <c r="X100" s="526">
        <f t="shared" si="1"/>
        <v>0</v>
      </c>
    </row>
    <row r="101" spans="1:24" s="16" customFormat="1">
      <c r="A101" s="252" t="s">
        <v>2412</v>
      </c>
      <c r="B101" s="21" t="s">
        <v>1333</v>
      </c>
      <c r="C101" s="21">
        <f>bp_pipe_length</f>
        <v>0</v>
      </c>
      <c r="D101" s="389" t="s">
        <v>1330</v>
      </c>
      <c r="E101" s="394" t="str">
        <f>IF(bp_pct&gt;0,bp_pipe_diam,"NA")</f>
        <v>NA</v>
      </c>
      <c r="F101" s="21" t="str">
        <f>IF(bp_pct=0," ","in. diam")</f>
        <v xml:space="preserve"> </v>
      </c>
      <c r="G101" s="394" t="str">
        <f>IF(bp_pct=0,"NA",IF(curve=1,bp_pipe_diam,VLOOKUP(bp_pipe_diam,pvc_pipe_cost_cl,2)))</f>
        <v>NA</v>
      </c>
      <c r="H101" s="21" t="str">
        <f>IF(bp_pct=0," ","in. diam")</f>
        <v xml:space="preserve"> </v>
      </c>
      <c r="I101" s="395" t="str">
        <f>IF(bp_pct=0,"NA",IF(curve=1,pvc_pipe_eq_bp,VLOOKUP(bp_pipe_diam,pvc_pipe_cost_cl,3)))</f>
        <v>NA</v>
      </c>
      <c r="J101" s="392" t="str">
        <f>IF(OR(C101=0,I101="contact vendor"),"--",C101*I101)</f>
        <v>--</v>
      </c>
      <c r="K101" s="394" t="str">
        <f>IF(bp_pct=0,"NA",VLOOKUP(bp_pipe_diam,pvc_pipe_cost_cl,IF(ss_cat="large",4,5)))</f>
        <v>NA</v>
      </c>
      <c r="L101" s="393"/>
      <c r="M101" s="16" t="str">
        <f>$B$99&amp;" "&amp;" - "&amp;B101</f>
        <v>Bypass Piping  - PVC</v>
      </c>
      <c r="N101" s="526">
        <v>1</v>
      </c>
      <c r="O101" s="651">
        <v>2</v>
      </c>
      <c r="P101" s="526">
        <v>4</v>
      </c>
      <c r="Q101" s="526">
        <v>1</v>
      </c>
      <c r="R101" s="651">
        <v>2</v>
      </c>
      <c r="S101" s="526">
        <v>4</v>
      </c>
      <c r="T101" s="526">
        <v>1</v>
      </c>
      <c r="U101" s="651">
        <v>2</v>
      </c>
      <c r="V101" s="526">
        <v>4</v>
      </c>
      <c r="W101" s="526">
        <f t="shared" si="0"/>
        <v>0</v>
      </c>
      <c r="X101" s="526">
        <f t="shared" si="1"/>
        <v>0</v>
      </c>
    </row>
    <row r="102" spans="1:24" s="16" customFormat="1">
      <c r="A102" s="252" t="s">
        <v>2412</v>
      </c>
      <c r="B102" s="21" t="s">
        <v>2582</v>
      </c>
      <c r="C102" s="21">
        <f>bp_pipe_length</f>
        <v>0</v>
      </c>
      <c r="D102" s="389" t="s">
        <v>1330</v>
      </c>
      <c r="E102" s="394" t="str">
        <f>IF(bp_pct&gt;0,bp_pipe_diam,"NA")</f>
        <v>NA</v>
      </c>
      <c r="F102" s="21" t="str">
        <f>IF(bp_pct=0," ","in. diam")</f>
        <v xml:space="preserve"> </v>
      </c>
      <c r="G102" s="394" t="str">
        <f>IF(bp_pct=0,"NA",IF(curve=1,bp_pipe_diam,VLOOKUP(bp_pipe_diam,ss_pipe_cost_cl,2)))</f>
        <v>NA</v>
      </c>
      <c r="H102" s="21" t="str">
        <f>IF(bp_pct=0," ","in. diam")</f>
        <v xml:space="preserve"> </v>
      </c>
      <c r="I102" s="395" t="str">
        <f>IF(bp_pct=0,"NA",IF(curve=1,ss_pipe_eq_bp,VLOOKUP(bp_pipe_diam,ss_pipe_cost_cl,3)))</f>
        <v>NA</v>
      </c>
      <c r="J102" s="392" t="str">
        <f>IF(OR(C102=0,I102="contact vendor"),"--",C102*I102)</f>
        <v>--</v>
      </c>
      <c r="K102" s="394" t="str">
        <f>IF(bp_pct=0,"NA",VLOOKUP(bp_pipe_diam,ss_pipe_cost_cl,IF(ss_cat="large",4,5)))</f>
        <v>NA</v>
      </c>
      <c r="L102" s="393"/>
      <c r="M102" s="16" t="str">
        <f>$B$99&amp;" "&amp;" - "&amp;B102</f>
        <v>Bypass Piping  - Stainless Steel</v>
      </c>
      <c r="N102" s="526">
        <v>4</v>
      </c>
      <c r="O102" s="526">
        <v>4</v>
      </c>
      <c r="P102" s="526">
        <v>1</v>
      </c>
      <c r="Q102" s="526">
        <v>4</v>
      </c>
      <c r="R102" s="526">
        <v>4</v>
      </c>
      <c r="S102" s="526">
        <v>1</v>
      </c>
      <c r="T102" s="526">
        <v>4</v>
      </c>
      <c r="U102" s="526">
        <v>4</v>
      </c>
      <c r="V102" s="526">
        <v>1</v>
      </c>
      <c r="W102" s="526">
        <f t="shared" si="0"/>
        <v>0</v>
      </c>
      <c r="X102" s="526">
        <f t="shared" si="1"/>
        <v>0</v>
      </c>
    </row>
    <row r="103" spans="1:24" s="16" customFormat="1">
      <c r="A103" s="252" t="s">
        <v>2412</v>
      </c>
      <c r="B103" s="21" t="s">
        <v>1334</v>
      </c>
      <c r="C103" s="21">
        <f>bp_pipe_length</f>
        <v>0</v>
      </c>
      <c r="D103" s="389" t="s">
        <v>1330</v>
      </c>
      <c r="E103" s="394" t="str">
        <f>IF(bp_pct&gt;0,bp_pipe_diam,"NA")</f>
        <v>NA</v>
      </c>
      <c r="F103" s="21" t="str">
        <f>IF(bp_pct=0," ","in. diam")</f>
        <v xml:space="preserve"> </v>
      </c>
      <c r="G103" s="394" t="str">
        <f>IF(bp_pct=0,"NA",IF(curve=1,bp_pipe_diam,VLOOKUP(bp_pipe_diam,st_pipe_cost_cl,2)))</f>
        <v>NA</v>
      </c>
      <c r="H103" s="21" t="str">
        <f>IF(bp_pct=0," ","in. diam")</f>
        <v xml:space="preserve"> </v>
      </c>
      <c r="I103" s="395" t="str">
        <f>IF(bp_pct=0,"NA",IF(curve=1,st_pipe_eq_bp,VLOOKUP(bp_pipe_diam,st_pipe_cost_cl,3)))</f>
        <v>NA</v>
      </c>
      <c r="J103" s="392" t="str">
        <f>IF(OR(C103=0,I103="contact vendor"),"--",C103*I103)</f>
        <v>--</v>
      </c>
      <c r="K103" s="394" t="str">
        <f>IF(bp_pct=0,"NA",VLOOKUP(bp_pipe_diam,st_pipe_cost_cl,IF(ss_cat="large",4,5)))</f>
        <v>NA</v>
      </c>
      <c r="L103" s="393"/>
      <c r="M103" s="16" t="str">
        <f>$B$99&amp;" "&amp;" - "&amp;B103</f>
        <v>Bypass Piping  - Steel</v>
      </c>
      <c r="N103" s="526">
        <v>3</v>
      </c>
      <c r="O103" s="526">
        <v>3</v>
      </c>
      <c r="P103" s="526">
        <v>2</v>
      </c>
      <c r="Q103" s="526">
        <v>3</v>
      </c>
      <c r="R103" s="526">
        <v>3</v>
      </c>
      <c r="S103" s="526">
        <v>2</v>
      </c>
      <c r="T103" s="526">
        <v>3</v>
      </c>
      <c r="U103" s="526">
        <v>3</v>
      </c>
      <c r="V103" s="526">
        <v>2</v>
      </c>
      <c r="W103" s="526">
        <f t="shared" si="0"/>
        <v>0</v>
      </c>
      <c r="X103" s="526">
        <f t="shared" si="1"/>
        <v>0</v>
      </c>
    </row>
    <row r="104" spans="1:24" s="16" customFormat="1">
      <c r="A104" s="485">
        <v>5.5</v>
      </c>
      <c r="B104" s="29" t="s">
        <v>3460</v>
      </c>
      <c r="C104" s="257"/>
      <c r="D104" s="258"/>
      <c r="E104" s="257"/>
      <c r="F104" s="257"/>
      <c r="G104" s="257"/>
      <c r="H104" s="257"/>
      <c r="I104" s="260"/>
      <c r="J104" s="260"/>
      <c r="K104" s="257"/>
      <c r="L104" s="261"/>
      <c r="N104" s="651"/>
      <c r="O104" s="651"/>
      <c r="P104" s="651"/>
      <c r="Q104" s="651"/>
      <c r="R104" s="651"/>
      <c r="S104" s="651"/>
      <c r="T104" s="651"/>
      <c r="U104" s="651"/>
      <c r="V104" s="651"/>
      <c r="W104" s="526">
        <f t="shared" si="0"/>
        <v>0</v>
      </c>
      <c r="X104" s="526">
        <f t="shared" si="1"/>
        <v>0</v>
      </c>
    </row>
    <row r="105" spans="1:24" s="16" customFormat="1">
      <c r="A105" s="252" t="s">
        <v>2413</v>
      </c>
      <c r="B105" s="21" t="s">
        <v>846</v>
      </c>
      <c r="C105" s="21">
        <f>in_out_pipe_length</f>
        <v>120</v>
      </c>
      <c r="D105" s="389" t="s">
        <v>1330</v>
      </c>
      <c r="E105" s="21">
        <f>in_out_pipe_diam</f>
        <v>10</v>
      </c>
      <c r="F105" s="21" t="s">
        <v>1331</v>
      </c>
      <c r="G105" s="21">
        <f>IF(curve=1,in_out_pipe_diam,VLOOKUP(in_out_pipe_diam,di_pipe_cost_cl,2))</f>
        <v>10</v>
      </c>
      <c r="H105" s="21" t="s">
        <v>1331</v>
      </c>
      <c r="I105" s="395">
        <f>IF(curve=1,di_pipe_eq_in_out,VLOOKUP(in_out_pipe_diam,di_pipe_cost_cl,3))</f>
        <v>141.73754675700002</v>
      </c>
      <c r="J105" s="392">
        <f>IF(I105="contact vendor","--",C105*I105)</f>
        <v>17008.505610840002</v>
      </c>
      <c r="K105" s="21">
        <f>VLOOKUP(in_out_pipe_diam,di_pipe_cost_cl,IF(ss_cat="large",4,5))</f>
        <v>40</v>
      </c>
      <c r="L105" s="393">
        <v>0</v>
      </c>
      <c r="M105" s="16" t="str">
        <f>$B$104&amp;" "&amp;" - "&amp;B105</f>
        <v>Influent and Treated Water Piping  - Ductile Iron</v>
      </c>
      <c r="N105" s="526">
        <v>3</v>
      </c>
      <c r="O105" s="526">
        <v>3</v>
      </c>
      <c r="P105" s="526">
        <v>3</v>
      </c>
      <c r="Q105" s="526">
        <v>3</v>
      </c>
      <c r="R105" s="526">
        <v>3</v>
      </c>
      <c r="S105" s="526">
        <v>3</v>
      </c>
      <c r="T105" s="526">
        <v>3</v>
      </c>
      <c r="U105" s="526">
        <v>3</v>
      </c>
      <c r="V105" s="526">
        <v>3</v>
      </c>
      <c r="W105" s="526">
        <f t="shared" si="0"/>
        <v>0</v>
      </c>
      <c r="X105" s="526">
        <f t="shared" si="1"/>
        <v>0</v>
      </c>
    </row>
    <row r="106" spans="1:24" s="16" customFormat="1">
      <c r="A106" s="252" t="s">
        <v>2413</v>
      </c>
      <c r="B106" s="21" t="s">
        <v>1332</v>
      </c>
      <c r="C106" s="21">
        <f>in_out_pipe_length</f>
        <v>120</v>
      </c>
      <c r="D106" s="389" t="s">
        <v>1330</v>
      </c>
      <c r="E106" s="21">
        <f>in_out_pipe_diam</f>
        <v>10</v>
      </c>
      <c r="F106" s="21" t="s">
        <v>1331</v>
      </c>
      <c r="G106" s="21">
        <f>IF(curve=1,in_out_pipe_diam,VLOOKUP(in_out_pipe_diam,cpvc_pipe_cost_cl,2))</f>
        <v>10</v>
      </c>
      <c r="H106" s="21" t="s">
        <v>1331</v>
      </c>
      <c r="I106" s="395">
        <f>IF(curve=1,cpvc_pipe_eq_in_out,VLOOKUP(in_out_pipe_diam,cpvc_pipe_cost_cl,3))</f>
        <v>110.97367943600001</v>
      </c>
      <c r="J106" s="392">
        <f>IF(I106="contact vendor","--",C106*I106)</f>
        <v>13316.841532320001</v>
      </c>
      <c r="K106" s="21">
        <f>VLOOKUP(in_out_pipe_diam,cpvc_pipe_cost_cl,IF(ss_cat="large",4,5))</f>
        <v>22</v>
      </c>
      <c r="L106" s="393">
        <v>0</v>
      </c>
      <c r="M106" s="16" t="str">
        <f>$B$104&amp;" "&amp;" - "&amp;B106</f>
        <v>Influent and Treated Water Piping  - CPVC</v>
      </c>
      <c r="N106" s="526">
        <v>2</v>
      </c>
      <c r="O106" s="526">
        <v>1</v>
      </c>
      <c r="P106" s="526">
        <v>4</v>
      </c>
      <c r="Q106" s="526">
        <v>2</v>
      </c>
      <c r="R106" s="526">
        <v>1</v>
      </c>
      <c r="S106" s="526">
        <v>4</v>
      </c>
      <c r="T106" s="526">
        <v>2</v>
      </c>
      <c r="U106" s="526">
        <v>1</v>
      </c>
      <c r="V106" s="526">
        <v>4</v>
      </c>
      <c r="W106" s="526">
        <f t="shared" ref="W106:W167" si="5">IF(ISERROR(K106*L106),0,IF(K106&lt;1,0,L106))</f>
        <v>0</v>
      </c>
      <c r="X106" s="526">
        <f t="shared" ref="X106:X167" si="6">IF(W106,J106/K106,0)</f>
        <v>0</v>
      </c>
    </row>
    <row r="107" spans="1:24" s="16" customFormat="1">
      <c r="A107" s="252" t="s">
        <v>2413</v>
      </c>
      <c r="B107" s="21" t="s">
        <v>1333</v>
      </c>
      <c r="C107" s="21">
        <f>in_out_pipe_length</f>
        <v>120</v>
      </c>
      <c r="D107" s="389" t="s">
        <v>1330</v>
      </c>
      <c r="E107" s="21">
        <f>in_out_pipe_diam</f>
        <v>10</v>
      </c>
      <c r="F107" s="21" t="s">
        <v>1331</v>
      </c>
      <c r="G107" s="21">
        <f>IF(curve=1,in_out_pipe_diam,VLOOKUP(in_out_pipe_diam,pvc_pipe_cost_cl,2))</f>
        <v>10</v>
      </c>
      <c r="H107" s="21" t="s">
        <v>1331</v>
      </c>
      <c r="I107" s="395">
        <f>IF(curve=1,pvc_pipe_eq_in_out,VLOOKUP(in_out_pipe_diam,pvc_pipe_cost_cl,3))</f>
        <v>19.148192264999999</v>
      </c>
      <c r="J107" s="392">
        <f>IF(I107="contact vendor","--",C107*I107)</f>
        <v>2297.7830718</v>
      </c>
      <c r="K107" s="21">
        <f>VLOOKUP(in_out_pipe_diam,pvc_pipe_cost_cl,IF(ss_cat="large",4,5))</f>
        <v>22</v>
      </c>
      <c r="L107" s="393">
        <v>1</v>
      </c>
      <c r="M107" s="16" t="str">
        <f>$B$104&amp;" "&amp;" - "&amp;B107</f>
        <v>Influent and Treated Water Piping  - PVC</v>
      </c>
      <c r="N107" s="526">
        <v>1</v>
      </c>
      <c r="O107" s="526">
        <v>2</v>
      </c>
      <c r="P107" s="526">
        <v>5</v>
      </c>
      <c r="Q107" s="526">
        <v>1</v>
      </c>
      <c r="R107" s="526">
        <v>2</v>
      </c>
      <c r="S107" s="526">
        <v>5</v>
      </c>
      <c r="T107" s="526">
        <v>1</v>
      </c>
      <c r="U107" s="526">
        <v>2</v>
      </c>
      <c r="V107" s="526">
        <v>5</v>
      </c>
      <c r="W107" s="526">
        <f t="shared" si="5"/>
        <v>1</v>
      </c>
      <c r="X107" s="526">
        <f t="shared" si="6"/>
        <v>104.44468508181818</v>
      </c>
    </row>
    <row r="108" spans="1:24" s="16" customFormat="1">
      <c r="A108" s="252" t="s">
        <v>2413</v>
      </c>
      <c r="B108" s="21" t="s">
        <v>2582</v>
      </c>
      <c r="C108" s="21">
        <f>in_out_pipe_length</f>
        <v>120</v>
      </c>
      <c r="D108" s="389" t="s">
        <v>1330</v>
      </c>
      <c r="E108" s="21">
        <f>in_out_pipe_diam</f>
        <v>10</v>
      </c>
      <c r="F108" s="21" t="s">
        <v>1331</v>
      </c>
      <c r="G108" s="21">
        <f>IF(curve=1,in_out_pipe_diam,VLOOKUP(in_out_pipe_diam,ss_pipe_cost_cl,2))</f>
        <v>10</v>
      </c>
      <c r="H108" s="21" t="s">
        <v>1331</v>
      </c>
      <c r="I108" s="395">
        <f>IF(curve=1,ss_pipe_eq_in_out,VLOOKUP(in_out_pipe_diam,ss_pipe_cost_cl,3))</f>
        <v>366.94979630500001</v>
      </c>
      <c r="J108" s="392">
        <f>IF(I108="contact vendor","--",C108*I108)</f>
        <v>44033.975556600002</v>
      </c>
      <c r="K108" s="21">
        <f>VLOOKUP(in_out_pipe_diam,ss_pipe_cost_cl,IF(ss_cat="large",4,5))</f>
        <v>45</v>
      </c>
      <c r="L108" s="393">
        <v>0</v>
      </c>
      <c r="M108" s="16" t="str">
        <f>$B$104&amp;" "&amp;" - "&amp;B108</f>
        <v>Influent and Treated Water Piping  - Stainless Steel</v>
      </c>
      <c r="N108" s="526">
        <v>5</v>
      </c>
      <c r="O108" s="526">
        <v>5</v>
      </c>
      <c r="P108" s="526">
        <v>1</v>
      </c>
      <c r="Q108" s="526">
        <v>5</v>
      </c>
      <c r="R108" s="526">
        <v>5</v>
      </c>
      <c r="S108" s="526">
        <v>1</v>
      </c>
      <c r="T108" s="526">
        <v>5</v>
      </c>
      <c r="U108" s="526">
        <v>5</v>
      </c>
      <c r="V108" s="526">
        <v>1</v>
      </c>
      <c r="W108" s="526">
        <f t="shared" si="5"/>
        <v>0</v>
      </c>
      <c r="X108" s="526">
        <f t="shared" si="6"/>
        <v>0</v>
      </c>
    </row>
    <row r="109" spans="1:24" s="16" customFormat="1">
      <c r="A109" s="252" t="s">
        <v>2413</v>
      </c>
      <c r="B109" s="21" t="s">
        <v>1334</v>
      </c>
      <c r="C109" s="21">
        <f>in_out_pipe_length</f>
        <v>120</v>
      </c>
      <c r="D109" s="389" t="s">
        <v>1330</v>
      </c>
      <c r="E109" s="21">
        <f>in_out_pipe_diam</f>
        <v>10</v>
      </c>
      <c r="F109" s="21" t="s">
        <v>1331</v>
      </c>
      <c r="G109" s="21">
        <f>IF(curve=1,in_out_pipe_diam,VLOOKUP(in_out_pipe_diam,st_pipe_cost_cl,2))</f>
        <v>10</v>
      </c>
      <c r="H109" s="21" t="s">
        <v>1331</v>
      </c>
      <c r="I109" s="395">
        <f>IF(curve=1,st_pipe_eq_in_out,VLOOKUP(in_out_pipe_diam,st_pipe_cost_cl,3))</f>
        <v>174.27949943716169</v>
      </c>
      <c r="J109" s="392">
        <f>IF(I109="contact vendor","--",C109*I109)</f>
        <v>20913.539932459404</v>
      </c>
      <c r="K109" s="21">
        <f>VLOOKUP(in_out_pipe_diam,st_pipe_cost_cl,IF(ss_cat="large",4,5))</f>
        <v>35</v>
      </c>
      <c r="L109" s="393">
        <v>0</v>
      </c>
      <c r="M109" s="16" t="str">
        <f>$B$104&amp;" "&amp;" - "&amp;B109</f>
        <v>Influent and Treated Water Piping  - Steel</v>
      </c>
      <c r="N109" s="526">
        <v>4</v>
      </c>
      <c r="O109" s="526">
        <v>4</v>
      </c>
      <c r="P109" s="526">
        <v>2</v>
      </c>
      <c r="Q109" s="526">
        <v>4</v>
      </c>
      <c r="R109" s="526">
        <v>4</v>
      </c>
      <c r="S109" s="526">
        <v>2</v>
      </c>
      <c r="T109" s="526">
        <v>4</v>
      </c>
      <c r="U109" s="526">
        <v>4</v>
      </c>
      <c r="V109" s="526">
        <v>2</v>
      </c>
      <c r="W109" s="526">
        <f t="shared" si="5"/>
        <v>0</v>
      </c>
      <c r="X109" s="526">
        <f t="shared" si="6"/>
        <v>0</v>
      </c>
    </row>
    <row r="110" spans="1:24" s="16" customFormat="1">
      <c r="A110" s="485">
        <v>5.6</v>
      </c>
      <c r="B110" s="29" t="s">
        <v>2375</v>
      </c>
      <c r="C110" s="257"/>
      <c r="D110" s="258"/>
      <c r="E110" s="257"/>
      <c r="F110" s="257"/>
      <c r="G110" s="257"/>
      <c r="H110" s="257"/>
      <c r="I110" s="260"/>
      <c r="J110" s="260"/>
      <c r="K110" s="257"/>
      <c r="L110" s="261"/>
      <c r="N110" s="651"/>
      <c r="O110" s="651"/>
      <c r="P110" s="651"/>
      <c r="Q110" s="651"/>
      <c r="R110" s="651"/>
      <c r="S110" s="651"/>
      <c r="T110" s="651"/>
      <c r="U110" s="651"/>
      <c r="V110" s="651"/>
      <c r="W110" s="526">
        <f t="shared" si="5"/>
        <v>0</v>
      </c>
      <c r="X110" s="526">
        <f t="shared" si="6"/>
        <v>0</v>
      </c>
    </row>
    <row r="111" spans="1:24" s="16" customFormat="1">
      <c r="A111" s="252" t="s">
        <v>2414</v>
      </c>
      <c r="B111" s="21" t="s">
        <v>1332</v>
      </c>
      <c r="C111" s="21">
        <f>caustic_pipe_length</f>
        <v>0</v>
      </c>
      <c r="D111" s="389" t="s">
        <v>1330</v>
      </c>
      <c r="E111" s="394" t="str">
        <f>IF(caustic_pipe_length=0,"NA",caustic_pipe_diam)</f>
        <v>NA</v>
      </c>
      <c r="F111" s="21" t="str">
        <f>IF(caustic_pipe_length=0,"","in. diam")</f>
        <v/>
      </c>
      <c r="G111" s="394" t="str">
        <f>IF(caustic_pipe_length=0,"NA",IF(curve=1,caustic_pipe_diam,VLOOKUP(caustic_pipe_diam,cpvc_pipe_cost_cl,2)))</f>
        <v>NA</v>
      </c>
      <c r="H111" s="21" t="str">
        <f>IF(caustic_pipe_length=0,"","in. diam")</f>
        <v/>
      </c>
      <c r="I111" s="395" t="str">
        <f>IF(caustic_pipe_length=0,"NA",IF(curve=1,cpvc_pipe_eq_caustic,VLOOKUP(caustic_pipe_diam,cpvc_pipe_cost_cl,3)))</f>
        <v>NA</v>
      </c>
      <c r="J111" s="392" t="str">
        <f>IF(caustic_pipe_length=0,"--",IF(I111="contact vendor","--",C111*I111))</f>
        <v>--</v>
      </c>
      <c r="K111" s="394" t="str">
        <f>IF(caustic_pipe_length=0,"NA",VLOOKUP(caustic_pipe_diam,cpvc_pipe_cost_cl,IF(ss_cat="large",4,5)))</f>
        <v>NA</v>
      </c>
      <c r="L111" s="393"/>
      <c r="M111" s="16" t="str">
        <f>$B$110&amp;" - "&amp;B111</f>
        <v>Caustic Piping - CPVC</v>
      </c>
      <c r="N111" s="526">
        <v>2</v>
      </c>
      <c r="O111" s="651">
        <v>1</v>
      </c>
      <c r="P111" s="526">
        <v>2</v>
      </c>
      <c r="Q111" s="526">
        <v>2</v>
      </c>
      <c r="R111" s="651">
        <v>1</v>
      </c>
      <c r="S111" s="526">
        <v>2</v>
      </c>
      <c r="T111" s="526">
        <v>2</v>
      </c>
      <c r="U111" s="651">
        <v>1</v>
      </c>
      <c r="V111" s="526">
        <v>2</v>
      </c>
      <c r="W111" s="526">
        <f t="shared" si="5"/>
        <v>0</v>
      </c>
      <c r="X111" s="526">
        <f t="shared" si="6"/>
        <v>0</v>
      </c>
    </row>
    <row r="112" spans="1:24" s="16" customFormat="1">
      <c r="A112" s="252" t="s">
        <v>2414</v>
      </c>
      <c r="B112" s="21" t="s">
        <v>1333</v>
      </c>
      <c r="C112" s="21">
        <f>caustic_pipe_length</f>
        <v>0</v>
      </c>
      <c r="D112" s="389" t="s">
        <v>1330</v>
      </c>
      <c r="E112" s="394" t="str">
        <f>IF(caustic_pipe_length=0,"NA",caustic_pipe_diam)</f>
        <v>NA</v>
      </c>
      <c r="F112" s="21" t="str">
        <f>IF(caustic_pipe_length=0,"","in. diam")</f>
        <v/>
      </c>
      <c r="G112" s="394" t="str">
        <f>IF(caustic_pipe_length=0,"NA",IF(curve=1,caustic_pipe_diam,VLOOKUP(caustic_pipe_diam,pvc_pipe_cost_cl,2)))</f>
        <v>NA</v>
      </c>
      <c r="H112" s="21" t="str">
        <f>IF(caustic_pipe_length=0,"","in. diam")</f>
        <v/>
      </c>
      <c r="I112" s="395" t="str">
        <f>IF(caustic_pipe_length=0,"NA",IF(curve=1,pvc_pipe_eq_caustic,VLOOKUP(caustic_pipe_diam,pvc_pipe_cost_cl,3)))</f>
        <v>NA</v>
      </c>
      <c r="J112" s="392" t="str">
        <f>IF(caustic_pipe_length=0,"--",IF(I112="contact vendor","--",C112*I112))</f>
        <v>--</v>
      </c>
      <c r="K112" s="394" t="str">
        <f>IF(caustic_pipe_length=0,"NA",VLOOKUP(caustic_pipe_diam,pvc_pipe_cost_cl,IF(ss_cat="large",4,5)))</f>
        <v>NA</v>
      </c>
      <c r="L112" s="393"/>
      <c r="M112" s="16" t="str">
        <f>$B$110&amp;" - "&amp;B112</f>
        <v>Caustic Piping - PVC</v>
      </c>
      <c r="N112" s="526">
        <v>1</v>
      </c>
      <c r="O112" s="651">
        <v>2</v>
      </c>
      <c r="P112" s="526">
        <v>3</v>
      </c>
      <c r="Q112" s="526">
        <v>1</v>
      </c>
      <c r="R112" s="651">
        <v>2</v>
      </c>
      <c r="S112" s="526">
        <v>3</v>
      </c>
      <c r="T112" s="526">
        <v>1</v>
      </c>
      <c r="U112" s="651">
        <v>2</v>
      </c>
      <c r="V112" s="526">
        <v>3</v>
      </c>
      <c r="W112" s="526">
        <f t="shared" si="5"/>
        <v>0</v>
      </c>
      <c r="X112" s="526">
        <f t="shared" si="6"/>
        <v>0</v>
      </c>
    </row>
    <row r="113" spans="1:24" s="16" customFormat="1">
      <c r="A113" s="252" t="s">
        <v>2414</v>
      </c>
      <c r="B113" s="21" t="s">
        <v>2582</v>
      </c>
      <c r="C113" s="21">
        <f>caustic_pipe_length</f>
        <v>0</v>
      </c>
      <c r="D113" s="389" t="s">
        <v>1330</v>
      </c>
      <c r="E113" s="394" t="str">
        <f>IF(caustic_pipe_length=0,"NA",caustic_pipe_diam)</f>
        <v>NA</v>
      </c>
      <c r="F113" s="21" t="str">
        <f>IF(caustic_pipe_length=0,"","in. diam")</f>
        <v/>
      </c>
      <c r="G113" s="394" t="str">
        <f>IF(caustic_pipe_length=0,"NA",IF(curve=1,caustic_pipe_diam,VLOOKUP(caustic_pipe_diam,ss_pipe_cost_cl,2)))</f>
        <v>NA</v>
      </c>
      <c r="H113" s="21" t="str">
        <f>IF(caustic_pipe_length=0,"","in. diam")</f>
        <v/>
      </c>
      <c r="I113" s="395" t="str">
        <f>IF(caustic_pipe_length=0,"NA",IF(curve=1,ss_pipe_eq_caustic,VLOOKUP(caustic_pipe_diam,ss_pipe_cost_cl,3)))</f>
        <v>NA</v>
      </c>
      <c r="J113" s="392" t="str">
        <f>IF(caustic_pipe_length=0,"--",IF(I113="contact vendor","--",C113*I113))</f>
        <v>--</v>
      </c>
      <c r="K113" s="394" t="str">
        <f>IF(caustic_pipe_length=0,"NA",VLOOKUP(caustic_pipe_diam,ss_pipe_cost_cl,IF(ss_cat="large",4,5)))</f>
        <v>NA</v>
      </c>
      <c r="L113" s="393"/>
      <c r="M113" s="16" t="str">
        <f>$B$110&amp;" - "&amp;B113</f>
        <v>Caustic Piping - Stainless Steel</v>
      </c>
      <c r="N113" s="526">
        <v>3</v>
      </c>
      <c r="O113" s="651">
        <v>3</v>
      </c>
      <c r="P113" s="526">
        <v>1</v>
      </c>
      <c r="Q113" s="526">
        <v>3</v>
      </c>
      <c r="R113" s="651">
        <v>3</v>
      </c>
      <c r="S113" s="526">
        <v>1</v>
      </c>
      <c r="T113" s="526">
        <v>3</v>
      </c>
      <c r="U113" s="651">
        <v>3</v>
      </c>
      <c r="V113" s="526">
        <v>1</v>
      </c>
      <c r="W113" s="526">
        <f t="shared" si="5"/>
        <v>0</v>
      </c>
      <c r="X113" s="526">
        <f t="shared" si="6"/>
        <v>0</v>
      </c>
    </row>
    <row r="114" spans="1:24" s="16" customFormat="1">
      <c r="A114" s="487">
        <v>5.7</v>
      </c>
      <c r="B114" s="99" t="s">
        <v>1268</v>
      </c>
      <c r="C114" s="257"/>
      <c r="D114" s="258"/>
      <c r="E114" s="257"/>
      <c r="F114" s="257"/>
      <c r="G114" s="257"/>
      <c r="H114" s="257"/>
      <c r="I114" s="257"/>
      <c r="J114" s="257"/>
      <c r="K114" s="264"/>
      <c r="L114" s="265"/>
      <c r="N114" s="526"/>
      <c r="O114" s="526"/>
      <c r="P114" s="526"/>
      <c r="Q114" s="526"/>
      <c r="R114" s="526"/>
      <c r="S114" s="526"/>
      <c r="T114" s="526"/>
      <c r="U114" s="526"/>
      <c r="V114" s="526"/>
      <c r="W114" s="526">
        <f t="shared" si="5"/>
        <v>0</v>
      </c>
      <c r="X114" s="526">
        <f t="shared" si="6"/>
        <v>0</v>
      </c>
    </row>
    <row r="115" spans="1:24" s="16" customFormat="1">
      <c r="A115" s="486" t="s">
        <v>2415</v>
      </c>
      <c r="B115" s="405" t="s">
        <v>1332</v>
      </c>
      <c r="C115" s="21">
        <f>res_pipe_length</f>
        <v>100</v>
      </c>
      <c r="D115" s="389" t="s">
        <v>1330</v>
      </c>
      <c r="E115" s="394">
        <f>res_pipe_diam</f>
        <v>1</v>
      </c>
      <c r="F115" s="21" t="s">
        <v>1331</v>
      </c>
      <c r="G115" s="394">
        <f>IF(curve=1,res_pipe_diam,VLOOKUP(res_pipe_diam,cpvc_pipe_cost_cl,2))</f>
        <v>1</v>
      </c>
      <c r="H115" s="21" t="s">
        <v>1331</v>
      </c>
      <c r="I115" s="406">
        <f>IF(curve=1,cpvc_pipe_eq_res,VLOOKUP(res_pipe_diam,cpvc_pipe_cost_cl,3))</f>
        <v>4.6124254279999999</v>
      </c>
      <c r="J115" s="392">
        <f>IF(I115="contact vendor","--",C115*I115)</f>
        <v>461.24254279999997</v>
      </c>
      <c r="K115" s="208">
        <f>VLOOKUP(res_pipe_diam,cpvc_pipe_cost_cl,IF(ss_cat="large",4,5))</f>
        <v>22</v>
      </c>
      <c r="L115" s="407">
        <v>0</v>
      </c>
      <c r="M115" s="16" t="str">
        <f t="shared" ref="M115:M122" si="7">$B$114&amp;" "&amp;" - "&amp;B115</f>
        <v>Residuals Piping  - CPVC</v>
      </c>
      <c r="N115" s="526">
        <v>2</v>
      </c>
      <c r="O115" s="526">
        <v>1</v>
      </c>
      <c r="P115" s="526">
        <v>3</v>
      </c>
      <c r="Q115" s="526">
        <v>2</v>
      </c>
      <c r="R115" s="526">
        <v>1</v>
      </c>
      <c r="S115" s="526">
        <v>3</v>
      </c>
      <c r="T115" s="526">
        <v>2</v>
      </c>
      <c r="U115" s="526">
        <v>1</v>
      </c>
      <c r="V115" s="526">
        <v>3</v>
      </c>
      <c r="W115" s="526">
        <f t="shared" si="5"/>
        <v>0</v>
      </c>
      <c r="X115" s="526">
        <f t="shared" si="6"/>
        <v>0</v>
      </c>
    </row>
    <row r="116" spans="1:24" s="16" customFormat="1">
      <c r="A116" s="486" t="s">
        <v>2415</v>
      </c>
      <c r="B116" s="405" t="s">
        <v>1333</v>
      </c>
      <c r="C116" s="21">
        <f>res_pipe_length</f>
        <v>100</v>
      </c>
      <c r="D116" s="389" t="s">
        <v>1330</v>
      </c>
      <c r="E116" s="394">
        <f>res_pipe_diam</f>
        <v>1</v>
      </c>
      <c r="F116" s="21" t="s">
        <v>1331</v>
      </c>
      <c r="G116" s="394">
        <f>IF(curve=1,res_pipe_diam,VLOOKUP(res_pipe_diam,pvc_pipe_cost_cl,2))</f>
        <v>1</v>
      </c>
      <c r="H116" s="21" t="s">
        <v>1331</v>
      </c>
      <c r="I116" s="406">
        <f>IF(curve=1,pvc_pipe_eq_res,VLOOKUP(res_pipe_diam,pvc_pipe_cost_cl,3))</f>
        <v>2.325803826</v>
      </c>
      <c r="J116" s="392">
        <f>IF(I116="contact vendor","--",C116*I116)</f>
        <v>232.58038260000001</v>
      </c>
      <c r="K116" s="208">
        <f>VLOOKUP(res_pipe_diam,pvc_pipe_cost_cl,IF(ss_cat="large",4,5))</f>
        <v>22</v>
      </c>
      <c r="L116" s="407">
        <v>1</v>
      </c>
      <c r="M116" s="16" t="str">
        <f t="shared" si="7"/>
        <v>Residuals Piping  - PVC</v>
      </c>
      <c r="N116" s="526">
        <v>1</v>
      </c>
      <c r="O116" s="651">
        <v>2</v>
      </c>
      <c r="P116" s="526">
        <v>4</v>
      </c>
      <c r="Q116" s="526">
        <v>1</v>
      </c>
      <c r="R116" s="651">
        <v>2</v>
      </c>
      <c r="S116" s="526">
        <v>4</v>
      </c>
      <c r="T116" s="526">
        <v>1</v>
      </c>
      <c r="U116" s="651">
        <v>2</v>
      </c>
      <c r="V116" s="526">
        <v>4</v>
      </c>
      <c r="W116" s="526">
        <f t="shared" si="5"/>
        <v>1</v>
      </c>
      <c r="X116" s="526">
        <f t="shared" si="6"/>
        <v>10.571835572727274</v>
      </c>
    </row>
    <row r="117" spans="1:24" s="16" customFormat="1">
      <c r="A117" s="486" t="s">
        <v>2415</v>
      </c>
      <c r="B117" s="405" t="s">
        <v>2582</v>
      </c>
      <c r="C117" s="21">
        <f>res_pipe_length</f>
        <v>100</v>
      </c>
      <c r="D117" s="389" t="s">
        <v>1330</v>
      </c>
      <c r="E117" s="394">
        <f>res_pipe_diam</f>
        <v>1</v>
      </c>
      <c r="F117" s="21" t="s">
        <v>1331</v>
      </c>
      <c r="G117" s="394">
        <f>IF(curve=1,res_pipe_diam,VLOOKUP(res_pipe_diam,ss_pipe_cost_cl,2))</f>
        <v>1</v>
      </c>
      <c r="H117" s="21" t="s">
        <v>1331</v>
      </c>
      <c r="I117" s="406">
        <f>IF(curve=1,ss_pipe_eq_res,VLOOKUP(res_pipe_diam,ss_pipe_cost_cl,3))</f>
        <v>43.926352131999998</v>
      </c>
      <c r="J117" s="392">
        <f>IF(I117="contact vendor","--",C117*I117)</f>
        <v>4392.6352132000002</v>
      </c>
      <c r="K117" s="208">
        <f>VLOOKUP(res_pipe_diam,ss_pipe_cost_cl,IF(ss_cat="large",4,5))</f>
        <v>45</v>
      </c>
      <c r="L117" s="407">
        <v>0</v>
      </c>
      <c r="M117" s="16" t="str">
        <f t="shared" si="7"/>
        <v>Residuals Piping  - Stainless Steel</v>
      </c>
      <c r="N117" s="526">
        <v>4</v>
      </c>
      <c r="O117" s="651">
        <v>4</v>
      </c>
      <c r="P117" s="526">
        <v>1</v>
      </c>
      <c r="Q117" s="526">
        <v>4</v>
      </c>
      <c r="R117" s="651">
        <v>4</v>
      </c>
      <c r="S117" s="526">
        <v>1</v>
      </c>
      <c r="T117" s="526">
        <v>4</v>
      </c>
      <c r="U117" s="651">
        <v>4</v>
      </c>
      <c r="V117" s="526">
        <v>1</v>
      </c>
      <c r="W117" s="526">
        <f t="shared" si="5"/>
        <v>0</v>
      </c>
      <c r="X117" s="526">
        <f t="shared" si="6"/>
        <v>0</v>
      </c>
    </row>
    <row r="118" spans="1:24" s="16" customFormat="1">
      <c r="A118" s="486" t="s">
        <v>2415</v>
      </c>
      <c r="B118" s="405" t="s">
        <v>1334</v>
      </c>
      <c r="C118" s="21">
        <f>res_pipe_length</f>
        <v>100</v>
      </c>
      <c r="D118" s="389" t="s">
        <v>1330</v>
      </c>
      <c r="E118" s="394">
        <f>res_pipe_diam</f>
        <v>1</v>
      </c>
      <c r="F118" s="21" t="s">
        <v>1331</v>
      </c>
      <c r="G118" s="394">
        <f>IF(curve=1,res_pipe_diam,VLOOKUP(res_pipe_diam,st_pipe_cost_cl,2))</f>
        <v>1</v>
      </c>
      <c r="H118" s="21" t="s">
        <v>1331</v>
      </c>
      <c r="I118" s="406">
        <f>IF(curve=1,st_pipe_eq_res,VLOOKUP(res_pipe_diam,st_pipe_cost_cl,3))</f>
        <v>20.769417377</v>
      </c>
      <c r="J118" s="392">
        <f>IF(I118="contact vendor","--",C118*I118)</f>
        <v>2076.9417377</v>
      </c>
      <c r="K118" s="208">
        <f>VLOOKUP(res_pipe_diam,st_pipe_cost_cl,IF(ss_cat="large",4,5))</f>
        <v>35</v>
      </c>
      <c r="L118" s="407">
        <v>0</v>
      </c>
      <c r="M118" s="16" t="str">
        <f t="shared" si="7"/>
        <v>Residuals Piping  - Steel</v>
      </c>
      <c r="N118" s="526">
        <v>3</v>
      </c>
      <c r="O118" s="651">
        <v>3</v>
      </c>
      <c r="P118" s="526">
        <v>2</v>
      </c>
      <c r="Q118" s="526">
        <v>3</v>
      </c>
      <c r="R118" s="651">
        <v>3</v>
      </c>
      <c r="S118" s="526">
        <v>2</v>
      </c>
      <c r="T118" s="526">
        <v>3</v>
      </c>
      <c r="U118" s="651">
        <v>3</v>
      </c>
      <c r="V118" s="526">
        <v>2</v>
      </c>
      <c r="W118" s="526">
        <f t="shared" si="5"/>
        <v>0</v>
      </c>
      <c r="X118" s="526">
        <f t="shared" si="6"/>
        <v>0</v>
      </c>
    </row>
    <row r="119" spans="1:24" customFormat="1">
      <c r="A119" s="486" t="s">
        <v>3241</v>
      </c>
      <c r="B119" s="520" t="s">
        <v>566</v>
      </c>
      <c r="C119" s="390">
        <f>res_trench_vol</f>
        <v>0</v>
      </c>
      <c r="D119" s="389" t="s">
        <v>1349</v>
      </c>
      <c r="E119" s="394" t="s">
        <v>1343</v>
      </c>
      <c r="F119" s="394"/>
      <c r="G119" s="394" t="s">
        <v>1343</v>
      </c>
      <c r="H119" s="21"/>
      <c r="I119" s="395" t="str">
        <f>IF(C119=0,"NA",VLOOKUP(0,excavate_cost_cl,3))</f>
        <v>NA</v>
      </c>
      <c r="J119" s="392" t="str">
        <f>IF(OR(I119="contact vendor",C119=0),"--",C119*I119)</f>
        <v>--</v>
      </c>
      <c r="K119" s="394" t="str">
        <f>IF(I119="NA","N/A",IF(L115=1,K115,IF(L116=1,K116,IF(L117=1,K117,IF(L118=1,K118,"N/A")))))</f>
        <v>N/A</v>
      </c>
      <c r="L119" s="393"/>
      <c r="M119" s="16" t="str">
        <f t="shared" si="7"/>
        <v>Residuals Piping  - Excavation</v>
      </c>
      <c r="N119" s="526">
        <v>1</v>
      </c>
      <c r="O119" s="526">
        <v>1</v>
      </c>
      <c r="P119" s="526">
        <v>1</v>
      </c>
      <c r="Q119" s="526">
        <v>1</v>
      </c>
      <c r="R119" s="526">
        <v>1</v>
      </c>
      <c r="S119" s="526">
        <v>1</v>
      </c>
      <c r="T119" s="526">
        <v>1</v>
      </c>
      <c r="U119" s="526">
        <v>1</v>
      </c>
      <c r="V119" s="526">
        <v>1</v>
      </c>
      <c r="W119" s="526">
        <f t="shared" si="5"/>
        <v>0</v>
      </c>
      <c r="X119" s="526">
        <f t="shared" si="6"/>
        <v>0</v>
      </c>
    </row>
    <row r="120" spans="1:24" customFormat="1">
      <c r="A120" s="486" t="s">
        <v>3242</v>
      </c>
      <c r="B120" s="520" t="s">
        <v>347</v>
      </c>
      <c r="C120" s="390">
        <f>res_pipe_bedding_vol</f>
        <v>0</v>
      </c>
      <c r="D120" s="389" t="s">
        <v>1349</v>
      </c>
      <c r="E120" s="394" t="s">
        <v>1343</v>
      </c>
      <c r="F120" s="394"/>
      <c r="G120" s="394" t="s">
        <v>1343</v>
      </c>
      <c r="H120" s="21"/>
      <c r="I120" s="395" t="str">
        <f>IF(C120=0,"NA",VLOOKUP(0,bedding_cost_cl,3))</f>
        <v>NA</v>
      </c>
      <c r="J120" s="392" t="str">
        <f>IF(OR(I120="contact vendor",C120=0),"--",C120*I120)</f>
        <v>--</v>
      </c>
      <c r="K120" s="394" t="str">
        <f>IF(I120="NA","N/A",IF(L115=1,K115,IF(L116=1,K116,IF(L117=1,K117,IF(L118=1,K118,"N/A")))))</f>
        <v>N/A</v>
      </c>
      <c r="L120" s="393"/>
      <c r="M120" s="16" t="str">
        <f t="shared" si="7"/>
        <v>Residuals Piping  - Bedding</v>
      </c>
      <c r="N120" s="526">
        <v>1</v>
      </c>
      <c r="O120" s="526">
        <v>1</v>
      </c>
      <c r="P120" s="526">
        <v>1</v>
      </c>
      <c r="Q120" s="526">
        <v>1</v>
      </c>
      <c r="R120" s="526">
        <v>1</v>
      </c>
      <c r="S120" s="526">
        <v>1</v>
      </c>
      <c r="T120" s="526">
        <v>1</v>
      </c>
      <c r="U120" s="526">
        <v>1</v>
      </c>
      <c r="V120" s="526">
        <v>1</v>
      </c>
      <c r="W120" s="526">
        <f t="shared" si="5"/>
        <v>0</v>
      </c>
      <c r="X120" s="526">
        <f t="shared" si="6"/>
        <v>0</v>
      </c>
    </row>
    <row r="121" spans="1:24" customFormat="1">
      <c r="A121" s="486" t="s">
        <v>3243</v>
      </c>
      <c r="B121" s="520" t="s">
        <v>348</v>
      </c>
      <c r="C121" s="390">
        <f>res_trench_vol</f>
        <v>0</v>
      </c>
      <c r="D121" s="389" t="s">
        <v>1349</v>
      </c>
      <c r="E121" s="394" t="s">
        <v>1343</v>
      </c>
      <c r="F121" s="394"/>
      <c r="G121" s="394" t="s">
        <v>1343</v>
      </c>
      <c r="H121" s="21"/>
      <c r="I121" s="395" t="str">
        <f>IF(C121=0,"NA",VLOOKUP(0,backfill_cost_cl,3))</f>
        <v>NA</v>
      </c>
      <c r="J121" s="392" t="str">
        <f>IF(OR(I121="contact vendor",C121=0),"--",C121*I121)</f>
        <v>--</v>
      </c>
      <c r="K121" s="394" t="str">
        <f>IF(I121="NA","N/A",IF(L115=1,K115,IF(L116=1,K116,IF(L117=1,K117,IF(L118=1,K118,"N/A")))))</f>
        <v>N/A</v>
      </c>
      <c r="L121" s="407"/>
      <c r="M121" s="16" t="str">
        <f t="shared" si="7"/>
        <v xml:space="preserve">Residuals Piping  - Backfill and Compaction </v>
      </c>
      <c r="N121" s="526">
        <v>1</v>
      </c>
      <c r="O121" s="526">
        <v>1</v>
      </c>
      <c r="P121" s="526">
        <v>1</v>
      </c>
      <c r="Q121" s="526">
        <v>1</v>
      </c>
      <c r="R121" s="526">
        <v>1</v>
      </c>
      <c r="S121" s="526">
        <v>1</v>
      </c>
      <c r="T121" s="526">
        <v>1</v>
      </c>
      <c r="U121" s="526">
        <v>1</v>
      </c>
      <c r="V121" s="526">
        <v>1</v>
      </c>
      <c r="W121" s="526">
        <f t="shared" si="5"/>
        <v>0</v>
      </c>
      <c r="X121" s="526">
        <f t="shared" si="6"/>
        <v>0</v>
      </c>
    </row>
    <row r="122" spans="1:24" customFormat="1">
      <c r="A122" s="486" t="s">
        <v>3244</v>
      </c>
      <c r="B122" s="520" t="s">
        <v>349</v>
      </c>
      <c r="C122" s="390">
        <f>res_block_vol</f>
        <v>0</v>
      </c>
      <c r="D122" s="389" t="s">
        <v>1349</v>
      </c>
      <c r="E122" s="394" t="s">
        <v>1343</v>
      </c>
      <c r="F122" s="394"/>
      <c r="G122" s="394" t="s">
        <v>1343</v>
      </c>
      <c r="H122" s="21"/>
      <c r="I122" s="395" t="str">
        <f>IF(C122=0,"NA",VLOOKUP(0,conc_basin_cost_cl,3))</f>
        <v>NA</v>
      </c>
      <c r="J122" s="392" t="str">
        <f>IF(OR(I122="contact vendor",C122=0),"--",C122*I122)</f>
        <v>--</v>
      </c>
      <c r="K122" s="394" t="str">
        <f>IF(I122="NA","N/A",IF(L115=1,K115,IF(L116=1,K116,IF(L117=1,K117,IF(L118=1,K118,"N/A")))))</f>
        <v>N/A</v>
      </c>
      <c r="L122" s="407"/>
      <c r="M122" s="16" t="str">
        <f t="shared" si="7"/>
        <v>Residuals Piping  - Thrust Blocks</v>
      </c>
      <c r="N122" s="526">
        <v>1</v>
      </c>
      <c r="O122" s="526">
        <v>1</v>
      </c>
      <c r="P122" s="526">
        <v>1</v>
      </c>
      <c r="Q122" s="526">
        <v>1</v>
      </c>
      <c r="R122" s="526">
        <v>1</v>
      </c>
      <c r="S122" s="526">
        <v>1</v>
      </c>
      <c r="T122" s="526">
        <v>1</v>
      </c>
      <c r="U122" s="526">
        <v>1</v>
      </c>
      <c r="V122" s="526">
        <v>1</v>
      </c>
      <c r="W122" s="526">
        <f t="shared" si="5"/>
        <v>0</v>
      </c>
      <c r="X122" s="526">
        <f t="shared" si="6"/>
        <v>0</v>
      </c>
    </row>
    <row r="123" spans="1:24" customFormat="1">
      <c r="A123" s="632">
        <v>5.8</v>
      </c>
      <c r="B123" s="844" t="s">
        <v>3379</v>
      </c>
      <c r="C123" s="628"/>
      <c r="D123" s="609"/>
      <c r="E123" s="274"/>
      <c r="F123" s="615"/>
      <c r="G123" s="633"/>
      <c r="H123" s="615"/>
      <c r="I123" s="274"/>
      <c r="J123" s="274"/>
      <c r="K123" s="274"/>
      <c r="L123" s="265"/>
      <c r="M123" s="16"/>
      <c r="N123" s="526"/>
      <c r="O123" s="526"/>
      <c r="P123" s="526"/>
      <c r="Q123" s="526"/>
      <c r="R123" s="526"/>
      <c r="S123" s="526"/>
      <c r="T123" s="526"/>
      <c r="U123" s="526"/>
      <c r="V123" s="526"/>
      <c r="W123" s="526">
        <f>IF(ISERROR(K123*L123),0,IF(K123&lt;1,0,L123))</f>
        <v>0</v>
      </c>
      <c r="X123" s="526">
        <f>IF(W123,J123/K123,0)</f>
        <v>0</v>
      </c>
    </row>
    <row r="124" spans="1:24" customFormat="1">
      <c r="A124" s="486" t="s">
        <v>2416</v>
      </c>
      <c r="B124" s="1" t="s">
        <v>1332</v>
      </c>
      <c r="C124" s="21">
        <f>coag_pipe_length</f>
        <v>0</v>
      </c>
      <c r="D124" s="397" t="s">
        <v>1330</v>
      </c>
      <c r="E124" s="208" t="str">
        <f>IF(C124=0,"NA",coag_pipe_diam)</f>
        <v>NA</v>
      </c>
      <c r="F124" s="1" t="str">
        <f>IF(C124=0,"","in diam")</f>
        <v/>
      </c>
      <c r="G124" s="208" t="str">
        <f>IF(C124=0,"NA",IF(curve=1,coag_pipe_diam,VLOOKUP(coag_pipe_diam,cpvc_pipe_cost_cl,2)))</f>
        <v>NA</v>
      </c>
      <c r="H124" s="480" t="str">
        <f>IF(C124=0,"","in diam")</f>
        <v/>
      </c>
      <c r="I124" s="631" t="str">
        <f>IF(C124=0,"NA",IF(curve=1,cpvc_pipe_eq_coag,VLOOKUP(coag_pipe_diam,cpvc_pipe_cost_cl,3)))</f>
        <v>NA</v>
      </c>
      <c r="J124" s="410" t="str">
        <f>IF(OR(C124=0,I124="contact vendor"),"--",C124*I124)</f>
        <v>--</v>
      </c>
      <c r="K124" s="208" t="str">
        <f>IF(C124=0,"NA",VLOOKUP(coag_pipe_diam,cpvc_pipe_cost_cl,IF(ss_cat="large",4,5)))</f>
        <v>NA</v>
      </c>
      <c r="L124" s="407"/>
      <c r="M124" s="16" t="str">
        <f>$B$123&amp;" "&amp;" - "&amp;B124</f>
        <v>Ferric Chloride Piping  - CPVC</v>
      </c>
      <c r="N124" s="526">
        <v>2</v>
      </c>
      <c r="O124" s="651">
        <v>1</v>
      </c>
      <c r="P124" s="526">
        <v>1</v>
      </c>
      <c r="Q124" s="526">
        <v>2</v>
      </c>
      <c r="R124" s="651">
        <v>1</v>
      </c>
      <c r="S124" s="651">
        <v>1</v>
      </c>
      <c r="T124" s="526">
        <v>2</v>
      </c>
      <c r="U124" s="651">
        <v>1</v>
      </c>
      <c r="V124" s="651">
        <v>1</v>
      </c>
      <c r="W124" s="526">
        <f>IF(ISERROR(K124*L124),0,IF(K124&lt;1,0,L124))</f>
        <v>0</v>
      </c>
      <c r="X124" s="526">
        <f>IF(W124,J124/K124,0)</f>
        <v>0</v>
      </c>
    </row>
    <row r="125" spans="1:24" customFormat="1">
      <c r="A125" s="486" t="s">
        <v>2416</v>
      </c>
      <c r="B125" s="1" t="s">
        <v>1333</v>
      </c>
      <c r="C125" s="21">
        <f>coag_pipe_length</f>
        <v>0</v>
      </c>
      <c r="D125" s="397" t="s">
        <v>1330</v>
      </c>
      <c r="E125" s="208" t="str">
        <f>IF(C125=0,"NA",coag_pipe_diam)</f>
        <v>NA</v>
      </c>
      <c r="F125" s="1" t="str">
        <f>IF(C125=0,"","in diam")</f>
        <v/>
      </c>
      <c r="G125" s="208" t="str">
        <f>IF(C125=0,"NA",IF(curve=1,coag_pipe_diam,VLOOKUP(coag_pipe_diam,pvc_pipe_cost_cl,2)))</f>
        <v>NA</v>
      </c>
      <c r="H125" s="480" t="str">
        <f>IF(C125=0,"","in diam")</f>
        <v/>
      </c>
      <c r="I125" s="631" t="str">
        <f>IF(C125=0,"NA",IF(curve=1,pvc_pipe_eq_coag,VLOOKUP(coag_pipe_diam,pvc_pipe_cost_cl,3)))</f>
        <v>NA</v>
      </c>
      <c r="J125" s="410" t="str">
        <f>IF(OR(C125=0,I125="contact vendor"),"--",C125*I125)</f>
        <v>--</v>
      </c>
      <c r="K125" s="208" t="str">
        <f>IF(C125=0,"NA",VLOOKUP(coag_pipe_diam,pvc_pipe_cost_cl,IF(ss_cat="large",4,5)))</f>
        <v>NA</v>
      </c>
      <c r="L125" s="407"/>
      <c r="M125" s="16" t="str">
        <f>$B$123&amp;" "&amp;" - "&amp;B125</f>
        <v>Ferric Chloride Piping  - PVC</v>
      </c>
      <c r="N125" s="526">
        <v>1</v>
      </c>
      <c r="O125" s="651">
        <v>2</v>
      </c>
      <c r="P125" s="526">
        <v>2</v>
      </c>
      <c r="Q125" s="526">
        <v>1</v>
      </c>
      <c r="R125" s="651">
        <v>2</v>
      </c>
      <c r="S125" s="651">
        <v>2</v>
      </c>
      <c r="T125" s="526">
        <v>1</v>
      </c>
      <c r="U125" s="651">
        <v>2</v>
      </c>
      <c r="V125" s="651">
        <v>2</v>
      </c>
      <c r="W125" s="526">
        <f>IF(ISERROR(K125*L125),0,IF(K125&lt;1,0,L125))</f>
        <v>0</v>
      </c>
      <c r="X125" s="526">
        <f>IF(W125,J125/K125,0)</f>
        <v>0</v>
      </c>
    </row>
    <row r="126" spans="1:24" customFormat="1">
      <c r="A126" s="632">
        <v>5.9</v>
      </c>
      <c r="B126" s="41" t="s">
        <v>1370</v>
      </c>
      <c r="C126" s="628"/>
      <c r="D126" s="609"/>
      <c r="E126" s="274"/>
      <c r="F126" s="615"/>
      <c r="G126" s="633"/>
      <c r="H126" s="615"/>
      <c r="I126" s="274"/>
      <c r="J126" s="274"/>
      <c r="K126" s="274"/>
      <c r="L126" s="265"/>
      <c r="M126" s="16"/>
      <c r="N126" s="526"/>
      <c r="O126" s="526"/>
      <c r="P126" s="526"/>
      <c r="Q126" s="526"/>
      <c r="R126" s="526"/>
      <c r="S126" s="526"/>
      <c r="T126" s="526"/>
      <c r="U126" s="526"/>
      <c r="V126" s="526"/>
      <c r="W126" s="526">
        <f t="shared" si="5"/>
        <v>0</v>
      </c>
      <c r="X126" s="526">
        <f t="shared" si="6"/>
        <v>0</v>
      </c>
    </row>
    <row r="127" spans="1:24" customFormat="1">
      <c r="A127" s="486" t="s">
        <v>3398</v>
      </c>
      <c r="B127" s="1" t="s">
        <v>1332</v>
      </c>
      <c r="C127" s="21">
        <f>polymer_pipe_length</f>
        <v>0</v>
      </c>
      <c r="D127" s="397" t="s">
        <v>1330</v>
      </c>
      <c r="E127" s="208" t="str">
        <f>IF(C127=0,"NA",polymer_pipe_diam)</f>
        <v>NA</v>
      </c>
      <c r="F127" s="1" t="str">
        <f>IF(C127=0,"","in diam")</f>
        <v/>
      </c>
      <c r="G127" s="208" t="str">
        <f>IF(C127=0,"NA",IF(curve=1,polymer_pipe_diam,VLOOKUP(polymer_pipe_diam,cpvc_pipe_cost_cl,2)))</f>
        <v>NA</v>
      </c>
      <c r="H127" s="480" t="str">
        <f>IF(C127=0,"","in diam")</f>
        <v/>
      </c>
      <c r="I127" s="631" t="str">
        <f>IF(C127=0,"NA",IF(curve=1,cpvc_pipe_eq_polymer,VLOOKUP(polymer_pipe_diam,cpvc_pipe_cost_cl,3)))</f>
        <v>NA</v>
      </c>
      <c r="J127" s="410" t="str">
        <f>IF(OR(C127=0,I127="contact vendor"),"--",C127*I127)</f>
        <v>--</v>
      </c>
      <c r="K127" s="208" t="str">
        <f>IF(C127=0,"NA",VLOOKUP(polymer_pipe_diam,cpvc_pipe_cost_cl,IF(ss_cat="large",4,5)))</f>
        <v>NA</v>
      </c>
      <c r="L127" s="407"/>
      <c r="M127" s="16" t="str">
        <f>$B$126&amp;" "&amp;" - "&amp;B127</f>
        <v>Polymer Piping  - CPVC</v>
      </c>
      <c r="N127" s="526">
        <v>2</v>
      </c>
      <c r="O127" s="651">
        <v>1</v>
      </c>
      <c r="P127" s="526">
        <v>3</v>
      </c>
      <c r="Q127" s="526">
        <v>2</v>
      </c>
      <c r="R127" s="651">
        <v>1</v>
      </c>
      <c r="S127" s="526">
        <v>3</v>
      </c>
      <c r="T127" s="526">
        <v>2</v>
      </c>
      <c r="U127" s="651">
        <v>1</v>
      </c>
      <c r="V127" s="526">
        <v>3</v>
      </c>
      <c r="W127" s="526">
        <f t="shared" si="5"/>
        <v>0</v>
      </c>
      <c r="X127" s="526">
        <f t="shared" si="6"/>
        <v>0</v>
      </c>
    </row>
    <row r="128" spans="1:24" customFormat="1">
      <c r="A128" s="486" t="s">
        <v>3398</v>
      </c>
      <c r="B128" s="1" t="s">
        <v>1333</v>
      </c>
      <c r="C128" s="21">
        <f>polymer_pipe_length</f>
        <v>0</v>
      </c>
      <c r="D128" s="397" t="s">
        <v>1330</v>
      </c>
      <c r="E128" s="208" t="str">
        <f>IF(C128=0,"NA",polymer_pipe_diam)</f>
        <v>NA</v>
      </c>
      <c r="F128" s="1" t="str">
        <f>IF(C128=0,"","in diam")</f>
        <v/>
      </c>
      <c r="G128" s="208" t="str">
        <f>IF(C128=0,"NA",IF(curve=1,polymer_pipe_diam,VLOOKUP(polymer_pipe_diam,pvc_pipe_cost_cl,2)))</f>
        <v>NA</v>
      </c>
      <c r="H128" s="480" t="str">
        <f>IF(C128=0,"","in diam")</f>
        <v/>
      </c>
      <c r="I128" s="631" t="str">
        <f>IF(C128=0,"NA",IF(curve=1,pvc_pipe_eq_polymer,VLOOKUP(polymer_pipe_diam,pvc_pipe_cost_cl,3)))</f>
        <v>NA</v>
      </c>
      <c r="J128" s="410" t="str">
        <f>IF(OR(C128=0,I128="contact vendor"),"--",C128*I128)</f>
        <v>--</v>
      </c>
      <c r="K128" s="208" t="str">
        <f>IF(C128=0,"NA",VLOOKUP(polymer_pipe_diam,pvc_pipe_cost_cl,IF(ss_cat="large",4,5)))</f>
        <v>NA</v>
      </c>
      <c r="L128" s="407"/>
      <c r="M128" s="16" t="str">
        <f>$B$126&amp;" "&amp;" - "&amp;B128</f>
        <v>Polymer Piping  - PVC</v>
      </c>
      <c r="N128" s="526">
        <v>1</v>
      </c>
      <c r="O128" s="651">
        <v>2</v>
      </c>
      <c r="P128" s="526">
        <v>4</v>
      </c>
      <c r="Q128" s="526">
        <v>1</v>
      </c>
      <c r="R128" s="651">
        <v>2</v>
      </c>
      <c r="S128" s="526">
        <v>4</v>
      </c>
      <c r="T128" s="526">
        <v>1</v>
      </c>
      <c r="U128" s="651">
        <v>2</v>
      </c>
      <c r="V128" s="526">
        <v>4</v>
      </c>
      <c r="W128" s="526">
        <f t="shared" si="5"/>
        <v>0</v>
      </c>
      <c r="X128" s="526">
        <f t="shared" si="6"/>
        <v>0</v>
      </c>
    </row>
    <row r="129" spans="1:24" customFormat="1">
      <c r="A129" s="486" t="s">
        <v>3398</v>
      </c>
      <c r="B129" s="1" t="s">
        <v>2582</v>
      </c>
      <c r="C129" s="21">
        <f>polymer_pipe_length</f>
        <v>0</v>
      </c>
      <c r="D129" s="397" t="s">
        <v>1330</v>
      </c>
      <c r="E129" s="208" t="str">
        <f>IF(C129=0,"NA",polymer_pipe_diam)</f>
        <v>NA</v>
      </c>
      <c r="F129" s="1" t="str">
        <f>IF(C129=0,"","in diam")</f>
        <v/>
      </c>
      <c r="G129" s="208" t="str">
        <f>IF(C129=0,"NA",IF(curve=1,polymer_pipe_diam,VLOOKUP(polymer_pipe_diam,ss_pipe_cost_cl,2)))</f>
        <v>NA</v>
      </c>
      <c r="H129" s="480" t="str">
        <f>IF(C129=0,"","in diam")</f>
        <v/>
      </c>
      <c r="I129" s="631" t="str">
        <f>IF(C129=0,"NA",IF(curve=1,ss_pipe_eq_polymer,VLOOKUP(polymer_pipe_diam,ss_pipe_cost_cl,3)))</f>
        <v>NA</v>
      </c>
      <c r="J129" s="410" t="str">
        <f>IF(OR(C129=0,I129="contact vendor"),"--",C129*I129)</f>
        <v>--</v>
      </c>
      <c r="K129" s="208" t="str">
        <f>IF(C129=0,"NA",VLOOKUP(polymer_pipe_diam,ss_pipe_cost_cl,IF(ss_cat="large",4,5)))</f>
        <v>NA</v>
      </c>
      <c r="L129" s="407"/>
      <c r="M129" s="16" t="str">
        <f>$B$126&amp;" "&amp;" - "&amp;B129</f>
        <v>Polymer Piping  - Stainless Steel</v>
      </c>
      <c r="N129" s="526">
        <v>4</v>
      </c>
      <c r="O129" s="526">
        <v>4</v>
      </c>
      <c r="P129" s="526">
        <v>1</v>
      </c>
      <c r="Q129" s="526">
        <v>4</v>
      </c>
      <c r="R129" s="526">
        <v>4</v>
      </c>
      <c r="S129" s="526">
        <v>1</v>
      </c>
      <c r="T129" s="526">
        <v>4</v>
      </c>
      <c r="U129" s="526">
        <v>4</v>
      </c>
      <c r="V129" s="526">
        <v>1</v>
      </c>
      <c r="W129" s="526">
        <f t="shared" si="5"/>
        <v>0</v>
      </c>
      <c r="X129" s="526">
        <f t="shared" si="6"/>
        <v>0</v>
      </c>
    </row>
    <row r="130" spans="1:24" customFormat="1">
      <c r="A130" s="486" t="s">
        <v>3398</v>
      </c>
      <c r="B130" s="1" t="s">
        <v>1334</v>
      </c>
      <c r="C130" s="21">
        <f>polymer_pipe_length</f>
        <v>0</v>
      </c>
      <c r="D130" s="397" t="s">
        <v>1330</v>
      </c>
      <c r="E130" s="208" t="str">
        <f>IF(C130=0,"NA",polymer_pipe_diam)</f>
        <v>NA</v>
      </c>
      <c r="F130" s="1" t="str">
        <f>IF(C130=0,"","in diam")</f>
        <v/>
      </c>
      <c r="G130" s="208" t="str">
        <f>IF(C130=0,"NA",IF(curve=1,polymer_pipe_diam,VLOOKUP(polymer_pipe_diam,st_pipe_cost_cl,2)))</f>
        <v>NA</v>
      </c>
      <c r="H130" s="480" t="str">
        <f>IF(C130=0,"","in diam")</f>
        <v/>
      </c>
      <c r="I130" s="631" t="str">
        <f>IF(C130=0,"NA",IF(curve=1,st_pipe_eq_polymer,VLOOKUP(polymer_pipe_diam,st_pipe_cost_cl,3)))</f>
        <v>NA</v>
      </c>
      <c r="J130" s="410" t="str">
        <f>IF(OR(C130=0,I130="contact vendor"),"--",C130*I130)</f>
        <v>--</v>
      </c>
      <c r="K130" s="208" t="str">
        <f>IF(C130=0,"NA",VLOOKUP(polymer_pipe_diam,st_pipe_cost_cl,IF(ss_cat="large",4,5)))</f>
        <v>NA</v>
      </c>
      <c r="L130" s="407"/>
      <c r="M130" s="16" t="str">
        <f>$B$126&amp;" "&amp;" - "&amp;B130</f>
        <v>Polymer Piping  - Steel</v>
      </c>
      <c r="N130" s="526">
        <v>3</v>
      </c>
      <c r="O130" s="526">
        <v>3</v>
      </c>
      <c r="P130" s="526">
        <v>2</v>
      </c>
      <c r="Q130" s="526">
        <v>3</v>
      </c>
      <c r="R130" s="526">
        <v>3</v>
      </c>
      <c r="S130" s="526">
        <v>2</v>
      </c>
      <c r="T130" s="526">
        <v>3</v>
      </c>
      <c r="U130" s="526">
        <v>3</v>
      </c>
      <c r="V130" s="526">
        <v>2</v>
      </c>
      <c r="W130" s="526">
        <f t="shared" si="5"/>
        <v>0</v>
      </c>
      <c r="X130" s="526">
        <f t="shared" si="6"/>
        <v>0</v>
      </c>
    </row>
    <row r="131" spans="1:24" s="16" customFormat="1">
      <c r="A131" s="483">
        <v>6</v>
      </c>
      <c r="B131" s="28" t="s">
        <v>2191</v>
      </c>
      <c r="C131" s="28"/>
      <c r="D131" s="253"/>
      <c r="E131" s="28"/>
      <c r="F131" s="28"/>
      <c r="G131" s="28"/>
      <c r="H131" s="28"/>
      <c r="I131" s="256"/>
      <c r="J131" s="256"/>
      <c r="K131" s="28"/>
      <c r="L131" s="254"/>
      <c r="N131" s="651"/>
      <c r="O131" s="651"/>
      <c r="P131" s="651"/>
      <c r="Q131" s="651"/>
      <c r="R131" s="651"/>
      <c r="S131" s="651"/>
      <c r="T131" s="651"/>
      <c r="U131" s="651"/>
      <c r="V131" s="651"/>
      <c r="W131" s="526">
        <f t="shared" si="5"/>
        <v>0</v>
      </c>
      <c r="X131" s="526">
        <f t="shared" si="6"/>
        <v>0</v>
      </c>
    </row>
    <row r="132" spans="1:24" s="16" customFormat="1">
      <c r="A132" s="485">
        <v>6.1</v>
      </c>
      <c r="B132" s="29" t="s">
        <v>1355</v>
      </c>
      <c r="C132" s="257"/>
      <c r="D132" s="258"/>
      <c r="E132" s="257"/>
      <c r="F132" s="257"/>
      <c r="G132" s="257"/>
      <c r="H132" s="257"/>
      <c r="I132" s="260"/>
      <c r="J132" s="260"/>
      <c r="K132" s="257"/>
      <c r="L132" s="261"/>
      <c r="N132" s="651"/>
      <c r="O132" s="651"/>
      <c r="P132" s="651"/>
      <c r="Q132" s="651"/>
      <c r="R132" s="651"/>
      <c r="S132" s="651"/>
      <c r="T132" s="651"/>
      <c r="U132" s="651"/>
      <c r="V132" s="651"/>
      <c r="W132" s="526">
        <f t="shared" si="5"/>
        <v>0</v>
      </c>
      <c r="X132" s="526">
        <f t="shared" si="6"/>
        <v>0</v>
      </c>
    </row>
    <row r="133" spans="1:24" s="16" customFormat="1">
      <c r="A133" s="252" t="s">
        <v>2417</v>
      </c>
      <c r="B133" s="21" t="s">
        <v>2767</v>
      </c>
      <c r="C133" s="21">
        <f>tot_proc_MOVs</f>
        <v>0</v>
      </c>
      <c r="D133" s="389" t="s">
        <v>64</v>
      </c>
      <c r="E133" s="21">
        <f>tank_valve_size</f>
        <v>10</v>
      </c>
      <c r="F133" s="21" t="s">
        <v>1331</v>
      </c>
      <c r="G133" s="21">
        <f>IF(curve=1,tank_valve_size,VLOOKUP(tank_valve_size,pp_mov_cost_cl,2))</f>
        <v>10</v>
      </c>
      <c r="H133" s="21" t="s">
        <v>1331</v>
      </c>
      <c r="I133" s="391">
        <f>IF(curve=1,pp_mov_eq_tank,VLOOKUP(tank_valve_size,pp_mov_cost_cl,3))</f>
        <v>3696.5392890023331</v>
      </c>
      <c r="J133" s="392">
        <f>IF(I133="contact vendor","--",C133*I133)</f>
        <v>0</v>
      </c>
      <c r="K133" s="21">
        <f>VLOOKUP(tank_valve_size,pp_mov_cost_cl,IF(ss_cat="large",4,5))</f>
        <v>25</v>
      </c>
      <c r="L133" s="393"/>
      <c r="M133" s="16" t="str">
        <f>$B$131 &amp; " - " &amp; $B$132&amp;" "&amp;" - "&amp;B133</f>
        <v>Valves and Fittings - Motor/Air Operated (on/off)  - Process - Polypropylene/PVC</v>
      </c>
      <c r="N133" s="526">
        <v>1</v>
      </c>
      <c r="O133" s="526">
        <v>2</v>
      </c>
      <c r="P133" s="526">
        <v>3</v>
      </c>
      <c r="Q133" s="526">
        <v>1</v>
      </c>
      <c r="R133" s="526">
        <v>2</v>
      </c>
      <c r="S133" s="526">
        <v>3</v>
      </c>
      <c r="T133" s="526">
        <v>1</v>
      </c>
      <c r="U133" s="526">
        <v>2</v>
      </c>
      <c r="V133" s="526">
        <v>3</v>
      </c>
      <c r="W133" s="526">
        <f t="shared" si="5"/>
        <v>0</v>
      </c>
      <c r="X133" s="526">
        <f t="shared" si="6"/>
        <v>0</v>
      </c>
    </row>
    <row r="134" spans="1:24" s="16" customFormat="1">
      <c r="A134" s="252" t="s">
        <v>2417</v>
      </c>
      <c r="B134" s="21" t="s">
        <v>2768</v>
      </c>
      <c r="C134" s="21">
        <f>tot_proc_MOVs</f>
        <v>0</v>
      </c>
      <c r="D134" s="389" t="s">
        <v>64</v>
      </c>
      <c r="E134" s="21">
        <f>tank_valve_size</f>
        <v>10</v>
      </c>
      <c r="F134" s="21" t="s">
        <v>1331</v>
      </c>
      <c r="G134" s="21">
        <f>IF(curve=1,tank_valve_size,VLOOKUP(tank_valve_size,ss_mov_cost_cl,2))</f>
        <v>10</v>
      </c>
      <c r="H134" s="21" t="s">
        <v>1331</v>
      </c>
      <c r="I134" s="391">
        <f>IF(curve=1,ss_mov_eq_tank,VLOOKUP(tank_valve_size,ss_mov_cost_cl,3))</f>
        <v>6940.0037539270006</v>
      </c>
      <c r="J134" s="392">
        <f>IF(I134="contact vendor","--",C134*I134)</f>
        <v>0</v>
      </c>
      <c r="K134" s="21">
        <f>VLOOKUP(tank_valve_size,ss_mov_cost_cl,IF(ss_cat="large",4,5))</f>
        <v>25</v>
      </c>
      <c r="L134" s="393"/>
      <c r="M134" s="16" t="str">
        <f t="shared" ref="M134:M142" si="8">$B$131 &amp; " - " &amp; $B$132&amp;" "&amp;" - "&amp;B134</f>
        <v>Valves and Fittings - Motor/Air Operated (on/off)  - Process - Stainless Steel</v>
      </c>
      <c r="N134" s="526">
        <v>3</v>
      </c>
      <c r="O134" s="526">
        <v>3</v>
      </c>
      <c r="P134" s="526">
        <v>1</v>
      </c>
      <c r="Q134" s="526">
        <v>3</v>
      </c>
      <c r="R134" s="526">
        <v>3</v>
      </c>
      <c r="S134" s="526">
        <v>1</v>
      </c>
      <c r="T134" s="526">
        <v>3</v>
      </c>
      <c r="U134" s="526">
        <v>3</v>
      </c>
      <c r="V134" s="526">
        <v>1</v>
      </c>
      <c r="W134" s="526">
        <f t="shared" si="5"/>
        <v>0</v>
      </c>
      <c r="X134" s="526">
        <f t="shared" si="6"/>
        <v>0</v>
      </c>
    </row>
    <row r="135" spans="1:24" s="16" customFormat="1">
      <c r="A135" s="252" t="s">
        <v>2417</v>
      </c>
      <c r="B135" s="21" t="s">
        <v>2769</v>
      </c>
      <c r="C135" s="21">
        <f>tot_proc_MOVs</f>
        <v>0</v>
      </c>
      <c r="D135" s="389" t="s">
        <v>64</v>
      </c>
      <c r="E135" s="21">
        <f>tank_valve_size</f>
        <v>10</v>
      </c>
      <c r="F135" s="21" t="s">
        <v>1331</v>
      </c>
      <c r="G135" s="21">
        <f>IF(curve=1,tank_valve_size,VLOOKUP(tank_valve_size,ci_mov_cost_cl,2))</f>
        <v>10</v>
      </c>
      <c r="H135" s="21" t="s">
        <v>1331</v>
      </c>
      <c r="I135" s="391">
        <f>IF(curve=1,pp_mov_eq_tank,VLOOKUP(tank_valve_size,ci_mov_cost_cl,3))</f>
        <v>3696.5392890023331</v>
      </c>
      <c r="J135" s="392">
        <f>IF(I135="contact vendor","--",C135*I135)</f>
        <v>0</v>
      </c>
      <c r="K135" s="21">
        <f>VLOOKUP(tank_valve_size,ci_mov_cost_cl,IF(ss_cat="large",4,5))</f>
        <v>25</v>
      </c>
      <c r="L135" s="393"/>
      <c r="M135" s="16" t="str">
        <f t="shared" si="8"/>
        <v>Valves and Fittings - Motor/Air Operated (on/off)  - Process - Cast Iron</v>
      </c>
      <c r="N135" s="526">
        <v>2</v>
      </c>
      <c r="O135" s="526">
        <v>1</v>
      </c>
      <c r="P135" s="526">
        <v>2</v>
      </c>
      <c r="Q135" s="526">
        <v>2</v>
      </c>
      <c r="R135" s="526">
        <v>1</v>
      </c>
      <c r="S135" s="526">
        <v>2</v>
      </c>
      <c r="T135" s="526">
        <v>2</v>
      </c>
      <c r="U135" s="526">
        <v>1</v>
      </c>
      <c r="V135" s="526">
        <v>2</v>
      </c>
      <c r="W135" s="526">
        <f t="shared" si="5"/>
        <v>0</v>
      </c>
      <c r="X135" s="526">
        <f t="shared" si="6"/>
        <v>0</v>
      </c>
    </row>
    <row r="136" spans="1:24" s="16" customFormat="1">
      <c r="A136" s="252" t="s">
        <v>2418</v>
      </c>
      <c r="B136" s="21" t="s">
        <v>2770</v>
      </c>
      <c r="C136" s="21">
        <f>tot_back_MOVs</f>
        <v>0</v>
      </c>
      <c r="D136" s="389" t="s">
        <v>64</v>
      </c>
      <c r="E136" s="394" t="str">
        <f>IF(tot_back_MOVs=0,"NA",back_valve_size)</f>
        <v>NA</v>
      </c>
      <c r="F136" s="21" t="str">
        <f>IF(tot_back_MOVs=0,"","in. diam")</f>
        <v/>
      </c>
      <c r="G136" s="394" t="str">
        <f>IF(tot_back_MOVs=0,"NA",IF(curve=1,back_valve_size,VLOOKUP(back_valve_size,pp_mov_cost_cl,2)))</f>
        <v>NA</v>
      </c>
      <c r="H136" s="21" t="str">
        <f>IF(tot_back_MOVs=0,"","in. diam")</f>
        <v/>
      </c>
      <c r="I136" s="391" t="str">
        <f>IF(tot_back_MOVs=0,"NA",IF(curve=1,pp_mov_eq_back,VLOOKUP(back_valve_size,pp_mov_cost_cl,3)))</f>
        <v>NA</v>
      </c>
      <c r="J136" s="392" t="str">
        <f>IF(tot_back_MOVs=0,"--",IF(I136="contact vendor","--",C136*I136))</f>
        <v>--</v>
      </c>
      <c r="K136" s="394" t="str">
        <f>IF(tot_back_MOVs=0,"NA",VLOOKUP(back_valve_size,pp_mov_cost_cl,IF(ss_cat="large",4,5)))</f>
        <v>NA</v>
      </c>
      <c r="L136" s="393"/>
      <c r="M136" s="16" t="str">
        <f t="shared" si="8"/>
        <v>Valves and Fittings - Motor/Air Operated (on/off)  - Backwash - Polypropylene/PVC</v>
      </c>
      <c r="N136" s="526">
        <v>1</v>
      </c>
      <c r="O136" s="526">
        <v>2</v>
      </c>
      <c r="P136" s="526">
        <v>3</v>
      </c>
      <c r="Q136" s="526">
        <v>1</v>
      </c>
      <c r="R136" s="526">
        <v>2</v>
      </c>
      <c r="S136" s="526">
        <v>3</v>
      </c>
      <c r="T136" s="526">
        <v>1</v>
      </c>
      <c r="U136" s="526">
        <v>2</v>
      </c>
      <c r="V136" s="526">
        <v>3</v>
      </c>
      <c r="W136" s="526">
        <f t="shared" si="5"/>
        <v>0</v>
      </c>
      <c r="X136" s="526">
        <f t="shared" si="6"/>
        <v>0</v>
      </c>
    </row>
    <row r="137" spans="1:24" s="16" customFormat="1">
      <c r="A137" s="252" t="s">
        <v>2418</v>
      </c>
      <c r="B137" s="21" t="s">
        <v>2771</v>
      </c>
      <c r="C137" s="21">
        <f>tot_back_MOVs</f>
        <v>0</v>
      </c>
      <c r="D137" s="389" t="s">
        <v>64</v>
      </c>
      <c r="E137" s="394" t="str">
        <f>IF(tot_back_MOVs=0,"NA",back_valve_size)</f>
        <v>NA</v>
      </c>
      <c r="F137" s="21" t="str">
        <f t="shared" ref="F137:H138" si="9">IF(tot_back_MOVs=0,"","in. diam")</f>
        <v/>
      </c>
      <c r="G137" s="394" t="str">
        <f>IF(tot_back_MOVs=0,"NA",IF(curve=1,back_valve_size,VLOOKUP(back_valve_size,ss_mov_cost_cl,2)))</f>
        <v>NA</v>
      </c>
      <c r="H137" s="21" t="str">
        <f t="shared" si="9"/>
        <v/>
      </c>
      <c r="I137" s="391" t="str">
        <f>IF(tot_back_MOVs=0,"NA",IF(curve=1,ss_mov_eq_back,VLOOKUP(back_valve_size,ss_mov_cost_cl,3)))</f>
        <v>NA</v>
      </c>
      <c r="J137" s="392" t="str">
        <f>IF(tot_back_MOVs=0,"--",IF(I137="contact vendor","--",C137*I137))</f>
        <v>--</v>
      </c>
      <c r="K137" s="394" t="str">
        <f>IF(tot_back_MOVs=0,"NA",VLOOKUP(back_valve_size,ss_mov_cost_cl,IF(ss_cat="large",4,5)))</f>
        <v>NA</v>
      </c>
      <c r="L137" s="393"/>
      <c r="M137" s="16" t="str">
        <f t="shared" si="8"/>
        <v>Valves and Fittings - Motor/Air Operated (on/off)  - Backwash - Stainless Steel</v>
      </c>
      <c r="N137" s="526">
        <v>3</v>
      </c>
      <c r="O137" s="526">
        <v>3</v>
      </c>
      <c r="P137" s="526">
        <v>1</v>
      </c>
      <c r="Q137" s="526">
        <v>3</v>
      </c>
      <c r="R137" s="526">
        <v>3</v>
      </c>
      <c r="S137" s="526">
        <v>1</v>
      </c>
      <c r="T137" s="526">
        <v>3</v>
      </c>
      <c r="U137" s="526">
        <v>3</v>
      </c>
      <c r="V137" s="526">
        <v>1</v>
      </c>
      <c r="W137" s="526">
        <f t="shared" si="5"/>
        <v>0</v>
      </c>
      <c r="X137" s="526">
        <f t="shared" si="6"/>
        <v>0</v>
      </c>
    </row>
    <row r="138" spans="1:24" s="16" customFormat="1">
      <c r="A138" s="252" t="s">
        <v>2418</v>
      </c>
      <c r="B138" s="21" t="s">
        <v>2772</v>
      </c>
      <c r="C138" s="21">
        <f>tot_back_MOVs</f>
        <v>0</v>
      </c>
      <c r="D138" s="389" t="s">
        <v>64</v>
      </c>
      <c r="E138" s="394" t="str">
        <f>IF(tot_back_MOVs=0,"NA",back_valve_size)</f>
        <v>NA</v>
      </c>
      <c r="F138" s="21" t="str">
        <f t="shared" si="9"/>
        <v/>
      </c>
      <c r="G138" s="394" t="str">
        <f>IF(tot_back_MOVs=0,"NA",IF(curve=1,back_valve_size,VLOOKUP(back_valve_size,ci_mov_cost_cl,2)))</f>
        <v>NA</v>
      </c>
      <c r="H138" s="21" t="str">
        <f t="shared" si="9"/>
        <v/>
      </c>
      <c r="I138" s="391" t="str">
        <f>IF(tot_back_MOVs=0,"NA",IF(curve=1,ci_mov_eq_back,VLOOKUP(back_valve_size,ci_mov_cost_cl,3)))</f>
        <v>NA</v>
      </c>
      <c r="J138" s="392" t="str">
        <f>IF(tot_back_MOVs=0,"--",IF(I138="contact vendor","--",C138*I138))</f>
        <v>--</v>
      </c>
      <c r="K138" s="394" t="str">
        <f>IF(tot_back_MOVs=0,"NA",VLOOKUP(back_valve_size,ci_mov_cost_cl,IF(ss_cat="large",4,5)))</f>
        <v>NA</v>
      </c>
      <c r="L138" s="393"/>
      <c r="M138" s="16" t="str">
        <f>$B$131 &amp; " - " &amp; $B$132&amp;" "&amp;" - "&amp;B138</f>
        <v>Valves and Fittings - Motor/Air Operated (on/off)  - Backwash - Cast Iron</v>
      </c>
      <c r="N138" s="526">
        <v>2</v>
      </c>
      <c r="O138" s="526">
        <v>1</v>
      </c>
      <c r="P138" s="526">
        <v>2</v>
      </c>
      <c r="Q138" s="526">
        <v>2</v>
      </c>
      <c r="R138" s="526">
        <v>1</v>
      </c>
      <c r="S138" s="526">
        <v>2</v>
      </c>
      <c r="T138" s="526">
        <v>2</v>
      </c>
      <c r="U138" s="526">
        <v>1</v>
      </c>
      <c r="V138" s="526">
        <v>2</v>
      </c>
      <c r="W138" s="526">
        <f t="shared" si="5"/>
        <v>0</v>
      </c>
      <c r="X138" s="526">
        <f t="shared" si="6"/>
        <v>0</v>
      </c>
    </row>
    <row r="139" spans="1:24" s="16" customFormat="1">
      <c r="A139" s="252" t="s">
        <v>2419</v>
      </c>
      <c r="B139" s="21" t="s">
        <v>1462</v>
      </c>
      <c r="C139" s="21">
        <f>tot_brine_MOVs</f>
        <v>0</v>
      </c>
      <c r="D139" s="389" t="s">
        <v>64</v>
      </c>
      <c r="E139" s="394" t="str">
        <f>IF(tot_brine_MOVs=0,"NA",brine_valve_size)</f>
        <v>NA</v>
      </c>
      <c r="F139" s="21" t="str">
        <f>IF(tot_brine_MOVs=0,"","in. diam")</f>
        <v/>
      </c>
      <c r="G139" s="394" t="str">
        <f>IF(tot_brine_MOVs=0,"NA",IF(curve=1,brine_valve_size,VLOOKUP(brine_valve_size,pp_mov_cost_cl,2)))</f>
        <v>NA</v>
      </c>
      <c r="H139" s="21" t="str">
        <f>IF(tot_brine_MOVs=0,"","in. diam")</f>
        <v/>
      </c>
      <c r="I139" s="391" t="str">
        <f>IF(tot_brine_MOVs=0,"NA",IF(curve=1,pp_mov_eq_brine,VLOOKUP(brine_valve_size,pp_mov_cost_cl,3)))</f>
        <v>NA</v>
      </c>
      <c r="J139" s="392" t="str">
        <f>IF(tot_brine_MOVs=0,"--",IF(I139="contact vendor","--",C139*I139))</f>
        <v>--</v>
      </c>
      <c r="K139" s="394" t="str">
        <f>IF(tot_brine_MOVs=0,"NA",VLOOKUP(brine_valve_size,pp_mov_cost_cl,IF(ss_cat="large",4,5)))</f>
        <v>NA</v>
      </c>
      <c r="L139" s="393"/>
      <c r="M139" s="16" t="str">
        <f t="shared" si="8"/>
        <v>Valves and Fittings - Motor/Air Operated (on/off)  - Regenerant - Polypropylene/PVC</v>
      </c>
      <c r="N139" s="526">
        <v>1</v>
      </c>
      <c r="O139" s="526">
        <v>2</v>
      </c>
      <c r="P139" s="526">
        <v>2</v>
      </c>
      <c r="Q139" s="526">
        <v>1</v>
      </c>
      <c r="R139" s="526">
        <v>2</v>
      </c>
      <c r="S139" s="526">
        <v>2</v>
      </c>
      <c r="T139" s="526">
        <v>1</v>
      </c>
      <c r="U139" s="526">
        <v>2</v>
      </c>
      <c r="V139" s="526">
        <v>2</v>
      </c>
      <c r="W139" s="526">
        <f t="shared" si="5"/>
        <v>0</v>
      </c>
      <c r="X139" s="526">
        <f t="shared" si="6"/>
        <v>0</v>
      </c>
    </row>
    <row r="140" spans="1:24" s="16" customFormat="1">
      <c r="A140" s="252" t="s">
        <v>2419</v>
      </c>
      <c r="B140" s="21" t="s">
        <v>1463</v>
      </c>
      <c r="C140" s="21">
        <f>tot_brine_MOVs</f>
        <v>0</v>
      </c>
      <c r="D140" s="389" t="s">
        <v>64</v>
      </c>
      <c r="E140" s="394" t="str">
        <f>IF(tot_brine_MOVs=0,"NA",brine_valve_size)</f>
        <v>NA</v>
      </c>
      <c r="F140" s="21" t="str">
        <f>IF(tot_brine_MOVs=0,"","in. diam")</f>
        <v/>
      </c>
      <c r="G140" s="394" t="str">
        <f>IF(tot_brine_MOVs=0,"NA",IF(curve=1,brine_valve_size,VLOOKUP(brine_valve_size,ss_mov_cost_cl,2)))</f>
        <v>NA</v>
      </c>
      <c r="H140" s="21" t="str">
        <f>IF(tot_brine_MOVs=0,"","in. diam")</f>
        <v/>
      </c>
      <c r="I140" s="391" t="str">
        <f>IF(tot_brine_MOVs=0,"NA",IF(curve=1,ss_mov_eq_brine,VLOOKUP(brine_valve_size,ss_mov_cost_cl,3)))</f>
        <v>NA</v>
      </c>
      <c r="J140" s="392" t="str">
        <f>IF(tot_brine_MOVs=0,"--",IF(I140="contact vendor","--",C140*I140))</f>
        <v>--</v>
      </c>
      <c r="K140" s="394" t="str">
        <f>IF(tot_brine_MOVs=0,"NA",VLOOKUP(brine_valve_size,ss_mov_cost_cl,IF(ss_cat="large",4,5)))</f>
        <v>NA</v>
      </c>
      <c r="L140" s="393"/>
      <c r="M140" s="16" t="str">
        <f t="shared" si="8"/>
        <v>Valves and Fittings - Motor/Air Operated (on/off)  - Regenerant - Stainless Steel</v>
      </c>
      <c r="N140" s="526">
        <v>2</v>
      </c>
      <c r="O140" s="526">
        <v>1</v>
      </c>
      <c r="P140" s="526">
        <v>1</v>
      </c>
      <c r="Q140" s="526">
        <v>2</v>
      </c>
      <c r="R140" s="526">
        <v>1</v>
      </c>
      <c r="S140" s="526">
        <v>1</v>
      </c>
      <c r="T140" s="526">
        <v>2</v>
      </c>
      <c r="U140" s="526">
        <v>1</v>
      </c>
      <c r="V140" s="526">
        <v>1</v>
      </c>
      <c r="W140" s="526">
        <f t="shared" si="5"/>
        <v>0</v>
      </c>
      <c r="X140" s="526">
        <f t="shared" si="6"/>
        <v>0</v>
      </c>
    </row>
    <row r="141" spans="1:24" s="16" customFormat="1">
      <c r="A141" s="252" t="s">
        <v>2420</v>
      </c>
      <c r="B141" s="21" t="s">
        <v>2773</v>
      </c>
      <c r="C141" s="21">
        <f>IF(bp_pct&gt;0,tot_bp_MOVs,0)</f>
        <v>0</v>
      </c>
      <c r="D141" s="389" t="s">
        <v>64</v>
      </c>
      <c r="E141" s="394" t="str">
        <f>IF(bp_pct=0,"NA",bypass_valve_size)</f>
        <v>NA</v>
      </c>
      <c r="F141" s="21" t="str">
        <f>IF(bp_pct=0," ","in. diam")</f>
        <v xml:space="preserve"> </v>
      </c>
      <c r="G141" s="394" t="str">
        <f>IF(bp_pct=0,"NA",(IF(curve=1,bypass_valve_size,VLOOKUP(bypass_valve_size,pp_mov_cost_cl,2))))</f>
        <v>NA</v>
      </c>
      <c r="H141" s="21" t="str">
        <f>IF(bp_pct=0," ","in. diam")</f>
        <v xml:space="preserve"> </v>
      </c>
      <c r="I141" s="391" t="str">
        <f>IF(bp_pct=0,"NA",(IF(curve=1,pp_mov_eq_bp,VLOOKUP(bypass_valve_size,pp_mov_cost_cl,3))))</f>
        <v>NA</v>
      </c>
      <c r="J141" s="392" t="str">
        <f>IF(OR(C141=0,I141="contact vendor"),"--",C141*I141)</f>
        <v>--</v>
      </c>
      <c r="K141" s="394" t="str">
        <f>IF(bp_pct=0,"NA",VLOOKUP(bypass_valve_size,pp_mov_cost_cl,IF(ss_cat="large",4,5)))</f>
        <v>NA</v>
      </c>
      <c r="L141" s="393"/>
      <c r="M141" s="16" t="str">
        <f t="shared" si="8"/>
        <v>Valves and Fittings - Motor/Air Operated (on/off)  - Bypass - Polypropylene/PVC</v>
      </c>
      <c r="N141" s="526">
        <v>1</v>
      </c>
      <c r="O141" s="526">
        <v>2</v>
      </c>
      <c r="P141" s="526">
        <v>3</v>
      </c>
      <c r="Q141" s="526">
        <v>1</v>
      </c>
      <c r="R141" s="526">
        <v>2</v>
      </c>
      <c r="S141" s="526">
        <v>3</v>
      </c>
      <c r="T141" s="526">
        <v>1</v>
      </c>
      <c r="U141" s="526">
        <v>2</v>
      </c>
      <c r="V141" s="526">
        <v>3</v>
      </c>
      <c r="W141" s="526">
        <f t="shared" si="5"/>
        <v>0</v>
      </c>
      <c r="X141" s="526">
        <f t="shared" si="6"/>
        <v>0</v>
      </c>
    </row>
    <row r="142" spans="1:24" s="16" customFormat="1">
      <c r="A142" s="252" t="s">
        <v>2420</v>
      </c>
      <c r="B142" s="21" t="s">
        <v>1629</v>
      </c>
      <c r="C142" s="21">
        <f>IF(bp_pct&gt;0,tot_bp_MOVs,0)</f>
        <v>0</v>
      </c>
      <c r="D142" s="389" t="s">
        <v>64</v>
      </c>
      <c r="E142" s="394" t="str">
        <f>IF(bp_pct=0,"NA",bypass_valve_size)</f>
        <v>NA</v>
      </c>
      <c r="F142" s="21" t="str">
        <f>IF(bp_pct=0," ","in. diam")</f>
        <v xml:space="preserve"> </v>
      </c>
      <c r="G142" s="394" t="str">
        <f>IF(bp_pct=0,"NA",(IF(curve=1,bypass_valve_size,VLOOKUP(bypass_valve_size,ss_mov_cost_cl,2))))</f>
        <v>NA</v>
      </c>
      <c r="H142" s="21" t="str">
        <f>IF(bp_pct=0," ","in. diam")</f>
        <v xml:space="preserve"> </v>
      </c>
      <c r="I142" s="391" t="str">
        <f>IF(bp_pct=0,"NA",(IF(curve=1,ss_mov_eq_bp,VLOOKUP(bypass_valve_size,ss_mov_cost_cl,3))))</f>
        <v>NA</v>
      </c>
      <c r="J142" s="392" t="str">
        <f>IF(OR(C142=0,I142="contact vendor"),"--",C142*I142)</f>
        <v>--</v>
      </c>
      <c r="K142" s="394" t="str">
        <f>IF(bp_pct=0,"NA",VLOOKUP(bypass_valve_size,ss_mov_cost_cl,IF(ss_cat="large",4,5)))</f>
        <v>NA</v>
      </c>
      <c r="L142" s="393"/>
      <c r="M142" s="16" t="str">
        <f t="shared" si="8"/>
        <v>Valves and Fittings - Motor/Air Operated (on/off)  - Bypass - Stainless Steel</v>
      </c>
      <c r="N142" s="526">
        <v>3</v>
      </c>
      <c r="O142" s="526">
        <v>3</v>
      </c>
      <c r="P142" s="526">
        <v>1</v>
      </c>
      <c r="Q142" s="526">
        <v>3</v>
      </c>
      <c r="R142" s="526">
        <v>3</v>
      </c>
      <c r="S142" s="526">
        <v>1</v>
      </c>
      <c r="T142" s="526">
        <v>3</v>
      </c>
      <c r="U142" s="526">
        <v>3</v>
      </c>
      <c r="V142" s="526">
        <v>1</v>
      </c>
      <c r="W142" s="526">
        <f t="shared" si="5"/>
        <v>0</v>
      </c>
      <c r="X142" s="526">
        <f t="shared" si="6"/>
        <v>0</v>
      </c>
    </row>
    <row r="143" spans="1:24" s="16" customFormat="1">
      <c r="A143" s="252" t="s">
        <v>2420</v>
      </c>
      <c r="B143" s="21" t="s">
        <v>1630</v>
      </c>
      <c r="C143" s="21">
        <f>IF(bp_pct&gt;0,tot_bp_MOVs,0)</f>
        <v>0</v>
      </c>
      <c r="D143" s="389" t="s">
        <v>64</v>
      </c>
      <c r="E143" s="394" t="str">
        <f>IF(bp_pct=0,"NA",bypass_valve_size)</f>
        <v>NA</v>
      </c>
      <c r="F143" s="21" t="str">
        <f>IF(bp_pct=0," ","in. diam")</f>
        <v xml:space="preserve"> </v>
      </c>
      <c r="G143" s="394" t="str">
        <f>IF(bp_pct=0,"NA",(IF(curve=1,bypass_valve_size,VLOOKUP(bypass_valve_size,ci_mov_cost_cl,2))))</f>
        <v>NA</v>
      </c>
      <c r="H143" s="21" t="str">
        <f>IF(bp_pct=0," ","in. diam")</f>
        <v xml:space="preserve"> </v>
      </c>
      <c r="I143" s="391" t="str">
        <f>IF(bp_pct=0,"NA",(IF(curve=1,ci_mov_eq_bp,VLOOKUP(bypass_valve_size,ci_mov_cost_cl,3))))</f>
        <v>NA</v>
      </c>
      <c r="J143" s="392" t="str">
        <f>IF(OR(C143=0,I143="contact vendor"),"--",C143*I143)</f>
        <v>--</v>
      </c>
      <c r="K143" s="394" t="str">
        <f>IF(bp_pct=0,"NA",VLOOKUP(bypass_valve_size,ci_mov_cost_cl,IF(ss_cat="large",4,5)))</f>
        <v>NA</v>
      </c>
      <c r="L143" s="393"/>
      <c r="M143" s="16" t="str">
        <f t="shared" ref="M143:M152" si="10">$B$131 &amp; " - " &amp; $B$132&amp;" "&amp;" - "&amp;B143</f>
        <v>Valves and Fittings - Motor/Air Operated (on/off)  - Bypass - Cast Iron</v>
      </c>
      <c r="N143" s="526">
        <v>2</v>
      </c>
      <c r="O143" s="526">
        <v>1</v>
      </c>
      <c r="P143" s="526">
        <v>2</v>
      </c>
      <c r="Q143" s="526">
        <v>2</v>
      </c>
      <c r="R143" s="526">
        <v>1</v>
      </c>
      <c r="S143" s="526">
        <v>2</v>
      </c>
      <c r="T143" s="526">
        <v>2</v>
      </c>
      <c r="U143" s="526">
        <v>1</v>
      </c>
      <c r="V143" s="526">
        <v>2</v>
      </c>
      <c r="W143" s="526">
        <f t="shared" si="5"/>
        <v>0</v>
      </c>
      <c r="X143" s="526">
        <f t="shared" si="6"/>
        <v>0</v>
      </c>
    </row>
    <row r="144" spans="1:24" s="16" customFormat="1">
      <c r="A144" s="252" t="s">
        <v>2421</v>
      </c>
      <c r="B144" s="21" t="s">
        <v>1308</v>
      </c>
      <c r="C144" s="21">
        <f>tot_caustic_MOVs</f>
        <v>0</v>
      </c>
      <c r="D144" s="389" t="s">
        <v>64</v>
      </c>
      <c r="E144" s="394" t="str">
        <f>IF(tot_caustic_MOVs=0,"NA",caustic_valve_size)</f>
        <v>NA</v>
      </c>
      <c r="F144" s="21" t="str">
        <f>IF(tot_caustic_MOVs=0,"","in. diam")</f>
        <v/>
      </c>
      <c r="G144" s="394" t="str">
        <f>IF(tot_caustic_MOVs=0,"NA",IF(curve=1,caustic_valve_size,VLOOKUP(caustic_valve_size,pp_mov_cost_cl,2)))</f>
        <v>NA</v>
      </c>
      <c r="H144" s="21" t="str">
        <f>IF(tot_caustic_MOVs=0,"","in. diam")</f>
        <v/>
      </c>
      <c r="I144" s="391" t="str">
        <f>IF(tot_caustic_MOVs=0,"NA",IF(curve=1,pp_mov_eq_caustic,VLOOKUP(caustic_valve_size,pp_mov_cost_cl,3)))</f>
        <v>NA</v>
      </c>
      <c r="J144" s="392" t="str">
        <f>IF(tot_caustic_MOVs=0,"--",IF(I144="contact vendor","--",C144*I144))</f>
        <v>--</v>
      </c>
      <c r="K144" s="394" t="str">
        <f>IF(tot_caustic_MOVs=0,"NA",VLOOKUP(caustic_valve_size,pp_mov_cost_cl,IF(ss_cat="large",4,5)))</f>
        <v>NA</v>
      </c>
      <c r="L144" s="393"/>
      <c r="M144" s="16" t="str">
        <f t="shared" si="10"/>
        <v>Valves and Fittings - Motor/Air Operated (on/off)  - Caustic - Polypropylene/PVC</v>
      </c>
      <c r="N144" s="526">
        <v>1</v>
      </c>
      <c r="O144" s="526">
        <v>2</v>
      </c>
      <c r="P144" s="526">
        <v>2</v>
      </c>
      <c r="Q144" s="526">
        <v>1</v>
      </c>
      <c r="R144" s="526">
        <v>2</v>
      </c>
      <c r="S144" s="526">
        <v>2</v>
      </c>
      <c r="T144" s="526">
        <v>1</v>
      </c>
      <c r="U144" s="526">
        <v>2</v>
      </c>
      <c r="V144" s="526">
        <v>2</v>
      </c>
      <c r="W144" s="526">
        <f t="shared" si="5"/>
        <v>0</v>
      </c>
      <c r="X144" s="526">
        <f t="shared" si="6"/>
        <v>0</v>
      </c>
    </row>
    <row r="145" spans="1:24" s="16" customFormat="1">
      <c r="A145" s="252" t="s">
        <v>2421</v>
      </c>
      <c r="B145" s="21" t="s">
        <v>1309</v>
      </c>
      <c r="C145" s="21">
        <f>tot_caustic_MOVs</f>
        <v>0</v>
      </c>
      <c r="D145" s="389" t="s">
        <v>64</v>
      </c>
      <c r="E145" s="394" t="str">
        <f>IF(tot_caustic_MOVs=0,"NA",caustic_valve_size)</f>
        <v>NA</v>
      </c>
      <c r="F145" s="21" t="str">
        <f>IF(tot_caustic_MOVs=0,"","in. diam")</f>
        <v/>
      </c>
      <c r="G145" s="394" t="str">
        <f>IF(tot_caustic_MOVs=0,"NA",IF(curve=1,caustic_valve_size,VLOOKUP(caustic_valve_size,ss_mov_cost_cl,2)))</f>
        <v>NA</v>
      </c>
      <c r="H145" s="21" t="str">
        <f>IF(tot_caustic_MOVs=0,"","in. diam")</f>
        <v/>
      </c>
      <c r="I145" s="391" t="str">
        <f>IF(tot_caustic_MOVs=0,"NA",IF(curve=1,ss_mov_eq_caustic,VLOOKUP(caustic_valve_size,ss_mov_cost_cl,3)))</f>
        <v>NA</v>
      </c>
      <c r="J145" s="392" t="str">
        <f>IF(tot_caustic_MOVs=0,"--",IF(I145="contact vendor","--",C145*I145))</f>
        <v>--</v>
      </c>
      <c r="K145" s="394" t="str">
        <f>IF(tot_caustic_MOVs=0,"NA",VLOOKUP(caustic_valve_size,ss_mov_cost_cl,IF(ss_cat="large",4,5)))</f>
        <v>NA</v>
      </c>
      <c r="L145" s="393"/>
      <c r="M145" s="16" t="str">
        <f t="shared" si="10"/>
        <v>Valves and Fittings - Motor/Air Operated (on/off)  - Caustic - Stainless Steel</v>
      </c>
      <c r="N145" s="526">
        <v>2</v>
      </c>
      <c r="O145" s="526">
        <v>1</v>
      </c>
      <c r="P145" s="526">
        <v>1</v>
      </c>
      <c r="Q145" s="526">
        <v>2</v>
      </c>
      <c r="R145" s="526">
        <v>1</v>
      </c>
      <c r="S145" s="526">
        <v>1</v>
      </c>
      <c r="T145" s="526">
        <v>2</v>
      </c>
      <c r="U145" s="526">
        <v>1</v>
      </c>
      <c r="V145" s="526">
        <v>1</v>
      </c>
      <c r="W145" s="526">
        <f t="shared" si="5"/>
        <v>0</v>
      </c>
      <c r="X145" s="526">
        <f t="shared" si="6"/>
        <v>0</v>
      </c>
    </row>
    <row r="146" spans="1:24" s="16" customFormat="1">
      <c r="A146" s="252" t="s">
        <v>2422</v>
      </c>
      <c r="B146" s="1" t="s">
        <v>1269</v>
      </c>
      <c r="C146" s="21">
        <f>total_res_MOVs</f>
        <v>0</v>
      </c>
      <c r="D146" s="389" t="s">
        <v>64</v>
      </c>
      <c r="E146" s="394" t="str">
        <f>IF(C146=0,"NA",res_valve_size)</f>
        <v>NA</v>
      </c>
      <c r="F146" s="1" t="str">
        <f t="shared" ref="F146:F152" si="11">IF(C146=0,"","in. diam")</f>
        <v/>
      </c>
      <c r="G146" s="394" t="str">
        <f>IF(C146=0,"NA",IF(curve=1,res_valve_size,VLOOKUP(res_valve_size,pp_mov_cost_cl,2)))</f>
        <v>NA</v>
      </c>
      <c r="H146" s="1" t="str">
        <f t="shared" ref="H146:H152" si="12">IF(C146=0,"","in. diam")</f>
        <v/>
      </c>
      <c r="I146" s="391">
        <f>IF(C146=0,0,IF(curve=1,pp_mov_eq_res,VLOOKUP(res_valve_size,pp_mov_cost_cl,3)))</f>
        <v>0</v>
      </c>
      <c r="J146" s="392">
        <f>IF(I146="contact vendor","--",C146*I146)</f>
        <v>0</v>
      </c>
      <c r="K146" s="394" t="str">
        <f>IF(C146=0,"NA",VLOOKUP(res_valve_size,pp_mov_cost_cl,IF(ss_cat="large",4,5)))</f>
        <v>NA</v>
      </c>
      <c r="L146" s="407"/>
      <c r="M146" s="16" t="str">
        <f t="shared" si="10"/>
        <v>Valves and Fittings - Motor/Air Operated (on/off)  - Residuals - Polypropylene/PVC</v>
      </c>
      <c r="N146" s="526">
        <v>1</v>
      </c>
      <c r="O146" s="526">
        <v>2</v>
      </c>
      <c r="P146" s="526">
        <v>3</v>
      </c>
      <c r="Q146" s="526">
        <v>1</v>
      </c>
      <c r="R146" s="526">
        <v>2</v>
      </c>
      <c r="S146" s="526">
        <v>3</v>
      </c>
      <c r="T146" s="526">
        <v>1</v>
      </c>
      <c r="U146" s="526">
        <v>2</v>
      </c>
      <c r="V146" s="526">
        <v>3</v>
      </c>
      <c r="W146" s="526">
        <f t="shared" si="5"/>
        <v>0</v>
      </c>
      <c r="X146" s="526">
        <f t="shared" si="6"/>
        <v>0</v>
      </c>
    </row>
    <row r="147" spans="1:24" s="16" customFormat="1">
      <c r="A147" s="252" t="s">
        <v>2422</v>
      </c>
      <c r="B147" s="1" t="s">
        <v>1270</v>
      </c>
      <c r="C147" s="21">
        <f>total_res_MOVs</f>
        <v>0</v>
      </c>
      <c r="D147" s="389" t="s">
        <v>64</v>
      </c>
      <c r="E147" s="394" t="str">
        <f>IF(C147=0,"NA",res_valve_size)</f>
        <v>NA</v>
      </c>
      <c r="F147" s="1" t="str">
        <f t="shared" si="11"/>
        <v/>
      </c>
      <c r="G147" s="394" t="str">
        <f>IF(C147=0,"NA",IF(curve=1,res_valve_size,VLOOKUP(res_valve_size,ss_mov_cost_cl,2)))</f>
        <v>NA</v>
      </c>
      <c r="H147" s="1" t="str">
        <f t="shared" si="12"/>
        <v/>
      </c>
      <c r="I147" s="391">
        <f>IF(C147=0,0,IF(curve=1,ss_mov_eq_res,VLOOKUP(res_valve_size,ss_mov_cost_cl,3)))</f>
        <v>0</v>
      </c>
      <c r="J147" s="392">
        <f>IF(I147="contact vendor","--",C147*I147)</f>
        <v>0</v>
      </c>
      <c r="K147" s="394" t="str">
        <f>IF(C147=0,"NA",VLOOKUP(res_valve_size,ss_mov_cost_cl,IF(ss_cat="large",4,5)))</f>
        <v>NA</v>
      </c>
      <c r="L147" s="407"/>
      <c r="M147" s="16" t="str">
        <f t="shared" si="10"/>
        <v>Valves and Fittings - Motor/Air Operated (on/off)  - Residuals - Stainless Steel</v>
      </c>
      <c r="N147" s="526">
        <v>3</v>
      </c>
      <c r="O147" s="526">
        <v>3</v>
      </c>
      <c r="P147" s="526">
        <v>1</v>
      </c>
      <c r="Q147" s="526">
        <v>3</v>
      </c>
      <c r="R147" s="526">
        <v>3</v>
      </c>
      <c r="S147" s="526">
        <v>1</v>
      </c>
      <c r="T147" s="526">
        <v>3</v>
      </c>
      <c r="U147" s="526">
        <v>3</v>
      </c>
      <c r="V147" s="526">
        <v>1</v>
      </c>
      <c r="W147" s="526">
        <f t="shared" si="5"/>
        <v>0</v>
      </c>
      <c r="X147" s="526">
        <f t="shared" si="6"/>
        <v>0</v>
      </c>
    </row>
    <row r="148" spans="1:24" s="16" customFormat="1">
      <c r="A148" s="252" t="s">
        <v>2422</v>
      </c>
      <c r="B148" s="1" t="s">
        <v>661</v>
      </c>
      <c r="C148" s="21">
        <f>total_res_MOVs</f>
        <v>0</v>
      </c>
      <c r="D148" s="389" t="s">
        <v>64</v>
      </c>
      <c r="E148" s="394" t="str">
        <f>IF(C148=0,"NA",res_valve_size)</f>
        <v>NA</v>
      </c>
      <c r="F148" s="1" t="str">
        <f t="shared" si="11"/>
        <v/>
      </c>
      <c r="G148" s="394" t="str">
        <f>IF(C148=0,"NA",IF(curve=1,res_valve_size,VLOOKUP(res_valve_size,ci_mov_cost_cl,2)))</f>
        <v>NA</v>
      </c>
      <c r="H148" s="1" t="str">
        <f t="shared" si="12"/>
        <v/>
      </c>
      <c r="I148" s="391">
        <f>IF(C148=0,0,IF(curve=1,ci_mov_eq_res,VLOOKUP(res_valve_size,ci_mov_cost_cl,3)))</f>
        <v>0</v>
      </c>
      <c r="J148" s="392">
        <f>IF(I148="contact vendor","--",C148*I148)</f>
        <v>0</v>
      </c>
      <c r="K148" s="394" t="str">
        <f>IF(C148=0,"NA",VLOOKUP(res_valve_size,ci_mov_cost_cl,IF(ss_cat="large",4,5)))</f>
        <v>NA</v>
      </c>
      <c r="L148" s="407"/>
      <c r="M148" s="16" t="str">
        <f t="shared" si="10"/>
        <v>Valves and Fittings - Motor/Air Operated (on/off)  - Residuals - Cast Iron</v>
      </c>
      <c r="N148" s="526">
        <v>2</v>
      </c>
      <c r="O148" s="526">
        <v>1</v>
      </c>
      <c r="P148" s="526">
        <v>2</v>
      </c>
      <c r="Q148" s="526">
        <v>2</v>
      </c>
      <c r="R148" s="526">
        <v>1</v>
      </c>
      <c r="S148" s="526">
        <v>2</v>
      </c>
      <c r="T148" s="526">
        <v>2</v>
      </c>
      <c r="U148" s="526">
        <v>1</v>
      </c>
      <c r="V148" s="526">
        <v>2</v>
      </c>
      <c r="W148" s="526">
        <f t="shared" si="5"/>
        <v>0</v>
      </c>
      <c r="X148" s="526">
        <f t="shared" si="6"/>
        <v>0</v>
      </c>
    </row>
    <row r="149" spans="1:24" s="16" customFormat="1">
      <c r="A149" s="252" t="s">
        <v>2423</v>
      </c>
      <c r="B149" s="1" t="s">
        <v>3400</v>
      </c>
      <c r="C149" s="21">
        <f>tot_coag_MOVs</f>
        <v>0</v>
      </c>
      <c r="D149" s="397" t="s">
        <v>64</v>
      </c>
      <c r="E149" s="208" t="str">
        <f>IF(C149=0,"NA",coag_valve_size)</f>
        <v>NA</v>
      </c>
      <c r="F149" s="1" t="str">
        <f>IF(C149=0,"","in. diam")</f>
        <v/>
      </c>
      <c r="G149" s="208" t="str">
        <f>IF(C149=0,"NA",IF(curve=1,coag_valve_size,VLOOKUP(coag_valve_size,pp_mov_cost_cl,2)))</f>
        <v>NA</v>
      </c>
      <c r="H149" s="480" t="str">
        <f>IF(C149=0,"","in. diam")</f>
        <v/>
      </c>
      <c r="I149" s="631" t="str">
        <f>IF(C149=0,"NA",IF(curve=1,pp_mov_eq_coag,VLOOKUP(coag_valve_size,pp_mov_cost_cl,3)))</f>
        <v>NA</v>
      </c>
      <c r="J149" s="392" t="str">
        <f>IF(OR(C149=0,I149="contact vendor"),"--",C149*I149)</f>
        <v>--</v>
      </c>
      <c r="K149" s="208" t="str">
        <f>IF(C149=0,"NA",VLOOKUP(coag_valve_size,pp_mov_cost_cl,IF(ss_cat="large",4,5)))</f>
        <v>NA</v>
      </c>
      <c r="L149" s="407"/>
      <c r="M149" s="16" t="str">
        <f>$B$131 &amp; " - " &amp; $B$132&amp;" "&amp;" - "&amp;B149</f>
        <v>Valves and Fittings - Motor/Air Operated (on/off)  - Ferric Chloride - Polypropylene/PVC</v>
      </c>
      <c r="N149" s="526">
        <v>1</v>
      </c>
      <c r="O149" s="526">
        <v>1</v>
      </c>
      <c r="P149" s="526">
        <v>1</v>
      </c>
      <c r="Q149" s="526">
        <v>1</v>
      </c>
      <c r="R149" s="526">
        <v>1</v>
      </c>
      <c r="S149" s="526">
        <v>1</v>
      </c>
      <c r="T149" s="526">
        <v>1</v>
      </c>
      <c r="U149" s="526">
        <v>1</v>
      </c>
      <c r="V149" s="526">
        <v>1</v>
      </c>
      <c r="W149" s="526">
        <f>IF(ISERROR(K149*L149),0,IF(K149&lt;1,0,L149))</f>
        <v>0</v>
      </c>
      <c r="X149" s="526">
        <f>IF(W149,J149/K149,0)</f>
        <v>0</v>
      </c>
    </row>
    <row r="150" spans="1:24" s="16" customFormat="1">
      <c r="A150" s="252" t="s">
        <v>3399</v>
      </c>
      <c r="B150" s="1" t="s">
        <v>1392</v>
      </c>
      <c r="C150" s="21">
        <f>tot_polymer_MOVs</f>
        <v>0</v>
      </c>
      <c r="D150" s="397" t="s">
        <v>64</v>
      </c>
      <c r="E150" s="208" t="str">
        <f>IF(C150=0,"NA",polymer_valve_size)</f>
        <v>NA</v>
      </c>
      <c r="F150" s="1" t="str">
        <f t="shared" si="11"/>
        <v/>
      </c>
      <c r="G150" s="208" t="str">
        <f>IF(C150=0,"NA",IF(curve=1,polymer_valve_size,VLOOKUP(polymer_valve_size,pp_mov_cost_cl,2)))</f>
        <v>NA</v>
      </c>
      <c r="H150" s="480" t="str">
        <f t="shared" si="12"/>
        <v/>
      </c>
      <c r="I150" s="631" t="str">
        <f>IF(C150=0,"NA",IF(curve=1,pp_mov_eq_polymer,VLOOKUP(polymer_valve_size,pp_mov_cost_cl,3)))</f>
        <v>NA</v>
      </c>
      <c r="J150" s="392" t="str">
        <f>IF(OR(C150=0,I150="contact vendor"),"--",C150*I150)</f>
        <v>--</v>
      </c>
      <c r="K150" s="208" t="str">
        <f>IF(C150=0,"NA",VLOOKUP(polymer_valve_size,pp_mov_cost_cl,IF(ss_cat="large",4,5)))</f>
        <v>NA</v>
      </c>
      <c r="L150" s="407"/>
      <c r="M150" s="16" t="str">
        <f t="shared" si="10"/>
        <v>Valves and Fittings - Motor/Air Operated (on/off)  - Polymer- Polypropylene/PVC</v>
      </c>
      <c r="N150" s="526">
        <v>1</v>
      </c>
      <c r="O150" s="526">
        <v>2</v>
      </c>
      <c r="P150" s="526">
        <v>3</v>
      </c>
      <c r="Q150" s="526">
        <v>1</v>
      </c>
      <c r="R150" s="526">
        <v>2</v>
      </c>
      <c r="S150" s="526">
        <v>3</v>
      </c>
      <c r="T150" s="526">
        <v>1</v>
      </c>
      <c r="U150" s="526">
        <v>2</v>
      </c>
      <c r="V150" s="526">
        <v>3</v>
      </c>
      <c r="W150" s="526">
        <f t="shared" si="5"/>
        <v>0</v>
      </c>
      <c r="X150" s="526">
        <f t="shared" si="6"/>
        <v>0</v>
      </c>
    </row>
    <row r="151" spans="1:24" s="16" customFormat="1">
      <c r="A151" s="252" t="s">
        <v>3399</v>
      </c>
      <c r="B151" s="1" t="s">
        <v>1393</v>
      </c>
      <c r="C151" s="21">
        <f>tot_polymer_MOVs</f>
        <v>0</v>
      </c>
      <c r="D151" s="397" t="s">
        <v>64</v>
      </c>
      <c r="E151" s="208" t="str">
        <f>IF(C151=0,"NA",polymer_valve_size)</f>
        <v>NA</v>
      </c>
      <c r="F151" s="1" t="str">
        <f t="shared" si="11"/>
        <v/>
      </c>
      <c r="G151" s="208" t="str">
        <f>IF(C151=0,"NA",IF(curve=1,polymer_valve_size,VLOOKUP(polymer_valve_size,ss_mov_cost_cl,2)))</f>
        <v>NA</v>
      </c>
      <c r="H151" s="480" t="str">
        <f t="shared" si="12"/>
        <v/>
      </c>
      <c r="I151" s="631" t="str">
        <f>IF(C151=0,"NA",IF(curve=1,ss_mov_eq_polymer,VLOOKUP(polymer_valve_size,ss_mov_cost_cl,3)))</f>
        <v>NA</v>
      </c>
      <c r="J151" s="392" t="str">
        <f>IF(OR(C151=0,I151="contact vendor"),"--",C151*I151)</f>
        <v>--</v>
      </c>
      <c r="K151" s="208" t="str">
        <f>IF(C151=0,"NA",VLOOKUP(polymer_valve_size,ss_mov_cost_cl,IF(ss_cat="large",4,5)))</f>
        <v>NA</v>
      </c>
      <c r="L151" s="407"/>
      <c r="M151" s="16" t="str">
        <f t="shared" si="10"/>
        <v>Valves and Fittings - Motor/Air Operated (on/off)  - Polymer- Stainless Steel</v>
      </c>
      <c r="N151" s="526">
        <v>3</v>
      </c>
      <c r="O151" s="526">
        <v>3</v>
      </c>
      <c r="P151" s="526">
        <v>1</v>
      </c>
      <c r="Q151" s="526">
        <v>3</v>
      </c>
      <c r="R151" s="526">
        <v>3</v>
      </c>
      <c r="S151" s="526">
        <v>1</v>
      </c>
      <c r="T151" s="526">
        <v>3</v>
      </c>
      <c r="U151" s="526">
        <v>3</v>
      </c>
      <c r="V151" s="526">
        <v>1</v>
      </c>
      <c r="W151" s="526">
        <f t="shared" si="5"/>
        <v>0</v>
      </c>
      <c r="X151" s="526">
        <f t="shared" si="6"/>
        <v>0</v>
      </c>
    </row>
    <row r="152" spans="1:24" s="16" customFormat="1">
      <c r="A152" s="252" t="s">
        <v>3399</v>
      </c>
      <c r="B152" s="1" t="s">
        <v>1394</v>
      </c>
      <c r="C152" s="21">
        <f>tot_polymer_MOVs</f>
        <v>0</v>
      </c>
      <c r="D152" s="397" t="s">
        <v>64</v>
      </c>
      <c r="E152" s="208" t="str">
        <f>IF(C152=0,"NA",polymer_valve_size)</f>
        <v>NA</v>
      </c>
      <c r="F152" s="1" t="str">
        <f t="shared" si="11"/>
        <v/>
      </c>
      <c r="G152" s="208" t="str">
        <f>IF(C152=0,"NA",IF(curve=1,polymer_valve_size,VLOOKUP(polymer_valve_size,ci_mov_cost_cl,2)))</f>
        <v>NA</v>
      </c>
      <c r="H152" s="480" t="str">
        <f t="shared" si="12"/>
        <v/>
      </c>
      <c r="I152" s="631" t="str">
        <f>IF(C152=0,"NA",IF(curve=1,ci_mov_eq_polymer,VLOOKUP(polymer_valve_size,ci_mov_cost_cl,3)))</f>
        <v>NA</v>
      </c>
      <c r="J152" s="392" t="str">
        <f>IF(OR(C152=0,I152="contact vendor"),"--",C152*I152)</f>
        <v>--</v>
      </c>
      <c r="K152" s="208" t="str">
        <f>IF(C152=0,"NA",VLOOKUP(polymer_valve_size,ci_mov_cost_cl,IF(ss_cat="large",4,5)))</f>
        <v>NA</v>
      </c>
      <c r="L152" s="407"/>
      <c r="M152" s="16" t="str">
        <f t="shared" si="10"/>
        <v>Valves and Fittings - Motor/Air Operated (on/off)  - Polymer- Cast Iron</v>
      </c>
      <c r="N152" s="526">
        <v>2</v>
      </c>
      <c r="O152" s="526">
        <v>1</v>
      </c>
      <c r="P152" s="526">
        <v>2</v>
      </c>
      <c r="Q152" s="526">
        <v>2</v>
      </c>
      <c r="R152" s="526">
        <v>1</v>
      </c>
      <c r="S152" s="526">
        <v>2</v>
      </c>
      <c r="T152" s="526">
        <v>2</v>
      </c>
      <c r="U152" s="526">
        <v>1</v>
      </c>
      <c r="V152" s="526">
        <v>2</v>
      </c>
      <c r="W152" s="526">
        <f t="shared" si="5"/>
        <v>0</v>
      </c>
      <c r="X152" s="526">
        <f t="shared" si="6"/>
        <v>0</v>
      </c>
    </row>
    <row r="153" spans="1:24" customFormat="1">
      <c r="A153" s="485">
        <v>6.2</v>
      </c>
      <c r="B153" s="41" t="s">
        <v>1650</v>
      </c>
      <c r="C153" s="257"/>
      <c r="D153" s="258"/>
      <c r="E153" s="257"/>
      <c r="F153" s="264"/>
      <c r="G153" s="257"/>
      <c r="H153" s="264"/>
      <c r="I153" s="260"/>
      <c r="J153" s="260"/>
      <c r="K153" s="257"/>
      <c r="L153" s="261"/>
      <c r="N153" s="526"/>
      <c r="O153" s="526"/>
      <c r="P153" s="526"/>
      <c r="Q153" s="526"/>
      <c r="R153" s="526"/>
      <c r="S153" s="526"/>
      <c r="T153" s="526"/>
      <c r="U153" s="526"/>
      <c r="V153" s="526"/>
      <c r="W153" s="526">
        <f t="shared" si="5"/>
        <v>0</v>
      </c>
      <c r="X153" s="526">
        <f t="shared" si="6"/>
        <v>0</v>
      </c>
    </row>
    <row r="154" spans="1:24" s="16" customFormat="1">
      <c r="A154" s="252" t="s">
        <v>2424</v>
      </c>
      <c r="B154" s="21" t="s">
        <v>3450</v>
      </c>
      <c r="C154" s="21">
        <f>tot_man_valves</f>
        <v>2</v>
      </c>
      <c r="D154" s="389" t="s">
        <v>64</v>
      </c>
      <c r="E154" s="394">
        <f>in_valve_size</f>
        <v>10</v>
      </c>
      <c r="F154" s="21" t="s">
        <v>1331</v>
      </c>
      <c r="G154" s="394">
        <f>IF(curve=1,in_valve_size,VLOOKUP(in_valve_size,pp_man_cost_cl,2))</f>
        <v>10</v>
      </c>
      <c r="H154" s="21" t="s">
        <v>1331</v>
      </c>
      <c r="I154" s="391">
        <f>IF(curve=1,pp_man_eq,VLOOKUP(in_valve_size,pp_man_cost_cl,3))</f>
        <v>1775.3570923089999</v>
      </c>
      <c r="J154" s="392">
        <f t="shared" ref="J154:J159" si="13">IF(I154="contact vendor","--",C154*I154)</f>
        <v>3550.7141846179998</v>
      </c>
      <c r="K154" s="394">
        <f>VLOOKUP(in_valve_size,pp_man_cost_cl,IF(ss_cat="large",4,5))</f>
        <v>25</v>
      </c>
      <c r="L154" s="393">
        <v>1</v>
      </c>
      <c r="M154" s="16" t="str">
        <f t="shared" ref="M154:M176" si="14">$B$131 &amp; " - " &amp; $B$153&amp;" "&amp;" - "&amp;B154</f>
        <v>Valves and Fittings - Manual  - Influent and treated water - Polypropylene/PVC</v>
      </c>
      <c r="N154" s="526">
        <v>1</v>
      </c>
      <c r="O154" s="526">
        <v>2</v>
      </c>
      <c r="P154" s="526">
        <v>3</v>
      </c>
      <c r="Q154" s="526">
        <v>1</v>
      </c>
      <c r="R154" s="526">
        <v>2</v>
      </c>
      <c r="S154" s="526">
        <v>3</v>
      </c>
      <c r="T154" s="526">
        <v>1</v>
      </c>
      <c r="U154" s="526">
        <v>2</v>
      </c>
      <c r="V154" s="526">
        <v>3</v>
      </c>
      <c r="W154" s="526">
        <f t="shared" si="5"/>
        <v>1</v>
      </c>
      <c r="X154" s="526">
        <f t="shared" si="6"/>
        <v>142.02856738471999</v>
      </c>
    </row>
    <row r="155" spans="1:24" s="16" customFormat="1">
      <c r="A155" s="252" t="s">
        <v>2424</v>
      </c>
      <c r="B155" s="21" t="s">
        <v>3451</v>
      </c>
      <c r="C155" s="21">
        <f>tot_man_valves</f>
        <v>2</v>
      </c>
      <c r="D155" s="389" t="s">
        <v>64</v>
      </c>
      <c r="E155" s="394">
        <f>in_valve_size</f>
        <v>10</v>
      </c>
      <c r="F155" s="21" t="s">
        <v>1331</v>
      </c>
      <c r="G155" s="21">
        <f>IF(curve=1,in_valve_size,VLOOKUP(in_valve_size,ss_man_cost_cl,2))</f>
        <v>10</v>
      </c>
      <c r="H155" s="21" t="s">
        <v>1331</v>
      </c>
      <c r="I155" s="391">
        <f>IF(curve=1,ss_man_eq,VLOOKUP(in_valve_size,ss_man_cost_cl,3))</f>
        <v>2292.5888431361109</v>
      </c>
      <c r="J155" s="392">
        <f t="shared" si="13"/>
        <v>4585.1776862722218</v>
      </c>
      <c r="K155" s="21">
        <f>VLOOKUP(in_valve_size,ss_man_cost_cl,IF(ss_cat="large",4,5))</f>
        <v>25</v>
      </c>
      <c r="L155" s="393">
        <v>0</v>
      </c>
      <c r="M155" s="16" t="str">
        <f t="shared" si="14"/>
        <v>Valves and Fittings - Manual  - Influent and treated water - Stainless Steel</v>
      </c>
      <c r="N155" s="526">
        <v>3</v>
      </c>
      <c r="O155" s="526">
        <v>3</v>
      </c>
      <c r="P155" s="526">
        <v>1</v>
      </c>
      <c r="Q155" s="526">
        <v>3</v>
      </c>
      <c r="R155" s="526">
        <v>3</v>
      </c>
      <c r="S155" s="526">
        <v>1</v>
      </c>
      <c r="T155" s="526">
        <v>3</v>
      </c>
      <c r="U155" s="526">
        <v>3</v>
      </c>
      <c r="V155" s="526">
        <v>1</v>
      </c>
      <c r="W155" s="526">
        <f t="shared" si="5"/>
        <v>0</v>
      </c>
      <c r="X155" s="526">
        <f t="shared" si="6"/>
        <v>0</v>
      </c>
    </row>
    <row r="156" spans="1:24" s="16" customFormat="1">
      <c r="A156" s="252" t="s">
        <v>2424</v>
      </c>
      <c r="B156" s="21" t="s">
        <v>3452</v>
      </c>
      <c r="C156" s="21">
        <f>tot_man_valves</f>
        <v>2</v>
      </c>
      <c r="D156" s="389" t="s">
        <v>64</v>
      </c>
      <c r="E156" s="394">
        <f>in_valve_size</f>
        <v>10</v>
      </c>
      <c r="F156" s="21" t="s">
        <v>1331</v>
      </c>
      <c r="G156" s="394">
        <f>IF(curve=1,in_valve_size,VLOOKUP(in_valve_size,ci_bfv_cost_cl,2))</f>
        <v>10</v>
      </c>
      <c r="H156" s="21" t="s">
        <v>1331</v>
      </c>
      <c r="I156" s="408">
        <f>IF(curve=1,ci_bfv_eq,VLOOKUP(in_valve_size,ci_bfv_cost_cl,3))</f>
        <v>2467.6673917276885</v>
      </c>
      <c r="J156" s="392">
        <f t="shared" si="13"/>
        <v>4935.334783455377</v>
      </c>
      <c r="K156" s="394">
        <f>VLOOKUP(in_valve_size,ci_bfv_cost_cl,IF(ss_cat="large",4,5))</f>
        <v>25</v>
      </c>
      <c r="L156" s="393">
        <v>0</v>
      </c>
      <c r="M156" s="16" t="str">
        <f t="shared" si="14"/>
        <v>Valves and Fittings - Manual  - Influent and treated water - Cast Iron</v>
      </c>
      <c r="N156" s="526">
        <v>2</v>
      </c>
      <c r="O156" s="526">
        <v>1</v>
      </c>
      <c r="P156" s="526">
        <v>2</v>
      </c>
      <c r="Q156" s="526">
        <v>2</v>
      </c>
      <c r="R156" s="526">
        <v>1</v>
      </c>
      <c r="S156" s="526">
        <v>2</v>
      </c>
      <c r="T156" s="526">
        <v>2</v>
      </c>
      <c r="U156" s="526">
        <v>1</v>
      </c>
      <c r="V156" s="526">
        <v>2</v>
      </c>
      <c r="W156" s="526">
        <f t="shared" si="5"/>
        <v>0</v>
      </c>
      <c r="X156" s="526">
        <f t="shared" si="6"/>
        <v>0</v>
      </c>
    </row>
    <row r="157" spans="1:24" s="16" customFormat="1">
      <c r="A157" s="252" t="s">
        <v>2425</v>
      </c>
      <c r="B157" s="21" t="s">
        <v>2767</v>
      </c>
      <c r="C157" s="21">
        <f>tot_proc_man</f>
        <v>14</v>
      </c>
      <c r="D157" s="389" t="s">
        <v>64</v>
      </c>
      <c r="E157" s="394">
        <f>tank_valve_size</f>
        <v>10</v>
      </c>
      <c r="F157" s="1" t="s">
        <v>1331</v>
      </c>
      <c r="G157" s="394">
        <f>IF(curve=1,tank_valve_size,VLOOKUP(tank_valve_size,pp_man_cost_cl,2))</f>
        <v>10</v>
      </c>
      <c r="H157" s="1" t="s">
        <v>1331</v>
      </c>
      <c r="I157" s="391">
        <f>IF(curve=1,pp_man_eq_proc,VLOOKUP(tank_valve_size,pp_man_cost_cl,3))</f>
        <v>1775.3570923089999</v>
      </c>
      <c r="J157" s="392">
        <f t="shared" si="13"/>
        <v>24854.999292326</v>
      </c>
      <c r="K157" s="394">
        <f>VLOOKUP(tank_valve_size,pp_man_cost_cl,IF(ss_cat="large",4,5))</f>
        <v>25</v>
      </c>
      <c r="L157" s="393">
        <v>1</v>
      </c>
      <c r="M157" s="16" t="str">
        <f t="shared" si="14"/>
        <v>Valves and Fittings - Manual  - Process - Polypropylene/PVC</v>
      </c>
      <c r="N157" s="526">
        <v>1</v>
      </c>
      <c r="O157" s="526">
        <v>2</v>
      </c>
      <c r="P157" s="526">
        <v>3</v>
      </c>
      <c r="Q157" s="526">
        <v>1</v>
      </c>
      <c r="R157" s="526">
        <v>2</v>
      </c>
      <c r="S157" s="526">
        <v>3</v>
      </c>
      <c r="T157" s="526">
        <v>1</v>
      </c>
      <c r="U157" s="526">
        <v>2</v>
      </c>
      <c r="V157" s="526">
        <v>3</v>
      </c>
      <c r="W157" s="526">
        <f t="shared" si="5"/>
        <v>1</v>
      </c>
      <c r="X157" s="526">
        <f t="shared" si="6"/>
        <v>994.19997169303997</v>
      </c>
    </row>
    <row r="158" spans="1:24" s="16" customFormat="1">
      <c r="A158" s="252" t="s">
        <v>2425</v>
      </c>
      <c r="B158" s="21" t="s">
        <v>2768</v>
      </c>
      <c r="C158" s="21">
        <f>tot_proc_man</f>
        <v>14</v>
      </c>
      <c r="D158" s="389" t="s">
        <v>64</v>
      </c>
      <c r="E158" s="394">
        <f>tank_valve_size</f>
        <v>10</v>
      </c>
      <c r="F158" s="1" t="s">
        <v>1331</v>
      </c>
      <c r="G158" s="394">
        <f>IF(curve=1,tank_valve_size,VLOOKUP(tank_valve_size,ss_man_cost_cl,2))</f>
        <v>10</v>
      </c>
      <c r="H158" s="1" t="s">
        <v>1331</v>
      </c>
      <c r="I158" s="391">
        <f>IF(curve=1,ss_man_eq_proc,VLOOKUP(tank_valve_size,ss_man_cost_cl,3))</f>
        <v>2292.5888431361109</v>
      </c>
      <c r="J158" s="392">
        <f t="shared" si="13"/>
        <v>32096.243803905552</v>
      </c>
      <c r="K158" s="21">
        <f>VLOOKUP(tank_valve_size,ss_man_cost_cl,IF(ss_cat="large",4,5))</f>
        <v>25</v>
      </c>
      <c r="L158" s="393">
        <v>0</v>
      </c>
      <c r="M158" s="16" t="str">
        <f t="shared" si="14"/>
        <v>Valves and Fittings - Manual  - Process - Stainless Steel</v>
      </c>
      <c r="N158" s="526">
        <v>3</v>
      </c>
      <c r="O158" s="526">
        <v>3</v>
      </c>
      <c r="P158" s="526">
        <v>1</v>
      </c>
      <c r="Q158" s="526">
        <v>3</v>
      </c>
      <c r="R158" s="526">
        <v>3</v>
      </c>
      <c r="S158" s="526">
        <v>1</v>
      </c>
      <c r="T158" s="526">
        <v>3</v>
      </c>
      <c r="U158" s="526">
        <v>3</v>
      </c>
      <c r="V158" s="526">
        <v>1</v>
      </c>
      <c r="W158" s="526">
        <f t="shared" si="5"/>
        <v>0</v>
      </c>
      <c r="X158" s="526">
        <f t="shared" si="6"/>
        <v>0</v>
      </c>
    </row>
    <row r="159" spans="1:24" s="16" customFormat="1">
      <c r="A159" s="252" t="s">
        <v>2425</v>
      </c>
      <c r="B159" s="21" t="s">
        <v>2769</v>
      </c>
      <c r="C159" s="21">
        <f>tot_proc_man</f>
        <v>14</v>
      </c>
      <c r="D159" s="389" t="s">
        <v>64</v>
      </c>
      <c r="E159" s="394">
        <f>tank_valve_size</f>
        <v>10</v>
      </c>
      <c r="F159" s="1" t="s">
        <v>1331</v>
      </c>
      <c r="G159" s="394">
        <f>IF(curve=1,tank_valve_size,VLOOKUP(tank_valve_size,ci_bfv_cost_cl,2))</f>
        <v>10</v>
      </c>
      <c r="H159" s="1" t="s">
        <v>1331</v>
      </c>
      <c r="I159" s="408">
        <f>IF(curve=1,ci_bfv_eq_proc,VLOOKUP(tank_valve_size,ci_bfv_cost_cl,3))</f>
        <v>2467.6673917276885</v>
      </c>
      <c r="J159" s="392">
        <f t="shared" si="13"/>
        <v>34547.343484187637</v>
      </c>
      <c r="K159" s="394">
        <f>VLOOKUP(tank_valve_size,ci_bfv_cost_cl,IF(ss_cat="large",4,5))</f>
        <v>25</v>
      </c>
      <c r="L159" s="393">
        <v>0</v>
      </c>
      <c r="M159" s="16" t="str">
        <f t="shared" si="14"/>
        <v>Valves and Fittings - Manual  - Process - Cast Iron</v>
      </c>
      <c r="N159" s="526">
        <v>2</v>
      </c>
      <c r="O159" s="526">
        <v>1</v>
      </c>
      <c r="P159" s="526">
        <v>2</v>
      </c>
      <c r="Q159" s="526">
        <v>2</v>
      </c>
      <c r="R159" s="526">
        <v>1</v>
      </c>
      <c r="S159" s="526">
        <v>2</v>
      </c>
      <c r="T159" s="526">
        <v>2</v>
      </c>
      <c r="U159" s="526">
        <v>1</v>
      </c>
      <c r="V159" s="526">
        <v>2</v>
      </c>
      <c r="W159" s="526">
        <f t="shared" si="5"/>
        <v>0</v>
      </c>
      <c r="X159" s="526">
        <f t="shared" si="6"/>
        <v>0</v>
      </c>
    </row>
    <row r="160" spans="1:24" s="16" customFormat="1">
      <c r="A160" s="252" t="s">
        <v>2426</v>
      </c>
      <c r="B160" s="21" t="s">
        <v>2770</v>
      </c>
      <c r="C160" s="21">
        <f>tot_back_man</f>
        <v>10</v>
      </c>
      <c r="D160" s="389" t="s">
        <v>64</v>
      </c>
      <c r="E160" s="394">
        <f>IF(tot_back_man=0,"NA",back_valve_size)</f>
        <v>6</v>
      </c>
      <c r="F160" s="21" t="str">
        <f>IF(tot_back_man=0,"","in. diam")</f>
        <v>in. diam</v>
      </c>
      <c r="G160" s="394">
        <f>IF(curve=1,back_valve_size,VLOOKUP(back_valve_size,pp_man_cost_cl,2))</f>
        <v>6</v>
      </c>
      <c r="H160" s="21" t="str">
        <f>IF(tot_back_man=0,"","in. diam")</f>
        <v>in. diam</v>
      </c>
      <c r="I160" s="391">
        <f>IF(tot_back_man=0,"NA",IF(curve=1,pp_man_eq_back,VLOOKUP(back_valve_size,pp_man_cost_cl,3)))</f>
        <v>819.58547077300011</v>
      </c>
      <c r="J160" s="392">
        <f>IF(tot_back_man=0,"--",IF(I160="contact vendor","--",C160*I160))</f>
        <v>8195.8547077300009</v>
      </c>
      <c r="K160" s="394">
        <f>IF(tot_back_man=0,"NA",VLOOKUP(back_valve_size,pp_man_cost_cl,IF(ss_cat="large",4,5)))</f>
        <v>25</v>
      </c>
      <c r="L160" s="393">
        <v>1</v>
      </c>
      <c r="M160" s="16" t="str">
        <f t="shared" si="14"/>
        <v>Valves and Fittings - Manual  - Backwash - Polypropylene/PVC</v>
      </c>
      <c r="N160" s="526">
        <v>1</v>
      </c>
      <c r="O160" s="526">
        <v>2</v>
      </c>
      <c r="P160" s="526">
        <v>3</v>
      </c>
      <c r="Q160" s="526">
        <v>1</v>
      </c>
      <c r="R160" s="526">
        <v>2</v>
      </c>
      <c r="S160" s="526">
        <v>3</v>
      </c>
      <c r="T160" s="526">
        <v>1</v>
      </c>
      <c r="U160" s="526">
        <v>2</v>
      </c>
      <c r="V160" s="526">
        <v>3</v>
      </c>
      <c r="W160" s="526">
        <f t="shared" si="5"/>
        <v>1</v>
      </c>
      <c r="X160" s="526">
        <f t="shared" si="6"/>
        <v>327.83418830920004</v>
      </c>
    </row>
    <row r="161" spans="1:24" s="16" customFormat="1">
      <c r="A161" s="252" t="s">
        <v>2426</v>
      </c>
      <c r="B161" s="21" t="s">
        <v>2771</v>
      </c>
      <c r="C161" s="21">
        <f>tot_back_man</f>
        <v>10</v>
      </c>
      <c r="D161" s="389" t="s">
        <v>64</v>
      </c>
      <c r="E161" s="394">
        <f>IF(tot_back_man=0,"NA",back_valve_size)</f>
        <v>6</v>
      </c>
      <c r="F161" s="21" t="str">
        <f>IF(tot_back_man=0,"","in. diam")</f>
        <v>in. diam</v>
      </c>
      <c r="G161" s="394">
        <f>IF(curve=1,back_valve_size,VLOOKUP(back_valve_size,ss_man_cost_cl,2))</f>
        <v>6</v>
      </c>
      <c r="H161" s="21" t="str">
        <f>IF(tot_back_man=0,"","in. diam")</f>
        <v>in. diam</v>
      </c>
      <c r="I161" s="391">
        <f>IF(tot_back_man=0,"NA",IF(curve=1,ss_man_eq_back,VLOOKUP(back_valve_size,ss_man_cost_cl,3)))</f>
        <v>1428.7035309109294</v>
      </c>
      <c r="J161" s="392">
        <f>IF(tot_back_man=0,"--",IF(I161="contact vendor","--",C161*I161))</f>
        <v>14287.035309109295</v>
      </c>
      <c r="K161" s="394">
        <f>IF(tot_back_man=0,"NA",VLOOKUP(back_valve_size,ss_man_cost_cl,IF(ss_cat="large",4,5)))</f>
        <v>25</v>
      </c>
      <c r="L161" s="393">
        <v>0</v>
      </c>
      <c r="M161" s="16" t="str">
        <f t="shared" si="14"/>
        <v>Valves and Fittings - Manual  - Backwash - Stainless Steel</v>
      </c>
      <c r="N161" s="526">
        <v>3</v>
      </c>
      <c r="O161" s="526">
        <v>3</v>
      </c>
      <c r="P161" s="526">
        <v>1</v>
      </c>
      <c r="Q161" s="526">
        <v>3</v>
      </c>
      <c r="R161" s="526">
        <v>3</v>
      </c>
      <c r="S161" s="526">
        <v>1</v>
      </c>
      <c r="T161" s="526">
        <v>3</v>
      </c>
      <c r="U161" s="526">
        <v>3</v>
      </c>
      <c r="V161" s="526">
        <v>1</v>
      </c>
      <c r="W161" s="526">
        <f t="shared" si="5"/>
        <v>0</v>
      </c>
      <c r="X161" s="526">
        <f t="shared" si="6"/>
        <v>0</v>
      </c>
    </row>
    <row r="162" spans="1:24" s="16" customFormat="1">
      <c r="A162" s="252" t="s">
        <v>2426</v>
      </c>
      <c r="B162" s="21" t="s">
        <v>2772</v>
      </c>
      <c r="C162" s="21">
        <f>tot_back_man</f>
        <v>10</v>
      </c>
      <c r="D162" s="389" t="s">
        <v>64</v>
      </c>
      <c r="E162" s="394">
        <f>IF(tot_back_man=0,"NA",back_valve_size)</f>
        <v>6</v>
      </c>
      <c r="F162" s="21" t="str">
        <f>IF(tot_back_man=0,"","in. diam")</f>
        <v>in. diam</v>
      </c>
      <c r="G162" s="394">
        <f>IF(curve=1,back_valve_size,VLOOKUP(back_valve_size,ci_bfv_cost_cl,2))</f>
        <v>6</v>
      </c>
      <c r="H162" s="21" t="str">
        <f>IF(tot_back_man=0,"","in. diam")</f>
        <v>in. diam</v>
      </c>
      <c r="I162" s="391">
        <f>IF(tot_back_man=0,"NA",IF(curve=1,ci_man_eq_back,VLOOKUP(back_valve_size,ci_bfv_cost_cl,3)))</f>
        <v>1445.9408146195228</v>
      </c>
      <c r="J162" s="392">
        <f>IF(tot_back_man=0,"--",IF(I162="contact vendor","--",C162*I162))</f>
        <v>14459.408146195228</v>
      </c>
      <c r="K162" s="394">
        <f>IF(tot_back_man=0,"NA",VLOOKUP(back_valve_size,ci_bfv_cost_cl,IF(ss_cat="large",4,5)))</f>
        <v>25</v>
      </c>
      <c r="L162" s="393">
        <v>0</v>
      </c>
      <c r="M162" s="16" t="str">
        <f t="shared" si="14"/>
        <v>Valves and Fittings - Manual  - Backwash - Cast Iron</v>
      </c>
      <c r="N162" s="526">
        <v>2</v>
      </c>
      <c r="O162" s="526">
        <v>1</v>
      </c>
      <c r="P162" s="526">
        <v>2</v>
      </c>
      <c r="Q162" s="526">
        <v>2</v>
      </c>
      <c r="R162" s="526">
        <v>1</v>
      </c>
      <c r="S162" s="526">
        <v>2</v>
      </c>
      <c r="T162" s="526">
        <v>2</v>
      </c>
      <c r="U162" s="526">
        <v>1</v>
      </c>
      <c r="V162" s="526">
        <v>2</v>
      </c>
      <c r="W162" s="526">
        <f t="shared" si="5"/>
        <v>0</v>
      </c>
      <c r="X162" s="526">
        <f t="shared" si="6"/>
        <v>0</v>
      </c>
    </row>
    <row r="163" spans="1:24" s="16" customFormat="1">
      <c r="A163" s="252" t="s">
        <v>2427</v>
      </c>
      <c r="B163" s="21" t="s">
        <v>1462</v>
      </c>
      <c r="C163" s="21">
        <f>tot_brine_man</f>
        <v>0</v>
      </c>
      <c r="D163" s="389" t="s">
        <v>64</v>
      </c>
      <c r="E163" s="394" t="str">
        <f>IF(tot_brine_man=0,"NA",brine_valve_size)</f>
        <v>NA</v>
      </c>
      <c r="F163" s="21" t="str">
        <f>IF(tot_brine_man=0,"","in. diam")</f>
        <v/>
      </c>
      <c r="G163" s="394">
        <f>IF(curve=1,brine_valve_size,VLOOKUP(brine_valve_size,pp_man_cost_cl,2))</f>
        <v>0</v>
      </c>
      <c r="H163" s="21" t="str">
        <f>IF(tot_brine_man=0,"","in. diam")</f>
        <v/>
      </c>
      <c r="I163" s="391" t="str">
        <f>IF(tot_brine_man=0,"NA",IF(curve=1,pp_man_eq_brine,VLOOKUP(brine_valve_size,pp_man_cost_cl,3)))</f>
        <v>NA</v>
      </c>
      <c r="J163" s="392" t="str">
        <f>IF(tot_brine_man=0,"--",IF(I163="contact vendor","--",C163*I163))</f>
        <v>--</v>
      </c>
      <c r="K163" s="394" t="str">
        <f>IF(tot_brine_man=0,"NA",VLOOKUP(brine_valve_size,pp_man_cost_cl,IF(ss_cat="large",4,5)))</f>
        <v>NA</v>
      </c>
      <c r="L163" s="393"/>
      <c r="M163" s="16" t="str">
        <f t="shared" si="14"/>
        <v>Valves and Fittings - Manual  - Regenerant - Polypropylene/PVC</v>
      </c>
      <c r="N163" s="526">
        <v>1</v>
      </c>
      <c r="O163" s="526">
        <v>2</v>
      </c>
      <c r="P163" s="526">
        <v>2</v>
      </c>
      <c r="Q163" s="526">
        <v>1</v>
      </c>
      <c r="R163" s="526">
        <v>2</v>
      </c>
      <c r="S163" s="526">
        <v>2</v>
      </c>
      <c r="T163" s="526">
        <v>1</v>
      </c>
      <c r="U163" s="526">
        <v>2</v>
      </c>
      <c r="V163" s="526">
        <v>2</v>
      </c>
      <c r="W163" s="526">
        <f t="shared" si="5"/>
        <v>0</v>
      </c>
      <c r="X163" s="526">
        <f t="shared" si="6"/>
        <v>0</v>
      </c>
    </row>
    <row r="164" spans="1:24" s="16" customFormat="1">
      <c r="A164" s="252" t="s">
        <v>2427</v>
      </c>
      <c r="B164" s="21" t="s">
        <v>1463</v>
      </c>
      <c r="C164" s="21">
        <f>tot_brine_man</f>
        <v>0</v>
      </c>
      <c r="D164" s="389" t="s">
        <v>64</v>
      </c>
      <c r="E164" s="394" t="str">
        <f>IF(tot_brine_man=0,"NA",brine_valve_size)</f>
        <v>NA</v>
      </c>
      <c r="F164" s="21" t="str">
        <f>IF(tot_brine_man=0,"","in. diam")</f>
        <v/>
      </c>
      <c r="G164" s="394">
        <f>IF(curve=1,brine_valve_size,VLOOKUP(brine_valve_size,ss_man_cost_cl,2))</f>
        <v>0</v>
      </c>
      <c r="H164" s="21" t="str">
        <f>IF(tot_brine_man=0,"","in. diam")</f>
        <v/>
      </c>
      <c r="I164" s="391" t="str">
        <f>IF(tot_brine_man=0,"NA",IF(curve=1,ss_man_eq_brine,VLOOKUP(brine_valve_size,ss_man_cost_cl,3)))</f>
        <v>NA</v>
      </c>
      <c r="J164" s="392" t="str">
        <f>IF(tot_brine_man=0,"--",IF(I164="contact vendor","--",C164*I164))</f>
        <v>--</v>
      </c>
      <c r="K164" s="394" t="str">
        <f>IF(tot_brine_man=0,"NA",VLOOKUP(brine_valve_size,ss_man_cost_cl,IF(ss_cat="large",4,5)))</f>
        <v>NA</v>
      </c>
      <c r="L164" s="393"/>
      <c r="M164" s="16" t="str">
        <f t="shared" si="14"/>
        <v>Valves and Fittings - Manual  - Regenerant - Stainless Steel</v>
      </c>
      <c r="N164" s="526">
        <v>2</v>
      </c>
      <c r="O164" s="526">
        <v>1</v>
      </c>
      <c r="P164" s="526">
        <v>1</v>
      </c>
      <c r="Q164" s="526">
        <v>2</v>
      </c>
      <c r="R164" s="526">
        <v>1</v>
      </c>
      <c r="S164" s="526">
        <v>1</v>
      </c>
      <c r="T164" s="526">
        <v>2</v>
      </c>
      <c r="U164" s="526">
        <v>1</v>
      </c>
      <c r="V164" s="526">
        <v>1</v>
      </c>
      <c r="W164" s="526">
        <f t="shared" si="5"/>
        <v>0</v>
      </c>
      <c r="X164" s="526">
        <f t="shared" si="6"/>
        <v>0</v>
      </c>
    </row>
    <row r="165" spans="1:24" s="16" customFormat="1">
      <c r="A165" s="252" t="s">
        <v>2428</v>
      </c>
      <c r="B165" s="21" t="s">
        <v>2773</v>
      </c>
      <c r="C165" s="21">
        <f>IF(bp_pct&gt;0,tot_bp_man,0)</f>
        <v>0</v>
      </c>
      <c r="D165" s="389" t="s">
        <v>64</v>
      </c>
      <c r="E165" s="394" t="str">
        <f>IF(bp_pct=0,"NA",bypass_valve_size)</f>
        <v>NA</v>
      </c>
      <c r="F165" s="21" t="str">
        <f>IF(bp_pct=0," ","in. diam")</f>
        <v xml:space="preserve"> </v>
      </c>
      <c r="G165" s="394" t="str">
        <f>IF(bp_pct=0,"NA",(IF(curve=1,bypass_valve_size,VLOOKUP(bypass_valve_size,pp_man_cost_cl,2))))</f>
        <v>NA</v>
      </c>
      <c r="H165" s="21" t="str">
        <f>IF(bp_pct=0," ","in. diam")</f>
        <v xml:space="preserve"> </v>
      </c>
      <c r="I165" s="391" t="str">
        <f>IF(bp_pct=0,"NA",(IF(curve=1,pp_man_eq_bp,VLOOKUP(bypass_valve_size,pp_man_cost_cl,3))))</f>
        <v>NA</v>
      </c>
      <c r="J165" s="392" t="str">
        <f>IF(OR(C165=0,I165="contact vendor"),"--",C165*I165)</f>
        <v>--</v>
      </c>
      <c r="K165" s="394" t="str">
        <f>IF(bp_pct=0,"NA",VLOOKUP(bypass_valve_size,pp_man_cost_cl,IF(ss_cat="large",4,5)))</f>
        <v>NA</v>
      </c>
      <c r="L165" s="393"/>
      <c r="M165" s="16" t="str">
        <f t="shared" si="14"/>
        <v>Valves and Fittings - Manual  - Bypass - Polypropylene/PVC</v>
      </c>
      <c r="N165" s="526">
        <v>1</v>
      </c>
      <c r="O165" s="526">
        <v>2</v>
      </c>
      <c r="P165" s="526">
        <v>3</v>
      </c>
      <c r="Q165" s="526">
        <v>1</v>
      </c>
      <c r="R165" s="526">
        <v>2</v>
      </c>
      <c r="S165" s="526">
        <v>3</v>
      </c>
      <c r="T165" s="526">
        <v>1</v>
      </c>
      <c r="U165" s="526">
        <v>2</v>
      </c>
      <c r="V165" s="526">
        <v>3</v>
      </c>
      <c r="W165" s="526">
        <f t="shared" si="5"/>
        <v>0</v>
      </c>
      <c r="X165" s="526">
        <f t="shared" si="6"/>
        <v>0</v>
      </c>
    </row>
    <row r="166" spans="1:24" s="16" customFormat="1">
      <c r="A166" s="252" t="s">
        <v>2428</v>
      </c>
      <c r="B166" s="21" t="s">
        <v>1629</v>
      </c>
      <c r="C166" s="21">
        <f>IF(bp_pct&gt;0,tot_bp_man,0)</f>
        <v>0</v>
      </c>
      <c r="D166" s="389" t="s">
        <v>64</v>
      </c>
      <c r="E166" s="394" t="str">
        <f>IF(bp_pct=0,"NA",bypass_valve_size)</f>
        <v>NA</v>
      </c>
      <c r="F166" s="21" t="str">
        <f>IF(bp_pct=0," ","in. diam")</f>
        <v xml:space="preserve"> </v>
      </c>
      <c r="G166" s="394" t="str">
        <f>IF(bp_pct=0,"NA",(IF(curve=1,bypass_valve_size,VLOOKUP(bypass_valve_size,ss_man_cost_cl,2))))</f>
        <v>NA</v>
      </c>
      <c r="H166" s="21" t="str">
        <f>IF(bp_pct=0," ","in. diam")</f>
        <v xml:space="preserve"> </v>
      </c>
      <c r="I166" s="391" t="str">
        <f>IF(bp_pct=0,"NA",(IF(curve=1,ss_man_eq_bp,VLOOKUP(bypass_valve_size,ss_man_cost_cl,3))))</f>
        <v>NA</v>
      </c>
      <c r="J166" s="392" t="str">
        <f>IF(OR(C166=0,I166="contact vendor"),"--",C166*I166)</f>
        <v>--</v>
      </c>
      <c r="K166" s="394" t="str">
        <f>IF(bp_pct=0,"NA",VLOOKUP(bypass_valve_size,ss_man_cost_cl,IF(ss_cat="large",4,5)))</f>
        <v>NA</v>
      </c>
      <c r="L166" s="393"/>
      <c r="M166" s="16" t="str">
        <f t="shared" si="14"/>
        <v>Valves and Fittings - Manual  - Bypass - Stainless Steel</v>
      </c>
      <c r="N166" s="526">
        <v>3</v>
      </c>
      <c r="O166" s="526">
        <v>3</v>
      </c>
      <c r="P166" s="526">
        <v>1</v>
      </c>
      <c r="Q166" s="526">
        <v>3</v>
      </c>
      <c r="R166" s="526">
        <v>3</v>
      </c>
      <c r="S166" s="526">
        <v>1</v>
      </c>
      <c r="T166" s="526">
        <v>3</v>
      </c>
      <c r="U166" s="526">
        <v>3</v>
      </c>
      <c r="V166" s="526">
        <v>1</v>
      </c>
      <c r="W166" s="526">
        <f t="shared" si="5"/>
        <v>0</v>
      </c>
      <c r="X166" s="526">
        <f t="shared" si="6"/>
        <v>0</v>
      </c>
    </row>
    <row r="167" spans="1:24" s="16" customFormat="1">
      <c r="A167" s="252" t="s">
        <v>2428</v>
      </c>
      <c r="B167" s="21" t="s">
        <v>1630</v>
      </c>
      <c r="C167" s="21">
        <f>IF(bp_pct&gt;0,tot_bp_man,0)</f>
        <v>0</v>
      </c>
      <c r="D167" s="389" t="s">
        <v>64</v>
      </c>
      <c r="E167" s="394" t="str">
        <f>IF(bp_pct=0,"NA",bypass_valve_size)</f>
        <v>NA</v>
      </c>
      <c r="F167" s="21" t="str">
        <f>IF(bp_pct=0," ","in. diam")</f>
        <v xml:space="preserve"> </v>
      </c>
      <c r="G167" s="394" t="str">
        <f>IF(bp_pct=0,"NA",(IF(curve=1,bypass_valve_size,VLOOKUP(bypass_valve_size,ci_bfv_cost_cl,2))))</f>
        <v>NA</v>
      </c>
      <c r="H167" s="21" t="str">
        <f>IF(bp_pct=0," ","in. diam")</f>
        <v xml:space="preserve"> </v>
      </c>
      <c r="I167" s="391" t="str">
        <f>IF(bp_pct=0,"NA",(IF(curve=1,ci_man_eq_bp,VLOOKUP(bypass_valve_size,ci_bfv_cost_cl,3))))</f>
        <v>NA</v>
      </c>
      <c r="J167" s="392" t="str">
        <f>IF(OR(C167=0,I167="contact vendor"),"--",C167*I167)</f>
        <v>--</v>
      </c>
      <c r="K167" s="394" t="str">
        <f>IF(bp_pct=0,"NA",VLOOKUP(bypass_valve_size,ci_bfv_cost_cl,IF(ss_cat="large",4,5)))</f>
        <v>NA</v>
      </c>
      <c r="L167" s="393"/>
      <c r="M167" s="16" t="str">
        <f t="shared" si="14"/>
        <v>Valves and Fittings - Manual  - Bypass - Cast Iron</v>
      </c>
      <c r="N167" s="526">
        <v>2</v>
      </c>
      <c r="O167" s="526">
        <v>1</v>
      </c>
      <c r="P167" s="526">
        <v>2</v>
      </c>
      <c r="Q167" s="526">
        <v>2</v>
      </c>
      <c r="R167" s="526">
        <v>1</v>
      </c>
      <c r="S167" s="526">
        <v>2</v>
      </c>
      <c r="T167" s="526">
        <v>2</v>
      </c>
      <c r="U167" s="526">
        <v>1</v>
      </c>
      <c r="V167" s="526">
        <v>2</v>
      </c>
      <c r="W167" s="526">
        <f t="shared" si="5"/>
        <v>0</v>
      </c>
      <c r="X167" s="526">
        <f t="shared" si="6"/>
        <v>0</v>
      </c>
    </row>
    <row r="168" spans="1:24" s="16" customFormat="1">
      <c r="A168" s="252" t="s">
        <v>2429</v>
      </c>
      <c r="B168" s="21" t="s">
        <v>1308</v>
      </c>
      <c r="C168" s="21">
        <f>tot_caustic_man</f>
        <v>0</v>
      </c>
      <c r="D168" s="389" t="s">
        <v>64</v>
      </c>
      <c r="E168" s="394" t="str">
        <f>IF(tot_caustic_man=0,"NA",caustic_valve_size)</f>
        <v>NA</v>
      </c>
      <c r="F168" s="21" t="str">
        <f>IF(tot_caustic_man=0,"","in. diam")</f>
        <v/>
      </c>
      <c r="G168" s="394" t="str">
        <f>IF(tot_caustic_man=0,"NA",(IF(curve=1,caustic_valve_size,VLOOKUP(caustic_valve_size,pp_man_cost_cl,2))))</f>
        <v>NA</v>
      </c>
      <c r="H168" s="21" t="str">
        <f>IF(tot_caustic_man=0,"","in. diam")</f>
        <v/>
      </c>
      <c r="I168" s="391" t="str">
        <f>IF(tot_caustic_man=0,"NA",IF(curve=1,pp_man_eq_caustic,VLOOKUP(caustic_valve_size,pp_man_cost_cl,3)))</f>
        <v>NA</v>
      </c>
      <c r="J168" s="392" t="str">
        <f>IF(tot_caustic_man=0,"--",IF(I168="contact vendor","--",C168*I168))</f>
        <v>--</v>
      </c>
      <c r="K168" s="394" t="str">
        <f>IF(tot_caustic_man=0,"NA",VLOOKUP(caustic_valve_size,pp_man_cost_cl,IF(ss_cat="large",4,5)))</f>
        <v>NA</v>
      </c>
      <c r="L168" s="393"/>
      <c r="M168" s="16" t="str">
        <f t="shared" si="14"/>
        <v>Valves and Fittings - Manual  - Caustic - Polypropylene/PVC</v>
      </c>
      <c r="N168" s="526">
        <v>1</v>
      </c>
      <c r="O168" s="526">
        <v>2</v>
      </c>
      <c r="P168" s="526">
        <v>2</v>
      </c>
      <c r="Q168" s="526">
        <v>1</v>
      </c>
      <c r="R168" s="526">
        <v>2</v>
      </c>
      <c r="S168" s="526">
        <v>2</v>
      </c>
      <c r="T168" s="526">
        <v>1</v>
      </c>
      <c r="U168" s="526">
        <v>2</v>
      </c>
      <c r="V168" s="526">
        <v>2</v>
      </c>
      <c r="W168" s="526">
        <f t="shared" ref="W168:W227" si="15">IF(ISERROR(K168*L168),0,IF(K168&lt;1,0,L168))</f>
        <v>0</v>
      </c>
      <c r="X168" s="526">
        <f t="shared" ref="X168:X227" si="16">IF(W168,J168/K168,0)</f>
        <v>0</v>
      </c>
    </row>
    <row r="169" spans="1:24" s="16" customFormat="1">
      <c r="A169" s="252" t="s">
        <v>2429</v>
      </c>
      <c r="B169" s="21" t="s">
        <v>1309</v>
      </c>
      <c r="C169" s="21">
        <f>tot_caustic_man</f>
        <v>0</v>
      </c>
      <c r="D169" s="389" t="s">
        <v>64</v>
      </c>
      <c r="E169" s="394" t="str">
        <f>IF(tot_caustic_man=0,"NA",caustic_valve_size)</f>
        <v>NA</v>
      </c>
      <c r="F169" s="21" t="str">
        <f>IF(tot_caustic_man=0,"","in. diam")</f>
        <v/>
      </c>
      <c r="G169" s="394" t="str">
        <f>IF(tot_caustic_man=0,"NA",(IF(curve=1,caustic_valve_size,VLOOKUP(caustic_valve_size,ss_man_cost_cl,2))))</f>
        <v>NA</v>
      </c>
      <c r="H169" s="21" t="str">
        <f>IF(tot_caustic_man=0,"","in. diam")</f>
        <v/>
      </c>
      <c r="I169" s="391" t="str">
        <f>IF(tot_caustic_man=0,"NA",IF(curve=1,ss_man_eq_caustic,VLOOKUP(caustic_valve_size,ss_man_cost_cl,3)))</f>
        <v>NA</v>
      </c>
      <c r="J169" s="392" t="str">
        <f>IF(tot_caustic_man=0,"--",IF(I169="contact vendor","--",C169*I169))</f>
        <v>--</v>
      </c>
      <c r="K169" s="394" t="str">
        <f>IF(tot_caustic_man=0,"NA",VLOOKUP(caustic_valve_size,ss_man_cost_cl,IF(ss_cat="large",4,5)))</f>
        <v>NA</v>
      </c>
      <c r="L169" s="393"/>
      <c r="M169" s="16" t="str">
        <f t="shared" si="14"/>
        <v>Valves and Fittings - Manual  - Caustic - Stainless Steel</v>
      </c>
      <c r="N169" s="526">
        <v>2</v>
      </c>
      <c r="O169" s="526">
        <v>1</v>
      </c>
      <c r="P169" s="526">
        <v>1</v>
      </c>
      <c r="Q169" s="526">
        <v>2</v>
      </c>
      <c r="R169" s="526">
        <v>1</v>
      </c>
      <c r="S169" s="526">
        <v>1</v>
      </c>
      <c r="T169" s="526">
        <v>2</v>
      </c>
      <c r="U169" s="526">
        <v>1</v>
      </c>
      <c r="V169" s="526">
        <v>1</v>
      </c>
      <c r="W169" s="526">
        <f t="shared" si="15"/>
        <v>0</v>
      </c>
      <c r="X169" s="526">
        <f t="shared" si="16"/>
        <v>0</v>
      </c>
    </row>
    <row r="170" spans="1:24" s="16" customFormat="1">
      <c r="A170" s="252" t="s">
        <v>2430</v>
      </c>
      <c r="B170" s="1" t="s">
        <v>1269</v>
      </c>
      <c r="C170" s="21">
        <f>total_res_man</f>
        <v>3</v>
      </c>
      <c r="D170" s="389" t="s">
        <v>64</v>
      </c>
      <c r="E170" s="394">
        <f>IF(C170=0,"NA",res_valve_size)</f>
        <v>1</v>
      </c>
      <c r="F170" s="1" t="str">
        <f t="shared" ref="F170:F176" si="17">IF(C170=0,"","in. diam")</f>
        <v>in. diam</v>
      </c>
      <c r="G170" s="394">
        <f>IF(C170=0,"NA",IF(curve=1,res_valve_size,VLOOKUP(res_valve_size,pp_man_cost_cl,2)))</f>
        <v>1</v>
      </c>
      <c r="H170" s="1" t="str">
        <f t="shared" ref="H170:H176" si="18">IF(C170=0,"","in. diam")</f>
        <v>in. diam</v>
      </c>
      <c r="I170" s="391">
        <f>IF(C170=0,"NA",IF(curve=1,pp_man_eq_res,VLOOKUP(res_valve_size,pp_man_cost_cl,3)))</f>
        <v>170.17300243299999</v>
      </c>
      <c r="J170" s="392">
        <f t="shared" ref="J170:J176" si="19">IF(OR(C170=0,I170="contact vendor"),"--",C170*I170)</f>
        <v>510.51900729900001</v>
      </c>
      <c r="K170" s="394">
        <f>IF(C170=0,"NA",VLOOKUP(res_valve_size,pp_man_cost_cl,IF(ss_cat="large",4,5)))</f>
        <v>25</v>
      </c>
      <c r="L170" s="393">
        <v>1</v>
      </c>
      <c r="M170" s="16" t="str">
        <f t="shared" si="14"/>
        <v>Valves and Fittings - Manual  - Residuals - Polypropylene/PVC</v>
      </c>
      <c r="N170" s="526">
        <v>1</v>
      </c>
      <c r="O170" s="526">
        <v>2</v>
      </c>
      <c r="P170" s="526">
        <v>3</v>
      </c>
      <c r="Q170" s="526">
        <v>1</v>
      </c>
      <c r="R170" s="526">
        <v>2</v>
      </c>
      <c r="S170" s="526">
        <v>3</v>
      </c>
      <c r="T170" s="526">
        <v>1</v>
      </c>
      <c r="U170" s="526">
        <v>2</v>
      </c>
      <c r="V170" s="526">
        <v>3</v>
      </c>
      <c r="W170" s="526">
        <f t="shared" si="15"/>
        <v>1</v>
      </c>
      <c r="X170" s="526">
        <f t="shared" si="16"/>
        <v>20.420760291960001</v>
      </c>
    </row>
    <row r="171" spans="1:24" s="16" customFormat="1">
      <c r="A171" s="252" t="s">
        <v>2430</v>
      </c>
      <c r="B171" s="1" t="s">
        <v>1270</v>
      </c>
      <c r="C171" s="21">
        <f>total_res_man</f>
        <v>3</v>
      </c>
      <c r="D171" s="389" t="s">
        <v>64</v>
      </c>
      <c r="E171" s="394">
        <f>IF(C171=0,"NA",res_valve_size)</f>
        <v>1</v>
      </c>
      <c r="F171" s="1" t="str">
        <f t="shared" si="17"/>
        <v>in. diam</v>
      </c>
      <c r="G171" s="394">
        <f>IF(C171=0,"NA",IF(curve=1,res_valve_size,VLOOKUP(res_valve_size,ss_man_cost_cl,2)))</f>
        <v>1</v>
      </c>
      <c r="H171" s="1" t="str">
        <f t="shared" si="18"/>
        <v>in. diam</v>
      </c>
      <c r="I171" s="391">
        <f>IF(C171=0,"NA",IF(curve=1,ss_man_eq_res,VLOOKUP(res_valve_size,ss_man_cost_cl,3)))</f>
        <v>271.98316458599999</v>
      </c>
      <c r="J171" s="392">
        <f t="shared" si="19"/>
        <v>815.94949375800002</v>
      </c>
      <c r="K171" s="394">
        <f>IF(C171=0,"NA",VLOOKUP(res_valve_size,ss_man_cost_cl,IF(ss_cat="large",4,5)))</f>
        <v>25</v>
      </c>
      <c r="L171" s="393">
        <v>0</v>
      </c>
      <c r="M171" s="16" t="str">
        <f t="shared" si="14"/>
        <v>Valves and Fittings - Manual  - Residuals - Stainless Steel</v>
      </c>
      <c r="N171" s="526">
        <v>3</v>
      </c>
      <c r="O171" s="526">
        <v>3</v>
      </c>
      <c r="P171" s="526">
        <v>1</v>
      </c>
      <c r="Q171" s="526">
        <v>3</v>
      </c>
      <c r="R171" s="526">
        <v>3</v>
      </c>
      <c r="S171" s="526">
        <v>1</v>
      </c>
      <c r="T171" s="526">
        <v>3</v>
      </c>
      <c r="U171" s="526">
        <v>3</v>
      </c>
      <c r="V171" s="526">
        <v>1</v>
      </c>
      <c r="W171" s="526">
        <f t="shared" si="15"/>
        <v>0</v>
      </c>
      <c r="X171" s="526">
        <f t="shared" si="16"/>
        <v>0</v>
      </c>
    </row>
    <row r="172" spans="1:24" s="16" customFormat="1" ht="12" customHeight="1">
      <c r="A172" s="252" t="s">
        <v>2430</v>
      </c>
      <c r="B172" s="1" t="s">
        <v>661</v>
      </c>
      <c r="C172" s="21">
        <f>total_res_man</f>
        <v>3</v>
      </c>
      <c r="D172" s="389" t="s">
        <v>64</v>
      </c>
      <c r="E172" s="394">
        <f>IF(C172=0,"NA",res_valve_size)</f>
        <v>1</v>
      </c>
      <c r="F172" s="1" t="str">
        <f t="shared" si="17"/>
        <v>in. diam</v>
      </c>
      <c r="G172" s="394">
        <f>IF(C172=0,"NA",IF(curve=1,res_valve_size,VLOOKUP(res_valve_size,ci_bfv_cost_cl,2)))</f>
        <v>1</v>
      </c>
      <c r="H172" s="1" t="str">
        <f t="shared" si="18"/>
        <v>in. diam</v>
      </c>
      <c r="I172" s="391">
        <f>IF(C172=0,"NA",IF(curve=1,ci_man_eq_res,VLOOKUP(res_valve_size,ci_bfv_cost_cl,3)))</f>
        <v>221.77653215199999</v>
      </c>
      <c r="J172" s="392">
        <f t="shared" si="19"/>
        <v>665.32959645599999</v>
      </c>
      <c r="K172" s="394">
        <f>IF(C172=0,"NA",VLOOKUP(res_valve_size,ci_bfv_cost_cl,IF(ss_cat="large",4,5)))</f>
        <v>25</v>
      </c>
      <c r="L172" s="393">
        <v>0</v>
      </c>
      <c r="M172" s="16" t="str">
        <f t="shared" si="14"/>
        <v>Valves and Fittings - Manual  - Residuals - Cast Iron</v>
      </c>
      <c r="N172" s="526">
        <v>2</v>
      </c>
      <c r="O172" s="526">
        <v>1</v>
      </c>
      <c r="P172" s="526">
        <v>2</v>
      </c>
      <c r="Q172" s="526">
        <v>2</v>
      </c>
      <c r="R172" s="526">
        <v>1</v>
      </c>
      <c r="S172" s="526">
        <v>2</v>
      </c>
      <c r="T172" s="526">
        <v>2</v>
      </c>
      <c r="U172" s="526">
        <v>1</v>
      </c>
      <c r="V172" s="526">
        <v>2</v>
      </c>
      <c r="W172" s="526">
        <f t="shared" si="15"/>
        <v>0</v>
      </c>
      <c r="X172" s="526">
        <f t="shared" si="16"/>
        <v>0</v>
      </c>
    </row>
    <row r="173" spans="1:24" s="16" customFormat="1" ht="12" customHeight="1">
      <c r="A173" s="252" t="s">
        <v>2431</v>
      </c>
      <c r="B173" s="1" t="s">
        <v>3400</v>
      </c>
      <c r="C173" s="21">
        <f>tot_coag_man</f>
        <v>0</v>
      </c>
      <c r="D173" s="397" t="s">
        <v>64</v>
      </c>
      <c r="E173" s="394" t="str">
        <f>IF(C173=0,"NA",coag_valve_size)</f>
        <v>NA</v>
      </c>
      <c r="F173" s="1" t="str">
        <f>IF(C173=0,"","in. diam")</f>
        <v/>
      </c>
      <c r="G173" s="394" t="str">
        <f>IF(C173=0,"NA",IF(curve=1,coag_valve_size,VLOOKUP(coag_valve_size,pp_man_cost_cl,2)))</f>
        <v>NA</v>
      </c>
      <c r="H173" s="1" t="str">
        <f>IF(C173=0,"","in. diam")</f>
        <v/>
      </c>
      <c r="I173" s="408" t="str">
        <f>IF(C173=0,"NA",IF(curve=1,pp_man_eq_coag,VLOOKUP(coag_valve_size,pp_man_cost_cl,3)))</f>
        <v>NA</v>
      </c>
      <c r="J173" s="392" t="str">
        <f>IF(OR(C173=0,I173="contact vendor"),"--",C173*I173)</f>
        <v>--</v>
      </c>
      <c r="K173" s="394" t="str">
        <f>IF(C173=0,"NA",VLOOKUP(coag_valve_size,pp_man_cost_cl,IF(ss_cat="large",4,5)))</f>
        <v>NA</v>
      </c>
      <c r="L173" s="393"/>
      <c r="M173" s="16" t="str">
        <f>$B$131 &amp; " - " &amp; $B$153&amp;" "&amp;" - "&amp;B173</f>
        <v>Valves and Fittings - Manual  - Ferric Chloride - Polypropylene/PVC</v>
      </c>
      <c r="N173" s="526">
        <v>1</v>
      </c>
      <c r="O173" s="526">
        <v>1</v>
      </c>
      <c r="P173" s="526">
        <v>1</v>
      </c>
      <c r="Q173" s="526">
        <v>1</v>
      </c>
      <c r="R173" s="526">
        <v>1</v>
      </c>
      <c r="S173" s="526">
        <v>1</v>
      </c>
      <c r="T173" s="526">
        <v>1</v>
      </c>
      <c r="U173" s="526">
        <v>1</v>
      </c>
      <c r="V173" s="526">
        <v>1</v>
      </c>
      <c r="W173" s="526">
        <f>IF(ISERROR(K173*L173),0,IF(K173&lt;1,0,L173))</f>
        <v>0</v>
      </c>
      <c r="X173" s="526">
        <f>IF(W173,J173/K173,0)</f>
        <v>0</v>
      </c>
    </row>
    <row r="174" spans="1:24" s="16" customFormat="1" ht="12" customHeight="1">
      <c r="A174" s="252" t="s">
        <v>3401</v>
      </c>
      <c r="B174" s="1" t="s">
        <v>1392</v>
      </c>
      <c r="C174" s="21">
        <f>tot_polymer_man</f>
        <v>0</v>
      </c>
      <c r="D174" s="397" t="s">
        <v>64</v>
      </c>
      <c r="E174" s="394" t="str">
        <f>IF(C174=0,"NA",polymer_valve_size)</f>
        <v>NA</v>
      </c>
      <c r="F174" s="1" t="str">
        <f t="shared" si="17"/>
        <v/>
      </c>
      <c r="G174" s="394" t="str">
        <f>IF(C174=0,"NA",IF(curve=1,polymer_valve_size,VLOOKUP(polymer_valve_size,pp_man_cost_cl,2)))</f>
        <v>NA</v>
      </c>
      <c r="H174" s="1" t="str">
        <f t="shared" si="18"/>
        <v/>
      </c>
      <c r="I174" s="408" t="str">
        <f>IF(C174=0,"NA",IF(curve=1,pp_man_eq_polymer,VLOOKUP(polymer_valve_size,pp_man_cost_cl,3)))</f>
        <v>NA</v>
      </c>
      <c r="J174" s="392" t="str">
        <f t="shared" si="19"/>
        <v>--</v>
      </c>
      <c r="K174" s="394" t="str">
        <f>IF(C174=0,"NA",VLOOKUP(polymer_valve_size,pp_man_cost_cl,IF(ss_cat="large",4,5)))</f>
        <v>NA</v>
      </c>
      <c r="L174" s="393"/>
      <c r="M174" s="16" t="str">
        <f t="shared" si="14"/>
        <v>Valves and Fittings - Manual  - Polymer- Polypropylene/PVC</v>
      </c>
      <c r="N174" s="526">
        <v>1</v>
      </c>
      <c r="O174" s="526">
        <v>2</v>
      </c>
      <c r="P174" s="526">
        <v>3</v>
      </c>
      <c r="Q174" s="526">
        <v>1</v>
      </c>
      <c r="R174" s="526">
        <v>2</v>
      </c>
      <c r="S174" s="526">
        <v>3</v>
      </c>
      <c r="T174" s="526">
        <v>1</v>
      </c>
      <c r="U174" s="526">
        <v>2</v>
      </c>
      <c r="V174" s="526">
        <v>3</v>
      </c>
      <c r="W174" s="526">
        <f t="shared" si="15"/>
        <v>0</v>
      </c>
      <c r="X174" s="526">
        <f t="shared" si="16"/>
        <v>0</v>
      </c>
    </row>
    <row r="175" spans="1:24" s="16" customFormat="1" ht="12" customHeight="1">
      <c r="A175" s="252" t="s">
        <v>3401</v>
      </c>
      <c r="B175" s="1" t="s">
        <v>1393</v>
      </c>
      <c r="C175" s="21">
        <f>tot_polymer_man</f>
        <v>0</v>
      </c>
      <c r="D175" s="397" t="s">
        <v>64</v>
      </c>
      <c r="E175" s="394" t="str">
        <f>IF(C175=0,"NA",polymer_valve_size)</f>
        <v>NA</v>
      </c>
      <c r="F175" s="1" t="str">
        <f t="shared" si="17"/>
        <v/>
      </c>
      <c r="G175" s="394" t="str">
        <f>IF(C175=0,"NA",IF(curve=1,polymer_valve_size,VLOOKUP(polymer_valve_size,ss_man_cost_cl,2)))</f>
        <v>NA</v>
      </c>
      <c r="H175" s="1" t="str">
        <f t="shared" si="18"/>
        <v/>
      </c>
      <c r="I175" s="408" t="str">
        <f>IF(C175=0,"NA",IF(curve=1,ss_man_eq_polymer,VLOOKUP(polymer_valve_size,ss_man_cost_cl,3)))</f>
        <v>NA</v>
      </c>
      <c r="J175" s="392" t="str">
        <f t="shared" si="19"/>
        <v>--</v>
      </c>
      <c r="K175" s="394" t="str">
        <f>IF(C175=0,"NA",VLOOKUP(polymer_valve_size,ss_man_cost_cl,IF(ss_cat="large",4,5)))</f>
        <v>NA</v>
      </c>
      <c r="L175" s="393"/>
      <c r="M175" s="16" t="str">
        <f t="shared" si="14"/>
        <v>Valves and Fittings - Manual  - Polymer- Stainless Steel</v>
      </c>
      <c r="N175" s="526">
        <v>3</v>
      </c>
      <c r="O175" s="526">
        <v>3</v>
      </c>
      <c r="P175" s="526">
        <v>1</v>
      </c>
      <c r="Q175" s="526">
        <v>3</v>
      </c>
      <c r="R175" s="526">
        <v>3</v>
      </c>
      <c r="S175" s="526">
        <v>1</v>
      </c>
      <c r="T175" s="526">
        <v>3</v>
      </c>
      <c r="U175" s="526">
        <v>3</v>
      </c>
      <c r="V175" s="526">
        <v>1</v>
      </c>
      <c r="W175" s="526">
        <f t="shared" si="15"/>
        <v>0</v>
      </c>
      <c r="X175" s="526">
        <f t="shared" si="16"/>
        <v>0</v>
      </c>
    </row>
    <row r="176" spans="1:24" s="16" customFormat="1" ht="12" customHeight="1">
      <c r="A176" s="252" t="s">
        <v>3401</v>
      </c>
      <c r="B176" s="1" t="s">
        <v>1394</v>
      </c>
      <c r="C176" s="21">
        <f>tot_polymer_man</f>
        <v>0</v>
      </c>
      <c r="D176" s="397" t="s">
        <v>64</v>
      </c>
      <c r="E176" s="394" t="str">
        <f>IF(C176=0,"NA",polymer_valve_size)</f>
        <v>NA</v>
      </c>
      <c r="F176" s="1" t="str">
        <f t="shared" si="17"/>
        <v/>
      </c>
      <c r="G176" s="394" t="str">
        <f>IF(C176=0,"NA",IF(curve=1,polymer_valve_size,VLOOKUP(polymer_valve_size,ci_bfv_cost_cl,2)))</f>
        <v>NA</v>
      </c>
      <c r="H176" s="1" t="str">
        <f t="shared" si="18"/>
        <v/>
      </c>
      <c r="I176" s="408" t="str">
        <f>IF(C176=0,"NA",IF(curve=1,ci_man_eq_polymer,VLOOKUP(polymer_valve_size,ci_bfv_cost_cl,3)))</f>
        <v>NA</v>
      </c>
      <c r="J176" s="392" t="str">
        <f t="shared" si="19"/>
        <v>--</v>
      </c>
      <c r="K176" s="394" t="str">
        <f>IF(C176=0,"NA",VLOOKUP(polymer_valve_size,ci_bfv_cost_cl,IF(ss_cat="large",4,5)))</f>
        <v>NA</v>
      </c>
      <c r="L176" s="393"/>
      <c r="M176" s="16" t="str">
        <f t="shared" si="14"/>
        <v>Valves and Fittings - Manual  - Polymer- Cast Iron</v>
      </c>
      <c r="N176" s="526">
        <v>2</v>
      </c>
      <c r="O176" s="526">
        <v>1</v>
      </c>
      <c r="P176" s="526">
        <v>2</v>
      </c>
      <c r="Q176" s="526">
        <v>2</v>
      </c>
      <c r="R176" s="526">
        <v>1</v>
      </c>
      <c r="S176" s="526">
        <v>2</v>
      </c>
      <c r="T176" s="526">
        <v>2</v>
      </c>
      <c r="U176" s="526">
        <v>1</v>
      </c>
      <c r="V176" s="526">
        <v>2</v>
      </c>
      <c r="W176" s="526">
        <f t="shared" si="15"/>
        <v>0</v>
      </c>
      <c r="X176" s="526">
        <f t="shared" si="16"/>
        <v>0</v>
      </c>
    </row>
    <row r="177" spans="1:24" customFormat="1">
      <c r="A177" s="487">
        <v>6.3</v>
      </c>
      <c r="B177" s="41" t="s">
        <v>2766</v>
      </c>
      <c r="C177" s="257"/>
      <c r="D177" s="258"/>
      <c r="E177" s="257"/>
      <c r="F177" s="264"/>
      <c r="G177" s="257"/>
      <c r="H177" s="264"/>
      <c r="I177" s="260"/>
      <c r="J177" s="260"/>
      <c r="K177" s="257"/>
      <c r="L177" s="261"/>
      <c r="N177" s="526"/>
      <c r="O177" s="526"/>
      <c r="P177" s="526"/>
      <c r="Q177" s="526"/>
      <c r="R177" s="526"/>
      <c r="S177" s="526"/>
      <c r="T177" s="526"/>
      <c r="U177" s="526"/>
      <c r="V177" s="526"/>
      <c r="W177" s="526">
        <f t="shared" si="15"/>
        <v>0</v>
      </c>
      <c r="X177" s="526">
        <f t="shared" si="16"/>
        <v>0</v>
      </c>
    </row>
    <row r="178" spans="1:24" s="16" customFormat="1">
      <c r="A178" s="252" t="s">
        <v>2432</v>
      </c>
      <c r="B178" s="21" t="s">
        <v>2770</v>
      </c>
      <c r="C178" s="21">
        <f>tot_back_chv</f>
        <v>2</v>
      </c>
      <c r="D178" s="389" t="s">
        <v>64</v>
      </c>
      <c r="E178" s="394">
        <f>IF(C178=0,"NA",back_valve_size)</f>
        <v>6</v>
      </c>
      <c r="F178" s="1" t="str">
        <f>IF(C178=0,"","in. diam")</f>
        <v>in. diam</v>
      </c>
      <c r="G178" s="394">
        <f>IF(C178=0,"NA",(IF(curve=1,back_valve_size,VLOOKUP(back_valve_size,pp_chv_cost_cl,2))))</f>
        <v>6</v>
      </c>
      <c r="H178" s="1" t="str">
        <f>IF(C178=0,"","in. diam")</f>
        <v>in. diam</v>
      </c>
      <c r="I178" s="391">
        <f>IF(C178=0,"NA",(IF(curve=1,pp_chv_eq,VLOOKUP(back_valve_size,pp_chv_cost_cl,3))))</f>
        <v>1226.2284409620001</v>
      </c>
      <c r="J178" s="392">
        <f>IF(C178=0,"--",(IF(I178="contact vendor","--",C178*I178)))</f>
        <v>2452.4568819240003</v>
      </c>
      <c r="K178" s="394">
        <f>IF(C178=0,"NA",(VLOOKUP(back_valve_size,pp_chv_cost_cl,IF(ss_cat="large",4,5))))</f>
        <v>25</v>
      </c>
      <c r="L178" s="393">
        <v>1</v>
      </c>
      <c r="M178" s="16" t="str">
        <f t="shared" ref="M178:M195" si="20">$B$131 &amp; " - " &amp; $B$177&amp;" "&amp;" - "&amp;B178</f>
        <v>Valves and Fittings - Check Valves  - Backwash - Polypropylene/PVC</v>
      </c>
      <c r="N178" s="526">
        <v>1</v>
      </c>
      <c r="O178" s="526">
        <v>2</v>
      </c>
      <c r="P178" s="526">
        <v>3</v>
      </c>
      <c r="Q178" s="526">
        <v>1</v>
      </c>
      <c r="R178" s="526">
        <v>2</v>
      </c>
      <c r="S178" s="526">
        <v>3</v>
      </c>
      <c r="T178" s="526">
        <v>1</v>
      </c>
      <c r="U178" s="526">
        <v>2</v>
      </c>
      <c r="V178" s="526">
        <v>3</v>
      </c>
      <c r="W178" s="526">
        <f t="shared" si="15"/>
        <v>1</v>
      </c>
      <c r="X178" s="526">
        <f t="shared" si="16"/>
        <v>98.09827527696001</v>
      </c>
    </row>
    <row r="179" spans="1:24" s="16" customFormat="1">
      <c r="A179" s="252" t="s">
        <v>2432</v>
      </c>
      <c r="B179" s="21" t="s">
        <v>2771</v>
      </c>
      <c r="C179" s="21">
        <f>tot_back_chv</f>
        <v>2</v>
      </c>
      <c r="D179" s="389" t="s">
        <v>64</v>
      </c>
      <c r="E179" s="394">
        <f>IF(C179=0,"NA",back_valve_size)</f>
        <v>6</v>
      </c>
      <c r="F179" s="1" t="str">
        <f>IF(C179=0,"","in. diam")</f>
        <v>in. diam</v>
      </c>
      <c r="G179" s="394">
        <f>IF(C179=0,"NA",(IF(curve=1,back_valve_size,VLOOKUP(back_valve_size,ss_chv_cost_cl,2))))</f>
        <v>6</v>
      </c>
      <c r="H179" s="1" t="str">
        <f>IF(C179=0,"","in. diam")</f>
        <v>in. diam</v>
      </c>
      <c r="I179" s="391">
        <f>IF(C179=0,"NA",(IF(curve=1,ss_chv_eq,VLOOKUP(back_valve_size,ss_chv_cost_cl,3))))</f>
        <v>2809.4367461900001</v>
      </c>
      <c r="J179" s="392">
        <f>IF(C179=0,"--",(IF(I179="contact vendor","--",C179*I179)))</f>
        <v>5618.8734923800002</v>
      </c>
      <c r="K179" s="394">
        <f>IF(C179=0,"NA",(VLOOKUP(back_valve_size,ss_chv_cost_cl,IF(ss_cat="large",4,5))))</f>
        <v>25</v>
      </c>
      <c r="L179" s="393">
        <v>0</v>
      </c>
      <c r="M179" s="16" t="str">
        <f t="shared" si="20"/>
        <v>Valves and Fittings - Check Valves  - Backwash - Stainless Steel</v>
      </c>
      <c r="N179" s="526">
        <v>3</v>
      </c>
      <c r="O179" s="526">
        <v>3</v>
      </c>
      <c r="P179" s="526">
        <v>1</v>
      </c>
      <c r="Q179" s="526">
        <v>3</v>
      </c>
      <c r="R179" s="526">
        <v>3</v>
      </c>
      <c r="S179" s="526">
        <v>1</v>
      </c>
      <c r="T179" s="526">
        <v>3</v>
      </c>
      <c r="U179" s="526">
        <v>3</v>
      </c>
      <c r="V179" s="526">
        <v>1</v>
      </c>
      <c r="W179" s="526">
        <f t="shared" si="15"/>
        <v>0</v>
      </c>
      <c r="X179" s="526">
        <f t="shared" si="16"/>
        <v>0</v>
      </c>
    </row>
    <row r="180" spans="1:24" s="16" customFormat="1">
      <c r="A180" s="252" t="s">
        <v>2432</v>
      </c>
      <c r="B180" s="21" t="s">
        <v>2772</v>
      </c>
      <c r="C180" s="21">
        <f>tot_back_chv</f>
        <v>2</v>
      </c>
      <c r="D180" s="389" t="s">
        <v>64</v>
      </c>
      <c r="E180" s="394">
        <f>IF(C180=0,"NA",back_valve_size)</f>
        <v>6</v>
      </c>
      <c r="F180" s="1" t="str">
        <f>IF(C180=0,"","in. diam")</f>
        <v>in. diam</v>
      </c>
      <c r="G180" s="394">
        <f>IF(C180=0,"NA",(IF(curve=1,back_valve_size,VLOOKUP(back_valve_size,ci_chv_cost_cl,2))))</f>
        <v>6</v>
      </c>
      <c r="H180" s="1" t="str">
        <f>IF(C180=0,"","in. diam")</f>
        <v>in. diam</v>
      </c>
      <c r="I180" s="391">
        <f>IF(C180=0,"NA",(IF(curve=1,ci_chv_eq,VLOOKUP(back_valve_size,ci_chv_cost_cl,3))))</f>
        <v>2862.6188274380002</v>
      </c>
      <c r="J180" s="392">
        <f>IF(C180=0,"--",(IF(I180="contact vendor","--",C180*I180)))</f>
        <v>5725.2376548760003</v>
      </c>
      <c r="K180" s="394">
        <f>IF(C180=0,"NA",(VLOOKUP(back_valve_size,ci_chv_cost_cl,IF(ss_cat="large",4,5))))</f>
        <v>25</v>
      </c>
      <c r="L180" s="393">
        <v>0</v>
      </c>
      <c r="M180" s="16" t="str">
        <f t="shared" si="20"/>
        <v>Valves and Fittings - Check Valves  - Backwash - Cast Iron</v>
      </c>
      <c r="N180" s="526">
        <v>2</v>
      </c>
      <c r="O180" s="526">
        <v>1</v>
      </c>
      <c r="P180" s="526">
        <v>2</v>
      </c>
      <c r="Q180" s="526">
        <v>2</v>
      </c>
      <c r="R180" s="526">
        <v>1</v>
      </c>
      <c r="S180" s="526">
        <v>2</v>
      </c>
      <c r="T180" s="526">
        <v>2</v>
      </c>
      <c r="U180" s="526">
        <v>1</v>
      </c>
      <c r="V180" s="526">
        <v>2</v>
      </c>
      <c r="W180" s="526">
        <f t="shared" si="15"/>
        <v>0</v>
      </c>
      <c r="X180" s="526">
        <f t="shared" si="16"/>
        <v>0</v>
      </c>
    </row>
    <row r="181" spans="1:24" s="16" customFormat="1">
      <c r="A181" s="252" t="s">
        <v>2433</v>
      </c>
      <c r="B181" s="21" t="s">
        <v>3461</v>
      </c>
      <c r="C181" s="21">
        <f>tot_in_chv</f>
        <v>2</v>
      </c>
      <c r="D181" s="389" t="s">
        <v>64</v>
      </c>
      <c r="E181" s="394">
        <f>in_valve_size</f>
        <v>10</v>
      </c>
      <c r="F181" s="1" t="s">
        <v>1331</v>
      </c>
      <c r="G181" s="394">
        <f>IF(curve=1,in_valve_size,VLOOKUP(in_valve_size,pp_chv_cost_cl,2))</f>
        <v>10</v>
      </c>
      <c r="H181" s="1" t="s">
        <v>1331</v>
      </c>
      <c r="I181" s="391">
        <f>IF(curve=1,pp_chv_eq_in,VLOOKUP(in_valve_size,pp_chv_cost_cl,3))</f>
        <v>2969.62455361</v>
      </c>
      <c r="J181" s="392">
        <f>IF(I181="contact vendor","--",C181*I181)</f>
        <v>5939.24910722</v>
      </c>
      <c r="K181" s="394">
        <f>VLOOKUP(in_valve_size,pp_chv_cost_cl,IF(ss_cat="large",4,5))</f>
        <v>25</v>
      </c>
      <c r="L181" s="393">
        <v>1</v>
      </c>
      <c r="M181" s="16" t="str">
        <f t="shared" si="20"/>
        <v>Valves and Fittings - Check Valves  - Influent and Treated Water - Polypropylene/PVC</v>
      </c>
      <c r="N181" s="526">
        <v>1</v>
      </c>
      <c r="O181" s="526">
        <v>2</v>
      </c>
      <c r="P181" s="526">
        <v>3</v>
      </c>
      <c r="Q181" s="526">
        <v>1</v>
      </c>
      <c r="R181" s="526">
        <v>2</v>
      </c>
      <c r="S181" s="526">
        <v>3</v>
      </c>
      <c r="T181" s="526">
        <v>1</v>
      </c>
      <c r="U181" s="526">
        <v>2</v>
      </c>
      <c r="V181" s="526">
        <v>3</v>
      </c>
      <c r="W181" s="526">
        <f t="shared" si="15"/>
        <v>1</v>
      </c>
      <c r="X181" s="526">
        <f t="shared" si="16"/>
        <v>237.56996428880001</v>
      </c>
    </row>
    <row r="182" spans="1:24" s="16" customFormat="1">
      <c r="A182" s="252" t="s">
        <v>2433</v>
      </c>
      <c r="B182" s="21" t="s">
        <v>3462</v>
      </c>
      <c r="C182" s="21">
        <f>tot_in_chv</f>
        <v>2</v>
      </c>
      <c r="D182" s="389" t="s">
        <v>64</v>
      </c>
      <c r="E182" s="394">
        <f>in_valve_size</f>
        <v>10</v>
      </c>
      <c r="F182" s="1" t="s">
        <v>1331</v>
      </c>
      <c r="G182" s="394">
        <f>IF(curve=1,in_valve_size,VLOOKUP(in_valve_size,ss_chv_cost_cl,2))</f>
        <v>10</v>
      </c>
      <c r="H182" s="1" t="s">
        <v>1331</v>
      </c>
      <c r="I182" s="391">
        <f>IF(curve=1,ss_chv_eq_in,VLOOKUP(in_valve_size,ss_chv_cost_cl,3))</f>
        <v>6355.9204678860006</v>
      </c>
      <c r="J182" s="392">
        <f>IF(I182="contact vendor","--",C182*I182)</f>
        <v>12711.840935772001</v>
      </c>
      <c r="K182" s="21">
        <f>VLOOKUP(in_valve_size,ss_chv_cost_cl,IF(ss_cat="large",4,5))</f>
        <v>25</v>
      </c>
      <c r="L182" s="393">
        <v>0</v>
      </c>
      <c r="M182" s="16" t="str">
        <f t="shared" si="20"/>
        <v>Valves and Fittings - Check Valves  - Influent and Treated Water - Stainless Steel</v>
      </c>
      <c r="N182" s="526">
        <v>3</v>
      </c>
      <c r="O182" s="526">
        <v>3</v>
      </c>
      <c r="P182" s="526">
        <v>1</v>
      </c>
      <c r="Q182" s="526">
        <v>3</v>
      </c>
      <c r="R182" s="526">
        <v>3</v>
      </c>
      <c r="S182" s="526">
        <v>1</v>
      </c>
      <c r="T182" s="526">
        <v>3</v>
      </c>
      <c r="U182" s="526">
        <v>3</v>
      </c>
      <c r="V182" s="526">
        <v>1</v>
      </c>
      <c r="W182" s="526">
        <f t="shared" si="15"/>
        <v>0</v>
      </c>
      <c r="X182" s="526">
        <f t="shared" si="16"/>
        <v>0</v>
      </c>
    </row>
    <row r="183" spans="1:24" s="16" customFormat="1">
      <c r="A183" s="252" t="s">
        <v>2433</v>
      </c>
      <c r="B183" s="21" t="s">
        <v>3463</v>
      </c>
      <c r="C183" s="21">
        <f>tot_in_chv</f>
        <v>2</v>
      </c>
      <c r="D183" s="389" t="s">
        <v>64</v>
      </c>
      <c r="E183" s="394">
        <f>in_valve_size</f>
        <v>10</v>
      </c>
      <c r="F183" s="1" t="s">
        <v>1331</v>
      </c>
      <c r="G183" s="394">
        <f>IF(curve=1,in_valve_size,VLOOKUP(in_valve_size,ci_chv_cost_cl,2))</f>
        <v>10</v>
      </c>
      <c r="H183" s="1" t="s">
        <v>1331</v>
      </c>
      <c r="I183" s="391">
        <f>IF(curve=1,ci_chv_eq_in,VLOOKUP(in_valve_size,ci_chv_cost_cl,3))</f>
        <v>8480.7544933100016</v>
      </c>
      <c r="J183" s="392">
        <f>IF(I183="contact vendor","--",C183*I183)</f>
        <v>16961.508986620003</v>
      </c>
      <c r="K183" s="394">
        <f>VLOOKUP(in_valve_size,ci_chv_cost_cl,IF(ss_cat="large",4,5))</f>
        <v>25</v>
      </c>
      <c r="L183" s="393">
        <v>0</v>
      </c>
      <c r="M183" s="16" t="str">
        <f t="shared" si="20"/>
        <v>Valves and Fittings - Check Valves  - Influent and Treated Water - Cast Iron</v>
      </c>
      <c r="N183" s="526">
        <v>2</v>
      </c>
      <c r="O183" s="526">
        <v>1</v>
      </c>
      <c r="P183" s="526">
        <v>2</v>
      </c>
      <c r="Q183" s="526">
        <v>2</v>
      </c>
      <c r="R183" s="526">
        <v>1</v>
      </c>
      <c r="S183" s="526">
        <v>2</v>
      </c>
      <c r="T183" s="526">
        <v>2</v>
      </c>
      <c r="U183" s="526">
        <v>1</v>
      </c>
      <c r="V183" s="526">
        <v>2</v>
      </c>
      <c r="W183" s="526">
        <f t="shared" si="15"/>
        <v>0</v>
      </c>
      <c r="X183" s="526">
        <f t="shared" si="16"/>
        <v>0</v>
      </c>
    </row>
    <row r="184" spans="1:24" s="16" customFormat="1">
      <c r="A184" s="252" t="s">
        <v>2434</v>
      </c>
      <c r="B184" s="21" t="s">
        <v>2773</v>
      </c>
      <c r="C184" s="21">
        <f>IF(bp_pct&gt;0,IF(design_flow&lt;1,tot_bp_chv_small,tot_bp_chv),0)</f>
        <v>0</v>
      </c>
      <c r="D184" s="389" t="s">
        <v>64</v>
      </c>
      <c r="E184" s="394" t="str">
        <f>IF(bp_pct=0,"NA",bypass_valve_size)</f>
        <v>NA</v>
      </c>
      <c r="F184" s="21" t="str">
        <f>IF(bp_pct=0," ","in. diam")</f>
        <v xml:space="preserve"> </v>
      </c>
      <c r="G184" s="394" t="str">
        <f>IF(bp_pct=0,"NA",(IF(curve=1,bypass_valve_size,VLOOKUP(bypass_valve_size,pp_chv_cost_cl,2))))</f>
        <v>NA</v>
      </c>
      <c r="H184" s="21" t="str">
        <f>IF(bp_pct=0," ","in. diam")</f>
        <v xml:space="preserve"> </v>
      </c>
      <c r="I184" s="391" t="str">
        <f>IF(bp_pct=0,"NA",(IF(curve=1,pp_chv_eq_bp,VLOOKUP(bypass_valve_size,pp_chv_cost_cl,3))))</f>
        <v>NA</v>
      </c>
      <c r="J184" s="392" t="str">
        <f>IF(OR(C184=0,I184="contact vendor"),"--",C184*I184)</f>
        <v>--</v>
      </c>
      <c r="K184" s="394" t="str">
        <f>IF(bp_pct=0,"NA",VLOOKUP(bypass_valve_size,pp_chv_cost_cl,IF(ss_cat="large",4,5)))</f>
        <v>NA</v>
      </c>
      <c r="L184" s="393"/>
      <c r="M184" s="16" t="str">
        <f t="shared" si="20"/>
        <v>Valves and Fittings - Check Valves  - Bypass - Polypropylene/PVC</v>
      </c>
      <c r="N184" s="526">
        <v>1</v>
      </c>
      <c r="O184" s="526">
        <v>2</v>
      </c>
      <c r="P184" s="526">
        <v>3</v>
      </c>
      <c r="Q184" s="526">
        <v>1</v>
      </c>
      <c r="R184" s="526">
        <v>2</v>
      </c>
      <c r="S184" s="526">
        <v>3</v>
      </c>
      <c r="T184" s="526">
        <v>1</v>
      </c>
      <c r="U184" s="526">
        <v>2</v>
      </c>
      <c r="V184" s="526">
        <v>3</v>
      </c>
      <c r="W184" s="526">
        <f t="shared" si="15"/>
        <v>0</v>
      </c>
      <c r="X184" s="526">
        <f t="shared" si="16"/>
        <v>0</v>
      </c>
    </row>
    <row r="185" spans="1:24" s="16" customFormat="1">
      <c r="A185" s="252" t="s">
        <v>2434</v>
      </c>
      <c r="B185" s="21" t="s">
        <v>1629</v>
      </c>
      <c r="C185" s="21">
        <f>IF(bp_pct&gt;0,IF(design_flow&lt;1,tot_bp_chv_small,tot_bp_chv),0)</f>
        <v>0</v>
      </c>
      <c r="D185" s="389" t="s">
        <v>64</v>
      </c>
      <c r="E185" s="394" t="str">
        <f>IF(bp_pct=0,"NA",bypass_valve_size)</f>
        <v>NA</v>
      </c>
      <c r="F185" s="21" t="str">
        <f>IF(bp_pct=0," ","in. diam")</f>
        <v xml:space="preserve"> </v>
      </c>
      <c r="G185" s="394" t="str">
        <f>IF(bp_pct=0,"NA",(IF(curve=1,bypass_valve_size,VLOOKUP(bypass_valve_size,ss_chv_cost_cl,2))))</f>
        <v>NA</v>
      </c>
      <c r="H185" s="21" t="str">
        <f>IF(bp_pct=0," ","in. diam")</f>
        <v xml:space="preserve"> </v>
      </c>
      <c r="I185" s="391" t="str">
        <f>IF(bp_pct=0,"NA",(IF(curve=1,ss_chv_eq_bp,VLOOKUP(bypass_valve_size,ss_chv_cost_cl,3))))</f>
        <v>NA</v>
      </c>
      <c r="J185" s="392" t="str">
        <f>IF(OR(C185=0,I185="contact vendor"),"--",C185*I185)</f>
        <v>--</v>
      </c>
      <c r="K185" s="394" t="str">
        <f>IF(bp_pct=0,"NA",VLOOKUP(bypass_valve_size,ss_chv_cost_cl,IF(ss_cat="large",4,5)))</f>
        <v>NA</v>
      </c>
      <c r="L185" s="393"/>
      <c r="M185" s="16" t="str">
        <f t="shared" si="20"/>
        <v>Valves and Fittings - Check Valves  - Bypass - Stainless Steel</v>
      </c>
      <c r="N185" s="526">
        <v>3</v>
      </c>
      <c r="O185" s="526">
        <v>3</v>
      </c>
      <c r="P185" s="526">
        <v>1</v>
      </c>
      <c r="Q185" s="526">
        <v>3</v>
      </c>
      <c r="R185" s="526">
        <v>3</v>
      </c>
      <c r="S185" s="526">
        <v>1</v>
      </c>
      <c r="T185" s="526">
        <v>3</v>
      </c>
      <c r="U185" s="526">
        <v>3</v>
      </c>
      <c r="V185" s="526">
        <v>1</v>
      </c>
      <c r="W185" s="526">
        <f t="shared" si="15"/>
        <v>0</v>
      </c>
      <c r="X185" s="526">
        <f t="shared" si="16"/>
        <v>0</v>
      </c>
    </row>
    <row r="186" spans="1:24" s="16" customFormat="1">
      <c r="A186" s="252" t="s">
        <v>2434</v>
      </c>
      <c r="B186" s="21" t="s">
        <v>1630</v>
      </c>
      <c r="C186" s="21">
        <f>IF(bp_pct&gt;0,IF(design_flow&lt;1,tot_bp_chv_small,tot_bp_chv),0)</f>
        <v>0</v>
      </c>
      <c r="D186" s="389" t="s">
        <v>64</v>
      </c>
      <c r="E186" s="394" t="str">
        <f>IF(bp_pct=0,"NA",bypass_valve_size)</f>
        <v>NA</v>
      </c>
      <c r="F186" s="21" t="str">
        <f>IF(bp_pct=0," ","in. diam")</f>
        <v xml:space="preserve"> </v>
      </c>
      <c r="G186" s="394" t="str">
        <f>IF(bp_pct=0,"NA",(IF(curve=1,bypass_valve_size,VLOOKUP(bypass_valve_size,ci_chv_cost_cl,2))))</f>
        <v>NA</v>
      </c>
      <c r="H186" s="21" t="str">
        <f>IF(bp_pct=0," ","in. diam")</f>
        <v xml:space="preserve"> </v>
      </c>
      <c r="I186" s="391" t="str">
        <f>IF(bp_pct=0,"NA",(IF(curve=1,ci_chv_eq_bp,VLOOKUP(bypass_valve_size,ci_chv_cost_cl,3))))</f>
        <v>NA</v>
      </c>
      <c r="J186" s="392" t="str">
        <f>IF(OR(C186=0,I186="contact vendor"),"--",C186*I186)</f>
        <v>--</v>
      </c>
      <c r="K186" s="394" t="str">
        <f>IF(bp_pct=0,"NA",VLOOKUP(bypass_valve_size,ci_chv_cost_cl,IF(ss_cat="large",4,5)))</f>
        <v>NA</v>
      </c>
      <c r="L186" s="393"/>
      <c r="M186" s="16" t="str">
        <f t="shared" si="20"/>
        <v>Valves and Fittings - Check Valves  - Bypass - Cast Iron</v>
      </c>
      <c r="N186" s="526">
        <v>2</v>
      </c>
      <c r="O186" s="526">
        <v>1</v>
      </c>
      <c r="P186" s="526">
        <v>2</v>
      </c>
      <c r="Q186" s="526">
        <v>2</v>
      </c>
      <c r="R186" s="526">
        <v>1</v>
      </c>
      <c r="S186" s="526">
        <v>2</v>
      </c>
      <c r="T186" s="526">
        <v>2</v>
      </c>
      <c r="U186" s="526">
        <v>1</v>
      </c>
      <c r="V186" s="526">
        <v>2</v>
      </c>
      <c r="W186" s="526">
        <f t="shared" si="15"/>
        <v>0</v>
      </c>
      <c r="X186" s="526">
        <f t="shared" si="16"/>
        <v>0</v>
      </c>
    </row>
    <row r="187" spans="1:24" s="16" customFormat="1">
      <c r="A187" s="252" t="s">
        <v>2435</v>
      </c>
      <c r="B187" s="21" t="s">
        <v>1308</v>
      </c>
      <c r="C187" s="21">
        <f>tot_caustic_chv</f>
        <v>0</v>
      </c>
      <c r="D187" s="389" t="s">
        <v>64</v>
      </c>
      <c r="E187" s="394" t="str">
        <f>IF(C187=0,"NA",caustic_valve_size)</f>
        <v>NA</v>
      </c>
      <c r="F187" s="1" t="str">
        <f>IF(C187=0,"","in. diam")</f>
        <v/>
      </c>
      <c r="G187" s="394" t="str">
        <f>IF(C187=0,"NA",(IF(curve=1,caustic_valve_size,VLOOKUP(caustic_valve_size,pp_chv_cost_cl,2))))</f>
        <v>NA</v>
      </c>
      <c r="H187" s="1" t="str">
        <f t="shared" ref="H187:H195" si="21">IF(C187=0,"","in. diam")</f>
        <v/>
      </c>
      <c r="I187" s="391" t="str">
        <f>IF(C187=0,"NA",(IF(curve=1,pp_chv_eq_caustic,VLOOKUP(caustic_valve_size,pp_chv_cost_cl,3))))</f>
        <v>NA</v>
      </c>
      <c r="J187" s="392" t="str">
        <f>IF(C187=0,"--",(IF(I187="contact vendor","--",C187*I187)))</f>
        <v>--</v>
      </c>
      <c r="K187" s="394" t="str">
        <f>IF(C187=0,"NA",(VLOOKUP(caustic_valve_size,pp_chv_cost_cl,IF(ss_cat="large",4,5))))</f>
        <v>NA</v>
      </c>
      <c r="L187" s="393"/>
      <c r="M187" s="16" t="str">
        <f t="shared" si="20"/>
        <v>Valves and Fittings - Check Valves  - Caustic - Polypropylene/PVC</v>
      </c>
      <c r="N187" s="526">
        <v>1</v>
      </c>
      <c r="O187" s="526">
        <v>2</v>
      </c>
      <c r="P187" s="526">
        <v>2</v>
      </c>
      <c r="Q187" s="526">
        <v>1</v>
      </c>
      <c r="R187" s="526">
        <v>2</v>
      </c>
      <c r="S187" s="526">
        <v>2</v>
      </c>
      <c r="T187" s="526">
        <v>1</v>
      </c>
      <c r="U187" s="526">
        <v>2</v>
      </c>
      <c r="V187" s="526">
        <v>2</v>
      </c>
      <c r="W187" s="526">
        <f t="shared" si="15"/>
        <v>0</v>
      </c>
      <c r="X187" s="526">
        <f t="shared" si="16"/>
        <v>0</v>
      </c>
    </row>
    <row r="188" spans="1:24" s="16" customFormat="1">
      <c r="A188" s="252" t="s">
        <v>2435</v>
      </c>
      <c r="B188" s="21" t="s">
        <v>1309</v>
      </c>
      <c r="C188" s="21">
        <f>tot_caustic_chv</f>
        <v>0</v>
      </c>
      <c r="D188" s="389" t="s">
        <v>64</v>
      </c>
      <c r="E188" s="394" t="str">
        <f>IF(C188=0,"NA",caustic_valve_size)</f>
        <v>NA</v>
      </c>
      <c r="F188" s="1" t="str">
        <f t="shared" ref="F188:F195" si="22">IF(C188=0,"","in. diam")</f>
        <v/>
      </c>
      <c r="G188" s="394" t="str">
        <f>IF(C188=0,"NA",(IF(curve=1,caustic_valve_size,VLOOKUP(caustic_valve_size,ss_chv_cost_cl,2))))</f>
        <v>NA</v>
      </c>
      <c r="H188" s="1" t="str">
        <f t="shared" si="21"/>
        <v/>
      </c>
      <c r="I188" s="391" t="str">
        <f>IF(C188=0,"NA",(IF(curve=1,ss_chv_eq_caustic,VLOOKUP(caustic_valve_size,ss_chv_cost_cl,3))))</f>
        <v>NA</v>
      </c>
      <c r="J188" s="392" t="str">
        <f>IF(C188=0,"--",(IF(I188="contact vendor","--",C188*I188)))</f>
        <v>--</v>
      </c>
      <c r="K188" s="394" t="str">
        <f>IF(C188=0,"NA",(VLOOKUP(caustic_valve_size,ss_chv_cost_cl,IF(ss_cat="large",4,5))))</f>
        <v>NA</v>
      </c>
      <c r="L188" s="393"/>
      <c r="M188" s="16" t="str">
        <f t="shared" si="20"/>
        <v>Valves and Fittings - Check Valves  - Caustic - Stainless Steel</v>
      </c>
      <c r="N188" s="526">
        <v>2</v>
      </c>
      <c r="O188" s="526">
        <v>1</v>
      </c>
      <c r="P188" s="526">
        <v>1</v>
      </c>
      <c r="Q188" s="526">
        <v>2</v>
      </c>
      <c r="R188" s="526">
        <v>1</v>
      </c>
      <c r="S188" s="526">
        <v>1</v>
      </c>
      <c r="T188" s="526">
        <v>2</v>
      </c>
      <c r="U188" s="526">
        <v>1</v>
      </c>
      <c r="V188" s="526">
        <v>1</v>
      </c>
      <c r="W188" s="526">
        <f t="shared" si="15"/>
        <v>0</v>
      </c>
      <c r="X188" s="526">
        <f t="shared" si="16"/>
        <v>0</v>
      </c>
    </row>
    <row r="189" spans="1:24" s="16" customFormat="1">
      <c r="A189" s="252" t="s">
        <v>2436</v>
      </c>
      <c r="B189" s="1" t="s">
        <v>1269</v>
      </c>
      <c r="C189" s="21">
        <f>tot_res_chv</f>
        <v>2</v>
      </c>
      <c r="D189" s="389" t="s">
        <v>64</v>
      </c>
      <c r="E189" s="394">
        <f>IF(C189=0,"NA",res_valve_size)</f>
        <v>1</v>
      </c>
      <c r="F189" s="1" t="str">
        <f t="shared" si="22"/>
        <v>in. diam</v>
      </c>
      <c r="G189" s="394">
        <f>IF(C189=0,"NA",IF(curve=1,res_valve_size,VLOOKUP(res_valve_size,pp_chv_cost_cl,2)))</f>
        <v>1</v>
      </c>
      <c r="H189" s="1" t="str">
        <f t="shared" si="21"/>
        <v>in. diam</v>
      </c>
      <c r="I189" s="391">
        <f>IF(C189=0,0,IF(curve=1,pp_chv_eq_res,VLOOKUP(res_valve_size,pp_chv_cost_cl,3)))</f>
        <v>121.006459237</v>
      </c>
      <c r="J189" s="392">
        <f>IF(I189=0,0,IF(I189="contact vendor","--",C189*I189))</f>
        <v>242.012918474</v>
      </c>
      <c r="K189" s="394">
        <f>IF(C189=0,"NA",VLOOKUP(res_valve_size,pp_chv_cost_cl,IF(ss_cat="large",4,5)))</f>
        <v>25</v>
      </c>
      <c r="L189" s="409">
        <v>1</v>
      </c>
      <c r="M189" s="16" t="str">
        <f t="shared" si="20"/>
        <v>Valves and Fittings - Check Valves  - Residuals - Polypropylene/PVC</v>
      </c>
      <c r="N189" s="526">
        <v>1</v>
      </c>
      <c r="O189" s="526">
        <v>2</v>
      </c>
      <c r="P189" s="526">
        <v>3</v>
      </c>
      <c r="Q189" s="526">
        <v>1</v>
      </c>
      <c r="R189" s="526">
        <v>2</v>
      </c>
      <c r="S189" s="526">
        <v>3</v>
      </c>
      <c r="T189" s="526">
        <v>1</v>
      </c>
      <c r="U189" s="526">
        <v>2</v>
      </c>
      <c r="V189" s="526">
        <v>3</v>
      </c>
      <c r="W189" s="526">
        <f t="shared" si="15"/>
        <v>1</v>
      </c>
      <c r="X189" s="526">
        <f t="shared" si="16"/>
        <v>9.6805167389599998</v>
      </c>
    </row>
    <row r="190" spans="1:24" s="16" customFormat="1">
      <c r="A190" s="252" t="s">
        <v>2436</v>
      </c>
      <c r="B190" s="1" t="s">
        <v>1270</v>
      </c>
      <c r="C190" s="21">
        <f>tot_res_chv</f>
        <v>2</v>
      </c>
      <c r="D190" s="389" t="s">
        <v>64</v>
      </c>
      <c r="E190" s="394">
        <f>IF(C190=0,"NA",res_valve_size)</f>
        <v>1</v>
      </c>
      <c r="F190" s="1" t="str">
        <f t="shared" si="22"/>
        <v>in. diam</v>
      </c>
      <c r="G190" s="394">
        <f>IF(C190=0,"NA",IF(curve=1,res_valve_size,VLOOKUP(res_valve_size,ss_chv_cost_cl,2)))</f>
        <v>1</v>
      </c>
      <c r="H190" s="1" t="str">
        <f t="shared" si="21"/>
        <v>in. diam</v>
      </c>
      <c r="I190" s="391">
        <f>IF(C190=0,0,IF(curve=1,ss_chv_eq_res,VLOOKUP(res_valve_size,ss_chv_cost_cl,3)))</f>
        <v>344.60377714499998</v>
      </c>
      <c r="J190" s="392">
        <f>IF(I190=0,0,IF(I190="contact vendor","--",C190*I190))</f>
        <v>689.20755428999996</v>
      </c>
      <c r="K190" s="21">
        <f>IF(C190=0,"NA",VLOOKUP(res_valve_size,ss_chv_cost_cl,IF(ss_cat="large",4,5)))</f>
        <v>25</v>
      </c>
      <c r="L190" s="393">
        <v>0</v>
      </c>
      <c r="M190" s="16" t="str">
        <f t="shared" si="20"/>
        <v>Valves and Fittings - Check Valves  - Residuals - Stainless Steel</v>
      </c>
      <c r="N190" s="526">
        <v>3</v>
      </c>
      <c r="O190" s="526">
        <v>3</v>
      </c>
      <c r="P190" s="526">
        <v>1</v>
      </c>
      <c r="Q190" s="526">
        <v>3</v>
      </c>
      <c r="R190" s="526">
        <v>3</v>
      </c>
      <c r="S190" s="526">
        <v>1</v>
      </c>
      <c r="T190" s="526">
        <v>3</v>
      </c>
      <c r="U190" s="526">
        <v>3</v>
      </c>
      <c r="V190" s="526">
        <v>1</v>
      </c>
      <c r="W190" s="526">
        <f t="shared" si="15"/>
        <v>0</v>
      </c>
      <c r="X190" s="526">
        <f t="shared" si="16"/>
        <v>0</v>
      </c>
    </row>
    <row r="191" spans="1:24" s="16" customFormat="1">
      <c r="A191" s="252" t="s">
        <v>2436</v>
      </c>
      <c r="B191" s="1" t="s">
        <v>661</v>
      </c>
      <c r="C191" s="21">
        <f>tot_res_chv</f>
        <v>2</v>
      </c>
      <c r="D191" s="389" t="s">
        <v>64</v>
      </c>
      <c r="E191" s="394">
        <f>IF(C191=0,"NA",res_valve_size)</f>
        <v>1</v>
      </c>
      <c r="F191" s="1" t="str">
        <f t="shared" si="22"/>
        <v>in. diam</v>
      </c>
      <c r="G191" s="394">
        <f>IF(C191=0,"NA",IF(curve=1,res_valve_size,VLOOKUP(res_valve_size,ci_chv_cost_cl,2)))</f>
        <v>1</v>
      </c>
      <c r="H191" s="1" t="str">
        <f t="shared" si="21"/>
        <v>in. diam</v>
      </c>
      <c r="I191" s="391" t="str">
        <f>IF(C191=0,0,IF(curve=1,ci_chv_eq_res,VLOOKUP(res_valve_size,ci_chv_cost_cl,3)))</f>
        <v>contact vendor</v>
      </c>
      <c r="J191" s="392" t="str">
        <f>IF(I191=0,0,IF(I191="contact vendor","--",C191*I191))</f>
        <v>--</v>
      </c>
      <c r="K191" s="394">
        <f>IF(C191=0,"NA",VLOOKUP(res_valve_size,ci_chv_cost_cl,IF(ss_cat="large",4,5)))</f>
        <v>25</v>
      </c>
      <c r="L191" s="409">
        <v>0</v>
      </c>
      <c r="M191" s="16" t="str">
        <f t="shared" si="20"/>
        <v>Valves and Fittings - Check Valves  - Residuals - Cast Iron</v>
      </c>
      <c r="N191" s="526">
        <v>2</v>
      </c>
      <c r="O191" s="526">
        <v>1</v>
      </c>
      <c r="P191" s="526">
        <v>2</v>
      </c>
      <c r="Q191" s="526">
        <v>2</v>
      </c>
      <c r="R191" s="526">
        <v>1</v>
      </c>
      <c r="S191" s="526">
        <v>2</v>
      </c>
      <c r="T191" s="526">
        <v>2</v>
      </c>
      <c r="U191" s="526">
        <v>1</v>
      </c>
      <c r="V191" s="526">
        <v>2</v>
      </c>
      <c r="W191" s="526">
        <f t="shared" si="15"/>
        <v>0</v>
      </c>
      <c r="X191" s="526">
        <f t="shared" si="16"/>
        <v>0</v>
      </c>
    </row>
    <row r="192" spans="1:24" s="16" customFormat="1">
      <c r="A192" s="252" t="s">
        <v>2437</v>
      </c>
      <c r="B192" s="1" t="s">
        <v>3400</v>
      </c>
      <c r="C192" s="21">
        <f>tot_coag_chv</f>
        <v>0</v>
      </c>
      <c r="D192" s="389" t="s">
        <v>64</v>
      </c>
      <c r="E192" s="394" t="str">
        <f>IF(C192=0,"NA",coag_valve_size)</f>
        <v>NA</v>
      </c>
      <c r="F192" s="1" t="str">
        <f>IF(C192=0,"","in. diam")</f>
        <v/>
      </c>
      <c r="G192" s="394" t="str">
        <f>IF(C192=0,"NA",IF(curve=1,coag_valve_size,VLOOKUP(coag_valve_size,pp_chv_cost_cl,2)))</f>
        <v>NA</v>
      </c>
      <c r="H192" s="1" t="str">
        <f>IF(C192=0,"","in. diam")</f>
        <v/>
      </c>
      <c r="I192" s="391" t="str">
        <f>IF(C192=0,"NA",IF(curve=1,pp_chv_eq_coag,VLOOKUP(coag_valve_size,pp_chv_cost_cl,3)))</f>
        <v>NA</v>
      </c>
      <c r="J192" s="392" t="str">
        <f>IF(OR(C192=0,I192="contact vendor"),"--",C192*I192)</f>
        <v>--</v>
      </c>
      <c r="K192" s="394" t="str">
        <f>IF(C192=0,"NA",VLOOKUP(coag_valve_size,pp_chv_cost_cl,IF(ss_cat="large",4,5)))</f>
        <v>NA</v>
      </c>
      <c r="L192" s="409"/>
      <c r="M192" s="16" t="str">
        <f>$B$131 &amp; " - " &amp; $B$177&amp;" "&amp;" - "&amp;B192</f>
        <v>Valves and Fittings - Check Valves  - Ferric Chloride - Polypropylene/PVC</v>
      </c>
      <c r="N192" s="526">
        <v>1</v>
      </c>
      <c r="O192" s="526">
        <v>1</v>
      </c>
      <c r="P192" s="526">
        <v>1</v>
      </c>
      <c r="Q192" s="526">
        <v>1</v>
      </c>
      <c r="R192" s="526">
        <v>1</v>
      </c>
      <c r="S192" s="526">
        <v>1</v>
      </c>
      <c r="T192" s="526">
        <v>1</v>
      </c>
      <c r="U192" s="526">
        <v>1</v>
      </c>
      <c r="V192" s="526">
        <v>1</v>
      </c>
      <c r="W192" s="526">
        <f>IF(ISERROR(K192*L192),0,IF(K192&lt;1,0,L192))</f>
        <v>0</v>
      </c>
      <c r="X192" s="526">
        <f>IF(W192,J192/K192,0)</f>
        <v>0</v>
      </c>
    </row>
    <row r="193" spans="1:24" s="16" customFormat="1">
      <c r="A193" s="252" t="s">
        <v>3402</v>
      </c>
      <c r="B193" s="1" t="s">
        <v>1395</v>
      </c>
      <c r="C193" s="21">
        <f>tot_polymer_chv</f>
        <v>0</v>
      </c>
      <c r="D193" s="389" t="s">
        <v>64</v>
      </c>
      <c r="E193" s="394" t="str">
        <f>IF(C193=0,"NA",polymer_valve_size)</f>
        <v>NA</v>
      </c>
      <c r="F193" s="1" t="str">
        <f t="shared" si="22"/>
        <v/>
      </c>
      <c r="G193" s="394" t="str">
        <f>IF(C193=0,"NA",IF(curve=1,polymer_valve_size,VLOOKUP(polymer_valve_size,pp_chv_cost_cl,2)))</f>
        <v>NA</v>
      </c>
      <c r="H193" s="1" t="str">
        <f t="shared" si="21"/>
        <v/>
      </c>
      <c r="I193" s="391" t="str">
        <f>IF(C193=0,"NA",IF(curve=1,pp_chv_eq_polymer,VLOOKUP(polymer_valve_size,pp_chv_cost_cl,3)))</f>
        <v>NA</v>
      </c>
      <c r="J193" s="392" t="str">
        <f>IF(OR(C193=0,I193="contact vendor"),"--",C193*I193)</f>
        <v>--</v>
      </c>
      <c r="K193" s="394" t="str">
        <f>IF(C193=0,"NA",VLOOKUP(polymer_valve_size,pp_chv_cost_cl,IF(ss_cat="large",4,5)))</f>
        <v>NA</v>
      </c>
      <c r="L193" s="409"/>
      <c r="M193" s="16" t="str">
        <f t="shared" si="20"/>
        <v>Valves and Fittings - Check Valves  - Polymer - Polypropylene/PVC</v>
      </c>
      <c r="N193" s="526">
        <v>1</v>
      </c>
      <c r="O193" s="526">
        <v>2</v>
      </c>
      <c r="P193" s="526">
        <v>3</v>
      </c>
      <c r="Q193" s="526">
        <v>1</v>
      </c>
      <c r="R193" s="526">
        <v>2</v>
      </c>
      <c r="S193" s="526">
        <v>3</v>
      </c>
      <c r="T193" s="526">
        <v>1</v>
      </c>
      <c r="U193" s="526">
        <v>2</v>
      </c>
      <c r="V193" s="526">
        <v>3</v>
      </c>
      <c r="W193" s="526">
        <f t="shared" si="15"/>
        <v>0</v>
      </c>
      <c r="X193" s="526">
        <f t="shared" si="16"/>
        <v>0</v>
      </c>
    </row>
    <row r="194" spans="1:24" s="16" customFormat="1">
      <c r="A194" s="252" t="s">
        <v>3402</v>
      </c>
      <c r="B194" s="1" t="s">
        <v>1396</v>
      </c>
      <c r="C194" s="21">
        <f>tot_polymer_chv</f>
        <v>0</v>
      </c>
      <c r="D194" s="389" t="s">
        <v>64</v>
      </c>
      <c r="E194" s="394" t="str">
        <f>IF(C194=0,"NA",polymer_valve_size)</f>
        <v>NA</v>
      </c>
      <c r="F194" s="1" t="str">
        <f t="shared" si="22"/>
        <v/>
      </c>
      <c r="G194" s="394" t="str">
        <f>IF(C194=0,"NA",IF(curve=1,polymer_valve_size,VLOOKUP(polymer_valve_size,ss_chv_cost_cl,2)))</f>
        <v>NA</v>
      </c>
      <c r="H194" s="1" t="str">
        <f t="shared" si="21"/>
        <v/>
      </c>
      <c r="I194" s="391" t="str">
        <f>IF(C194=0,"NA",IF(curve=1,ss_chv_eq_polymer,VLOOKUP(polymer_valve_size,ss_chv_cost_cl,3)))</f>
        <v>NA</v>
      </c>
      <c r="J194" s="392" t="str">
        <f>IF(OR(C194=0,I194="contact vendor"),"--",C194*I194)</f>
        <v>--</v>
      </c>
      <c r="K194" s="394" t="str">
        <f>IF(C194=0,"NA",VLOOKUP(polymer_valve_size,ss_chv_cost_cl,IF(ss_cat="large",4,5)))</f>
        <v>NA</v>
      </c>
      <c r="L194" s="393"/>
      <c r="M194" s="16" t="str">
        <f t="shared" si="20"/>
        <v>Valves and Fittings - Check Valves  - Polymer - Stainless Steel</v>
      </c>
      <c r="N194" s="526">
        <v>3</v>
      </c>
      <c r="O194" s="526">
        <v>3</v>
      </c>
      <c r="P194" s="526">
        <v>1</v>
      </c>
      <c r="Q194" s="526">
        <v>3</v>
      </c>
      <c r="R194" s="526">
        <v>3</v>
      </c>
      <c r="S194" s="526">
        <v>1</v>
      </c>
      <c r="T194" s="526">
        <v>3</v>
      </c>
      <c r="U194" s="526">
        <v>3</v>
      </c>
      <c r="V194" s="526">
        <v>1</v>
      </c>
      <c r="W194" s="526">
        <f t="shared" si="15"/>
        <v>0</v>
      </c>
      <c r="X194" s="526">
        <f t="shared" si="16"/>
        <v>0</v>
      </c>
    </row>
    <row r="195" spans="1:24" s="16" customFormat="1">
      <c r="A195" s="252" t="s">
        <v>3402</v>
      </c>
      <c r="B195" s="1" t="s">
        <v>1397</v>
      </c>
      <c r="C195" s="21">
        <f>tot_polymer_chv</f>
        <v>0</v>
      </c>
      <c r="D195" s="389" t="s">
        <v>64</v>
      </c>
      <c r="E195" s="394" t="str">
        <f>IF(C195=0,"NA",polymer_valve_size)</f>
        <v>NA</v>
      </c>
      <c r="F195" s="1" t="str">
        <f t="shared" si="22"/>
        <v/>
      </c>
      <c r="G195" s="394" t="str">
        <f>IF(C195=0,"NA",IF(curve=1,polymer_valve_size,VLOOKUP(polymer_valve_size,ci_chv_cost_cl,2)))</f>
        <v>NA</v>
      </c>
      <c r="H195" s="1" t="str">
        <f t="shared" si="21"/>
        <v/>
      </c>
      <c r="I195" s="391" t="str">
        <f>IF(C195=0,"NA",IF(curve=1,ci_chv_eq_polymer,VLOOKUP(polymer_valve_size,ci_chv_cost_cl,3)))</f>
        <v>NA</v>
      </c>
      <c r="J195" s="392" t="str">
        <f>IF(OR(C195=0,I195="contact vendor"),"--",C195*I195)</f>
        <v>--</v>
      </c>
      <c r="K195" s="394" t="str">
        <f>IF(C195=0,"NA",VLOOKUP(polymer_valve_size,ci_chv_cost_cl,IF(ss_cat="large",4,5)))</f>
        <v>NA</v>
      </c>
      <c r="L195" s="409"/>
      <c r="M195" s="16" t="str">
        <f t="shared" si="20"/>
        <v>Valves and Fittings - Check Valves  - Polymer - Cast Iron</v>
      </c>
      <c r="N195" s="526">
        <v>2</v>
      </c>
      <c r="O195" s="526">
        <v>1</v>
      </c>
      <c r="P195" s="526">
        <v>2</v>
      </c>
      <c r="Q195" s="526">
        <v>2</v>
      </c>
      <c r="R195" s="526">
        <v>1</v>
      </c>
      <c r="S195" s="526">
        <v>2</v>
      </c>
      <c r="T195" s="526">
        <v>2</v>
      </c>
      <c r="U195" s="526">
        <v>1</v>
      </c>
      <c r="V195" s="526">
        <v>2</v>
      </c>
      <c r="W195" s="526">
        <f t="shared" si="15"/>
        <v>0</v>
      </c>
      <c r="X195" s="526">
        <f t="shared" si="16"/>
        <v>0</v>
      </c>
    </row>
    <row r="196" spans="1:24" s="16" customFormat="1">
      <c r="A196" s="483">
        <v>7</v>
      </c>
      <c r="B196" s="28" t="s">
        <v>1338</v>
      </c>
      <c r="C196" s="28"/>
      <c r="D196" s="253"/>
      <c r="E196" s="28"/>
      <c r="F196" s="28"/>
      <c r="G196" s="28"/>
      <c r="H196" s="28"/>
      <c r="I196" s="256"/>
      <c r="J196" s="256"/>
      <c r="K196" s="28"/>
      <c r="L196" s="254"/>
      <c r="N196" s="651"/>
      <c r="O196" s="651"/>
      <c r="P196" s="651"/>
      <c r="Q196" s="651"/>
      <c r="R196" s="651"/>
      <c r="S196" s="651"/>
      <c r="T196" s="651"/>
      <c r="U196" s="651"/>
      <c r="V196" s="651"/>
      <c r="W196" s="526">
        <f t="shared" si="15"/>
        <v>0</v>
      </c>
      <c r="X196" s="526">
        <f t="shared" si="16"/>
        <v>0</v>
      </c>
    </row>
    <row r="197" spans="1:24" s="16" customFormat="1">
      <c r="A197" s="484">
        <v>7.1</v>
      </c>
      <c r="B197" s="388" t="s">
        <v>1339</v>
      </c>
      <c r="C197" s="21">
        <f>total_booster_pumps</f>
        <v>1</v>
      </c>
      <c r="D197" s="389" t="s">
        <v>64</v>
      </c>
      <c r="E197" s="400">
        <f>IF(C197=0,"NA",pump_rating)</f>
        <v>1868.0555555555554</v>
      </c>
      <c r="F197" s="21" t="str">
        <f>IF(C197=0,"","gpm")</f>
        <v>gpm</v>
      </c>
      <c r="G197" s="400">
        <f>IF(C197=0,"NA",IF(curve=1,pump_rating,VLOOKUP(pump_rating,pump_cost_cl,2)))</f>
        <v>1868.0555555555554</v>
      </c>
      <c r="H197" s="21" t="str">
        <f>IF(C197=0,"","gpm")</f>
        <v>gpm</v>
      </c>
      <c r="I197" s="391">
        <f>IF(C197=0,"NA",IF(curve=1,pump_eq,VLOOKUP(pump_rating,pump_cost_cl,3)))</f>
        <v>29419.399557293564</v>
      </c>
      <c r="J197" s="392">
        <f>IF(C197=0,"--",IF(I197="contact vendor","--",C197*I197))</f>
        <v>29419.399557293564</v>
      </c>
      <c r="K197" s="394">
        <f>IF(C197=0,"NA",VLOOKUP(pump_rating,pump_cost_cl,IF(ss_cat="large",4,5)))</f>
        <v>20</v>
      </c>
      <c r="L197" s="393">
        <v>1</v>
      </c>
      <c r="M197" s="16" t="str">
        <f>$B$196&amp;" - "&amp;B197</f>
        <v>Pumps - Booster</v>
      </c>
      <c r="N197" s="526">
        <v>1</v>
      </c>
      <c r="O197" s="526">
        <v>1</v>
      </c>
      <c r="P197" s="526">
        <v>1</v>
      </c>
      <c r="Q197" s="526">
        <v>1</v>
      </c>
      <c r="R197" s="526">
        <v>1</v>
      </c>
      <c r="S197" s="526">
        <v>1</v>
      </c>
      <c r="T197" s="526">
        <v>1</v>
      </c>
      <c r="U197" s="526">
        <v>1</v>
      </c>
      <c r="V197" s="526">
        <v>1</v>
      </c>
      <c r="W197" s="526">
        <f t="shared" si="15"/>
        <v>1</v>
      </c>
      <c r="X197" s="526">
        <f t="shared" si="16"/>
        <v>1470.9699778646782</v>
      </c>
    </row>
    <row r="198" spans="1:24" s="16" customFormat="1">
      <c r="A198" s="488">
        <v>7.2</v>
      </c>
      <c r="B198" s="388" t="s">
        <v>2125</v>
      </c>
      <c r="C198" s="1">
        <f>backwash_pumps</f>
        <v>2</v>
      </c>
      <c r="D198" s="397" t="s">
        <v>64</v>
      </c>
      <c r="E198" s="398">
        <f>IF(backwash_pumps=0,"NA",back_pump_rating)</f>
        <v>497.5</v>
      </c>
      <c r="F198" s="21" t="str">
        <f>IF(backwash_pumps=0," ","gpm")</f>
        <v>gpm</v>
      </c>
      <c r="G198" s="398">
        <f>IF(backwash_pumps=0,"NA",IF(curve=1,back_pump_rating,VLOOKUP(back_pump_rating,back_pump_cost_cl,2)))</f>
        <v>497.5</v>
      </c>
      <c r="H198" s="21" t="str">
        <f>IF(backwash_pumps=0," ","gpm")</f>
        <v>gpm</v>
      </c>
      <c r="I198" s="399">
        <f>IF(backwash_pumps=0,"NA",IF(curve=1,pump_eq_back,VLOOKUP(back_pump_rating,back_pump_cost_cl,3)))</f>
        <v>11295.1430246985</v>
      </c>
      <c r="J198" s="410">
        <f>IF(backwash_pumps=0,"--",(IF(I198="contact vendor","--",C198*I198)))</f>
        <v>22590.286049397</v>
      </c>
      <c r="K198" s="208">
        <f>IF(backwash_pumps=0,"NA",VLOOKUP(back_pump_rating,back_pump_cost_cl,IF(ss_cat="large",4,5)))</f>
        <v>20</v>
      </c>
      <c r="L198" s="393">
        <v>1</v>
      </c>
      <c r="M198" s="16" t="str">
        <f>$B$196&amp;" - "&amp;B198</f>
        <v>Pumps - Backwash/Rinse</v>
      </c>
      <c r="N198" s="526">
        <v>1</v>
      </c>
      <c r="O198" s="526">
        <v>1</v>
      </c>
      <c r="P198" s="526">
        <v>1</v>
      </c>
      <c r="Q198" s="526">
        <v>1</v>
      </c>
      <c r="R198" s="526">
        <v>1</v>
      </c>
      <c r="S198" s="526">
        <v>1</v>
      </c>
      <c r="T198" s="526">
        <v>1</v>
      </c>
      <c r="U198" s="526">
        <v>1</v>
      </c>
      <c r="V198" s="526">
        <v>1</v>
      </c>
      <c r="W198" s="526">
        <f t="shared" si="15"/>
        <v>1</v>
      </c>
      <c r="X198" s="526">
        <f t="shared" si="16"/>
        <v>1129.51430246985</v>
      </c>
    </row>
    <row r="199" spans="1:24" s="16" customFormat="1">
      <c r="A199" s="639">
        <v>7.3</v>
      </c>
      <c r="B199" s="29" t="s">
        <v>249</v>
      </c>
      <c r="C199" s="411"/>
      <c r="D199" s="412"/>
      <c r="E199" s="413"/>
      <c r="F199" s="388"/>
      <c r="G199" s="413"/>
      <c r="H199" s="388"/>
      <c r="I199" s="414"/>
      <c r="J199" s="415"/>
      <c r="K199" s="416"/>
      <c r="L199" s="417"/>
      <c r="N199" s="526"/>
      <c r="O199" s="526"/>
      <c r="P199" s="526"/>
      <c r="Q199" s="526"/>
      <c r="R199" s="526"/>
      <c r="S199" s="526"/>
      <c r="T199" s="526"/>
      <c r="U199" s="526"/>
      <c r="V199" s="526"/>
      <c r="W199" s="526">
        <f t="shared" si="15"/>
        <v>0</v>
      </c>
      <c r="X199" s="526">
        <f t="shared" si="16"/>
        <v>0</v>
      </c>
    </row>
    <row r="200" spans="1:24" s="16" customFormat="1">
      <c r="A200" s="486" t="s">
        <v>3245</v>
      </c>
      <c r="B200" s="21" t="s">
        <v>2852</v>
      </c>
      <c r="C200" s="1">
        <f>pH_pumps</f>
        <v>0</v>
      </c>
      <c r="D200" s="397" t="s">
        <v>64</v>
      </c>
      <c r="E200" s="418" t="str">
        <f>IF(pH_pumps=0,"NA",pH_pump_rating)</f>
        <v>NA</v>
      </c>
      <c r="F200" s="21" t="str">
        <f>IF(pH_pumps=0," ","gph")</f>
        <v xml:space="preserve"> </v>
      </c>
      <c r="G200" s="418" t="str">
        <f>IF(pH_pumps=0,"NA",IF(curve=1,pH_pump_rating,VLOOKUP(pH_pump_rating,pvc_mmpump_cost_cl,2)))</f>
        <v>NA</v>
      </c>
      <c r="H200" s="21" t="str">
        <f>IF(pH_pumps=0," ","gph")</f>
        <v xml:space="preserve"> </v>
      </c>
      <c r="I200" s="399" t="str">
        <f>IF(pH_pumps=0,"NA",IF(curve=1,pvc_mmpump_eq,VLOOKUP(pH_pump_rating,pvc_mmpump_cost_cl,3)))</f>
        <v>NA</v>
      </c>
      <c r="J200" s="410" t="str">
        <f>IF(pH_pumps=0,"--",(IF(I200="contact vendor","--",C200*I200)))</f>
        <v>--</v>
      </c>
      <c r="K200" s="208" t="str">
        <f>IF(pH_pumps=0,"NA",VLOOKUP(pH_pump_rating,pvc_mmpump_cost_cl,IF(ss_cat="large",4,5)))</f>
        <v>NA</v>
      </c>
      <c r="L200" s="393"/>
      <c r="M200" s="16" t="str">
        <f>$B$196&amp;" - "&amp;$B$199&amp;" - "&amp;B200</f>
        <v>Pumps - Caustic Metering for pH Adjustment - PVC - Motor Driven</v>
      </c>
      <c r="N200" s="879">
        <v>3</v>
      </c>
      <c r="O200" s="879">
        <v>3</v>
      </c>
      <c r="P200" s="879">
        <v>2</v>
      </c>
      <c r="Q200" s="879">
        <v>4</v>
      </c>
      <c r="R200" s="879">
        <v>4</v>
      </c>
      <c r="S200" s="879">
        <v>1</v>
      </c>
      <c r="T200" s="879">
        <v>4</v>
      </c>
      <c r="U200" s="879">
        <v>4</v>
      </c>
      <c r="V200" s="879">
        <v>1</v>
      </c>
      <c r="W200" s="526">
        <f t="shared" si="15"/>
        <v>0</v>
      </c>
      <c r="X200" s="526">
        <f t="shared" si="16"/>
        <v>0</v>
      </c>
    </row>
    <row r="201" spans="1:24" s="16" customFormat="1">
      <c r="A201" s="486" t="s">
        <v>3245</v>
      </c>
      <c r="B201" s="21" t="s">
        <v>2856</v>
      </c>
      <c r="C201" s="1">
        <f>pH_pumps</f>
        <v>0</v>
      </c>
      <c r="D201" s="397" t="s">
        <v>64</v>
      </c>
      <c r="E201" s="418" t="str">
        <f>IF(pH_pumps=0,"NA",pH_pump_rating)</f>
        <v>NA</v>
      </c>
      <c r="F201" s="21" t="str">
        <f>IF(pH_pumps=0," ","gph")</f>
        <v xml:space="preserve"> </v>
      </c>
      <c r="G201" s="418" t="str">
        <f>IF(pH_pumps=0,"NA",IF(curve=1,pH_pump_rating,VLOOKUP(pH_pump_rating,ss_mmpump_cost_cl,2)))</f>
        <v>NA</v>
      </c>
      <c r="H201" s="21" t="str">
        <f>IF(pH_pumps=0," ","gph")</f>
        <v xml:space="preserve"> </v>
      </c>
      <c r="I201" s="399" t="str">
        <f>IF(pH_pumps=0,"NA",IF(curve=1,ss_mmpump_eq,VLOOKUP(pH_pump_rating,ss_mmpump_cost_cl,3)))</f>
        <v>NA</v>
      </c>
      <c r="J201" s="410" t="str">
        <f>IF(pH_pumps=0,"--",(IF(I201="contact vendor","--",C201*I201)))</f>
        <v>--</v>
      </c>
      <c r="K201" s="208" t="str">
        <f>IF(pH_pumps=0,"NA",VLOOKUP(pH_pump_rating,ss_mmpump_cost_cl,IF(ss_cat="large",4,5)))</f>
        <v>NA</v>
      </c>
      <c r="L201" s="393"/>
      <c r="M201" s="16" t="str">
        <f>$B$196&amp;" - "&amp;$B$199&amp;" - "&amp;B201</f>
        <v>Pumps - Caustic Metering for pH Adjustment - Stainless Steel - Motor Driven</v>
      </c>
      <c r="N201" s="879">
        <v>4</v>
      </c>
      <c r="O201" s="879">
        <v>4</v>
      </c>
      <c r="P201" s="879">
        <v>1</v>
      </c>
      <c r="Q201" s="879">
        <v>3</v>
      </c>
      <c r="R201" s="879">
        <v>3</v>
      </c>
      <c r="S201" s="879">
        <v>2</v>
      </c>
      <c r="T201" s="879">
        <v>3</v>
      </c>
      <c r="U201" s="879">
        <v>3</v>
      </c>
      <c r="V201" s="879">
        <v>2</v>
      </c>
      <c r="W201" s="526">
        <f t="shared" si="15"/>
        <v>0</v>
      </c>
      <c r="X201" s="526">
        <f t="shared" si="16"/>
        <v>0</v>
      </c>
    </row>
    <row r="202" spans="1:24" s="16" customFormat="1">
      <c r="A202" s="486" t="s">
        <v>3245</v>
      </c>
      <c r="B202" s="21" t="s">
        <v>2853</v>
      </c>
      <c r="C202" s="1">
        <f>pH_pumps</f>
        <v>0</v>
      </c>
      <c r="D202" s="397" t="s">
        <v>64</v>
      </c>
      <c r="E202" s="418" t="str">
        <f>IF(pH_pumps=0,"NA",pH_pump_rating)</f>
        <v>NA</v>
      </c>
      <c r="F202" s="21" t="str">
        <f>IF(pH_pumps=0," ","gph")</f>
        <v xml:space="preserve"> </v>
      </c>
      <c r="G202" s="418" t="str">
        <f>IF(pH_pumps=0,"NA",IF(curve=1,pH_pump_rating,VLOOKUP(pH_pump_rating,pvc_empump_cost_cl,2)))</f>
        <v>NA</v>
      </c>
      <c r="H202" s="21" t="str">
        <f>IF(pH_pumps=0," ","gph")</f>
        <v xml:space="preserve"> </v>
      </c>
      <c r="I202" s="399" t="str">
        <f>IF(pH_pumps=0,"NA",IF(curve=1,pvc_empump_eq,VLOOKUP(pH_pump_rating,pvc_empump_cost_cl,3)))</f>
        <v>NA</v>
      </c>
      <c r="J202" s="410" t="str">
        <f>IF(pH_pumps=0,"--",(IF(I202="contact vendor","--",C202*I202)))</f>
        <v>--</v>
      </c>
      <c r="K202" s="208" t="str">
        <f>IF(pH_pumps=0,"NA",VLOOKUP(pH_pump_rating,pvc_empump_cost_cl,IF(ss_cat="large",4,5)))</f>
        <v>NA</v>
      </c>
      <c r="L202" s="393"/>
      <c r="M202" s="16" t="str">
        <f>$B$196&amp;" - "&amp;$B$199&amp;" - "&amp;B202</f>
        <v>Pumps - Caustic Metering for pH Adjustment - PVC - Electric</v>
      </c>
      <c r="N202" s="879">
        <v>1</v>
      </c>
      <c r="O202" s="879">
        <v>2</v>
      </c>
      <c r="P202" s="879">
        <v>4</v>
      </c>
      <c r="Q202" s="879">
        <v>1</v>
      </c>
      <c r="R202" s="879">
        <v>2</v>
      </c>
      <c r="S202" s="879">
        <v>4</v>
      </c>
      <c r="T202" s="879">
        <v>1</v>
      </c>
      <c r="U202" s="879">
        <v>2</v>
      </c>
      <c r="V202" s="879">
        <v>4</v>
      </c>
      <c r="W202" s="526">
        <f t="shared" si="15"/>
        <v>0</v>
      </c>
      <c r="X202" s="526">
        <f t="shared" si="16"/>
        <v>0</v>
      </c>
    </row>
    <row r="203" spans="1:24" s="16" customFormat="1">
      <c r="A203" s="486" t="s">
        <v>3245</v>
      </c>
      <c r="B203" s="21" t="s">
        <v>2857</v>
      </c>
      <c r="C203" s="1">
        <f>pH_pumps</f>
        <v>0</v>
      </c>
      <c r="D203" s="397" t="s">
        <v>64</v>
      </c>
      <c r="E203" s="418" t="str">
        <f>IF(pH_pumps=0,"NA",pH_pump_rating)</f>
        <v>NA</v>
      </c>
      <c r="F203" s="21" t="str">
        <f>IF(pH_pumps=0," ","gph")</f>
        <v xml:space="preserve"> </v>
      </c>
      <c r="G203" s="418" t="str">
        <f>IF(pH_pumps=0,"NA",IF(curve=1,pH_pump_rating,VLOOKUP(pH_pump_rating,ss_empump_cost_cl,2)))</f>
        <v>NA</v>
      </c>
      <c r="H203" s="21" t="str">
        <f>IF(pH_pumps=0," ","gph")</f>
        <v xml:space="preserve"> </v>
      </c>
      <c r="I203" s="399" t="str">
        <f>IF(pH_pumps=0,"NA",IF(curve=1,ss_empump_eq,VLOOKUP(pH_pump_rating,ss_empump_cost_cl,3)))</f>
        <v>NA</v>
      </c>
      <c r="J203" s="410" t="str">
        <f>IF(pH_pumps=0,"--",(IF(I203="contact vendor","--",C203*I203)))</f>
        <v>--</v>
      </c>
      <c r="K203" s="208" t="str">
        <f>IF(pH_pumps=0,"NA",VLOOKUP(pH_pump_rating,ss_empump_cost_cl,IF(ss_cat="large",4,5)))</f>
        <v>NA</v>
      </c>
      <c r="L203" s="393"/>
      <c r="M203" s="16" t="str">
        <f>$B$196&amp;" - "&amp;$B$199&amp;" - "&amp;B203</f>
        <v>Pumps - Caustic Metering for pH Adjustment - Stainless Steel - Electric</v>
      </c>
      <c r="N203" s="879">
        <v>2</v>
      </c>
      <c r="O203" s="879">
        <v>1</v>
      </c>
      <c r="P203" s="879">
        <v>3</v>
      </c>
      <c r="Q203" s="879">
        <v>2</v>
      </c>
      <c r="R203" s="879">
        <v>1</v>
      </c>
      <c r="S203" s="879">
        <v>3</v>
      </c>
      <c r="T203" s="879">
        <v>2</v>
      </c>
      <c r="U203" s="879">
        <v>1</v>
      </c>
      <c r="V203" s="879">
        <v>3</v>
      </c>
      <c r="W203" s="526">
        <f t="shared" si="15"/>
        <v>0</v>
      </c>
      <c r="X203" s="526">
        <f t="shared" si="16"/>
        <v>0</v>
      </c>
    </row>
    <row r="204" spans="1:24" s="16" customFormat="1">
      <c r="A204" s="488">
        <v>7.4</v>
      </c>
      <c r="B204" s="419" t="s">
        <v>677</v>
      </c>
      <c r="C204" s="21">
        <f>res_pumps</f>
        <v>2</v>
      </c>
      <c r="D204" s="389" t="s">
        <v>64</v>
      </c>
      <c r="E204" s="400">
        <f>IF(res_pumps=0,"NA",res_pump_rating)</f>
        <v>8.6273010089825117E-2</v>
      </c>
      <c r="F204" s="21" t="str">
        <f>IF(C204=0,"","gpm")</f>
        <v>gpm</v>
      </c>
      <c r="G204" s="400">
        <f>IF(res_pumps=0,"NA",IF(curve=1,res_pump_rating,VLOOKUP(res_pump_rating,pump_cost_cl,2)))</f>
        <v>8.6273010089825117E-2</v>
      </c>
      <c r="H204" s="21" t="str">
        <f>IF(C204=0,"","gpm")</f>
        <v>gpm</v>
      </c>
      <c r="I204" s="391">
        <f>IF(res_pumps=0,"NA",IF(curve=1,res_pump_eq,VLOOKUP(res_pump_rating,pump_cost_cl,3)))</f>
        <v>4094.772298147735</v>
      </c>
      <c r="J204" s="392">
        <f>IF(C204=0,"--",IF(I204="contact vendor","--",C204*I204))</f>
        <v>8189.54459629547</v>
      </c>
      <c r="K204" s="208">
        <f>IF(res_pumps=0,"NA",VLOOKUP(res_pump_rating,pump_cost_cl,IF(ss_cat="large",4,5)))</f>
        <v>20</v>
      </c>
      <c r="L204" s="407">
        <v>1</v>
      </c>
      <c r="M204" s="16" t="str">
        <f>$B$196&amp;" - "&amp;B204</f>
        <v>Pumps - Residuals</v>
      </c>
      <c r="N204" s="526">
        <v>1</v>
      </c>
      <c r="O204" s="526">
        <v>1</v>
      </c>
      <c r="P204" s="526">
        <v>1</v>
      </c>
      <c r="Q204" s="526">
        <v>1</v>
      </c>
      <c r="R204" s="526">
        <v>1</v>
      </c>
      <c r="S204" s="526">
        <v>1</v>
      </c>
      <c r="T204" s="526">
        <v>1</v>
      </c>
      <c r="U204" s="526">
        <v>1</v>
      </c>
      <c r="V204" s="526">
        <v>1</v>
      </c>
      <c r="W204" s="526">
        <f t="shared" si="15"/>
        <v>1</v>
      </c>
      <c r="X204" s="526">
        <f t="shared" si="16"/>
        <v>409.47722981477352</v>
      </c>
    </row>
    <row r="205" spans="1:24" s="16" customFormat="1">
      <c r="A205" s="487">
        <v>7.5</v>
      </c>
      <c r="B205" s="845" t="s">
        <v>3386</v>
      </c>
      <c r="C205" s="634"/>
      <c r="D205" s="258"/>
      <c r="E205" s="635"/>
      <c r="F205" s="615"/>
      <c r="G205" s="636"/>
      <c r="H205" s="615"/>
      <c r="I205" s="637"/>
      <c r="J205" s="638"/>
      <c r="K205" s="274"/>
      <c r="L205" s="506"/>
      <c r="N205" s="526"/>
      <c r="O205" s="526"/>
      <c r="P205" s="526"/>
      <c r="Q205" s="526"/>
      <c r="R205" s="526"/>
      <c r="S205" s="526"/>
      <c r="T205" s="526"/>
      <c r="U205" s="526"/>
      <c r="V205" s="526"/>
      <c r="W205" s="526">
        <f>IF(ISERROR(K205*L205),0,IF(K205&lt;1,0,L205))</f>
        <v>0</v>
      </c>
      <c r="X205" s="526">
        <f>IF(W205,J205/K205,0)</f>
        <v>0</v>
      </c>
    </row>
    <row r="206" spans="1:24" s="16" customFormat="1">
      <c r="A206" s="486" t="s">
        <v>3246</v>
      </c>
      <c r="B206" s="1" t="s">
        <v>2852</v>
      </c>
      <c r="C206" s="21">
        <f>cm_pumps_coag</f>
        <v>0</v>
      </c>
      <c r="D206" s="397" t="s">
        <v>64</v>
      </c>
      <c r="E206" s="630" t="str">
        <f>IF(C206=0,"NA",IF(C206=0,"NA",cm_pump_rating_coag))</f>
        <v>NA</v>
      </c>
      <c r="F206" s="1" t="str">
        <f>IF(C206=0,"","gph")</f>
        <v/>
      </c>
      <c r="G206" s="630" t="str">
        <f>IF(C206=0,"NA",IF(curve=1,cm_pump_rating_coag,VLOOKUP(cm_pump_rating_coag,pvc_mmpump_cost_cl,2)))</f>
        <v>NA</v>
      </c>
      <c r="H206" s="480" t="str">
        <f>IF(C206=0,"","gph")</f>
        <v/>
      </c>
      <c r="I206" s="631" t="str">
        <f>IF(C206=0,"NA",IF(curve=1,pvc_coag_mmpump_eq,VLOOKUP(cm_pump_rating_coag,pvc_mmpump_cost_cl,3)))</f>
        <v>NA</v>
      </c>
      <c r="J206" s="410" t="str">
        <f>IF(C206=0,"--",(IF(I206="contact vendor","--",C206*I206)))</f>
        <v>--</v>
      </c>
      <c r="K206" s="208" t="str">
        <f>IF(C206=0,"NA",VLOOKUP(cm_pump_rating_coag,pvc_mmpump_cost_cl,IF(ss_cat="large",4,5)))</f>
        <v>NA</v>
      </c>
      <c r="L206" s="407"/>
      <c r="M206" s="16" t="str">
        <f>$B$196&amp;" - "&amp;$B$205&amp;" - "&amp;B206</f>
        <v>Pumps - Ferric Chloride Metering - PVC - Motor Driven</v>
      </c>
      <c r="N206" s="879">
        <v>2</v>
      </c>
      <c r="O206" s="879">
        <v>2</v>
      </c>
      <c r="P206" s="879">
        <v>1</v>
      </c>
      <c r="Q206" s="879">
        <v>2</v>
      </c>
      <c r="R206" s="879">
        <v>2</v>
      </c>
      <c r="S206" s="879">
        <v>1</v>
      </c>
      <c r="T206" s="879">
        <v>2</v>
      </c>
      <c r="U206" s="879">
        <v>2</v>
      </c>
      <c r="V206" s="879">
        <v>1</v>
      </c>
      <c r="W206" s="526">
        <f>IF(ISERROR(K206*L206),0,IF(K206&lt;1,0,L206))</f>
        <v>0</v>
      </c>
      <c r="X206" s="526">
        <f>IF(W206,J206/K206,0)</f>
        <v>0</v>
      </c>
    </row>
    <row r="207" spans="1:24" s="16" customFormat="1">
      <c r="A207" s="486" t="s">
        <v>3246</v>
      </c>
      <c r="B207" s="1" t="s">
        <v>2853</v>
      </c>
      <c r="C207" s="21">
        <f>cm_pumps_coag</f>
        <v>0</v>
      </c>
      <c r="D207" s="397" t="s">
        <v>64</v>
      </c>
      <c r="E207" s="630" t="str">
        <f>IF(C207=0,"NA",IF(C207=0,"NA",cm_pump_rating_coag))</f>
        <v>NA</v>
      </c>
      <c r="F207" s="1" t="str">
        <f>IF(C207=0,"","gph")</f>
        <v/>
      </c>
      <c r="G207" s="630" t="str">
        <f>IF(C207=0,"NA",IF(curve=1,cm_pump_rating_coag,VLOOKUP(cm_pump_rating_coag,pvc_empump_cost_cl,2)))</f>
        <v>NA</v>
      </c>
      <c r="H207" s="480" t="str">
        <f>IF(C207=0,"","gph")</f>
        <v/>
      </c>
      <c r="I207" s="631" t="str">
        <f>IF(C207=0,"NA",IF(curve=1,pvc_coag_empump_eq,VLOOKUP(cm_pump_rating_coag,pvc_empump_cost_cl,3)))</f>
        <v>NA</v>
      </c>
      <c r="J207" s="410" t="str">
        <f>IF(C207=0,"--",(IF(I207="contact vendor","--",C207*I207)))</f>
        <v>--</v>
      </c>
      <c r="K207" s="208" t="str">
        <f>IF(C207=0,"NA",VLOOKUP(cm_pump_rating_coag,pvc_empump_cost_cl,IF(ss_cat="large",4,5)))</f>
        <v>NA</v>
      </c>
      <c r="L207" s="407"/>
      <c r="M207" s="16" t="str">
        <f>$B$196&amp;" - "&amp;$B$205&amp;" - "&amp;B207</f>
        <v>Pumps - Ferric Chloride Metering - PVC - Electric</v>
      </c>
      <c r="N207" s="879">
        <v>1</v>
      </c>
      <c r="O207" s="879">
        <v>1</v>
      </c>
      <c r="P207" s="879">
        <v>2</v>
      </c>
      <c r="Q207" s="879">
        <v>1</v>
      </c>
      <c r="R207" s="879">
        <v>1</v>
      </c>
      <c r="S207" s="879">
        <v>2</v>
      </c>
      <c r="T207" s="879">
        <v>1</v>
      </c>
      <c r="U207" s="879">
        <v>1</v>
      </c>
      <c r="V207" s="879">
        <v>2</v>
      </c>
      <c r="W207" s="526">
        <f>IF(ISERROR(K207*L207),0,IF(K207&lt;1,0,L207))</f>
        <v>0</v>
      </c>
      <c r="X207" s="526">
        <f>IF(W207,J207/K207,0)</f>
        <v>0</v>
      </c>
    </row>
    <row r="208" spans="1:24" s="16" customFormat="1">
      <c r="A208" s="487">
        <v>7.6</v>
      </c>
      <c r="B208" s="99" t="s">
        <v>1391</v>
      </c>
      <c r="C208" s="634"/>
      <c r="D208" s="258"/>
      <c r="E208" s="635"/>
      <c r="F208" s="615"/>
      <c r="G208" s="636"/>
      <c r="H208" s="615"/>
      <c r="I208" s="637"/>
      <c r="J208" s="638"/>
      <c r="K208" s="274"/>
      <c r="L208" s="506"/>
      <c r="N208" s="526"/>
      <c r="O208" s="526"/>
      <c r="P208" s="526"/>
      <c r="Q208" s="526"/>
      <c r="R208" s="526"/>
      <c r="S208" s="526"/>
      <c r="T208" s="526"/>
      <c r="U208" s="526"/>
      <c r="V208" s="526"/>
      <c r="W208" s="526">
        <f t="shared" si="15"/>
        <v>0</v>
      </c>
      <c r="X208" s="526">
        <f t="shared" si="16"/>
        <v>0</v>
      </c>
    </row>
    <row r="209" spans="1:24" s="16" customFormat="1">
      <c r="A209" s="486" t="s">
        <v>3403</v>
      </c>
      <c r="B209" s="1" t="s">
        <v>2852</v>
      </c>
      <c r="C209" s="21">
        <f>cm_pumps_polymer</f>
        <v>0</v>
      </c>
      <c r="D209" s="397" t="s">
        <v>64</v>
      </c>
      <c r="E209" s="630" t="str">
        <f>IF(C209=0,"NA",IF(C209=0,"NA",cm_pump_rating_polymer))</f>
        <v>NA</v>
      </c>
      <c r="F209" s="1" t="str">
        <f>IF(C209=0,"","gph")</f>
        <v/>
      </c>
      <c r="G209" s="630" t="str">
        <f>IF(C209=0,"NA",IF(curve=1,cm_pump_rating_polymer,VLOOKUP(cm_pump_rating_polymer,pvc_mmpump_cost_cl,2)))</f>
        <v>NA</v>
      </c>
      <c r="H209" s="480" t="str">
        <f>IF(C209=0,"","gph")</f>
        <v/>
      </c>
      <c r="I209" s="631" t="str">
        <f>IF(C209=0,"NA",IF(curve=1,pvc_polymer_mmpump_eq,VLOOKUP(cm_pump_rating_polymer,pvc_mmpump_cost_cl,3)))</f>
        <v>NA</v>
      </c>
      <c r="J209" s="410" t="str">
        <f>IF(C209=0,"--",(IF(I209="contact vendor","--",C209*I209)))</f>
        <v>--</v>
      </c>
      <c r="K209" s="208" t="str">
        <f>IF(C209=0,"NA",VLOOKUP(cm_pump_rating_polymer,pvc_mmpump_cost_cl,IF(ss_cat="large",4,5)))</f>
        <v>NA</v>
      </c>
      <c r="L209" s="407"/>
      <c r="M209" s="16" t="str">
        <f>$B$196&amp;" - "&amp;$B$208&amp;" - "&amp;B209</f>
        <v>Pumps - Polymer Metering - PVC - Motor Driven</v>
      </c>
      <c r="N209" s="879">
        <v>3</v>
      </c>
      <c r="O209" s="879">
        <v>3</v>
      </c>
      <c r="P209" s="879">
        <v>2</v>
      </c>
      <c r="Q209" s="879">
        <v>4</v>
      </c>
      <c r="R209" s="879">
        <v>4</v>
      </c>
      <c r="S209" s="879">
        <v>1</v>
      </c>
      <c r="T209" s="879">
        <v>4</v>
      </c>
      <c r="U209" s="879">
        <v>4</v>
      </c>
      <c r="V209" s="879">
        <v>1</v>
      </c>
      <c r="W209" s="526">
        <f t="shared" si="15"/>
        <v>0</v>
      </c>
      <c r="X209" s="526">
        <f t="shared" si="16"/>
        <v>0</v>
      </c>
    </row>
    <row r="210" spans="1:24" s="16" customFormat="1">
      <c r="A210" s="486" t="s">
        <v>3403</v>
      </c>
      <c r="B210" s="1" t="s">
        <v>2856</v>
      </c>
      <c r="C210" s="21">
        <f>cm_pumps_polymer</f>
        <v>0</v>
      </c>
      <c r="D210" s="397" t="s">
        <v>64</v>
      </c>
      <c r="E210" s="630" t="str">
        <f>IF(C210=0,"NA",IF(C210=0,"NA",cm_pump_rating_polymer))</f>
        <v>NA</v>
      </c>
      <c r="F210" s="1" t="str">
        <f>IF(C210=0,"","gph")</f>
        <v/>
      </c>
      <c r="G210" s="630" t="str">
        <f>IF(C210=0,"NA",IF(curve=1,cm_pump_rating_polymer,VLOOKUP(cm_pump_rating_polymer,ss_mmpump_cost_cl,2)))</f>
        <v>NA</v>
      </c>
      <c r="H210" s="480" t="str">
        <f>IF(C210=0,"","gph")</f>
        <v/>
      </c>
      <c r="I210" s="631" t="str">
        <f>IF(C210=0,"NA",IF(curve=1,ss_polymer_mmpump_eq,VLOOKUP(cm_pump_rating_polymer,ss_mmpump_cost_cl,3)))</f>
        <v>NA</v>
      </c>
      <c r="J210" s="410" t="str">
        <f>IF(C210=0,"--",(IF(I210="contact vendor","--",C210*I210)))</f>
        <v>--</v>
      </c>
      <c r="K210" s="208" t="str">
        <f>IF(C210=0,"NA",VLOOKUP(cm_pump_rating_polymer,ss_mmpump_cost_cl,IF(ss_cat="large",4,5)))</f>
        <v>NA</v>
      </c>
      <c r="L210" s="407"/>
      <c r="M210" s="16" t="str">
        <f>$B$196&amp;" - "&amp;$B$208&amp;" - "&amp;B210</f>
        <v>Pumps - Polymer Metering - Stainless Steel - Motor Driven</v>
      </c>
      <c r="N210" s="879">
        <v>4</v>
      </c>
      <c r="O210" s="879">
        <v>4</v>
      </c>
      <c r="P210" s="879">
        <v>1</v>
      </c>
      <c r="Q210" s="879">
        <v>3</v>
      </c>
      <c r="R210" s="879">
        <v>3</v>
      </c>
      <c r="S210" s="879">
        <v>2</v>
      </c>
      <c r="T210" s="879">
        <v>3</v>
      </c>
      <c r="U210" s="879">
        <v>3</v>
      </c>
      <c r="V210" s="879">
        <v>2</v>
      </c>
      <c r="W210" s="526">
        <f t="shared" si="15"/>
        <v>0</v>
      </c>
      <c r="X210" s="526">
        <f t="shared" si="16"/>
        <v>0</v>
      </c>
    </row>
    <row r="211" spans="1:24" s="16" customFormat="1">
      <c r="A211" s="486" t="s">
        <v>3403</v>
      </c>
      <c r="B211" s="1" t="s">
        <v>2853</v>
      </c>
      <c r="C211" s="21">
        <f>cm_pumps_polymer</f>
        <v>0</v>
      </c>
      <c r="D211" s="397" t="s">
        <v>64</v>
      </c>
      <c r="E211" s="630" t="str">
        <f>IF(C211=0,"NA",IF(C211=0,"NA",cm_pump_rating_polymer))</f>
        <v>NA</v>
      </c>
      <c r="F211" s="1" t="str">
        <f>IF(C211=0,"","gph")</f>
        <v/>
      </c>
      <c r="G211" s="630" t="str">
        <f>IF(C211=0,"NA",IF(curve=1,cm_pump_rating_polymer,VLOOKUP(cm_pump_rating_polymer,pvc_empump_cost_cl,2)))</f>
        <v>NA</v>
      </c>
      <c r="H211" s="480" t="str">
        <f>IF(C211=0,"","gph")</f>
        <v/>
      </c>
      <c r="I211" s="631" t="str">
        <f>IF(C211=0,"NA",IF(curve=1,pvc_polymer_empump_eq,VLOOKUP(cm_pump_rating_polymer,pvc_empump_cost_cl,3)))</f>
        <v>NA</v>
      </c>
      <c r="J211" s="410" t="str">
        <f>IF(C211=0,"--",(IF(I211="contact vendor","--",C211*I211)))</f>
        <v>--</v>
      </c>
      <c r="K211" s="208" t="str">
        <f>IF(C211=0,"NA",VLOOKUP(cm_pump_rating_polymer,pvc_empump_cost_cl,IF(ss_cat="large",4,5)))</f>
        <v>NA</v>
      </c>
      <c r="L211" s="407"/>
      <c r="M211" s="16" t="str">
        <f>$B$196&amp;" - "&amp;$B$208&amp;" - "&amp;B211</f>
        <v>Pumps - Polymer Metering - PVC - Electric</v>
      </c>
      <c r="N211" s="879">
        <v>1</v>
      </c>
      <c r="O211" s="879">
        <v>2</v>
      </c>
      <c r="P211" s="879">
        <v>4</v>
      </c>
      <c r="Q211" s="879">
        <v>1</v>
      </c>
      <c r="R211" s="879">
        <v>2</v>
      </c>
      <c r="S211" s="879">
        <v>4</v>
      </c>
      <c r="T211" s="879">
        <v>1</v>
      </c>
      <c r="U211" s="879">
        <v>2</v>
      </c>
      <c r="V211" s="879">
        <v>4</v>
      </c>
      <c r="W211" s="526">
        <f t="shared" si="15"/>
        <v>0</v>
      </c>
      <c r="X211" s="526">
        <f t="shared" si="16"/>
        <v>0</v>
      </c>
    </row>
    <row r="212" spans="1:24" s="16" customFormat="1">
      <c r="A212" s="486" t="s">
        <v>3403</v>
      </c>
      <c r="B212" s="1" t="s">
        <v>2857</v>
      </c>
      <c r="C212" s="21">
        <f>cm_pumps_polymer</f>
        <v>0</v>
      </c>
      <c r="D212" s="397" t="s">
        <v>64</v>
      </c>
      <c r="E212" s="630" t="str">
        <f>IF(C212=0,"NA",IF(C212=0,"NA",cm_pump_rating_polymer))</f>
        <v>NA</v>
      </c>
      <c r="F212" s="1" t="str">
        <f>IF(C212=0,"","gph")</f>
        <v/>
      </c>
      <c r="G212" s="630" t="str">
        <f>IF(C212=0,"NA",IF(curve=1,cm_pump_rating_polymer,VLOOKUP(cm_pump_rating_polymer,ss_empump_cost_cl,2)))</f>
        <v>NA</v>
      </c>
      <c r="H212" s="480" t="str">
        <f>IF(C212=0,"","gph")</f>
        <v/>
      </c>
      <c r="I212" s="631" t="str">
        <f>IF(C212=0,"NA",IF(curve=1,ss_polymer_empump_eq,VLOOKUP(cm_pump_rating_polymer,ss_empump_cost_cl,3)))</f>
        <v>NA</v>
      </c>
      <c r="J212" s="410" t="str">
        <f>IF(C212=0,"--",(IF(I212="contact vendor","--",C212*I212)))</f>
        <v>--</v>
      </c>
      <c r="K212" s="208" t="str">
        <f>IF(C212=0,"NA",VLOOKUP(cm_pump_rating_polymer,ss_empump_cost_cl,IF(ss_cat="large",4,5)))</f>
        <v>NA</v>
      </c>
      <c r="L212" s="407"/>
      <c r="M212" s="16" t="str">
        <f>$B$196&amp;" - "&amp;$B$208&amp;" - "&amp;B212</f>
        <v>Pumps - Polymer Metering - Stainless Steel - Electric</v>
      </c>
      <c r="N212" s="879">
        <v>2</v>
      </c>
      <c r="O212" s="879">
        <v>1</v>
      </c>
      <c r="P212" s="879">
        <v>3</v>
      </c>
      <c r="Q212" s="879">
        <v>2</v>
      </c>
      <c r="R212" s="879">
        <v>1</v>
      </c>
      <c r="S212" s="879">
        <v>3</v>
      </c>
      <c r="T212" s="879">
        <v>2</v>
      </c>
      <c r="U212" s="879">
        <v>1</v>
      </c>
      <c r="V212" s="879">
        <v>3</v>
      </c>
      <c r="W212" s="526">
        <f t="shared" si="15"/>
        <v>0</v>
      </c>
      <c r="X212" s="526">
        <f t="shared" si="16"/>
        <v>0</v>
      </c>
    </row>
    <row r="213" spans="1:24" s="16" customFormat="1">
      <c r="A213" s="483">
        <v>8</v>
      </c>
      <c r="B213" s="28" t="s">
        <v>1341</v>
      </c>
      <c r="C213" s="28"/>
      <c r="D213" s="253"/>
      <c r="E213" s="28"/>
      <c r="F213" s="28"/>
      <c r="G213" s="28"/>
      <c r="H213" s="28"/>
      <c r="I213" s="256"/>
      <c r="J213" s="256"/>
      <c r="K213" s="28"/>
      <c r="L213" s="254"/>
      <c r="N213" s="651"/>
      <c r="O213" s="651"/>
      <c r="P213" s="651"/>
      <c r="Q213" s="651"/>
      <c r="R213" s="651"/>
      <c r="S213" s="651"/>
      <c r="T213" s="651"/>
      <c r="U213" s="651"/>
      <c r="V213" s="651"/>
      <c r="W213" s="526">
        <f t="shared" si="15"/>
        <v>0</v>
      </c>
      <c r="X213" s="526">
        <f t="shared" si="16"/>
        <v>0</v>
      </c>
    </row>
    <row r="214" spans="1:24" s="16" customFormat="1">
      <c r="A214" s="485">
        <v>8.1</v>
      </c>
      <c r="B214" s="29" t="s">
        <v>662</v>
      </c>
      <c r="C214" s="257"/>
      <c r="D214" s="258"/>
      <c r="E214" s="257"/>
      <c r="F214" s="257"/>
      <c r="G214" s="257"/>
      <c r="H214" s="257"/>
      <c r="I214" s="257"/>
      <c r="J214" s="257"/>
      <c r="K214" s="257"/>
      <c r="L214" s="261"/>
      <c r="N214" s="651"/>
      <c r="O214" s="651"/>
      <c r="P214" s="651"/>
      <c r="Q214" s="651"/>
      <c r="R214" s="651"/>
      <c r="S214" s="651"/>
      <c r="T214" s="651"/>
      <c r="U214" s="651"/>
      <c r="V214" s="651"/>
      <c r="W214" s="526">
        <f t="shared" si="15"/>
        <v>0</v>
      </c>
      <c r="X214" s="526">
        <f t="shared" si="16"/>
        <v>0</v>
      </c>
    </row>
    <row r="215" spans="1:24" s="16" customFormat="1">
      <c r="A215" s="252" t="s">
        <v>2438</v>
      </c>
      <c r="B215" s="21" t="s">
        <v>2192</v>
      </c>
      <c r="C215" s="21">
        <f>IF(OR(brine_method=2,brine_method=""),0,mixers)</f>
        <v>0</v>
      </c>
      <c r="D215" s="389" t="s">
        <v>64</v>
      </c>
      <c r="E215" s="394" t="str">
        <f>IF(C215=0,"NA",mixer_size)</f>
        <v>NA</v>
      </c>
      <c r="F215" s="21" t="str">
        <f>IF(C215=0,"","hp")</f>
        <v/>
      </c>
      <c r="G215" s="400" t="str">
        <f>IF(C215=0,"NA",VLOOKUP(mixer_size,port_mix_cost_cl,2))</f>
        <v>NA</v>
      </c>
      <c r="H215" s="21" t="str">
        <f>IF(C215=0,"","hp")</f>
        <v/>
      </c>
      <c r="I215" s="391" t="str">
        <f>IF(C215=0,"NA",VLOOKUP(mixer_size,port_mix_cost_cl,3))</f>
        <v>NA</v>
      </c>
      <c r="J215" s="392" t="str">
        <f>IF(C215=0,"--",IF(I215="contact vendor","--",C215*I215))</f>
        <v>--</v>
      </c>
      <c r="K215" s="394" t="str">
        <f>IF(C215=0,"NA",VLOOKUP(mixer_size,port_mix_cost_cl,IF(ss_cat="large",4,5)))</f>
        <v>NA</v>
      </c>
      <c r="L215" s="393"/>
      <c r="M215" s="16" t="str">
        <f>$B$214&amp;" - "&amp;B215</f>
        <v>Brine Mixers - Portable</v>
      </c>
      <c r="N215" s="526">
        <v>2</v>
      </c>
      <c r="O215" s="526">
        <v>2</v>
      </c>
      <c r="P215" s="526">
        <v>2</v>
      </c>
      <c r="Q215" s="526">
        <v>2</v>
      </c>
      <c r="R215" s="526">
        <v>2</v>
      </c>
      <c r="S215" s="526">
        <v>2</v>
      </c>
      <c r="T215" s="526">
        <v>2</v>
      </c>
      <c r="U215" s="526">
        <v>2</v>
      </c>
      <c r="V215" s="526">
        <v>2</v>
      </c>
      <c r="W215" s="526">
        <f t="shared" si="15"/>
        <v>0</v>
      </c>
      <c r="X215" s="526">
        <f t="shared" si="16"/>
        <v>0</v>
      </c>
    </row>
    <row r="216" spans="1:24" s="16" customFormat="1">
      <c r="A216" s="252" t="s">
        <v>2438</v>
      </c>
      <c r="B216" s="21" t="s">
        <v>92</v>
      </c>
      <c r="C216" s="21">
        <f>IF(OR(brine_method=2,brine_method=""),0,mixers)</f>
        <v>0</v>
      </c>
      <c r="D216" s="389" t="s">
        <v>64</v>
      </c>
      <c r="E216" s="394" t="str">
        <f>IF(C216=0,"NA",mixer_size)</f>
        <v>NA</v>
      </c>
      <c r="F216" s="21" t="str">
        <f>IF(C216=0,"","hp")</f>
        <v/>
      </c>
      <c r="G216" s="400" t="str">
        <f>IF(C216=0,"NA",IF(curve=1,mixer_size,VLOOKUP(mixer_size,mount_mix_cost_cl,2)))</f>
        <v>NA</v>
      </c>
      <c r="H216" s="21" t="str">
        <f>IF(C216=0,"","hp")</f>
        <v/>
      </c>
      <c r="I216" s="391" t="str">
        <f>IF(C216=0,"NA",IF(curve=1,mount_mix_eq,VLOOKUP(mixer_size,mount_mix_cost_cl,3)))</f>
        <v>NA</v>
      </c>
      <c r="J216" s="392" t="str">
        <f>IF(C216=0,"--",IF(I216="contact vendor","--",C216*I216))</f>
        <v>--</v>
      </c>
      <c r="K216" s="394" t="str">
        <f>IF(C216=0,"NA",VLOOKUP(mixer_size,mount_mix_cost_cl,IF(ss_cat="large",4,5)))</f>
        <v>NA</v>
      </c>
      <c r="L216" s="393"/>
      <c r="M216" s="16" t="str">
        <f>$B$214&amp;" - "&amp;B216</f>
        <v>Brine Mixers - Mounted</v>
      </c>
      <c r="N216" s="526">
        <v>1</v>
      </c>
      <c r="O216" s="526">
        <v>1</v>
      </c>
      <c r="P216" s="526">
        <v>1</v>
      </c>
      <c r="Q216" s="526">
        <v>1</v>
      </c>
      <c r="R216" s="526">
        <v>1</v>
      </c>
      <c r="S216" s="526">
        <v>1</v>
      </c>
      <c r="T216" s="526">
        <v>1</v>
      </c>
      <c r="U216" s="526">
        <v>1</v>
      </c>
      <c r="V216" s="526">
        <v>1</v>
      </c>
      <c r="W216" s="526">
        <f t="shared" si="15"/>
        <v>0</v>
      </c>
      <c r="X216" s="526">
        <f t="shared" si="16"/>
        <v>0</v>
      </c>
    </row>
    <row r="217" spans="1:24" s="16" customFormat="1">
      <c r="A217" s="572" t="s">
        <v>1957</v>
      </c>
      <c r="B217" s="728" t="s">
        <v>3020</v>
      </c>
      <c r="C217" s="257"/>
      <c r="D217" s="258"/>
      <c r="E217" s="257"/>
      <c r="F217" s="257"/>
      <c r="G217" s="257"/>
      <c r="H217" s="257"/>
      <c r="I217" s="260"/>
      <c r="J217" s="257"/>
      <c r="K217" s="257"/>
      <c r="L217" s="261"/>
      <c r="N217" s="526"/>
      <c r="O217" s="526"/>
      <c r="P217" s="526"/>
      <c r="Q217" s="526"/>
      <c r="R217" s="526"/>
      <c r="S217" s="526"/>
      <c r="T217" s="526"/>
      <c r="U217" s="526"/>
      <c r="V217" s="526"/>
      <c r="W217" s="526">
        <f t="shared" si="15"/>
        <v>0</v>
      </c>
      <c r="X217" s="526">
        <f t="shared" si="16"/>
        <v>0</v>
      </c>
    </row>
    <row r="218" spans="1:24" s="16" customFormat="1">
      <c r="A218" s="252" t="s">
        <v>2439</v>
      </c>
      <c r="B218" s="21" t="s">
        <v>2192</v>
      </c>
      <c r="C218" s="424">
        <f>cmixers</f>
        <v>0</v>
      </c>
      <c r="D218" s="389" t="s">
        <v>64</v>
      </c>
      <c r="E218" s="575" t="str">
        <f>IF(C218=0,"NA",cmix_size)</f>
        <v>NA</v>
      </c>
      <c r="F218" s="424" t="str">
        <f>IF(C218=0,"","hp")</f>
        <v/>
      </c>
      <c r="G218" s="570" t="str">
        <f>IF(C218=0,"NA",VLOOKUP(cmix_size,port_mix_cost_cl,2))</f>
        <v>NA</v>
      </c>
      <c r="H218" s="424" t="str">
        <f>IF(C218=0,"","hp")</f>
        <v/>
      </c>
      <c r="I218" s="568" t="str">
        <f>IF(C218=0,"NA",VLOOKUP(cmix_size,port_mix_cost_cl,3))</f>
        <v>NA</v>
      </c>
      <c r="J218" s="569" t="str">
        <f>IF(C218=0,"--",IF(I218="contact vendor","--",C218*I218))</f>
        <v>--</v>
      </c>
      <c r="K218" s="570" t="str">
        <f>IF(C218=0,"NA",VLOOKUP(cmix_size,port_mix_cost_cl,IF(ss_cat="large",4,5)))</f>
        <v>NA</v>
      </c>
      <c r="L218" s="409"/>
      <c r="M218" s="16" t="str">
        <f>$B$217&amp;" - "&amp;B218</f>
        <v>Mixers for Caustic Storage Tanks - Portable</v>
      </c>
      <c r="N218" s="526">
        <v>3</v>
      </c>
      <c r="O218" s="526">
        <v>3</v>
      </c>
      <c r="P218" s="526">
        <v>3</v>
      </c>
      <c r="Q218" s="526">
        <v>3</v>
      </c>
      <c r="R218" s="526">
        <v>3</v>
      </c>
      <c r="S218" s="526">
        <v>3</v>
      </c>
      <c r="T218" s="526">
        <v>3</v>
      </c>
      <c r="U218" s="526">
        <v>3</v>
      </c>
      <c r="V218" s="526">
        <v>3</v>
      </c>
      <c r="W218" s="526">
        <f t="shared" si="15"/>
        <v>0</v>
      </c>
      <c r="X218" s="526">
        <f t="shared" si="16"/>
        <v>0</v>
      </c>
    </row>
    <row r="219" spans="1:24" s="16" customFormat="1">
      <c r="A219" s="252" t="s">
        <v>2439</v>
      </c>
      <c r="B219" s="21" t="s">
        <v>92</v>
      </c>
      <c r="C219" s="424">
        <f>cmixers</f>
        <v>0</v>
      </c>
      <c r="D219" s="389" t="s">
        <v>64</v>
      </c>
      <c r="E219" s="575" t="str">
        <f>IF(C219=0,"NA",cmix_size)</f>
        <v>NA</v>
      </c>
      <c r="F219" s="424" t="str">
        <f>IF(C219=0,"","hp")</f>
        <v/>
      </c>
      <c r="G219" s="570" t="str">
        <f>IF(C219=0,"NA",IF(curve=1,cmix_size,VLOOKUP(cmix_size,mount_mix_cost_cl,2)))</f>
        <v>NA</v>
      </c>
      <c r="H219" s="424" t="str">
        <f>IF(C219=0,"","hp")</f>
        <v/>
      </c>
      <c r="I219" s="568" t="str">
        <f>IF(C219=0,"NA",IF(curve=1,cmount_mix_eq,VLOOKUP(cmix_size,mount_mix_cost_cl,3)))</f>
        <v>NA</v>
      </c>
      <c r="J219" s="569" t="str">
        <f>IF(C219=0,"--",IF(I219="contact vendor","--",C219*I219))</f>
        <v>--</v>
      </c>
      <c r="K219" s="570" t="str">
        <f>IF(C219=0,"NA",VLOOKUP(cmix_size,mount_mix_cost_cl,IF(ss_cat="large",4,5)))</f>
        <v>NA</v>
      </c>
      <c r="L219" s="409"/>
      <c r="M219" s="16" t="str">
        <f>$B$217&amp;" - "&amp;B219</f>
        <v>Mixers for Caustic Storage Tanks - Mounted</v>
      </c>
      <c r="N219" s="526">
        <v>1</v>
      </c>
      <c r="O219" s="526">
        <v>1</v>
      </c>
      <c r="P219" s="526">
        <v>1</v>
      </c>
      <c r="Q219" s="526">
        <v>1</v>
      </c>
      <c r="R219" s="526">
        <v>1</v>
      </c>
      <c r="S219" s="526">
        <v>1</v>
      </c>
      <c r="T219" s="526">
        <v>1</v>
      </c>
      <c r="U219" s="526">
        <v>1</v>
      </c>
      <c r="V219" s="526">
        <v>1</v>
      </c>
      <c r="W219" s="526">
        <f t="shared" si="15"/>
        <v>0</v>
      </c>
      <c r="X219" s="526">
        <f t="shared" si="16"/>
        <v>0</v>
      </c>
    </row>
    <row r="220" spans="1:24" s="16" customFormat="1">
      <c r="A220" s="252" t="s">
        <v>2439</v>
      </c>
      <c r="B220" s="21" t="s">
        <v>1698</v>
      </c>
      <c r="C220" s="424">
        <f>cmixers</f>
        <v>0</v>
      </c>
      <c r="D220" s="389" t="s">
        <v>64</v>
      </c>
      <c r="E220" s="575" t="str">
        <f>IF(C220=0,"NA",cmix_size)</f>
        <v>NA</v>
      </c>
      <c r="F220" s="424" t="str">
        <f>IF(C220=0,"","hp")</f>
        <v/>
      </c>
      <c r="G220" s="570" t="str">
        <f>IF(C220=0,"NA",IF(curve=1,cmix_size,VLOOKUP(cmix_size,imp_mix_cost_cl,2)))</f>
        <v>NA</v>
      </c>
      <c r="H220" s="424" t="str">
        <f>IF(C220=0,"","hp")</f>
        <v/>
      </c>
      <c r="I220" s="568" t="str">
        <f>IF(C220=0,"NA",IF(curve=1,cimp_mix_eq,VLOOKUP(cmix_size,imp_mix_cost_cl,3)))</f>
        <v>NA</v>
      </c>
      <c r="J220" s="569" t="str">
        <f>IF(C220=0,"--",IF(I220="contact vendor","--",C220*I220))</f>
        <v>--</v>
      </c>
      <c r="K220" s="570" t="str">
        <f>IF(C220=0,"NA",VLOOKUP(cmix_size,imp_mix_cost_cl,IF(ss_cat="large",4,5)))</f>
        <v>NA</v>
      </c>
      <c r="L220" s="409"/>
      <c r="M220" s="16" t="str">
        <f>$B$217&amp;" - "&amp;B220</f>
        <v>Mixers for Caustic Storage Tanks - Impeller</v>
      </c>
      <c r="N220" s="526">
        <v>2</v>
      </c>
      <c r="O220" s="526">
        <v>2</v>
      </c>
      <c r="P220" s="526">
        <v>2</v>
      </c>
      <c r="Q220" s="526">
        <v>2</v>
      </c>
      <c r="R220" s="526">
        <v>2</v>
      </c>
      <c r="S220" s="526">
        <v>2</v>
      </c>
      <c r="T220" s="526">
        <v>2</v>
      </c>
      <c r="U220" s="526">
        <v>2</v>
      </c>
      <c r="V220" s="526">
        <v>2</v>
      </c>
      <c r="W220" s="526">
        <f t="shared" si="15"/>
        <v>0</v>
      </c>
      <c r="X220" s="526">
        <f t="shared" si="16"/>
        <v>0</v>
      </c>
    </row>
    <row r="221" spans="1:24" s="16" customFormat="1">
      <c r="A221" s="572" t="s">
        <v>1958</v>
      </c>
      <c r="B221" s="728" t="s">
        <v>3021</v>
      </c>
      <c r="C221" s="257"/>
      <c r="D221" s="258"/>
      <c r="E221" s="257"/>
      <c r="F221" s="257"/>
      <c r="G221" s="257"/>
      <c r="H221" s="257"/>
      <c r="I221" s="260"/>
      <c r="J221" s="257"/>
      <c r="K221" s="257"/>
      <c r="L221" s="261"/>
      <c r="N221" s="526"/>
      <c r="O221" s="526"/>
      <c r="P221" s="526"/>
      <c r="Q221" s="526"/>
      <c r="R221" s="526"/>
      <c r="S221" s="526"/>
      <c r="T221" s="526"/>
      <c r="U221" s="526"/>
      <c r="V221" s="526"/>
      <c r="W221" s="526">
        <f t="shared" si="15"/>
        <v>0</v>
      </c>
      <c r="X221" s="526">
        <f t="shared" si="16"/>
        <v>0</v>
      </c>
    </row>
    <row r="222" spans="1:24" s="16" customFormat="1">
      <c r="A222" s="252" t="s">
        <v>1960</v>
      </c>
      <c r="B222" s="21" t="s">
        <v>2192</v>
      </c>
      <c r="C222" s="424">
        <f>dmixers</f>
        <v>0</v>
      </c>
      <c r="D222" s="389" t="s">
        <v>64</v>
      </c>
      <c r="E222" s="574" t="str">
        <f>IF(C222=0,"NA",dmix_size)</f>
        <v>NA</v>
      </c>
      <c r="F222" s="424" t="str">
        <f>IF(C222=0,"","hp")</f>
        <v/>
      </c>
      <c r="G222" s="570" t="str">
        <f>IF(C222=0,"NA",VLOOKUP(dmix_size,port_mix_cost_cl,2))</f>
        <v>NA</v>
      </c>
      <c r="H222" s="424" t="str">
        <f>IF(C222=0,"","hp")</f>
        <v/>
      </c>
      <c r="I222" s="568" t="str">
        <f>IF(C222=0,"NA",VLOOKUP(dmix_size,port_mix_cost_cl,3))</f>
        <v>NA</v>
      </c>
      <c r="J222" s="569" t="str">
        <f>IF(C222=0,"--",IF(I222="contact vendor","--",C222*I222))</f>
        <v>--</v>
      </c>
      <c r="K222" s="570" t="str">
        <f>IF(C222=0,"NA",VLOOKUP(dmix_size,port_mix_cost_cl,IF(ss_cat="large",4,5)))</f>
        <v>NA</v>
      </c>
      <c r="L222" s="409"/>
      <c r="M222" s="16" t="str">
        <f>$B$221&amp;" - "&amp;B222</f>
        <v>Mixers for Caustic Day Tanks - Portable</v>
      </c>
      <c r="N222" s="526">
        <v>3</v>
      </c>
      <c r="O222" s="526">
        <v>3</v>
      </c>
      <c r="P222" s="526">
        <v>3</v>
      </c>
      <c r="Q222" s="526">
        <v>3</v>
      </c>
      <c r="R222" s="526">
        <v>3</v>
      </c>
      <c r="S222" s="526">
        <v>3</v>
      </c>
      <c r="T222" s="526">
        <v>3</v>
      </c>
      <c r="U222" s="526">
        <v>3</v>
      </c>
      <c r="V222" s="526">
        <v>3</v>
      </c>
      <c r="W222" s="526">
        <f t="shared" si="15"/>
        <v>0</v>
      </c>
      <c r="X222" s="526">
        <f t="shared" si="16"/>
        <v>0</v>
      </c>
    </row>
    <row r="223" spans="1:24" s="16" customFormat="1">
      <c r="A223" s="252" t="s">
        <v>1960</v>
      </c>
      <c r="B223" s="21" t="s">
        <v>92</v>
      </c>
      <c r="C223" s="424">
        <f>dmixers</f>
        <v>0</v>
      </c>
      <c r="D223" s="389" t="s">
        <v>64</v>
      </c>
      <c r="E223" s="574" t="str">
        <f>IF(C223=0,"NA",dmix_size)</f>
        <v>NA</v>
      </c>
      <c r="F223" s="424" t="str">
        <f>IF(C223=0,"","hp")</f>
        <v/>
      </c>
      <c r="G223" s="574" t="str">
        <f>IF(C223=0,"NA",IF(curve=1,dmix_size,VLOOKUP(dmix_size,mount_mix_cost_cl,2)))</f>
        <v>NA</v>
      </c>
      <c r="H223" s="424" t="str">
        <f>IF(C223=0,"","hp")</f>
        <v/>
      </c>
      <c r="I223" s="568" t="str">
        <f>IF(C223=0,"NA",IF(curve=1,dmount_mix_eq,VLOOKUP(dmix_size,mount_mix_cost_cl,3)))</f>
        <v>NA</v>
      </c>
      <c r="J223" s="569" t="str">
        <f>IF(C223=0,"--",IF(I223="contact vendor","--",C223*I223))</f>
        <v>--</v>
      </c>
      <c r="K223" s="570" t="str">
        <f>IF(C223=0,"NA",VLOOKUP(dmix_size,mount_mix_cost_cl,IF(ss_cat="large",4,5)))</f>
        <v>NA</v>
      </c>
      <c r="L223" s="409"/>
      <c r="M223" s="16" t="str">
        <f>$B$221&amp;" - "&amp;B223</f>
        <v>Mixers for Caustic Day Tanks - Mounted</v>
      </c>
      <c r="N223" s="526">
        <v>1</v>
      </c>
      <c r="O223" s="526">
        <v>1</v>
      </c>
      <c r="P223" s="526">
        <v>1</v>
      </c>
      <c r="Q223" s="526">
        <v>1</v>
      </c>
      <c r="R223" s="526">
        <v>1</v>
      </c>
      <c r="S223" s="526">
        <v>1</v>
      </c>
      <c r="T223" s="526">
        <v>1</v>
      </c>
      <c r="U223" s="526">
        <v>1</v>
      </c>
      <c r="V223" s="526">
        <v>1</v>
      </c>
      <c r="W223" s="526">
        <f t="shared" si="15"/>
        <v>0</v>
      </c>
      <c r="X223" s="526">
        <f t="shared" si="16"/>
        <v>0</v>
      </c>
    </row>
    <row r="224" spans="1:24" s="16" customFormat="1">
      <c r="A224" s="252" t="s">
        <v>1960</v>
      </c>
      <c r="B224" s="21" t="s">
        <v>1698</v>
      </c>
      <c r="C224" s="424">
        <f>dmixers</f>
        <v>0</v>
      </c>
      <c r="D224" s="389" t="s">
        <v>64</v>
      </c>
      <c r="E224" s="574" t="str">
        <f>IF(C224=0,"NA",dmix_size)</f>
        <v>NA</v>
      </c>
      <c r="F224" s="424" t="str">
        <f>IF(C224=0,"","hp")</f>
        <v/>
      </c>
      <c r="G224" s="574" t="str">
        <f>IF(C224=0,"NA",IF(curve=1,dmix_size,VLOOKUP(dmix_size,imp_mix_cost_cl,2)))</f>
        <v>NA</v>
      </c>
      <c r="H224" s="424" t="str">
        <f>IF(C224=0,"","hp")</f>
        <v/>
      </c>
      <c r="I224" s="568" t="str">
        <f>IF(C224=0,"NA",IF(curve=1,dimp_mix_eq,VLOOKUP(dmix_size,imp_mix_cost_cl,3)))</f>
        <v>NA</v>
      </c>
      <c r="J224" s="569" t="str">
        <f>IF(C224=0,"--",IF(I224="contact vendor","--",C224*I224))</f>
        <v>--</v>
      </c>
      <c r="K224" s="570" t="str">
        <f>IF(C224=0,"NA",VLOOKUP(dmix_size,imp_mix_cost_cl,IF(ss_cat="large",4,5)))</f>
        <v>NA</v>
      </c>
      <c r="L224" s="409"/>
      <c r="M224" s="16" t="str">
        <f>$B$221&amp;" - "&amp;B224</f>
        <v>Mixers for Caustic Day Tanks - Impeller</v>
      </c>
      <c r="N224" s="526">
        <v>2</v>
      </c>
      <c r="O224" s="526">
        <v>2</v>
      </c>
      <c r="P224" s="526">
        <v>2</v>
      </c>
      <c r="Q224" s="526">
        <v>2</v>
      </c>
      <c r="R224" s="526">
        <v>2</v>
      </c>
      <c r="S224" s="526">
        <v>2</v>
      </c>
      <c r="T224" s="526">
        <v>2</v>
      </c>
      <c r="U224" s="526">
        <v>2</v>
      </c>
      <c r="V224" s="526">
        <v>2</v>
      </c>
      <c r="W224" s="526">
        <f t="shared" si="15"/>
        <v>0</v>
      </c>
      <c r="X224" s="526">
        <f t="shared" si="16"/>
        <v>0</v>
      </c>
    </row>
    <row r="225" spans="1:24" s="16" customFormat="1">
      <c r="A225" s="573" t="s">
        <v>1959</v>
      </c>
      <c r="B225" s="29" t="s">
        <v>663</v>
      </c>
      <c r="C225" s="257"/>
      <c r="D225" s="258"/>
      <c r="E225" s="257"/>
      <c r="F225" s="257"/>
      <c r="G225" s="257"/>
      <c r="H225" s="257"/>
      <c r="I225" s="257"/>
      <c r="J225" s="257"/>
      <c r="K225" s="257"/>
      <c r="L225" s="261"/>
      <c r="N225" s="526"/>
      <c r="O225" s="526"/>
      <c r="P225" s="526"/>
      <c r="Q225" s="526"/>
      <c r="R225" s="526"/>
      <c r="S225" s="526"/>
      <c r="T225" s="526"/>
      <c r="U225" s="526"/>
      <c r="V225" s="526"/>
      <c r="W225" s="526">
        <f t="shared" si="15"/>
        <v>0</v>
      </c>
      <c r="X225" s="526">
        <f t="shared" si="16"/>
        <v>0</v>
      </c>
    </row>
    <row r="226" spans="1:24" s="16" customFormat="1">
      <c r="A226" s="252" t="s">
        <v>1961</v>
      </c>
      <c r="B226" s="21" t="s">
        <v>2192</v>
      </c>
      <c r="C226" s="21">
        <f>hmixers</f>
        <v>0</v>
      </c>
      <c r="D226" s="389" t="s">
        <v>64</v>
      </c>
      <c r="E226" s="394" t="str">
        <f>IF(C226=0,"NA",hmix_size)</f>
        <v>NA</v>
      </c>
      <c r="F226" s="21" t="str">
        <f>IF(C226=0,"","hp")</f>
        <v/>
      </c>
      <c r="G226" s="400" t="str">
        <f>IF(C226=0,"NA",VLOOKUP(hmix_size,port_mix_cost_cl,2))</f>
        <v>NA</v>
      </c>
      <c r="H226" s="21" t="str">
        <f>IF(C226=0,"","hp")</f>
        <v/>
      </c>
      <c r="I226" s="391" t="str">
        <f>IF(C226=0,"NA",VLOOKUP(hmix_size,port_mix_cost_cl,3))</f>
        <v>NA</v>
      </c>
      <c r="J226" s="392" t="str">
        <f>IF(C226=0,"--",IF(I226="contact vendor","--",C226*I226))</f>
        <v>--</v>
      </c>
      <c r="K226" s="394" t="str">
        <f>IF(C226=0,"NA",VLOOKUP(hmix_size,port_mix_cost_cl,IF(ss_cat="large",4,5)))</f>
        <v>NA</v>
      </c>
      <c r="L226" s="393"/>
      <c r="M226" s="16" t="str">
        <f>$B$225&amp;" - "&amp;B226</f>
        <v>Residuals Mixers - Portable</v>
      </c>
      <c r="N226" s="526">
        <v>3</v>
      </c>
      <c r="O226" s="526">
        <v>3</v>
      </c>
      <c r="P226" s="526">
        <v>3</v>
      </c>
      <c r="Q226" s="526">
        <v>3</v>
      </c>
      <c r="R226" s="526">
        <v>3</v>
      </c>
      <c r="S226" s="526">
        <v>3</v>
      </c>
      <c r="T226" s="526">
        <v>3</v>
      </c>
      <c r="U226" s="526">
        <v>3</v>
      </c>
      <c r="V226" s="526">
        <v>3</v>
      </c>
      <c r="W226" s="526">
        <f t="shared" si="15"/>
        <v>0</v>
      </c>
      <c r="X226" s="526">
        <f t="shared" si="16"/>
        <v>0</v>
      </c>
    </row>
    <row r="227" spans="1:24" s="16" customFormat="1">
      <c r="A227" s="252" t="s">
        <v>1961</v>
      </c>
      <c r="B227" s="21" t="s">
        <v>92</v>
      </c>
      <c r="C227" s="21">
        <f>hmixers</f>
        <v>0</v>
      </c>
      <c r="D227" s="389" t="s">
        <v>64</v>
      </c>
      <c r="E227" s="394" t="str">
        <f>IF(C227=0,"NA",hmix_size)</f>
        <v>NA</v>
      </c>
      <c r="F227" s="21" t="str">
        <f>IF(C227=0,"","hp")</f>
        <v/>
      </c>
      <c r="G227" s="400" t="str">
        <f>IF(C227=0,"NA",IF(curve=1,hmix_size,VLOOKUP(hmix_size,mount_mix_cost_cl,2)))</f>
        <v>NA</v>
      </c>
      <c r="H227" s="21" t="str">
        <f>IF(C227=0,"","hp")</f>
        <v/>
      </c>
      <c r="I227" s="391" t="str">
        <f>IF(C227=0,"NA",IF(curve=1,hmount_mix_eq,VLOOKUP(hmix_size,mount_mix_cost_cl,3)))</f>
        <v>NA</v>
      </c>
      <c r="J227" s="392" t="str">
        <f>IF(C227=0,"--",IF(I227="contact vendor","--",C227*I227))</f>
        <v>--</v>
      </c>
      <c r="K227" s="394" t="str">
        <f>IF(C227=0,"NA",VLOOKUP(hmix_size,mount_mix_cost_cl,IF(ss_cat="large",4,5)))</f>
        <v>NA</v>
      </c>
      <c r="L227" s="393"/>
      <c r="M227" s="16" t="str">
        <f>$B$225&amp;" - "&amp;B227</f>
        <v>Residuals Mixers - Mounted</v>
      </c>
      <c r="N227" s="526">
        <v>1</v>
      </c>
      <c r="O227" s="526">
        <v>1</v>
      </c>
      <c r="P227" s="526">
        <v>1</v>
      </c>
      <c r="Q227" s="526">
        <v>1</v>
      </c>
      <c r="R227" s="526">
        <v>1</v>
      </c>
      <c r="S227" s="526">
        <v>1</v>
      </c>
      <c r="T227" s="526">
        <v>1</v>
      </c>
      <c r="U227" s="526">
        <v>1</v>
      </c>
      <c r="V227" s="526">
        <v>1</v>
      </c>
      <c r="W227" s="526">
        <f t="shared" si="15"/>
        <v>0</v>
      </c>
      <c r="X227" s="526">
        <f t="shared" si="16"/>
        <v>0</v>
      </c>
    </row>
    <row r="228" spans="1:24" s="16" customFormat="1">
      <c r="A228" s="252" t="s">
        <v>1961</v>
      </c>
      <c r="B228" s="21" t="s">
        <v>1698</v>
      </c>
      <c r="C228" s="21">
        <f>hmixers</f>
        <v>0</v>
      </c>
      <c r="D228" s="389" t="s">
        <v>64</v>
      </c>
      <c r="E228" s="394" t="str">
        <f>IF(C228=0,"NA",hmix_size)</f>
        <v>NA</v>
      </c>
      <c r="F228" s="21" t="str">
        <f>IF(C228=0,"","hp")</f>
        <v/>
      </c>
      <c r="G228" s="400" t="str">
        <f>IF(C228=0,"NA",IF(curve=1,hmix_size,VLOOKUP(hmix_size,imp_mix_cost_cl,2)))</f>
        <v>NA</v>
      </c>
      <c r="H228" s="21" t="str">
        <f>IF(C228=0,"","hp")</f>
        <v/>
      </c>
      <c r="I228" s="391" t="str">
        <f>IF(C228=0,"NA",IF(curve=1,himp_mix_eq,VLOOKUP(hmix_size,imp_mix_cost_cl,3)))</f>
        <v>NA</v>
      </c>
      <c r="J228" s="392" t="str">
        <f>IF(C228=0,"--",IF(I228="contact vendor","--",C228*I228))</f>
        <v>--</v>
      </c>
      <c r="K228" s="394" t="str">
        <f>IF(C228=0,"NA",VLOOKUP(hmix_size,imp_mix_cost_cl,IF(ss_cat="large",4,5)))</f>
        <v>NA</v>
      </c>
      <c r="L228" s="393"/>
      <c r="M228" s="16" t="str">
        <f>$B$225&amp;" - "&amp;B228</f>
        <v>Residuals Mixers - Impeller</v>
      </c>
      <c r="N228" s="526">
        <v>2</v>
      </c>
      <c r="O228" s="526">
        <v>2</v>
      </c>
      <c r="P228" s="526">
        <v>2</v>
      </c>
      <c r="Q228" s="526">
        <v>2</v>
      </c>
      <c r="R228" s="526">
        <v>2</v>
      </c>
      <c r="S228" s="526">
        <v>2</v>
      </c>
      <c r="T228" s="526">
        <v>2</v>
      </c>
      <c r="U228" s="526">
        <v>2</v>
      </c>
      <c r="V228" s="526">
        <v>2</v>
      </c>
      <c r="W228" s="526">
        <f t="shared" ref="W228:W292" si="23">IF(ISERROR(K228*L228),0,IF(K228&lt;1,0,L228))</f>
        <v>0</v>
      </c>
      <c r="X228" s="526">
        <f t="shared" ref="X228:X292" si="24">IF(W228,J228/K228,0)</f>
        <v>0</v>
      </c>
    </row>
    <row r="229" spans="1:24" s="16" customFormat="1">
      <c r="A229" s="846" t="s">
        <v>3407</v>
      </c>
      <c r="B229" s="728" t="s">
        <v>3409</v>
      </c>
      <c r="C229" s="257"/>
      <c r="D229" s="258"/>
      <c r="E229" s="257"/>
      <c r="F229" s="257"/>
      <c r="G229" s="257"/>
      <c r="H229" s="257"/>
      <c r="I229" s="257"/>
      <c r="J229" s="257"/>
      <c r="K229" s="257"/>
      <c r="L229" s="261"/>
      <c r="N229" s="526"/>
      <c r="O229" s="526"/>
      <c r="P229" s="526"/>
      <c r="Q229" s="526"/>
      <c r="R229" s="526"/>
      <c r="S229" s="526"/>
      <c r="T229" s="526"/>
      <c r="U229" s="526"/>
      <c r="V229" s="526"/>
      <c r="W229" s="526">
        <f t="shared" si="23"/>
        <v>0</v>
      </c>
      <c r="X229" s="526">
        <f t="shared" si="24"/>
        <v>0</v>
      </c>
    </row>
    <row r="230" spans="1:24" s="16" customFormat="1">
      <c r="A230" s="252" t="s">
        <v>3408</v>
      </c>
      <c r="B230" s="21" t="s">
        <v>2192</v>
      </c>
      <c r="C230" s="21">
        <f>coag_cmixers</f>
        <v>0</v>
      </c>
      <c r="D230" s="389" t="s">
        <v>64</v>
      </c>
      <c r="E230" s="394" t="str">
        <f>IF(C230=0,"NA",coag_cmix_size)</f>
        <v>NA</v>
      </c>
      <c r="F230" s="21" t="str">
        <f>IF(C230=0,"","hp")</f>
        <v/>
      </c>
      <c r="G230" s="400" t="str">
        <f>IF(C230=0,"NA",VLOOKUP(coag_cmix_size,port_mix_cost_cl,2))</f>
        <v>NA</v>
      </c>
      <c r="H230" s="21" t="str">
        <f>IF(C230=0,"","hp")</f>
        <v/>
      </c>
      <c r="I230" s="391" t="str">
        <f>IF(C230=0,"NA",VLOOKUP(coag_cmix_size,port_mix_cost_cl,3))</f>
        <v>NA</v>
      </c>
      <c r="J230" s="392" t="str">
        <f>IF(C230=0,"--",IF(I230="contact vendor","--",C230*I230))</f>
        <v>--</v>
      </c>
      <c r="K230" s="394" t="str">
        <f>IF(C230=0,"NA",VLOOKUP(coag_cmix_size,port_mix_cost_cl,IF(ss_cat="large",4,5)))</f>
        <v>NA</v>
      </c>
      <c r="L230" s="393"/>
      <c r="M230" s="16" t="str">
        <f>$B$229&amp;" - "&amp;B230</f>
        <v>Mixers for Ferric Chloride Storage Tanks - Portable</v>
      </c>
      <c r="N230" s="526">
        <v>3</v>
      </c>
      <c r="O230" s="526">
        <v>3</v>
      </c>
      <c r="P230" s="526">
        <v>3</v>
      </c>
      <c r="Q230" s="526">
        <v>3</v>
      </c>
      <c r="R230" s="526">
        <v>3</v>
      </c>
      <c r="S230" s="526">
        <v>3</v>
      </c>
      <c r="T230" s="526">
        <v>3</v>
      </c>
      <c r="U230" s="526">
        <v>3</v>
      </c>
      <c r="V230" s="526">
        <v>3</v>
      </c>
      <c r="W230" s="526">
        <f t="shared" si="23"/>
        <v>0</v>
      </c>
      <c r="X230" s="526">
        <f t="shared" si="24"/>
        <v>0</v>
      </c>
    </row>
    <row r="231" spans="1:24" s="16" customFormat="1">
      <c r="A231" s="252" t="s">
        <v>3408</v>
      </c>
      <c r="B231" s="21" t="s">
        <v>92</v>
      </c>
      <c r="C231" s="21">
        <f>coag_cmixers</f>
        <v>0</v>
      </c>
      <c r="D231" s="389" t="s">
        <v>64</v>
      </c>
      <c r="E231" s="394" t="str">
        <f>IF(C231=0,"NA",coag_cmix_size)</f>
        <v>NA</v>
      </c>
      <c r="F231" s="21" t="str">
        <f>IF(C231=0,"","hp")</f>
        <v/>
      </c>
      <c r="G231" s="400" t="str">
        <f>IF(C231=0,"NA",IF(curve=1,coag_cmix_size,VLOOKUP(coag_cmix_size,mount_mix_cost_cl,2)))</f>
        <v>NA</v>
      </c>
      <c r="H231" s="21" t="str">
        <f>IF(C231=0,"","hp")</f>
        <v/>
      </c>
      <c r="I231" s="391" t="str">
        <f>IF(C231=0,"NA",IF(curve=1,cmount_mix_eq_coag,VLOOKUP(coag_cmix_size,mount_mix_cost_cl,3)))</f>
        <v>NA</v>
      </c>
      <c r="J231" s="392" t="str">
        <f>IF(C231=0,"--",IF(I231="contact vendor","--",C231*I231))</f>
        <v>--</v>
      </c>
      <c r="K231" s="394" t="str">
        <f>IF(C231=0,"NA",VLOOKUP(coag_cmix_size,mount_mix_cost_cl,IF(ss_cat="large",4,5)))</f>
        <v>NA</v>
      </c>
      <c r="L231" s="393"/>
      <c r="M231" s="16" t="str">
        <f>$B$229&amp;" - "&amp;B231</f>
        <v>Mixers for Ferric Chloride Storage Tanks - Mounted</v>
      </c>
      <c r="N231" s="526">
        <v>1</v>
      </c>
      <c r="O231" s="526">
        <v>1</v>
      </c>
      <c r="P231" s="526">
        <v>1</v>
      </c>
      <c r="Q231" s="526">
        <v>1</v>
      </c>
      <c r="R231" s="526">
        <v>1</v>
      </c>
      <c r="S231" s="526">
        <v>1</v>
      </c>
      <c r="T231" s="526">
        <v>1</v>
      </c>
      <c r="U231" s="526">
        <v>1</v>
      </c>
      <c r="V231" s="526">
        <v>1</v>
      </c>
      <c r="W231" s="526">
        <f t="shared" si="23"/>
        <v>0</v>
      </c>
      <c r="X231" s="526">
        <f t="shared" si="24"/>
        <v>0</v>
      </c>
    </row>
    <row r="232" spans="1:24" s="16" customFormat="1">
      <c r="A232" s="252" t="s">
        <v>3408</v>
      </c>
      <c r="B232" s="21" t="s">
        <v>1698</v>
      </c>
      <c r="C232" s="21">
        <f>coag_cmixers</f>
        <v>0</v>
      </c>
      <c r="D232" s="389" t="s">
        <v>64</v>
      </c>
      <c r="E232" s="394" t="str">
        <f>IF(C232=0,"NA",coag_cmix_size)</f>
        <v>NA</v>
      </c>
      <c r="F232" s="21" t="str">
        <f>IF(C232=0,"","hp")</f>
        <v/>
      </c>
      <c r="G232" s="400" t="str">
        <f>IF(C232=0,"NA",IF(curve=1,coag_cmix_size,VLOOKUP(coag_cmix_size,imp_mix_cost_cl,2)))</f>
        <v>NA</v>
      </c>
      <c r="H232" s="21" t="str">
        <f>IF(C232=0,"","hp")</f>
        <v/>
      </c>
      <c r="I232" s="391" t="str">
        <f>IF(C232=0,"NA",IF(curve=1,cimp_mix_eq_coag,VLOOKUP(coag_cmix_size,imp_mix_cost_cl,3)))</f>
        <v>NA</v>
      </c>
      <c r="J232" s="392" t="str">
        <f>IF(C232=0,"--",IF(I232="contact vendor","--",C232*I232))</f>
        <v>--</v>
      </c>
      <c r="K232" s="394" t="str">
        <f>IF(C232=0,"NA",VLOOKUP(coag_cmix_size,imp_mix_cost_cl,IF(ss_cat="large",4,5)))</f>
        <v>NA</v>
      </c>
      <c r="L232" s="393"/>
      <c r="M232" s="16" t="str">
        <f>$B$229&amp;" - "&amp;B232</f>
        <v>Mixers for Ferric Chloride Storage Tanks - Impeller</v>
      </c>
      <c r="N232" s="526">
        <v>2</v>
      </c>
      <c r="O232" s="526">
        <v>2</v>
      </c>
      <c r="P232" s="526">
        <v>2</v>
      </c>
      <c r="Q232" s="526">
        <v>2</v>
      </c>
      <c r="R232" s="526">
        <v>2</v>
      </c>
      <c r="S232" s="526">
        <v>2</v>
      </c>
      <c r="T232" s="526">
        <v>2</v>
      </c>
      <c r="U232" s="526">
        <v>2</v>
      </c>
      <c r="V232" s="526">
        <v>2</v>
      </c>
      <c r="W232" s="526">
        <f t="shared" si="23"/>
        <v>0</v>
      </c>
      <c r="X232" s="526">
        <f t="shared" si="24"/>
        <v>0</v>
      </c>
    </row>
    <row r="233" spans="1:24" s="16" customFormat="1">
      <c r="A233" s="846" t="s">
        <v>3405</v>
      </c>
      <c r="B233" s="728" t="s">
        <v>3404</v>
      </c>
      <c r="C233" s="257"/>
      <c r="D233" s="258"/>
      <c r="E233" s="257"/>
      <c r="F233" s="257"/>
      <c r="G233" s="257"/>
      <c r="H233" s="257"/>
      <c r="I233" s="257"/>
      <c r="J233" s="257"/>
      <c r="K233" s="257"/>
      <c r="L233" s="261"/>
      <c r="N233" s="526"/>
      <c r="O233" s="526"/>
      <c r="P233" s="526"/>
      <c r="Q233" s="526"/>
      <c r="R233" s="526"/>
      <c r="S233" s="526"/>
      <c r="T233" s="526"/>
      <c r="U233" s="526"/>
      <c r="V233" s="526"/>
      <c r="W233" s="526">
        <f>IF(ISERROR(K233*L233),0,IF(K233&lt;1,0,L233))</f>
        <v>0</v>
      </c>
      <c r="X233" s="526">
        <f>IF(W233,J233/K233,0)</f>
        <v>0</v>
      </c>
    </row>
    <row r="234" spans="1:24" s="16" customFormat="1">
      <c r="A234" s="252" t="s">
        <v>3406</v>
      </c>
      <c r="B234" s="21" t="s">
        <v>2192</v>
      </c>
      <c r="C234" s="21">
        <f>polymer_cmixers</f>
        <v>0</v>
      </c>
      <c r="D234" s="389" t="s">
        <v>64</v>
      </c>
      <c r="E234" s="394" t="str">
        <f>IF(C234=0,"NA",polymer_cmix_size)</f>
        <v>NA</v>
      </c>
      <c r="F234" s="21" t="str">
        <f>IF(C234=0,"","hp")</f>
        <v/>
      </c>
      <c r="G234" s="400" t="str">
        <f>IF(C234=0,"NA",VLOOKUP(polymer_cmix_size,port_mix_cost_cl,2))</f>
        <v>NA</v>
      </c>
      <c r="H234" s="21" t="str">
        <f>IF(C234=0,"","hp")</f>
        <v/>
      </c>
      <c r="I234" s="391" t="str">
        <f>IF(C234=0,"NA",VLOOKUP(polymer_cmix_size,port_mix_cost_cl,3))</f>
        <v>NA</v>
      </c>
      <c r="J234" s="392" t="str">
        <f>IF(C234=0,"--",IF(I234="contact vendor","--",C234*I234))</f>
        <v>--</v>
      </c>
      <c r="K234" s="394" t="str">
        <f>IF(C234=0,"NA",VLOOKUP(polymer_cmix_size,port_mix_cost_cl,IF(ss_cat="large",4,5)))</f>
        <v>NA</v>
      </c>
      <c r="L234" s="393"/>
      <c r="M234" s="16" t="str">
        <f>$B$233&amp;" - "&amp;B234</f>
        <v>Mixers for Polymer Storage Tanks - Portable</v>
      </c>
      <c r="N234" s="526">
        <v>3</v>
      </c>
      <c r="O234" s="526">
        <v>3</v>
      </c>
      <c r="P234" s="526">
        <v>3</v>
      </c>
      <c r="Q234" s="526">
        <v>3</v>
      </c>
      <c r="R234" s="526">
        <v>3</v>
      </c>
      <c r="S234" s="526">
        <v>3</v>
      </c>
      <c r="T234" s="526">
        <v>3</v>
      </c>
      <c r="U234" s="526">
        <v>3</v>
      </c>
      <c r="V234" s="526">
        <v>3</v>
      </c>
      <c r="W234" s="526">
        <f>IF(ISERROR(K234*L234),0,IF(K234&lt;1,0,L234))</f>
        <v>0</v>
      </c>
      <c r="X234" s="526">
        <f>IF(W234,J234/K234,0)</f>
        <v>0</v>
      </c>
    </row>
    <row r="235" spans="1:24" s="16" customFormat="1">
      <c r="A235" s="252" t="s">
        <v>3406</v>
      </c>
      <c r="B235" s="21" t="s">
        <v>92</v>
      </c>
      <c r="C235" s="21">
        <f>polymer_cmixers</f>
        <v>0</v>
      </c>
      <c r="D235" s="389" t="s">
        <v>64</v>
      </c>
      <c r="E235" s="394" t="str">
        <f>IF(C235=0,"NA",polymer_cmix_size)</f>
        <v>NA</v>
      </c>
      <c r="F235" s="21" t="str">
        <f>IF(C235=0,"","hp")</f>
        <v/>
      </c>
      <c r="G235" s="400" t="str">
        <f>IF(C235=0,"NA",IF(curve=1,polymer_cmix_size,VLOOKUP(polymer_cmix_size,mount_mix_cost_cl,2)))</f>
        <v>NA</v>
      </c>
      <c r="H235" s="21" t="str">
        <f>IF(C235=0,"","hp")</f>
        <v/>
      </c>
      <c r="I235" s="391" t="str">
        <f>IF(C235=0,"NA",IF(curve=1,cmount_mix_eq_polymer,VLOOKUP(polymer_cmix_size,mount_mix_cost_cl,3)))</f>
        <v>NA</v>
      </c>
      <c r="J235" s="392" t="str">
        <f>IF(C235=0,"--",IF(I235="contact vendor","--",C235*I235))</f>
        <v>--</v>
      </c>
      <c r="K235" s="394" t="str">
        <f>IF(C235=0,"NA",VLOOKUP(polymer_cmix_size,mount_mix_cost_cl,IF(ss_cat="large",4,5)))</f>
        <v>NA</v>
      </c>
      <c r="L235" s="393"/>
      <c r="M235" s="16" t="str">
        <f>$B$233&amp;" - "&amp;B235</f>
        <v>Mixers for Polymer Storage Tanks - Mounted</v>
      </c>
      <c r="N235" s="526">
        <v>1</v>
      </c>
      <c r="O235" s="526">
        <v>1</v>
      </c>
      <c r="P235" s="526">
        <v>1</v>
      </c>
      <c r="Q235" s="526">
        <v>1</v>
      </c>
      <c r="R235" s="526">
        <v>1</v>
      </c>
      <c r="S235" s="526">
        <v>1</v>
      </c>
      <c r="T235" s="526">
        <v>1</v>
      </c>
      <c r="U235" s="526">
        <v>1</v>
      </c>
      <c r="V235" s="526">
        <v>1</v>
      </c>
      <c r="W235" s="526">
        <f>IF(ISERROR(K235*L235),0,IF(K235&lt;1,0,L235))</f>
        <v>0</v>
      </c>
      <c r="X235" s="526">
        <f>IF(W235,J235/K235,0)</f>
        <v>0</v>
      </c>
    </row>
    <row r="236" spans="1:24" s="16" customFormat="1">
      <c r="A236" s="252" t="s">
        <v>3406</v>
      </c>
      <c r="B236" s="21" t="s">
        <v>1698</v>
      </c>
      <c r="C236" s="21">
        <f>polymer_cmixers</f>
        <v>0</v>
      </c>
      <c r="D236" s="389" t="s">
        <v>64</v>
      </c>
      <c r="E236" s="394" t="str">
        <f>IF(C236=0,"NA",polymer_cmix_size)</f>
        <v>NA</v>
      </c>
      <c r="F236" s="21" t="str">
        <f>IF(C236=0,"","hp")</f>
        <v/>
      </c>
      <c r="G236" s="400" t="str">
        <f>IF(C236=0,"NA",IF(curve=1,polymer_cmix_size,VLOOKUP(polymer_cmix_size,imp_mix_cost_cl,2)))</f>
        <v>NA</v>
      </c>
      <c r="H236" s="21" t="str">
        <f>IF(C236=0,"","hp")</f>
        <v/>
      </c>
      <c r="I236" s="391" t="str">
        <f>IF(C236=0,"NA",IF(curve=1,cimp_mix_eq_polymer,VLOOKUP(polymer_cmix_size,imp_mix_cost_cl,3)))</f>
        <v>NA</v>
      </c>
      <c r="J236" s="392" t="str">
        <f>IF(C236=0,"--",IF(I236="contact vendor","--",C236*I236))</f>
        <v>--</v>
      </c>
      <c r="K236" s="394" t="str">
        <f>IF(C236=0,"NA",VLOOKUP(polymer_cmix_size,imp_mix_cost_cl,IF(ss_cat="large",4,5)))</f>
        <v>NA</v>
      </c>
      <c r="L236" s="393"/>
      <c r="M236" s="16" t="str">
        <f>$B$233&amp;" - "&amp;B236</f>
        <v>Mixers for Polymer Storage Tanks - Impeller</v>
      </c>
      <c r="N236" s="526">
        <v>2</v>
      </c>
      <c r="O236" s="526">
        <v>2</v>
      </c>
      <c r="P236" s="526">
        <v>2</v>
      </c>
      <c r="Q236" s="526">
        <v>2</v>
      </c>
      <c r="R236" s="526">
        <v>2</v>
      </c>
      <c r="S236" s="526">
        <v>2</v>
      </c>
      <c r="T236" s="526">
        <v>2</v>
      </c>
      <c r="U236" s="526">
        <v>2</v>
      </c>
      <c r="V236" s="526">
        <v>2</v>
      </c>
      <c r="W236" s="526">
        <f>IF(ISERROR(K236*L236),0,IF(K236&lt;1,0,L236))</f>
        <v>0</v>
      </c>
      <c r="X236" s="526">
        <f>IF(W236,J236/K236,0)</f>
        <v>0</v>
      </c>
    </row>
    <row r="237" spans="1:24" s="16" customFormat="1">
      <c r="A237" s="483">
        <v>9</v>
      </c>
      <c r="B237" s="28" t="s">
        <v>2702</v>
      </c>
      <c r="C237" s="28"/>
      <c r="D237" s="253"/>
      <c r="E237" s="28"/>
      <c r="F237" s="28"/>
      <c r="G237" s="28"/>
      <c r="H237" s="28"/>
      <c r="I237" s="256"/>
      <c r="J237" s="256"/>
      <c r="K237" s="28"/>
      <c r="L237" s="254"/>
      <c r="N237" s="651"/>
      <c r="O237" s="651"/>
      <c r="P237" s="651"/>
      <c r="Q237" s="651"/>
      <c r="R237" s="651"/>
      <c r="S237" s="651"/>
      <c r="T237" s="651"/>
      <c r="U237" s="651"/>
      <c r="V237" s="651"/>
      <c r="W237" s="526">
        <f t="shared" si="23"/>
        <v>0</v>
      </c>
      <c r="X237" s="526">
        <f t="shared" si="24"/>
        <v>0</v>
      </c>
    </row>
    <row r="238" spans="1:24" s="16" customFormat="1">
      <c r="A238" s="485">
        <v>9.1</v>
      </c>
      <c r="B238" s="29" t="s">
        <v>1421</v>
      </c>
      <c r="C238" s="257"/>
      <c r="D238" s="258"/>
      <c r="E238" s="260"/>
      <c r="F238" s="257"/>
      <c r="G238" s="260"/>
      <c r="H238" s="257"/>
      <c r="I238" s="266"/>
      <c r="J238" s="263"/>
      <c r="K238" s="260"/>
      <c r="L238" s="267"/>
      <c r="N238" s="526"/>
      <c r="O238" s="526"/>
      <c r="P238" s="526"/>
      <c r="Q238" s="526"/>
      <c r="R238" s="526"/>
      <c r="S238" s="526"/>
      <c r="T238" s="526"/>
      <c r="U238" s="526"/>
      <c r="V238" s="526"/>
      <c r="W238" s="526">
        <f t="shared" si="23"/>
        <v>0</v>
      </c>
      <c r="X238" s="526">
        <f t="shared" si="24"/>
        <v>0</v>
      </c>
    </row>
    <row r="239" spans="1:24" s="16" customFormat="1">
      <c r="A239" s="252" t="s">
        <v>2440</v>
      </c>
      <c r="B239" s="21" t="s">
        <v>2582</v>
      </c>
      <c r="C239" s="21">
        <f>eductors</f>
        <v>0</v>
      </c>
      <c r="D239" s="389" t="s">
        <v>64</v>
      </c>
      <c r="E239" s="394" t="str">
        <f>IF(C239=0,"NA",brine_pipe_diam)</f>
        <v>NA</v>
      </c>
      <c r="F239" s="21" t="str">
        <f>IF(C239=0,"","in. diam")</f>
        <v/>
      </c>
      <c r="G239" s="394" t="str">
        <f>IF(C239=0,"NA",IF(curve=1,brine_pipe_diam,VLOOKUP(brine_pipe_diam,ss_eductor_cost_cl,2)))</f>
        <v>NA</v>
      </c>
      <c r="H239" s="21" t="str">
        <f>IF(C239=0,"","in. diam")</f>
        <v/>
      </c>
      <c r="I239" s="391" t="str">
        <f>IF(C239=0,"NA",IF(curve=1,ss_eductor_eq,VLOOKUP(brine_pipe_diam,ss_eductor_cost_cl,3)))</f>
        <v>NA</v>
      </c>
      <c r="J239" s="392" t="str">
        <f>IF(C239=0,"--",IF(I239="contact vendor","--",C239*I239))</f>
        <v>--</v>
      </c>
      <c r="K239" s="394" t="str">
        <f>IF(C239=0,"NA",VLOOKUP(brine_pipe_diam,ss_eductor_cost_cl,IF(ss_cat="large",4,5)))</f>
        <v>NA</v>
      </c>
      <c r="L239" s="393"/>
      <c r="M239" s="16" t="str">
        <f>$B$237 &amp; " - " &amp; $B$238&amp; " - " &amp;B239</f>
        <v>Chemical Feed - Eductors for Brine - Stainless Steel</v>
      </c>
      <c r="N239" s="526">
        <v>2</v>
      </c>
      <c r="O239" s="526">
        <v>2</v>
      </c>
      <c r="P239" s="526">
        <v>1</v>
      </c>
      <c r="Q239" s="526">
        <v>2</v>
      </c>
      <c r="R239" s="526">
        <v>2</v>
      </c>
      <c r="S239" s="526">
        <v>1</v>
      </c>
      <c r="T239" s="526">
        <v>2</v>
      </c>
      <c r="U239" s="526">
        <v>2</v>
      </c>
      <c r="V239" s="526">
        <v>1</v>
      </c>
      <c r="W239" s="526">
        <f t="shared" si="23"/>
        <v>0</v>
      </c>
      <c r="X239" s="526">
        <f t="shared" si="24"/>
        <v>0</v>
      </c>
    </row>
    <row r="240" spans="1:24" s="16" customFormat="1">
      <c r="A240" s="252" t="s">
        <v>2440</v>
      </c>
      <c r="B240" s="21" t="s">
        <v>1572</v>
      </c>
      <c r="C240" s="21">
        <f>eductors</f>
        <v>0</v>
      </c>
      <c r="D240" s="389" t="s">
        <v>64</v>
      </c>
      <c r="E240" s="394" t="str">
        <f>IF(C240=0,"NA",brine_pipe_diam)</f>
        <v>NA</v>
      </c>
      <c r="F240" s="21" t="str">
        <f>IF(C240=0,"","in. diam")</f>
        <v/>
      </c>
      <c r="G240" s="394" t="str">
        <f>IF(C240=0,"NA",IF(curve=1,brine_pipe_diam,VLOOKUP(brine_pipe_diam,pl_eductor_cost_cl,2)))</f>
        <v>NA</v>
      </c>
      <c r="H240" s="21" t="str">
        <f>IF(C240=0,"","in. diam")</f>
        <v/>
      </c>
      <c r="I240" s="391" t="str">
        <f>IF(C240=0,"NA",IF(curve=1,pl_eductor_eq,VLOOKUP(brine_pipe_diam,pl_eductor_cost_cl,3)))</f>
        <v>NA</v>
      </c>
      <c r="J240" s="392" t="str">
        <f>IF(C240=0,"--",IF(I240="contact vendor","--",C240*I240))</f>
        <v>--</v>
      </c>
      <c r="K240" s="394" t="str">
        <f>IF(C240=0,"NA",VLOOKUP(brine_pipe_diam,pl_eductor_cost_cl,IF(ss_cat="large",4,5)))</f>
        <v>NA</v>
      </c>
      <c r="L240" s="393"/>
      <c r="M240" s="16" t="str">
        <f>$B$237 &amp; " - " &amp; $B$238&amp; " - " &amp;B240</f>
        <v>Chemical Feed - Eductors for Brine - Plastic</v>
      </c>
      <c r="N240" s="526">
        <v>1</v>
      </c>
      <c r="O240" s="526">
        <v>1</v>
      </c>
      <c r="P240" s="526">
        <v>2</v>
      </c>
      <c r="Q240" s="526">
        <v>1</v>
      </c>
      <c r="R240" s="526">
        <v>1</v>
      </c>
      <c r="S240" s="526">
        <v>2</v>
      </c>
      <c r="T240" s="526">
        <v>1</v>
      </c>
      <c r="U240" s="526">
        <v>1</v>
      </c>
      <c r="V240" s="526">
        <v>2</v>
      </c>
      <c r="W240" s="526">
        <f t="shared" si="23"/>
        <v>0</v>
      </c>
      <c r="X240" s="526">
        <f t="shared" si="24"/>
        <v>0</v>
      </c>
    </row>
    <row r="241" spans="1:24" s="16" customFormat="1">
      <c r="A241" s="484">
        <v>9.1999999999999993</v>
      </c>
      <c r="B241" s="388" t="str">
        <f>CHOOSE(res_transfer_method,"Slurry Pump System for Holding Tanks","Eductors for Holding Tanks","Manual holding tank solids transfer, no equipment needed")</f>
        <v>Manual holding tank solids transfer, no equipment needed</v>
      </c>
      <c r="C241" s="21">
        <f>IF(res_holding="none",0,CHOOSE(res_transfer_method,res_slurry_pumps,res_eductors,0))</f>
        <v>0</v>
      </c>
      <c r="D241" s="389" t="s">
        <v>64</v>
      </c>
      <c r="E241" s="400" t="str">
        <f>IF(C241=0,"NA",CHOOSE(res_transfer_method,res_transfer_rate,res_eductor_size,"NA"))</f>
        <v>NA</v>
      </c>
      <c r="F241" s="21" t="str">
        <f>IF(C241=0,"",CHOOSE(res_transfer_method,"lbs/hr","in. diam",""))</f>
        <v/>
      </c>
      <c r="G241" s="400" t="str">
        <f>IF(C241=0,"NA",CHOOSE(res_transfer_method,IF(curve=1,res_transfer_rate,VLOOKUP(res_transfer_rate,gac_slurry_cost_cl,2)),IF(curve=1,res_eductor_size,VLOOKUP(res_eductor_size,seductor_cost_cl,2)),"NA"))</f>
        <v>NA</v>
      </c>
      <c r="H241" s="21" t="str">
        <f>IF(C241=0,"",CHOOSE(res_transfer_method,"lbs/hr","in. diam",""))</f>
        <v/>
      </c>
      <c r="I241" s="391" t="str">
        <f>IF(C241=0,"NA",CHOOSE(res_transfer_method,IF(curve=1,res_slurry_eq,VLOOKUP(res_transfer_rate,gac_slurry_cost_cl,3)),IF(curve=1,res_seductor_eq,VLOOKUP(res_eductor_size,seductor_cost_cl,3)),"NA"))</f>
        <v>NA</v>
      </c>
      <c r="J241" s="392" t="str">
        <f>IF(C241=0,"--",CHOOSE(res_transfer_method,IF(I241="contact vendor","--",C241*I241),IF(I241="contact vendor","--",C241*I241),0))</f>
        <v>--</v>
      </c>
      <c r="K241" s="394" t="str">
        <f>IF(C241=0,"NA",VLOOKUP(E241,CHOOSE(res_transfer_method,gac_slurry_cost_cl,seductor_cost_cl),IF(ss_cat="large",4,5)))</f>
        <v>NA</v>
      </c>
      <c r="L241" s="393"/>
      <c r="M241" s="16" t="str">
        <f>$B$237&amp;" - "&amp;B241</f>
        <v>Chemical Feed - Manual holding tank solids transfer, no equipment needed</v>
      </c>
      <c r="N241" s="526">
        <v>1</v>
      </c>
      <c r="O241" s="526">
        <v>1</v>
      </c>
      <c r="P241" s="526">
        <v>1</v>
      </c>
      <c r="Q241" s="526">
        <v>1</v>
      </c>
      <c r="R241" s="526">
        <v>1</v>
      </c>
      <c r="S241" s="526">
        <v>1</v>
      </c>
      <c r="T241" s="526">
        <v>1</v>
      </c>
      <c r="U241" s="526">
        <v>1</v>
      </c>
      <c r="V241" s="526">
        <v>1</v>
      </c>
      <c r="W241" s="526">
        <f t="shared" si="23"/>
        <v>0</v>
      </c>
      <c r="X241" s="526">
        <f t="shared" si="24"/>
        <v>0</v>
      </c>
    </row>
    <row r="242" spans="1:24" s="16" customFormat="1">
      <c r="A242" s="483">
        <v>10</v>
      </c>
      <c r="B242" s="28" t="s">
        <v>1460</v>
      </c>
      <c r="C242" s="28"/>
      <c r="D242" s="253"/>
      <c r="E242" s="28"/>
      <c r="F242" s="28"/>
      <c r="G242" s="28"/>
      <c r="H242" s="28"/>
      <c r="I242" s="256"/>
      <c r="J242" s="256"/>
      <c r="K242" s="28"/>
      <c r="L242" s="254"/>
      <c r="N242" s="651"/>
      <c r="O242" s="651"/>
      <c r="P242" s="651"/>
      <c r="Q242" s="651"/>
      <c r="R242" s="651"/>
      <c r="S242" s="651"/>
      <c r="T242" s="651"/>
      <c r="U242" s="651"/>
      <c r="V242" s="651"/>
      <c r="W242" s="526">
        <f t="shared" si="23"/>
        <v>0</v>
      </c>
      <c r="X242" s="526">
        <f t="shared" si="24"/>
        <v>0</v>
      </c>
    </row>
    <row r="243" spans="1:24" s="16" customFormat="1">
      <c r="A243" s="484">
        <v>10.1</v>
      </c>
      <c r="B243" s="388" t="s">
        <v>1326</v>
      </c>
      <c r="C243" s="21">
        <f>num_salt_box</f>
        <v>0</v>
      </c>
      <c r="D243" s="389" t="s">
        <v>64</v>
      </c>
      <c r="E243" s="394" t="str">
        <f>IF(num_salt_box=0,"NA",salt_box_size)</f>
        <v>NA</v>
      </c>
      <c r="F243" s="21" t="str">
        <f>IF(num_salt_box=0,"","tons")</f>
        <v/>
      </c>
      <c r="G243" s="400" t="str">
        <f>IF(num_salt_box=0,"NA",IF(curve=1,salt_box_size,VLOOKUP(salt_box_size,fg_saltbox_cost_cl,2)))</f>
        <v>NA</v>
      </c>
      <c r="H243" s="21" t="str">
        <f>IF(num_salt_box=0,"","tons")</f>
        <v/>
      </c>
      <c r="I243" s="391" t="str">
        <f>IF(num_salt_box=0,"NA",IF(curve=1,fg_saltbox_eq,VLOOKUP(salt_box_size,fg_saltbox_cost_cl,3)))</f>
        <v>NA</v>
      </c>
      <c r="J243" s="392" t="str">
        <f>IF(num_salt_box=0,"--",IF(I243="contact vendor","--",C243*I243))</f>
        <v>--</v>
      </c>
      <c r="K243" s="394" t="str">
        <f>IF(num_salt_box=0,"NA",VLOOKUP(salt_box_size,fg_saltbox_cost_cl,IF(ss_cat="large",4,5)))</f>
        <v>NA</v>
      </c>
      <c r="L243" s="393"/>
      <c r="M243" s="16" t="str">
        <f>$B$242&amp;" - "&amp;B243</f>
        <v>Salt Saturators - Fiberglass</v>
      </c>
      <c r="N243" s="526">
        <v>2</v>
      </c>
      <c r="O243" s="526">
        <v>1</v>
      </c>
      <c r="P243" s="526">
        <v>1</v>
      </c>
      <c r="Q243" s="526">
        <v>2</v>
      </c>
      <c r="R243" s="526">
        <v>1</v>
      </c>
      <c r="S243" s="526">
        <v>1</v>
      </c>
      <c r="T243" s="526">
        <v>2</v>
      </c>
      <c r="U243" s="526">
        <v>1</v>
      </c>
      <c r="V243" s="526">
        <v>1</v>
      </c>
      <c r="W243" s="526">
        <f t="shared" si="23"/>
        <v>0</v>
      </c>
      <c r="X243" s="526">
        <f t="shared" si="24"/>
        <v>0</v>
      </c>
    </row>
    <row r="244" spans="1:24" s="16" customFormat="1">
      <c r="A244" s="484">
        <v>10.1</v>
      </c>
      <c r="B244" s="388" t="s">
        <v>2284</v>
      </c>
      <c r="C244" s="21">
        <f>num_salt_box</f>
        <v>0</v>
      </c>
      <c r="D244" s="389" t="s">
        <v>64</v>
      </c>
      <c r="E244" s="394" t="str">
        <f>IF(num_salt_box=0,"NA",salt_box_size)</f>
        <v>NA</v>
      </c>
      <c r="F244" s="21" t="str">
        <f>IF(num_salt_box=0,"","tons")</f>
        <v/>
      </c>
      <c r="G244" s="400" t="str">
        <f>IF(num_salt_box=0,"NA",IF(curve=1,salt_box_size,VLOOKUP(salt_box_size,pl_saltbox_cost_cl,2)))</f>
        <v>NA</v>
      </c>
      <c r="H244" s="21" t="str">
        <f>IF(num_salt_box=0,"","tons")</f>
        <v/>
      </c>
      <c r="I244" s="391" t="str">
        <f>IF(num_salt_box=0,"NA",IF(curve=1,pl_saltbox_eq,VLOOKUP(salt_box_size,pl_saltbox_cost_cl,3)))</f>
        <v>NA</v>
      </c>
      <c r="J244" s="392" t="str">
        <f>IF(num_salt_box=0,"--",IF(I244="contact vendor","--",C244*I244))</f>
        <v>--</v>
      </c>
      <c r="K244" s="394" t="str">
        <f>IF(num_salt_box=0,"NA",VLOOKUP(salt_box_size,pl_saltbox_cost_cl,IF(ss_cat="large",4,5)))</f>
        <v>NA</v>
      </c>
      <c r="L244" s="393"/>
      <c r="M244" s="16" t="str">
        <f>$B$242&amp;" - "&amp;B244</f>
        <v>Salt Saturators - Reinforced Plastic</v>
      </c>
      <c r="N244" s="526">
        <v>1</v>
      </c>
      <c r="O244" s="526">
        <v>2</v>
      </c>
      <c r="P244" s="526">
        <v>2</v>
      </c>
      <c r="Q244" s="526">
        <v>1</v>
      </c>
      <c r="R244" s="526">
        <v>2</v>
      </c>
      <c r="S244" s="526">
        <v>2</v>
      </c>
      <c r="T244" s="526">
        <v>1</v>
      </c>
      <c r="U244" s="526">
        <v>2</v>
      </c>
      <c r="V244" s="526">
        <v>2</v>
      </c>
      <c r="W244" s="526">
        <f t="shared" si="23"/>
        <v>0</v>
      </c>
      <c r="X244" s="526">
        <f t="shared" si="24"/>
        <v>0</v>
      </c>
    </row>
    <row r="245" spans="1:24" s="16" customFormat="1">
      <c r="A245" s="483">
        <v>11</v>
      </c>
      <c r="B245" s="28" t="s">
        <v>937</v>
      </c>
      <c r="C245" s="28"/>
      <c r="D245" s="253"/>
      <c r="E245" s="28"/>
      <c r="F245" s="28"/>
      <c r="G245" s="28"/>
      <c r="H245" s="28"/>
      <c r="I245" s="256"/>
      <c r="J245" s="256"/>
      <c r="K245" s="28"/>
      <c r="L245" s="254"/>
      <c r="N245" s="651"/>
      <c r="O245" s="651"/>
      <c r="P245" s="651"/>
      <c r="Q245" s="651"/>
      <c r="R245" s="651"/>
      <c r="S245" s="651"/>
      <c r="T245" s="651"/>
      <c r="U245" s="651"/>
      <c r="V245" s="651"/>
      <c r="W245" s="526">
        <f t="shared" si="23"/>
        <v>0</v>
      </c>
      <c r="X245" s="526">
        <f t="shared" si="24"/>
        <v>0</v>
      </c>
    </row>
    <row r="246" spans="1:24" customFormat="1">
      <c r="A246" s="505" t="s">
        <v>2459</v>
      </c>
      <c r="B246" s="41" t="s">
        <v>3459</v>
      </c>
      <c r="C246" s="257"/>
      <c r="D246" s="258"/>
      <c r="E246" s="260"/>
      <c r="F246" s="257"/>
      <c r="G246" s="260"/>
      <c r="H246" s="257"/>
      <c r="I246" s="260"/>
      <c r="J246" s="260"/>
      <c r="K246" s="274"/>
      <c r="L246" s="506"/>
      <c r="M246" s="16"/>
      <c r="N246" s="526"/>
      <c r="O246" s="526"/>
      <c r="P246" s="526"/>
      <c r="Q246" s="526"/>
      <c r="R246" s="526"/>
      <c r="S246" s="526"/>
      <c r="T246" s="526"/>
      <c r="U246" s="526"/>
      <c r="V246" s="526"/>
      <c r="W246" s="526">
        <f t="shared" si="23"/>
        <v>0</v>
      </c>
      <c r="X246" s="526">
        <f t="shared" si="24"/>
        <v>0</v>
      </c>
    </row>
    <row r="247" spans="1:24" customFormat="1">
      <c r="A247" s="486" t="s">
        <v>2441</v>
      </c>
      <c r="B247" s="1" t="s">
        <v>2384</v>
      </c>
      <c r="C247" s="21">
        <f>tot_fm_in</f>
        <v>1</v>
      </c>
      <c r="D247" s="389" t="s">
        <v>64</v>
      </c>
      <c r="E247" s="394">
        <f>in_meter_size</f>
        <v>10</v>
      </c>
      <c r="F247" s="1" t="s">
        <v>1331</v>
      </c>
      <c r="G247" s="394">
        <f>IF(curve=1,in_meter_size,VLOOKUP(in_meter_size,op_fm_cost_cl,2))</f>
        <v>10</v>
      </c>
      <c r="H247" s="1" t="s">
        <v>1331</v>
      </c>
      <c r="I247" s="391">
        <f>IF(curve=1,op_fm_eq_in,VLOOKUP(in_meter_size,op_fm_cost_cl,3))</f>
        <v>4626.8161419190001</v>
      </c>
      <c r="J247" s="392">
        <f>IF(I247="contact vendor","--",C247*I247)</f>
        <v>4626.8161419190001</v>
      </c>
      <c r="K247" s="394">
        <f>VLOOKUP(in_meter_size,op_fm_cost_cl,IF(ss_cat="large",4,5))</f>
        <v>15</v>
      </c>
      <c r="L247" s="407">
        <v>0</v>
      </c>
      <c r="M247" s="16" t="str">
        <f>$B$245&amp;" - "&amp;$B$246&amp;" - "&amp;B247</f>
        <v>Instrumentation and Controls - Flow Meters - Influent and Treated Water - Orifice Plate</v>
      </c>
      <c r="N247" s="526">
        <v>3</v>
      </c>
      <c r="O247" s="526">
        <v>4</v>
      </c>
      <c r="P247" s="526">
        <v>4</v>
      </c>
      <c r="Q247" s="526">
        <v>3</v>
      </c>
      <c r="R247" s="526">
        <v>4</v>
      </c>
      <c r="S247" s="526">
        <v>4</v>
      </c>
      <c r="T247" s="526">
        <v>3</v>
      </c>
      <c r="U247" s="526">
        <v>3</v>
      </c>
      <c r="V247" s="526">
        <v>4</v>
      </c>
      <c r="W247" s="526">
        <f t="shared" si="23"/>
        <v>0</v>
      </c>
      <c r="X247" s="526">
        <f t="shared" si="24"/>
        <v>0</v>
      </c>
    </row>
    <row r="248" spans="1:24" customFormat="1">
      <c r="A248" s="486" t="s">
        <v>2441</v>
      </c>
      <c r="B248" s="1" t="s">
        <v>2385</v>
      </c>
      <c r="C248" s="21">
        <f>tot_fm_in</f>
        <v>1</v>
      </c>
      <c r="D248" s="389" t="s">
        <v>64</v>
      </c>
      <c r="E248" s="394">
        <f>in_meter_size</f>
        <v>10</v>
      </c>
      <c r="F248" s="1" t="s">
        <v>1331</v>
      </c>
      <c r="G248" s="394">
        <f>IF(curve=1,in_meter_size,VLOOKUP(in_meter_size,prop_fm_cost_cl,2))</f>
        <v>10</v>
      </c>
      <c r="H248" s="1" t="s">
        <v>1331</v>
      </c>
      <c r="I248" s="391">
        <f>IF(curve=1,prop_fm_eq_in,VLOOKUP(in_meter_size,prop_fm_cost_cl,3))</f>
        <v>6008.2861197009997</v>
      </c>
      <c r="J248" s="392">
        <f>IF(I248="contact vendor","--",C248*I248)</f>
        <v>6008.2861197009997</v>
      </c>
      <c r="K248" s="394">
        <f>VLOOKUP(in_meter_size,prop_fm_cost_cl,IF(ss_cat="large",4,5))</f>
        <v>15</v>
      </c>
      <c r="L248" s="407">
        <v>1</v>
      </c>
      <c r="M248" s="16" t="str">
        <f>$B$245&amp;" - "&amp;$B$246&amp;" - "&amp;B248</f>
        <v>Instrumentation and Controls - Flow Meters - Influent and Treated Water - Propeller</v>
      </c>
      <c r="N248" s="526">
        <v>1</v>
      </c>
      <c r="O248" s="526">
        <v>2</v>
      </c>
      <c r="P248" s="526">
        <v>3</v>
      </c>
      <c r="Q248" s="526">
        <v>1</v>
      </c>
      <c r="R248" s="526">
        <v>2</v>
      </c>
      <c r="S248" s="526">
        <v>3</v>
      </c>
      <c r="T248" s="526">
        <v>4</v>
      </c>
      <c r="U248" s="526">
        <v>4</v>
      </c>
      <c r="V248" s="526">
        <v>2</v>
      </c>
      <c r="W248" s="526">
        <f t="shared" si="23"/>
        <v>1</v>
      </c>
      <c r="X248" s="526">
        <f t="shared" si="24"/>
        <v>400.55240798006668</v>
      </c>
    </row>
    <row r="249" spans="1:24" customFormat="1">
      <c r="A249" s="486" t="s">
        <v>2441</v>
      </c>
      <c r="B249" s="1" t="s">
        <v>2387</v>
      </c>
      <c r="C249" s="21">
        <f>tot_fm_in</f>
        <v>1</v>
      </c>
      <c r="D249" s="389" t="s">
        <v>64</v>
      </c>
      <c r="E249" s="394">
        <f>in_meter_size</f>
        <v>10</v>
      </c>
      <c r="F249" s="1" t="s">
        <v>1331</v>
      </c>
      <c r="G249" s="394">
        <f>IF(curve=1,in_meter_size,VLOOKUP(in_meter_size,ven_fm_cost_cl,2))</f>
        <v>10</v>
      </c>
      <c r="H249" s="1" t="s">
        <v>1331</v>
      </c>
      <c r="I249" s="391">
        <f>IF(curve=1,ven_fm_eq_in,VLOOKUP(in_meter_size,ven_fm_cost_cl,3))</f>
        <v>4013.0326495740001</v>
      </c>
      <c r="J249" s="392">
        <f>IF(I249="contact vendor","--",C249*I249)</f>
        <v>4013.0326495740001</v>
      </c>
      <c r="K249" s="394">
        <f>VLOOKUP(in_meter_size,ven_fm_cost_cl,IF(ss_cat="large",4,5))</f>
        <v>15</v>
      </c>
      <c r="L249" s="407">
        <v>0</v>
      </c>
      <c r="M249" s="16" t="str">
        <f>$B$245&amp;" - "&amp;$B$246&amp;" - "&amp;B249</f>
        <v>Instrumentation and Controls - Flow Meters - Influent and Treated Water - Venturi</v>
      </c>
      <c r="N249" s="526">
        <v>2</v>
      </c>
      <c r="O249" s="526">
        <v>1</v>
      </c>
      <c r="P249" s="526">
        <v>2</v>
      </c>
      <c r="Q249" s="526">
        <v>2</v>
      </c>
      <c r="R249" s="526">
        <v>1</v>
      </c>
      <c r="S249" s="526">
        <v>2</v>
      </c>
      <c r="T249" s="526">
        <v>1</v>
      </c>
      <c r="U249" s="526">
        <v>2</v>
      </c>
      <c r="V249" s="526">
        <v>3</v>
      </c>
      <c r="W249" s="526">
        <f t="shared" si="23"/>
        <v>0</v>
      </c>
      <c r="X249" s="526">
        <f t="shared" si="24"/>
        <v>0</v>
      </c>
    </row>
    <row r="250" spans="1:24" customFormat="1">
      <c r="A250" s="486" t="s">
        <v>2441</v>
      </c>
      <c r="B250" s="1" t="s">
        <v>2389</v>
      </c>
      <c r="C250" s="21">
        <f>tot_fm_in</f>
        <v>1</v>
      </c>
      <c r="D250" s="389" t="s">
        <v>64</v>
      </c>
      <c r="E250" s="394">
        <f>in_meter_size</f>
        <v>10</v>
      </c>
      <c r="F250" s="1" t="s">
        <v>1331</v>
      </c>
      <c r="G250" s="394">
        <f>IF(curve=1,in_meter_size,VLOOKUP(in_meter_size,mag_fm_cost_cl,2))</f>
        <v>10</v>
      </c>
      <c r="H250" s="1" t="s">
        <v>1331</v>
      </c>
      <c r="I250" s="391">
        <f>IF(curve=1,mag_fm_eq_in,VLOOKUP(in_meter_size,mag_fm_cost_cl,3))</f>
        <v>8445.7466193210003</v>
      </c>
      <c r="J250" s="392">
        <f>IF(I250="contact vendor","--",C250*I250)</f>
        <v>8445.7466193210003</v>
      </c>
      <c r="K250" s="394">
        <f>VLOOKUP(in_meter_size,mag_fm_cost_cl,IF(ss_cat="large",4,5))</f>
        <v>15</v>
      </c>
      <c r="L250" s="407">
        <v>0</v>
      </c>
      <c r="M250" s="16" t="str">
        <f>$B$245&amp;" - "&amp;$B$246&amp;" - "&amp;B250</f>
        <v>Instrumentation and Controls - Flow Meters - Influent and Treated Water - Magnetic</v>
      </c>
      <c r="N250" s="526">
        <v>4</v>
      </c>
      <c r="O250" s="526">
        <v>3</v>
      </c>
      <c r="P250" s="526">
        <v>1</v>
      </c>
      <c r="Q250" s="526">
        <v>4</v>
      </c>
      <c r="R250" s="526">
        <v>3</v>
      </c>
      <c r="S250" s="526">
        <v>1</v>
      </c>
      <c r="T250" s="526">
        <v>2</v>
      </c>
      <c r="U250" s="526">
        <v>1</v>
      </c>
      <c r="V250" s="526">
        <v>1</v>
      </c>
      <c r="W250" s="526">
        <f t="shared" si="23"/>
        <v>0</v>
      </c>
      <c r="X250" s="526">
        <f t="shared" si="24"/>
        <v>0</v>
      </c>
    </row>
    <row r="251" spans="1:24" customFormat="1">
      <c r="A251" s="505" t="s">
        <v>2460</v>
      </c>
      <c r="B251" s="41" t="s">
        <v>2391</v>
      </c>
      <c r="C251" s="257"/>
      <c r="D251" s="258"/>
      <c r="E251" s="260"/>
      <c r="F251" s="257"/>
      <c r="G251" s="260"/>
      <c r="H251" s="257"/>
      <c r="I251" s="260"/>
      <c r="J251" s="260"/>
      <c r="K251" s="274"/>
      <c r="L251" s="506"/>
      <c r="M251" s="16"/>
      <c r="N251" s="526"/>
      <c r="O251" s="526"/>
      <c r="P251" s="526"/>
      <c r="Q251" s="526"/>
      <c r="R251" s="526"/>
      <c r="S251" s="526"/>
      <c r="T251" s="526"/>
      <c r="U251" s="526"/>
      <c r="V251" s="526"/>
      <c r="W251" s="526">
        <f t="shared" si="23"/>
        <v>0</v>
      </c>
      <c r="X251" s="526">
        <f t="shared" si="24"/>
        <v>0</v>
      </c>
    </row>
    <row r="252" spans="1:24" customFormat="1">
      <c r="A252" s="486" t="s">
        <v>2461</v>
      </c>
      <c r="B252" s="1" t="s">
        <v>2384</v>
      </c>
      <c r="C252" s="21">
        <f>tot_fm_proc</f>
        <v>0</v>
      </c>
      <c r="D252" s="389" t="s">
        <v>64</v>
      </c>
      <c r="E252" s="394" t="str">
        <f>IF(C252=0,"NA",proc_meter_size)</f>
        <v>NA</v>
      </c>
      <c r="F252" s="1" t="str">
        <f>IF(C252=0,"","in. diam")</f>
        <v/>
      </c>
      <c r="G252" s="394" t="str">
        <f>IF(C252=0,"NA",IF(curve=1,proc_meter_size,VLOOKUP(proc_meter_size,op_fm_cost_cl,2)))</f>
        <v>NA</v>
      </c>
      <c r="H252" s="1" t="str">
        <f>IF(C252=0,"","in. diam")</f>
        <v/>
      </c>
      <c r="I252" s="391" t="str">
        <f>IF(C252=0,"NA",IF(curve=1,op_fm_eq_proc,VLOOKUP(proc_meter_size,op_fm_cost_cl,3)))</f>
        <v>NA</v>
      </c>
      <c r="J252" s="392" t="str">
        <f>IF(OR(I252="NA",I252="contact vendor"),"--",C252*I252)</f>
        <v>--</v>
      </c>
      <c r="K252" s="394" t="str">
        <f>IF(C252=0,"NA",VLOOKUP(proc_meter_size,op_fm_cost_cl,IF(ss_cat="large",4,5)))</f>
        <v>NA</v>
      </c>
      <c r="L252" s="407"/>
      <c r="M252" s="16" t="str">
        <f>$B$245&amp;" - "&amp;$B$251&amp;" - "&amp;B252</f>
        <v>Instrumentation and Controls - Flow Meters - Process - Orifice Plate</v>
      </c>
      <c r="N252" s="526">
        <v>3</v>
      </c>
      <c r="O252" s="526">
        <v>4</v>
      </c>
      <c r="P252" s="526">
        <v>4</v>
      </c>
      <c r="Q252" s="526">
        <v>3</v>
      </c>
      <c r="R252" s="526">
        <v>4</v>
      </c>
      <c r="S252" s="526">
        <v>4</v>
      </c>
      <c r="T252" s="526">
        <v>3</v>
      </c>
      <c r="U252" s="526">
        <v>3</v>
      </c>
      <c r="V252" s="526">
        <v>4</v>
      </c>
      <c r="W252" s="526">
        <f t="shared" si="23"/>
        <v>0</v>
      </c>
      <c r="X252" s="526">
        <f t="shared" si="24"/>
        <v>0</v>
      </c>
    </row>
    <row r="253" spans="1:24" customFormat="1">
      <c r="A253" s="486" t="s">
        <v>2461</v>
      </c>
      <c r="B253" s="1" t="s">
        <v>2385</v>
      </c>
      <c r="C253" s="21">
        <f>tot_fm_proc</f>
        <v>0</v>
      </c>
      <c r="D253" s="389" t="s">
        <v>64</v>
      </c>
      <c r="E253" s="394" t="str">
        <f>IF(C253=0,"NA",proc_meter_size)</f>
        <v>NA</v>
      </c>
      <c r="F253" s="1" t="str">
        <f>IF(C253=0,"","in. diam")</f>
        <v/>
      </c>
      <c r="G253" s="394" t="str">
        <f>IF(C253=0,"NA",IF(curve=1,proc_meter_size,VLOOKUP(proc_meter_size,prop_fm_cost_cl,2)))</f>
        <v>NA</v>
      </c>
      <c r="H253" s="1" t="str">
        <f>IF(C253=0,"","in. diam")</f>
        <v/>
      </c>
      <c r="I253" s="391" t="str">
        <f>IF(C253=0,"NA",IF(curve=1,prop_fm_eq_proc,VLOOKUP(proc_meter_size,prop_fm_cost_cl,3)))</f>
        <v>NA</v>
      </c>
      <c r="J253" s="392" t="str">
        <f>IF(OR(I253="NA",I253="contact vendor"),"--",C253*I253)</f>
        <v>--</v>
      </c>
      <c r="K253" s="394" t="str">
        <f>IF(C253=0,"NA",VLOOKUP(proc_meter_size,prop_fm_cost_cl,IF(ss_cat="large",4,5)))</f>
        <v>NA</v>
      </c>
      <c r="L253" s="407"/>
      <c r="M253" s="16" t="str">
        <f>$B$245&amp;" - "&amp;$B$251&amp;" - "&amp;B253</f>
        <v>Instrumentation and Controls - Flow Meters - Process - Propeller</v>
      </c>
      <c r="N253" s="526">
        <v>1</v>
      </c>
      <c r="O253" s="526">
        <v>2</v>
      </c>
      <c r="P253" s="526">
        <v>3</v>
      </c>
      <c r="Q253" s="526">
        <v>1</v>
      </c>
      <c r="R253" s="526">
        <v>2</v>
      </c>
      <c r="S253" s="526">
        <v>3</v>
      </c>
      <c r="T253" s="526">
        <v>4</v>
      </c>
      <c r="U253" s="526">
        <v>4</v>
      </c>
      <c r="V253" s="526">
        <v>2</v>
      </c>
      <c r="W253" s="526">
        <f t="shared" si="23"/>
        <v>0</v>
      </c>
      <c r="X253" s="526">
        <f t="shared" si="24"/>
        <v>0</v>
      </c>
    </row>
    <row r="254" spans="1:24" customFormat="1">
      <c r="A254" s="486" t="s">
        <v>2461</v>
      </c>
      <c r="B254" s="1" t="s">
        <v>2387</v>
      </c>
      <c r="C254" s="21">
        <f>tot_fm_proc</f>
        <v>0</v>
      </c>
      <c r="D254" s="389" t="s">
        <v>64</v>
      </c>
      <c r="E254" s="394" t="str">
        <f>IF(C254=0,"NA",proc_meter_size)</f>
        <v>NA</v>
      </c>
      <c r="F254" s="1" t="str">
        <f>IF(C254=0,"","in. diam")</f>
        <v/>
      </c>
      <c r="G254" s="394" t="str">
        <f>IF(C254=0,"NA",IF(curve=1,proc_meter_size,VLOOKUP(proc_meter_size,ven_fm_cost_cl,2)))</f>
        <v>NA</v>
      </c>
      <c r="H254" s="1" t="str">
        <f>IF(C254=0,"","in. diam")</f>
        <v/>
      </c>
      <c r="I254" s="391" t="str">
        <f>IF(C254=0,"NA",IF(curve=1,ven_fm_eq_proc,VLOOKUP(proc_meter_size,ven_fm_cost_cl,3)))</f>
        <v>NA</v>
      </c>
      <c r="J254" s="392" t="str">
        <f>IF(OR(I254="NA",I254="contact vendor"),"--",C254*I254)</f>
        <v>--</v>
      </c>
      <c r="K254" s="394" t="str">
        <f>IF(C254=0,"NA",VLOOKUP(proc_meter_size,ven_fm_cost_cl,IF(ss_cat="large",4,5)))</f>
        <v>NA</v>
      </c>
      <c r="L254" s="407"/>
      <c r="M254" s="16" t="str">
        <f>$B$245&amp;" - "&amp;$B$251&amp;" - "&amp;B254</f>
        <v>Instrumentation and Controls - Flow Meters - Process - Venturi</v>
      </c>
      <c r="N254" s="526">
        <v>2</v>
      </c>
      <c r="O254" s="526">
        <v>1</v>
      </c>
      <c r="P254" s="526">
        <v>2</v>
      </c>
      <c r="Q254" s="526">
        <v>2</v>
      </c>
      <c r="R254" s="526">
        <v>1</v>
      </c>
      <c r="S254" s="526">
        <v>2</v>
      </c>
      <c r="T254" s="526">
        <v>1</v>
      </c>
      <c r="U254" s="526">
        <v>2</v>
      </c>
      <c r="V254" s="526">
        <v>3</v>
      </c>
      <c r="W254" s="526">
        <f t="shared" si="23"/>
        <v>0</v>
      </c>
      <c r="X254" s="526">
        <f t="shared" si="24"/>
        <v>0</v>
      </c>
    </row>
    <row r="255" spans="1:24" customFormat="1">
      <c r="A255" s="486" t="s">
        <v>2461</v>
      </c>
      <c r="B255" s="1" t="s">
        <v>2389</v>
      </c>
      <c r="C255" s="21">
        <f>tot_fm_proc</f>
        <v>0</v>
      </c>
      <c r="D255" s="389" t="s">
        <v>64</v>
      </c>
      <c r="E255" s="394" t="str">
        <f>IF(C255=0,"NA",proc_meter_size)</f>
        <v>NA</v>
      </c>
      <c r="F255" s="1" t="str">
        <f>IF(C255=0,"","in. diam")</f>
        <v/>
      </c>
      <c r="G255" s="394" t="str">
        <f>IF(C255=0,"NA",IF(curve=1,proc_meter_size,VLOOKUP(proc_meter_size,mag_fm_cost_cl,2)))</f>
        <v>NA</v>
      </c>
      <c r="H255" s="1" t="str">
        <f>IF(C255=0,"","in. diam")</f>
        <v/>
      </c>
      <c r="I255" s="391" t="str">
        <f>IF(C255=0,"NA",IF(curve=1,mag_fm_eq_proc,VLOOKUP(proc_meter_size,mag_fm_cost_cl,3)))</f>
        <v>NA</v>
      </c>
      <c r="J255" s="392" t="str">
        <f>IF(OR(I255="NA",I255="contact vendor"),"--",C255*I255)</f>
        <v>--</v>
      </c>
      <c r="K255" s="394" t="str">
        <f>IF(C255=0,"NA",VLOOKUP(proc_meter_size,mag_fm_cost_cl,IF(ss_cat="large",4,5)))</f>
        <v>NA</v>
      </c>
      <c r="L255" s="407"/>
      <c r="M255" s="16" t="str">
        <f>$B$245&amp;" - "&amp;$B$251&amp;" - "&amp;B255</f>
        <v>Instrumentation and Controls - Flow Meters - Process - Magnetic</v>
      </c>
      <c r="N255" s="526">
        <v>4</v>
      </c>
      <c r="O255" s="526">
        <v>3</v>
      </c>
      <c r="P255" s="526">
        <v>1</v>
      </c>
      <c r="Q255" s="526">
        <v>4</v>
      </c>
      <c r="R255" s="526">
        <v>3</v>
      </c>
      <c r="S255" s="526">
        <v>1</v>
      </c>
      <c r="T255" s="526">
        <v>2</v>
      </c>
      <c r="U255" s="526">
        <v>1</v>
      </c>
      <c r="V255" s="526">
        <v>1</v>
      </c>
      <c r="W255" s="526">
        <f t="shared" si="23"/>
        <v>0</v>
      </c>
      <c r="X255" s="526">
        <f t="shared" si="24"/>
        <v>0</v>
      </c>
    </row>
    <row r="256" spans="1:24" customFormat="1">
      <c r="A256" s="505" t="s">
        <v>2462</v>
      </c>
      <c r="B256" s="41" t="s">
        <v>2395</v>
      </c>
      <c r="C256" s="257"/>
      <c r="D256" s="258"/>
      <c r="E256" s="260"/>
      <c r="F256" s="257"/>
      <c r="G256" s="260"/>
      <c r="H256" s="257"/>
      <c r="I256" s="260"/>
      <c r="J256" s="260"/>
      <c r="K256" s="274"/>
      <c r="L256" s="506"/>
      <c r="M256" s="16"/>
      <c r="N256" s="526"/>
      <c r="O256" s="526"/>
      <c r="P256" s="526"/>
      <c r="Q256" s="526"/>
      <c r="R256" s="526"/>
      <c r="S256" s="526"/>
      <c r="T256" s="526"/>
      <c r="U256" s="526"/>
      <c r="V256" s="526"/>
      <c r="W256" s="526">
        <f t="shared" si="23"/>
        <v>0</v>
      </c>
      <c r="X256" s="526">
        <f t="shared" si="24"/>
        <v>0</v>
      </c>
    </row>
    <row r="257" spans="1:24" customFormat="1">
      <c r="A257" s="486" t="s">
        <v>2463</v>
      </c>
      <c r="B257" s="1" t="s">
        <v>2384</v>
      </c>
      <c r="C257" s="21">
        <f>tot_fm_back</f>
        <v>1</v>
      </c>
      <c r="D257" s="389" t="s">
        <v>64</v>
      </c>
      <c r="E257" s="394">
        <f>IF(C257=0,"NA",back_meter_size)</f>
        <v>6</v>
      </c>
      <c r="F257" s="1" t="str">
        <f>IF(C257=0,"","in. diam")</f>
        <v>in. diam</v>
      </c>
      <c r="G257" s="394">
        <f>IF(C257=0,"NA",IF(curve=1,back_meter_size,VLOOKUP(back_meter_size,op_fm_cost_cl,2)))</f>
        <v>6</v>
      </c>
      <c r="H257" s="1" t="str">
        <f>IF(C257=0,"","in. diam")</f>
        <v>in. diam</v>
      </c>
      <c r="I257" s="391">
        <f>IF(C257=0,"NA",IF(curve=1,op_fm_eq_back,VLOOKUP(back_meter_size,op_fm_cost_cl,3)))</f>
        <v>3417.5755455509998</v>
      </c>
      <c r="J257" s="392">
        <f>IF(OR(I257="NA",I257="contact vendor"),"--",C257*I257)</f>
        <v>3417.5755455509998</v>
      </c>
      <c r="K257" s="394">
        <f>IF(C257=0,"NA",VLOOKUP(back_meter_size,op_fm_cost_cl,IF(ss_cat="large",4,5)))</f>
        <v>15</v>
      </c>
      <c r="L257" s="407">
        <v>0</v>
      </c>
      <c r="M257" s="16" t="str">
        <f>$B$245&amp;" - "&amp;$B$256&amp;" - "&amp;B257</f>
        <v>Instrumentation and Controls - Flow Meters - Backwash - Orifice Plate</v>
      </c>
      <c r="N257" s="526">
        <v>3</v>
      </c>
      <c r="O257" s="526">
        <v>4</v>
      </c>
      <c r="P257" s="526">
        <v>4</v>
      </c>
      <c r="Q257" s="526">
        <v>3</v>
      </c>
      <c r="R257" s="526">
        <v>4</v>
      </c>
      <c r="S257" s="526">
        <v>4</v>
      </c>
      <c r="T257" s="526">
        <v>3</v>
      </c>
      <c r="U257" s="526">
        <v>3</v>
      </c>
      <c r="V257" s="526">
        <v>4</v>
      </c>
      <c r="W257" s="526">
        <f t="shared" si="23"/>
        <v>0</v>
      </c>
      <c r="X257" s="526">
        <f t="shared" si="24"/>
        <v>0</v>
      </c>
    </row>
    <row r="258" spans="1:24" customFormat="1">
      <c r="A258" s="486" t="s">
        <v>2463</v>
      </c>
      <c r="B258" s="1" t="s">
        <v>2385</v>
      </c>
      <c r="C258" s="21">
        <f>tot_fm_back</f>
        <v>1</v>
      </c>
      <c r="D258" s="389" t="s">
        <v>64</v>
      </c>
      <c r="E258" s="394">
        <f>IF(C258=0,"NA",back_meter_size)</f>
        <v>6</v>
      </c>
      <c r="F258" s="1" t="str">
        <f>IF(C258=0,"","in. diam")</f>
        <v>in. diam</v>
      </c>
      <c r="G258" s="394">
        <f>IF(C258=0,"NA",IF(curve=1,back_meter_size,VLOOKUP(back_meter_size,prop_fm_cost_cl,2)))</f>
        <v>6</v>
      </c>
      <c r="H258" s="1" t="str">
        <f>IF(C258=0,"","in. diam")</f>
        <v>in. diam</v>
      </c>
      <c r="I258" s="391">
        <f>IF(C258=0,"NA",IF(curve=1,prop_fm_eq_back,VLOOKUP(back_meter_size,prop_fm_cost_cl,3)))</f>
        <v>4478.5640461209996</v>
      </c>
      <c r="J258" s="392">
        <f>IF(OR(I258="NA",I258="contact vendor"),"--",C258*I258)</f>
        <v>4478.5640461209996</v>
      </c>
      <c r="K258" s="394">
        <f>IF(C258=0,"NA",VLOOKUP(back_meter_size,prop_fm_cost_cl,IF(ss_cat="large",4,5)))</f>
        <v>15</v>
      </c>
      <c r="L258" s="407">
        <v>1</v>
      </c>
      <c r="M258" s="16" t="str">
        <f>$B$245&amp;" - "&amp;$B$256&amp;" - "&amp;B258</f>
        <v>Instrumentation and Controls - Flow Meters - Backwash - Propeller</v>
      </c>
      <c r="N258" s="526">
        <v>1</v>
      </c>
      <c r="O258" s="526">
        <v>2</v>
      </c>
      <c r="P258" s="526">
        <v>3</v>
      </c>
      <c r="Q258" s="526">
        <v>1</v>
      </c>
      <c r="R258" s="526">
        <v>2</v>
      </c>
      <c r="S258" s="526">
        <v>3</v>
      </c>
      <c r="T258" s="526">
        <v>4</v>
      </c>
      <c r="U258" s="526">
        <v>4</v>
      </c>
      <c r="V258" s="526">
        <v>2</v>
      </c>
      <c r="W258" s="526">
        <f t="shared" si="23"/>
        <v>1</v>
      </c>
      <c r="X258" s="526">
        <f t="shared" si="24"/>
        <v>298.57093640806664</v>
      </c>
    </row>
    <row r="259" spans="1:24" customFormat="1">
      <c r="A259" s="486" t="s">
        <v>2463</v>
      </c>
      <c r="B259" s="1" t="s">
        <v>2387</v>
      </c>
      <c r="C259" s="21">
        <f>tot_fm_back</f>
        <v>1</v>
      </c>
      <c r="D259" s="389" t="s">
        <v>64</v>
      </c>
      <c r="E259" s="394">
        <f>IF(C259=0,"NA",back_meter_size)</f>
        <v>6</v>
      </c>
      <c r="F259" s="1" t="str">
        <f>IF(C259=0,"","in. diam")</f>
        <v>in. diam</v>
      </c>
      <c r="G259" s="394">
        <f>IF(C259=0,"NA",IF(curve=1,back_meter_size,VLOOKUP(back_meter_size,ven_fm_cost_cl,2)))</f>
        <v>6</v>
      </c>
      <c r="H259" s="1" t="str">
        <f>IF(C259=0,"","in. diam")</f>
        <v>in. diam</v>
      </c>
      <c r="I259" s="391">
        <f>IF(C259=0,"NA",IF(curve=1,ven_fm_eq_back,VLOOKUP(back_meter_size,ven_fm_cost_cl,3)))</f>
        <v>3069.2794628780002</v>
      </c>
      <c r="J259" s="392">
        <f>IF(OR(I259="NA",I259="contact vendor"),"--",C259*I259)</f>
        <v>3069.2794628780002</v>
      </c>
      <c r="K259" s="394">
        <f>IF(C259=0,"NA",VLOOKUP(back_meter_size,ven_fm_cost_cl,IF(ss_cat="large",4,5)))</f>
        <v>15</v>
      </c>
      <c r="L259" s="407">
        <v>0</v>
      </c>
      <c r="M259" s="16" t="str">
        <f>$B$245&amp;" - "&amp;$B$256&amp;" - "&amp;B259</f>
        <v>Instrumentation and Controls - Flow Meters - Backwash - Venturi</v>
      </c>
      <c r="N259" s="526">
        <v>2</v>
      </c>
      <c r="O259" s="526">
        <v>1</v>
      </c>
      <c r="P259" s="526">
        <v>2</v>
      </c>
      <c r="Q259" s="526">
        <v>2</v>
      </c>
      <c r="R259" s="526">
        <v>1</v>
      </c>
      <c r="S259" s="526">
        <v>2</v>
      </c>
      <c r="T259" s="526">
        <v>1</v>
      </c>
      <c r="U259" s="526">
        <v>2</v>
      </c>
      <c r="V259" s="526">
        <v>3</v>
      </c>
      <c r="W259" s="526">
        <f t="shared" si="23"/>
        <v>0</v>
      </c>
      <c r="X259" s="526">
        <f t="shared" si="24"/>
        <v>0</v>
      </c>
    </row>
    <row r="260" spans="1:24" customFormat="1">
      <c r="A260" s="486" t="s">
        <v>2463</v>
      </c>
      <c r="B260" s="1" t="s">
        <v>2389</v>
      </c>
      <c r="C260" s="21">
        <f>tot_fm_back</f>
        <v>1</v>
      </c>
      <c r="D260" s="389" t="s">
        <v>64</v>
      </c>
      <c r="E260" s="394">
        <f>IF(C260=0,"NA",back_meter_size)</f>
        <v>6</v>
      </c>
      <c r="F260" s="1" t="str">
        <f>IF(C260=0,"","in. diam")</f>
        <v>in. diam</v>
      </c>
      <c r="G260" s="394">
        <f>IF(C260=0,"NA",IF(curve=1,back_meter_size,VLOOKUP(back_meter_size,mag_fm_cost_cl,2)))</f>
        <v>6</v>
      </c>
      <c r="H260" s="1" t="str">
        <f>IF(C260=0,"","in. diam")</f>
        <v>in. diam</v>
      </c>
      <c r="I260" s="391">
        <f>IF(C260=0,"NA",IF(curve=1,mag_fm_eq_back,VLOOKUP(back_meter_size,mag_fm_cost_cl,3)))</f>
        <v>6185.8840061850005</v>
      </c>
      <c r="J260" s="392">
        <f>IF(OR(I260="NA",I260="contact vendor"),"--",C260*I260)</f>
        <v>6185.8840061850005</v>
      </c>
      <c r="K260" s="394">
        <f>IF(C260=0,"NA",VLOOKUP(back_meter_size,mag_fm_cost_cl,IF(ss_cat="large",4,5)))</f>
        <v>15</v>
      </c>
      <c r="L260" s="407">
        <v>0</v>
      </c>
      <c r="M260" s="16" t="str">
        <f>$B$245&amp;" - "&amp;$B$256&amp;" - "&amp;B260</f>
        <v>Instrumentation and Controls - Flow Meters - Backwash - Magnetic</v>
      </c>
      <c r="N260" s="526">
        <v>4</v>
      </c>
      <c r="O260" s="526">
        <v>3</v>
      </c>
      <c r="P260" s="526">
        <v>1</v>
      </c>
      <c r="Q260" s="526">
        <v>4</v>
      </c>
      <c r="R260" s="526">
        <v>3</v>
      </c>
      <c r="S260" s="526">
        <v>1</v>
      </c>
      <c r="T260" s="526">
        <v>2</v>
      </c>
      <c r="U260" s="526">
        <v>1</v>
      </c>
      <c r="V260" s="526">
        <v>1</v>
      </c>
      <c r="W260" s="526">
        <f t="shared" si="23"/>
        <v>0</v>
      </c>
      <c r="X260" s="526">
        <f t="shared" si="24"/>
        <v>0</v>
      </c>
    </row>
    <row r="261" spans="1:24" customFormat="1">
      <c r="A261" s="505" t="s">
        <v>2464</v>
      </c>
      <c r="B261" s="41" t="s">
        <v>2399</v>
      </c>
      <c r="C261" s="257"/>
      <c r="D261" s="258"/>
      <c r="E261" s="260"/>
      <c r="F261" s="257"/>
      <c r="G261" s="260"/>
      <c r="H261" s="257"/>
      <c r="I261" s="260"/>
      <c r="J261" s="260"/>
      <c r="K261" s="274"/>
      <c r="L261" s="506"/>
      <c r="M261" s="16"/>
      <c r="N261" s="526"/>
      <c r="O261" s="526"/>
      <c r="P261" s="526"/>
      <c r="Q261" s="526"/>
      <c r="R261" s="526"/>
      <c r="S261" s="526"/>
      <c r="T261" s="526"/>
      <c r="U261" s="526"/>
      <c r="V261" s="526"/>
      <c r="W261" s="526">
        <f t="shared" si="23"/>
        <v>0</v>
      </c>
      <c r="X261" s="526">
        <f t="shared" si="24"/>
        <v>0</v>
      </c>
    </row>
    <row r="262" spans="1:24" customFormat="1">
      <c r="A262" s="486" t="s">
        <v>2465</v>
      </c>
      <c r="B262" s="1" t="s">
        <v>2384</v>
      </c>
      <c r="C262" s="21">
        <f>tot_fm_res</f>
        <v>1</v>
      </c>
      <c r="D262" s="389" t="s">
        <v>64</v>
      </c>
      <c r="E262" s="394">
        <f>res_meter_size</f>
        <v>1</v>
      </c>
      <c r="F262" s="1" t="s">
        <v>1331</v>
      </c>
      <c r="G262" s="394">
        <f>IF(curve=1,res_meter_size,VLOOKUP(res_meter_size,op_fm_cost_cl,2))</f>
        <v>1</v>
      </c>
      <c r="H262" s="1" t="s">
        <v>1331</v>
      </c>
      <c r="I262" s="391">
        <f>IF(curve=1,op_fm_eq_res,VLOOKUP(res_meter_size,op_fm_cost_cl,3))</f>
        <v>1221.9334851459998</v>
      </c>
      <c r="J262" s="392">
        <f>IF(I262="contact vendor","--",C262*I262)</f>
        <v>1221.9334851459998</v>
      </c>
      <c r="K262" s="394">
        <f>VLOOKUP(res_meter_size,op_fm_cost_cl,IF(ss_cat="large",4,5))</f>
        <v>15</v>
      </c>
      <c r="L262" s="407">
        <v>0</v>
      </c>
      <c r="M262" s="16" t="str">
        <f>$B$245&amp;" - "&amp;$B$261&amp;" - "&amp;B262</f>
        <v>Instrumentation and Controls - Flow Meters - Residuals - Orifice Plate</v>
      </c>
      <c r="N262" s="526">
        <v>3</v>
      </c>
      <c r="O262" s="526">
        <v>4</v>
      </c>
      <c r="P262" s="526">
        <v>4</v>
      </c>
      <c r="Q262" s="526">
        <v>3</v>
      </c>
      <c r="R262" s="526">
        <v>4</v>
      </c>
      <c r="S262" s="526">
        <v>4</v>
      </c>
      <c r="T262" s="526">
        <v>3</v>
      </c>
      <c r="U262" s="526">
        <v>3</v>
      </c>
      <c r="V262" s="526">
        <v>4</v>
      </c>
      <c r="W262" s="526">
        <f t="shared" si="23"/>
        <v>0</v>
      </c>
      <c r="X262" s="526">
        <f t="shared" si="24"/>
        <v>0</v>
      </c>
    </row>
    <row r="263" spans="1:24" customFormat="1">
      <c r="A263" s="486" t="s">
        <v>2465</v>
      </c>
      <c r="B263" s="1" t="s">
        <v>2385</v>
      </c>
      <c r="C263" s="21">
        <f>tot_fm_res</f>
        <v>1</v>
      </c>
      <c r="D263" s="389" t="s">
        <v>64</v>
      </c>
      <c r="E263" s="394">
        <f>res_meter_size</f>
        <v>1</v>
      </c>
      <c r="F263" s="1" t="s">
        <v>1331</v>
      </c>
      <c r="G263" s="394">
        <f>IF(curve=1,res_meter_size,VLOOKUP(res_meter_size,prop_fm_cost_cl,2))</f>
        <v>1</v>
      </c>
      <c r="H263" s="1" t="s">
        <v>1331</v>
      </c>
      <c r="I263" s="391">
        <f>IF(curve=1,prop_fm_eq_res,VLOOKUP(res_meter_size,prop_fm_cost_cl,3))</f>
        <v>2075.7354454659999</v>
      </c>
      <c r="J263" s="392">
        <f>IF(I263="contact vendor","--",C263*I263)</f>
        <v>2075.7354454659999</v>
      </c>
      <c r="K263" s="394">
        <f>VLOOKUP(res_meter_size,prop_fm_cost_cl,IF(ss_cat="large",4,5))</f>
        <v>15</v>
      </c>
      <c r="L263" s="407">
        <v>1</v>
      </c>
      <c r="M263" s="16" t="str">
        <f>$B$245&amp;" - "&amp;$B$261&amp;" - "&amp;B263</f>
        <v>Instrumentation and Controls - Flow Meters - Residuals - Propeller</v>
      </c>
      <c r="N263" s="526">
        <v>1</v>
      </c>
      <c r="O263" s="526">
        <v>2</v>
      </c>
      <c r="P263" s="526">
        <v>3</v>
      </c>
      <c r="Q263" s="526">
        <v>1</v>
      </c>
      <c r="R263" s="526">
        <v>2</v>
      </c>
      <c r="S263" s="526">
        <v>3</v>
      </c>
      <c r="T263" s="526">
        <v>4</v>
      </c>
      <c r="U263" s="526">
        <v>4</v>
      </c>
      <c r="V263" s="526">
        <v>2</v>
      </c>
      <c r="W263" s="526">
        <f t="shared" si="23"/>
        <v>1</v>
      </c>
      <c r="X263" s="526">
        <f t="shared" si="24"/>
        <v>138.38236303106666</v>
      </c>
    </row>
    <row r="264" spans="1:24" customFormat="1">
      <c r="A264" s="486" t="s">
        <v>2465</v>
      </c>
      <c r="B264" s="1" t="s">
        <v>2387</v>
      </c>
      <c r="C264" s="21">
        <f>tot_fm_res</f>
        <v>1</v>
      </c>
      <c r="D264" s="389" t="s">
        <v>64</v>
      </c>
      <c r="E264" s="394">
        <f>res_meter_size</f>
        <v>1</v>
      </c>
      <c r="F264" s="1" t="s">
        <v>1331</v>
      </c>
      <c r="G264" s="394">
        <f>IF(curve=1,res_meter_size,VLOOKUP(res_meter_size,ven_fm_cost_cl,2))</f>
        <v>1</v>
      </c>
      <c r="H264" s="1" t="s">
        <v>1331</v>
      </c>
      <c r="I264" s="391">
        <f>IF(curve=1,ven_fm_eq_res,VLOOKUP(res_meter_size,ven_fm_cost_cl,3))</f>
        <v>2153.162607798</v>
      </c>
      <c r="J264" s="392">
        <f>IF(I264="contact vendor","--",C264*I264)</f>
        <v>2153.162607798</v>
      </c>
      <c r="K264" s="394">
        <f>VLOOKUP(res_meter_size,ven_fm_cost_cl,IF(ss_cat="large",4,5))</f>
        <v>15</v>
      </c>
      <c r="L264" s="407">
        <v>0</v>
      </c>
      <c r="M264" s="16" t="str">
        <f>$B$245&amp;" - "&amp;$B$261&amp;" - "&amp;B264</f>
        <v>Instrumentation and Controls - Flow Meters - Residuals - Venturi</v>
      </c>
      <c r="N264" s="526">
        <v>2</v>
      </c>
      <c r="O264" s="526">
        <v>1</v>
      </c>
      <c r="P264" s="526">
        <v>2</v>
      </c>
      <c r="Q264" s="526">
        <v>2</v>
      </c>
      <c r="R264" s="526">
        <v>1</v>
      </c>
      <c r="S264" s="526">
        <v>2</v>
      </c>
      <c r="T264" s="526">
        <v>1</v>
      </c>
      <c r="U264" s="526">
        <v>2</v>
      </c>
      <c r="V264" s="526">
        <v>3</v>
      </c>
      <c r="W264" s="526">
        <f t="shared" si="23"/>
        <v>0</v>
      </c>
      <c r="X264" s="526">
        <f t="shared" si="24"/>
        <v>0</v>
      </c>
    </row>
    <row r="265" spans="1:24" customFormat="1">
      <c r="A265" s="486" t="s">
        <v>2465</v>
      </c>
      <c r="B265" s="1" t="s">
        <v>2389</v>
      </c>
      <c r="C265" s="21">
        <f>tot_fm_res</f>
        <v>1</v>
      </c>
      <c r="D265" s="389" t="s">
        <v>64</v>
      </c>
      <c r="E265" s="394">
        <f>res_meter_size</f>
        <v>1</v>
      </c>
      <c r="F265" s="1" t="s">
        <v>1331</v>
      </c>
      <c r="G265" s="394">
        <f>IF(curve=1,res_meter_size,VLOOKUP(res_meter_size,mag_fm_cost_cl,2))</f>
        <v>1</v>
      </c>
      <c r="H265" s="1" t="s">
        <v>1331</v>
      </c>
      <c r="I265" s="391">
        <f>IF(curve=1,mag_fm_eq_res,VLOOKUP(res_meter_size,mag_fm_cost_cl,3))</f>
        <v>3595.6610908799998</v>
      </c>
      <c r="J265" s="392">
        <f>IF(I265="contact vendor","--",C265*I265)</f>
        <v>3595.6610908799998</v>
      </c>
      <c r="K265" s="394">
        <f>VLOOKUP(res_meter_size,mag_fm_cost_cl,IF(ss_cat="large",4,5))</f>
        <v>15</v>
      </c>
      <c r="L265" s="407">
        <v>0</v>
      </c>
      <c r="M265" s="16" t="str">
        <f>$B$245&amp;" - "&amp;$B$261&amp;" - "&amp;B265</f>
        <v>Instrumentation and Controls - Flow Meters - Residuals - Magnetic</v>
      </c>
      <c r="N265" s="526">
        <v>4</v>
      </c>
      <c r="O265" s="526">
        <v>3</v>
      </c>
      <c r="P265" s="526">
        <v>1</v>
      </c>
      <c r="Q265" s="526">
        <v>4</v>
      </c>
      <c r="R265" s="526">
        <v>3</v>
      </c>
      <c r="S265" s="526">
        <v>1</v>
      </c>
      <c r="T265" s="526">
        <v>2</v>
      </c>
      <c r="U265" s="526">
        <v>1</v>
      </c>
      <c r="V265" s="526">
        <v>1</v>
      </c>
      <c r="W265" s="526">
        <f t="shared" si="23"/>
        <v>0</v>
      </c>
      <c r="X265" s="526">
        <f t="shared" si="24"/>
        <v>0</v>
      </c>
    </row>
    <row r="266" spans="1:24" s="16" customFormat="1">
      <c r="A266" s="484">
        <v>11.5</v>
      </c>
      <c r="B266" s="388" t="s">
        <v>1124</v>
      </c>
      <c r="C266" s="21">
        <f>tot_level_switch</f>
        <v>0</v>
      </c>
      <c r="D266" s="389" t="s">
        <v>64</v>
      </c>
      <c r="E266" s="394" t="s">
        <v>1343</v>
      </c>
      <c r="F266" s="394"/>
      <c r="G266" s="394" t="s">
        <v>1343</v>
      </c>
      <c r="H266" s="21"/>
      <c r="I266" s="391" t="str">
        <f>IF(tot_level_switch=0,"NA",VLOOKUP(0,alarm_cost_cl,3))</f>
        <v>NA</v>
      </c>
      <c r="J266" s="392" t="str">
        <f>IF(tot_level_switch=0,"--",IF(I266="contact vendor","--",C266*I266))</f>
        <v>--</v>
      </c>
      <c r="K266" s="394" t="str">
        <f>IF(tot_level_switch=0,"NA",VLOOKUP(0,alarm_cost_cl,IF(ss_cat="large",4,5)))</f>
        <v>NA</v>
      </c>
      <c r="L266" s="393"/>
      <c r="M266" s="16" t="str">
        <f t="shared" ref="M266:M272" si="25">$B$245&amp;" - "&amp;B266</f>
        <v>Instrumentation and Controls - Level Switch/Alarm (for vessels)</v>
      </c>
      <c r="N266" s="526">
        <v>1</v>
      </c>
      <c r="O266" s="526">
        <v>1</v>
      </c>
      <c r="P266" s="526">
        <v>1</v>
      </c>
      <c r="Q266" s="526">
        <v>1</v>
      </c>
      <c r="R266" s="526">
        <v>1</v>
      </c>
      <c r="S266" s="526">
        <v>1</v>
      </c>
      <c r="T266" s="526">
        <v>1</v>
      </c>
      <c r="U266" s="526">
        <v>1</v>
      </c>
      <c r="V266" s="526">
        <v>1</v>
      </c>
      <c r="W266" s="526">
        <f t="shared" si="23"/>
        <v>0</v>
      </c>
      <c r="X266" s="526">
        <f t="shared" si="24"/>
        <v>0</v>
      </c>
    </row>
    <row r="267" spans="1:24" s="16" customFormat="1">
      <c r="A267" s="484">
        <v>11.6</v>
      </c>
      <c r="B267" s="388" t="s">
        <v>1125</v>
      </c>
      <c r="C267" s="21">
        <f>tot_back_alarm</f>
        <v>1</v>
      </c>
      <c r="D267" s="389" t="s">
        <v>64</v>
      </c>
      <c r="E267" s="394" t="s">
        <v>1343</v>
      </c>
      <c r="F267" s="394"/>
      <c r="G267" s="394" t="s">
        <v>1343</v>
      </c>
      <c r="H267" s="21"/>
      <c r="I267" s="391">
        <f>IF(C267=0,"NA",VLOOKUP(0,alarm_cost_cl,3))</f>
        <v>600.18707669670891</v>
      </c>
      <c r="J267" s="392">
        <f>IF(C267=0,"--",IF(I267="contact vendor","--",C267*I267))</f>
        <v>600.18707669670891</v>
      </c>
      <c r="K267" s="394">
        <f>IF(C267=0,"NA",VLOOKUP(0,alarm_cost_cl,IF(ss_cat="large",4,5)))</f>
        <v>15</v>
      </c>
      <c r="L267" s="393">
        <v>1</v>
      </c>
      <c r="M267" s="16" t="str">
        <f t="shared" si="25"/>
        <v>Instrumentation and Controls - High/Low Alarm (for backwash tanks)</v>
      </c>
      <c r="N267" s="526">
        <v>1</v>
      </c>
      <c r="O267" s="526">
        <v>1</v>
      </c>
      <c r="P267" s="526">
        <v>1</v>
      </c>
      <c r="Q267" s="526">
        <v>1</v>
      </c>
      <c r="R267" s="526">
        <v>1</v>
      </c>
      <c r="S267" s="526">
        <v>1</v>
      </c>
      <c r="T267" s="526">
        <v>1</v>
      </c>
      <c r="U267" s="526">
        <v>1</v>
      </c>
      <c r="V267" s="526">
        <v>1</v>
      </c>
      <c r="W267" s="526">
        <f t="shared" si="23"/>
        <v>1</v>
      </c>
      <c r="X267" s="526">
        <f t="shared" si="24"/>
        <v>40.012471779780597</v>
      </c>
    </row>
    <row r="268" spans="1:24" s="16" customFormat="1">
      <c r="A268" s="484">
        <v>11.7</v>
      </c>
      <c r="B268" s="388" t="s">
        <v>561</v>
      </c>
      <c r="C268" s="21">
        <f>tot_brine_alarm</f>
        <v>0</v>
      </c>
      <c r="D268" s="389" t="s">
        <v>64</v>
      </c>
      <c r="E268" s="394" t="s">
        <v>1343</v>
      </c>
      <c r="F268" s="394"/>
      <c r="G268" s="394" t="s">
        <v>1343</v>
      </c>
      <c r="H268" s="21"/>
      <c r="I268" s="391" t="str">
        <f>IF(tot_brine_alarm=0,"NA",VLOOKUP(0,alarm_cost_cl,3))</f>
        <v>NA</v>
      </c>
      <c r="J268" s="392" t="str">
        <f>IF(tot_brine_alarm=0,"--",IF(I268="contact vendor","--",C268*I268))</f>
        <v>--</v>
      </c>
      <c r="K268" s="394" t="str">
        <f>IF(tot_brine_alarm=0,"NA",VLOOKUP(0,alarm_cost_cl,IF(ss_cat="large",4,5)))</f>
        <v>NA</v>
      </c>
      <c r="L268" s="393"/>
      <c r="M268" s="16" t="str">
        <f t="shared" si="25"/>
        <v>Instrumentation and Controls - High/Low Alarm (for mixing tanks)</v>
      </c>
      <c r="N268" s="526">
        <v>1</v>
      </c>
      <c r="O268" s="526">
        <v>1</v>
      </c>
      <c r="P268" s="526">
        <v>1</v>
      </c>
      <c r="Q268" s="526">
        <v>1</v>
      </c>
      <c r="R268" s="526">
        <v>1</v>
      </c>
      <c r="S268" s="526">
        <v>1</v>
      </c>
      <c r="T268" s="526">
        <v>1</v>
      </c>
      <c r="U268" s="526">
        <v>1</v>
      </c>
      <c r="V268" s="526">
        <v>1</v>
      </c>
      <c r="W268" s="526">
        <f t="shared" si="23"/>
        <v>0</v>
      </c>
      <c r="X268" s="526">
        <f t="shared" si="24"/>
        <v>0</v>
      </c>
    </row>
    <row r="269" spans="1:24" s="16" customFormat="1">
      <c r="A269" s="484">
        <v>11.9</v>
      </c>
      <c r="B269" s="388" t="s">
        <v>2705</v>
      </c>
      <c r="C269" s="21">
        <f>tot_caustic_alarm</f>
        <v>0</v>
      </c>
      <c r="D269" s="389" t="s">
        <v>64</v>
      </c>
      <c r="E269" s="394" t="s">
        <v>1343</v>
      </c>
      <c r="F269" s="394"/>
      <c r="G269" s="394" t="s">
        <v>1343</v>
      </c>
      <c r="H269" s="21"/>
      <c r="I269" s="391" t="str">
        <f>IF(tot_caustic_alarm=0,"NA",VLOOKUP(0,alarm_cost_cl,3))</f>
        <v>NA</v>
      </c>
      <c r="J269" s="392" t="str">
        <f>IF(tot_caustic_alarm=0,"--",IF(I269="contact vendor","--",C269*I269))</f>
        <v>--</v>
      </c>
      <c r="K269" s="394" t="str">
        <f>IF(tot_caustic_alarm=0,"NA",VLOOKUP(0,alarm_cost_cl,IF(ss_cat="large",4,5)))</f>
        <v>NA</v>
      </c>
      <c r="L269" s="393"/>
      <c r="M269" s="16" t="str">
        <f t="shared" si="25"/>
        <v>Instrumentation and Controls - High/Low Alarm (for caustic tanks)</v>
      </c>
      <c r="N269" s="526">
        <v>1</v>
      </c>
      <c r="O269" s="526">
        <v>1</v>
      </c>
      <c r="P269" s="526">
        <v>1</v>
      </c>
      <c r="Q269" s="526">
        <v>1</v>
      </c>
      <c r="R269" s="526">
        <v>1</v>
      </c>
      <c r="S269" s="526">
        <v>1</v>
      </c>
      <c r="T269" s="526">
        <v>1</v>
      </c>
      <c r="U269" s="526">
        <v>1</v>
      </c>
      <c r="V269" s="526">
        <v>1</v>
      </c>
      <c r="W269" s="526">
        <f t="shared" si="23"/>
        <v>0</v>
      </c>
      <c r="X269" s="526">
        <f t="shared" si="24"/>
        <v>0</v>
      </c>
    </row>
    <row r="270" spans="1:24" s="16" customFormat="1">
      <c r="A270" s="793" t="s">
        <v>3247</v>
      </c>
      <c r="B270" s="419" t="s">
        <v>2737</v>
      </c>
      <c r="C270" s="21">
        <f>tot_res_alarm</f>
        <v>1</v>
      </c>
      <c r="D270" s="389" t="s">
        <v>64</v>
      </c>
      <c r="E270" s="394" t="s">
        <v>1343</v>
      </c>
      <c r="F270" s="21"/>
      <c r="G270" s="394" t="s">
        <v>1343</v>
      </c>
      <c r="H270" s="21"/>
      <c r="I270" s="391">
        <f>IF(C270=0,"NA",VLOOKUP(0,alarm_cost_cl,3))</f>
        <v>600.18707669670891</v>
      </c>
      <c r="J270" s="392">
        <f>IF(OR(I270="contact vendor",I270="NA"),"--",C270*I270)</f>
        <v>600.18707669670891</v>
      </c>
      <c r="K270" s="394">
        <f>IF(C270=0,"NA",VLOOKUP(0,alarm_cost_cl,IF(ss_cat="large",4,5)))</f>
        <v>15</v>
      </c>
      <c r="L270" s="423">
        <v>1</v>
      </c>
      <c r="M270" s="16" t="str">
        <f t="shared" si="25"/>
        <v>Instrumentation and Controls - High/Low Alarm (for holding tanks)</v>
      </c>
      <c r="N270" s="526">
        <v>1</v>
      </c>
      <c r="O270" s="526">
        <v>1</v>
      </c>
      <c r="P270" s="526">
        <v>1</v>
      </c>
      <c r="Q270" s="526">
        <v>1</v>
      </c>
      <c r="R270" s="526">
        <v>1</v>
      </c>
      <c r="S270" s="526">
        <v>1</v>
      </c>
      <c r="T270" s="526">
        <v>1</v>
      </c>
      <c r="U270" s="526">
        <v>1</v>
      </c>
      <c r="V270" s="526">
        <v>1</v>
      </c>
      <c r="W270" s="526">
        <f t="shared" si="23"/>
        <v>1</v>
      </c>
      <c r="X270" s="526">
        <f t="shared" si="24"/>
        <v>40.012471779780597</v>
      </c>
    </row>
    <row r="271" spans="1:24" s="16" customFormat="1">
      <c r="A271" s="484">
        <v>11.11</v>
      </c>
      <c r="B271" s="388" t="s">
        <v>798</v>
      </c>
      <c r="C271" s="21">
        <f>IF(design_flow&lt;1,temp_meters_small,temp_meters)</f>
        <v>1</v>
      </c>
      <c r="D271" s="389" t="s">
        <v>64</v>
      </c>
      <c r="E271" s="394" t="s">
        <v>1343</v>
      </c>
      <c r="F271" s="1"/>
      <c r="G271" s="394" t="s">
        <v>1343</v>
      </c>
      <c r="H271" s="1"/>
      <c r="I271" s="391">
        <f>VLOOKUP(0,temp_meter_cost_cl,3)</f>
        <v>794.75852923757691</v>
      </c>
      <c r="J271" s="392">
        <f>IF(I271="contact vendor","--",C271*I271)</f>
        <v>794.75852923757691</v>
      </c>
      <c r="K271" s="21">
        <f>VLOOKUP(0,temp_meter_cost_cl,IF(ss_cat="large",4,5))</f>
        <v>15</v>
      </c>
      <c r="L271" s="393">
        <v>1</v>
      </c>
      <c r="M271" s="16" t="str">
        <f t="shared" si="25"/>
        <v>Instrumentation and Controls - Temperature meters</v>
      </c>
      <c r="N271" s="526">
        <v>1</v>
      </c>
      <c r="O271" s="526">
        <v>1</v>
      </c>
      <c r="P271" s="526">
        <v>1</v>
      </c>
      <c r="Q271" s="526">
        <v>1</v>
      </c>
      <c r="R271" s="526">
        <v>1</v>
      </c>
      <c r="S271" s="526">
        <v>1</v>
      </c>
      <c r="T271" s="526">
        <v>1</v>
      </c>
      <c r="U271" s="526">
        <v>1</v>
      </c>
      <c r="V271" s="526">
        <v>1</v>
      </c>
      <c r="W271" s="526">
        <f t="shared" si="23"/>
        <v>1</v>
      </c>
      <c r="X271" s="526">
        <f t="shared" si="24"/>
        <v>52.983901949171795</v>
      </c>
    </row>
    <row r="272" spans="1:24" s="16" customFormat="1">
      <c r="A272" s="484">
        <v>11.12</v>
      </c>
      <c r="B272" s="388" t="s">
        <v>300</v>
      </c>
      <c r="C272" s="21">
        <f>tot_head_sens</f>
        <v>6</v>
      </c>
      <c r="D272" s="389" t="s">
        <v>64</v>
      </c>
      <c r="E272" s="394" t="s">
        <v>1343</v>
      </c>
      <c r="F272" s="1"/>
      <c r="G272" s="394" t="s">
        <v>1343</v>
      </c>
      <c r="H272" s="1"/>
      <c r="I272" s="391">
        <f>VLOOKUP(0,headloss_cost_cl,3)</f>
        <v>2388.9364733422249</v>
      </c>
      <c r="J272" s="392">
        <f>IF(I272="contact vendor","--",C272*I272)</f>
        <v>14333.61884005335</v>
      </c>
      <c r="K272" s="21">
        <f>VLOOKUP(0,headloss_cost_cl,IF(ss_cat="large",4,5))</f>
        <v>15</v>
      </c>
      <c r="L272" s="393">
        <v>1</v>
      </c>
      <c r="M272" s="16" t="str">
        <f t="shared" si="25"/>
        <v>Instrumentation and Controls - Head loss sensors</v>
      </c>
      <c r="N272" s="526">
        <v>1</v>
      </c>
      <c r="O272" s="526">
        <v>1</v>
      </c>
      <c r="P272" s="526">
        <v>1</v>
      </c>
      <c r="Q272" s="526">
        <v>1</v>
      </c>
      <c r="R272" s="526">
        <v>1</v>
      </c>
      <c r="S272" s="526">
        <v>1</v>
      </c>
      <c r="T272" s="526">
        <v>1</v>
      </c>
      <c r="U272" s="526">
        <v>1</v>
      </c>
      <c r="V272" s="526">
        <v>1</v>
      </c>
      <c r="W272" s="526">
        <f t="shared" si="23"/>
        <v>1</v>
      </c>
      <c r="X272" s="526">
        <f t="shared" si="24"/>
        <v>955.57458933688997</v>
      </c>
    </row>
    <row r="273" spans="1:24" s="16" customFormat="1">
      <c r="A273" s="484">
        <v>11.13</v>
      </c>
      <c r="B273" s="29" t="s">
        <v>299</v>
      </c>
      <c r="C273" s="388"/>
      <c r="D273" s="388"/>
      <c r="E273" s="388"/>
      <c r="F273" s="388"/>
      <c r="G273" s="388"/>
      <c r="H273" s="388"/>
      <c r="I273" s="421"/>
      <c r="J273" s="421"/>
      <c r="K273" s="388"/>
      <c r="L273" s="422"/>
      <c r="N273" s="526"/>
      <c r="O273" s="526"/>
      <c r="P273" s="526"/>
      <c r="Q273" s="526"/>
      <c r="R273" s="526"/>
      <c r="S273" s="526"/>
      <c r="T273" s="526"/>
      <c r="U273" s="526"/>
      <c r="V273" s="526"/>
      <c r="W273" s="526">
        <f t="shared" si="23"/>
        <v>0</v>
      </c>
      <c r="X273" s="526">
        <f t="shared" si="24"/>
        <v>0</v>
      </c>
    </row>
    <row r="274" spans="1:24" s="16" customFormat="1">
      <c r="A274" s="489" t="s">
        <v>2466</v>
      </c>
      <c r="B274" s="21" t="s">
        <v>2582</v>
      </c>
      <c r="C274" s="21">
        <f>ports</f>
        <v>6</v>
      </c>
      <c r="D274" s="389" t="s">
        <v>64</v>
      </c>
      <c r="E274" s="394" t="s">
        <v>1343</v>
      </c>
      <c r="F274" s="394"/>
      <c r="G274" s="394" t="s">
        <v>1343</v>
      </c>
      <c r="H274" s="21"/>
      <c r="I274" s="391">
        <v>50</v>
      </c>
      <c r="J274" s="392">
        <f t="shared" ref="J274:J280" si="26">IF(OR(C274=0,I274="contact vendor"),"--",C274*I274)</f>
        <v>300</v>
      </c>
      <c r="K274" s="21">
        <f>IF(ss_cat="large",35,30)</f>
        <v>35</v>
      </c>
      <c r="L274" s="393">
        <v>1</v>
      </c>
      <c r="M274" s="16" t="str">
        <f>$B$245&amp;" - "&amp;$B$273&amp;" - "&amp;B274</f>
        <v>Instrumentation and Controls - Sampling Ports - Stainless Steel</v>
      </c>
      <c r="N274" s="651">
        <v>1</v>
      </c>
      <c r="O274" s="651">
        <v>2</v>
      </c>
      <c r="P274" s="651">
        <v>2</v>
      </c>
      <c r="Q274" s="651">
        <v>1</v>
      </c>
      <c r="R274" s="651">
        <v>2</v>
      </c>
      <c r="S274" s="651">
        <v>2</v>
      </c>
      <c r="T274" s="651">
        <v>1</v>
      </c>
      <c r="U274" s="651">
        <v>2</v>
      </c>
      <c r="V274" s="651">
        <v>2</v>
      </c>
      <c r="W274" s="526">
        <f t="shared" si="23"/>
        <v>1</v>
      </c>
      <c r="X274" s="526">
        <f t="shared" si="24"/>
        <v>8.5714285714285712</v>
      </c>
    </row>
    <row r="275" spans="1:24" s="16" customFormat="1">
      <c r="A275" s="489" t="s">
        <v>2466</v>
      </c>
      <c r="B275" s="21" t="s">
        <v>298</v>
      </c>
      <c r="C275" s="21">
        <f>ports</f>
        <v>6</v>
      </c>
      <c r="D275" s="389" t="s">
        <v>64</v>
      </c>
      <c r="E275" s="394" t="s">
        <v>1343</v>
      </c>
      <c r="F275" s="394"/>
      <c r="G275" s="394" t="s">
        <v>1343</v>
      </c>
      <c r="H275" s="21"/>
      <c r="I275" s="391">
        <v>50</v>
      </c>
      <c r="J275" s="392">
        <f t="shared" si="26"/>
        <v>300</v>
      </c>
      <c r="K275" s="21">
        <f>IF(ss_cat="large",25,22)</f>
        <v>25</v>
      </c>
      <c r="L275" s="393">
        <v>0</v>
      </c>
      <c r="M275" s="16" t="str">
        <f>$B$245&amp;" - "&amp;$B$273&amp;" - "&amp;B275</f>
        <v>Instrumentation and Controls - Sampling Ports - Carbon Steel</v>
      </c>
      <c r="N275" s="651">
        <v>2</v>
      </c>
      <c r="O275" s="651">
        <v>1</v>
      </c>
      <c r="P275" s="651">
        <v>1</v>
      </c>
      <c r="Q275" s="651">
        <v>2</v>
      </c>
      <c r="R275" s="651">
        <v>1</v>
      </c>
      <c r="S275" s="651">
        <v>1</v>
      </c>
      <c r="T275" s="651">
        <v>2</v>
      </c>
      <c r="U275" s="651">
        <v>1</v>
      </c>
      <c r="V275" s="651">
        <v>1</v>
      </c>
      <c r="W275" s="526">
        <f t="shared" si="23"/>
        <v>0</v>
      </c>
      <c r="X275" s="526">
        <f t="shared" si="24"/>
        <v>0</v>
      </c>
    </row>
    <row r="276" spans="1:24" s="16" customFormat="1">
      <c r="A276" s="484">
        <v>11.14</v>
      </c>
      <c r="B276" s="388" t="s">
        <v>93</v>
      </c>
      <c r="C276" s="21">
        <f>elec_encl</f>
        <v>0</v>
      </c>
      <c r="D276" s="389" t="s">
        <v>64</v>
      </c>
      <c r="E276" s="394" t="s">
        <v>1343</v>
      </c>
      <c r="F276" s="394"/>
      <c r="G276" s="394" t="s">
        <v>1343</v>
      </c>
      <c r="H276" s="21"/>
      <c r="I276" s="391">
        <f>VLOOKUP(0,elec_encl_cost_cl,3)</f>
        <v>1400</v>
      </c>
      <c r="J276" s="392" t="str">
        <f t="shared" si="26"/>
        <v>--</v>
      </c>
      <c r="K276" s="21">
        <f>VLOOKUP(0,elec_encl_cost_cl,IF(ss_cat="large",4,5))</f>
        <v>22</v>
      </c>
      <c r="L276" s="393"/>
      <c r="M276" s="16" t="str">
        <f>$B$245&amp;" - "&amp;B276</f>
        <v>Instrumentation and Controls - Electrical Enclosure</v>
      </c>
      <c r="N276" s="526">
        <v>1</v>
      </c>
      <c r="O276" s="526">
        <v>1</v>
      </c>
      <c r="P276" s="526">
        <v>1</v>
      </c>
      <c r="Q276" s="526">
        <v>1</v>
      </c>
      <c r="R276" s="526">
        <v>1</v>
      </c>
      <c r="S276" s="526">
        <v>1</v>
      </c>
      <c r="T276" s="526">
        <v>1</v>
      </c>
      <c r="U276" s="526">
        <v>1</v>
      </c>
      <c r="V276" s="526">
        <v>1</v>
      </c>
      <c r="W276" s="526">
        <f t="shared" si="23"/>
        <v>0</v>
      </c>
      <c r="X276" s="526">
        <f t="shared" si="24"/>
        <v>0</v>
      </c>
    </row>
    <row r="277" spans="1:24" s="16" customFormat="1">
      <c r="A277" s="484">
        <v>11.15</v>
      </c>
      <c r="B277" s="388" t="s">
        <v>797</v>
      </c>
      <c r="C277" s="21">
        <f>ORP_sensor</f>
        <v>0</v>
      </c>
      <c r="D277" s="389" t="s">
        <v>64</v>
      </c>
      <c r="E277" s="394" t="s">
        <v>1343</v>
      </c>
      <c r="F277" s="394"/>
      <c r="G277" s="394" t="s">
        <v>1343</v>
      </c>
      <c r="H277" s="21"/>
      <c r="I277" s="391">
        <f>VLOOKUP(0,orp_anal_cost_cl,3)</f>
        <v>2732.7503535108604</v>
      </c>
      <c r="J277" s="392" t="str">
        <f t="shared" si="26"/>
        <v>--</v>
      </c>
      <c r="K277" s="21">
        <f>VLOOKUP(0,orp_anal_cost_cl,IF(ss_cat="large",4,5))</f>
        <v>15</v>
      </c>
      <c r="L277" s="393"/>
      <c r="M277" s="16" t="str">
        <f>$B$245&amp;" - "&amp;B277</f>
        <v>Instrumentation and Controls - ORP sensors</v>
      </c>
      <c r="N277" s="526">
        <v>1</v>
      </c>
      <c r="O277" s="526">
        <v>1</v>
      </c>
      <c r="P277" s="526">
        <v>1</v>
      </c>
      <c r="Q277" s="526">
        <v>1</v>
      </c>
      <c r="R277" s="526">
        <v>1</v>
      </c>
      <c r="S277" s="526">
        <v>1</v>
      </c>
      <c r="T277" s="526">
        <v>1</v>
      </c>
      <c r="U277" s="526">
        <v>1</v>
      </c>
      <c r="V277" s="526">
        <v>1</v>
      </c>
      <c r="W277" s="526">
        <f t="shared" si="23"/>
        <v>0</v>
      </c>
      <c r="X277" s="526">
        <f t="shared" si="24"/>
        <v>0</v>
      </c>
    </row>
    <row r="278" spans="1:24" s="16" customFormat="1">
      <c r="A278" s="484">
        <v>11.16</v>
      </c>
      <c r="B278" s="388" t="s">
        <v>2296</v>
      </c>
      <c r="C278" s="21">
        <f>pH_controls</f>
        <v>0</v>
      </c>
      <c r="D278" s="389" t="s">
        <v>64</v>
      </c>
      <c r="E278" s="394" t="s">
        <v>1343</v>
      </c>
      <c r="F278" s="1"/>
      <c r="G278" s="394" t="s">
        <v>1343</v>
      </c>
      <c r="H278" s="1"/>
      <c r="I278" s="391">
        <f>VLOOKUP(0,pH_meter_cost_cl,3)</f>
        <v>3047.1155477538618</v>
      </c>
      <c r="J278" s="392" t="str">
        <f t="shared" si="26"/>
        <v>--</v>
      </c>
      <c r="K278" s="21">
        <f>VLOOKUP(0,pH_meter_cost_cl,IF(ss_cat="large",4,5))</f>
        <v>15</v>
      </c>
      <c r="L278" s="393"/>
      <c r="M278" s="16" t="str">
        <f>$B$245&amp;" - "&amp;B278</f>
        <v>Instrumentation and Controls - pH Meters</v>
      </c>
      <c r="N278" s="526">
        <v>1</v>
      </c>
      <c r="O278" s="526">
        <v>1</v>
      </c>
      <c r="P278" s="526">
        <v>1</v>
      </c>
      <c r="Q278" s="526">
        <v>1</v>
      </c>
      <c r="R278" s="526">
        <v>1</v>
      </c>
      <c r="S278" s="526">
        <v>1</v>
      </c>
      <c r="T278" s="526">
        <v>1</v>
      </c>
      <c r="U278" s="526">
        <v>1</v>
      </c>
      <c r="V278" s="526">
        <v>1</v>
      </c>
      <c r="W278" s="526">
        <f t="shared" si="23"/>
        <v>0</v>
      </c>
      <c r="X278" s="526">
        <f t="shared" si="24"/>
        <v>0</v>
      </c>
    </row>
    <row r="279" spans="1:24" s="16" customFormat="1">
      <c r="A279" s="484">
        <v>11.17</v>
      </c>
      <c r="B279" s="388" t="s">
        <v>999</v>
      </c>
      <c r="C279" s="21">
        <f>tot_turb_meters</f>
        <v>1</v>
      </c>
      <c r="D279" s="389" t="s">
        <v>64</v>
      </c>
      <c r="E279" s="394" t="s">
        <v>1343</v>
      </c>
      <c r="F279" s="1"/>
      <c r="G279" s="394" t="s">
        <v>1343</v>
      </c>
      <c r="H279" s="1"/>
      <c r="I279" s="391">
        <f>VLOOKUP(0,turbidimeter_cost_cl,3)</f>
        <v>6183.7045937122821</v>
      </c>
      <c r="J279" s="392">
        <f t="shared" si="26"/>
        <v>6183.7045937122821</v>
      </c>
      <c r="K279" s="21">
        <f>VLOOKUP(0,turbidimeter_cost_cl,IF(ss_cat="large",4,5))</f>
        <v>15</v>
      </c>
      <c r="L279" s="393">
        <v>1</v>
      </c>
      <c r="M279" s="16" t="str">
        <f>$B$245&amp;" - "&amp;B279</f>
        <v>Instrumentation and Controls - Turbidity meters</v>
      </c>
      <c r="N279" s="526">
        <v>1</v>
      </c>
      <c r="O279" s="526">
        <v>1</v>
      </c>
      <c r="P279" s="526">
        <v>1</v>
      </c>
      <c r="Q279" s="526">
        <v>1</v>
      </c>
      <c r="R279" s="526">
        <v>1</v>
      </c>
      <c r="S279" s="526">
        <v>1</v>
      </c>
      <c r="T279" s="526">
        <v>1</v>
      </c>
      <c r="U279" s="526">
        <v>1</v>
      </c>
      <c r="V279" s="526">
        <v>1</v>
      </c>
      <c r="W279" s="526">
        <f t="shared" si="23"/>
        <v>1</v>
      </c>
      <c r="X279" s="526">
        <f t="shared" si="24"/>
        <v>412.24697291415214</v>
      </c>
    </row>
    <row r="280" spans="1:24" s="16" customFormat="1">
      <c r="A280" s="484">
        <v>11.18</v>
      </c>
      <c r="B280" s="388" t="s">
        <v>1000</v>
      </c>
      <c r="C280" s="21">
        <f>tot_cond_meters</f>
        <v>0</v>
      </c>
      <c r="D280" s="389" t="s">
        <v>64</v>
      </c>
      <c r="E280" s="394" t="s">
        <v>1343</v>
      </c>
      <c r="F280" s="1"/>
      <c r="G280" s="394" t="s">
        <v>1343</v>
      </c>
      <c r="H280" s="1"/>
      <c r="I280" s="391">
        <f>VLOOKUP(0,conduct_meter_cost_cl,3)</f>
        <v>2280.4682700037665</v>
      </c>
      <c r="J280" s="392" t="str">
        <f t="shared" si="26"/>
        <v>--</v>
      </c>
      <c r="K280" s="21">
        <f>VLOOKUP(0,conduct_meter_cost_cl,IF(ss_cat="large",4,5))</f>
        <v>15</v>
      </c>
      <c r="L280" s="393"/>
      <c r="M280" s="16" t="str">
        <f>$B$245&amp;" - "&amp;B280</f>
        <v>Instrumentation and Controls - Conductivity meters</v>
      </c>
      <c r="N280" s="526">
        <v>1</v>
      </c>
      <c r="O280" s="526">
        <v>1</v>
      </c>
      <c r="P280" s="526">
        <v>1</v>
      </c>
      <c r="Q280" s="526">
        <v>1</v>
      </c>
      <c r="R280" s="526">
        <v>1</v>
      </c>
      <c r="S280" s="526">
        <v>1</v>
      </c>
      <c r="T280" s="526">
        <v>1</v>
      </c>
      <c r="U280" s="526">
        <v>1</v>
      </c>
      <c r="V280" s="526">
        <v>1</v>
      </c>
      <c r="W280" s="526">
        <f t="shared" si="23"/>
        <v>0</v>
      </c>
      <c r="X280" s="526">
        <f t="shared" si="24"/>
        <v>0</v>
      </c>
    </row>
    <row r="281" spans="1:24" s="16" customFormat="1">
      <c r="A281" s="483">
        <v>12</v>
      </c>
      <c r="B281" s="28" t="s">
        <v>1344</v>
      </c>
      <c r="C281" s="269"/>
      <c r="D281" s="270"/>
      <c r="E281" s="271"/>
      <c r="F281" s="271"/>
      <c r="G281" s="271"/>
      <c r="H281" s="269"/>
      <c r="I281" s="272"/>
      <c r="J281" s="273"/>
      <c r="K281" s="269"/>
      <c r="L281" s="254"/>
      <c r="N281" s="526"/>
      <c r="O281" s="526"/>
      <c r="P281" s="526"/>
      <c r="Q281" s="526"/>
      <c r="R281" s="526"/>
      <c r="S281" s="526"/>
      <c r="T281" s="526"/>
      <c r="U281" s="526"/>
      <c r="V281" s="526"/>
      <c r="W281" s="526">
        <f t="shared" si="23"/>
        <v>0</v>
      </c>
      <c r="X281" s="526">
        <f t="shared" si="24"/>
        <v>0</v>
      </c>
    </row>
    <row r="282" spans="1:24" s="16" customFormat="1">
      <c r="A282" s="485">
        <v>12.1</v>
      </c>
      <c r="B282" s="29" t="s">
        <v>301</v>
      </c>
      <c r="C282" s="257"/>
      <c r="D282" s="264"/>
      <c r="E282" s="264"/>
      <c r="F282" s="264"/>
      <c r="G282" s="264"/>
      <c r="H282" s="264"/>
      <c r="I282" s="274"/>
      <c r="J282" s="274"/>
      <c r="K282" s="264"/>
      <c r="L282" s="261"/>
      <c r="N282" s="526"/>
      <c r="O282" s="526"/>
      <c r="P282" s="526"/>
      <c r="Q282" s="526"/>
      <c r="R282" s="526"/>
      <c r="S282" s="526"/>
      <c r="T282" s="526"/>
      <c r="U282" s="526"/>
      <c r="V282" s="526"/>
      <c r="W282" s="526">
        <f t="shared" si="23"/>
        <v>0</v>
      </c>
      <c r="X282" s="526">
        <f t="shared" si="24"/>
        <v>0</v>
      </c>
    </row>
    <row r="283" spans="1:24" s="16" customFormat="1">
      <c r="A283" s="489" t="s">
        <v>2442</v>
      </c>
      <c r="B283" s="21" t="s">
        <v>302</v>
      </c>
      <c r="C283" s="21">
        <f>IF(manual=1,0,plc_rack)</f>
        <v>0</v>
      </c>
      <c r="D283" s="389" t="s">
        <v>64</v>
      </c>
      <c r="E283" s="394" t="s">
        <v>1343</v>
      </c>
      <c r="F283" s="21"/>
      <c r="G283" s="394" t="s">
        <v>1343</v>
      </c>
      <c r="H283" s="21"/>
      <c r="I283" s="391" t="str">
        <f>IF(manual=1,"NA",VLOOKUP(0,plc_rack_cost_cl,3))</f>
        <v>NA</v>
      </c>
      <c r="J283" s="392">
        <f>IF(I283="contact vendor","--",IF(manual=1,0,C283*I283))</f>
        <v>0</v>
      </c>
      <c r="K283" s="394" t="str">
        <f>IF(manual=1,"NA",VLOOKUP(0,plc_rack_cost_cl,IF(ss_cat="large",4,5)))</f>
        <v>NA</v>
      </c>
      <c r="L283" s="393"/>
      <c r="M283" t="str">
        <f>$B$281&amp;" - "&amp;$B$282&amp;" - "&amp;B283</f>
        <v>System Controls  - PLC Units - PLC racks/power supplies</v>
      </c>
      <c r="N283" s="526">
        <v>1</v>
      </c>
      <c r="O283" s="526">
        <v>1</v>
      </c>
      <c r="P283" s="526">
        <v>1</v>
      </c>
      <c r="Q283" s="526">
        <v>1</v>
      </c>
      <c r="R283" s="526">
        <v>1</v>
      </c>
      <c r="S283" s="526">
        <v>1</v>
      </c>
      <c r="T283" s="526">
        <v>1</v>
      </c>
      <c r="U283" s="526">
        <v>1</v>
      </c>
      <c r="V283" s="526">
        <v>1</v>
      </c>
      <c r="W283" s="526">
        <f t="shared" si="23"/>
        <v>0</v>
      </c>
      <c r="X283" s="526">
        <f t="shared" si="24"/>
        <v>0</v>
      </c>
    </row>
    <row r="284" spans="1:24" s="16" customFormat="1">
      <c r="A284" s="489" t="s">
        <v>2443</v>
      </c>
      <c r="B284" s="21" t="s">
        <v>293</v>
      </c>
      <c r="C284" s="21">
        <f>IF(manual=1,0,plc_cpu)</f>
        <v>0</v>
      </c>
      <c r="D284" s="389" t="s">
        <v>64</v>
      </c>
      <c r="E284" s="394" t="s">
        <v>1343</v>
      </c>
      <c r="F284" s="21"/>
      <c r="G284" s="394" t="s">
        <v>1343</v>
      </c>
      <c r="H284" s="21"/>
      <c r="I284" s="391" t="str">
        <f>IF(manual=1,"NA",VLOOKUP(0,plc_cpu_cost_cl,3))</f>
        <v>NA</v>
      </c>
      <c r="J284" s="392">
        <f t="shared" ref="J284:J290" si="27">IF(I284="contact vendor","--",IF(manual=1,0,C284*I284))</f>
        <v>0</v>
      </c>
      <c r="K284" s="394" t="str">
        <f>IF(manual=1,"NA",VLOOKUP(0,plc_cpu_cost_cl,IF(ss_cat="large",4,5)))</f>
        <v>NA</v>
      </c>
      <c r="L284" s="393"/>
      <c r="M284" t="str">
        <f t="shared" ref="M284:M291" si="28">$B$281&amp;" - "&amp;$B$282&amp;" - "&amp;B284</f>
        <v>System Controls  - PLC Units - CPUs</v>
      </c>
      <c r="N284" s="526">
        <v>1</v>
      </c>
      <c r="O284" s="526">
        <v>1</v>
      </c>
      <c r="P284" s="526">
        <v>1</v>
      </c>
      <c r="Q284" s="526">
        <v>1</v>
      </c>
      <c r="R284" s="526">
        <v>1</v>
      </c>
      <c r="S284" s="526">
        <v>1</v>
      </c>
      <c r="T284" s="526">
        <v>1</v>
      </c>
      <c r="U284" s="526">
        <v>1</v>
      </c>
      <c r="V284" s="526">
        <v>1</v>
      </c>
      <c r="W284" s="526">
        <f t="shared" si="23"/>
        <v>0</v>
      </c>
      <c r="X284" s="526">
        <f t="shared" si="24"/>
        <v>0</v>
      </c>
    </row>
    <row r="285" spans="1:24" s="16" customFormat="1">
      <c r="A285" s="489" t="s">
        <v>2444</v>
      </c>
      <c r="B285" s="21" t="s">
        <v>294</v>
      </c>
      <c r="C285" s="21">
        <f>IF(manual=1,0,plc_discrete_input)</f>
        <v>0</v>
      </c>
      <c r="D285" s="389" t="s">
        <v>64</v>
      </c>
      <c r="E285" s="394" t="s">
        <v>1343</v>
      </c>
      <c r="F285" s="21"/>
      <c r="G285" s="394" t="s">
        <v>1343</v>
      </c>
      <c r="H285" s="21"/>
      <c r="I285" s="391" t="str">
        <f>IF(manual=1,"NA",VLOOKUP(0,plc_discrete_input_cost_cl,3))</f>
        <v>NA</v>
      </c>
      <c r="J285" s="392">
        <f t="shared" si="27"/>
        <v>0</v>
      </c>
      <c r="K285" s="394" t="str">
        <f>IF(manual=1,"NA",VLOOKUP(0,plc_discrete_input_cost_cl,IF(ss_cat="large",4,5)))</f>
        <v>NA</v>
      </c>
      <c r="L285" s="393"/>
      <c r="M285" t="str">
        <f t="shared" si="28"/>
        <v>System Controls  - PLC Units - I/O discrete input modules</v>
      </c>
      <c r="N285" s="526">
        <v>1</v>
      </c>
      <c r="O285" s="526">
        <v>1</v>
      </c>
      <c r="P285" s="526">
        <v>1</v>
      </c>
      <c r="Q285" s="526">
        <v>1</v>
      </c>
      <c r="R285" s="526">
        <v>1</v>
      </c>
      <c r="S285" s="526">
        <v>1</v>
      </c>
      <c r="T285" s="526">
        <v>1</v>
      </c>
      <c r="U285" s="526">
        <v>1</v>
      </c>
      <c r="V285" s="526">
        <v>1</v>
      </c>
      <c r="W285" s="526">
        <f t="shared" si="23"/>
        <v>0</v>
      </c>
      <c r="X285" s="526">
        <f t="shared" si="24"/>
        <v>0</v>
      </c>
    </row>
    <row r="286" spans="1:24" s="16" customFormat="1">
      <c r="A286" s="489" t="s">
        <v>2445</v>
      </c>
      <c r="B286" s="21" t="s">
        <v>295</v>
      </c>
      <c r="C286" s="21">
        <f>IF(manual=1,0,plc_discrete_output)</f>
        <v>0</v>
      </c>
      <c r="D286" s="389" t="s">
        <v>64</v>
      </c>
      <c r="E286" s="394" t="s">
        <v>1343</v>
      </c>
      <c r="F286" s="21"/>
      <c r="G286" s="394" t="s">
        <v>1343</v>
      </c>
      <c r="H286" s="21"/>
      <c r="I286" s="391" t="str">
        <f>IF(manual=1,"NA",VLOOKUP(0,plc_discrete_output_cost_cl,3))</f>
        <v>NA</v>
      </c>
      <c r="J286" s="392">
        <f>IF(I286="contact vendor","--",IF(manual=1,0,C286*I286))</f>
        <v>0</v>
      </c>
      <c r="K286" s="394" t="str">
        <f>IF(manual=1,"NA",VLOOKUP(0,plc_discrete_output_cost_cl,IF(ss_cat="large",4,5)))</f>
        <v>NA</v>
      </c>
      <c r="L286" s="393"/>
      <c r="M286" t="str">
        <f t="shared" si="28"/>
        <v>System Controls  - PLC Units - I/O discrete output modules</v>
      </c>
      <c r="N286" s="526">
        <v>1</v>
      </c>
      <c r="O286" s="526">
        <v>1</v>
      </c>
      <c r="P286" s="526">
        <v>1</v>
      </c>
      <c r="Q286" s="526">
        <v>1</v>
      </c>
      <c r="R286" s="526">
        <v>1</v>
      </c>
      <c r="S286" s="526">
        <v>1</v>
      </c>
      <c r="T286" s="526">
        <v>1</v>
      </c>
      <c r="U286" s="526">
        <v>1</v>
      </c>
      <c r="V286" s="526">
        <v>1</v>
      </c>
      <c r="W286" s="526">
        <f t="shared" si="23"/>
        <v>0</v>
      </c>
      <c r="X286" s="526">
        <f t="shared" si="24"/>
        <v>0</v>
      </c>
    </row>
    <row r="287" spans="1:24" s="16" customFormat="1">
      <c r="A287" s="489" t="s">
        <v>2446</v>
      </c>
      <c r="B287" s="21" t="s">
        <v>296</v>
      </c>
      <c r="C287" s="21">
        <f>IF(manual=1,0,plc_combination_analog)</f>
        <v>0</v>
      </c>
      <c r="D287" s="389" t="s">
        <v>64</v>
      </c>
      <c r="E287" s="394" t="s">
        <v>1343</v>
      </c>
      <c r="F287" s="21"/>
      <c r="G287" s="394" t="s">
        <v>1343</v>
      </c>
      <c r="H287" s="21"/>
      <c r="I287" s="391" t="str">
        <f>IF(manual=1,"NA",VLOOKUP(0,plc_combination_analog_cost_cl,3))</f>
        <v>NA</v>
      </c>
      <c r="J287" s="392">
        <f>IF(I287="contact vendor","--",IF(manual=1,0,C287*I287))</f>
        <v>0</v>
      </c>
      <c r="K287" s="394" t="str">
        <f>IF(manual=1,"NA",VLOOKUP(0,plc_combination_analog_cost_cl,IF(ss_cat="large",4,5)))</f>
        <v>NA</v>
      </c>
      <c r="L287" s="393"/>
      <c r="M287" t="str">
        <f t="shared" si="28"/>
        <v>System Controls  - PLC Units - I/O combination analog modules</v>
      </c>
      <c r="N287" s="526">
        <v>1</v>
      </c>
      <c r="O287" s="526">
        <v>1</v>
      </c>
      <c r="P287" s="526">
        <v>1</v>
      </c>
      <c r="Q287" s="526">
        <v>1</v>
      </c>
      <c r="R287" s="526">
        <v>1</v>
      </c>
      <c r="S287" s="526">
        <v>1</v>
      </c>
      <c r="T287" s="526">
        <v>1</v>
      </c>
      <c r="U287" s="526">
        <v>1</v>
      </c>
      <c r="V287" s="526">
        <v>1</v>
      </c>
      <c r="W287" s="526">
        <f t="shared" si="23"/>
        <v>0</v>
      </c>
      <c r="X287" s="526">
        <f t="shared" si="24"/>
        <v>0</v>
      </c>
    </row>
    <row r="288" spans="1:24" s="16" customFormat="1">
      <c r="A288" s="489" t="s">
        <v>2447</v>
      </c>
      <c r="B288" s="21" t="s">
        <v>297</v>
      </c>
      <c r="C288" s="21">
        <f>IF(manual=1,0,plc_ethernet)</f>
        <v>0</v>
      </c>
      <c r="D288" s="389" t="s">
        <v>64</v>
      </c>
      <c r="E288" s="394" t="s">
        <v>1343</v>
      </c>
      <c r="F288" s="21"/>
      <c r="G288" s="394" t="s">
        <v>1343</v>
      </c>
      <c r="H288" s="21"/>
      <c r="I288" s="391" t="str">
        <f>IF(manual=1,"NA",VLOOKUP(0,plc_ethernet_cost_cl,3))</f>
        <v>NA</v>
      </c>
      <c r="J288" s="392">
        <f>IF(I288="contact vendor","--",IF(manual=1,0,C288*I288))</f>
        <v>0</v>
      </c>
      <c r="K288" s="394" t="str">
        <f>IF(manual=1,"NA",VLOOKUP(0,plc_ethernet_cost_cl,IF(ss_cat="large",4,5)))</f>
        <v>NA</v>
      </c>
      <c r="L288" s="393"/>
      <c r="M288" t="str">
        <f t="shared" si="28"/>
        <v>System Controls  - PLC Units - Ethernet modules</v>
      </c>
      <c r="N288" s="526">
        <v>1</v>
      </c>
      <c r="O288" s="526">
        <v>1</v>
      </c>
      <c r="P288" s="526">
        <v>1</v>
      </c>
      <c r="Q288" s="526">
        <v>1</v>
      </c>
      <c r="R288" s="526">
        <v>1</v>
      </c>
      <c r="S288" s="526">
        <v>1</v>
      </c>
      <c r="T288" s="526">
        <v>1</v>
      </c>
      <c r="U288" s="526">
        <v>1</v>
      </c>
      <c r="V288" s="526">
        <v>1</v>
      </c>
      <c r="W288" s="526">
        <f t="shared" si="23"/>
        <v>0</v>
      </c>
      <c r="X288" s="526">
        <f t="shared" si="24"/>
        <v>0</v>
      </c>
    </row>
    <row r="289" spans="1:25" s="16" customFormat="1">
      <c r="A289" s="489" t="s">
        <v>2448</v>
      </c>
      <c r="B289" s="21" t="s">
        <v>2752</v>
      </c>
      <c r="C289" s="21">
        <f>IF(manual=1,0,plc_base_expansion)</f>
        <v>0</v>
      </c>
      <c r="D289" s="389" t="s">
        <v>64</v>
      </c>
      <c r="E289" s="394" t="s">
        <v>1343</v>
      </c>
      <c r="F289" s="21"/>
      <c r="G289" s="394" t="s">
        <v>1343</v>
      </c>
      <c r="H289" s="21"/>
      <c r="I289" s="391" t="str">
        <f>IF(manual=1,"NA",VLOOKUP(0,plc_base_expansion_cost_cl,3))</f>
        <v>NA</v>
      </c>
      <c r="J289" s="392">
        <f t="shared" si="27"/>
        <v>0</v>
      </c>
      <c r="K289" s="394" t="str">
        <f>IF(manual=1,"NA",VLOOKUP(0,plc_base_expansion_cost_cl,IF(ss_cat="large",4,5)))</f>
        <v>NA</v>
      </c>
      <c r="L289" s="393"/>
      <c r="M289" t="str">
        <f t="shared" si="28"/>
        <v>System Controls  - PLC Units - Base expansion modules</v>
      </c>
      <c r="N289" s="526">
        <v>1</v>
      </c>
      <c r="O289" s="526">
        <v>1</v>
      </c>
      <c r="P289" s="526">
        <v>1</v>
      </c>
      <c r="Q289" s="526">
        <v>1</v>
      </c>
      <c r="R289" s="526">
        <v>1</v>
      </c>
      <c r="S289" s="526">
        <v>1</v>
      </c>
      <c r="T289" s="526">
        <v>1</v>
      </c>
      <c r="U289" s="526">
        <v>1</v>
      </c>
      <c r="V289" s="526">
        <v>1</v>
      </c>
      <c r="W289" s="526">
        <f t="shared" si="23"/>
        <v>0</v>
      </c>
      <c r="X289" s="526">
        <f t="shared" si="24"/>
        <v>0</v>
      </c>
    </row>
    <row r="290" spans="1:25" s="16" customFormat="1">
      <c r="A290" s="489" t="s">
        <v>1868</v>
      </c>
      <c r="B290" s="21" t="s">
        <v>2753</v>
      </c>
      <c r="C290" s="21">
        <f>IF(manual=1,0,plc_base_expansion_controller)</f>
        <v>0</v>
      </c>
      <c r="D290" s="389" t="s">
        <v>64</v>
      </c>
      <c r="E290" s="394" t="s">
        <v>1343</v>
      </c>
      <c r="F290" s="21"/>
      <c r="G290" s="394" t="s">
        <v>1343</v>
      </c>
      <c r="H290" s="21"/>
      <c r="I290" s="391" t="str">
        <f>IF(manual=1,"NA",VLOOKUP(0,plc_base_expansion_controller_cost_cl,3))</f>
        <v>NA</v>
      </c>
      <c r="J290" s="392">
        <f t="shared" si="27"/>
        <v>0</v>
      </c>
      <c r="K290" s="394" t="str">
        <f>IF(manual=1,"NA",VLOOKUP(0,plc_base_expansion_controller_cost_cl,IF(ss_cat="large",4,5)))</f>
        <v>NA</v>
      </c>
      <c r="L290" s="393"/>
      <c r="M290" t="str">
        <f t="shared" si="28"/>
        <v>System Controls  - PLC Units - Base expansion controller modules</v>
      </c>
      <c r="N290" s="526">
        <v>1</v>
      </c>
      <c r="O290" s="526">
        <v>1</v>
      </c>
      <c r="P290" s="526">
        <v>1</v>
      </c>
      <c r="Q290" s="526">
        <v>1</v>
      </c>
      <c r="R290" s="526">
        <v>1</v>
      </c>
      <c r="S290" s="526">
        <v>1</v>
      </c>
      <c r="T290" s="526">
        <v>1</v>
      </c>
      <c r="U290" s="526">
        <v>1</v>
      </c>
      <c r="V290" s="526">
        <v>1</v>
      </c>
      <c r="W290" s="526">
        <f t="shared" si="23"/>
        <v>0</v>
      </c>
      <c r="X290" s="526">
        <f t="shared" si="24"/>
        <v>0</v>
      </c>
    </row>
    <row r="291" spans="1:25" s="16" customFormat="1">
      <c r="A291" s="489" t="s">
        <v>1869</v>
      </c>
      <c r="B291" s="21" t="s">
        <v>2754</v>
      </c>
      <c r="C291" s="21">
        <f>IF(manual=1,0,ups)</f>
        <v>0</v>
      </c>
      <c r="D291" s="389" t="s">
        <v>64</v>
      </c>
      <c r="E291" s="394" t="s">
        <v>1343</v>
      </c>
      <c r="F291" s="21"/>
      <c r="G291" s="394" t="s">
        <v>1343</v>
      </c>
      <c r="H291" s="21"/>
      <c r="I291" s="391" t="str">
        <f>IF(manual=1,"NA",VLOOKUP(0,ups_cost_cl,3))</f>
        <v>NA</v>
      </c>
      <c r="J291" s="392">
        <f>IF(I291="contact vendor","--",IF(manual=1,0,C291*I291))</f>
        <v>0</v>
      </c>
      <c r="K291" s="394" t="str">
        <f>IF(manual=1,"NA",VLOOKUP(0,ups_cost_cl,IF(ss_cat="large",4,5)))</f>
        <v>NA</v>
      </c>
      <c r="L291" s="393"/>
      <c r="M291" t="str">
        <f t="shared" si="28"/>
        <v>System Controls  - PLC Units - UPSs</v>
      </c>
      <c r="N291" s="526">
        <v>1</v>
      </c>
      <c r="O291" s="526">
        <v>1</v>
      </c>
      <c r="P291" s="526">
        <v>1</v>
      </c>
      <c r="Q291" s="526">
        <v>1</v>
      </c>
      <c r="R291" s="526">
        <v>1</v>
      </c>
      <c r="S291" s="526">
        <v>1</v>
      </c>
      <c r="T291" s="526">
        <v>1</v>
      </c>
      <c r="U291" s="526">
        <v>1</v>
      </c>
      <c r="V291" s="526">
        <v>1</v>
      </c>
      <c r="W291" s="526">
        <f t="shared" si="23"/>
        <v>0</v>
      </c>
      <c r="X291" s="526">
        <f t="shared" si="24"/>
        <v>0</v>
      </c>
    </row>
    <row r="292" spans="1:25" s="16" customFormat="1">
      <c r="A292" s="485">
        <v>12.2</v>
      </c>
      <c r="B292" s="257" t="s">
        <v>2755</v>
      </c>
      <c r="C292" s="257"/>
      <c r="D292" s="264"/>
      <c r="E292" s="264"/>
      <c r="F292" s="264"/>
      <c r="G292" s="264"/>
      <c r="H292" s="264"/>
      <c r="I292" s="264"/>
      <c r="J292" s="264"/>
      <c r="K292" s="264"/>
      <c r="L292" s="265"/>
      <c r="N292" s="651"/>
      <c r="O292" s="651"/>
      <c r="P292" s="651"/>
      <c r="Q292" s="651"/>
      <c r="R292" s="651"/>
      <c r="S292" s="651"/>
      <c r="T292" s="651"/>
      <c r="U292" s="651"/>
      <c r="V292" s="651"/>
      <c r="W292" s="526">
        <f t="shared" si="23"/>
        <v>0</v>
      </c>
      <c r="X292" s="526">
        <f t="shared" si="24"/>
        <v>0</v>
      </c>
    </row>
    <row r="293" spans="1:25" s="16" customFormat="1">
      <c r="A293" s="489" t="s">
        <v>1870</v>
      </c>
      <c r="B293" s="21" t="s">
        <v>1635</v>
      </c>
      <c r="C293" s="424">
        <f>IF(manual=1,0,tot_switches)</f>
        <v>0</v>
      </c>
      <c r="D293" s="389" t="s">
        <v>64</v>
      </c>
      <c r="E293" s="394" t="s">
        <v>1343</v>
      </c>
      <c r="F293" s="394"/>
      <c r="G293" s="394" t="s">
        <v>1343</v>
      </c>
      <c r="H293" s="21"/>
      <c r="I293" s="408" t="str">
        <f>IF(manual=1,"NA",VLOOKUP(0,switch_cost_cl,3))</f>
        <v>NA</v>
      </c>
      <c r="J293" s="392">
        <f>IF(I293="contact vendor","--",IF(manual=1,0,C293*I293))</f>
        <v>0</v>
      </c>
      <c r="K293" s="394" t="str">
        <f>IF(manual=1,"NA",VLOOKUP(0,switch_cost_cl,IF(ss_cat="large",4,5)))</f>
        <v>NA</v>
      </c>
      <c r="L293" s="393"/>
      <c r="M293" t="str">
        <f>$B$281&amp;" - "&amp;$B$292&amp;" - "&amp;B293</f>
        <v>System Controls  - Operator Equipment - Drive controllers</v>
      </c>
      <c r="N293" s="526">
        <v>1</v>
      </c>
      <c r="O293" s="526">
        <v>1</v>
      </c>
      <c r="P293" s="526">
        <v>1</v>
      </c>
      <c r="Q293" s="526">
        <v>1</v>
      </c>
      <c r="R293" s="526">
        <v>1</v>
      </c>
      <c r="S293" s="526">
        <v>1</v>
      </c>
      <c r="T293" s="526">
        <v>1</v>
      </c>
      <c r="U293" s="526">
        <v>1</v>
      </c>
      <c r="V293" s="526">
        <v>1</v>
      </c>
      <c r="W293" s="526">
        <f t="shared" ref="W293:W338" si="29">IF(ISERROR(K293*L293),0,IF(K293&lt;1,0,L293))</f>
        <v>0</v>
      </c>
      <c r="X293" s="526">
        <f t="shared" ref="X293:X338" si="30">IF(W293,J293/K293,0)</f>
        <v>0</v>
      </c>
    </row>
    <row r="294" spans="1:25" s="16" customFormat="1">
      <c r="A294" s="489" t="s">
        <v>1871</v>
      </c>
      <c r="B294" s="21" t="s">
        <v>303</v>
      </c>
      <c r="C294" s="21">
        <f>IF(manual=1,0,plc_interface)</f>
        <v>0</v>
      </c>
      <c r="D294" s="389" t="s">
        <v>64</v>
      </c>
      <c r="E294" s="394" t="s">
        <v>1343</v>
      </c>
      <c r="F294" s="21"/>
      <c r="G294" s="394" t="s">
        <v>1343</v>
      </c>
      <c r="H294" s="21"/>
      <c r="I294" s="391" t="str">
        <f>IF(manual=1,"NA",VLOOKUP(ss_cat,plc_op_interface_cost_cl,3,FALSE))</f>
        <v>NA</v>
      </c>
      <c r="J294" s="392">
        <f>IF(I294="contact vendor","--",IF(manual=1,0,C294*I294))</f>
        <v>0</v>
      </c>
      <c r="K294" s="394" t="str">
        <f>IF(manual=1,"NA",VLOOKUP(ss_cat,plc_op_interface_cost_cl,IF(ss_cat="large",4,5),FALSE))</f>
        <v>NA</v>
      </c>
      <c r="L294" s="393"/>
      <c r="M294" t="str">
        <f>$B$281&amp;" - "&amp;$B$292&amp;" - "&amp;B294</f>
        <v>System Controls  - Operator Equipment - Operator interface units</v>
      </c>
      <c r="N294" s="526">
        <v>1</v>
      </c>
      <c r="O294" s="526">
        <v>1</v>
      </c>
      <c r="P294" s="526">
        <v>1</v>
      </c>
      <c r="Q294" s="526">
        <v>1</v>
      </c>
      <c r="R294" s="526">
        <v>1</v>
      </c>
      <c r="S294" s="526">
        <v>1</v>
      </c>
      <c r="T294" s="526">
        <v>1</v>
      </c>
      <c r="U294" s="526">
        <v>1</v>
      </c>
      <c r="V294" s="526">
        <v>1</v>
      </c>
      <c r="W294" s="526">
        <f t="shared" si="29"/>
        <v>0</v>
      </c>
      <c r="X294" s="526">
        <f t="shared" si="30"/>
        <v>0</v>
      </c>
    </row>
    <row r="295" spans="1:25" s="16" customFormat="1">
      <c r="A295" s="489" t="s">
        <v>1872</v>
      </c>
      <c r="B295" s="21" t="s">
        <v>304</v>
      </c>
      <c r="C295" s="21">
        <f>IF(OR(manual=1,ss_cat="small"),0,workstations)</f>
        <v>0</v>
      </c>
      <c r="D295" s="389" t="s">
        <v>64</v>
      </c>
      <c r="E295" s="394" t="s">
        <v>1343</v>
      </c>
      <c r="F295" s="21"/>
      <c r="G295" s="394" t="s">
        <v>1343</v>
      </c>
      <c r="H295" s="21"/>
      <c r="I295" s="391" t="str">
        <f>IF(manual=1,"NA",VLOOKUP(0,pc_workstation_cost_cl,3))</f>
        <v>NA</v>
      </c>
      <c r="J295" s="392">
        <f>IF(I295="contact vendor","--",IF(manual=1,0,C295*I295))</f>
        <v>0</v>
      </c>
      <c r="K295" s="394" t="str">
        <f>IF(manual=1,"NA",VLOOKUP(0,pc_workstation_cost_cl,IF(ss_cat="large",4,5)))</f>
        <v>NA</v>
      </c>
      <c r="L295" s="393"/>
      <c r="M295" t="str">
        <f>$B$281&amp;" - "&amp;$B$292&amp;" - "&amp;B295</f>
        <v>System Controls  - Operator Equipment - PC Workstations</v>
      </c>
      <c r="N295" s="526">
        <v>1</v>
      </c>
      <c r="O295" s="526">
        <v>1</v>
      </c>
      <c r="P295" s="526">
        <v>1</v>
      </c>
      <c r="Q295" s="526">
        <v>1</v>
      </c>
      <c r="R295" s="526">
        <v>1</v>
      </c>
      <c r="S295" s="526">
        <v>1</v>
      </c>
      <c r="T295" s="526">
        <v>1</v>
      </c>
      <c r="U295" s="526">
        <v>1</v>
      </c>
      <c r="V295" s="526">
        <v>1</v>
      </c>
      <c r="W295" s="526">
        <f t="shared" si="29"/>
        <v>0</v>
      </c>
      <c r="X295" s="526">
        <f t="shared" si="30"/>
        <v>0</v>
      </c>
    </row>
    <row r="296" spans="1:25" s="16" customFormat="1">
      <c r="A296" s="489" t="s">
        <v>1873</v>
      </c>
      <c r="B296" s="21" t="s">
        <v>305</v>
      </c>
      <c r="C296" s="21">
        <f>IF(OR(manual=1,ss_cat="small"),0,printers)</f>
        <v>0</v>
      </c>
      <c r="D296" s="389" t="s">
        <v>64</v>
      </c>
      <c r="E296" s="394" t="s">
        <v>1343</v>
      </c>
      <c r="F296" s="21"/>
      <c r="G296" s="394" t="s">
        <v>1343</v>
      </c>
      <c r="H296" s="21"/>
      <c r="I296" s="391" t="str">
        <f>IF(manual=1,"NA",VLOOKUP(0,laser_printer_cost_cl,3))</f>
        <v>NA</v>
      </c>
      <c r="J296" s="392">
        <f>IF(I296="contact vendor","--",IF(manual=1,0,C296*I296))</f>
        <v>0</v>
      </c>
      <c r="K296" s="394" t="str">
        <f>IF(manual=1,"NA",VLOOKUP(0,laser_printer_cost_cl,IF(ss_cat="large",4,5)))</f>
        <v>NA</v>
      </c>
      <c r="L296" s="393"/>
      <c r="M296" t="str">
        <f>$B$281&amp;" - "&amp;$B$292&amp;" - "&amp;B296</f>
        <v>System Controls  - Operator Equipment - Printers - laser jet</v>
      </c>
      <c r="N296" s="526">
        <v>1</v>
      </c>
      <c r="O296" s="526">
        <v>1</v>
      </c>
      <c r="P296" s="526">
        <v>1</v>
      </c>
      <c r="Q296" s="526">
        <v>1</v>
      </c>
      <c r="R296" s="526">
        <v>1</v>
      </c>
      <c r="S296" s="526">
        <v>1</v>
      </c>
      <c r="T296" s="526">
        <v>1</v>
      </c>
      <c r="U296" s="526">
        <v>1</v>
      </c>
      <c r="V296" s="526">
        <v>1</v>
      </c>
      <c r="W296" s="526">
        <f t="shared" si="29"/>
        <v>0</v>
      </c>
      <c r="X296" s="526">
        <f t="shared" si="30"/>
        <v>0</v>
      </c>
    </row>
    <row r="297" spans="1:25" s="16" customFormat="1">
      <c r="A297" s="485">
        <v>12.3</v>
      </c>
      <c r="B297" s="29" t="s">
        <v>938</v>
      </c>
      <c r="C297" s="257"/>
      <c r="D297" s="264"/>
      <c r="E297" s="264"/>
      <c r="F297" s="264"/>
      <c r="G297" s="264"/>
      <c r="H297" s="264"/>
      <c r="I297" s="264"/>
      <c r="J297" s="264"/>
      <c r="K297" s="264"/>
      <c r="L297" s="425"/>
      <c r="N297" s="526"/>
      <c r="O297" s="526"/>
      <c r="P297" s="526"/>
      <c r="Q297" s="526"/>
      <c r="R297" s="526"/>
      <c r="S297" s="526"/>
      <c r="T297" s="526"/>
      <c r="U297" s="526"/>
      <c r="V297" s="526"/>
      <c r="W297" s="526">
        <f t="shared" si="29"/>
        <v>0</v>
      </c>
      <c r="X297" s="526">
        <f t="shared" si="30"/>
        <v>0</v>
      </c>
    </row>
    <row r="298" spans="1:25" s="16" customFormat="1">
      <c r="A298" s="489" t="s">
        <v>1874</v>
      </c>
      <c r="B298" s="21" t="s">
        <v>939</v>
      </c>
      <c r="C298" s="21">
        <f>IF(OR(manual=1,ss_cat="small"),0,plc_interface)</f>
        <v>0</v>
      </c>
      <c r="D298" s="389" t="s">
        <v>64</v>
      </c>
      <c r="E298" s="394" t="s">
        <v>1343</v>
      </c>
      <c r="F298" s="21"/>
      <c r="G298" s="394" t="s">
        <v>1343</v>
      </c>
      <c r="H298" s="21"/>
      <c r="I298" s="391" t="str">
        <f>IF(manual=1,"NA",VLOOKUP(0,op_interface_software_cost_cl,3))</f>
        <v>NA</v>
      </c>
      <c r="J298" s="392">
        <f>IF(I298="contact vendor","--",IF(manual=1,0,C298*I298))</f>
        <v>0</v>
      </c>
      <c r="K298" s="394" t="str">
        <f>IF(manual=1,"NA",VLOOKUP(0,op_interface_software_cost_cl,IF(ss_cat="large",4,5)))</f>
        <v>NA</v>
      </c>
      <c r="L298" s="393"/>
      <c r="M298" t="str">
        <f>$B$281&amp;" - "&amp;$B$297&amp;" - "&amp;B298</f>
        <v>System Controls  - Controls Software - Operator interface software</v>
      </c>
      <c r="N298" s="526">
        <v>1</v>
      </c>
      <c r="O298" s="526">
        <v>1</v>
      </c>
      <c r="P298" s="526">
        <v>1</v>
      </c>
      <c r="Q298" s="526">
        <v>1</v>
      </c>
      <c r="R298" s="526">
        <v>1</v>
      </c>
      <c r="S298" s="526">
        <v>1</v>
      </c>
      <c r="T298" s="526">
        <v>1</v>
      </c>
      <c r="U298" s="526">
        <v>1</v>
      </c>
      <c r="V298" s="526">
        <v>1</v>
      </c>
      <c r="W298" s="526">
        <f t="shared" si="29"/>
        <v>0</v>
      </c>
      <c r="X298" s="526">
        <f t="shared" si="30"/>
        <v>0</v>
      </c>
    </row>
    <row r="299" spans="1:25" s="16" customFormat="1">
      <c r="A299" s="489" t="s">
        <v>1875</v>
      </c>
      <c r="B299" s="21" t="s">
        <v>2484</v>
      </c>
      <c r="C299" s="21">
        <f>IF(OR(manual=1,ss_cat="small"),0,workstations)</f>
        <v>0</v>
      </c>
      <c r="D299" s="389" t="s">
        <v>64</v>
      </c>
      <c r="E299" s="394" t="s">
        <v>1343</v>
      </c>
      <c r="F299" s="21"/>
      <c r="G299" s="394" t="s">
        <v>1343</v>
      </c>
      <c r="H299" s="21"/>
      <c r="I299" s="391" t="str">
        <f>IF(manual=1,"NA",VLOOKUP(0,plc_software_cost_cl,3))</f>
        <v>NA</v>
      </c>
      <c r="J299" s="392">
        <f>IF(I299="contact vendor","--",IF(manual=1,0,C299*I299))</f>
        <v>0</v>
      </c>
      <c r="K299" s="394" t="str">
        <f>IF(manual=1,"NA",VLOOKUP(0,plc_software_cost_cl,IF(ss_cat="large",4,5)))</f>
        <v>NA</v>
      </c>
      <c r="L299" s="393"/>
      <c r="M299" t="str">
        <f>$B$281&amp;" - "&amp;$B$297&amp;" - "&amp;B299</f>
        <v>System Controls  - Controls Software - PLC programming software</v>
      </c>
      <c r="N299" s="526">
        <v>1</v>
      </c>
      <c r="O299" s="526">
        <v>1</v>
      </c>
      <c r="P299" s="526">
        <v>1</v>
      </c>
      <c r="Q299" s="526">
        <v>1</v>
      </c>
      <c r="R299" s="526">
        <v>1</v>
      </c>
      <c r="S299" s="526">
        <v>1</v>
      </c>
      <c r="T299" s="526">
        <v>1</v>
      </c>
      <c r="U299" s="526">
        <v>1</v>
      </c>
      <c r="V299" s="526">
        <v>1</v>
      </c>
      <c r="W299" s="526">
        <f t="shared" si="29"/>
        <v>0</v>
      </c>
      <c r="X299" s="526">
        <f t="shared" si="30"/>
        <v>0</v>
      </c>
    </row>
    <row r="300" spans="1:25" s="16" customFormat="1">
      <c r="A300" s="489" t="s">
        <v>1876</v>
      </c>
      <c r="B300" s="21" t="s">
        <v>2485</v>
      </c>
      <c r="C300" s="21">
        <f>IF(OR(manual=1,ss_cat="small"),0,workstations)</f>
        <v>0</v>
      </c>
      <c r="D300" s="389" t="s">
        <v>64</v>
      </c>
      <c r="E300" s="394" t="s">
        <v>1343</v>
      </c>
      <c r="F300" s="21"/>
      <c r="G300" s="394" t="s">
        <v>1343</v>
      </c>
      <c r="H300" s="21"/>
      <c r="I300" s="391" t="str">
        <f>IF(manual=1,"NA",VLOOKUP(0,plc_data_software_cost_cl,3))</f>
        <v>NA</v>
      </c>
      <c r="J300" s="392">
        <f>IF(I300="contact vendor","--",IF(manual=1,0,C300*I300))</f>
        <v>0</v>
      </c>
      <c r="K300" s="394" t="str">
        <f>IF(manual=1,"NA",VLOOKUP(0,plc_data_software_cost_cl,IF(ss_cat="large",4,5)))</f>
        <v>NA</v>
      </c>
      <c r="L300" s="393"/>
      <c r="M300" t="str">
        <f>$B$281&amp;" - "&amp;$B$297&amp;" - "&amp;B300</f>
        <v>System Controls  - Controls Software - PLC data collection software</v>
      </c>
      <c r="N300" s="526">
        <v>1</v>
      </c>
      <c r="O300" s="526">
        <v>1</v>
      </c>
      <c r="P300" s="526">
        <v>1</v>
      </c>
      <c r="Q300" s="526">
        <v>1</v>
      </c>
      <c r="R300" s="526">
        <v>1</v>
      </c>
      <c r="S300" s="526">
        <v>1</v>
      </c>
      <c r="T300" s="526">
        <v>1</v>
      </c>
      <c r="U300" s="526">
        <v>1</v>
      </c>
      <c r="V300" s="526">
        <v>1</v>
      </c>
      <c r="W300" s="526">
        <f t="shared" si="29"/>
        <v>0</v>
      </c>
      <c r="X300" s="526">
        <f t="shared" si="30"/>
        <v>0</v>
      </c>
    </row>
    <row r="301" spans="1:25" s="16" customFormat="1">
      <c r="A301" s="489" t="s">
        <v>1877</v>
      </c>
      <c r="B301" s="21" t="s">
        <v>306</v>
      </c>
      <c r="C301" s="21">
        <f>IF(OR(manual=1,ss_cat="small"),0,workstations)</f>
        <v>0</v>
      </c>
      <c r="D301" s="389" t="s">
        <v>64</v>
      </c>
      <c r="E301" s="394" t="s">
        <v>1343</v>
      </c>
      <c r="F301" s="21"/>
      <c r="G301" s="394" t="s">
        <v>1343</v>
      </c>
      <c r="H301" s="21"/>
      <c r="I301" s="391" t="str">
        <f>IF(OR(manual=1,ss_cat="small"),"NA",VLOOKUP(0,plant_intel_software_cost_cl,3))</f>
        <v>NA</v>
      </c>
      <c r="J301" s="392">
        <f>IF(I301="contact vendor","--",IF(OR(manual=1,ss_cat="small"),0,C301*I301))</f>
        <v>0</v>
      </c>
      <c r="K301" s="394" t="str">
        <f>IF(OR(manual=1,ss_cat="small"),"NA",VLOOKUP(0,plant_intel_software_cost_cl,IF(ss_cat="large",4,5)))</f>
        <v>NA</v>
      </c>
      <c r="L301" s="393"/>
      <c r="M301" t="str">
        <f>$B$281&amp;" - "&amp;$B$297&amp;" - "&amp;B301</f>
        <v>System Controls  - Controls Software - Plant intelligence software</v>
      </c>
      <c r="N301" s="526">
        <v>1</v>
      </c>
      <c r="O301" s="526">
        <v>1</v>
      </c>
      <c r="P301" s="526">
        <v>1</v>
      </c>
      <c r="Q301" s="526">
        <v>1</v>
      </c>
      <c r="R301" s="526">
        <v>1</v>
      </c>
      <c r="S301" s="526">
        <v>1</v>
      </c>
      <c r="T301" s="526">
        <v>1</v>
      </c>
      <c r="U301" s="526">
        <v>1</v>
      </c>
      <c r="V301" s="526">
        <v>1</v>
      </c>
      <c r="W301" s="526">
        <f t="shared" si="29"/>
        <v>0</v>
      </c>
      <c r="X301" s="526">
        <f t="shared" si="30"/>
        <v>0</v>
      </c>
    </row>
    <row r="302" spans="1:25" customFormat="1">
      <c r="A302" s="605">
        <v>13</v>
      </c>
      <c r="B302" s="606" t="s">
        <v>2061</v>
      </c>
      <c r="C302" s="607"/>
      <c r="D302" s="607"/>
      <c r="E302" s="607"/>
      <c r="F302" s="607"/>
      <c r="G302" s="607"/>
      <c r="H302" s="607"/>
      <c r="I302" s="607"/>
      <c r="J302" s="607"/>
      <c r="K302" s="607"/>
      <c r="L302" s="608"/>
      <c r="N302" s="526"/>
      <c r="O302" s="526"/>
      <c r="P302" s="526"/>
      <c r="Q302" s="526"/>
      <c r="R302" s="526"/>
      <c r="S302" s="526"/>
      <c r="T302" s="526"/>
      <c r="U302" s="526"/>
      <c r="V302" s="526"/>
      <c r="W302">
        <f t="shared" si="29"/>
        <v>0</v>
      </c>
      <c r="X302">
        <f t="shared" si="30"/>
        <v>0</v>
      </c>
    </row>
    <row r="303" spans="1:25" customFormat="1">
      <c r="A303" s="485">
        <v>13.1</v>
      </c>
      <c r="B303" s="257" t="s">
        <v>1110</v>
      </c>
      <c r="C303" s="264"/>
      <c r="D303" s="609"/>
      <c r="E303" s="264"/>
      <c r="F303" s="264"/>
      <c r="G303" s="264"/>
      <c r="H303" s="264"/>
      <c r="I303" s="264"/>
      <c r="J303" s="264"/>
      <c r="K303" s="264"/>
      <c r="L303" s="265"/>
      <c r="N303" s="526"/>
      <c r="O303" s="526"/>
      <c r="P303" s="526"/>
      <c r="Q303" s="526"/>
      <c r="R303" s="526"/>
      <c r="S303" s="526"/>
      <c r="T303" s="526"/>
      <c r="U303" s="526"/>
      <c r="V303" s="526"/>
      <c r="W303">
        <f t="shared" si="29"/>
        <v>0</v>
      </c>
      <c r="X303">
        <f t="shared" si="30"/>
        <v>0</v>
      </c>
    </row>
    <row r="304" spans="1:25" customFormat="1">
      <c r="A304" s="401" t="s">
        <v>3001</v>
      </c>
      <c r="B304" s="610" t="s">
        <v>2116</v>
      </c>
      <c r="C304" s="611">
        <f>IF(AND(build1_fp&gt;0,build1_fp&lt;500),1,0)</f>
        <v>0</v>
      </c>
      <c r="D304" s="478" t="s">
        <v>64</v>
      </c>
      <c r="E304" s="612">
        <f>build1_fp</f>
        <v>3470</v>
      </c>
      <c r="F304" s="480" t="s">
        <v>1348</v>
      </c>
      <c r="G304" s="403">
        <f>build1_fp</f>
        <v>3470</v>
      </c>
      <c r="H304" s="480" t="s">
        <v>1348</v>
      </c>
      <c r="I304" s="613" t="str">
        <f>IF(C304=0,"NA",VLOOKUP(build1_fp,bldg_shed_cost_cl,3))</f>
        <v>NA</v>
      </c>
      <c r="J304" s="410" t="str">
        <f>IF(OR(I304="NA",I304="contact vendor"),"--",G304*I304)</f>
        <v>--</v>
      </c>
      <c r="K304" s="208" t="str">
        <f>IF($C304=0,"N/A",VLOOKUP(build1_fp,bldg_shed_cost_cl,IF(ss_cat="large",4,5)))</f>
        <v>N/A</v>
      </c>
      <c r="L304" s="407"/>
      <c r="M304" s="16" t="str">
        <f>B302&amp;" - "&amp;B303&amp;" - "&amp;B304</f>
        <v>Building Structures and HVAC - Building 1 - Small Low Cost Shed</v>
      </c>
      <c r="N304" s="526">
        <f t="shared" ref="N304:V304" si="31">IF(include_buildings=1,2,0)</f>
        <v>0</v>
      </c>
      <c r="O304" s="526">
        <f t="shared" si="31"/>
        <v>0</v>
      </c>
      <c r="P304" s="526">
        <f t="shared" si="31"/>
        <v>0</v>
      </c>
      <c r="Q304" s="526">
        <f t="shared" si="31"/>
        <v>0</v>
      </c>
      <c r="R304" s="526">
        <f t="shared" si="31"/>
        <v>0</v>
      </c>
      <c r="S304" s="526">
        <f t="shared" si="31"/>
        <v>0</v>
      </c>
      <c r="T304" s="526">
        <f t="shared" si="31"/>
        <v>0</v>
      </c>
      <c r="U304" s="526">
        <f t="shared" si="31"/>
        <v>0</v>
      </c>
      <c r="V304" s="526">
        <f t="shared" si="31"/>
        <v>0</v>
      </c>
      <c r="W304">
        <f t="shared" si="29"/>
        <v>0</v>
      </c>
      <c r="X304">
        <f t="shared" si="30"/>
        <v>0</v>
      </c>
      <c r="Y304">
        <f>IF(W304,K304,0)</f>
        <v>0</v>
      </c>
    </row>
    <row r="305" spans="1:25" customFormat="1">
      <c r="A305" s="401" t="s">
        <v>3001</v>
      </c>
      <c r="B305" s="610" t="s">
        <v>2117</v>
      </c>
      <c r="C305" s="611">
        <f>IF(build1_fp&gt;=500,1,0)</f>
        <v>1</v>
      </c>
      <c r="D305" s="478" t="s">
        <v>64</v>
      </c>
      <c r="E305" s="403">
        <f>build1_fp</f>
        <v>3470</v>
      </c>
      <c r="F305" s="480" t="s">
        <v>1348</v>
      </c>
      <c r="G305" s="403">
        <f>build1_fp</f>
        <v>3470</v>
      </c>
      <c r="H305" s="480" t="s">
        <v>1348</v>
      </c>
      <c r="I305" s="613">
        <f>IF(C305=0,"NA",IF(curve=1,bldg_lo_eq_1,VLOOKUP(build1_fp, bldg_lo_cost_cl,3)))</f>
        <v>75.343938965434688</v>
      </c>
      <c r="J305" s="410">
        <f>IF(OR(I305="NA",I305="contact vendor"),"--",G305*I305)</f>
        <v>261443.46821005837</v>
      </c>
      <c r="K305" s="208">
        <f>IF($C305=0,"N/A",VLOOKUP(build1_fp,bldg_lo_cost_cl,IF(ss_cat="large",4,5)))</f>
        <v>40</v>
      </c>
      <c r="L305" s="407">
        <v>0</v>
      </c>
      <c r="M305" s="16" t="str">
        <f>B302&amp;" - "&amp;B303&amp;" - "&amp;B305</f>
        <v>Building Structures and HVAC - Building 1 - Low Quality</v>
      </c>
      <c r="N305" s="526">
        <f>include_buildings</f>
        <v>0</v>
      </c>
      <c r="O305" s="526"/>
      <c r="P305" s="526"/>
      <c r="Q305" s="526">
        <f>include_buildings</f>
        <v>0</v>
      </c>
      <c r="R305" s="526"/>
      <c r="S305" s="880"/>
      <c r="T305" s="526">
        <f>include_buildings</f>
        <v>0</v>
      </c>
      <c r="U305" s="880"/>
      <c r="V305" s="526"/>
      <c r="W305">
        <f t="shared" si="29"/>
        <v>0</v>
      </c>
      <c r="X305">
        <f t="shared" si="30"/>
        <v>0</v>
      </c>
      <c r="Y305">
        <f>IF(W305,K305,0)</f>
        <v>0</v>
      </c>
    </row>
    <row r="306" spans="1:25" customFormat="1">
      <c r="A306" s="401" t="s">
        <v>3001</v>
      </c>
      <c r="B306" s="610" t="s">
        <v>2118</v>
      </c>
      <c r="C306" s="611">
        <f>IF(build1_fp&gt;=500,1,0)</f>
        <v>1</v>
      </c>
      <c r="D306" s="478" t="s">
        <v>64</v>
      </c>
      <c r="E306" s="403">
        <f>build1_fp</f>
        <v>3470</v>
      </c>
      <c r="F306" s="480" t="s">
        <v>1348</v>
      </c>
      <c r="G306" s="403">
        <f>build1_fp</f>
        <v>3470</v>
      </c>
      <c r="H306" s="480" t="s">
        <v>1348</v>
      </c>
      <c r="I306" s="613">
        <f>IF(C306=0,"NA",IF(curve=1,bldg_mid_eq_1,VLOOKUP(build1_fp, bldg_mid_cost_cl,3)))</f>
        <v>90.359380507457516</v>
      </c>
      <c r="J306" s="410">
        <f>IF(OR(I306="NA",I306="contact vendor"),"--",G306*I306)</f>
        <v>313547.05036087759</v>
      </c>
      <c r="K306" s="208">
        <f>IF($C306=0,"N/A",VLOOKUP(build1_fp,bldg_mid_cost_cl,IF(ss_cat="large",4,5)))</f>
        <v>40</v>
      </c>
      <c r="L306" s="407">
        <v>0</v>
      </c>
      <c r="M306" s="16" t="str">
        <f>B302&amp;" - "&amp;B303&amp;" - "&amp;B306</f>
        <v>Building Structures and HVAC - Building 1 - Medium Quality</v>
      </c>
      <c r="N306" s="526"/>
      <c r="O306" s="526">
        <f>include_buildings</f>
        <v>0</v>
      </c>
      <c r="P306" s="526"/>
      <c r="Q306" s="526"/>
      <c r="R306" s="526">
        <f>include_buildings</f>
        <v>0</v>
      </c>
      <c r="S306" s="880"/>
      <c r="T306" s="880"/>
      <c r="U306" s="526">
        <f>include_buildings</f>
        <v>0</v>
      </c>
      <c r="V306" s="526"/>
      <c r="W306">
        <f t="shared" si="29"/>
        <v>0</v>
      </c>
      <c r="X306">
        <f t="shared" si="30"/>
        <v>0</v>
      </c>
      <c r="Y306">
        <f>IF(W306,K306,0)</f>
        <v>0</v>
      </c>
    </row>
    <row r="307" spans="1:25" customFormat="1">
      <c r="A307" s="401" t="s">
        <v>3001</v>
      </c>
      <c r="B307" s="610" t="s">
        <v>2119</v>
      </c>
      <c r="C307" s="611">
        <f>IF(build1_fp&gt;=500,1,0)</f>
        <v>1</v>
      </c>
      <c r="D307" s="480" t="s">
        <v>64</v>
      </c>
      <c r="E307" s="403">
        <f>build1_fp</f>
        <v>3470</v>
      </c>
      <c r="F307" s="480" t="s">
        <v>1348</v>
      </c>
      <c r="G307" s="403">
        <f>build1_fp</f>
        <v>3470</v>
      </c>
      <c r="H307" s="480" t="s">
        <v>1348</v>
      </c>
      <c r="I307" s="613">
        <f>IF(C307=0,"NA",IF(curve=1,bldg_hi_eq_1,VLOOKUP(build1_fp, bldg_hi_cost_cl,3)))</f>
        <v>124.15040765864386</v>
      </c>
      <c r="J307" s="410">
        <f>IF(OR(I307="NA",I307="contact vendor"),"--",G307*I307)</f>
        <v>430801.91457549419</v>
      </c>
      <c r="K307" s="208">
        <f>IF($C307=0,"N/A",VLOOKUP(build1_fp,bldg_hi_cost_cl,IF(ss_cat="large",4,5)))</f>
        <v>40</v>
      </c>
      <c r="L307" s="407">
        <v>0</v>
      </c>
      <c r="M307" s="16" t="str">
        <f>B302&amp;" - "&amp;B303&amp;" - "&amp;B307</f>
        <v>Building Structures and HVAC - Building 1 - High Quality</v>
      </c>
      <c r="N307" s="526"/>
      <c r="O307" s="526"/>
      <c r="P307" s="526">
        <f>include_buildings</f>
        <v>0</v>
      </c>
      <c r="Q307" s="526"/>
      <c r="R307" s="526"/>
      <c r="S307" s="526">
        <f>include_buildings</f>
        <v>0</v>
      </c>
      <c r="T307" s="880"/>
      <c r="U307" s="880"/>
      <c r="V307" s="526">
        <f>include_buildings</f>
        <v>0</v>
      </c>
      <c r="W307">
        <f t="shared" si="29"/>
        <v>0</v>
      </c>
      <c r="X307">
        <f t="shared" si="30"/>
        <v>0</v>
      </c>
      <c r="Y307">
        <f>IF(W307,K307,0)</f>
        <v>0</v>
      </c>
    </row>
    <row r="308" spans="1:25" customFormat="1">
      <c r="A308" s="485" t="s">
        <v>3002</v>
      </c>
      <c r="B308" s="257" t="str">
        <f>"Heating System"&amp;IF(build1_heat="heat pump"," (included with cooling system)","")</f>
        <v>Heating System</v>
      </c>
      <c r="C308" s="274"/>
      <c r="D308" s="614"/>
      <c r="E308" s="274"/>
      <c r="F308" s="615"/>
      <c r="G308" s="274"/>
      <c r="H308" s="615"/>
      <c r="I308" s="274"/>
      <c r="J308" s="274"/>
      <c r="K308" s="274"/>
      <c r="L308" s="265"/>
      <c r="N308" s="526"/>
      <c r="O308" s="526"/>
      <c r="P308" s="526"/>
      <c r="Q308" s="526"/>
      <c r="R308" s="526"/>
      <c r="S308" s="526"/>
      <c r="T308" s="526"/>
      <c r="U308" s="526"/>
      <c r="V308" s="526"/>
      <c r="W308">
        <f t="shared" si="29"/>
        <v>0</v>
      </c>
      <c r="X308">
        <f t="shared" si="30"/>
        <v>0</v>
      </c>
    </row>
    <row r="309" spans="1:25" customFormat="1">
      <c r="A309" s="401" t="s">
        <v>3003</v>
      </c>
      <c r="B309" s="610" t="s">
        <v>854</v>
      </c>
      <c r="C309" s="611">
        <f>IF(build1_heat="heat pump","NA",IF(build1_need_heat,build1_zones,"NA"))</f>
        <v>1</v>
      </c>
      <c r="D309" s="480" t="str">
        <f>IF(C309="NA","","zones")</f>
        <v>zones</v>
      </c>
      <c r="E309" s="403">
        <f>IF(C309="NA","NA",build1_heat_mbh)</f>
        <v>63.913219794437907</v>
      </c>
      <c r="F309" s="480" t="str">
        <f>IF(C309="NA","","MBH")</f>
        <v>MBH</v>
      </c>
      <c r="G309" s="403">
        <f>IF(C309="NA","NA",IF(curve=1,build1_heat_mbh,VLOOKUP(build1_heat_mbh,hvac_elec_cost_cl,2)))</f>
        <v>63.913219794437907</v>
      </c>
      <c r="H309" s="480" t="str">
        <f>IF(C309="NA","","MBH")</f>
        <v>MBH</v>
      </c>
      <c r="I309" s="616">
        <f>IF(C309="NA","NA",IF(curve=1,hvac_elec_eq_1,VLOOKUP(build1_heat_mbh,hvac_elec_cost_cl,3)))</f>
        <v>28042.750531622205</v>
      </c>
      <c r="J309" s="410">
        <f>IF(OR(I309="NA",I309="contact vendor"),"--",C309*I309)</f>
        <v>28042.750531622205</v>
      </c>
      <c r="K309" s="208">
        <f>IF(C309="NA","NA",VLOOKUP(build1_heat_mbh,hvac_elec_cost_cl,IF(ss_cat="large",4,5)))</f>
        <v>25</v>
      </c>
      <c r="L309" s="407">
        <v>0</v>
      </c>
      <c r="M309" s="16" t="str">
        <f>B302&amp;" - "&amp;B303&amp;" - "&amp;B308&amp;" - "&amp;B309</f>
        <v>Building Structures and HVAC - Building 1 - Heating System - Electric resistance</v>
      </c>
      <c r="N309" s="526" t="str">
        <f t="shared" ref="N309:V313" si="32">IF(include_HVAC=0,0,IF(build1_heat=$B309,1,""))</f>
        <v/>
      </c>
      <c r="O309" s="526" t="str">
        <f t="shared" si="32"/>
        <v/>
      </c>
      <c r="P309" s="526" t="str">
        <f t="shared" si="32"/>
        <v/>
      </c>
      <c r="Q309" s="526" t="str">
        <f t="shared" si="32"/>
        <v/>
      </c>
      <c r="R309" s="526" t="str">
        <f t="shared" si="32"/>
        <v/>
      </c>
      <c r="S309" s="526" t="str">
        <f t="shared" si="32"/>
        <v/>
      </c>
      <c r="T309" s="526" t="str">
        <f t="shared" si="32"/>
        <v/>
      </c>
      <c r="U309" s="526" t="str">
        <f t="shared" si="32"/>
        <v/>
      </c>
      <c r="V309" s="526" t="str">
        <f t="shared" si="32"/>
        <v/>
      </c>
      <c r="W309">
        <f t="shared" si="29"/>
        <v>0</v>
      </c>
      <c r="X309">
        <f t="shared" si="30"/>
        <v>0</v>
      </c>
    </row>
    <row r="310" spans="1:25" customFormat="1">
      <c r="A310" s="401" t="s">
        <v>3003</v>
      </c>
      <c r="B310" s="610" t="s">
        <v>856</v>
      </c>
      <c r="C310" s="611">
        <f>IF(build1_heat="heat pump","NA",IF(build1_need_heat,build1_zones,"NA"))</f>
        <v>1</v>
      </c>
      <c r="D310" s="480" t="str">
        <f>IF(C310="NA","","zones")</f>
        <v>zones</v>
      </c>
      <c r="E310" s="403">
        <f>IF(C310="NA","NA",build1_heat_mbh)</f>
        <v>63.913219794437907</v>
      </c>
      <c r="F310" s="480" t="str">
        <f>IF(C310="NA","","MBH")</f>
        <v>MBH</v>
      </c>
      <c r="G310" s="403">
        <f>IF(C310="NA","NA",IF(curve=1,build1_heat_mbh,VLOOKUP(build1_heat_mbh,hvac_gas_non_cost_cl,2)))</f>
        <v>63.913219794437907</v>
      </c>
      <c r="H310" s="480" t="str">
        <f>IF(C310="NA","","MBH")</f>
        <v>MBH</v>
      </c>
      <c r="I310" s="616">
        <f>IF(C310="NA","NA",IF(curve=1,hvac_gas_non_eq_1,VLOOKUP(build1_heat_mbh,hvac_gas_non_cost_cl,3)))</f>
        <v>20055.27367186885</v>
      </c>
      <c r="J310" s="410">
        <f>IF(OR(I310="NA",I310="contact vendor"),"--",C310*I310)</f>
        <v>20055.27367186885</v>
      </c>
      <c r="K310" s="208">
        <f>IF(C310="NA","NA",VLOOKUP(build1_heat_mbh,hvac_gas_non_cost_cl,IF(ss_cat="large",4,5)))</f>
        <v>25</v>
      </c>
      <c r="L310" s="407">
        <v>0</v>
      </c>
      <c r="M310" s="16" t="str">
        <f>B302&amp;" - "&amp;B303&amp;" - "&amp;B308&amp;" - "&amp;B310</f>
        <v>Building Structures and HVAC - Building 1 - Heating System - Natural gas non-condensing furnace</v>
      </c>
      <c r="N310" s="526" t="str">
        <f t="shared" si="32"/>
        <v/>
      </c>
      <c r="O310" s="526" t="str">
        <f t="shared" si="32"/>
        <v/>
      </c>
      <c r="P310" s="526" t="str">
        <f t="shared" si="32"/>
        <v/>
      </c>
      <c r="Q310" s="526" t="str">
        <f t="shared" si="32"/>
        <v/>
      </c>
      <c r="R310" s="526" t="str">
        <f t="shared" si="32"/>
        <v/>
      </c>
      <c r="S310" s="526" t="str">
        <f t="shared" si="32"/>
        <v/>
      </c>
      <c r="T310" s="526" t="str">
        <f t="shared" si="32"/>
        <v/>
      </c>
      <c r="U310" s="526" t="str">
        <f t="shared" si="32"/>
        <v/>
      </c>
      <c r="V310" s="526" t="str">
        <f t="shared" si="32"/>
        <v/>
      </c>
      <c r="W310">
        <f t="shared" si="29"/>
        <v>0</v>
      </c>
      <c r="X310">
        <f t="shared" si="30"/>
        <v>0</v>
      </c>
    </row>
    <row r="311" spans="1:25" customFormat="1">
      <c r="A311" s="401" t="s">
        <v>3003</v>
      </c>
      <c r="B311" s="610" t="s">
        <v>2739</v>
      </c>
      <c r="C311" s="611">
        <f>IF(build1_heat="heat pump","NA",IF(build1_need_heat,build1_zones,"NA"))</f>
        <v>1</v>
      </c>
      <c r="D311" s="480" t="str">
        <f>IF(C311="NA","","zones")</f>
        <v>zones</v>
      </c>
      <c r="E311" s="403">
        <f>IF(C311="NA","NA",build1_heat_mbh)</f>
        <v>63.913219794437907</v>
      </c>
      <c r="F311" s="480" t="str">
        <f>IF(C311="NA","","MBH")</f>
        <v>MBH</v>
      </c>
      <c r="G311" s="403">
        <f>IF(C311="NA","NA",IF(curve=1,build1_heat_mbh,VLOOKUP(build1_heat_mbh,hvac_gas_cost_cl,2)))</f>
        <v>63.913219794437907</v>
      </c>
      <c r="H311" s="480" t="str">
        <f>IF(C311="NA","","MBH")</f>
        <v>MBH</v>
      </c>
      <c r="I311" s="616">
        <f>IF(C311="NA","NA",IF(curve=1,hvac_gas_eq_1,VLOOKUP(build1_heat_mbh,hvac_gas_cost_cl,3)))</f>
        <v>20055.27367186885</v>
      </c>
      <c r="J311" s="410">
        <f>IF(OR(I311="NA",I311="contact vendor"),"--",C311*I311)</f>
        <v>20055.27367186885</v>
      </c>
      <c r="K311" s="208">
        <f>IF(C311="NA","NA",VLOOKUP(build1_heat_mbh,hvac_gas_cost_cl,IF(ss_cat="large",4,5)))</f>
        <v>25</v>
      </c>
      <c r="L311" s="407">
        <v>1</v>
      </c>
      <c r="M311" s="16" t="str">
        <f>B302&amp;" - "&amp;B303&amp;" - "&amp;B308&amp;" - "&amp;B311</f>
        <v>Building Structures and HVAC - Building 1 - Heating System - Natural gas condensing furnace</v>
      </c>
      <c r="N311" s="526">
        <f t="shared" si="32"/>
        <v>1</v>
      </c>
      <c r="O311" s="526">
        <f t="shared" si="32"/>
        <v>1</v>
      </c>
      <c r="P311" s="526">
        <f t="shared" si="32"/>
        <v>1</v>
      </c>
      <c r="Q311" s="526">
        <f t="shared" si="32"/>
        <v>1</v>
      </c>
      <c r="R311" s="526">
        <f t="shared" si="32"/>
        <v>1</v>
      </c>
      <c r="S311" s="526">
        <f t="shared" si="32"/>
        <v>1</v>
      </c>
      <c r="T311" s="526">
        <f t="shared" si="32"/>
        <v>1</v>
      </c>
      <c r="U311" s="526">
        <f t="shared" si="32"/>
        <v>1</v>
      </c>
      <c r="V311" s="526">
        <f t="shared" si="32"/>
        <v>1</v>
      </c>
      <c r="W311">
        <f t="shared" si="29"/>
        <v>1</v>
      </c>
      <c r="X311">
        <f t="shared" si="30"/>
        <v>802.21094687475397</v>
      </c>
    </row>
    <row r="312" spans="1:25" customFormat="1">
      <c r="A312" s="401" t="s">
        <v>3003</v>
      </c>
      <c r="B312" s="610" t="s">
        <v>12</v>
      </c>
      <c r="C312" s="611">
        <f>IF(build1_heat="heat pump","NA",IF(build1_need_heat,build1_zones,"NA"))</f>
        <v>1</v>
      </c>
      <c r="D312" s="480" t="str">
        <f>IF(C312="NA","","zones")</f>
        <v>zones</v>
      </c>
      <c r="E312" s="403">
        <f>IF(C312="NA","NA",build1_heat_mbh)</f>
        <v>63.913219794437907</v>
      </c>
      <c r="F312" s="480" t="str">
        <f>IF(C312="NA","","MBH")</f>
        <v>MBH</v>
      </c>
      <c r="G312" s="403">
        <f>IF(C312="NA","NA",IF(curve=1,build1_heat_mbh,VLOOKUP(E312,hvac_oil_std_cost_cl,2)))</f>
        <v>63.913219794437907</v>
      </c>
      <c r="H312" s="480" t="str">
        <f>IF(C312="NA","","MBH")</f>
        <v>MBH</v>
      </c>
      <c r="I312" s="616">
        <f>IF(C312="NA","NA",IF(curve=1,hvac_oil_std_eq_1,VLOOKUP(build1_heat_mbh,hvac_oil_std_cost_cl,3)))</f>
        <v>22923.873568235111</v>
      </c>
      <c r="J312" s="410">
        <f>IF(OR(I312="NA",I312="contact vendor"),"--",C312*I312)</f>
        <v>22923.873568235111</v>
      </c>
      <c r="K312" s="208">
        <f>IF(C312="NA","NA",VLOOKUP(build1_heat_mbh,hvac_oil_std_cost_cl,IF(ss_cat="large",4,5)))</f>
        <v>25</v>
      </c>
      <c r="L312" s="407">
        <v>0</v>
      </c>
      <c r="M312" s="16" t="str">
        <f>B302&amp;" - "&amp;B303&amp;" - "&amp;B308&amp;" - "&amp;B312</f>
        <v>Building Structures and HVAC - Building 1 - Heating System - Standard efficiency oil furnace</v>
      </c>
      <c r="N312" s="526" t="str">
        <f t="shared" si="32"/>
        <v/>
      </c>
      <c r="O312" s="526" t="str">
        <f t="shared" si="32"/>
        <v/>
      </c>
      <c r="P312" s="526" t="str">
        <f t="shared" si="32"/>
        <v/>
      </c>
      <c r="Q312" s="526" t="str">
        <f t="shared" si="32"/>
        <v/>
      </c>
      <c r="R312" s="526" t="str">
        <f t="shared" si="32"/>
        <v/>
      </c>
      <c r="S312" s="526" t="str">
        <f t="shared" si="32"/>
        <v/>
      </c>
      <c r="T312" s="526" t="str">
        <f t="shared" si="32"/>
        <v/>
      </c>
      <c r="U312" s="526" t="str">
        <f t="shared" si="32"/>
        <v/>
      </c>
      <c r="V312" s="526" t="str">
        <f t="shared" si="32"/>
        <v/>
      </c>
      <c r="W312">
        <f t="shared" si="29"/>
        <v>0</v>
      </c>
      <c r="X312">
        <f t="shared" si="30"/>
        <v>0</v>
      </c>
    </row>
    <row r="313" spans="1:25" customFormat="1">
      <c r="A313" s="401" t="s">
        <v>3003</v>
      </c>
      <c r="B313" s="610" t="s">
        <v>13</v>
      </c>
      <c r="C313" s="611">
        <f>IF(build1_heat="heat pump","NA",IF(build1_need_heat,build1_zones,"NA"))</f>
        <v>1</v>
      </c>
      <c r="D313" s="480" t="str">
        <f>IF(C313="NA","","zones")</f>
        <v>zones</v>
      </c>
      <c r="E313" s="403">
        <f>IF(C313="NA","NA",build1_heat_mbh)</f>
        <v>63.913219794437907</v>
      </c>
      <c r="F313" s="480" t="str">
        <f>IF(C313="NA","","MBH")</f>
        <v>MBH</v>
      </c>
      <c r="G313" s="403">
        <f>IF(C313="NA","NA",IF(curve=1,build1_heat_mbh,VLOOKUP(build1_heat_mbh,hvac_oil_mid_cost_cl,2)))</f>
        <v>63.913219794437907</v>
      </c>
      <c r="H313" s="480" t="str">
        <f>IF(C313="NA","","MBH")</f>
        <v>MBH</v>
      </c>
      <c r="I313" s="616">
        <f>IF(C313="NA","NA",IF(curve=1,hvac_oil_mid_eq_1,VLOOKUP(build1_heat_mbh,hvac_oil_mid_cost_cl,3)))</f>
        <v>22923.873568235111</v>
      </c>
      <c r="J313" s="410">
        <f>IF(OR(I313="NA",I313="contact vendor"),"--",C313*I313)</f>
        <v>22923.873568235111</v>
      </c>
      <c r="K313" s="208">
        <f>IF(C313="NA","NA",VLOOKUP(build1_heat_mbh,hvac_oil_mid_cost_cl,IF(ss_cat="large",4,5)))</f>
        <v>25</v>
      </c>
      <c r="L313" s="407">
        <v>0</v>
      </c>
      <c r="M313" s="16" t="str">
        <f>B302&amp;" - "&amp;B303&amp;" - "&amp;B308&amp;" - "&amp;B313</f>
        <v>Building Structures and HVAC - Building 1 - Heating System - Mid-efficiency oil furnace</v>
      </c>
      <c r="N313" s="526" t="str">
        <f t="shared" si="32"/>
        <v/>
      </c>
      <c r="O313" s="526" t="str">
        <f t="shared" si="32"/>
        <v/>
      </c>
      <c r="P313" s="526" t="str">
        <f t="shared" si="32"/>
        <v/>
      </c>
      <c r="Q313" s="526" t="str">
        <f t="shared" si="32"/>
        <v/>
      </c>
      <c r="R313" s="526" t="str">
        <f t="shared" si="32"/>
        <v/>
      </c>
      <c r="S313" s="526" t="str">
        <f t="shared" si="32"/>
        <v/>
      </c>
      <c r="T313" s="526" t="str">
        <f t="shared" si="32"/>
        <v/>
      </c>
      <c r="U313" s="526" t="str">
        <f t="shared" si="32"/>
        <v/>
      </c>
      <c r="V313" s="526" t="str">
        <f t="shared" si="32"/>
        <v/>
      </c>
      <c r="W313">
        <f t="shared" si="29"/>
        <v>0</v>
      </c>
      <c r="X313">
        <f t="shared" si="30"/>
        <v>0</v>
      </c>
    </row>
    <row r="314" spans="1:25" customFormat="1">
      <c r="A314" s="485" t="s">
        <v>3004</v>
      </c>
      <c r="B314" s="257" t="str">
        <f>IF(build1_heat="heat pump","Heating and ","")&amp;"Cooling System"</f>
        <v>Cooling System</v>
      </c>
      <c r="C314" s="274"/>
      <c r="D314" s="614"/>
      <c r="E314" s="274"/>
      <c r="F314" s="615"/>
      <c r="G314" s="274"/>
      <c r="H314" s="615"/>
      <c r="I314" s="274"/>
      <c r="J314" s="274"/>
      <c r="K314" s="274"/>
      <c r="L314" s="265"/>
      <c r="N314" s="526"/>
      <c r="O314" s="526"/>
      <c r="P314" s="526"/>
      <c r="Q314" s="526"/>
      <c r="R314" s="526"/>
      <c r="S314" s="526"/>
      <c r="T314" s="526"/>
      <c r="U314" s="526"/>
      <c r="V314" s="526"/>
      <c r="W314">
        <f t="shared" si="29"/>
        <v>0</v>
      </c>
      <c r="X314">
        <f t="shared" si="30"/>
        <v>0</v>
      </c>
    </row>
    <row r="315" spans="1:25" customFormat="1">
      <c r="A315" s="401" t="s">
        <v>3005</v>
      </c>
      <c r="B315" s="610" t="s">
        <v>1968</v>
      </c>
      <c r="C315" s="611" t="str">
        <f>IF(build1_need_cool,build1_zones,"NA")</f>
        <v>NA</v>
      </c>
      <c r="D315" s="480" t="str">
        <f>IF(C315="NA","","zones")</f>
        <v/>
      </c>
      <c r="E315" s="617" t="str">
        <f>IF(C315="NA","NA",build1_cooling_tons)</f>
        <v>NA</v>
      </c>
      <c r="F315" s="480" t="str">
        <f>IF(C315="NA","","tons")</f>
        <v/>
      </c>
      <c r="G315" s="617" t="str">
        <f>IF(C315="NA","NA",IF(curve=1,build1_cooling_tons,VLOOKUP(build1_cooling_tons,hvac_ac_cost_cl,2)))</f>
        <v>NA</v>
      </c>
      <c r="H315" s="480" t="str">
        <f>IF(C315="NA","","tons")</f>
        <v/>
      </c>
      <c r="I315" s="616" t="str">
        <f>IF(C315="NA","NA",IF(curve=1,hvac_ac_eq_1,VLOOKUP(build1_cooling_tons,hvac_ac_cost_cl,3)))</f>
        <v>NA</v>
      </c>
      <c r="J315" s="410" t="str">
        <f>IF(OR(I315="NA",I315="contact vendor"),"--",C315*I315)</f>
        <v>--</v>
      </c>
      <c r="K315" s="208" t="str">
        <f>IF(C315="NA","NA",VLOOKUP(build1_cooling_tons,hvac_ac_cost_cl,IF(ss_cat="large",4,5)))</f>
        <v>NA</v>
      </c>
      <c r="L315" s="407"/>
      <c r="M315" s="16" t="str">
        <f>B302&amp;" - "&amp;B303&amp;" - "&amp;B314&amp;" - "&amp;B315</f>
        <v>Building Structures and HVAC - Building 1 - Cooling System - Air conditioner</v>
      </c>
      <c r="N315" s="526" t="str">
        <f t="shared" ref="N315:V316" si="33">IF(include_HVAC=0,0,IF(build1_cool=$B315,1,""))</f>
        <v/>
      </c>
      <c r="O315" s="526" t="str">
        <f t="shared" si="33"/>
        <v/>
      </c>
      <c r="P315" s="526" t="str">
        <f t="shared" si="33"/>
        <v/>
      </c>
      <c r="Q315" s="526" t="str">
        <f t="shared" si="33"/>
        <v/>
      </c>
      <c r="R315" s="526" t="str">
        <f t="shared" si="33"/>
        <v/>
      </c>
      <c r="S315" s="526" t="str">
        <f t="shared" si="33"/>
        <v/>
      </c>
      <c r="T315" s="526" t="str">
        <f t="shared" si="33"/>
        <v/>
      </c>
      <c r="U315" s="526" t="str">
        <f t="shared" si="33"/>
        <v/>
      </c>
      <c r="V315" s="526" t="str">
        <f t="shared" si="33"/>
        <v/>
      </c>
      <c r="W315">
        <f t="shared" si="29"/>
        <v>0</v>
      </c>
      <c r="X315">
        <f t="shared" si="30"/>
        <v>0</v>
      </c>
    </row>
    <row r="316" spans="1:25" customFormat="1">
      <c r="A316" s="401" t="s">
        <v>3005</v>
      </c>
      <c r="B316" s="610" t="s">
        <v>855</v>
      </c>
      <c r="C316" s="611" t="str">
        <f>IF(AND(hp_ok_1,build1_need_cool),build1_zones,"NA")</f>
        <v>NA</v>
      </c>
      <c r="D316" s="480" t="str">
        <f>IF(C316="NA","","zones")</f>
        <v/>
      </c>
      <c r="E316" s="617" t="str">
        <f>IF(C316="NA","NA",build1_cooling_tons)</f>
        <v>NA</v>
      </c>
      <c r="F316" s="480" t="str">
        <f>IF(C316="NA","","tons")</f>
        <v/>
      </c>
      <c r="G316" s="617" t="str">
        <f>IF(C316="NA","NA",IF(curve=1,build1_cooling_tons,VLOOKUP(build1_cooling_tons,hvac_hp_cost_cl,2)))</f>
        <v>NA</v>
      </c>
      <c r="H316" s="480" t="str">
        <f>IF(C316="NA","","tons")</f>
        <v/>
      </c>
      <c r="I316" s="616" t="str">
        <f>IF(C316="NA","NA",IF(curve=1,hvac_hp_eq_1,VLOOKUP(build1_cooling_tons,hvac_hp_cost_cl,3)))</f>
        <v>NA</v>
      </c>
      <c r="J316" s="410" t="str">
        <f>IF(OR(I316="NA",I316="contact vendor"),"--",C316*I316)</f>
        <v>--</v>
      </c>
      <c r="K316" s="208" t="str">
        <f>IF(C316="NA","NA",VLOOKUP(build1_cooling_tons,hvac_hp_cost_cl,IF(ss_cat="large",4,5)))</f>
        <v>NA</v>
      </c>
      <c r="L316" s="407"/>
      <c r="M316" s="16" t="str">
        <f>B302&amp;" - "&amp;B303&amp;" - "&amp;B314&amp;" - "&amp;B316</f>
        <v>Building Structures and HVAC - Building 1 - Cooling System - Heat pump</v>
      </c>
      <c r="N316" s="526" t="str">
        <f t="shared" si="33"/>
        <v/>
      </c>
      <c r="O316" s="526" t="str">
        <f t="shared" si="33"/>
        <v/>
      </c>
      <c r="P316" s="526" t="str">
        <f t="shared" si="33"/>
        <v/>
      </c>
      <c r="Q316" s="526" t="str">
        <f t="shared" si="33"/>
        <v/>
      </c>
      <c r="R316" s="526" t="str">
        <f t="shared" si="33"/>
        <v/>
      </c>
      <c r="S316" s="526" t="str">
        <f t="shared" si="33"/>
        <v/>
      </c>
      <c r="T316" s="526" t="str">
        <f t="shared" si="33"/>
        <v/>
      </c>
      <c r="U316" s="526" t="str">
        <f t="shared" si="33"/>
        <v/>
      </c>
      <c r="V316" s="526" t="str">
        <f t="shared" si="33"/>
        <v/>
      </c>
      <c r="W316">
        <f t="shared" si="29"/>
        <v>0</v>
      </c>
      <c r="X316">
        <f t="shared" si="30"/>
        <v>0</v>
      </c>
    </row>
    <row r="317" spans="1:25" customFormat="1">
      <c r="A317" s="485">
        <v>13.2</v>
      </c>
      <c r="B317" s="257" t="s">
        <v>1111</v>
      </c>
      <c r="C317" s="274"/>
      <c r="D317" s="614"/>
      <c r="E317" s="274"/>
      <c r="F317" s="615"/>
      <c r="G317" s="274"/>
      <c r="H317" s="615"/>
      <c r="I317" s="274"/>
      <c r="J317" s="274"/>
      <c r="K317" s="274"/>
      <c r="L317" s="265"/>
      <c r="N317" s="526"/>
      <c r="O317" s="526"/>
      <c r="P317" s="526"/>
      <c r="Q317" s="526"/>
      <c r="R317" s="526"/>
      <c r="S317" s="526"/>
      <c r="T317" s="526"/>
      <c r="U317" s="526"/>
      <c r="V317" s="526"/>
      <c r="W317">
        <f t="shared" si="29"/>
        <v>0</v>
      </c>
      <c r="X317">
        <f t="shared" si="30"/>
        <v>0</v>
      </c>
    </row>
    <row r="318" spans="1:25" customFormat="1">
      <c r="A318" s="401" t="s">
        <v>3006</v>
      </c>
      <c r="B318" s="610" t="s">
        <v>2116</v>
      </c>
      <c r="C318" s="611">
        <f>IF(AND(build2_fp&gt;0,build2_fp&lt;500),1,0)</f>
        <v>0</v>
      </c>
      <c r="D318" s="478" t="s">
        <v>64</v>
      </c>
      <c r="E318" s="403">
        <f>build2_fp</f>
        <v>0</v>
      </c>
      <c r="F318" s="480" t="s">
        <v>1348</v>
      </c>
      <c r="G318" s="403">
        <f>build2_fp</f>
        <v>0</v>
      </c>
      <c r="H318" s="480" t="s">
        <v>1348</v>
      </c>
      <c r="I318" s="613" t="str">
        <f>IF(C318=0,"NA",VLOOKUP(build2_fp,bldg_shed_cost_cl,3))</f>
        <v>NA</v>
      </c>
      <c r="J318" s="410" t="str">
        <f>IF(OR(I318="NA",I318="contact vendor"),"--",G318*I318)</f>
        <v>--</v>
      </c>
      <c r="K318" s="208" t="str">
        <f>IF($C318=0,"N/A",VLOOKUP(build2_fp,bldg_shed_cost_cl,IF(ss_cat="large",4,5)))</f>
        <v>N/A</v>
      </c>
      <c r="L318" s="407"/>
      <c r="M318" s="16" t="str">
        <f>B302&amp;" - "&amp;B317&amp;" - "&amp;B318</f>
        <v>Building Structures and HVAC - Building 2 - Small Low Cost Shed</v>
      </c>
      <c r="N318" s="526">
        <f t="shared" ref="N318:V318" si="34">IF(include_buildings=1,2,0)</f>
        <v>0</v>
      </c>
      <c r="O318" s="526">
        <f t="shared" si="34"/>
        <v>0</v>
      </c>
      <c r="P318" s="526">
        <f t="shared" si="34"/>
        <v>0</v>
      </c>
      <c r="Q318" s="526">
        <f t="shared" si="34"/>
        <v>0</v>
      </c>
      <c r="R318" s="526">
        <f t="shared" si="34"/>
        <v>0</v>
      </c>
      <c r="S318" s="526">
        <f t="shared" si="34"/>
        <v>0</v>
      </c>
      <c r="T318" s="526">
        <f t="shared" si="34"/>
        <v>0</v>
      </c>
      <c r="U318" s="526">
        <f t="shared" si="34"/>
        <v>0</v>
      </c>
      <c r="V318" s="526">
        <f t="shared" si="34"/>
        <v>0</v>
      </c>
      <c r="W318">
        <f t="shared" si="29"/>
        <v>0</v>
      </c>
      <c r="X318">
        <f t="shared" si="30"/>
        <v>0</v>
      </c>
      <c r="Y318">
        <f>IF(W318,K318,0)</f>
        <v>0</v>
      </c>
    </row>
    <row r="319" spans="1:25" customFormat="1">
      <c r="A319" s="401" t="s">
        <v>3006</v>
      </c>
      <c r="B319" s="610" t="s">
        <v>2117</v>
      </c>
      <c r="C319" s="611">
        <f>IF(build2_fp&gt;=500,1,0)</f>
        <v>0</v>
      </c>
      <c r="D319" s="478" t="s">
        <v>64</v>
      </c>
      <c r="E319" s="403">
        <f>build2_fp</f>
        <v>0</v>
      </c>
      <c r="F319" s="480" t="s">
        <v>1348</v>
      </c>
      <c r="G319" s="403">
        <f>build2_fp</f>
        <v>0</v>
      </c>
      <c r="H319" s="480" t="s">
        <v>1348</v>
      </c>
      <c r="I319" s="613" t="str">
        <f>IF(C319=0,"NA",IF(curve=1,bldg_lo_eq_2,VLOOKUP(build2_fp, bldg_lo_cost_cl,3)))</f>
        <v>NA</v>
      </c>
      <c r="J319" s="410" t="str">
        <f>IF(OR(I319="NA",I319="contact vendor"),"--",G319*I319)</f>
        <v>--</v>
      </c>
      <c r="K319" s="208" t="str">
        <f>IF($C319=0,"N/A",VLOOKUP(build2_fp,bldg_lo_cost_cl,IF(ss_cat="large",4,5)))</f>
        <v>N/A</v>
      </c>
      <c r="L319" s="407"/>
      <c r="M319" s="16" t="str">
        <f>B302&amp;" - "&amp;B317&amp;" - "&amp;B319</f>
        <v>Building Structures and HVAC - Building 2 - Low Quality</v>
      </c>
      <c r="N319" s="526">
        <f>include_buildings</f>
        <v>0</v>
      </c>
      <c r="O319" s="526"/>
      <c r="P319" s="526"/>
      <c r="Q319" s="526">
        <f>include_buildings</f>
        <v>0</v>
      </c>
      <c r="R319" s="526"/>
      <c r="S319" s="880"/>
      <c r="T319" s="526">
        <f>include_buildings</f>
        <v>0</v>
      </c>
      <c r="U319" s="880"/>
      <c r="V319" s="526"/>
      <c r="W319">
        <f t="shared" si="29"/>
        <v>0</v>
      </c>
      <c r="X319">
        <f t="shared" si="30"/>
        <v>0</v>
      </c>
      <c r="Y319">
        <f>IF(W319,K319,0)</f>
        <v>0</v>
      </c>
    </row>
    <row r="320" spans="1:25" customFormat="1">
      <c r="A320" s="401" t="s">
        <v>3006</v>
      </c>
      <c r="B320" s="610" t="s">
        <v>2118</v>
      </c>
      <c r="C320" s="611">
        <f>IF(build2_fp&gt;=500,1,0)</f>
        <v>0</v>
      </c>
      <c r="D320" s="478" t="s">
        <v>64</v>
      </c>
      <c r="E320" s="403">
        <f>build2_fp</f>
        <v>0</v>
      </c>
      <c r="F320" s="480" t="s">
        <v>1348</v>
      </c>
      <c r="G320" s="403">
        <f>build2_fp</f>
        <v>0</v>
      </c>
      <c r="H320" s="480" t="s">
        <v>1348</v>
      </c>
      <c r="I320" s="613" t="str">
        <f>IF(C320=0,"NA",IF(curve=1,bldg_mid_eq_2,VLOOKUP(build2_fp, bldg_mid_cost_cl,3)))</f>
        <v>NA</v>
      </c>
      <c r="J320" s="410" t="str">
        <f>IF(OR(I320="NA",I320="contact vendor"),"--",G320*I320)</f>
        <v>--</v>
      </c>
      <c r="K320" s="208" t="str">
        <f>IF($C320=0,"N/A",VLOOKUP(build2_fp,bldg_mid_cost_cl,IF(ss_cat="large",4,5)))</f>
        <v>N/A</v>
      </c>
      <c r="L320" s="407"/>
      <c r="M320" s="16" t="str">
        <f>B302&amp;" - "&amp;B317&amp;" - "&amp;B320</f>
        <v>Building Structures and HVAC - Building 2 - Medium Quality</v>
      </c>
      <c r="N320" s="526"/>
      <c r="O320" s="526">
        <f>include_buildings</f>
        <v>0</v>
      </c>
      <c r="P320" s="526"/>
      <c r="Q320" s="526"/>
      <c r="R320" s="526">
        <f>include_buildings</f>
        <v>0</v>
      </c>
      <c r="S320" s="880"/>
      <c r="T320" s="880"/>
      <c r="U320" s="526">
        <f>include_buildings</f>
        <v>0</v>
      </c>
      <c r="V320" s="526"/>
      <c r="W320">
        <f t="shared" si="29"/>
        <v>0</v>
      </c>
      <c r="X320">
        <f t="shared" si="30"/>
        <v>0</v>
      </c>
      <c r="Y320">
        <f>IF(W320,K320,0)</f>
        <v>0</v>
      </c>
    </row>
    <row r="321" spans="1:25" customFormat="1">
      <c r="A321" s="401" t="s">
        <v>3006</v>
      </c>
      <c r="B321" s="610" t="s">
        <v>2119</v>
      </c>
      <c r="C321" s="611">
        <f>IF(build2_fp&gt;=500,1,0)</f>
        <v>0</v>
      </c>
      <c r="D321" s="478" t="s">
        <v>64</v>
      </c>
      <c r="E321" s="403">
        <f>build2_fp</f>
        <v>0</v>
      </c>
      <c r="F321" s="480" t="s">
        <v>1348</v>
      </c>
      <c r="G321" s="403">
        <f>build2_fp</f>
        <v>0</v>
      </c>
      <c r="H321" s="480" t="s">
        <v>1348</v>
      </c>
      <c r="I321" s="613" t="str">
        <f>IF(C321=0,"NA",IF(curve=1,bldg_hi_eq_2,VLOOKUP(build2_fp, bldg_hi_cost_cl,3)))</f>
        <v>NA</v>
      </c>
      <c r="J321" s="410" t="str">
        <f>IF(OR(I321="NA",I321="contact vendor"),"--",G321*I321)</f>
        <v>--</v>
      </c>
      <c r="K321" s="208" t="str">
        <f>IF($C321=0,"N/A",VLOOKUP(build2_fp,bldg_hi_cost_cl,IF(ss_cat="large",4,5)))</f>
        <v>N/A</v>
      </c>
      <c r="L321" s="407"/>
      <c r="M321" s="16" t="str">
        <f>B302&amp;" - "&amp;B317&amp;" - "&amp;B321</f>
        <v>Building Structures and HVAC - Building 2 - High Quality</v>
      </c>
      <c r="N321" s="526"/>
      <c r="O321" s="526"/>
      <c r="P321" s="526">
        <f>include_buildings</f>
        <v>0</v>
      </c>
      <c r="Q321" s="526"/>
      <c r="R321" s="526"/>
      <c r="S321" s="526">
        <f>include_buildings</f>
        <v>0</v>
      </c>
      <c r="T321" s="880"/>
      <c r="U321" s="880"/>
      <c r="V321" s="526">
        <f>include_buildings</f>
        <v>0</v>
      </c>
      <c r="W321">
        <f t="shared" si="29"/>
        <v>0</v>
      </c>
      <c r="X321">
        <f t="shared" si="30"/>
        <v>0</v>
      </c>
      <c r="Y321">
        <f>IF(W321,K321,0)</f>
        <v>0</v>
      </c>
    </row>
    <row r="322" spans="1:25" customFormat="1">
      <c r="A322" s="485" t="s">
        <v>3007</v>
      </c>
      <c r="B322" s="257" t="str">
        <f>"Heating System"&amp;IF(build2_heat="heat pump"," (included with cooling system)","")</f>
        <v>Heating System</v>
      </c>
      <c r="C322" s="274"/>
      <c r="D322" s="614"/>
      <c r="E322" s="274"/>
      <c r="F322" s="615"/>
      <c r="G322" s="274"/>
      <c r="H322" s="615"/>
      <c r="I322" s="274"/>
      <c r="J322" s="274"/>
      <c r="K322" s="274"/>
      <c r="L322" s="265"/>
      <c r="N322" s="526"/>
      <c r="O322" s="526"/>
      <c r="P322" s="526"/>
      <c r="Q322" s="526"/>
      <c r="R322" s="526"/>
      <c r="S322" s="526"/>
      <c r="T322" s="526"/>
      <c r="U322" s="526"/>
      <c r="V322" s="526"/>
      <c r="W322">
        <f t="shared" si="29"/>
        <v>0</v>
      </c>
      <c r="X322">
        <f t="shared" si="30"/>
        <v>0</v>
      </c>
    </row>
    <row r="323" spans="1:25" customFormat="1">
      <c r="A323" s="401" t="s">
        <v>3008</v>
      </c>
      <c r="B323" s="610" t="s">
        <v>854</v>
      </c>
      <c r="C323" s="611" t="str">
        <f>IF(build2_heat="heat pump","NA",IF(build2_need_heat,build2_zones,"NA"))</f>
        <v>NA</v>
      </c>
      <c r="D323" s="480" t="str">
        <f>IF(C323="NA","","zones")</f>
        <v/>
      </c>
      <c r="E323" s="403" t="str">
        <f>IF(C323="NA","NA",build2_heat_mbh)</f>
        <v>NA</v>
      </c>
      <c r="F323" s="480" t="str">
        <f>IF(C323="NA","","MBH")</f>
        <v/>
      </c>
      <c r="G323" s="403" t="str">
        <f>IF(C323="NA","NA",IF(curve=1,build2_heat_mbh,VLOOKUP(build2_heat_mbh,hvac_elec_cost_cl,2)))</f>
        <v>NA</v>
      </c>
      <c r="H323" s="480" t="str">
        <f>IF(C323="NA","","MBH")</f>
        <v/>
      </c>
      <c r="I323" s="616" t="str">
        <f>IF(C323="NA","NA",IF(curve=1,hvac_elec_eq_2,VLOOKUP(build2_heat_mbh,hvac_elec_cost_cl,3)))</f>
        <v>NA</v>
      </c>
      <c r="J323" s="410" t="str">
        <f>IF(OR(I323="NA",I323="contact vendor"),"--",C323*I323)</f>
        <v>--</v>
      </c>
      <c r="K323" s="208" t="str">
        <f>IF(C323="NA","NA",VLOOKUP(build2_heat_mbh,hvac_elec_cost_cl,IF(ss_cat="large",4,5)))</f>
        <v>NA</v>
      </c>
      <c r="L323" s="407"/>
      <c r="M323" s="16" t="str">
        <f>B302&amp;" - "&amp;B317&amp;" - "&amp;B322&amp;" - "&amp;B323</f>
        <v>Building Structures and HVAC - Building 2 - Heating System - Electric resistance</v>
      </c>
      <c r="N323" s="526" t="str">
        <f t="shared" ref="N323:V327" si="35">IF(include_HVAC=0,0,IF(build2_heat=$B323,1,""))</f>
        <v/>
      </c>
      <c r="O323" s="526" t="str">
        <f t="shared" si="35"/>
        <v/>
      </c>
      <c r="P323" s="526" t="str">
        <f t="shared" si="35"/>
        <v/>
      </c>
      <c r="Q323" s="526" t="str">
        <f t="shared" si="35"/>
        <v/>
      </c>
      <c r="R323" s="526" t="str">
        <f t="shared" si="35"/>
        <v/>
      </c>
      <c r="S323" s="526" t="str">
        <f t="shared" si="35"/>
        <v/>
      </c>
      <c r="T323" s="526" t="str">
        <f t="shared" si="35"/>
        <v/>
      </c>
      <c r="U323" s="526" t="str">
        <f t="shared" si="35"/>
        <v/>
      </c>
      <c r="V323" s="526" t="str">
        <f t="shared" si="35"/>
        <v/>
      </c>
      <c r="W323">
        <f t="shared" si="29"/>
        <v>0</v>
      </c>
      <c r="X323">
        <f t="shared" si="30"/>
        <v>0</v>
      </c>
    </row>
    <row r="324" spans="1:25" customFormat="1">
      <c r="A324" s="401" t="s">
        <v>3008</v>
      </c>
      <c r="B324" s="610" t="s">
        <v>856</v>
      </c>
      <c r="C324" s="611" t="str">
        <f>IF(build2_heat="heat pump","NA",IF(build2_need_heat,build2_zones,"NA"))</f>
        <v>NA</v>
      </c>
      <c r="D324" s="480" t="str">
        <f>IF(C324="NA","","zones")</f>
        <v/>
      </c>
      <c r="E324" s="403" t="str">
        <f>IF(C324="NA","NA",build2_heat_mbh)</f>
        <v>NA</v>
      </c>
      <c r="F324" s="480" t="str">
        <f>IF(C324="NA","","MBH")</f>
        <v/>
      </c>
      <c r="G324" s="403" t="str">
        <f>IF(C324="NA","NA",IF(curve=1,build2_heat_mbh,VLOOKUP(build2_heat_mbh,hvac_gas_non_cost_cl,2)))</f>
        <v>NA</v>
      </c>
      <c r="H324" s="480" t="str">
        <f>IF(C324="NA","","MBH")</f>
        <v/>
      </c>
      <c r="I324" s="616" t="str">
        <f>IF(C324="NA","NA",IF(curve=1,hvac_gas_non_eq_2,VLOOKUP(build2_heat_mbh,hvac_gas_non_cost_cl,3)))</f>
        <v>NA</v>
      </c>
      <c r="J324" s="410" t="str">
        <f>IF(OR(I324="NA",I324="contact vendor"),"--",C324*I324)</f>
        <v>--</v>
      </c>
      <c r="K324" s="208" t="str">
        <f>IF(C324="NA","NA",VLOOKUP(build2_heat_mbh,hvac_gas_non_cost_cl,IF(ss_cat="large",4,5)))</f>
        <v>NA</v>
      </c>
      <c r="L324" s="407"/>
      <c r="M324" s="16" t="str">
        <f>B302&amp;" - "&amp;B317&amp;" - "&amp;B322&amp;" - "&amp;B324</f>
        <v>Building Structures and HVAC - Building 2 - Heating System - Natural gas non-condensing furnace</v>
      </c>
      <c r="N324" s="526" t="str">
        <f t="shared" si="35"/>
        <v/>
      </c>
      <c r="O324" s="526" t="str">
        <f t="shared" si="35"/>
        <v/>
      </c>
      <c r="P324" s="526" t="str">
        <f t="shared" si="35"/>
        <v/>
      </c>
      <c r="Q324" s="526" t="str">
        <f t="shared" si="35"/>
        <v/>
      </c>
      <c r="R324" s="526" t="str">
        <f t="shared" si="35"/>
        <v/>
      </c>
      <c r="S324" s="526" t="str">
        <f t="shared" si="35"/>
        <v/>
      </c>
      <c r="T324" s="526" t="str">
        <f t="shared" si="35"/>
        <v/>
      </c>
      <c r="U324" s="526" t="str">
        <f t="shared" si="35"/>
        <v/>
      </c>
      <c r="V324" s="526" t="str">
        <f t="shared" si="35"/>
        <v/>
      </c>
      <c r="W324">
        <f t="shared" si="29"/>
        <v>0</v>
      </c>
      <c r="X324">
        <f t="shared" si="30"/>
        <v>0</v>
      </c>
    </row>
    <row r="325" spans="1:25" customFormat="1">
      <c r="A325" s="401" t="s">
        <v>3008</v>
      </c>
      <c r="B325" s="610" t="s">
        <v>2739</v>
      </c>
      <c r="C325" s="611" t="str">
        <f>IF(build2_heat="heat pump","NA",IF(build2_need_heat,build2_zones,"NA"))</f>
        <v>NA</v>
      </c>
      <c r="D325" s="480" t="str">
        <f>IF(C325="NA","","zones")</f>
        <v/>
      </c>
      <c r="E325" s="403" t="str">
        <f>IF(C325="NA","NA",build2_heat_mbh)</f>
        <v>NA</v>
      </c>
      <c r="F325" s="480" t="str">
        <f>IF(C325="NA","","MBH")</f>
        <v/>
      </c>
      <c r="G325" s="403" t="str">
        <f>IF(C325="NA","NA",IF(curve=1,build2_heat_mbh,VLOOKUP(build2_heat_mbh,hvac_gas_cost_cl,2)))</f>
        <v>NA</v>
      </c>
      <c r="H325" s="480" t="str">
        <f>IF(C325="NA","","MBH")</f>
        <v/>
      </c>
      <c r="I325" s="616" t="str">
        <f>IF(C325="NA","NA",IF(curve=1,hvac_gas_eq_2,VLOOKUP(build2_heat_mbh,hvac_gas_cost_cl,3)))</f>
        <v>NA</v>
      </c>
      <c r="J325" s="410" t="str">
        <f>IF(OR(I325="NA",I325="contact vendor"),"--",C325*I325)</f>
        <v>--</v>
      </c>
      <c r="K325" s="208" t="str">
        <f>IF(C325="NA","NA",VLOOKUP(build2_heat_mbh,hvac_gas_cost_cl,IF(ss_cat="large",4,5)))</f>
        <v>NA</v>
      </c>
      <c r="L325" s="407"/>
      <c r="M325" s="16" t="str">
        <f>B302&amp;" - "&amp;B317&amp;" - "&amp;B322&amp;" - "&amp;B325</f>
        <v>Building Structures and HVAC - Building 2 - Heating System - Natural gas condensing furnace</v>
      </c>
      <c r="N325" s="526" t="str">
        <f t="shared" si="35"/>
        <v/>
      </c>
      <c r="O325" s="526" t="str">
        <f t="shared" si="35"/>
        <v/>
      </c>
      <c r="P325" s="526" t="str">
        <f t="shared" si="35"/>
        <v/>
      </c>
      <c r="Q325" s="526" t="str">
        <f t="shared" si="35"/>
        <v/>
      </c>
      <c r="R325" s="526" t="str">
        <f t="shared" si="35"/>
        <v/>
      </c>
      <c r="S325" s="526" t="str">
        <f t="shared" si="35"/>
        <v/>
      </c>
      <c r="T325" s="526" t="str">
        <f t="shared" si="35"/>
        <v/>
      </c>
      <c r="U325" s="526" t="str">
        <f t="shared" si="35"/>
        <v/>
      </c>
      <c r="V325" s="526" t="str">
        <f t="shared" si="35"/>
        <v/>
      </c>
      <c r="W325">
        <f t="shared" si="29"/>
        <v>0</v>
      </c>
      <c r="X325">
        <f t="shared" si="30"/>
        <v>0</v>
      </c>
    </row>
    <row r="326" spans="1:25" customFormat="1">
      <c r="A326" s="401" t="s">
        <v>3008</v>
      </c>
      <c r="B326" s="610" t="s">
        <v>12</v>
      </c>
      <c r="C326" s="611" t="str">
        <f>IF(build2_heat="heat pump","NA",IF(build2_need_heat,build2_zones,"NA"))</f>
        <v>NA</v>
      </c>
      <c r="D326" s="480" t="str">
        <f>IF(C326="NA","","zones")</f>
        <v/>
      </c>
      <c r="E326" s="403" t="str">
        <f>IF(C326="NA","NA",build2_heat_mbh)</f>
        <v>NA</v>
      </c>
      <c r="F326" s="480" t="str">
        <f>IF(C326="NA","","MBH")</f>
        <v/>
      </c>
      <c r="G326" s="403" t="str">
        <f>IF(C326="NA","NA",IF(curve=1,build2_heat_mbh,VLOOKUP(E326,hvac_oil_std_cost_cl,2)))</f>
        <v>NA</v>
      </c>
      <c r="H326" s="480" t="str">
        <f>IF(C326="NA","","MBH")</f>
        <v/>
      </c>
      <c r="I326" s="616" t="str">
        <f>IF(C326="NA","NA",IF(curve=1,hvac_oil_std_eq_2,VLOOKUP(build2_heat_mbh,hvac_oil_std_cost_cl,3)))</f>
        <v>NA</v>
      </c>
      <c r="J326" s="410" t="str">
        <f>IF(OR(I326="NA",I326="contact vendor"),"--",C326*I326)</f>
        <v>--</v>
      </c>
      <c r="K326" s="208" t="str">
        <f>IF(C326="NA","NA",VLOOKUP(build2_heat_mbh,hvac_oil_std_cost_cl,IF(ss_cat="large",4,5)))</f>
        <v>NA</v>
      </c>
      <c r="L326" s="407"/>
      <c r="M326" s="16" t="str">
        <f>B302&amp;" - "&amp;B317&amp;" - "&amp;B322&amp;" - "&amp;B326</f>
        <v>Building Structures and HVAC - Building 2 - Heating System - Standard efficiency oil furnace</v>
      </c>
      <c r="N326" s="526" t="str">
        <f t="shared" si="35"/>
        <v/>
      </c>
      <c r="O326" s="526" t="str">
        <f t="shared" si="35"/>
        <v/>
      </c>
      <c r="P326" s="526" t="str">
        <f t="shared" si="35"/>
        <v/>
      </c>
      <c r="Q326" s="526" t="str">
        <f t="shared" si="35"/>
        <v/>
      </c>
      <c r="R326" s="526" t="str">
        <f t="shared" si="35"/>
        <v/>
      </c>
      <c r="S326" s="526" t="str">
        <f t="shared" si="35"/>
        <v/>
      </c>
      <c r="T326" s="526" t="str">
        <f t="shared" si="35"/>
        <v/>
      </c>
      <c r="U326" s="526" t="str">
        <f t="shared" si="35"/>
        <v/>
      </c>
      <c r="V326" s="526" t="str">
        <f t="shared" si="35"/>
        <v/>
      </c>
      <c r="W326">
        <f t="shared" si="29"/>
        <v>0</v>
      </c>
      <c r="X326">
        <f t="shared" si="30"/>
        <v>0</v>
      </c>
    </row>
    <row r="327" spans="1:25" customFormat="1">
      <c r="A327" s="401" t="s">
        <v>3008</v>
      </c>
      <c r="B327" s="610" t="s">
        <v>13</v>
      </c>
      <c r="C327" s="611" t="str">
        <f>IF(build2_heat="heat pump","NA",IF(build2_need_heat,build2_zones,"NA"))</f>
        <v>NA</v>
      </c>
      <c r="D327" s="480" t="str">
        <f>IF(C327="NA","","zones")</f>
        <v/>
      </c>
      <c r="E327" s="403" t="str">
        <f>IF(C327="NA","NA",build2_heat_mbh)</f>
        <v>NA</v>
      </c>
      <c r="F327" s="480" t="str">
        <f>IF(C327="NA","","MBH")</f>
        <v/>
      </c>
      <c r="G327" s="403" t="str">
        <f>IF(C327="NA","NA",IF(curve=1,build2_heat_mbh,VLOOKUP(build2_heat_mbh,hvac_oil_mid_cost_cl,2)))</f>
        <v>NA</v>
      </c>
      <c r="H327" s="480" t="str">
        <f>IF(C327="NA","","MBH")</f>
        <v/>
      </c>
      <c r="I327" s="616" t="str">
        <f>IF(C327="NA","NA",IF(curve=1,hvac_oil_mid_eq_2,VLOOKUP(build2_heat_mbh,hvac_oil_mid_cost_cl,3)))</f>
        <v>NA</v>
      </c>
      <c r="J327" s="410" t="str">
        <f>IF(OR(I327="NA",I327="contact vendor"),"--",C327*I327)</f>
        <v>--</v>
      </c>
      <c r="K327" s="208" t="str">
        <f>IF(C327="NA","NA",VLOOKUP(build2_heat_mbh,hvac_oil_mid_cost_cl,IF(ss_cat="large",4,5)))</f>
        <v>NA</v>
      </c>
      <c r="L327" s="407"/>
      <c r="M327" s="16" t="str">
        <f>B302&amp;" - "&amp;B317&amp;" - "&amp;B322&amp;" - "&amp;B327</f>
        <v>Building Structures and HVAC - Building 2 - Heating System - Mid-efficiency oil furnace</v>
      </c>
      <c r="N327" s="526" t="str">
        <f t="shared" si="35"/>
        <v/>
      </c>
      <c r="O327" s="526" t="str">
        <f t="shared" si="35"/>
        <v/>
      </c>
      <c r="P327" s="526" t="str">
        <f t="shared" si="35"/>
        <v/>
      </c>
      <c r="Q327" s="526" t="str">
        <f t="shared" si="35"/>
        <v/>
      </c>
      <c r="R327" s="526" t="str">
        <f t="shared" si="35"/>
        <v/>
      </c>
      <c r="S327" s="526" t="str">
        <f t="shared" si="35"/>
        <v/>
      </c>
      <c r="T327" s="526" t="str">
        <f t="shared" si="35"/>
        <v/>
      </c>
      <c r="U327" s="526" t="str">
        <f t="shared" si="35"/>
        <v/>
      </c>
      <c r="V327" s="526" t="str">
        <f t="shared" si="35"/>
        <v/>
      </c>
      <c r="W327">
        <f t="shared" si="29"/>
        <v>0</v>
      </c>
      <c r="X327">
        <f t="shared" si="30"/>
        <v>0</v>
      </c>
    </row>
    <row r="328" spans="1:25" customFormat="1">
      <c r="A328" s="485" t="s">
        <v>3009</v>
      </c>
      <c r="B328" s="257" t="str">
        <f>IF(build2_heat="heat pump","Heating and ","")&amp;"Cooling System"</f>
        <v>Cooling System</v>
      </c>
      <c r="C328" s="274"/>
      <c r="D328" s="614"/>
      <c r="E328" s="274"/>
      <c r="F328" s="615"/>
      <c r="G328" s="274"/>
      <c r="H328" s="615"/>
      <c r="I328" s="274"/>
      <c r="J328" s="274"/>
      <c r="K328" s="274"/>
      <c r="L328" s="265"/>
      <c r="N328" s="526"/>
      <c r="O328" s="526"/>
      <c r="P328" s="526"/>
      <c r="Q328" s="526"/>
      <c r="R328" s="526"/>
      <c r="S328" s="526"/>
      <c r="T328" s="526"/>
      <c r="U328" s="526"/>
      <c r="V328" s="526"/>
      <c r="W328">
        <f t="shared" si="29"/>
        <v>0</v>
      </c>
      <c r="X328">
        <f t="shared" si="30"/>
        <v>0</v>
      </c>
    </row>
    <row r="329" spans="1:25" customFormat="1">
      <c r="A329" s="401" t="s">
        <v>3010</v>
      </c>
      <c r="B329" s="610" t="s">
        <v>1968</v>
      </c>
      <c r="C329" s="611" t="str">
        <f>IF(build2_need_cool,build2_zones,"NA")</f>
        <v>NA</v>
      </c>
      <c r="D329" s="480" t="str">
        <f>IF(C329="NA","","zones")</f>
        <v/>
      </c>
      <c r="E329" s="617" t="str">
        <f>IF(C329="NA","NA",build2_cooling_tons)</f>
        <v>NA</v>
      </c>
      <c r="F329" s="480" t="str">
        <f>IF(C329="NA","","tons")</f>
        <v/>
      </c>
      <c r="G329" s="617" t="str">
        <f>IF(C329="NA","NA",IF(curve=1,build2_cooling_tons,VLOOKUP(build2_cooling_tons,hvac_ac_cost_cl,2)))</f>
        <v>NA</v>
      </c>
      <c r="H329" s="480" t="str">
        <f>IF(C329="NA","","tons")</f>
        <v/>
      </c>
      <c r="I329" s="616" t="str">
        <f>IF(C329="NA","NA",IF(curve=1,hvac_ac_eq_2,VLOOKUP(build2_cooling_tons,hvac_ac_cost_cl,3)))</f>
        <v>NA</v>
      </c>
      <c r="J329" s="410" t="str">
        <f>IF(OR(I329="NA",I329="contact vendor"),"--",C329*I329)</f>
        <v>--</v>
      </c>
      <c r="K329" s="208" t="str">
        <f>IF(C329="NA","NA",VLOOKUP(build2_cooling_tons,hvac_ac_cost_cl,IF(ss_cat="large",4,5)))</f>
        <v>NA</v>
      </c>
      <c r="L329" s="407"/>
      <c r="M329" s="16" t="str">
        <f>B302&amp;" - "&amp;B317&amp;" - "&amp;B328&amp;" - "&amp;B329</f>
        <v>Building Structures and HVAC - Building 2 - Cooling System - Air conditioner</v>
      </c>
      <c r="N329" s="526" t="str">
        <f t="shared" ref="N329:V330" si="36">IF(include_HVAC=0,0,IF(build2_cool=$B329,1,""))</f>
        <v/>
      </c>
      <c r="O329" s="526" t="str">
        <f t="shared" si="36"/>
        <v/>
      </c>
      <c r="P329" s="526" t="str">
        <f t="shared" si="36"/>
        <v/>
      </c>
      <c r="Q329" s="526" t="str">
        <f t="shared" si="36"/>
        <v/>
      </c>
      <c r="R329" s="526" t="str">
        <f t="shared" si="36"/>
        <v/>
      </c>
      <c r="S329" s="526" t="str">
        <f t="shared" si="36"/>
        <v/>
      </c>
      <c r="T329" s="526" t="str">
        <f t="shared" si="36"/>
        <v/>
      </c>
      <c r="U329" s="526" t="str">
        <f t="shared" si="36"/>
        <v/>
      </c>
      <c r="V329" s="526" t="str">
        <f t="shared" si="36"/>
        <v/>
      </c>
      <c r="W329">
        <f t="shared" si="29"/>
        <v>0</v>
      </c>
      <c r="X329">
        <f t="shared" si="30"/>
        <v>0</v>
      </c>
    </row>
    <row r="330" spans="1:25" customFormat="1">
      <c r="A330" s="401" t="s">
        <v>3010</v>
      </c>
      <c r="B330" s="610" t="s">
        <v>855</v>
      </c>
      <c r="C330" s="611" t="str">
        <f>IF(AND(hp_ok_2,build2_need_cool),build2_zones,"NA")</f>
        <v>NA</v>
      </c>
      <c r="D330" s="480" t="str">
        <f>IF(C330="NA","","zones")</f>
        <v/>
      </c>
      <c r="E330" s="617" t="str">
        <f>IF(C330="NA","NA",build2_cooling_tons)</f>
        <v>NA</v>
      </c>
      <c r="F330" s="480" t="str">
        <f>IF(C330="NA","","tons")</f>
        <v/>
      </c>
      <c r="G330" s="617" t="str">
        <f>IF(C330="NA","NA",IF(curve=1,build2_cooling_tons,VLOOKUP(build2_cooling_tons,hvac_hp_cost_cl,2)))</f>
        <v>NA</v>
      </c>
      <c r="H330" s="480" t="str">
        <f>IF(C330="NA","","tons")</f>
        <v/>
      </c>
      <c r="I330" s="616" t="str">
        <f>IF(C330="NA","NA",IF(curve=1,hvac_hp_eq_2,VLOOKUP(build2_cooling_tons,hvac_hp_cost_cl,3)))</f>
        <v>NA</v>
      </c>
      <c r="J330" s="410" t="str">
        <f>IF(OR(I330="NA",I330="contact vendor"),"--",C330*I330)</f>
        <v>--</v>
      </c>
      <c r="K330" s="208" t="str">
        <f>IF(C330="NA","NA",VLOOKUP(build2_cooling_tons,hvac_hp_cost_cl,IF(ss_cat="large",4,5)))</f>
        <v>NA</v>
      </c>
      <c r="L330" s="407"/>
      <c r="M330" s="16" t="str">
        <f>B302&amp;" - "&amp;B317&amp;" - "&amp;B328&amp;" - "&amp;B330</f>
        <v>Building Structures and HVAC - Building 2 - Cooling System - Heat pump</v>
      </c>
      <c r="N330" s="526" t="str">
        <f t="shared" si="36"/>
        <v/>
      </c>
      <c r="O330" s="526" t="str">
        <f t="shared" si="36"/>
        <v/>
      </c>
      <c r="P330" s="526" t="str">
        <f t="shared" si="36"/>
        <v/>
      </c>
      <c r="Q330" s="526" t="str">
        <f t="shared" si="36"/>
        <v/>
      </c>
      <c r="R330" s="526" t="str">
        <f t="shared" si="36"/>
        <v/>
      </c>
      <c r="S330" s="526" t="str">
        <f t="shared" si="36"/>
        <v/>
      </c>
      <c r="T330" s="526" t="str">
        <f t="shared" si="36"/>
        <v/>
      </c>
      <c r="U330" s="526" t="str">
        <f t="shared" si="36"/>
        <v/>
      </c>
      <c r="V330" s="526" t="str">
        <f t="shared" si="36"/>
        <v/>
      </c>
      <c r="W330">
        <f t="shared" si="29"/>
        <v>0</v>
      </c>
      <c r="X330">
        <f t="shared" si="30"/>
        <v>0</v>
      </c>
    </row>
    <row r="331" spans="1:25" s="16" customFormat="1">
      <c r="A331" s="484">
        <v>13.3</v>
      </c>
      <c r="B331" s="388" t="s">
        <v>1347</v>
      </c>
      <c r="C331" s="21">
        <v>1</v>
      </c>
      <c r="D331" s="389" t="s">
        <v>64</v>
      </c>
      <c r="E331" s="390">
        <f>concrete</f>
        <v>62</v>
      </c>
      <c r="F331" s="21" t="s">
        <v>1349</v>
      </c>
      <c r="G331" s="390">
        <f>concrete</f>
        <v>62</v>
      </c>
      <c r="H331" s="21" t="s">
        <v>1349</v>
      </c>
      <c r="I331" s="395">
        <f>VLOOKUP(0,conc_pad_cost_cl,3)</f>
        <v>492.74999999999994</v>
      </c>
      <c r="J331" s="392">
        <f>IF(I331="contact vendor","--",E331*I331)</f>
        <v>30550.499999999996</v>
      </c>
      <c r="K331" s="21">
        <f>VLOOKUP(0,conc_pad_cost_cl,IF(ss_cat="large",4,5))</f>
        <v>40</v>
      </c>
      <c r="L331" s="393">
        <v>1</v>
      </c>
      <c r="M331" s="16" t="str">
        <f>B302&amp;" - "&amp;B331</f>
        <v>Building Structures and HVAC - Concrete Pad</v>
      </c>
      <c r="N331" s="526">
        <f t="shared" ref="N331:V331" si="37">include_pad</f>
        <v>1</v>
      </c>
      <c r="O331" s="526">
        <f t="shared" si="37"/>
        <v>1</v>
      </c>
      <c r="P331" s="526">
        <f t="shared" si="37"/>
        <v>1</v>
      </c>
      <c r="Q331" s="526">
        <f t="shared" si="37"/>
        <v>1</v>
      </c>
      <c r="R331" s="526">
        <f t="shared" si="37"/>
        <v>1</v>
      </c>
      <c r="S331" s="526">
        <f t="shared" si="37"/>
        <v>1</v>
      </c>
      <c r="T331" s="526">
        <f t="shared" si="37"/>
        <v>1</v>
      </c>
      <c r="U331" s="526">
        <f t="shared" si="37"/>
        <v>1</v>
      </c>
      <c r="V331" s="526">
        <f t="shared" si="37"/>
        <v>1</v>
      </c>
      <c r="W331" s="526">
        <f t="shared" si="29"/>
        <v>1</v>
      </c>
      <c r="X331" s="526">
        <f t="shared" si="30"/>
        <v>763.76249999999993</v>
      </c>
    </row>
    <row r="332" spans="1:25" s="16" customFormat="1">
      <c r="A332" s="483">
        <v>14</v>
      </c>
      <c r="B332" s="28" t="s">
        <v>1681</v>
      </c>
      <c r="C332" s="275"/>
      <c r="D332" s="275"/>
      <c r="E332" s="275"/>
      <c r="F332" s="275"/>
      <c r="G332" s="275"/>
      <c r="H332" s="275"/>
      <c r="I332" s="275"/>
      <c r="J332" s="275"/>
      <c r="K332" s="275"/>
      <c r="L332" s="254"/>
      <c r="N332" s="651"/>
      <c r="O332" s="651"/>
      <c r="P332" s="651"/>
      <c r="Q332" s="651"/>
      <c r="R332" s="651"/>
      <c r="S332" s="651"/>
      <c r="T332" s="651"/>
      <c r="U332" s="651"/>
      <c r="V332" s="651"/>
      <c r="W332" s="526">
        <f t="shared" si="29"/>
        <v>0</v>
      </c>
      <c r="X332" s="526">
        <f t="shared" si="30"/>
        <v>0</v>
      </c>
    </row>
    <row r="333" spans="1:25" s="16" customFormat="1">
      <c r="A333" s="484">
        <v>14.1</v>
      </c>
      <c r="B333" s="388" t="s">
        <v>566</v>
      </c>
      <c r="C333" s="21">
        <f>ep_cells</f>
        <v>0</v>
      </c>
      <c r="D333" s="426" t="s">
        <v>290</v>
      </c>
      <c r="E333" s="400" t="str">
        <f>IF(C333=0,"NA",ep_excavation_vol/ep_cells)</f>
        <v>NA</v>
      </c>
      <c r="F333" s="21" t="str">
        <f>IF(C333=0,"","cy")</f>
        <v/>
      </c>
      <c r="G333" s="400" t="str">
        <f>IF(C333=0,"NA",ep_excavation_vol/ep_cells)</f>
        <v>NA</v>
      </c>
      <c r="H333" s="21" t="str">
        <f>IF(C333=0,"","cy")</f>
        <v/>
      </c>
      <c r="I333" s="395" t="str">
        <f>IF(C333=0,"NA",VLOOKUP(0,excavate_cost_cl,3)*ep_excavation_vol/ep_cells)</f>
        <v>NA</v>
      </c>
      <c r="J333" s="392" t="str">
        <f>IF(C333=0,"--",IF(I333="contact vendor","--",C333*I333))</f>
        <v>--</v>
      </c>
      <c r="K333" s="394" t="str">
        <f>IF(C333=0,"NA",VLOOKUP(0,ep_liner_cost_cl,IF(ss_cat="large",4,5)))</f>
        <v>NA</v>
      </c>
      <c r="L333" s="393"/>
      <c r="M333" s="16" t="str">
        <f>$B$332&amp;" - "&amp;" - "&amp;B333</f>
        <v>Evaporation Ponds -  - Excavation</v>
      </c>
      <c r="N333" s="526">
        <v>1</v>
      </c>
      <c r="O333" s="526">
        <v>1</v>
      </c>
      <c r="P333" s="526">
        <v>1</v>
      </c>
      <c r="Q333" s="526">
        <v>1</v>
      </c>
      <c r="R333" s="526">
        <v>1</v>
      </c>
      <c r="S333" s="526">
        <v>1</v>
      </c>
      <c r="T333" s="526">
        <v>1</v>
      </c>
      <c r="U333" s="526">
        <v>1</v>
      </c>
      <c r="V333" s="526">
        <v>1</v>
      </c>
      <c r="W333" s="526">
        <f t="shared" si="29"/>
        <v>0</v>
      </c>
      <c r="X333" s="526">
        <f t="shared" si="30"/>
        <v>0</v>
      </c>
    </row>
    <row r="334" spans="1:25" s="16" customFormat="1">
      <c r="A334" s="484">
        <v>14.2</v>
      </c>
      <c r="B334" s="388" t="s">
        <v>567</v>
      </c>
      <c r="C334" s="21">
        <f>ep_cells</f>
        <v>0</v>
      </c>
      <c r="D334" s="426" t="s">
        <v>290</v>
      </c>
      <c r="E334" s="400" t="str">
        <f>IF(C334=0,"NA",ep_backfill_vol/ep_cells)</f>
        <v>NA</v>
      </c>
      <c r="F334" s="21" t="str">
        <f>IF(C334=0,"","cy")</f>
        <v/>
      </c>
      <c r="G334" s="400" t="str">
        <f>IF(C334=0,"NA",ep_backfill_vol/ep_cells)</f>
        <v>NA</v>
      </c>
      <c r="H334" s="21" t="str">
        <f>IF(C334=0,"","cy")</f>
        <v/>
      </c>
      <c r="I334" s="395" t="str">
        <f>IF(C334=0,"NA",VLOOKUP(0,backfill_cost_cl,3)*ep_excavation_vol/ep_cells)</f>
        <v>NA</v>
      </c>
      <c r="J334" s="392" t="str">
        <f>IF(C334=0,"--",IF(I334="contact vendor","--",C334*I334))</f>
        <v>--</v>
      </c>
      <c r="K334" s="394" t="str">
        <f>IF(C334=0,"NA",VLOOKUP(0,ep_liner_cost_cl,IF(ss_cat="large",4,5)))</f>
        <v>NA</v>
      </c>
      <c r="L334" s="393"/>
      <c r="M334" s="16" t="str">
        <f>$B$332&amp;" - "&amp;" - "&amp;B334</f>
        <v>Evaporation Ponds -  - Backfill</v>
      </c>
      <c r="N334" s="526">
        <v>1</v>
      </c>
      <c r="O334" s="526">
        <v>1</v>
      </c>
      <c r="P334" s="526">
        <v>1</v>
      </c>
      <c r="Q334" s="526">
        <v>1</v>
      </c>
      <c r="R334" s="526">
        <v>1</v>
      </c>
      <c r="S334" s="526">
        <v>1</v>
      </c>
      <c r="T334" s="526">
        <v>1</v>
      </c>
      <c r="U334" s="526">
        <v>1</v>
      </c>
      <c r="V334" s="526">
        <v>1</v>
      </c>
      <c r="W334" s="526">
        <f t="shared" si="29"/>
        <v>0</v>
      </c>
      <c r="X334" s="526">
        <f t="shared" si="30"/>
        <v>0</v>
      </c>
    </row>
    <row r="335" spans="1:25" s="16" customFormat="1">
      <c r="A335" s="484">
        <v>14.3</v>
      </c>
      <c r="B335" s="388" t="s">
        <v>568</v>
      </c>
      <c r="C335" s="21">
        <f>ep_cells</f>
        <v>0</v>
      </c>
      <c r="D335" s="426" t="s">
        <v>290</v>
      </c>
      <c r="E335" s="400" t="str">
        <f>IF(C335=0,"NA",liner_area/ep_cells)</f>
        <v>NA</v>
      </c>
      <c r="F335" s="21" t="str">
        <f>IF(C335=0,"","sf")</f>
        <v/>
      </c>
      <c r="G335" s="400" t="str">
        <f>IF(C335=0,"NA",liner_area/ep_cells)</f>
        <v>NA</v>
      </c>
      <c r="H335" s="21" t="str">
        <f>IF(C335=0,"","sf")</f>
        <v/>
      </c>
      <c r="I335" s="395" t="str">
        <f>IF(C335=0,"NA",VLOOKUP(0,ep_liner_cost_cl,3)*liner_area/ep_cells)</f>
        <v>NA</v>
      </c>
      <c r="J335" s="392" t="str">
        <f>IF(C335=0,"--",IF(I335="contact vendor","--",C335*I335))</f>
        <v>--</v>
      </c>
      <c r="K335" s="394" t="str">
        <f>IF(C335=0,"NA",VLOOKUP(0,ep_liner_cost_cl,IF(ss_cat="large",4,5)))</f>
        <v>NA</v>
      </c>
      <c r="L335" s="393"/>
      <c r="M335" s="16" t="str">
        <f>$B$332&amp;" - "&amp;" - "&amp;B335</f>
        <v>Evaporation Ponds -  - Liner</v>
      </c>
      <c r="N335" s="526">
        <v>1</v>
      </c>
      <c r="O335" s="526">
        <v>1</v>
      </c>
      <c r="P335" s="526">
        <v>1</v>
      </c>
      <c r="Q335" s="526">
        <v>1</v>
      </c>
      <c r="R335" s="526">
        <v>1</v>
      </c>
      <c r="S335" s="526">
        <v>1</v>
      </c>
      <c r="T335" s="526">
        <v>1</v>
      </c>
      <c r="U335" s="526">
        <v>1</v>
      </c>
      <c r="V335" s="526">
        <v>1</v>
      </c>
      <c r="W335" s="526">
        <f t="shared" si="29"/>
        <v>0</v>
      </c>
      <c r="X335" s="526">
        <f t="shared" si="30"/>
        <v>0</v>
      </c>
    </row>
    <row r="336" spans="1:25" s="16" customFormat="1">
      <c r="A336" s="484">
        <v>14.4</v>
      </c>
      <c r="B336" s="388" t="s">
        <v>569</v>
      </c>
      <c r="C336" s="21">
        <f>ep_cells</f>
        <v>0</v>
      </c>
      <c r="D336" s="426" t="s">
        <v>290</v>
      </c>
      <c r="E336" s="400" t="str">
        <f>IF(C336=0,"NA",dike_volume/ep_cells)</f>
        <v>NA</v>
      </c>
      <c r="F336" s="21" t="str">
        <f>IF(C336=0,"","cy")</f>
        <v/>
      </c>
      <c r="G336" s="400" t="str">
        <f>IF(C336=0,"NA",dike_volume/ep_cells)</f>
        <v>NA</v>
      </c>
      <c r="H336" s="21" t="str">
        <f>IF(C336=0,"","cy")</f>
        <v/>
      </c>
      <c r="I336" s="395" t="str">
        <f>IF(C336=0,"NA",ep_dike_construct_cl*dike_volume/ep_cells)</f>
        <v>NA</v>
      </c>
      <c r="J336" s="392" t="str">
        <f>IF(C336=0,"--",IF(I336="contact vendor","--",E336*I336))</f>
        <v>--</v>
      </c>
      <c r="K336" s="394" t="str">
        <f>IF(C336=0,"NA",VLOOKUP(0,ep_liner_cost_cl,IF(ss_cat="large",4,5)))</f>
        <v>NA</v>
      </c>
      <c r="L336" s="393"/>
      <c r="M336" s="16" t="str">
        <f>$B$332&amp;" - "&amp;" - "&amp;B336</f>
        <v>Evaporation Ponds -  - Dike Construction</v>
      </c>
      <c r="N336" s="526">
        <v>1</v>
      </c>
      <c r="O336" s="526">
        <v>1</v>
      </c>
      <c r="P336" s="526">
        <v>1</v>
      </c>
      <c r="Q336" s="526">
        <v>1</v>
      </c>
      <c r="R336" s="526">
        <v>1</v>
      </c>
      <c r="S336" s="526">
        <v>1</v>
      </c>
      <c r="T336" s="526">
        <v>1</v>
      </c>
      <c r="U336" s="526">
        <v>1</v>
      </c>
      <c r="V336" s="526">
        <v>1</v>
      </c>
      <c r="W336" s="526">
        <f t="shared" si="29"/>
        <v>0</v>
      </c>
      <c r="X336" s="526">
        <f t="shared" si="30"/>
        <v>0</v>
      </c>
    </row>
    <row r="337" spans="1:25" s="16" customFormat="1">
      <c r="A337" s="483">
        <v>15</v>
      </c>
      <c r="B337" s="28" t="s">
        <v>1645</v>
      </c>
      <c r="C337" s="275"/>
      <c r="D337" s="275"/>
      <c r="E337" s="275"/>
      <c r="F337" s="275"/>
      <c r="G337" s="275"/>
      <c r="H337" s="275"/>
      <c r="I337" s="275"/>
      <c r="J337" s="275"/>
      <c r="K337" s="275"/>
      <c r="L337" s="254"/>
      <c r="N337" s="526"/>
      <c r="O337" s="526"/>
      <c r="P337" s="526"/>
      <c r="Q337" s="526"/>
      <c r="R337" s="526"/>
      <c r="S337" s="526"/>
      <c r="T337" s="526"/>
      <c r="U337" s="526"/>
      <c r="V337" s="526"/>
      <c r="W337" s="526">
        <f t="shared" si="29"/>
        <v>0</v>
      </c>
      <c r="X337" s="526">
        <f t="shared" si="30"/>
        <v>0</v>
      </c>
    </row>
    <row r="338" spans="1:25" s="16" customFormat="1">
      <c r="A338" s="490">
        <v>15.1</v>
      </c>
      <c r="B338" s="427" t="s">
        <v>1645</v>
      </c>
      <c r="C338" s="428">
        <f>IF(solids_pad_area=0,0,1)</f>
        <v>0</v>
      </c>
      <c r="D338" s="429" t="s">
        <v>64</v>
      </c>
      <c r="E338" s="430">
        <f>solids_pad_concrete</f>
        <v>0</v>
      </c>
      <c r="F338" s="428" t="s">
        <v>1349</v>
      </c>
      <c r="G338" s="430">
        <f>solids_pad_concrete</f>
        <v>0</v>
      </c>
      <c r="H338" s="428" t="s">
        <v>1349</v>
      </c>
      <c r="I338" s="431">
        <f>VLOOKUP(0,conc_pad_cost_cl,3)</f>
        <v>492.74999999999994</v>
      </c>
      <c r="J338" s="432">
        <f>IF(I338="contact vendor","--",E338*I338)</f>
        <v>0</v>
      </c>
      <c r="K338" s="433" t="str">
        <f>IF(C338=0,"NA",VLOOKUP(0,conc_pad_cost_cl,IF(ss_cat="large",4,5)))</f>
        <v>NA</v>
      </c>
      <c r="L338" s="434"/>
      <c r="M338" s="16" t="str">
        <f>B338</f>
        <v>Solids drying pad</v>
      </c>
      <c r="N338" s="526">
        <v>1</v>
      </c>
      <c r="O338" s="526">
        <v>1</v>
      </c>
      <c r="P338" s="526">
        <v>1</v>
      </c>
      <c r="Q338" s="526">
        <v>1</v>
      </c>
      <c r="R338" s="526">
        <v>1</v>
      </c>
      <c r="S338" s="526">
        <v>1</v>
      </c>
      <c r="T338" s="526">
        <v>1</v>
      </c>
      <c r="U338" s="526">
        <v>1</v>
      </c>
      <c r="V338" s="526">
        <v>1</v>
      </c>
      <c r="W338" s="526">
        <f t="shared" si="29"/>
        <v>0</v>
      </c>
      <c r="X338" s="526">
        <f t="shared" si="30"/>
        <v>0</v>
      </c>
    </row>
    <row r="339" spans="1:25" s="16" customFormat="1">
      <c r="A339" s="240"/>
      <c r="B339" s="212"/>
      <c r="C339" s="216"/>
      <c r="D339" s="342"/>
      <c r="E339" s="343"/>
      <c r="F339" s="216"/>
      <c r="G339" s="343"/>
      <c r="H339" s="216"/>
      <c r="I339" s="344"/>
      <c r="J339" s="345"/>
      <c r="K339" s="346"/>
      <c r="L339" s="245"/>
      <c r="N339" s="526"/>
      <c r="O339" s="526"/>
      <c r="P339" s="526"/>
      <c r="Q339" s="526"/>
      <c r="R339" s="526"/>
      <c r="S339" s="526"/>
      <c r="T339" s="526"/>
      <c r="U339" s="526"/>
      <c r="V339" s="526"/>
      <c r="W339" s="526" t="s">
        <v>21</v>
      </c>
      <c r="X339" s="526" t="s">
        <v>22</v>
      </c>
      <c r="Y339" s="526" t="s">
        <v>23</v>
      </c>
    </row>
    <row r="340" spans="1:25" s="16" customFormat="1">
      <c r="A340" s="691" t="s">
        <v>2973</v>
      </c>
      <c r="B340" s="541"/>
      <c r="C340" s="216"/>
      <c r="D340" s="342"/>
      <c r="E340" s="343"/>
      <c r="F340" s="216"/>
      <c r="G340" s="343"/>
      <c r="H340" s="216"/>
      <c r="I340" s="344"/>
      <c r="J340" s="345"/>
      <c r="K340" s="346"/>
      <c r="L340" s="245"/>
      <c r="N340" s="526"/>
      <c r="O340" s="526"/>
      <c r="P340" s="526"/>
      <c r="Q340" s="526"/>
      <c r="R340" s="526"/>
      <c r="S340" s="526"/>
      <c r="T340" s="526"/>
      <c r="U340" s="526"/>
      <c r="V340" s="526"/>
      <c r="W340" s="526">
        <f>SUMPRODUCT(W34:W338,J34:J338)</f>
        <v>495416.41988685343</v>
      </c>
      <c r="X340" s="526">
        <f>SUM(X34:X338)</f>
        <v>17858.483432183009</v>
      </c>
      <c r="Y340" s="526">
        <f>MAX(Y318:Y321,Y304:Y307)</f>
        <v>0</v>
      </c>
    </row>
    <row r="341" spans="1:25" s="16" customFormat="1">
      <c r="A341" s="691"/>
      <c r="B341" s="117" t="s">
        <v>2974</v>
      </c>
      <c r="C341" s="692" t="s">
        <v>1597</v>
      </c>
      <c r="D341" s="656" t="s">
        <v>280</v>
      </c>
      <c r="E341" s="343"/>
      <c r="F341" s="216"/>
      <c r="G341" s="343"/>
      <c r="H341" s="216"/>
      <c r="I341" s="344"/>
      <c r="J341" s="345"/>
      <c r="K341" s="346"/>
      <c r="L341" s="245"/>
      <c r="N341" s="526"/>
      <c r="O341" s="526"/>
      <c r="P341" s="526"/>
      <c r="Q341" s="526"/>
      <c r="R341" s="526"/>
      <c r="S341" s="526"/>
      <c r="T341" s="526"/>
      <c r="U341" s="526"/>
      <c r="V341" s="526"/>
      <c r="W341" s="526"/>
      <c r="X341" s="526"/>
      <c r="Y341" s="526"/>
    </row>
    <row r="342" spans="1:25" s="16" customFormat="1">
      <c r="A342" s="289"/>
      <c r="B342" s="794" t="s">
        <v>2502</v>
      </c>
      <c r="C342" s="347">
        <f>SUMPRODUCT(J34:J301,L34:L301)+SUMPRODUCT(J333:J338,L333:L338)</f>
        <v>593895.55390961864</v>
      </c>
      <c r="D342" s="769" t="s">
        <v>3201</v>
      </c>
      <c r="E342" s="343"/>
      <c r="F342" s="216"/>
      <c r="G342" s="343"/>
      <c r="H342" s="216"/>
      <c r="I342" s="344"/>
      <c r="J342" s="345"/>
      <c r="K342" s="346"/>
      <c r="L342" s="245"/>
      <c r="N342" s="526"/>
      <c r="O342" s="526"/>
      <c r="P342" s="526"/>
      <c r="Q342" s="526"/>
      <c r="R342" s="526"/>
      <c r="S342" s="526"/>
      <c r="T342" s="526"/>
      <c r="U342" s="526"/>
      <c r="V342" s="526"/>
    </row>
    <row r="343" spans="1:25" s="16" customFormat="1">
      <c r="A343" s="289"/>
      <c r="B343" s="350" t="s">
        <v>2503</v>
      </c>
      <c r="C343" s="296">
        <f>SUMPRODUCT(J304:J331,L304:L331)</f>
        <v>50605.773671868847</v>
      </c>
      <c r="D343" s="768" t="s">
        <v>3200</v>
      </c>
      <c r="E343" s="343"/>
      <c r="F343" s="216"/>
      <c r="G343" s="343"/>
      <c r="H343" s="216"/>
      <c r="I343" s="344"/>
      <c r="J343" s="345"/>
      <c r="K343" s="346"/>
      <c r="L343" s="245"/>
      <c r="N343" s="526"/>
      <c r="O343" s="526"/>
      <c r="P343" s="526"/>
      <c r="Q343" s="526"/>
      <c r="R343" s="526"/>
      <c r="S343" s="526"/>
      <c r="T343" s="526"/>
      <c r="U343" s="526"/>
      <c r="V343" s="526"/>
    </row>
    <row r="344" spans="1:25" s="16" customFormat="1" ht="16">
      <c r="A344" s="298"/>
      <c r="B344" s="299" t="s">
        <v>2163</v>
      </c>
      <c r="C344" s="249">
        <f>process_cost+building_cost</f>
        <v>644501.32758148748</v>
      </c>
      <c r="D344" s="231" t="s">
        <v>2655</v>
      </c>
      <c r="E344" s="246"/>
      <c r="F344" s="246"/>
      <c r="G344" s="246"/>
      <c r="H344" s="246"/>
      <c r="I344" s="246"/>
      <c r="J344" s="246"/>
      <c r="K344" s="246"/>
      <c r="L344" s="247"/>
      <c r="N344" s="651"/>
      <c r="O344" s="651"/>
      <c r="P344" s="651"/>
      <c r="Q344" s="651"/>
      <c r="R344" s="651"/>
      <c r="S344" s="651"/>
      <c r="T344" s="651"/>
      <c r="U344" s="651"/>
      <c r="V344" s="651"/>
    </row>
    <row r="345" spans="1:25" s="16" customFormat="1">
      <c r="A345" s="276"/>
      <c r="B345" s="212"/>
      <c r="C345" s="277"/>
      <c r="D345" s="213"/>
      <c r="E345" s="216"/>
      <c r="F345" s="216"/>
      <c r="G345" s="216"/>
      <c r="H345" s="216"/>
      <c r="I345" s="216"/>
      <c r="J345" s="216"/>
      <c r="K345" s="216"/>
      <c r="L345" s="216"/>
      <c r="M345" s="216"/>
      <c r="N345" s="881"/>
      <c r="O345" s="881"/>
      <c r="P345" s="881"/>
      <c r="Q345" s="881"/>
      <c r="R345" s="881"/>
      <c r="S345" s="651"/>
      <c r="T345" s="651"/>
      <c r="U345" s="651"/>
      <c r="V345" s="651"/>
    </row>
    <row r="346" spans="1:25" s="667" customFormat="1" ht="16">
      <c r="A346" s="217" t="s">
        <v>2975</v>
      </c>
      <c r="B346" s="694"/>
      <c r="C346" s="695"/>
      <c r="D346" s="696"/>
      <c r="E346" s="242"/>
      <c r="F346" s="242"/>
      <c r="G346" s="242"/>
      <c r="H346" s="244"/>
      <c r="I346" s="216"/>
      <c r="J346" s="216"/>
      <c r="K346" s="216"/>
      <c r="L346" s="216"/>
      <c r="N346" s="798"/>
      <c r="O346" s="798"/>
      <c r="P346" s="798"/>
      <c r="Q346" s="798"/>
      <c r="R346" s="798"/>
      <c r="S346" s="798"/>
      <c r="T346" s="798"/>
      <c r="U346" s="798"/>
      <c r="V346" s="798"/>
    </row>
    <row r="347" spans="1:25" s="667" customFormat="1" ht="16">
      <c r="A347" s="690"/>
      <c r="B347" s="117" t="s">
        <v>2976</v>
      </c>
      <c r="C347" s="697" t="s">
        <v>1597</v>
      </c>
      <c r="D347" s="117" t="s">
        <v>280</v>
      </c>
      <c r="E347" s="216"/>
      <c r="F347" s="216"/>
      <c r="G347" s="216"/>
      <c r="H347" s="245"/>
      <c r="I347" s="216"/>
      <c r="J347" s="216"/>
      <c r="K347" s="216"/>
      <c r="L347" s="216"/>
      <c r="N347" s="798"/>
      <c r="O347" s="798"/>
      <c r="P347" s="798"/>
      <c r="Q347" s="798"/>
      <c r="R347" s="798"/>
      <c r="S347" s="798"/>
      <c r="T347" s="798"/>
      <c r="U347" s="798"/>
      <c r="V347" s="798"/>
    </row>
    <row r="348" spans="1:25" s="667" customFormat="1">
      <c r="A348" s="290"/>
      <c r="B348" s="794" t="s">
        <v>2242</v>
      </c>
      <c r="C348" s="795">
        <f>include_permits*permit_cost</f>
        <v>37.6</v>
      </c>
      <c r="D348" s="768" t="s">
        <v>2590</v>
      </c>
      <c r="E348" s="216"/>
      <c r="F348" s="216"/>
      <c r="G348" s="216"/>
      <c r="H348" s="245"/>
      <c r="I348" s="216"/>
      <c r="J348" s="216"/>
      <c r="K348" s="216"/>
      <c r="L348" s="216"/>
      <c r="N348" s="798"/>
      <c r="O348" s="798"/>
      <c r="P348" s="798"/>
      <c r="Q348" s="798"/>
      <c r="R348" s="798"/>
      <c r="S348" s="798"/>
      <c r="T348" s="798"/>
      <c r="U348" s="798"/>
      <c r="V348" s="798"/>
    </row>
    <row r="349" spans="1:25" s="667" customFormat="1" ht="12.75" customHeight="1">
      <c r="A349" s="290"/>
      <c r="B349" s="27" t="s">
        <v>2243</v>
      </c>
      <c r="C349" s="297">
        <f>include_pilot*VLOOKUP(tech_name,CHOOSE(ss_cat2,pilot_cost_small_cl,pilot_cost_medium_cl,pilot_cost_large_cl),2,FALSE)</f>
        <v>70415.236495493649</v>
      </c>
      <c r="D349" s="233"/>
      <c r="E349" s="216"/>
      <c r="F349" s="216"/>
      <c r="G349" s="216"/>
      <c r="H349" s="245"/>
      <c r="I349" s="216"/>
      <c r="J349" s="216"/>
      <c r="K349" s="216"/>
      <c r="L349" s="278"/>
      <c r="M349" s="789"/>
      <c r="N349" s="882"/>
      <c r="O349" s="882"/>
      <c r="P349" s="882"/>
      <c r="Q349" s="882"/>
      <c r="R349" s="798"/>
      <c r="S349" s="798"/>
      <c r="T349" s="798"/>
      <c r="U349" s="798"/>
      <c r="V349" s="798"/>
    </row>
    <row r="350" spans="1:25" s="667" customFormat="1">
      <c r="A350" s="301"/>
      <c r="B350" s="351" t="s">
        <v>1126</v>
      </c>
      <c r="C350" s="349">
        <f>include_land*land_required*land_cost</f>
        <v>0</v>
      </c>
      <c r="D350" s="220" t="str">
        <f>"For "&amp;TEXT(land_required,"#0.00")&amp;" acres"</f>
        <v>For 0.20 acres</v>
      </c>
      <c r="E350" s="278"/>
      <c r="F350" s="278"/>
      <c r="G350" s="278"/>
      <c r="H350" s="279"/>
      <c r="I350" s="278"/>
      <c r="J350" s="278"/>
      <c r="K350" s="278"/>
      <c r="L350" s="216"/>
      <c r="N350" s="798"/>
      <c r="O350" s="798"/>
      <c r="P350" s="798"/>
      <c r="Q350" s="798"/>
      <c r="R350" s="798"/>
      <c r="S350" s="798"/>
      <c r="T350" s="798"/>
      <c r="U350" s="798"/>
      <c r="V350" s="798"/>
    </row>
    <row r="351" spans="1:25" s="667" customFormat="1" ht="16">
      <c r="A351" s="300"/>
      <c r="B351" s="218" t="s">
        <v>1325</v>
      </c>
      <c r="C351" s="249">
        <f>SUM(C348:C349,C350)</f>
        <v>70452.836495493655</v>
      </c>
      <c r="D351" s="231"/>
      <c r="E351" s="280"/>
      <c r="F351" s="280"/>
      <c r="G351" s="280"/>
      <c r="H351" s="281"/>
      <c r="I351" s="278"/>
      <c r="J351" s="278"/>
      <c r="K351" s="278"/>
      <c r="L351" s="216"/>
      <c r="N351" s="798"/>
      <c r="O351" s="798"/>
      <c r="P351" s="798"/>
      <c r="Q351" s="798"/>
      <c r="R351" s="798"/>
      <c r="S351" s="798"/>
      <c r="T351" s="798"/>
      <c r="U351" s="798"/>
      <c r="V351" s="798"/>
    </row>
    <row r="352" spans="1:25" s="667" customFormat="1" ht="16">
      <c r="A352" s="276"/>
      <c r="B352" s="282"/>
      <c r="C352" s="283"/>
      <c r="D352" s="200"/>
      <c r="E352" s="561"/>
      <c r="F352" s="278"/>
      <c r="G352" s="278"/>
      <c r="H352" s="278"/>
      <c r="I352" s="278"/>
      <c r="J352" s="278"/>
      <c r="K352" s="278"/>
      <c r="L352" s="216"/>
      <c r="N352" s="798"/>
      <c r="O352" s="798"/>
      <c r="P352" s="798"/>
      <c r="Q352" s="798"/>
      <c r="R352" s="798"/>
      <c r="S352" s="798"/>
      <c r="T352" s="798"/>
      <c r="U352" s="798"/>
      <c r="V352" s="798"/>
    </row>
    <row r="353" spans="1:22" s="667" customFormat="1" ht="16">
      <c r="A353" s="217" t="s">
        <v>2977</v>
      </c>
      <c r="B353" s="699"/>
      <c r="C353" s="700"/>
      <c r="D353" s="701"/>
      <c r="E353" s="219"/>
      <c r="F353" s="242"/>
      <c r="G353" s="243"/>
      <c r="H353" s="242"/>
      <c r="I353" s="242"/>
      <c r="J353" s="242"/>
      <c r="K353" s="244"/>
      <c r="L353" s="216"/>
      <c r="M353" s="665"/>
      <c r="N353" s="798"/>
      <c r="O353" s="798"/>
      <c r="P353" s="798"/>
      <c r="Q353" s="798"/>
      <c r="R353" s="798"/>
      <c r="S353" s="798"/>
      <c r="T353" s="798"/>
      <c r="U353" s="798"/>
      <c r="V353" s="798"/>
    </row>
    <row r="354" spans="1:22" s="667" customFormat="1" ht="16">
      <c r="A354" s="693"/>
      <c r="B354" s="117" t="s">
        <v>2978</v>
      </c>
      <c r="C354" s="697" t="s">
        <v>1597</v>
      </c>
      <c r="D354" s="697" t="s">
        <v>2979</v>
      </c>
      <c r="E354" s="702" t="s">
        <v>280</v>
      </c>
      <c r="F354" s="216"/>
      <c r="G354" s="698"/>
      <c r="H354" s="216"/>
      <c r="I354" s="216"/>
      <c r="J354" s="216"/>
      <c r="K354" s="245"/>
      <c r="L354" s="216"/>
      <c r="M354" s="665"/>
      <c r="N354" s="798"/>
      <c r="O354" s="798"/>
      <c r="P354" s="798"/>
      <c r="Q354" s="798"/>
      <c r="R354" s="798"/>
      <c r="S354" s="798"/>
      <c r="T354" s="798"/>
      <c r="U354" s="798"/>
      <c r="V354" s="798"/>
    </row>
    <row r="355" spans="1:22" s="667" customFormat="1">
      <c r="A355" s="290"/>
      <c r="B355" s="794" t="s">
        <v>2736</v>
      </c>
      <c r="C355" s="796">
        <f>(direct_cost+C357+C358+C359+C360+C361+C362+C363+C366)*D355</f>
        <v>33825.536400899466</v>
      </c>
      <c r="D355" s="292">
        <f>CHOOSE(ss_cat2,mob_pct_small,mob_pct_medium,mob_pct_large)</f>
        <v>0.04</v>
      </c>
      <c r="E355" s="768" t="s">
        <v>558</v>
      </c>
      <c r="F355" s="216"/>
      <c r="G355" s="216"/>
      <c r="H355" s="216"/>
      <c r="I355" s="216"/>
      <c r="J355" s="216"/>
      <c r="K355" s="245"/>
      <c r="L355" s="216"/>
      <c r="N355" s="798"/>
      <c r="O355" s="798"/>
      <c r="P355" s="798"/>
      <c r="Q355" s="798"/>
      <c r="R355" s="798"/>
      <c r="S355" s="798"/>
      <c r="T355" s="798"/>
      <c r="U355" s="798"/>
      <c r="V355" s="798"/>
    </row>
    <row r="356" spans="1:22" s="667" customFormat="1">
      <c r="A356" s="290"/>
      <c r="B356" s="27" t="s">
        <v>2235</v>
      </c>
      <c r="C356" s="239">
        <f>IF(ss_cat2=1,include_arch_small,include_arch)*building_cost*D356</f>
        <v>4554.5196304681958</v>
      </c>
      <c r="D356" s="293">
        <f>VLOOKUP(building_cost,architectural_table_cl,3)</f>
        <v>0.09</v>
      </c>
      <c r="E356" s="200" t="s">
        <v>559</v>
      </c>
      <c r="F356" s="216"/>
      <c r="G356" s="216"/>
      <c r="H356" s="216"/>
      <c r="I356" s="216"/>
      <c r="J356" s="216"/>
      <c r="K356" s="245"/>
      <c r="L356" s="216"/>
      <c r="N356" s="798"/>
      <c r="O356" s="798"/>
      <c r="P356" s="798"/>
      <c r="Q356" s="798"/>
      <c r="R356" s="798"/>
      <c r="S356" s="798"/>
      <c r="T356" s="798"/>
      <c r="U356" s="798"/>
      <c r="V356" s="798"/>
    </row>
    <row r="357" spans="1:22" s="667" customFormat="1">
      <c r="A357" s="290"/>
      <c r="B357" s="651" t="s">
        <v>3110</v>
      </c>
      <c r="C357" s="291">
        <f>building_cost*D357</f>
        <v>0</v>
      </c>
      <c r="D357" s="348">
        <f>inst_pct</f>
        <v>0</v>
      </c>
      <c r="E357" s="770"/>
      <c r="F357" s="216"/>
      <c r="G357" s="216"/>
      <c r="H357" s="216"/>
      <c r="I357" s="216"/>
      <c r="J357" s="216"/>
      <c r="K357" s="245"/>
      <c r="L357" s="216"/>
      <c r="N357" s="798"/>
      <c r="O357" s="798"/>
      <c r="P357" s="798"/>
      <c r="Q357" s="798"/>
      <c r="R357" s="798"/>
      <c r="S357" s="798"/>
      <c r="T357" s="798"/>
      <c r="U357" s="798"/>
      <c r="V357" s="798"/>
    </row>
    <row r="358" spans="1:22" s="667" customFormat="1">
      <c r="A358" s="290"/>
      <c r="B358" s="27" t="s">
        <v>2370</v>
      </c>
      <c r="C358" s="291">
        <f>include_sitework*sitework_cost</f>
        <v>52713.494505494506</v>
      </c>
      <c r="D358" s="294"/>
      <c r="E358" s="200" t="s">
        <v>1809</v>
      </c>
      <c r="F358" s="216"/>
      <c r="G358" s="216"/>
      <c r="H358" s="216"/>
      <c r="I358" s="216"/>
      <c r="J358" s="216"/>
      <c r="K358" s="245"/>
      <c r="L358" s="216"/>
      <c r="N358" s="798"/>
      <c r="O358" s="798"/>
      <c r="P358" s="798"/>
      <c r="Q358" s="798"/>
      <c r="R358" s="798"/>
      <c r="S358" s="798"/>
      <c r="T358" s="798"/>
      <c r="U358" s="798"/>
      <c r="V358" s="798"/>
    </row>
    <row r="359" spans="1:22" s="667" customFormat="1">
      <c r="A359" s="290"/>
      <c r="B359" s="27" t="s">
        <v>2236</v>
      </c>
      <c r="C359" s="291">
        <f>include_yardpipe*yard_cost</f>
        <v>9403.8997863940549</v>
      </c>
      <c r="D359" s="294"/>
      <c r="E359" s="200" t="s">
        <v>1809</v>
      </c>
      <c r="F359" s="216"/>
      <c r="G359" s="216"/>
      <c r="H359" s="216"/>
      <c r="I359" s="216"/>
      <c r="J359" s="216"/>
      <c r="K359" s="245"/>
      <c r="L359" s="216"/>
      <c r="N359" s="798"/>
      <c r="O359" s="798"/>
      <c r="P359" s="798"/>
      <c r="Q359" s="798"/>
      <c r="R359" s="798"/>
      <c r="S359" s="798"/>
      <c r="T359" s="798"/>
      <c r="U359" s="798"/>
      <c r="V359" s="798"/>
    </row>
    <row r="360" spans="1:22" s="667" customFormat="1">
      <c r="A360" s="290"/>
      <c r="B360" s="27" t="s">
        <v>2237</v>
      </c>
      <c r="C360" s="291">
        <f>IF(OR(res_holding="basins",ep_cells&lt;&gt;0),1,IF(component_level="",include_geo_low,IF(component_level=1,include_geo_medium,include_geo_high)))*geotech_cost</f>
        <v>0</v>
      </c>
      <c r="D360" s="294"/>
      <c r="E360" s="200" t="s">
        <v>1809</v>
      </c>
      <c r="F360" s="216"/>
      <c r="G360" s="216"/>
      <c r="H360" s="216"/>
      <c r="I360" s="216"/>
      <c r="J360" s="216"/>
      <c r="K360" s="245"/>
      <c r="L360" s="216"/>
      <c r="N360" s="798"/>
      <c r="O360" s="798"/>
      <c r="P360" s="798"/>
      <c r="Q360" s="798"/>
      <c r="R360" s="798"/>
      <c r="S360" s="798"/>
      <c r="T360" s="798"/>
      <c r="U360" s="798"/>
      <c r="V360" s="798"/>
    </row>
    <row r="361" spans="1:22" s="667" customFormat="1">
      <c r="A361" s="290"/>
      <c r="B361" s="27" t="s">
        <v>2239</v>
      </c>
      <c r="C361" s="291">
        <f>IF(ss_cat2=1,include_standby_small,include_standby)*std_power_cost</f>
        <v>15180</v>
      </c>
      <c r="D361" s="294"/>
      <c r="E361" s="200" t="s">
        <v>1822</v>
      </c>
      <c r="F361" s="216"/>
      <c r="G361" s="216"/>
      <c r="H361" s="216"/>
      <c r="I361" s="216"/>
      <c r="J361" s="216"/>
      <c r="K361" s="245"/>
      <c r="L361" s="216"/>
      <c r="N361" s="798"/>
      <c r="O361" s="798"/>
      <c r="P361" s="798"/>
      <c r="Q361" s="798"/>
      <c r="R361" s="798"/>
      <c r="S361" s="798"/>
      <c r="T361" s="798"/>
      <c r="U361" s="798"/>
      <c r="V361" s="798"/>
    </row>
    <row r="362" spans="1:22" s="667" customFormat="1">
      <c r="A362" s="290"/>
      <c r="B362" s="27" t="s">
        <v>2240</v>
      </c>
      <c r="C362" s="248">
        <f>process_cost*D362</f>
        <v>59389.555390961868</v>
      </c>
      <c r="D362" s="323">
        <f>elect_pct</f>
        <v>0.1</v>
      </c>
      <c r="E362" s="200" t="s">
        <v>2301</v>
      </c>
      <c r="F362" s="216"/>
      <c r="G362" s="216"/>
      <c r="H362" s="216"/>
      <c r="I362" s="216"/>
      <c r="J362" s="216"/>
      <c r="K362" s="245"/>
      <c r="L362" s="216"/>
      <c r="N362" s="798"/>
      <c r="O362" s="798"/>
      <c r="P362" s="798"/>
      <c r="Q362" s="798"/>
      <c r="R362" s="798"/>
      <c r="S362" s="798"/>
      <c r="T362" s="798"/>
      <c r="U362" s="798"/>
      <c r="V362" s="798"/>
    </row>
    <row r="363" spans="1:22" s="667" customFormat="1">
      <c r="A363" s="290"/>
      <c r="B363" s="27" t="s">
        <v>2241</v>
      </c>
      <c r="C363" s="239">
        <f t="shared" ref="C363:C369" si="38">direct_cost*D363</f>
        <v>0</v>
      </c>
      <c r="D363" s="293">
        <f>i_c_pct</f>
        <v>0</v>
      </c>
      <c r="E363" s="771"/>
      <c r="F363" s="216"/>
      <c r="G363" s="216"/>
      <c r="H363" s="216"/>
      <c r="I363" s="216"/>
      <c r="J363" s="216"/>
      <c r="K363" s="245"/>
      <c r="L363" s="216"/>
      <c r="N363" s="798"/>
      <c r="O363" s="798"/>
      <c r="P363" s="798"/>
      <c r="Q363" s="798"/>
      <c r="R363" s="798"/>
      <c r="S363" s="798"/>
      <c r="T363" s="798"/>
      <c r="U363" s="798"/>
      <c r="V363" s="798"/>
    </row>
    <row r="364" spans="1:22" s="667" customFormat="1">
      <c r="A364" s="290"/>
      <c r="B364" s="27" t="s">
        <v>2244</v>
      </c>
      <c r="C364" s="239">
        <f>IF(component_level="",include_conting_low,IF(component_level=1,include_conting_medium,include_conting_high))*(direct_cost+addon_cost+SUM(C355:C363,C365:C370))*D364</f>
        <v>0</v>
      </c>
      <c r="D364" s="293">
        <f>IF(component_level="",include_conting_low,IF(component_level=1,include_conting_medium,include_conting_high))*VLOOKUP(direct_cost,contingency_table_cl,3)*complexity</f>
        <v>0</v>
      </c>
      <c r="E364" s="200" t="s">
        <v>1823</v>
      </c>
      <c r="F364" s="216"/>
      <c r="G364" s="216"/>
      <c r="H364" s="216"/>
      <c r="I364" s="216"/>
      <c r="J364" s="216"/>
      <c r="K364" s="245"/>
      <c r="L364" s="216"/>
      <c r="N364" s="798"/>
      <c r="O364" s="798"/>
      <c r="P364" s="798"/>
      <c r="Q364" s="798"/>
      <c r="R364" s="798"/>
      <c r="S364" s="798"/>
      <c r="T364" s="798"/>
      <c r="U364" s="798"/>
      <c r="V364" s="798"/>
    </row>
    <row r="365" spans="1:22" s="667" customFormat="1">
      <c r="A365" s="290"/>
      <c r="B365" s="27" t="s">
        <v>2245</v>
      </c>
      <c r="C365" s="239">
        <f t="shared" si="38"/>
        <v>77340.159309778493</v>
      </c>
      <c r="D365" s="293">
        <f>CHOOSE(ss_cat2,eng_pct_small,eng_pct_medium,eng_pct_large)</f>
        <v>0.12</v>
      </c>
      <c r="E365" s="772"/>
      <c r="F365" s="216"/>
      <c r="G365" s="216"/>
      <c r="H365" s="216"/>
      <c r="I365" s="216"/>
      <c r="J365" s="216"/>
      <c r="K365" s="245"/>
      <c r="L365" s="216"/>
      <c r="N365" s="798"/>
      <c r="O365" s="798"/>
      <c r="P365" s="798"/>
      <c r="Q365" s="798"/>
      <c r="R365" s="798"/>
      <c r="S365" s="798"/>
      <c r="T365" s="798"/>
      <c r="U365" s="798"/>
      <c r="V365" s="798"/>
    </row>
    <row r="366" spans="1:22" s="667" customFormat="1">
      <c r="A366" s="290"/>
      <c r="B366" s="27" t="s">
        <v>45</v>
      </c>
      <c r="C366" s="239">
        <f t="shared" si="38"/>
        <v>64450.132758148749</v>
      </c>
      <c r="D366" s="293">
        <f>misc_pct</f>
        <v>0.1</v>
      </c>
      <c r="E366" s="772"/>
      <c r="F366" s="216"/>
      <c r="G366" s="216"/>
      <c r="H366" s="216"/>
      <c r="I366" s="216"/>
      <c r="J366" s="216"/>
      <c r="K366" s="245"/>
      <c r="L366" s="216"/>
      <c r="N366" s="798"/>
      <c r="O366" s="798"/>
      <c r="P366" s="798"/>
      <c r="Q366" s="798"/>
      <c r="R366" s="798"/>
      <c r="S366" s="798"/>
      <c r="T366" s="798"/>
      <c r="U366" s="798"/>
      <c r="V366" s="798"/>
    </row>
    <row r="367" spans="1:22" s="667" customFormat="1">
      <c r="A367" s="290"/>
      <c r="B367" s="27" t="s">
        <v>1304</v>
      </c>
      <c r="C367" s="239">
        <f t="shared" si="38"/>
        <v>12890.02655162975</v>
      </c>
      <c r="D367" s="293">
        <f>legal_pct</f>
        <v>0.02</v>
      </c>
      <c r="E367" s="770"/>
      <c r="F367" s="216"/>
      <c r="G367" s="216"/>
      <c r="H367" s="216"/>
      <c r="I367" s="216"/>
      <c r="J367" s="216"/>
      <c r="K367" s="245"/>
      <c r="L367" s="216"/>
      <c r="N367" s="798"/>
      <c r="O367" s="798"/>
      <c r="P367" s="798"/>
      <c r="Q367" s="798"/>
      <c r="R367" s="798"/>
      <c r="S367" s="798"/>
      <c r="T367" s="798"/>
      <c r="U367" s="798"/>
      <c r="V367" s="798"/>
    </row>
    <row r="368" spans="1:22" s="667" customFormat="1">
      <c r="A368" s="290"/>
      <c r="B368" s="27" t="s">
        <v>1305</v>
      </c>
      <c r="C368" s="239">
        <f t="shared" si="38"/>
        <v>0</v>
      </c>
      <c r="D368" s="293">
        <f>tax_pct</f>
        <v>0</v>
      </c>
      <c r="E368" s="773"/>
      <c r="F368" s="216"/>
      <c r="G368" s="216"/>
      <c r="H368" s="216"/>
      <c r="I368" s="216"/>
      <c r="J368" s="216"/>
      <c r="K368" s="245"/>
      <c r="L368" s="216"/>
      <c r="N368" s="798"/>
      <c r="O368" s="798"/>
      <c r="P368" s="798"/>
      <c r="Q368" s="798"/>
      <c r="R368" s="798"/>
      <c r="S368" s="798"/>
      <c r="T368" s="798"/>
      <c r="U368" s="798"/>
      <c r="V368" s="798"/>
    </row>
    <row r="369" spans="1:22" s="667" customFormat="1">
      <c r="A369" s="290"/>
      <c r="B369" s="27" t="s">
        <v>718</v>
      </c>
      <c r="C369" s="239">
        <f t="shared" si="38"/>
        <v>32225.066379074375</v>
      </c>
      <c r="D369" s="353">
        <f>IF(ss_cat2=1,finance_pct_small,finance_pct)</f>
        <v>0.05</v>
      </c>
      <c r="E369" s="773"/>
      <c r="F369" s="216"/>
      <c r="G369" s="216"/>
      <c r="H369" s="216"/>
      <c r="I369" s="216"/>
      <c r="J369" s="216"/>
      <c r="K369" s="245"/>
      <c r="L369" s="216"/>
      <c r="N369" s="798"/>
      <c r="O369" s="798"/>
      <c r="P369" s="798"/>
      <c r="Q369" s="798"/>
      <c r="R369" s="798"/>
      <c r="S369" s="798"/>
      <c r="T369" s="798"/>
      <c r="U369" s="798"/>
      <c r="V369" s="798"/>
    </row>
    <row r="370" spans="1:22" s="667" customFormat="1">
      <c r="A370" s="240"/>
      <c r="B370" s="351" t="s">
        <v>110</v>
      </c>
      <c r="C370" s="286">
        <f>cm_cost</f>
        <v>50806.397444481176</v>
      </c>
      <c r="D370" s="293"/>
      <c r="E370" s="773"/>
      <c r="F370" s="216"/>
      <c r="G370" s="216"/>
      <c r="H370" s="216"/>
      <c r="I370" s="216"/>
      <c r="J370" s="216"/>
      <c r="K370" s="245"/>
      <c r="L370" s="216"/>
      <c r="N370" s="798"/>
      <c r="O370" s="798"/>
      <c r="P370" s="798"/>
      <c r="Q370" s="798"/>
      <c r="R370" s="798"/>
      <c r="S370" s="798"/>
      <c r="T370" s="798"/>
      <c r="U370" s="798"/>
      <c r="V370" s="798"/>
    </row>
    <row r="371" spans="1:22" s="667" customFormat="1" ht="16">
      <c r="A371" s="241"/>
      <c r="B371" s="218" t="s">
        <v>2628</v>
      </c>
      <c r="C371" s="354">
        <f>indirect_cost_mult*direct_cost+indirect_cost_add</f>
        <v>412778.78815733065</v>
      </c>
      <c r="D371" s="352"/>
      <c r="E371" s="231"/>
      <c r="F371" s="246"/>
      <c r="G371" s="246"/>
      <c r="H371" s="246"/>
      <c r="I371" s="246"/>
      <c r="J371" s="246"/>
      <c r="K371" s="247"/>
      <c r="L371" s="216"/>
      <c r="N371" s="798"/>
      <c r="O371" s="798"/>
      <c r="P371" s="798"/>
      <c r="Q371" s="798"/>
      <c r="R371" s="798"/>
      <c r="S371" s="798"/>
      <c r="T371" s="798"/>
      <c r="U371" s="798"/>
      <c r="V371" s="798"/>
    </row>
    <row r="372" spans="1:22" s="667" customFormat="1">
      <c r="A372" s="216"/>
      <c r="B372" s="212"/>
      <c r="C372" s="527"/>
      <c r="D372" s="235"/>
      <c r="E372" s="216"/>
      <c r="F372" s="216"/>
      <c r="G372" s="216"/>
      <c r="H372" s="216"/>
      <c r="I372" s="216"/>
      <c r="J372" s="216"/>
      <c r="K372" s="216"/>
      <c r="L372" s="216"/>
      <c r="N372" s="798"/>
      <c r="O372" s="798"/>
      <c r="P372" s="798"/>
      <c r="Q372" s="798"/>
      <c r="R372" s="798"/>
      <c r="S372" s="798"/>
      <c r="T372" s="798"/>
      <c r="U372" s="798"/>
      <c r="V372" s="798"/>
    </row>
    <row r="373" spans="1:22" s="667" customFormat="1" ht="16">
      <c r="A373" s="236" t="s">
        <v>385</v>
      </c>
      <c r="B373" s="355"/>
      <c r="C373" s="284"/>
      <c r="D373" s="287"/>
      <c r="E373" s="242"/>
      <c r="F373" s="242"/>
      <c r="G373" s="242"/>
      <c r="H373" s="242"/>
      <c r="I373" s="242"/>
      <c r="J373" s="242"/>
      <c r="K373" s="242"/>
      <c r="L373" s="244"/>
      <c r="N373" s="798"/>
      <c r="O373" s="798"/>
      <c r="P373" s="798"/>
      <c r="Q373" s="798"/>
      <c r="R373" s="798"/>
      <c r="S373" s="798"/>
      <c r="T373" s="798"/>
      <c r="U373" s="798"/>
      <c r="V373" s="798"/>
    </row>
    <row r="374" spans="1:22" s="664" customFormat="1" ht="16">
      <c r="A374" s="703"/>
      <c r="B374" s="697" t="s">
        <v>276</v>
      </c>
      <c r="C374" s="704" t="s">
        <v>278</v>
      </c>
      <c r="D374" s="705" t="s">
        <v>280</v>
      </c>
      <c r="E374" s="233"/>
      <c r="F374" s="116"/>
      <c r="G374" s="116"/>
      <c r="H374" s="116"/>
      <c r="I374" s="116"/>
      <c r="J374" s="116"/>
      <c r="K374" s="116"/>
      <c r="L374" s="510"/>
      <c r="M374" s="706"/>
      <c r="N374" s="883"/>
      <c r="O374" s="779"/>
      <c r="P374" s="779"/>
      <c r="Q374" s="779"/>
      <c r="R374" s="779"/>
      <c r="S374" s="779"/>
      <c r="T374" s="779"/>
      <c r="U374" s="779"/>
      <c r="V374" s="779"/>
    </row>
    <row r="375" spans="1:22" s="667" customFormat="1">
      <c r="A375" s="240"/>
      <c r="B375" s="745" t="s">
        <v>3469</v>
      </c>
      <c r="C375" s="860">
        <v>1</v>
      </c>
      <c r="D375" s="200" t="s">
        <v>1080</v>
      </c>
      <c r="E375" s="216"/>
      <c r="F375" s="216"/>
      <c r="G375" s="216"/>
      <c r="H375" s="216"/>
      <c r="I375" s="216"/>
      <c r="J375" s="216"/>
      <c r="K375" s="216"/>
      <c r="L375" s="245"/>
      <c r="M375" s="534"/>
      <c r="N375" s="798"/>
      <c r="O375" s="798"/>
      <c r="P375" s="798"/>
      <c r="Q375" s="798"/>
      <c r="R375" s="798"/>
      <c r="S375" s="798"/>
      <c r="T375" s="798"/>
      <c r="U375" s="798"/>
      <c r="V375" s="798"/>
    </row>
    <row r="376" spans="1:22" s="667" customFormat="1">
      <c r="A376" s="240"/>
      <c r="B376" s="311"/>
      <c r="C376" s="285"/>
      <c r="D376" s="235"/>
      <c r="E376" s="216"/>
      <c r="F376" s="216"/>
      <c r="G376" s="216"/>
      <c r="H376" s="216"/>
      <c r="I376" s="216"/>
      <c r="J376" s="216"/>
      <c r="K376" s="216"/>
      <c r="L376" s="245"/>
      <c r="M376" s="311"/>
      <c r="N376" s="798"/>
      <c r="O376" s="798"/>
      <c r="P376" s="798"/>
      <c r="Q376" s="798"/>
      <c r="R376" s="798"/>
      <c r="S376" s="798"/>
      <c r="T376" s="798"/>
      <c r="U376" s="798"/>
      <c r="V376" s="798"/>
    </row>
    <row r="377" spans="1:22" s="664" customFormat="1">
      <c r="A377" s="127"/>
      <c r="B377" s="117" t="s">
        <v>2980</v>
      </c>
      <c r="C377" s="707" t="s">
        <v>1597</v>
      </c>
      <c r="D377" s="233"/>
      <c r="E377" s="116"/>
      <c r="F377" s="116"/>
      <c r="G377" s="116"/>
      <c r="H377" s="116"/>
      <c r="I377" s="116"/>
      <c r="J377" s="116"/>
      <c r="K377" s="116"/>
      <c r="L377" s="510"/>
      <c r="N377" s="779"/>
      <c r="O377" s="779"/>
      <c r="P377" s="779"/>
      <c r="Q377" s="779"/>
      <c r="R377" s="779"/>
      <c r="S377" s="779"/>
      <c r="T377" s="779"/>
      <c r="U377" s="779"/>
      <c r="V377" s="779"/>
    </row>
    <row r="378" spans="1:22" s="667" customFormat="1">
      <c r="A378" s="240"/>
      <c r="B378" s="237" t="s">
        <v>2652</v>
      </c>
      <c r="C378" s="786">
        <f>direct_cost</f>
        <v>644501.32758148748</v>
      </c>
      <c r="D378" s="235"/>
      <c r="E378" s="216"/>
      <c r="F378" s="216"/>
      <c r="G378" s="216"/>
      <c r="H378" s="216"/>
      <c r="I378" s="216"/>
      <c r="J378" s="216"/>
      <c r="K378" s="216"/>
      <c r="L378" s="245"/>
      <c r="M378" s="311"/>
      <c r="N378" s="798"/>
      <c r="O378" s="798"/>
      <c r="P378" s="798"/>
      <c r="Q378" s="798"/>
      <c r="R378" s="798"/>
      <c r="S378" s="798"/>
      <c r="T378" s="798"/>
      <c r="U378" s="798"/>
      <c r="V378" s="798"/>
    </row>
    <row r="379" spans="1:22" s="667" customFormat="1">
      <c r="A379" s="240"/>
      <c r="B379" s="223" t="s">
        <v>2653</v>
      </c>
      <c r="C379" s="295">
        <f>addon_cost</f>
        <v>70452.836495493655</v>
      </c>
      <c r="D379" s="235"/>
      <c r="E379" s="216"/>
      <c r="F379" s="216"/>
      <c r="G379" s="216"/>
      <c r="H379" s="216"/>
      <c r="I379" s="216"/>
      <c r="J379" s="216"/>
      <c r="K379" s="216"/>
      <c r="L379" s="245"/>
      <c r="M379" s="311"/>
      <c r="N379" s="798"/>
      <c r="O379" s="798"/>
      <c r="P379" s="798"/>
      <c r="Q379" s="798"/>
      <c r="R379" s="798"/>
      <c r="S379" s="798"/>
      <c r="T379" s="798"/>
      <c r="U379" s="798"/>
      <c r="V379" s="798"/>
    </row>
    <row r="380" spans="1:22" s="667" customFormat="1" ht="14" thickBot="1">
      <c r="A380" s="240"/>
      <c r="B380" s="238" t="s">
        <v>2654</v>
      </c>
      <c r="C380" s="288">
        <f>C371</f>
        <v>412778.78815733065</v>
      </c>
      <c r="D380" s="235"/>
      <c r="E380" s="216"/>
      <c r="F380" s="216"/>
      <c r="G380" s="216"/>
      <c r="H380" s="216"/>
      <c r="I380" s="216"/>
      <c r="J380" s="216"/>
      <c r="K380" s="216"/>
      <c r="L380" s="245"/>
      <c r="M380" s="216"/>
      <c r="N380" s="798"/>
      <c r="O380" s="798"/>
      <c r="P380" s="798"/>
      <c r="Q380" s="798"/>
      <c r="R380" s="798"/>
      <c r="S380" s="798"/>
      <c r="T380" s="798"/>
      <c r="U380" s="798"/>
      <c r="V380" s="798"/>
    </row>
    <row r="381" spans="1:22" s="667" customFormat="1" ht="17" thickTop="1">
      <c r="A381" s="127"/>
      <c r="B381" s="788" t="s">
        <v>2981</v>
      </c>
      <c r="C381" s="787">
        <f>(direct_cost*(1+SUM(cul_indir_mult_table))+SUM(cul_indir_add_table))*C375</f>
        <v>1127732.9522343117</v>
      </c>
      <c r="D381" s="234"/>
      <c r="E381" s="216"/>
      <c r="F381" s="216"/>
      <c r="G381" s="216"/>
      <c r="H381" s="216"/>
      <c r="I381" s="216"/>
      <c r="J381" s="216"/>
      <c r="K381" s="216"/>
      <c r="L381" s="245"/>
      <c r="M381" s="216"/>
      <c r="N381" s="798"/>
      <c r="O381" s="798"/>
      <c r="P381" s="798"/>
      <c r="Q381" s="798"/>
      <c r="R381" s="798"/>
      <c r="S381" s="798"/>
      <c r="T381" s="798"/>
      <c r="U381" s="798"/>
      <c r="V381" s="798"/>
    </row>
    <row r="382" spans="1:22" s="667" customFormat="1">
      <c r="A382" s="116"/>
      <c r="B382" s="311"/>
      <c r="C382" s="232"/>
      <c r="D382" s="213"/>
      <c r="E382" s="216"/>
      <c r="F382" s="216"/>
      <c r="G382" s="216"/>
      <c r="H382" s="216"/>
      <c r="I382" s="216"/>
      <c r="J382" s="216"/>
      <c r="K382" s="216"/>
      <c r="L382" s="216"/>
      <c r="M382" s="216"/>
      <c r="N382" s="798"/>
      <c r="O382" s="798"/>
      <c r="P382" s="798"/>
      <c r="Q382" s="798"/>
      <c r="R382" s="798"/>
      <c r="S382" s="798"/>
      <c r="T382" s="798"/>
      <c r="U382" s="798"/>
      <c r="V382" s="798"/>
    </row>
    <row r="383" spans="1:22" s="664" customFormat="1" ht="16">
      <c r="A383" s="708" t="s">
        <v>2982</v>
      </c>
      <c r="B383" s="694"/>
      <c r="C383" s="700"/>
      <c r="D383" s="696"/>
      <c r="E383" s="700"/>
      <c r="F383" s="700"/>
      <c r="G383" s="700"/>
      <c r="H383" s="700"/>
      <c r="I383" s="700"/>
      <c r="J383" s="700"/>
      <c r="K383" s="700"/>
      <c r="L383" s="709"/>
      <c r="N383" s="779"/>
      <c r="O383" s="779"/>
      <c r="P383" s="779"/>
      <c r="Q383" s="779"/>
      <c r="R383" s="779"/>
      <c r="S383" s="779"/>
      <c r="T383" s="779"/>
      <c r="U383" s="779"/>
      <c r="V383" s="779"/>
    </row>
    <row r="384" spans="1:22" s="664" customFormat="1" ht="12.75" customHeight="1">
      <c r="A384" s="861"/>
      <c r="B384" s="697" t="s">
        <v>276</v>
      </c>
      <c r="C384" s="704" t="s">
        <v>278</v>
      </c>
      <c r="D384" s="705" t="s">
        <v>280</v>
      </c>
      <c r="E384" s="116"/>
      <c r="F384" s="116"/>
      <c r="G384" s="116"/>
      <c r="H384" s="116"/>
      <c r="I384" s="116"/>
      <c r="J384" s="116"/>
      <c r="K384" s="116"/>
      <c r="L384" s="510"/>
      <c r="N384" s="779"/>
      <c r="O384" s="779"/>
      <c r="P384" s="779"/>
      <c r="Q384" s="779"/>
      <c r="R384" s="779"/>
      <c r="S384" s="779"/>
      <c r="T384" s="779"/>
      <c r="U384" s="779"/>
      <c r="V384" s="779"/>
    </row>
    <row r="385" spans="1:22" s="664" customFormat="1" ht="12.75" customHeight="1">
      <c r="A385" s="861"/>
      <c r="B385" s="745" t="s">
        <v>3470</v>
      </c>
      <c r="C385" s="855">
        <v>1</v>
      </c>
      <c r="D385" s="200" t="s">
        <v>3471</v>
      </c>
      <c r="E385" s="116"/>
      <c r="F385" s="116"/>
      <c r="G385" s="116"/>
      <c r="H385" s="116"/>
      <c r="I385" s="116"/>
      <c r="J385" s="116"/>
      <c r="K385" s="116"/>
      <c r="L385" s="510"/>
      <c r="N385" s="779"/>
      <c r="O385" s="779"/>
      <c r="P385" s="779"/>
      <c r="Q385" s="779"/>
      <c r="R385" s="779"/>
      <c r="S385" s="779"/>
      <c r="T385" s="779"/>
      <c r="U385" s="779"/>
      <c r="V385" s="779"/>
    </row>
    <row r="386" spans="1:22" s="664" customFormat="1" ht="12.75" customHeight="1">
      <c r="A386" s="861"/>
      <c r="B386" s="541"/>
      <c r="C386" s="116"/>
      <c r="D386" s="854"/>
      <c r="E386" s="116"/>
      <c r="F386" s="116"/>
      <c r="G386" s="116"/>
      <c r="H386" s="116"/>
      <c r="I386" s="116"/>
      <c r="J386" s="116"/>
      <c r="K386" s="116"/>
      <c r="L386" s="510"/>
      <c r="N386" s="779"/>
      <c r="O386" s="779"/>
      <c r="P386" s="779"/>
      <c r="Q386" s="779"/>
      <c r="R386" s="779"/>
      <c r="S386" s="779"/>
      <c r="T386" s="779"/>
      <c r="U386" s="779"/>
      <c r="V386" s="779"/>
    </row>
    <row r="387" spans="1:22" s="664" customFormat="1">
      <c r="A387" s="710"/>
      <c r="B387" s="711" t="s">
        <v>1910</v>
      </c>
      <c r="C387" s="998" t="s">
        <v>1911</v>
      </c>
      <c r="D387" s="998"/>
      <c r="E387" s="998" t="s">
        <v>2578</v>
      </c>
      <c r="F387" s="998"/>
      <c r="G387" s="712" t="s">
        <v>2983</v>
      </c>
      <c r="H387" s="713" t="s">
        <v>2847</v>
      </c>
      <c r="I387" s="117" t="s">
        <v>280</v>
      </c>
      <c r="J387" s="541"/>
      <c r="K387" s="541"/>
      <c r="L387" s="542"/>
      <c r="N387" s="779"/>
      <c r="O387" s="779"/>
      <c r="P387" s="779"/>
      <c r="Q387" s="779"/>
      <c r="R387" s="779"/>
      <c r="S387" s="779"/>
      <c r="T387" s="779"/>
      <c r="U387" s="779"/>
      <c r="V387" s="779"/>
    </row>
    <row r="388" spans="1:22" s="667" customFormat="1">
      <c r="A388" s="306"/>
      <c r="B388" s="275" t="s">
        <v>720</v>
      </c>
      <c r="C388" s="275"/>
      <c r="D388" s="275"/>
      <c r="E388" s="275"/>
      <c r="F388" s="275"/>
      <c r="G388" s="275"/>
      <c r="H388" s="307"/>
      <c r="I388" s="216"/>
      <c r="J388" s="216"/>
      <c r="K388" s="216"/>
      <c r="L388" s="245"/>
      <c r="M388" s="216"/>
      <c r="N388" s="798"/>
      <c r="O388" s="798"/>
      <c r="P388" s="798"/>
      <c r="Q388" s="798"/>
      <c r="R388" s="798"/>
      <c r="S388" s="798"/>
      <c r="T388" s="798"/>
      <c r="U388" s="798"/>
      <c r="V388" s="798"/>
    </row>
    <row r="389" spans="1:22" s="667" customFormat="1">
      <c r="A389" s="435"/>
      <c r="B389" s="388" t="s">
        <v>2371</v>
      </c>
      <c r="C389" s="390">
        <f>Manager_LOE</f>
        <v>76.05111891692215</v>
      </c>
      <c r="D389" s="21" t="s">
        <v>722</v>
      </c>
      <c r="E389" s="406">
        <f>VLOOKUP(design_flow,labor_table_cl,5)</f>
        <v>37.063279463396192</v>
      </c>
      <c r="F389" s="21" t="s">
        <v>721</v>
      </c>
      <c r="G389" s="436">
        <f>E389*C389</f>
        <v>2818.7038739218624</v>
      </c>
      <c r="H389" s="437">
        <v>1</v>
      </c>
      <c r="I389" s="216"/>
      <c r="J389" s="216"/>
      <c r="K389" s="216"/>
      <c r="L389" s="245"/>
      <c r="M389" s="216"/>
      <c r="N389" s="798"/>
      <c r="O389" s="798"/>
      <c r="P389" s="798"/>
      <c r="Q389" s="798"/>
      <c r="R389" s="798"/>
      <c r="S389" s="798"/>
      <c r="T389" s="798"/>
      <c r="U389" s="798"/>
      <c r="V389" s="798"/>
    </row>
    <row r="390" spans="1:22" s="667" customFormat="1">
      <c r="A390" s="435"/>
      <c r="B390" s="388" t="s">
        <v>2372</v>
      </c>
      <c r="C390" s="390">
        <f>Clerical_LOE</f>
        <v>76.05111891692215</v>
      </c>
      <c r="D390" s="21" t="s">
        <v>722</v>
      </c>
      <c r="E390" s="406">
        <f>VLOOKUP(design_flow,labor_table_cl,6)</f>
        <v>21.04936114636196</v>
      </c>
      <c r="F390" s="21" t="s">
        <v>721</v>
      </c>
      <c r="G390" s="436">
        <f>E390*C390</f>
        <v>1600.8274676672143</v>
      </c>
      <c r="H390" s="437">
        <v>1</v>
      </c>
      <c r="I390" s="216"/>
      <c r="J390" s="216"/>
      <c r="K390" s="216"/>
      <c r="L390" s="245"/>
      <c r="M390" s="216"/>
      <c r="N390" s="798"/>
      <c r="O390" s="798"/>
      <c r="P390" s="798"/>
      <c r="Q390" s="798"/>
      <c r="R390" s="798"/>
      <c r="S390" s="798"/>
      <c r="T390" s="798"/>
      <c r="U390" s="798"/>
      <c r="V390" s="798"/>
    </row>
    <row r="391" spans="1:22" s="667" customFormat="1" ht="21" customHeight="1">
      <c r="A391" s="435"/>
      <c r="B391" s="438" t="s">
        <v>1701</v>
      </c>
      <c r="C391" s="439">
        <f>Operator_LOE</f>
        <v>760.51118916922144</v>
      </c>
      <c r="D391" s="440" t="s">
        <v>722</v>
      </c>
      <c r="E391" s="441">
        <f>VLOOKUP(design_flow,labor_table_cl,4)</f>
        <v>23.308251387555707</v>
      </c>
      <c r="F391" s="440" t="s">
        <v>721</v>
      </c>
      <c r="G391" s="442">
        <f>E391*C391</f>
        <v>17726.185980205148</v>
      </c>
      <c r="H391" s="443">
        <v>1</v>
      </c>
      <c r="I391" s="996" t="s">
        <v>2656</v>
      </c>
      <c r="J391" s="996"/>
      <c r="K391" s="996"/>
      <c r="L391" s="997"/>
      <c r="M391" s="216"/>
      <c r="N391" s="798"/>
      <c r="O391" s="798"/>
      <c r="P391" s="798"/>
      <c r="Q391" s="798"/>
      <c r="R391" s="798"/>
      <c r="S391" s="798"/>
      <c r="T391" s="798"/>
      <c r="U391" s="798"/>
      <c r="V391" s="798"/>
    </row>
    <row r="392" spans="1:22" s="667" customFormat="1">
      <c r="A392" s="306"/>
      <c r="B392" s="275" t="s">
        <v>723</v>
      </c>
      <c r="C392" s="275"/>
      <c r="D392" s="275"/>
      <c r="E392" s="275"/>
      <c r="F392" s="275"/>
      <c r="G392" s="275"/>
      <c r="H392" s="307"/>
      <c r="I392" s="216"/>
      <c r="J392" s="216"/>
      <c r="K392" s="216"/>
      <c r="L392" s="245"/>
      <c r="M392" s="216"/>
      <c r="N392" s="798"/>
      <c r="O392" s="798"/>
      <c r="P392" s="798"/>
      <c r="Q392" s="798"/>
      <c r="R392" s="798"/>
      <c r="S392" s="798"/>
      <c r="T392" s="798"/>
      <c r="U392" s="798"/>
      <c r="V392" s="798"/>
    </row>
    <row r="393" spans="1:22" s="667" customFormat="1">
      <c r="A393" s="435"/>
      <c r="B393" s="388" t="s">
        <v>724</v>
      </c>
      <c r="C393" s="444" t="s">
        <v>725</v>
      </c>
      <c r="D393" s="388"/>
      <c r="E393" s="388"/>
      <c r="F393" s="388"/>
      <c r="G393" s="402">
        <f>pump_mtl</f>
        <v>294.19399557293565</v>
      </c>
      <c r="H393" s="437">
        <f>IF(G393=0,0,1)</f>
        <v>1</v>
      </c>
      <c r="I393" s="216"/>
      <c r="J393" s="216"/>
      <c r="K393" s="216"/>
      <c r="L393" s="245"/>
      <c r="M393" s="216"/>
      <c r="N393" s="798"/>
      <c r="O393" s="798"/>
      <c r="P393" s="798"/>
      <c r="Q393" s="798"/>
      <c r="R393" s="798"/>
      <c r="S393" s="798"/>
      <c r="T393" s="798"/>
      <c r="U393" s="798"/>
      <c r="V393" s="798"/>
    </row>
    <row r="394" spans="1:22" s="667" customFormat="1">
      <c r="A394" s="435"/>
      <c r="B394" s="388" t="s">
        <v>2126</v>
      </c>
      <c r="C394" s="444" t="s">
        <v>725</v>
      </c>
      <c r="D394" s="388"/>
      <c r="E394" s="388"/>
      <c r="F394" s="388"/>
      <c r="G394" s="402">
        <f>back_pump_mtl</f>
        <v>0</v>
      </c>
      <c r="H394" s="437">
        <f>IF(G394=0,0,1)</f>
        <v>0</v>
      </c>
      <c r="I394" s="216"/>
      <c r="J394" s="216"/>
      <c r="K394" s="216"/>
      <c r="L394" s="245"/>
      <c r="M394" s="216"/>
      <c r="N394" s="798"/>
      <c r="O394" s="798"/>
      <c r="P394" s="798"/>
      <c r="Q394" s="798"/>
      <c r="R394" s="798"/>
      <c r="S394" s="798"/>
      <c r="T394" s="798"/>
      <c r="U394" s="798"/>
      <c r="V394" s="798"/>
    </row>
    <row r="395" spans="1:22" s="667" customFormat="1">
      <c r="A395" s="435"/>
      <c r="B395" s="388" t="s">
        <v>860</v>
      </c>
      <c r="C395" s="444" t="s">
        <v>725</v>
      </c>
      <c r="D395" s="388"/>
      <c r="E395" s="388"/>
      <c r="F395" s="388"/>
      <c r="G395" s="402">
        <f>res_pump_mtl</f>
        <v>81.895445962954696</v>
      </c>
      <c r="H395" s="437">
        <f>IF(G395=0,0,1)</f>
        <v>1</v>
      </c>
      <c r="I395" s="216"/>
      <c r="J395" s="216"/>
      <c r="K395" s="216"/>
      <c r="L395" s="245"/>
      <c r="M395" s="216"/>
      <c r="N395" s="798"/>
      <c r="O395" s="798"/>
      <c r="P395" s="798"/>
      <c r="Q395" s="798"/>
      <c r="R395" s="798"/>
      <c r="S395" s="798"/>
      <c r="T395" s="798"/>
      <c r="U395" s="798"/>
      <c r="V395" s="798"/>
    </row>
    <row r="396" spans="1:22" s="667" customFormat="1">
      <c r="A396" s="435"/>
      <c r="B396" s="388" t="s">
        <v>2308</v>
      </c>
      <c r="C396" s="444" t="s">
        <v>725</v>
      </c>
      <c r="D396" s="388"/>
      <c r="E396" s="388"/>
      <c r="F396" s="388"/>
      <c r="G396" s="402">
        <f>regen_pump_mtl</f>
        <v>0</v>
      </c>
      <c r="H396" s="437">
        <f>IF(G396=0,0,1)</f>
        <v>0</v>
      </c>
      <c r="I396" s="216"/>
      <c r="J396" s="216"/>
      <c r="K396" s="216"/>
      <c r="L396" s="245"/>
      <c r="M396" s="16"/>
      <c r="N396" s="798"/>
      <c r="O396" s="798"/>
      <c r="P396" s="798"/>
      <c r="Q396" s="798"/>
      <c r="R396" s="798"/>
      <c r="S396" s="798"/>
      <c r="T396" s="798"/>
      <c r="U396" s="798"/>
      <c r="V396" s="798"/>
    </row>
    <row r="397" spans="1:22" s="667" customFormat="1">
      <c r="A397" s="435"/>
      <c r="B397" s="388" t="s">
        <v>861</v>
      </c>
      <c r="C397" s="390">
        <f>pre_filter_replacement</f>
        <v>38.4</v>
      </c>
      <c r="D397" s="389" t="s">
        <v>790</v>
      </c>
      <c r="E397" s="406">
        <f>IF(C397=0,0,IF(curve=1,cart_replace_eq_ro,VLOOKUP(filter_size,cart_replace_cost_ro_cl,3))*(1-VLOOKUP(pre_filter_replacement,cart_filter_discount_table,2)))</f>
        <v>191.12220835728866</v>
      </c>
      <c r="F397" s="424" t="s">
        <v>180</v>
      </c>
      <c r="G397" s="392">
        <f>IF(C397=0,"--",E397*C397)</f>
        <v>7339.0928009198842</v>
      </c>
      <c r="H397" s="437">
        <f>IF(C397=0,0,1)</f>
        <v>1</v>
      </c>
      <c r="I397" s="216"/>
      <c r="J397" s="216"/>
      <c r="K397" s="216"/>
      <c r="L397" s="245"/>
      <c r="M397" s="216"/>
      <c r="N397" s="798"/>
      <c r="O397" s="798"/>
      <c r="P397" s="798"/>
      <c r="Q397" s="798"/>
      <c r="R397" s="798"/>
      <c r="S397" s="798"/>
      <c r="T397" s="798"/>
      <c r="U397" s="798"/>
      <c r="V397" s="798"/>
    </row>
    <row r="398" spans="1:22" s="664" customFormat="1">
      <c r="A398" s="508"/>
      <c r="B398" s="388" t="s">
        <v>3199</v>
      </c>
      <c r="C398" s="390">
        <f>total_fp</f>
        <v>3470</v>
      </c>
      <c r="D398" s="389" t="s">
        <v>1348</v>
      </c>
      <c r="E398" s="406">
        <f>G398/C398</f>
        <v>0.14857538964026834</v>
      </c>
      <c r="F398" s="424" t="s">
        <v>180</v>
      </c>
      <c r="G398" s="436">
        <f>bldg_maint_cost</f>
        <v>515.55660205173115</v>
      </c>
      <c r="H398" s="437">
        <f>IF(C398=0,0,1)</f>
        <v>1</v>
      </c>
      <c r="I398" s="116"/>
      <c r="J398" s="509"/>
      <c r="K398" s="116"/>
      <c r="L398" s="510"/>
      <c r="M398" s="116"/>
      <c r="N398" s="779"/>
      <c r="O398" s="779"/>
      <c r="P398" s="779"/>
      <c r="Q398" s="779"/>
      <c r="R398" s="779"/>
      <c r="S398" s="779"/>
      <c r="T398" s="779"/>
      <c r="U398" s="779"/>
      <c r="V398" s="779"/>
    </row>
    <row r="399" spans="1:22" s="667" customFormat="1">
      <c r="A399" s="306"/>
      <c r="B399" s="28" t="s">
        <v>1346</v>
      </c>
      <c r="C399" s="28"/>
      <c r="D399" s="253"/>
      <c r="E399" s="28"/>
      <c r="F399" s="28"/>
      <c r="G399" s="28"/>
      <c r="H399" s="307"/>
      <c r="I399" s="216"/>
      <c r="J399" s="216"/>
      <c r="K399" s="216"/>
      <c r="L399" s="245"/>
      <c r="M399" s="216"/>
      <c r="N399" s="798"/>
      <c r="O399" s="798"/>
      <c r="P399" s="798"/>
      <c r="Q399" s="798"/>
      <c r="R399" s="798"/>
      <c r="S399" s="798"/>
      <c r="T399" s="798"/>
      <c r="U399" s="798"/>
      <c r="V399" s="798"/>
    </row>
    <row r="400" spans="1:22" s="667" customFormat="1">
      <c r="A400" s="435"/>
      <c r="B400" s="388" t="str">
        <f>"Sodium Chloride"&amp;salt_purchase</f>
        <v>Sodium Chloride - Small Qty</v>
      </c>
      <c r="C400" s="390">
        <f>salt_year</f>
        <v>0</v>
      </c>
      <c r="D400" s="389" t="s">
        <v>727</v>
      </c>
      <c r="E400" s="395" t="str">
        <f>IF(C400=0,"NA",VLOOKUP(B400,chem_cost_cl,3,FALSE))</f>
        <v>NA</v>
      </c>
      <c r="F400" s="424" t="s">
        <v>734</v>
      </c>
      <c r="G400" s="392" t="str">
        <f>IF(C400=0,"--",E400*C400)</f>
        <v>--</v>
      </c>
      <c r="H400" s="437">
        <f>IF(C400=0,0,1)</f>
        <v>0</v>
      </c>
      <c r="I400" s="304"/>
      <c r="J400" s="216"/>
      <c r="K400" s="216"/>
      <c r="L400" s="245"/>
      <c r="M400" s="216"/>
      <c r="N400" s="798"/>
      <c r="O400" s="798"/>
      <c r="P400" s="798"/>
      <c r="Q400" s="798"/>
      <c r="R400" s="798"/>
      <c r="S400" s="798"/>
      <c r="T400" s="798"/>
      <c r="U400" s="798"/>
      <c r="V400" s="798"/>
    </row>
    <row r="401" spans="1:22" s="667" customFormat="1">
      <c r="A401" s="435"/>
      <c r="B401" s="388" t="str">
        <f>"Sodium Hydroxide "&amp;TEXT(NaOH_pct,"0%")&amp;NaOH_purchase</f>
        <v>Sodium Hydroxide 50% - Small Qty</v>
      </c>
      <c r="C401" s="390">
        <f>NaOH_year</f>
        <v>0</v>
      </c>
      <c r="D401" s="389" t="s">
        <v>727</v>
      </c>
      <c r="E401" s="395" t="str">
        <f>IF(C401=0,"NA",VLOOKUP(B401,chem_cost_cl,3,FALSE))</f>
        <v>NA</v>
      </c>
      <c r="F401" s="424" t="s">
        <v>734</v>
      </c>
      <c r="G401" s="392" t="str">
        <f>IF(C401=0,"--",E401*C401)</f>
        <v>--</v>
      </c>
      <c r="H401" s="437">
        <f>IF(C401=0,0,1)</f>
        <v>0</v>
      </c>
      <c r="I401" s="304"/>
      <c r="J401" s="216"/>
      <c r="K401" s="216"/>
      <c r="L401" s="245"/>
      <c r="M401" s="216"/>
      <c r="N401" s="798"/>
      <c r="O401" s="798"/>
      <c r="P401" s="798"/>
      <c r="Q401" s="798"/>
      <c r="R401" s="798"/>
      <c r="S401" s="798"/>
      <c r="T401" s="798"/>
      <c r="U401" s="798"/>
      <c r="V401" s="798"/>
    </row>
    <row r="402" spans="1:22" s="667" customFormat="1">
      <c r="A402" s="388"/>
      <c r="B402" s="388" t="str">
        <f>"Ferric Chloride"&amp;FeCl3_purchase</f>
        <v>Ferric Chloride</v>
      </c>
      <c r="C402" s="390">
        <f>coag_yr</f>
        <v>0</v>
      </c>
      <c r="D402" s="389" t="s">
        <v>727</v>
      </c>
      <c r="E402" s="395" t="str">
        <f>IF(C402=0,"NA",VLOOKUP(B402,chem_cost_cl,3,FALSE))</f>
        <v>NA</v>
      </c>
      <c r="F402" s="424" t="s">
        <v>734</v>
      </c>
      <c r="G402" s="392" t="str">
        <f>IF(C402=0,"--",E402*C402)</f>
        <v>--</v>
      </c>
      <c r="H402" s="437">
        <f>IF(C402=0,0,1)</f>
        <v>0</v>
      </c>
      <c r="I402" s="304"/>
      <c r="J402" s="216"/>
      <c r="K402" s="216"/>
      <c r="L402" s="245"/>
      <c r="M402" s="216"/>
      <c r="N402" s="798"/>
      <c r="O402" s="798"/>
      <c r="P402" s="798"/>
      <c r="Q402" s="798"/>
      <c r="R402" s="798"/>
      <c r="S402" s="798"/>
      <c r="T402" s="798"/>
      <c r="U402" s="798"/>
      <c r="V402" s="798"/>
    </row>
    <row r="403" spans="1:22" s="667" customFormat="1">
      <c r="A403" s="388"/>
      <c r="B403" s="388" t="str">
        <f>"Polymers"&amp;polymer_purchase</f>
        <v>Polymers</v>
      </c>
      <c r="C403" s="390">
        <f>polymer_yr</f>
        <v>0</v>
      </c>
      <c r="D403" s="389" t="s">
        <v>727</v>
      </c>
      <c r="E403" s="395" t="str">
        <f>IF(C403=0,"NA",VLOOKUP(B403,chem_cost_cl,3,FALSE))</f>
        <v>NA</v>
      </c>
      <c r="F403" s="424" t="s">
        <v>734</v>
      </c>
      <c r="G403" s="392" t="str">
        <f>IF(C403=0,"--",E403*C403)</f>
        <v>--</v>
      </c>
      <c r="H403" s="437">
        <f>IF(C403=0,0,1)</f>
        <v>0</v>
      </c>
      <c r="I403" s="304"/>
      <c r="J403" s="216"/>
      <c r="K403" s="216"/>
      <c r="L403" s="245"/>
      <c r="M403" s="216"/>
      <c r="N403" s="798"/>
      <c r="O403" s="798"/>
      <c r="P403" s="798"/>
      <c r="Q403" s="798"/>
      <c r="R403" s="798"/>
      <c r="S403" s="798"/>
      <c r="T403" s="798"/>
      <c r="U403" s="798"/>
      <c r="V403" s="798"/>
    </row>
    <row r="404" spans="1:22" s="667" customFormat="1">
      <c r="A404" s="524"/>
      <c r="B404" s="388" t="s">
        <v>888</v>
      </c>
      <c r="C404" s="445"/>
      <c r="D404" s="420"/>
      <c r="E404" s="446"/>
      <c r="F404" s="447"/>
      <c r="G404" s="448"/>
      <c r="H404" s="449"/>
      <c r="I404" s="304"/>
      <c r="J404" s="216"/>
      <c r="K404" s="216"/>
      <c r="L404" s="245"/>
      <c r="M404" s="216"/>
      <c r="N404" s="798"/>
      <c r="O404" s="798"/>
      <c r="P404" s="798"/>
      <c r="Q404" s="798"/>
      <c r="R404" s="798"/>
      <c r="S404" s="798"/>
      <c r="T404" s="798"/>
      <c r="U404" s="798"/>
      <c r="V404" s="798"/>
    </row>
    <row r="405" spans="1:22" s="667" customFormat="1">
      <c r="A405" s="435"/>
      <c r="B405" s="1" t="s">
        <v>3214</v>
      </c>
      <c r="C405" s="390">
        <f>resin_loss_vol_annual</f>
        <v>0</v>
      </c>
      <c r="D405" s="389" t="s">
        <v>1473</v>
      </c>
      <c r="E405" s="406">
        <f>VLOOKUP(B405,sba_res_cost_cl,3,FALSE)</f>
        <v>156</v>
      </c>
      <c r="F405" s="424" t="s">
        <v>1474</v>
      </c>
      <c r="G405" s="436">
        <f>E405*C405</f>
        <v>0</v>
      </c>
      <c r="H405" s="437">
        <f>IF(C405=0,0,1)</f>
        <v>0</v>
      </c>
      <c r="I405" s="525" t="str">
        <f>IF(C405&gt;0,"","Not relevant for throwaway systems without frequent backwash")</f>
        <v>Not relevant for throwaway systems without frequent backwash</v>
      </c>
      <c r="J405" s="216"/>
      <c r="K405" s="216"/>
      <c r="L405" s="245"/>
      <c r="M405" s="216"/>
      <c r="N405" s="798"/>
      <c r="O405" s="798"/>
      <c r="P405" s="798"/>
      <c r="Q405" s="798"/>
      <c r="R405" s="798"/>
      <c r="S405" s="798"/>
      <c r="T405" s="798"/>
      <c r="U405" s="798"/>
      <c r="V405" s="798"/>
    </row>
    <row r="406" spans="1:22" s="667" customFormat="1">
      <c r="A406" s="435"/>
      <c r="B406" s="388" t="s">
        <v>896</v>
      </c>
      <c r="C406" s="445"/>
      <c r="D406" s="420"/>
      <c r="E406" s="446"/>
      <c r="F406" s="447"/>
      <c r="G406" s="448"/>
      <c r="H406" s="449"/>
      <c r="I406" s="304"/>
      <c r="J406" s="216"/>
      <c r="K406" s="216"/>
      <c r="L406" s="245"/>
      <c r="M406" s="216"/>
      <c r="N406" s="798"/>
      <c r="O406" s="798"/>
      <c r="P406" s="798"/>
      <c r="Q406" s="798"/>
      <c r="R406" s="798"/>
      <c r="S406" s="798"/>
      <c r="T406" s="798"/>
      <c r="U406" s="798"/>
      <c r="V406" s="798"/>
    </row>
    <row r="407" spans="1:22" s="667" customFormat="1">
      <c r="A407" s="435"/>
      <c r="B407" s="1" t="s">
        <v>4386</v>
      </c>
      <c r="C407" s="390">
        <f>resin_yr</f>
        <v>1209.8006357968409</v>
      </c>
      <c r="D407" s="389" t="s">
        <v>1473</v>
      </c>
      <c r="E407" s="406">
        <f>VLOOKUP(B407,sba_res_cost_cl,3,FALSE)</f>
        <v>156</v>
      </c>
      <c r="F407" s="424" t="s">
        <v>1474</v>
      </c>
      <c r="G407" s="436">
        <f>E407*C407</f>
        <v>188728.89918430717</v>
      </c>
      <c r="H407" s="437">
        <v>1</v>
      </c>
      <c r="I407" s="304"/>
      <c r="J407" s="216"/>
      <c r="K407" s="216"/>
      <c r="L407" s="245"/>
      <c r="M407" s="216"/>
      <c r="N407" s="798"/>
      <c r="O407" s="798"/>
      <c r="P407" s="798"/>
      <c r="Q407" s="798"/>
      <c r="R407" s="798"/>
      <c r="S407" s="798"/>
      <c r="T407" s="798"/>
      <c r="U407" s="798"/>
      <c r="V407" s="798"/>
    </row>
    <row r="408" spans="1:22" s="667" customFormat="1">
      <c r="A408" s="306"/>
      <c r="B408" s="28" t="s">
        <v>735</v>
      </c>
      <c r="C408" s="28"/>
      <c r="D408" s="253"/>
      <c r="E408" s="28"/>
      <c r="F408" s="28"/>
      <c r="G408" s="28"/>
      <c r="H408" s="307"/>
      <c r="I408" s="216"/>
      <c r="J408" s="216"/>
      <c r="K408" s="216"/>
      <c r="L408" s="245"/>
      <c r="M408" s="216"/>
      <c r="N408" s="798"/>
      <c r="O408" s="798"/>
      <c r="P408" s="798"/>
      <c r="Q408" s="798"/>
      <c r="R408" s="798"/>
      <c r="S408" s="798"/>
      <c r="T408" s="798"/>
      <c r="U408" s="798"/>
      <c r="V408" s="798"/>
    </row>
    <row r="409" spans="1:22" s="667" customFormat="1">
      <c r="A409" s="435"/>
      <c r="B409" s="388" t="s">
        <v>737</v>
      </c>
      <c r="C409" s="450">
        <f>pump_energy</f>
        <v>189.65366671309013</v>
      </c>
      <c r="D409" s="389" t="s">
        <v>738</v>
      </c>
      <c r="E409" s="406">
        <f>energy_cost_cl</f>
        <v>0.106</v>
      </c>
      <c r="F409" s="21" t="s">
        <v>46</v>
      </c>
      <c r="G409" s="402">
        <f>E409*C409*1000</f>
        <v>20103.288671587554</v>
      </c>
      <c r="H409" s="451">
        <f>IF(C409=0,0,1)</f>
        <v>1</v>
      </c>
      <c r="I409" s="216"/>
      <c r="J409" s="216"/>
      <c r="K409" s="216"/>
      <c r="L409" s="245"/>
      <c r="M409" s="216"/>
      <c r="N409" s="798"/>
      <c r="O409" s="798"/>
      <c r="P409" s="798"/>
      <c r="Q409" s="798"/>
      <c r="R409" s="798"/>
      <c r="S409" s="798"/>
      <c r="T409" s="798"/>
      <c r="U409" s="798"/>
      <c r="V409" s="798"/>
    </row>
    <row r="410" spans="1:22" s="667" customFormat="1">
      <c r="A410" s="435"/>
      <c r="B410" s="388" t="s">
        <v>2127</v>
      </c>
      <c r="C410" s="450">
        <f>back_pump_energy</f>
        <v>7.7252935653690747E-3</v>
      </c>
      <c r="D410" s="389" t="s">
        <v>738</v>
      </c>
      <c r="E410" s="406">
        <f>energy_cost_cl</f>
        <v>0.106</v>
      </c>
      <c r="F410" s="21" t="s">
        <v>46</v>
      </c>
      <c r="G410" s="402">
        <f>E410*C410*1000</f>
        <v>0.81888111792912188</v>
      </c>
      <c r="H410" s="451">
        <f>IF(C410=0,0,1)</f>
        <v>1</v>
      </c>
      <c r="I410" s="216"/>
      <c r="J410" s="216"/>
      <c r="K410" s="216"/>
      <c r="L410" s="245"/>
      <c r="M410" s="216"/>
      <c r="N410" s="798"/>
      <c r="O410" s="798"/>
      <c r="P410" s="798"/>
      <c r="Q410" s="798"/>
      <c r="R410" s="798"/>
      <c r="S410" s="798"/>
      <c r="T410" s="798"/>
      <c r="U410" s="798"/>
      <c r="V410" s="798"/>
    </row>
    <row r="411" spans="1:22" s="667" customFormat="1">
      <c r="A411" s="435"/>
      <c r="B411" s="411" t="s">
        <v>2170</v>
      </c>
      <c r="C411" s="450">
        <f>res_pump_energy</f>
        <v>4.379418120957523E-3</v>
      </c>
      <c r="D411" s="389" t="s">
        <v>738</v>
      </c>
      <c r="E411" s="395">
        <f>IF(C411=0,"NA",energy_cost_cl)</f>
        <v>0.106</v>
      </c>
      <c r="F411" s="21" t="str">
        <f>IF(C411=0,"","/kwh")</f>
        <v>/kwh</v>
      </c>
      <c r="G411" s="391">
        <f>IF(C411=0,"--",E411*C411*1000)</f>
        <v>0.46421832082149744</v>
      </c>
      <c r="H411" s="451">
        <f>IF(C411=0,0,1)</f>
        <v>1</v>
      </c>
      <c r="I411" s="216"/>
      <c r="J411" s="216"/>
      <c r="K411" s="216"/>
      <c r="L411" s="245"/>
      <c r="M411" s="216"/>
      <c r="N411" s="798"/>
      <c r="O411" s="798"/>
      <c r="P411" s="798"/>
      <c r="Q411" s="798"/>
      <c r="R411" s="798"/>
      <c r="S411" s="798"/>
      <c r="T411" s="798"/>
      <c r="U411" s="798"/>
      <c r="V411" s="798"/>
    </row>
    <row r="412" spans="1:22" s="667" customFormat="1">
      <c r="A412" s="435"/>
      <c r="B412" s="388" t="s">
        <v>2520</v>
      </c>
      <c r="C412" s="390">
        <f>lighting</f>
        <v>0</v>
      </c>
      <c r="D412" s="389" t="s">
        <v>738</v>
      </c>
      <c r="E412" s="406">
        <f>energy_cost_cl</f>
        <v>0.106</v>
      </c>
      <c r="F412" s="21" t="s">
        <v>46</v>
      </c>
      <c r="G412" s="402">
        <f>E412*C412*1000</f>
        <v>0</v>
      </c>
      <c r="H412" s="437">
        <v>1</v>
      </c>
      <c r="I412" s="216"/>
      <c r="J412" s="305"/>
      <c r="K412" s="216"/>
      <c r="L412" s="245"/>
      <c r="M412" s="216"/>
      <c r="N412" s="798"/>
      <c r="O412" s="798"/>
      <c r="P412" s="798"/>
      <c r="Q412" s="798"/>
      <c r="R412" s="798"/>
      <c r="S412" s="798"/>
      <c r="T412" s="798"/>
      <c r="U412" s="798"/>
      <c r="V412" s="798"/>
    </row>
    <row r="413" spans="1:22" s="667" customFormat="1">
      <c r="A413" s="435"/>
      <c r="B413" s="388" t="s">
        <v>2662</v>
      </c>
      <c r="C413" s="390">
        <f>ventilation</f>
        <v>3.134827636363636</v>
      </c>
      <c r="D413" s="389" t="s">
        <v>738</v>
      </c>
      <c r="E413" s="406">
        <f>energy_cost_cl</f>
        <v>0.106</v>
      </c>
      <c r="F413" s="21" t="s">
        <v>46</v>
      </c>
      <c r="G413" s="402">
        <f>E413*C413*1000</f>
        <v>332.29172945454542</v>
      </c>
      <c r="H413" s="437">
        <v>1</v>
      </c>
      <c r="I413" s="216"/>
      <c r="J413" s="216"/>
      <c r="K413" s="216"/>
      <c r="L413" s="245"/>
      <c r="M413" s="216"/>
      <c r="N413" s="798"/>
      <c r="O413" s="798"/>
      <c r="P413" s="798"/>
      <c r="Q413" s="798"/>
      <c r="R413" s="798"/>
      <c r="S413" s="798"/>
      <c r="T413" s="798"/>
      <c r="U413" s="798"/>
      <c r="V413" s="798"/>
    </row>
    <row r="414" spans="1:22" s="667" customFormat="1">
      <c r="A414" s="435"/>
      <c r="B414" s="411" t="s">
        <v>2663</v>
      </c>
      <c r="C414" s="411"/>
      <c r="D414" s="412"/>
      <c r="E414" s="411"/>
      <c r="F414" s="411"/>
      <c r="G414" s="411"/>
      <c r="H414" s="449"/>
      <c r="I414" s="216"/>
      <c r="J414" s="216"/>
      <c r="K414" s="216"/>
      <c r="L414" s="245"/>
      <c r="M414" s="216"/>
      <c r="N414" s="798"/>
      <c r="O414" s="798"/>
      <c r="P414" s="798"/>
      <c r="Q414" s="798"/>
      <c r="R414" s="798"/>
      <c r="S414" s="798"/>
      <c r="T414" s="798"/>
      <c r="U414" s="798"/>
      <c r="V414" s="798"/>
    </row>
    <row r="415" spans="1:22" s="667" customFormat="1">
      <c r="A415" s="435"/>
      <c r="B415" s="1" t="s">
        <v>852</v>
      </c>
      <c r="C415" s="390">
        <f>cooling</f>
        <v>0</v>
      </c>
      <c r="D415" s="389" t="s">
        <v>738</v>
      </c>
      <c r="E415" s="406">
        <f>energy_cost_cl</f>
        <v>0.106</v>
      </c>
      <c r="F415" s="21" t="s">
        <v>46</v>
      </c>
      <c r="G415" s="402">
        <f>E415*C415*1000</f>
        <v>0</v>
      </c>
      <c r="H415" s="618">
        <f>IF(G415=0,0,1)</f>
        <v>0</v>
      </c>
      <c r="I415" s="216"/>
      <c r="J415" s="216"/>
      <c r="K415" s="216"/>
      <c r="L415" s="245"/>
      <c r="M415" s="216"/>
      <c r="N415" s="798"/>
      <c r="O415" s="798"/>
      <c r="P415" s="798"/>
      <c r="Q415" s="798"/>
      <c r="R415" s="798"/>
      <c r="S415" s="798"/>
      <c r="T415" s="798"/>
      <c r="U415" s="798"/>
      <c r="V415" s="798"/>
    </row>
    <row r="416" spans="1:22" s="667" customFormat="1">
      <c r="A416" s="435"/>
      <c r="B416" s="1" t="s">
        <v>853</v>
      </c>
      <c r="C416" s="400">
        <f>cooling_hp</f>
        <v>0</v>
      </c>
      <c r="D416" s="389" t="s">
        <v>738</v>
      </c>
      <c r="E416" s="406">
        <f>energy_cost_cl</f>
        <v>0.106</v>
      </c>
      <c r="F416" s="21" t="s">
        <v>46</v>
      </c>
      <c r="G416" s="402">
        <f>E416*C416*1000</f>
        <v>0</v>
      </c>
      <c r="H416" s="618">
        <f>IF(G416=0,0,1)</f>
        <v>0</v>
      </c>
      <c r="I416" s="216"/>
      <c r="J416" s="216"/>
      <c r="K416" s="216"/>
      <c r="L416" s="245"/>
      <c r="M416" s="216"/>
      <c r="N416" s="798"/>
      <c r="O416" s="798"/>
      <c r="P416" s="798"/>
      <c r="Q416" s="798"/>
      <c r="R416" s="798"/>
      <c r="S416" s="798"/>
      <c r="T416" s="798"/>
      <c r="U416" s="798"/>
      <c r="V416" s="798"/>
    </row>
    <row r="417" spans="1:22" s="667" customFormat="1">
      <c r="A417" s="435"/>
      <c r="B417" s="411" t="s">
        <v>936</v>
      </c>
      <c r="C417" s="411"/>
      <c r="D417" s="412"/>
      <c r="E417" s="411"/>
      <c r="F417" s="411"/>
      <c r="G417" s="411"/>
      <c r="H417" s="453"/>
      <c r="I417" s="216"/>
      <c r="J417" s="216"/>
      <c r="K417" s="216"/>
      <c r="L417" s="245"/>
      <c r="M417" s="216"/>
      <c r="N417" s="798"/>
      <c r="O417" s="798"/>
      <c r="P417" s="798"/>
      <c r="Q417" s="798"/>
      <c r="R417" s="798"/>
      <c r="S417" s="798"/>
      <c r="T417" s="798"/>
      <c r="U417" s="798"/>
      <c r="V417" s="798"/>
    </row>
    <row r="418" spans="1:22" s="667" customFormat="1">
      <c r="A418" s="435"/>
      <c r="B418" s="1" t="s">
        <v>854</v>
      </c>
      <c r="C418" s="400">
        <f>heating</f>
        <v>0</v>
      </c>
      <c r="D418" s="389" t="s">
        <v>738</v>
      </c>
      <c r="E418" s="406">
        <f>energy_cost_cl</f>
        <v>0.106</v>
      </c>
      <c r="F418" s="21" t="s">
        <v>46</v>
      </c>
      <c r="G418" s="402">
        <f>E418*C418*1000</f>
        <v>0</v>
      </c>
      <c r="H418" s="618">
        <f t="shared" ref="H418:H423" si="39">IF(G418=0,0,1)</f>
        <v>0</v>
      </c>
      <c r="I418" s="216"/>
      <c r="J418" s="216"/>
      <c r="K418" s="216"/>
      <c r="L418" s="245"/>
      <c r="M418" s="216"/>
      <c r="N418" s="798"/>
      <c r="O418" s="798"/>
      <c r="P418" s="798"/>
      <c r="Q418" s="798"/>
      <c r="R418" s="798"/>
      <c r="S418" s="798"/>
      <c r="T418" s="798"/>
      <c r="U418" s="798"/>
      <c r="V418" s="798"/>
    </row>
    <row r="419" spans="1:22" s="667" customFormat="1">
      <c r="A419" s="435"/>
      <c r="B419" s="1" t="s">
        <v>855</v>
      </c>
      <c r="C419" s="400">
        <f>heating_hp</f>
        <v>0</v>
      </c>
      <c r="D419" s="389" t="s">
        <v>738</v>
      </c>
      <c r="E419" s="406">
        <f>energy_cost_cl</f>
        <v>0.106</v>
      </c>
      <c r="F419" s="21" t="s">
        <v>46</v>
      </c>
      <c r="G419" s="402">
        <f>E419*C419*1000</f>
        <v>0</v>
      </c>
      <c r="H419" s="618">
        <f t="shared" si="39"/>
        <v>0</v>
      </c>
      <c r="I419" s="216"/>
      <c r="J419" s="216"/>
      <c r="K419" s="216"/>
      <c r="L419" s="245"/>
      <c r="M419" s="216"/>
      <c r="N419" s="798"/>
      <c r="O419" s="798"/>
      <c r="P419" s="798"/>
      <c r="Q419" s="798"/>
      <c r="R419" s="798"/>
      <c r="S419" s="798"/>
      <c r="T419" s="798"/>
      <c r="U419" s="798"/>
      <c r="V419" s="798"/>
    </row>
    <row r="420" spans="1:22" s="667" customFormat="1">
      <c r="A420" s="435"/>
      <c r="B420" s="1" t="s">
        <v>856</v>
      </c>
      <c r="C420" s="390">
        <f>heating_gas_non</f>
        <v>0</v>
      </c>
      <c r="D420" s="389" t="s">
        <v>857</v>
      </c>
      <c r="E420" s="406">
        <f>gas_cost_cl</f>
        <v>1.7879</v>
      </c>
      <c r="F420" s="424" t="s">
        <v>2738</v>
      </c>
      <c r="G420" s="402">
        <f>E420*C420</f>
        <v>0</v>
      </c>
      <c r="H420" s="618">
        <f t="shared" si="39"/>
        <v>0</v>
      </c>
      <c r="I420" s="216"/>
      <c r="J420" s="216"/>
      <c r="K420" s="216"/>
      <c r="L420" s="245"/>
      <c r="M420" s="216"/>
      <c r="N420" s="798"/>
      <c r="O420" s="798"/>
      <c r="P420" s="798"/>
      <c r="Q420" s="798"/>
      <c r="R420" s="798"/>
      <c r="S420" s="798"/>
      <c r="T420" s="798"/>
      <c r="U420" s="798"/>
      <c r="V420" s="798"/>
    </row>
    <row r="421" spans="1:22" s="667" customFormat="1">
      <c r="A421" s="435"/>
      <c r="B421" s="1" t="s">
        <v>2739</v>
      </c>
      <c r="C421" s="390">
        <f>heating_gas</f>
        <v>6225.1476079782524</v>
      </c>
      <c r="D421" s="389" t="s">
        <v>857</v>
      </c>
      <c r="E421" s="406">
        <f>gas_cost_cl</f>
        <v>1.7879</v>
      </c>
      <c r="F421" s="424" t="s">
        <v>2738</v>
      </c>
      <c r="G421" s="402">
        <f>E421*C421</f>
        <v>11129.941408304318</v>
      </c>
      <c r="H421" s="618">
        <f t="shared" si="39"/>
        <v>1</v>
      </c>
      <c r="I421" s="216"/>
      <c r="J421" s="216"/>
      <c r="K421" s="216"/>
      <c r="L421" s="245"/>
      <c r="M421" s="216"/>
      <c r="N421" s="798"/>
      <c r="O421" s="798"/>
      <c r="P421" s="798"/>
      <c r="Q421" s="798"/>
      <c r="R421" s="798"/>
      <c r="S421" s="798"/>
      <c r="T421" s="798"/>
      <c r="U421" s="798"/>
      <c r="V421" s="798"/>
    </row>
    <row r="422" spans="1:22" s="667" customFormat="1">
      <c r="A422" s="435"/>
      <c r="B422" s="21" t="s">
        <v>12</v>
      </c>
      <c r="C422" s="390">
        <f>heating_diesel_non</f>
        <v>0</v>
      </c>
      <c r="D422" s="389" t="s">
        <v>2740</v>
      </c>
      <c r="E422" s="406">
        <f>diesel_cost_cl</f>
        <v>3.8295007720020586</v>
      </c>
      <c r="F422" s="424" t="s">
        <v>2741</v>
      </c>
      <c r="G422" s="402">
        <f>E422*C422</f>
        <v>0</v>
      </c>
      <c r="H422" s="618">
        <f t="shared" si="39"/>
        <v>0</v>
      </c>
      <c r="I422" s="216"/>
      <c r="J422" s="216"/>
      <c r="K422" s="216"/>
      <c r="L422" s="245"/>
      <c r="M422" s="216"/>
      <c r="N422" s="798"/>
      <c r="O422" s="798"/>
      <c r="P422" s="798"/>
      <c r="Q422" s="798"/>
      <c r="R422" s="798"/>
      <c r="S422" s="798"/>
      <c r="T422" s="798"/>
      <c r="U422" s="798"/>
      <c r="V422" s="798"/>
    </row>
    <row r="423" spans="1:22" s="667" customFormat="1">
      <c r="A423" s="309"/>
      <c r="B423" s="21" t="s">
        <v>13</v>
      </c>
      <c r="C423" s="390">
        <f>heating_diesel</f>
        <v>0</v>
      </c>
      <c r="D423" s="389" t="s">
        <v>2740</v>
      </c>
      <c r="E423" s="406">
        <f>diesel_cost_cl</f>
        <v>3.8295007720020586</v>
      </c>
      <c r="F423" s="424" t="s">
        <v>2741</v>
      </c>
      <c r="G423" s="402">
        <f>E423*C423</f>
        <v>0</v>
      </c>
      <c r="H423" s="618">
        <f t="shared" si="39"/>
        <v>0</v>
      </c>
      <c r="I423" s="216"/>
      <c r="J423" s="216"/>
      <c r="K423" s="216"/>
      <c r="L423" s="245"/>
      <c r="M423" s="216"/>
      <c r="N423" s="798"/>
      <c r="O423" s="798"/>
      <c r="P423" s="798"/>
      <c r="Q423" s="798"/>
      <c r="R423" s="798"/>
      <c r="S423" s="798"/>
      <c r="T423" s="798"/>
      <c r="U423" s="798"/>
      <c r="V423" s="798"/>
    </row>
    <row r="424" spans="1:22" s="667" customFormat="1">
      <c r="A424" s="310"/>
      <c r="B424" s="302" t="s">
        <v>4384</v>
      </c>
      <c r="C424" s="302"/>
      <c r="D424" s="303"/>
      <c r="E424" s="302"/>
      <c r="F424" s="302"/>
      <c r="G424" s="302"/>
      <c r="H424" s="307"/>
      <c r="I424" s="216"/>
      <c r="J424" s="216"/>
      <c r="K424" s="216"/>
      <c r="L424" s="245"/>
      <c r="M424" s="216"/>
      <c r="N424" s="798"/>
      <c r="O424" s="798"/>
      <c r="P424" s="798"/>
      <c r="Q424" s="798"/>
      <c r="R424" s="798"/>
      <c r="S424" s="798"/>
      <c r="T424" s="798"/>
      <c r="U424" s="798"/>
      <c r="V424" s="798"/>
    </row>
    <row r="425" spans="1:22" s="667" customFormat="1">
      <c r="A425" s="435"/>
      <c r="B425" s="411" t="str">
        <f>IF(res_s2_opt=4,"Hazardous brine disposal","POTW discharge fees")</f>
        <v>Hazardous brine disposal</v>
      </c>
      <c r="C425" s="390">
        <f>IF(OR(res_s2_opt=2,res_s2_opt=4),res_flow_annual,0)</f>
        <v>18138.037641284835</v>
      </c>
      <c r="D425" s="389" t="s">
        <v>2740</v>
      </c>
      <c r="E425" s="454">
        <f>IF(OR(res_s2_opt=2,res_s2_opt=4),G425/C425,"NA")</f>
        <v>4.5212626594339254</v>
      </c>
      <c r="F425" s="389" t="s">
        <v>2741</v>
      </c>
      <c r="G425" s="391">
        <f>IF(C425=0,0,IF(res_s2_opt=2,POTW_fee,IF(res_s2_opt=4,lhaz_fee,"--")))</f>
        <v>82006.832302948111</v>
      </c>
      <c r="H425" s="452">
        <f>IF(C425=0,0,IF(OR(res_s2_opt=2,res_s2_opt=4),1,0))</f>
        <v>1</v>
      </c>
      <c r="I425" s="216"/>
      <c r="J425" s="216"/>
      <c r="K425" s="216"/>
      <c r="L425" s="245"/>
      <c r="M425" s="216"/>
      <c r="N425" s="798"/>
      <c r="O425" s="798"/>
      <c r="P425" s="798"/>
      <c r="Q425" s="798"/>
      <c r="R425" s="798"/>
      <c r="S425" s="798"/>
      <c r="T425" s="798"/>
      <c r="U425" s="798"/>
      <c r="V425" s="798"/>
    </row>
    <row r="426" spans="1:22" s="667" customFormat="1">
      <c r="A426" s="435"/>
      <c r="B426" s="388" t="s">
        <v>2835</v>
      </c>
      <c r="C426" s="390">
        <f>spent_media_yr</f>
        <v>26.010713669632079</v>
      </c>
      <c r="D426" s="389" t="s">
        <v>2171</v>
      </c>
      <c r="E426" s="406">
        <f>G426/C426</f>
        <v>3805.2495044153629</v>
      </c>
      <c r="F426" s="424" t="s">
        <v>2172</v>
      </c>
      <c r="G426" s="436">
        <f>disposal_fee</f>
        <v>98977.255300857374</v>
      </c>
      <c r="H426" s="451">
        <f>IF(C426=0,0,1)</f>
        <v>1</v>
      </c>
      <c r="I426" s="216"/>
      <c r="J426" s="216"/>
      <c r="K426" s="216"/>
      <c r="L426" s="245"/>
      <c r="M426" s="216"/>
      <c r="N426" s="798"/>
      <c r="O426" s="798"/>
      <c r="P426" s="798"/>
      <c r="Q426" s="798"/>
      <c r="R426" s="798"/>
      <c r="S426" s="798"/>
      <c r="T426" s="798"/>
      <c r="U426" s="798"/>
      <c r="V426" s="798"/>
    </row>
    <row r="427" spans="1:22" s="667" customFormat="1">
      <c r="A427" s="435"/>
      <c r="B427" s="388" t="str">
        <f>IF(res_s2_opt=3,"Evaporation pond solids disposal",IF(res_holding&lt;&gt;"none","Holding "&amp;res_holding&amp;" solids disposal",""))</f>
        <v>Holding tanks solids disposal</v>
      </c>
      <c r="C427" s="390">
        <f>IF(B427="","",res_solids*sol_disp_freq)</f>
        <v>0</v>
      </c>
      <c r="D427" s="389" t="str">
        <f>IF(B427="","","ton/yr")</f>
        <v>ton/yr</v>
      </c>
      <c r="E427" s="395" t="str">
        <f>IF(B427="","",IF(C427=0,"NA",G427/C427))</f>
        <v>NA</v>
      </c>
      <c r="F427" s="424" t="str">
        <f>IF(B427="","","/ton")</f>
        <v>/ton</v>
      </c>
      <c r="G427" s="436"/>
      <c r="H427" s="451">
        <f>IF(B427="","",IF(C427=0,0,1))</f>
        <v>0</v>
      </c>
      <c r="I427" s="624" t="str">
        <f>IF(AND(res_solids&lt;&gt;0,solids_haz=1,solids_method=2),"Land application assumed to be zero cost, but labor cost for handling is still included in operator hours","")</f>
        <v/>
      </c>
      <c r="J427" s="216"/>
      <c r="K427" s="216"/>
      <c r="L427" s="245"/>
      <c r="M427" s="216"/>
      <c r="N427" s="798"/>
      <c r="O427" s="798"/>
      <c r="P427" s="798"/>
      <c r="Q427" s="798"/>
      <c r="R427" s="798"/>
      <c r="S427" s="798"/>
      <c r="T427" s="798"/>
      <c r="U427" s="798"/>
      <c r="V427" s="798"/>
    </row>
    <row r="428" spans="1:22" s="667" customFormat="1">
      <c r="A428" s="308"/>
      <c r="B428" s="388" t="s">
        <v>880</v>
      </c>
      <c r="C428" s="477">
        <f>cart_disp_wt*cart_disp_freq</f>
        <v>0.46079999999999999</v>
      </c>
      <c r="D428" s="473" t="str">
        <f>IF(B428="","","ton/yr")</f>
        <v>ton/yr</v>
      </c>
      <c r="E428" s="474">
        <f>IF(C428=0,0,G428/C428)</f>
        <v>112.0274190046018</v>
      </c>
      <c r="F428" s="475" t="str">
        <f>IF(B428="","","/ton")</f>
        <v>/ton</v>
      </c>
      <c r="G428" s="392">
        <f>IF(C428=0,"--",cart_disposal_fee)</f>
        <v>51.622234677320506</v>
      </c>
      <c r="H428" s="476">
        <f>IF(B428="","",IF(C428=0,0,1))</f>
        <v>1</v>
      </c>
      <c r="I428" s="216"/>
      <c r="J428" s="216"/>
      <c r="K428" s="216"/>
      <c r="L428" s="245"/>
      <c r="M428" s="216"/>
      <c r="N428" s="798"/>
      <c r="O428" s="798"/>
      <c r="P428" s="798"/>
      <c r="Q428" s="798"/>
      <c r="R428" s="798"/>
      <c r="S428" s="798"/>
      <c r="T428" s="798"/>
      <c r="U428" s="798"/>
      <c r="V428" s="798"/>
    </row>
    <row r="429" spans="1:22" s="667" customFormat="1">
      <c r="A429" s="548"/>
      <c r="B429" s="302" t="s">
        <v>45</v>
      </c>
      <c r="C429" s="549">
        <f>misc_pct</f>
        <v>0.1</v>
      </c>
      <c r="D429" s="303"/>
      <c r="E429" s="550"/>
      <c r="F429" s="302"/>
      <c r="G429" s="392">
        <f>SUMPRODUCT(G389:G428,H389:H428)*C429</f>
        <v>43170.787009787688</v>
      </c>
      <c r="H429" s="476">
        <v>1</v>
      </c>
      <c r="I429" s="216"/>
      <c r="J429" s="216"/>
      <c r="K429" s="216"/>
      <c r="L429" s="245"/>
      <c r="M429" s="216"/>
      <c r="N429" s="798"/>
      <c r="O429" s="798"/>
      <c r="P429" s="798"/>
      <c r="Q429" s="798"/>
      <c r="R429" s="798"/>
      <c r="S429" s="798"/>
      <c r="T429" s="798"/>
      <c r="U429" s="798"/>
      <c r="V429" s="798"/>
    </row>
    <row r="430" spans="1:22" s="667" customFormat="1" ht="16">
      <c r="A430" s="241"/>
      <c r="B430" s="856" t="s">
        <v>3472</v>
      </c>
      <c r="C430" s="246"/>
      <c r="D430" s="215"/>
      <c r="E430" s="246"/>
      <c r="F430" s="356"/>
      <c r="G430" s="357">
        <f>SUMPRODUCT(G389:G429,H389:H429)*OM_City_Index</f>
        <v>474878.65710766456</v>
      </c>
      <c r="H430" s="472"/>
      <c r="I430" s="246"/>
      <c r="J430" s="246"/>
      <c r="K430" s="246"/>
      <c r="L430" s="247"/>
      <c r="M430" s="216"/>
      <c r="N430" s="798"/>
      <c r="O430" s="798"/>
      <c r="P430" s="798"/>
      <c r="Q430" s="798"/>
      <c r="R430" s="798"/>
      <c r="S430" s="798"/>
      <c r="T430" s="798"/>
      <c r="U430" s="798"/>
      <c r="V430" s="798"/>
    </row>
    <row r="431" spans="1:22" s="667" customFormat="1">
      <c r="A431" s="216"/>
      <c r="B431" s="212"/>
      <c r="C431" s="216"/>
      <c r="D431" s="213"/>
      <c r="E431" s="216"/>
      <c r="F431" s="216"/>
      <c r="G431" s="216"/>
      <c r="H431" s="216"/>
      <c r="I431" s="216"/>
      <c r="J431" s="216"/>
      <c r="K431" s="216"/>
      <c r="L431" s="216"/>
      <c r="M431" s="216"/>
      <c r="N431" s="798"/>
      <c r="O431" s="798"/>
      <c r="P431" s="798"/>
      <c r="Q431" s="798"/>
      <c r="R431" s="798"/>
      <c r="S431" s="798"/>
      <c r="T431" s="798"/>
      <c r="U431" s="798"/>
      <c r="V431" s="798"/>
    </row>
    <row r="432" spans="1:22" s="667" customFormat="1" ht="16">
      <c r="A432" s="236" t="s">
        <v>24</v>
      </c>
      <c r="B432" s="210"/>
      <c r="C432" s="210"/>
      <c r="D432" s="210"/>
      <c r="E432" s="210"/>
      <c r="F432" s="210"/>
      <c r="G432" s="210"/>
      <c r="H432" s="210"/>
      <c r="I432" s="210"/>
      <c r="J432" s="210"/>
      <c r="K432" s="210"/>
      <c r="L432" s="535"/>
      <c r="M432" s="116"/>
      <c r="N432" s="779"/>
      <c r="O432" s="779"/>
      <c r="P432" s="779"/>
      <c r="Q432" s="798"/>
      <c r="R432" s="798"/>
      <c r="S432" s="798"/>
      <c r="T432" s="798"/>
      <c r="U432" s="798"/>
      <c r="V432" s="798"/>
    </row>
    <row r="433" spans="1:22" s="664" customFormat="1" ht="16">
      <c r="A433" s="703"/>
      <c r="B433" s="697" t="s">
        <v>276</v>
      </c>
      <c r="C433" s="704" t="s">
        <v>278</v>
      </c>
      <c r="D433" s="705" t="s">
        <v>280</v>
      </c>
      <c r="E433" s="541"/>
      <c r="F433" s="541"/>
      <c r="G433" s="541"/>
      <c r="H433" s="541"/>
      <c r="I433" s="541"/>
      <c r="J433" s="541"/>
      <c r="K433" s="541"/>
      <c r="L433" s="542"/>
      <c r="N433" s="779"/>
      <c r="O433" s="779"/>
      <c r="P433" s="779"/>
      <c r="Q433" s="779"/>
      <c r="R433" s="779"/>
      <c r="S433" s="779"/>
      <c r="T433" s="779"/>
      <c r="U433" s="779"/>
      <c r="V433" s="779"/>
    </row>
    <row r="434" spans="1:22" s="667" customFormat="1">
      <c r="A434" s="209"/>
      <c r="B434" s="119" t="s">
        <v>25</v>
      </c>
      <c r="C434" s="536">
        <v>7.0000000000000007E-2</v>
      </c>
      <c r="D434" s="200" t="s">
        <v>906</v>
      </c>
      <c r="E434" s="211"/>
      <c r="F434" s="211"/>
      <c r="G434" s="211"/>
      <c r="H434" s="211"/>
      <c r="I434" s="211"/>
      <c r="J434" s="211"/>
      <c r="K434" s="211"/>
      <c r="L434" s="537"/>
      <c r="M434" s="116"/>
      <c r="N434" s="779"/>
      <c r="O434" s="779"/>
      <c r="P434" s="779"/>
      <c r="Q434" s="798"/>
      <c r="R434" s="798"/>
      <c r="S434" s="798"/>
      <c r="T434" s="798"/>
      <c r="U434" s="798"/>
      <c r="V434" s="798"/>
    </row>
    <row r="435" spans="1:22" s="667" customFormat="1">
      <c r="A435" s="209"/>
      <c r="B435" s="119" t="s">
        <v>26</v>
      </c>
      <c r="C435" s="538" t="s">
        <v>1820</v>
      </c>
      <c r="D435" s="200" t="s">
        <v>906</v>
      </c>
      <c r="E435" s="211"/>
      <c r="F435" s="211"/>
      <c r="G435" s="211"/>
      <c r="H435" s="211"/>
      <c r="I435" s="211"/>
      <c r="J435" s="211"/>
      <c r="K435" s="211"/>
      <c r="L435" s="537"/>
      <c r="M435" s="116"/>
      <c r="N435" s="779"/>
      <c r="O435" s="779"/>
      <c r="P435" s="779"/>
      <c r="Q435" s="798"/>
      <c r="R435" s="798"/>
      <c r="S435" s="798"/>
      <c r="T435" s="798"/>
      <c r="U435" s="798"/>
      <c r="V435" s="798"/>
    </row>
    <row r="436" spans="1:22" s="667" customFormat="1">
      <c r="A436" s="209"/>
      <c r="B436" s="119" t="s">
        <v>27</v>
      </c>
      <c r="C436" s="539">
        <v>2.5299999999999998</v>
      </c>
      <c r="D436" s="200" t="s">
        <v>906</v>
      </c>
      <c r="E436" s="211"/>
      <c r="F436" s="211"/>
      <c r="G436" s="211"/>
      <c r="H436" s="211"/>
      <c r="I436" s="211"/>
      <c r="J436" s="211"/>
      <c r="K436" s="211"/>
      <c r="L436" s="537"/>
      <c r="M436" s="116"/>
      <c r="N436" s="779"/>
      <c r="O436" s="779"/>
      <c r="P436" s="779"/>
      <c r="Q436" s="798"/>
      <c r="R436" s="798"/>
      <c r="S436" s="798"/>
      <c r="T436" s="798"/>
      <c r="U436" s="798"/>
      <c r="V436" s="798"/>
    </row>
    <row r="437" spans="1:22" s="667" customFormat="1">
      <c r="A437" s="529"/>
      <c r="B437" s="745"/>
      <c r="C437" s="746"/>
      <c r="D437" s="540"/>
      <c r="E437" s="541"/>
      <c r="F437" s="541"/>
      <c r="G437" s="541"/>
      <c r="H437" s="541"/>
      <c r="I437" s="541"/>
      <c r="J437" s="541"/>
      <c r="K437" s="541"/>
      <c r="L437" s="542"/>
      <c r="M437" s="116"/>
      <c r="N437" s="779"/>
      <c r="O437" s="779"/>
      <c r="P437" s="779"/>
      <c r="Q437" s="798"/>
      <c r="R437" s="798"/>
      <c r="S437" s="798"/>
      <c r="T437" s="798"/>
      <c r="U437" s="798"/>
      <c r="V437" s="798"/>
    </row>
    <row r="438" spans="1:22" s="664" customFormat="1">
      <c r="A438" s="529"/>
      <c r="B438" s="714" t="s">
        <v>2950</v>
      </c>
      <c r="C438" s="715" t="s">
        <v>278</v>
      </c>
      <c r="D438" s="117" t="s">
        <v>279</v>
      </c>
      <c r="E438" s="541"/>
      <c r="F438" s="541"/>
      <c r="G438" s="541"/>
      <c r="H438" s="541"/>
      <c r="I438" s="541"/>
      <c r="J438" s="541"/>
      <c r="K438" s="541"/>
      <c r="L438" s="542"/>
      <c r="N438" s="779"/>
      <c r="O438" s="779"/>
      <c r="P438" s="779"/>
      <c r="Q438" s="779"/>
      <c r="R438" s="779"/>
      <c r="S438" s="779"/>
      <c r="T438" s="779"/>
      <c r="U438" s="779"/>
      <c r="V438" s="779"/>
    </row>
    <row r="439" spans="1:22" s="667" customFormat="1">
      <c r="A439" s="529"/>
      <c r="B439" s="530" t="s">
        <v>28</v>
      </c>
      <c r="C439" s="543">
        <f>ROUND((direct_for_UL+IF(build_UL=0,0,addon_cost+indirect_cost))/(total_direct_depreciation+IF(build_UL=0,0,(addon_cost+indirect_cost)/build_UL)),1)</f>
        <v>27.7</v>
      </c>
      <c r="D439" s="541" t="s">
        <v>1470</v>
      </c>
      <c r="E439" s="541"/>
      <c r="F439" s="541"/>
      <c r="G439" s="541"/>
      <c r="H439" s="541"/>
      <c r="I439" s="541"/>
      <c r="J439" s="541"/>
      <c r="K439" s="541"/>
      <c r="L439" s="542"/>
      <c r="M439" s="216"/>
      <c r="N439" s="798"/>
      <c r="O439" s="798"/>
      <c r="P439" s="798"/>
      <c r="Q439" s="798"/>
      <c r="R439" s="798"/>
      <c r="S439" s="798"/>
      <c r="T439" s="798"/>
      <c r="U439" s="798"/>
      <c r="V439" s="798"/>
    </row>
    <row r="440" spans="1:22" s="667" customFormat="1">
      <c r="A440" s="529"/>
      <c r="B440" s="531" t="s">
        <v>29</v>
      </c>
      <c r="C440" s="544">
        <f>IF(source_select="ground water",(average_flow*1000/0.08558)^(1/1.0584),(average_flow*1000/0.14004)^(1/0.99703))/hh_size</f>
        <v>6250.8756001945003</v>
      </c>
      <c r="D440" s="541" t="s">
        <v>907</v>
      </c>
      <c r="E440" s="541"/>
      <c r="F440" s="541"/>
      <c r="G440" s="541"/>
      <c r="H440" s="541"/>
      <c r="I440" s="541"/>
      <c r="J440" s="541"/>
      <c r="K440" s="541"/>
      <c r="L440" s="542"/>
      <c r="M440" s="216"/>
      <c r="N440" s="798"/>
      <c r="O440" s="798"/>
      <c r="P440" s="798"/>
      <c r="Q440" s="798"/>
      <c r="R440" s="798"/>
      <c r="S440" s="798"/>
      <c r="T440" s="798"/>
      <c r="U440" s="798"/>
      <c r="V440" s="798"/>
    </row>
    <row r="441" spans="1:22" s="667" customFormat="1">
      <c r="A441" s="529"/>
      <c r="B441" s="747" t="s">
        <v>3123</v>
      </c>
      <c r="C441" s="748">
        <f>-PMT(Discount_rate,useful_life,system_cost)</f>
        <v>93254.601935055398</v>
      </c>
      <c r="D441" s="753" t="s">
        <v>908</v>
      </c>
      <c r="E441" s="541"/>
      <c r="F441" s="541"/>
      <c r="G441" s="541"/>
      <c r="H441" s="541"/>
      <c r="I441" s="541"/>
      <c r="J441" s="541"/>
      <c r="K441" s="541"/>
      <c r="L441" s="542"/>
      <c r="M441" s="216"/>
      <c r="N441" s="798"/>
      <c r="O441" s="798"/>
      <c r="P441" s="798"/>
      <c r="Q441" s="798"/>
      <c r="R441" s="798"/>
      <c r="S441" s="798"/>
      <c r="T441" s="798"/>
      <c r="U441" s="798"/>
      <c r="V441" s="798"/>
    </row>
    <row r="442" spans="1:22" s="667" customFormat="1">
      <c r="A442" s="529"/>
      <c r="B442" s="749" t="s">
        <v>2157</v>
      </c>
      <c r="C442" s="750">
        <f>OM_cost</f>
        <v>474878.65710766456</v>
      </c>
      <c r="D442" s="753" t="s">
        <v>908</v>
      </c>
      <c r="E442" s="541"/>
      <c r="F442" s="541"/>
      <c r="G442" s="541"/>
      <c r="H442" s="541"/>
      <c r="I442" s="541"/>
      <c r="J442" s="541"/>
      <c r="K442" s="541"/>
      <c r="L442" s="542"/>
      <c r="M442" s="216"/>
      <c r="N442" s="798"/>
      <c r="O442" s="798"/>
      <c r="P442" s="798"/>
      <c r="Q442" s="798"/>
      <c r="R442" s="798"/>
      <c r="S442" s="798"/>
      <c r="T442" s="798"/>
      <c r="U442" s="798"/>
      <c r="V442" s="798"/>
    </row>
    <row r="443" spans="1:22" s="667" customFormat="1" ht="16">
      <c r="A443" s="127"/>
      <c r="B443" s="751" t="s">
        <v>3124</v>
      </c>
      <c r="C443" s="752">
        <f>Annualized_Capital_Cost+OM_cost</f>
        <v>568133.25904271996</v>
      </c>
      <c r="D443" s="753" t="s">
        <v>908</v>
      </c>
      <c r="E443" s="858" t="str">
        <f>IF(ISERROR(OR(TAC_pct_cap,TAC_pct_OM)),"",TEXT(TAC_pct_cap,"0%")&amp;" annualized capital, "&amp;TEXT(TAC_pct_OM,"0%")&amp;" annual O&amp;M")</f>
        <v>16% annualized capital, 84% annual O&amp;M</v>
      </c>
      <c r="F443" s="116"/>
      <c r="G443" s="116"/>
      <c r="H443" s="116"/>
      <c r="I443" s="116"/>
      <c r="J443" s="116"/>
      <c r="K443" s="116"/>
      <c r="L443" s="510"/>
      <c r="M443" s="216"/>
      <c r="N443" s="798"/>
      <c r="O443" s="798"/>
      <c r="P443" s="798"/>
      <c r="Q443" s="798"/>
      <c r="R443" s="798"/>
      <c r="S443" s="798"/>
      <c r="T443" s="798"/>
      <c r="U443" s="798"/>
      <c r="V443" s="798"/>
    </row>
    <row r="444" spans="1:22" s="667" customFormat="1">
      <c r="A444" s="127"/>
      <c r="B444" s="532" t="s">
        <v>30</v>
      </c>
      <c r="C444" s="545">
        <f>Annualized_Cost/(average_flow*365*1000)</f>
        <v>0.72329436655639856</v>
      </c>
      <c r="D444" s="753" t="s">
        <v>909</v>
      </c>
      <c r="E444" s="116"/>
      <c r="F444" s="116"/>
      <c r="G444" s="116"/>
      <c r="H444" s="116"/>
      <c r="I444" s="116"/>
      <c r="J444" s="116"/>
      <c r="K444" s="116"/>
      <c r="L444" s="510"/>
      <c r="M444" s="216"/>
      <c r="N444" s="798"/>
      <c r="O444" s="798"/>
      <c r="P444" s="798"/>
      <c r="Q444" s="798"/>
      <c r="R444" s="798"/>
      <c r="S444" s="798"/>
      <c r="T444" s="798"/>
      <c r="U444" s="798"/>
      <c r="V444" s="798"/>
    </row>
    <row r="445" spans="1:22" s="667" customFormat="1">
      <c r="A445" s="126"/>
      <c r="B445" s="533" t="s">
        <v>905</v>
      </c>
      <c r="C445" s="546">
        <f>Annualized_Cost/households</f>
        <v>90.888588316337973</v>
      </c>
      <c r="D445" s="754" t="s">
        <v>910</v>
      </c>
      <c r="E445" s="143"/>
      <c r="F445" s="143"/>
      <c r="G445" s="143"/>
      <c r="H445" s="143"/>
      <c r="I445" s="143"/>
      <c r="J445" s="143"/>
      <c r="K445" s="143"/>
      <c r="L445" s="547"/>
      <c r="M445" s="216"/>
      <c r="N445" s="798"/>
      <c r="O445" s="798"/>
      <c r="P445" s="798"/>
      <c r="Q445" s="798"/>
      <c r="R445" s="798"/>
      <c r="S445" s="798"/>
      <c r="T445" s="798"/>
      <c r="U445" s="798"/>
      <c r="V445" s="798"/>
    </row>
    <row r="446" spans="1:22" s="667" customFormat="1">
      <c r="A446" s="216"/>
      <c r="B446" s="212"/>
      <c r="C446" s="216"/>
      <c r="D446" s="213"/>
      <c r="E446" s="216"/>
      <c r="F446" s="216"/>
      <c r="G446" s="216"/>
      <c r="H446" s="216"/>
      <c r="I446" s="216"/>
      <c r="J446" s="216"/>
      <c r="K446" s="216"/>
      <c r="L446" s="216"/>
      <c r="M446" s="216"/>
      <c r="N446" s="798"/>
      <c r="O446" s="798"/>
      <c r="P446" s="798"/>
      <c r="Q446" s="798"/>
      <c r="R446" s="798"/>
      <c r="S446" s="798"/>
      <c r="T446" s="798"/>
      <c r="U446" s="798"/>
      <c r="V446" s="798"/>
    </row>
    <row r="447" spans="1:22" s="667" customFormat="1">
      <c r="A447" s="216"/>
      <c r="B447" s="212"/>
      <c r="C447" s="216"/>
      <c r="D447" s="213"/>
      <c r="E447" s="216"/>
      <c r="F447" s="216"/>
      <c r="G447" s="216"/>
      <c r="H447" s="216"/>
      <c r="I447" s="216"/>
      <c r="J447" s="216"/>
      <c r="K447" s="216"/>
      <c r="L447" s="216"/>
      <c r="M447" s="216"/>
      <c r="N447" s="798"/>
      <c r="O447" s="798"/>
      <c r="P447" s="798"/>
      <c r="Q447" s="798"/>
      <c r="R447" s="798"/>
      <c r="S447" s="798"/>
      <c r="T447" s="798"/>
      <c r="U447" s="798"/>
      <c r="V447" s="798"/>
    </row>
    <row r="448" spans="1:22" s="664" customFormat="1">
      <c r="A448" s="665" t="s">
        <v>2751</v>
      </c>
      <c r="B448" s="665"/>
      <c r="N448" s="779"/>
      <c r="O448" s="779"/>
      <c r="P448" s="779"/>
      <c r="Q448" s="779"/>
      <c r="R448" s="779"/>
      <c r="S448" s="779"/>
      <c r="T448" s="779"/>
      <c r="U448" s="779"/>
      <c r="V448" s="779"/>
    </row>
    <row r="449" spans="1:22" s="667" customFormat="1">
      <c r="A449" s="216"/>
      <c r="B449" s="5" t="s">
        <v>2736</v>
      </c>
      <c r="C449" s="26">
        <f>C355</f>
        <v>33825.536400899466</v>
      </c>
      <c r="D449" s="213"/>
      <c r="E449" s="216"/>
      <c r="F449" s="216"/>
      <c r="G449" s="216"/>
      <c r="H449" s="216"/>
      <c r="I449" s="216"/>
      <c r="J449" s="216"/>
      <c r="K449" s="216"/>
      <c r="L449" s="216"/>
      <c r="M449" s="216"/>
      <c r="N449" s="798"/>
      <c r="O449" s="798"/>
      <c r="P449" s="798"/>
      <c r="Q449" s="798"/>
      <c r="R449" s="798"/>
      <c r="S449" s="798"/>
      <c r="T449" s="798"/>
      <c r="U449" s="798"/>
      <c r="V449" s="798"/>
    </row>
    <row r="450" spans="1:22" s="667" customFormat="1">
      <c r="A450" s="216"/>
      <c r="B450" s="5" t="s">
        <v>2235</v>
      </c>
      <c r="C450" s="26">
        <f>C356</f>
        <v>4554.5196304681958</v>
      </c>
      <c r="D450" s="213"/>
      <c r="E450" s="216"/>
      <c r="F450" s="216"/>
      <c r="G450" s="216"/>
      <c r="H450" s="216"/>
      <c r="I450" s="216"/>
      <c r="J450" s="216"/>
      <c r="K450" s="216"/>
      <c r="L450" s="216"/>
      <c r="M450" s="216"/>
      <c r="N450" s="798"/>
      <c r="O450" s="798"/>
      <c r="P450" s="798"/>
      <c r="Q450" s="798"/>
      <c r="R450" s="798"/>
      <c r="S450" s="798"/>
      <c r="T450" s="798"/>
      <c r="U450" s="798"/>
      <c r="V450" s="798"/>
    </row>
    <row r="451" spans="1:22" s="667" customFormat="1">
      <c r="A451" s="216"/>
      <c r="B451" s="526" t="s">
        <v>3110</v>
      </c>
      <c r="C451" s="111">
        <f>D357</f>
        <v>0</v>
      </c>
      <c r="D451" s="213"/>
      <c r="E451" s="216"/>
      <c r="F451" s="216"/>
      <c r="G451" s="216"/>
      <c r="H451" s="216"/>
      <c r="I451" s="216"/>
      <c r="J451" s="216"/>
      <c r="K451" s="216"/>
      <c r="L451" s="216"/>
      <c r="M451" s="216"/>
      <c r="N451" s="798"/>
      <c r="O451" s="798"/>
      <c r="P451" s="798"/>
      <c r="Q451" s="798"/>
      <c r="R451" s="798"/>
      <c r="S451" s="798"/>
      <c r="T451" s="798"/>
      <c r="U451" s="798"/>
      <c r="V451" s="798"/>
    </row>
    <row r="452" spans="1:22" s="667" customFormat="1">
      <c r="A452" s="216"/>
      <c r="B452" s="5" t="s">
        <v>2370</v>
      </c>
      <c r="C452" s="26">
        <f>C358</f>
        <v>52713.494505494506</v>
      </c>
      <c r="D452" s="213"/>
      <c r="E452" s="216"/>
      <c r="F452" s="216"/>
      <c r="G452" s="216"/>
      <c r="H452" s="216"/>
      <c r="I452" s="216"/>
      <c r="J452" s="216"/>
      <c r="K452" s="216"/>
      <c r="L452" s="216"/>
      <c r="M452" s="216"/>
      <c r="N452" s="798"/>
      <c r="O452" s="798"/>
      <c r="P452" s="798"/>
      <c r="Q452" s="798"/>
      <c r="R452" s="798"/>
      <c r="S452" s="798"/>
      <c r="T452" s="798"/>
      <c r="U452" s="798"/>
      <c r="V452" s="798"/>
    </row>
    <row r="453" spans="1:22" s="667" customFormat="1">
      <c r="A453" s="216"/>
      <c r="B453" s="5" t="s">
        <v>2236</v>
      </c>
      <c r="C453" s="26">
        <f>C359</f>
        <v>9403.8997863940549</v>
      </c>
      <c r="D453" s="213"/>
      <c r="E453" s="216"/>
      <c r="F453" s="216"/>
      <c r="G453" s="216"/>
      <c r="H453" s="216"/>
      <c r="I453" s="216"/>
      <c r="J453" s="216"/>
      <c r="K453" s="216"/>
      <c r="L453" s="216"/>
      <c r="M453" s="216"/>
      <c r="N453" s="798"/>
      <c r="O453" s="798"/>
      <c r="P453" s="798"/>
      <c r="Q453" s="798"/>
      <c r="R453" s="798"/>
      <c r="S453" s="798"/>
      <c r="T453" s="798"/>
      <c r="U453" s="798"/>
      <c r="V453" s="798"/>
    </row>
    <row r="454" spans="1:22" s="667" customFormat="1">
      <c r="A454" s="216"/>
      <c r="B454" s="5" t="s">
        <v>2237</v>
      </c>
      <c r="C454" s="26">
        <f>C360</f>
        <v>0</v>
      </c>
      <c r="D454" s="213"/>
      <c r="E454" s="216"/>
      <c r="F454" s="216"/>
      <c r="G454" s="216"/>
      <c r="H454" s="216"/>
      <c r="I454" s="216"/>
      <c r="J454" s="216"/>
      <c r="K454" s="216"/>
      <c r="L454" s="216"/>
      <c r="M454" s="216"/>
      <c r="N454" s="798"/>
      <c r="O454" s="798"/>
      <c r="P454" s="798"/>
      <c r="Q454" s="798"/>
      <c r="R454" s="798"/>
      <c r="S454" s="798"/>
      <c r="T454" s="798"/>
      <c r="U454" s="798"/>
      <c r="V454" s="798"/>
    </row>
    <row r="455" spans="1:22" s="667" customFormat="1">
      <c r="A455" s="216"/>
      <c r="B455" s="5" t="s">
        <v>2239</v>
      </c>
      <c r="C455" s="26">
        <f>C361</f>
        <v>15180</v>
      </c>
      <c r="D455" s="213"/>
      <c r="E455" s="216"/>
      <c r="F455" s="216"/>
      <c r="G455" s="216"/>
      <c r="H455" s="216"/>
      <c r="I455" s="216"/>
      <c r="J455" s="216"/>
      <c r="K455" s="216"/>
      <c r="L455" s="216"/>
      <c r="M455" s="216"/>
      <c r="N455" s="798"/>
      <c r="O455" s="798"/>
      <c r="P455" s="798"/>
      <c r="Q455" s="798"/>
      <c r="R455" s="798"/>
      <c r="S455" s="798"/>
      <c r="T455" s="798"/>
      <c r="U455" s="798"/>
      <c r="V455" s="798"/>
    </row>
    <row r="456" spans="1:22" s="667" customFormat="1">
      <c r="A456" s="216"/>
      <c r="B456" s="5" t="s">
        <v>2240</v>
      </c>
      <c r="C456" s="26">
        <f>C362</f>
        <v>59389.555390961868</v>
      </c>
      <c r="D456" s="213"/>
      <c r="E456" s="216"/>
      <c r="F456" s="216"/>
      <c r="G456" s="216"/>
      <c r="H456" s="216"/>
      <c r="I456" s="216"/>
      <c r="J456" s="216"/>
      <c r="K456" s="216"/>
      <c r="L456" s="216"/>
      <c r="M456" s="216"/>
      <c r="N456" s="798"/>
      <c r="O456" s="798"/>
      <c r="P456" s="798"/>
      <c r="Q456" s="798"/>
      <c r="R456" s="798"/>
      <c r="S456" s="798"/>
      <c r="T456" s="798"/>
      <c r="U456" s="798"/>
      <c r="V456" s="798"/>
    </row>
    <row r="457" spans="1:22" s="667" customFormat="1">
      <c r="A457" s="216"/>
      <c r="B457" s="5" t="s">
        <v>2241</v>
      </c>
      <c r="C457" s="111">
        <f>D363</f>
        <v>0</v>
      </c>
      <c r="D457" s="213"/>
      <c r="E457" s="216"/>
      <c r="F457" s="216"/>
      <c r="G457" s="216"/>
      <c r="H457" s="216"/>
      <c r="I457" s="216"/>
      <c r="J457" s="216"/>
      <c r="K457" s="216"/>
      <c r="L457" s="216"/>
      <c r="M457" s="216"/>
      <c r="N457" s="798"/>
      <c r="O457" s="798"/>
      <c r="P457" s="798"/>
      <c r="Q457" s="798"/>
      <c r="R457" s="798"/>
      <c r="S457" s="798"/>
      <c r="T457" s="798"/>
      <c r="U457" s="798"/>
      <c r="V457" s="798"/>
    </row>
    <row r="458" spans="1:22" s="667" customFormat="1">
      <c r="A458" s="216"/>
      <c r="B458" s="5" t="s">
        <v>2244</v>
      </c>
      <c r="C458" s="26">
        <f>C364</f>
        <v>0</v>
      </c>
      <c r="D458" s="213"/>
      <c r="E458" s="216"/>
      <c r="F458" s="216"/>
      <c r="G458" s="216"/>
      <c r="H458" s="216"/>
      <c r="I458" s="216"/>
      <c r="J458" s="216"/>
      <c r="K458" s="216"/>
      <c r="L458" s="216"/>
      <c r="M458" s="216"/>
      <c r="N458" s="798"/>
      <c r="O458" s="798"/>
      <c r="P458" s="798"/>
      <c r="Q458" s="798"/>
      <c r="R458" s="798"/>
      <c r="S458" s="798"/>
      <c r="T458" s="798"/>
      <c r="U458" s="798"/>
      <c r="V458" s="798"/>
    </row>
    <row r="459" spans="1:22" s="667" customFormat="1">
      <c r="A459" s="216"/>
      <c r="B459" s="5" t="s">
        <v>2245</v>
      </c>
      <c r="C459" s="26">
        <f>C365</f>
        <v>77340.159309778493</v>
      </c>
      <c r="D459" s="213"/>
      <c r="E459" s="216"/>
      <c r="F459" s="216"/>
      <c r="G459" s="216"/>
      <c r="H459" s="216"/>
      <c r="I459" s="216"/>
      <c r="J459" s="216"/>
      <c r="K459" s="216"/>
      <c r="L459" s="216"/>
      <c r="M459" s="216"/>
      <c r="N459" s="798"/>
      <c r="O459" s="798"/>
      <c r="P459" s="798"/>
      <c r="Q459" s="798"/>
      <c r="R459" s="798"/>
      <c r="S459" s="798"/>
      <c r="T459" s="798"/>
      <c r="U459" s="798"/>
      <c r="V459" s="798"/>
    </row>
    <row r="460" spans="1:22" s="667" customFormat="1">
      <c r="A460" s="216"/>
      <c r="B460" s="5" t="s">
        <v>45</v>
      </c>
      <c r="C460" s="111">
        <f>D366</f>
        <v>0.1</v>
      </c>
      <c r="D460" s="213"/>
      <c r="E460" s="216"/>
      <c r="F460" s="216"/>
      <c r="G460" s="216"/>
      <c r="H460" s="216"/>
      <c r="I460" s="216"/>
      <c r="J460" s="216"/>
      <c r="K460" s="216"/>
      <c r="L460" s="216"/>
      <c r="M460" s="216"/>
      <c r="N460" s="798"/>
      <c r="O460" s="798"/>
      <c r="P460" s="798"/>
      <c r="Q460" s="798"/>
      <c r="R460" s="798"/>
      <c r="S460" s="798"/>
      <c r="T460" s="798"/>
      <c r="U460" s="798"/>
      <c r="V460" s="798"/>
    </row>
    <row r="461" spans="1:22" s="667" customFormat="1">
      <c r="A461" s="216"/>
      <c r="B461" s="5" t="s">
        <v>1304</v>
      </c>
      <c r="C461" s="111">
        <f>D367</f>
        <v>0.02</v>
      </c>
      <c r="D461" s="213"/>
      <c r="E461" s="216"/>
      <c r="F461" s="216"/>
      <c r="G461" s="216"/>
      <c r="H461" s="216"/>
      <c r="I461" s="216"/>
      <c r="J461" s="216"/>
      <c r="K461" s="216"/>
      <c r="L461" s="216"/>
      <c r="M461" s="216"/>
      <c r="N461" s="798"/>
      <c r="O461" s="798"/>
      <c r="P461" s="798"/>
      <c r="Q461" s="798"/>
      <c r="R461" s="798"/>
      <c r="S461" s="798"/>
      <c r="T461" s="798"/>
      <c r="U461" s="798"/>
      <c r="V461" s="798"/>
    </row>
    <row r="462" spans="1:22" s="667" customFormat="1">
      <c r="A462" s="216"/>
      <c r="B462" s="5" t="s">
        <v>1305</v>
      </c>
      <c r="C462" s="111">
        <f>D368</f>
        <v>0</v>
      </c>
      <c r="D462" s="213"/>
      <c r="E462" s="216"/>
      <c r="F462" s="216"/>
      <c r="G462" s="216"/>
      <c r="H462" s="216"/>
      <c r="I462" s="216"/>
      <c r="J462" s="216"/>
      <c r="K462" s="216"/>
      <c r="L462" s="216"/>
      <c r="M462" s="216"/>
      <c r="N462" s="798"/>
      <c r="O462" s="798"/>
      <c r="P462" s="798"/>
      <c r="Q462" s="798"/>
      <c r="R462" s="798"/>
      <c r="S462" s="798"/>
      <c r="T462" s="798"/>
      <c r="U462" s="798"/>
      <c r="V462" s="798"/>
    </row>
    <row r="463" spans="1:22" s="667" customFormat="1">
      <c r="A463" s="216"/>
      <c r="B463" s="5" t="s">
        <v>718</v>
      </c>
      <c r="C463" s="111">
        <f>D369</f>
        <v>0.05</v>
      </c>
      <c r="D463" s="213"/>
      <c r="E463" s="216"/>
      <c r="F463" s="216"/>
      <c r="G463" s="216"/>
      <c r="H463" s="216"/>
      <c r="I463" s="216"/>
      <c r="J463" s="216"/>
      <c r="K463" s="216"/>
      <c r="L463" s="216"/>
      <c r="M463" s="216"/>
      <c r="N463" s="798"/>
      <c r="O463" s="798"/>
      <c r="P463" s="798"/>
      <c r="Q463" s="798"/>
      <c r="R463" s="798"/>
      <c r="S463" s="798"/>
      <c r="T463" s="798"/>
      <c r="U463" s="798"/>
      <c r="V463" s="798"/>
    </row>
    <row r="464" spans="1:22" s="667" customFormat="1">
      <c r="A464" s="216"/>
      <c r="B464" s="5" t="s">
        <v>111</v>
      </c>
      <c r="C464" s="26">
        <f>C370</f>
        <v>50806.397444481176</v>
      </c>
      <c r="D464" s="213"/>
      <c r="E464" s="216"/>
      <c r="F464" s="216"/>
      <c r="G464" s="216"/>
      <c r="H464" s="216"/>
      <c r="I464" s="216"/>
      <c r="J464" s="216"/>
      <c r="K464" s="216"/>
      <c r="L464" s="216"/>
      <c r="M464" s="216"/>
      <c r="N464" s="798"/>
      <c r="O464" s="798"/>
      <c r="P464" s="798"/>
      <c r="Q464" s="798"/>
      <c r="R464" s="798"/>
      <c r="S464" s="798"/>
      <c r="T464" s="798"/>
      <c r="U464" s="798"/>
      <c r="V464" s="798"/>
    </row>
    <row r="465" spans="1:22" s="667" customFormat="1">
      <c r="A465" s="216"/>
      <c r="B465" s="526" t="s">
        <v>2785</v>
      </c>
      <c r="C465" s="111">
        <f>SUM(cul_indir_mult_table)</f>
        <v>0.17</v>
      </c>
      <c r="D465" s="213"/>
      <c r="E465" s="216"/>
      <c r="F465" s="216"/>
      <c r="G465" s="216"/>
      <c r="H465" s="216"/>
      <c r="I465" s="216"/>
      <c r="J465" s="216"/>
      <c r="K465" s="216"/>
      <c r="L465" s="216"/>
      <c r="M465" s="216"/>
      <c r="N465" s="798"/>
      <c r="O465" s="798"/>
      <c r="P465" s="798"/>
      <c r="Q465" s="798"/>
      <c r="R465" s="798"/>
      <c r="S465" s="798"/>
      <c r="T465" s="798"/>
      <c r="U465" s="798"/>
      <c r="V465" s="798"/>
    </row>
    <row r="466" spans="1:22" s="667" customFormat="1">
      <c r="A466" s="216"/>
      <c r="B466" s="526" t="s">
        <v>2786</v>
      </c>
      <c r="C466" s="26">
        <f>SUM(cul_indir_add_table)-addon_cost</f>
        <v>303213.56246847776</v>
      </c>
      <c r="D466" s="213"/>
      <c r="E466" s="216"/>
      <c r="F466" s="216"/>
      <c r="G466" s="216"/>
      <c r="H466" s="216"/>
      <c r="I466" s="216"/>
      <c r="J466" s="216"/>
      <c r="K466" s="216"/>
      <c r="L466" s="216"/>
      <c r="M466" s="216"/>
      <c r="N466" s="798"/>
      <c r="O466" s="798"/>
      <c r="P466" s="798"/>
      <c r="Q466" s="798"/>
      <c r="R466" s="798"/>
      <c r="S466" s="798"/>
      <c r="T466" s="798"/>
      <c r="U466" s="798"/>
      <c r="V466" s="798"/>
    </row>
    <row r="467" spans="1:22" s="667" customFormat="1">
      <c r="A467" s="216"/>
      <c r="B467" s="1" t="s">
        <v>2787</v>
      </c>
      <c r="C467" s="16"/>
      <c r="D467" s="213"/>
      <c r="E467" s="216"/>
      <c r="F467" s="216"/>
      <c r="G467" s="216"/>
      <c r="H467" s="216"/>
      <c r="I467" s="216"/>
      <c r="J467" s="216"/>
      <c r="K467" s="216"/>
      <c r="L467" s="216"/>
      <c r="M467" s="216"/>
      <c r="N467" s="798"/>
      <c r="O467" s="798"/>
      <c r="P467" s="798"/>
      <c r="Q467" s="798"/>
      <c r="R467" s="798"/>
      <c r="S467" s="798"/>
      <c r="T467" s="798"/>
      <c r="U467" s="798"/>
      <c r="V467" s="798"/>
    </row>
    <row r="468" spans="1:22" s="667" customFormat="1">
      <c r="A468" s="216"/>
      <c r="B468" s="212"/>
      <c r="C468" s="216"/>
      <c r="D468" s="213"/>
      <c r="E468" s="216"/>
      <c r="F468" s="216"/>
      <c r="G468" s="216"/>
      <c r="H468" s="216"/>
      <c r="I468" s="216"/>
      <c r="J468" s="216"/>
      <c r="K468" s="216"/>
      <c r="L468" s="216"/>
      <c r="M468" s="216"/>
      <c r="N468" s="798"/>
      <c r="O468" s="798"/>
      <c r="P468" s="798"/>
      <c r="Q468" s="798"/>
      <c r="R468" s="798"/>
      <c r="S468" s="798"/>
      <c r="T468" s="798"/>
      <c r="U468" s="798"/>
      <c r="V468" s="798"/>
    </row>
    <row r="469" spans="1:22" s="667" customFormat="1">
      <c r="A469" s="216"/>
      <c r="B469" s="2" t="s">
        <v>2972</v>
      </c>
      <c r="C469" s="664" t="b">
        <f>INPUT!C32</f>
        <v>1</v>
      </c>
      <c r="D469" s="667" t="b">
        <f>INPUT!C38</f>
        <v>1</v>
      </c>
      <c r="E469" s="667" t="b">
        <f>INPUT!C52</f>
        <v>1</v>
      </c>
      <c r="F469" s="667" t="b">
        <f>INPUT!C53</f>
        <v>1</v>
      </c>
      <c r="G469" s="667" t="b">
        <f>INPUT!C54</f>
        <v>1</v>
      </c>
      <c r="H469" s="667" t="b">
        <f>INPUT!C55</f>
        <v>1</v>
      </c>
      <c r="I469" s="667" t="b">
        <f>INPUT!C57</f>
        <v>1</v>
      </c>
      <c r="J469" s="667" t="b">
        <f>INPUT!C65</f>
        <v>1</v>
      </c>
      <c r="K469" s="667" t="b">
        <f>INPUT!C83</f>
        <v>1</v>
      </c>
      <c r="M469" s="216"/>
      <c r="N469" s="798"/>
      <c r="O469" s="798"/>
      <c r="P469" s="798"/>
      <c r="Q469" s="798"/>
      <c r="R469" s="798"/>
      <c r="S469" s="798"/>
      <c r="T469" s="798"/>
      <c r="U469" s="798"/>
      <c r="V469" s="798"/>
    </row>
    <row r="470" spans="1:22" s="667" customFormat="1">
      <c r="A470" s="216"/>
      <c r="B470" s="2" t="s">
        <v>262</v>
      </c>
      <c r="C470" t="b">
        <f>IF(COUNTIF(use_column,"x")&gt;0,TRUE,FALSE)</f>
        <v>0</v>
      </c>
      <c r="D470" s="664"/>
      <c r="E470" s="664"/>
      <c r="F470" s="664"/>
      <c r="G470" s="664"/>
      <c r="H470" s="664"/>
      <c r="I470" s="664"/>
      <c r="J470" s="664"/>
      <c r="K470" s="664"/>
      <c r="L470" s="664"/>
      <c r="M470" s="216"/>
      <c r="N470" s="798"/>
      <c r="O470" s="798"/>
      <c r="P470" s="798"/>
      <c r="Q470" s="798"/>
      <c r="R470" s="798"/>
      <c r="S470" s="798"/>
      <c r="T470" s="798"/>
      <c r="U470" s="798"/>
      <c r="V470" s="798"/>
    </row>
    <row r="471" spans="1:22" s="667" customFormat="1">
      <c r="A471" s="216"/>
      <c r="B471" s="2" t="s">
        <v>1885</v>
      </c>
      <c r="C471" t="b">
        <f>IF(COUNTIF(use_column,"ec")+COUNTIF(use_column,"ep")&gt;0,TRUE,FALSE)</f>
        <v>0</v>
      </c>
      <c r="M471" s="216"/>
      <c r="N471" s="798"/>
      <c r="O471" s="798"/>
      <c r="P471" s="798"/>
      <c r="Q471" s="798"/>
      <c r="R471" s="798"/>
      <c r="S471" s="798"/>
      <c r="T471" s="798"/>
      <c r="U471" s="798"/>
      <c r="V471" s="798"/>
    </row>
    <row r="472" spans="1:22" s="667" customFormat="1">
      <c r="A472" s="216"/>
      <c r="B472" s="212"/>
      <c r="C472" s="216"/>
      <c r="D472" s="213"/>
      <c r="E472" s="216"/>
      <c r="F472" s="216"/>
      <c r="G472" s="216"/>
      <c r="H472" s="216"/>
      <c r="I472" s="216"/>
      <c r="J472" s="216"/>
      <c r="K472" s="216"/>
      <c r="L472" s="216"/>
      <c r="M472" s="216"/>
      <c r="N472" s="798"/>
      <c r="O472" s="798"/>
      <c r="P472" s="798"/>
      <c r="Q472" s="798"/>
      <c r="R472" s="798"/>
      <c r="S472" s="798"/>
      <c r="T472" s="798"/>
      <c r="U472" s="798"/>
      <c r="V472" s="798"/>
    </row>
    <row r="473" spans="1:22" s="667" customFormat="1">
      <c r="A473" s="216"/>
      <c r="B473" s="212"/>
      <c r="C473" s="216"/>
      <c r="D473" s="213"/>
      <c r="E473" s="216"/>
      <c r="F473" s="216"/>
      <c r="G473" s="216"/>
      <c r="H473" s="216"/>
      <c r="I473" s="216"/>
      <c r="J473" s="216"/>
      <c r="K473" s="216"/>
      <c r="L473" s="216"/>
      <c r="M473" s="216"/>
      <c r="N473" s="798"/>
      <c r="O473" s="798"/>
      <c r="P473" s="798"/>
      <c r="Q473" s="798"/>
      <c r="R473" s="798"/>
      <c r="S473" s="798"/>
      <c r="T473" s="798"/>
      <c r="U473" s="798"/>
      <c r="V473" s="798"/>
    </row>
    <row r="474" spans="1:22" s="667" customFormat="1">
      <c r="A474" s="216"/>
      <c r="B474" s="212"/>
      <c r="C474" s="216"/>
      <c r="D474" s="213"/>
      <c r="E474" s="216"/>
      <c r="F474" s="216"/>
      <c r="G474" s="216"/>
      <c r="H474" s="216"/>
      <c r="I474" s="216"/>
      <c r="J474" s="216"/>
      <c r="K474" s="216"/>
      <c r="L474" s="216"/>
      <c r="M474" s="216"/>
      <c r="N474" s="798"/>
      <c r="O474" s="798"/>
      <c r="P474" s="798"/>
      <c r="Q474" s="798"/>
      <c r="R474" s="798"/>
      <c r="S474" s="798"/>
      <c r="T474" s="798"/>
      <c r="U474" s="798"/>
      <c r="V474" s="798"/>
    </row>
    <row r="475" spans="1:22" s="667" customFormat="1">
      <c r="A475" s="216"/>
      <c r="B475" s="212"/>
      <c r="C475" s="216"/>
      <c r="D475" s="213"/>
      <c r="E475" s="216"/>
      <c r="F475" s="216"/>
      <c r="G475" s="216"/>
      <c r="H475" s="216"/>
      <c r="I475" s="216"/>
      <c r="J475" s="216"/>
      <c r="K475" s="216"/>
      <c r="L475" s="216"/>
      <c r="M475" s="216"/>
      <c r="N475" s="798"/>
      <c r="O475" s="798"/>
      <c r="P475" s="798"/>
      <c r="Q475" s="798"/>
      <c r="R475" s="798"/>
      <c r="S475" s="798"/>
      <c r="T475" s="798"/>
      <c r="U475" s="798"/>
      <c r="V475" s="798"/>
    </row>
    <row r="476" spans="1:22" s="667" customFormat="1">
      <c r="A476" s="216"/>
      <c r="B476" s="212"/>
      <c r="C476" s="216"/>
      <c r="D476" s="213"/>
      <c r="E476" s="216"/>
      <c r="F476" s="216"/>
      <c r="G476" s="216"/>
      <c r="H476" s="216"/>
      <c r="I476" s="216"/>
      <c r="J476" s="216"/>
      <c r="K476" s="216"/>
      <c r="L476" s="216"/>
      <c r="M476" s="216"/>
      <c r="N476" s="798"/>
      <c r="O476" s="798"/>
      <c r="P476" s="798"/>
      <c r="Q476" s="798"/>
      <c r="R476" s="798"/>
      <c r="S476" s="798"/>
      <c r="T476" s="798"/>
      <c r="U476" s="798"/>
      <c r="V476" s="798"/>
    </row>
    <row r="477" spans="1:22" s="667" customFormat="1">
      <c r="A477" s="216"/>
      <c r="B477" s="212"/>
      <c r="C477" s="216"/>
      <c r="D477" s="213"/>
      <c r="E477" s="216"/>
      <c r="F477" s="216"/>
      <c r="G477" s="216"/>
      <c r="H477" s="216"/>
      <c r="I477" s="216"/>
      <c r="J477" s="216"/>
      <c r="K477" s="216"/>
      <c r="L477" s="216"/>
      <c r="M477" s="216"/>
      <c r="N477" s="798"/>
      <c r="O477" s="798"/>
      <c r="P477" s="798"/>
      <c r="Q477" s="798"/>
      <c r="R477" s="798"/>
      <c r="S477" s="798"/>
      <c r="T477" s="798"/>
      <c r="U477" s="798"/>
      <c r="V477" s="798"/>
    </row>
    <row r="478" spans="1:22" s="667" customFormat="1">
      <c r="A478" s="216"/>
      <c r="B478" s="212"/>
      <c r="C478" s="216"/>
      <c r="D478" s="213"/>
      <c r="E478" s="216"/>
      <c r="F478" s="216"/>
      <c r="G478" s="216"/>
      <c r="H478" s="216"/>
      <c r="I478" s="216"/>
      <c r="J478" s="216"/>
      <c r="K478" s="216"/>
      <c r="L478" s="216"/>
      <c r="M478" s="216"/>
      <c r="N478" s="798"/>
      <c r="O478" s="798"/>
      <c r="P478" s="798"/>
      <c r="Q478" s="798"/>
      <c r="R478" s="798"/>
      <c r="S478" s="798"/>
      <c r="T478" s="798"/>
      <c r="U478" s="798"/>
      <c r="V478" s="798"/>
    </row>
    <row r="479" spans="1:22" s="667" customFormat="1">
      <c r="A479" s="216"/>
      <c r="B479" s="212"/>
      <c r="C479" s="216"/>
      <c r="D479" s="213"/>
      <c r="E479" s="216"/>
      <c r="F479" s="216"/>
      <c r="G479" s="216"/>
      <c r="H479" s="216"/>
      <c r="I479" s="216"/>
      <c r="J479" s="216"/>
      <c r="K479" s="216"/>
      <c r="L479" s="216"/>
      <c r="M479" s="216"/>
      <c r="N479" s="798"/>
      <c r="O479" s="798"/>
      <c r="P479" s="798"/>
      <c r="Q479" s="798"/>
      <c r="R479" s="798"/>
      <c r="S479" s="798"/>
      <c r="T479" s="798"/>
      <c r="U479" s="798"/>
      <c r="V479" s="798"/>
    </row>
    <row r="480" spans="1:22" s="667" customFormat="1">
      <c r="A480" s="216"/>
      <c r="B480" s="212"/>
      <c r="C480" s="216"/>
      <c r="D480" s="213"/>
      <c r="E480" s="216"/>
      <c r="F480" s="216"/>
      <c r="G480" s="216"/>
      <c r="H480" s="216"/>
      <c r="I480" s="216"/>
      <c r="J480" s="216"/>
      <c r="K480" s="216"/>
      <c r="L480" s="216"/>
      <c r="M480" s="216"/>
      <c r="N480" s="798"/>
      <c r="O480" s="798"/>
      <c r="P480" s="798"/>
      <c r="Q480" s="798"/>
      <c r="R480" s="798"/>
      <c r="S480" s="798"/>
      <c r="T480" s="798"/>
      <c r="U480" s="798"/>
      <c r="V480" s="798"/>
    </row>
    <row r="481" spans="1:22" s="667" customFormat="1">
      <c r="A481" s="216"/>
      <c r="B481" s="212"/>
      <c r="C481" s="216"/>
      <c r="D481" s="213"/>
      <c r="E481" s="216"/>
      <c r="F481" s="216"/>
      <c r="G481" s="216"/>
      <c r="H481" s="216"/>
      <c r="I481" s="216"/>
      <c r="J481" s="216"/>
      <c r="K481" s="216"/>
      <c r="L481" s="216"/>
      <c r="M481" s="216"/>
      <c r="N481" s="798"/>
      <c r="O481" s="798"/>
      <c r="P481" s="798"/>
      <c r="Q481" s="798"/>
      <c r="R481" s="798"/>
      <c r="S481" s="798"/>
      <c r="T481" s="798"/>
      <c r="U481" s="798"/>
      <c r="V481" s="798"/>
    </row>
    <row r="482" spans="1:22" s="667" customFormat="1">
      <c r="A482" s="216"/>
      <c r="B482" s="212"/>
      <c r="C482" s="216"/>
      <c r="D482" s="213"/>
      <c r="E482" s="216"/>
      <c r="F482" s="216"/>
      <c r="G482" s="216"/>
      <c r="H482" s="216"/>
      <c r="I482" s="216"/>
      <c r="J482" s="216"/>
      <c r="K482" s="216"/>
      <c r="L482" s="216"/>
      <c r="M482" s="216"/>
      <c r="N482" s="798"/>
      <c r="O482" s="798"/>
      <c r="P482" s="798"/>
      <c r="Q482" s="798"/>
      <c r="R482" s="798"/>
      <c r="S482" s="798"/>
      <c r="T482" s="798"/>
      <c r="U482" s="798"/>
      <c r="V482" s="798"/>
    </row>
    <row r="483" spans="1:22" s="667" customFormat="1">
      <c r="A483" s="216"/>
      <c r="B483" s="212"/>
      <c r="C483" s="216"/>
      <c r="D483" s="213"/>
      <c r="E483" s="216"/>
      <c r="F483" s="216"/>
      <c r="G483" s="216"/>
      <c r="H483" s="216"/>
      <c r="I483" s="216"/>
      <c r="J483" s="216"/>
      <c r="K483" s="216"/>
      <c r="L483" s="216"/>
      <c r="M483" s="216"/>
      <c r="N483" s="798"/>
      <c r="O483" s="798"/>
      <c r="P483" s="798"/>
      <c r="Q483" s="798"/>
      <c r="R483" s="798"/>
      <c r="S483" s="798"/>
      <c r="T483" s="798"/>
      <c r="U483" s="798"/>
      <c r="V483" s="798"/>
    </row>
    <row r="484" spans="1:22" s="667" customFormat="1">
      <c r="A484" s="216"/>
      <c r="B484" s="212"/>
      <c r="C484" s="216"/>
      <c r="D484" s="213"/>
      <c r="E484" s="216"/>
      <c r="F484" s="216"/>
      <c r="G484" s="216"/>
      <c r="H484" s="216"/>
      <c r="I484" s="216"/>
      <c r="J484" s="216"/>
      <c r="K484" s="216"/>
      <c r="L484" s="216"/>
      <c r="M484" s="216"/>
      <c r="N484" s="798"/>
      <c r="O484" s="798"/>
      <c r="P484" s="798"/>
      <c r="Q484" s="798"/>
      <c r="R484" s="798"/>
      <c r="S484" s="798"/>
      <c r="T484" s="798"/>
      <c r="U484" s="798"/>
      <c r="V484" s="798"/>
    </row>
    <row r="485" spans="1:22" s="667" customFormat="1">
      <c r="A485" s="216"/>
      <c r="B485" s="212"/>
      <c r="C485" s="216"/>
      <c r="D485" s="213"/>
      <c r="E485" s="216"/>
      <c r="F485" s="216"/>
      <c r="G485" s="216"/>
      <c r="H485" s="216"/>
      <c r="I485" s="216"/>
      <c r="J485" s="216"/>
      <c r="K485" s="216"/>
      <c r="L485" s="216"/>
      <c r="M485" s="216"/>
      <c r="N485" s="798"/>
      <c r="O485" s="798"/>
      <c r="P485" s="798"/>
      <c r="Q485" s="798"/>
      <c r="R485" s="798"/>
      <c r="S485" s="798"/>
      <c r="T485" s="798"/>
      <c r="U485" s="798"/>
      <c r="V485" s="798"/>
    </row>
    <row r="486" spans="1:22" s="667" customFormat="1">
      <c r="A486" s="216"/>
      <c r="B486" s="212"/>
      <c r="C486" s="216"/>
      <c r="D486" s="213"/>
      <c r="E486" s="216"/>
      <c r="F486" s="216"/>
      <c r="G486" s="216"/>
      <c r="H486" s="216"/>
      <c r="I486" s="216"/>
      <c r="J486" s="216"/>
      <c r="K486" s="216"/>
      <c r="L486" s="216"/>
      <c r="M486" s="216"/>
      <c r="N486" s="798"/>
      <c r="O486" s="798"/>
      <c r="P486" s="798"/>
      <c r="Q486" s="798"/>
      <c r="R486" s="798"/>
      <c r="S486" s="798"/>
      <c r="T486" s="798"/>
      <c r="U486" s="798"/>
      <c r="V486" s="798"/>
    </row>
    <row r="487" spans="1:22" s="667" customFormat="1">
      <c r="A487" s="216"/>
      <c r="B487" s="212"/>
      <c r="C487" s="216"/>
      <c r="D487" s="213"/>
      <c r="E487" s="216"/>
      <c r="F487" s="216"/>
      <c r="G487" s="216"/>
      <c r="H487" s="216"/>
      <c r="I487" s="216"/>
      <c r="J487" s="216"/>
      <c r="K487" s="216"/>
      <c r="L487" s="216"/>
      <c r="M487" s="216"/>
      <c r="N487" s="798"/>
      <c r="O487" s="798"/>
      <c r="P487" s="798"/>
      <c r="Q487" s="798"/>
      <c r="R487" s="798"/>
      <c r="S487" s="798"/>
      <c r="T487" s="798"/>
      <c r="U487" s="798"/>
      <c r="V487" s="798"/>
    </row>
    <row r="488" spans="1:22" s="667" customFormat="1">
      <c r="A488" s="216"/>
      <c r="B488" s="212"/>
      <c r="C488" s="216"/>
      <c r="D488" s="213"/>
      <c r="E488" s="216"/>
      <c r="F488" s="216"/>
      <c r="G488" s="216"/>
      <c r="H488" s="216"/>
      <c r="I488" s="216"/>
      <c r="J488" s="216"/>
      <c r="K488" s="216"/>
      <c r="L488" s="216"/>
      <c r="M488" s="216"/>
      <c r="N488" s="798"/>
      <c r="O488" s="798"/>
      <c r="P488" s="798"/>
      <c r="Q488" s="798"/>
      <c r="R488" s="798"/>
      <c r="S488" s="798"/>
      <c r="T488" s="798"/>
      <c r="U488" s="798"/>
      <c r="V488" s="798"/>
    </row>
    <row r="489" spans="1:22" s="667" customFormat="1">
      <c r="A489" s="216"/>
      <c r="B489" s="212"/>
      <c r="C489" s="216"/>
      <c r="D489" s="213"/>
      <c r="E489" s="216"/>
      <c r="F489" s="216"/>
      <c r="G489" s="216"/>
      <c r="H489" s="216"/>
      <c r="I489" s="216"/>
      <c r="J489" s="216"/>
      <c r="K489" s="216"/>
      <c r="L489" s="216"/>
      <c r="M489" s="216"/>
      <c r="N489" s="798"/>
      <c r="O489" s="798"/>
      <c r="P489" s="798"/>
      <c r="Q489" s="798"/>
      <c r="R489" s="798"/>
      <c r="S489" s="798"/>
      <c r="T489" s="798"/>
      <c r="U489" s="798"/>
      <c r="V489" s="798"/>
    </row>
    <row r="490" spans="1:22" s="667" customFormat="1">
      <c r="A490" s="216"/>
      <c r="B490" s="212"/>
      <c r="C490" s="216"/>
      <c r="D490" s="213"/>
      <c r="E490" s="216"/>
      <c r="F490" s="216"/>
      <c r="G490" s="216"/>
      <c r="H490" s="216"/>
      <c r="I490" s="216"/>
      <c r="J490" s="216"/>
      <c r="K490" s="216"/>
      <c r="L490" s="216"/>
      <c r="M490" s="216"/>
      <c r="N490" s="798"/>
      <c r="O490" s="798"/>
      <c r="P490" s="798"/>
      <c r="Q490" s="798"/>
      <c r="R490" s="798"/>
      <c r="S490" s="798"/>
      <c r="T490" s="798"/>
      <c r="U490" s="798"/>
      <c r="V490" s="798"/>
    </row>
    <row r="491" spans="1:22" s="667" customFormat="1">
      <c r="A491" s="216"/>
      <c r="B491" s="212"/>
      <c r="C491" s="216"/>
      <c r="D491" s="213"/>
      <c r="E491" s="216"/>
      <c r="F491" s="216"/>
      <c r="G491" s="216"/>
      <c r="H491" s="216"/>
      <c r="I491" s="216"/>
      <c r="J491" s="216"/>
      <c r="K491" s="216"/>
      <c r="L491" s="216"/>
      <c r="M491" s="216"/>
      <c r="N491" s="798"/>
      <c r="O491" s="798"/>
      <c r="P491" s="798"/>
      <c r="Q491" s="798"/>
      <c r="R491" s="798"/>
      <c r="S491" s="798"/>
      <c r="T491" s="798"/>
      <c r="U491" s="798"/>
      <c r="V491" s="798"/>
    </row>
    <row r="492" spans="1:22" s="667" customFormat="1">
      <c r="A492" s="216"/>
      <c r="B492" s="212"/>
      <c r="C492" s="216"/>
      <c r="D492" s="213"/>
      <c r="E492" s="216"/>
      <c r="F492" s="216"/>
      <c r="G492" s="216"/>
      <c r="H492" s="216"/>
      <c r="I492" s="216"/>
      <c r="J492" s="216"/>
      <c r="K492" s="216"/>
      <c r="L492" s="216"/>
      <c r="M492" s="216"/>
      <c r="N492" s="798"/>
      <c r="O492" s="798"/>
      <c r="P492" s="798"/>
      <c r="Q492" s="798"/>
      <c r="R492" s="798"/>
      <c r="S492" s="798"/>
      <c r="T492" s="798"/>
      <c r="U492" s="798"/>
      <c r="V492" s="798"/>
    </row>
    <row r="493" spans="1:22" s="667" customFormat="1">
      <c r="A493" s="216"/>
      <c r="B493" s="212"/>
      <c r="C493" s="216"/>
      <c r="D493" s="213"/>
      <c r="E493" s="216"/>
      <c r="F493" s="216"/>
      <c r="G493" s="216"/>
      <c r="H493" s="216"/>
      <c r="I493" s="216"/>
      <c r="J493" s="216"/>
      <c r="K493" s="216"/>
      <c r="L493" s="216"/>
      <c r="M493" s="216"/>
      <c r="N493" s="798"/>
      <c r="O493" s="798"/>
      <c r="P493" s="798"/>
      <c r="Q493" s="798"/>
      <c r="R493" s="798"/>
      <c r="S493" s="798"/>
      <c r="T493" s="798"/>
      <c r="U493" s="798"/>
      <c r="V493" s="798"/>
    </row>
    <row r="494" spans="1:22" s="667" customFormat="1">
      <c r="A494" s="216"/>
      <c r="B494" s="212"/>
      <c r="C494" s="216"/>
      <c r="D494" s="213"/>
      <c r="E494" s="216"/>
      <c r="F494" s="216"/>
      <c r="G494" s="216"/>
      <c r="H494" s="216"/>
      <c r="I494" s="216"/>
      <c r="J494" s="216"/>
      <c r="K494" s="216"/>
      <c r="L494" s="216"/>
      <c r="M494" s="216"/>
      <c r="N494" s="798"/>
      <c r="O494" s="798"/>
      <c r="P494" s="798"/>
      <c r="Q494" s="798"/>
      <c r="R494" s="798"/>
      <c r="S494" s="798"/>
      <c r="T494" s="798"/>
      <c r="U494" s="798"/>
      <c r="V494" s="798"/>
    </row>
    <row r="495" spans="1:22" s="667" customFormat="1">
      <c r="A495" s="216"/>
      <c r="B495" s="212"/>
      <c r="C495" s="216"/>
      <c r="D495" s="213"/>
      <c r="E495" s="216"/>
      <c r="F495" s="216"/>
      <c r="G495" s="216"/>
      <c r="H495" s="216"/>
      <c r="I495" s="216"/>
      <c r="J495" s="216"/>
      <c r="K495" s="216"/>
      <c r="L495" s="216"/>
      <c r="M495" s="216"/>
      <c r="N495" s="798"/>
      <c r="O495" s="798"/>
      <c r="P495" s="798"/>
      <c r="Q495" s="798"/>
      <c r="R495" s="798"/>
      <c r="S495" s="798"/>
      <c r="T495" s="798"/>
      <c r="U495" s="798"/>
      <c r="V495" s="798"/>
    </row>
    <row r="496" spans="1:22" s="667" customFormat="1">
      <c r="A496" s="216"/>
      <c r="B496" s="212"/>
      <c r="C496" s="216"/>
      <c r="D496" s="213"/>
      <c r="E496" s="216"/>
      <c r="F496" s="216"/>
      <c r="G496" s="216"/>
      <c r="H496" s="216"/>
      <c r="I496" s="216"/>
      <c r="J496" s="216"/>
      <c r="K496" s="216"/>
      <c r="L496" s="216"/>
      <c r="M496" s="216"/>
      <c r="N496" s="798"/>
      <c r="O496" s="798"/>
      <c r="P496" s="798"/>
      <c r="Q496" s="798"/>
      <c r="R496" s="798"/>
      <c r="S496" s="798"/>
      <c r="T496" s="798"/>
      <c r="U496" s="798"/>
      <c r="V496" s="798"/>
    </row>
    <row r="497" spans="1:22" s="667" customFormat="1">
      <c r="A497" s="216"/>
      <c r="B497" s="212"/>
      <c r="C497" s="216"/>
      <c r="D497" s="213"/>
      <c r="E497" s="216"/>
      <c r="F497" s="216"/>
      <c r="G497" s="216"/>
      <c r="H497" s="216"/>
      <c r="I497" s="216"/>
      <c r="J497" s="216"/>
      <c r="K497" s="216"/>
      <c r="L497" s="216"/>
      <c r="M497" s="216"/>
      <c r="N497" s="798"/>
      <c r="O497" s="798"/>
      <c r="P497" s="798"/>
      <c r="Q497" s="798"/>
      <c r="R497" s="798"/>
      <c r="S497" s="798"/>
      <c r="T497" s="798"/>
      <c r="U497" s="798"/>
      <c r="V497" s="798"/>
    </row>
  </sheetData>
  <mergeCells count="15">
    <mergeCell ref="I391:L391"/>
    <mergeCell ref="C387:D387"/>
    <mergeCell ref="L30:L32"/>
    <mergeCell ref="E387:F387"/>
    <mergeCell ref="E30:F32"/>
    <mergeCell ref="G30:H32"/>
    <mergeCell ref="I30:I32"/>
    <mergeCell ref="J30:J32"/>
    <mergeCell ref="K30:K32"/>
    <mergeCell ref="A30:A32"/>
    <mergeCell ref="B30:B32"/>
    <mergeCell ref="C30:D32"/>
    <mergeCell ref="N30:V30"/>
    <mergeCell ref="W30:X31"/>
    <mergeCell ref="M30:M32"/>
  </mergeCells>
  <phoneticPr fontId="0" type="noConversion"/>
  <conditionalFormatting sqref="A82:B82 A39:K39 A127:A130 A90:K92 A94:K98 A85:K88 L339:L343 A111:K113 A243:K244 A34:K37 A272:A280 A42:K44 K274:K280 A105:K109 B271:K272 A222:B224 A342:A343 A298:K301 A283:K291 A338:D339 A241 A226:K228 E338:K343 A115:K118 C77:K79 A200:B204 A304:B307 A329:B331 A309:B313 A315:B316 A318:B321 A323:B327 A239:B240 A100:K103 B78:B79 A119:A122 B274:I280 C215:K224 A215:B216 A218:B220 A46:K48 B80:K80 C119:K122 C302:K331 A52:K56 A333:K336 C340:D340 C59:K64 A133:K148 A154:K172 A178:K191 A197:K198 C238:K241 A266:K270 A68:K71 A60:B62 B63:B64 C199:K204 C126:K130 A150:K152 A174:K176 A193:K195 C208:K212 A209:B212 A293:K296">
    <cfRule type="expression" dxfId="1861" priority="102" stopIfTrue="1">
      <formula>IF(OR($L34=0,NOT(ISNUMBER($L34))),TRUE,FALSE)</formula>
    </cfRule>
  </conditionalFormatting>
  <conditionalFormatting sqref="B389:H391 B407:H407 B398 B405:H405 B409:H413 G429:H429 B425:H428 B393:H397 B415:H416 B418:H423 H398 B400:H401 B403:H403">
    <cfRule type="expression" dxfId="1860" priority="103" stopIfTrue="1">
      <formula>IF(OR($H389=0,NOT(ISNUMBER($H389))),TRUE,FALSE)</formula>
    </cfRule>
  </conditionalFormatting>
  <conditionalFormatting sqref="B241 C82:K82 A262:K265 C77 A247:K250 A252:K255 A257:K260 B119:B122 C126 D126:K130 B127:B130 D150:K152 B150:B152 F174:K176 B174:D176 J274:J280 C208 D208:K212 B209:B212 B78:B80 D77:L80">
    <cfRule type="expression" dxfId="1859" priority="104" stopIfTrue="1">
      <formula>IF(OR($L77=0,NOT(ISNUMBER($L77))),TRUE,FALSE)</formula>
    </cfRule>
  </conditionalFormatting>
  <conditionalFormatting sqref="L82 L252:L255 L247:L250 L257:L260 L262:L265">
    <cfRule type="cellIs" dxfId="1858" priority="105" stopIfTrue="1" operator="equal">
      <formula>0</formula>
    </cfRule>
    <cfRule type="expression" dxfId="1857" priority="106" stopIfTrue="1">
      <formula>OR($L82="x",$L82="ec",$L82="ep")</formula>
    </cfRule>
  </conditionalFormatting>
  <conditionalFormatting sqref="C398:G398">
    <cfRule type="expression" dxfId="1856" priority="107" stopIfTrue="1">
      <formula>IF(OR($H398=0,NOT(ISNUMBER($H398))),TRUE,FALSE)</formula>
    </cfRule>
  </conditionalFormatting>
  <conditionalFormatting sqref="L81 L34:L48 L51:L56 L59:L64 L67:L71 L83:L118 L131:L148 L153:L172 L177:L191 L196:L204 L213:L228 L237:L245 L266:L338">
    <cfRule type="cellIs" dxfId="1855" priority="108" stopIfTrue="1" operator="equal">
      <formula>0</formula>
    </cfRule>
    <cfRule type="cellIs" dxfId="1854" priority="109" stopIfTrue="1" operator="equal">
      <formula>"x"</formula>
    </cfRule>
  </conditionalFormatting>
  <conditionalFormatting sqref="L119:L122 L150:L152 L174:L176 L193:L195 L208:L212 L77:L80 L126:L130">
    <cfRule type="cellIs" dxfId="1853" priority="110" stopIfTrue="1" operator="equal">
      <formula>0</formula>
    </cfRule>
    <cfRule type="cellIs" dxfId="1852" priority="111" stopIfTrue="1" operator="equal">
      <formula>"x"</formula>
    </cfRule>
  </conditionalFormatting>
  <conditionalFormatting sqref="C19:C22 C24:C27">
    <cfRule type="expression" dxfId="1851" priority="112" stopIfTrue="1">
      <formula>NOT(ISNUMBER(C19))</formula>
    </cfRule>
  </conditionalFormatting>
  <conditionalFormatting sqref="L126:L130 L150:L152 L174:L176 L208:L212 L77:L80">
    <cfRule type="cellIs" dxfId="1850" priority="124" stopIfTrue="1" operator="equal">
      <formula>0</formula>
    </cfRule>
    <cfRule type="cellIs" dxfId="1849" priority="125" stopIfTrue="1" operator="equal">
      <formula>"x"</formula>
    </cfRule>
  </conditionalFormatting>
  <conditionalFormatting sqref="B340">
    <cfRule type="expression" dxfId="1848" priority="88" stopIfTrue="1">
      <formula>IF(OR($L340=0,NOT(ISNUMBER($L340))),TRUE,FALSE)</formula>
    </cfRule>
  </conditionalFormatting>
  <conditionalFormatting sqref="C23">
    <cfRule type="expression" dxfId="1847" priority="86" stopIfTrue="1">
      <formula>NOT(ISNUMBER(C23))</formula>
    </cfRule>
  </conditionalFormatting>
  <conditionalFormatting sqref="A49:K49">
    <cfRule type="expression" dxfId="1846" priority="83" stopIfTrue="1">
      <formula>IF(OR($L49=0,NOT(ISNUMBER($L49))),TRUE,FALSE)</formula>
    </cfRule>
  </conditionalFormatting>
  <conditionalFormatting sqref="L49">
    <cfRule type="cellIs" dxfId="1845" priority="84" stopIfTrue="1" operator="equal">
      <formula>0</formula>
    </cfRule>
    <cfRule type="cellIs" dxfId="1844" priority="85" stopIfTrue="1" operator="equal">
      <formula>"x"</formula>
    </cfRule>
  </conditionalFormatting>
  <conditionalFormatting sqref="A50:K50">
    <cfRule type="expression" dxfId="1843" priority="80" stopIfTrue="1">
      <formula>IF(OR($L50=0,NOT(ISNUMBER($L50))),TRUE,FALSE)</formula>
    </cfRule>
  </conditionalFormatting>
  <conditionalFormatting sqref="L50">
    <cfRule type="cellIs" dxfId="1842" priority="81" stopIfTrue="1" operator="equal">
      <formula>0</formula>
    </cfRule>
    <cfRule type="cellIs" dxfId="1841" priority="82" stopIfTrue="1" operator="equal">
      <formula>"x"</formula>
    </cfRule>
  </conditionalFormatting>
  <conditionalFormatting sqref="A57:K57">
    <cfRule type="expression" dxfId="1840" priority="71" stopIfTrue="1">
      <formula>IF(OR($L57=0,NOT(ISNUMBER($L57))),TRUE,FALSE)</formula>
    </cfRule>
  </conditionalFormatting>
  <conditionalFormatting sqref="L57">
    <cfRule type="cellIs" dxfId="1839" priority="72" stopIfTrue="1" operator="equal">
      <formula>0</formula>
    </cfRule>
    <cfRule type="cellIs" dxfId="1838" priority="73" stopIfTrue="1" operator="equal">
      <formula>"x"</formula>
    </cfRule>
  </conditionalFormatting>
  <conditionalFormatting sqref="A58:K58">
    <cfRule type="expression" dxfId="1837" priority="68" stopIfTrue="1">
      <formula>IF(OR($L58=0,NOT(ISNUMBER($L58))),TRUE,FALSE)</formula>
    </cfRule>
  </conditionalFormatting>
  <conditionalFormatting sqref="L58">
    <cfRule type="cellIs" dxfId="1836" priority="69" stopIfTrue="1" operator="equal">
      <formula>0</formula>
    </cfRule>
    <cfRule type="cellIs" dxfId="1835" priority="70" stopIfTrue="1" operator="equal">
      <formula>"x"</formula>
    </cfRule>
  </conditionalFormatting>
  <conditionalFormatting sqref="B65:K65">
    <cfRule type="expression" dxfId="1834" priority="65" stopIfTrue="1">
      <formula>IF(OR($L65=0,NOT(ISNUMBER($L65))),TRUE,FALSE)</formula>
    </cfRule>
  </conditionalFormatting>
  <conditionalFormatting sqref="L65">
    <cfRule type="cellIs" dxfId="1833" priority="66" stopIfTrue="1" operator="equal">
      <formula>0</formula>
    </cfRule>
    <cfRule type="cellIs" dxfId="1832" priority="67" stopIfTrue="1" operator="equal">
      <formula>"x"</formula>
    </cfRule>
  </conditionalFormatting>
  <conditionalFormatting sqref="B66:K66">
    <cfRule type="expression" dxfId="1831" priority="62" stopIfTrue="1">
      <formula>IF(OR($L66=0,NOT(ISNUMBER($L66))),TRUE,FALSE)</formula>
    </cfRule>
  </conditionalFormatting>
  <conditionalFormatting sqref="L66">
    <cfRule type="cellIs" dxfId="1830" priority="63" stopIfTrue="1" operator="equal">
      <formula>0</formula>
    </cfRule>
    <cfRule type="cellIs" dxfId="1829" priority="64" stopIfTrue="1" operator="equal">
      <formula>"x"</formula>
    </cfRule>
  </conditionalFormatting>
  <conditionalFormatting sqref="B402:F402 H402">
    <cfRule type="expression" dxfId="1828" priority="60" stopIfTrue="1">
      <formula>IF(OR($H402=0,NOT(ISNUMBER($H402))),TRUE,FALSE)</formula>
    </cfRule>
  </conditionalFormatting>
  <conditionalFormatting sqref="G402">
    <cfRule type="expression" dxfId="1827" priority="59" stopIfTrue="1">
      <formula>IF(OR($H402=0,NOT(ISNUMBER($H402))),TRUE,FALSE)</formula>
    </cfRule>
  </conditionalFormatting>
  <conditionalFormatting sqref="A78:A80">
    <cfRule type="expression" dxfId="1826" priority="58" stopIfTrue="1">
      <formula>IF(OR($L78=0,NOT(ISNUMBER($L78))),TRUE,FALSE)</formula>
    </cfRule>
  </conditionalFormatting>
  <conditionalFormatting sqref="A63:A64">
    <cfRule type="expression" dxfId="1825" priority="57" stopIfTrue="1">
      <formula>IF(OR($L63=0,NOT(ISNUMBER($L63))),TRUE,FALSE)</formula>
    </cfRule>
  </conditionalFormatting>
  <conditionalFormatting sqref="A65">
    <cfRule type="expression" dxfId="1824" priority="56" stopIfTrue="1">
      <formula>IF(OR($L65=0,NOT(ISNUMBER($L65))),TRUE,FALSE)</formula>
    </cfRule>
  </conditionalFormatting>
  <conditionalFormatting sqref="A66">
    <cfRule type="expression" dxfId="1823" priority="55" stopIfTrue="1">
      <formula>IF(OR($L66=0,NOT(ISNUMBER($L66))),TRUE,FALSE)</formula>
    </cfRule>
  </conditionalFormatting>
  <conditionalFormatting sqref="C72:K74 B73:B74">
    <cfRule type="expression" dxfId="1822" priority="49" stopIfTrue="1">
      <formula>IF(OR($L72=0,NOT(ISNUMBER($L72))),TRUE,FALSE)</formula>
    </cfRule>
  </conditionalFormatting>
  <conditionalFormatting sqref="C72 B73:B74 D72:L74">
    <cfRule type="expression" dxfId="1821" priority="50" stopIfTrue="1">
      <formula>IF(OR($L72=0,NOT(ISNUMBER($L72))),TRUE,FALSE)</formula>
    </cfRule>
  </conditionalFormatting>
  <conditionalFormatting sqref="L72:L74">
    <cfRule type="cellIs" dxfId="1820" priority="51" stopIfTrue="1" operator="equal">
      <formula>0</formula>
    </cfRule>
    <cfRule type="cellIs" dxfId="1819" priority="52" stopIfTrue="1" operator="equal">
      <formula>"x"</formula>
    </cfRule>
  </conditionalFormatting>
  <conditionalFormatting sqref="L72:L74">
    <cfRule type="cellIs" dxfId="1818" priority="53" stopIfTrue="1" operator="equal">
      <formula>0</formula>
    </cfRule>
    <cfRule type="cellIs" dxfId="1817" priority="54" stopIfTrue="1" operator="equal">
      <formula>"x"</formula>
    </cfRule>
  </conditionalFormatting>
  <conditionalFormatting sqref="A73:A74">
    <cfRule type="expression" dxfId="1816" priority="48" stopIfTrue="1">
      <formula>IF(OR($L73=0,NOT(ISNUMBER($L73))),TRUE,FALSE)</formula>
    </cfRule>
  </conditionalFormatting>
  <conditionalFormatting sqref="B75:K75">
    <cfRule type="expression" dxfId="1815" priority="45" stopIfTrue="1">
      <formula>IF(OR($L75=0,NOT(ISNUMBER($L75))),TRUE,FALSE)</formula>
    </cfRule>
  </conditionalFormatting>
  <conditionalFormatting sqref="L75">
    <cfRule type="cellIs" dxfId="1814" priority="46" stopIfTrue="1" operator="equal">
      <formula>0</formula>
    </cfRule>
    <cfRule type="cellIs" dxfId="1813" priority="47" stopIfTrue="1" operator="equal">
      <formula>"x"</formula>
    </cfRule>
  </conditionalFormatting>
  <conditionalFormatting sqref="B76:K76">
    <cfRule type="expression" dxfId="1812" priority="42" stopIfTrue="1">
      <formula>IF(OR($L76=0,NOT(ISNUMBER($L76))),TRUE,FALSE)</formula>
    </cfRule>
  </conditionalFormatting>
  <conditionalFormatting sqref="L76">
    <cfRule type="cellIs" dxfId="1811" priority="43" stopIfTrue="1" operator="equal">
      <formula>0</formula>
    </cfRule>
    <cfRule type="cellIs" dxfId="1810" priority="44" stopIfTrue="1" operator="equal">
      <formula>"x"</formula>
    </cfRule>
  </conditionalFormatting>
  <conditionalFormatting sqref="A75">
    <cfRule type="expression" dxfId="1809" priority="41" stopIfTrue="1">
      <formula>IF(OR($L75=0,NOT(ISNUMBER($L75))),TRUE,FALSE)</formula>
    </cfRule>
  </conditionalFormatting>
  <conditionalFormatting sqref="A76">
    <cfRule type="expression" dxfId="1808" priority="40" stopIfTrue="1">
      <formula>IF(OR($L76=0,NOT(ISNUMBER($L76))),TRUE,FALSE)</formula>
    </cfRule>
  </conditionalFormatting>
  <conditionalFormatting sqref="A124:A125 C123:K125">
    <cfRule type="expression" dxfId="1807" priority="34" stopIfTrue="1">
      <formula>IF(OR($L123=0,NOT(ISNUMBER($L123))),TRUE,FALSE)</formula>
    </cfRule>
  </conditionalFormatting>
  <conditionalFormatting sqref="C123 D123:K125 B124:B125">
    <cfRule type="expression" dxfId="1806" priority="35" stopIfTrue="1">
      <formula>IF(OR($L123=0,NOT(ISNUMBER($L123))),TRUE,FALSE)</formula>
    </cfRule>
  </conditionalFormatting>
  <conditionalFormatting sqref="L123:L125">
    <cfRule type="cellIs" dxfId="1805" priority="36" stopIfTrue="1" operator="equal">
      <formula>0</formula>
    </cfRule>
    <cfRule type="cellIs" dxfId="1804" priority="37" stopIfTrue="1" operator="equal">
      <formula>"x"</formula>
    </cfRule>
  </conditionalFormatting>
  <conditionalFormatting sqref="L123:L125">
    <cfRule type="cellIs" dxfId="1803" priority="38" stopIfTrue="1" operator="equal">
      <formula>0</formula>
    </cfRule>
    <cfRule type="cellIs" dxfId="1802" priority="39" stopIfTrue="1" operator="equal">
      <formula>"x"</formula>
    </cfRule>
  </conditionalFormatting>
  <conditionalFormatting sqref="A149:K149">
    <cfRule type="expression" dxfId="1801" priority="28" stopIfTrue="1">
      <formula>IF(OR($L149=0,NOT(ISNUMBER($L149))),TRUE,FALSE)</formula>
    </cfRule>
  </conditionalFormatting>
  <conditionalFormatting sqref="D149:K149 B149">
    <cfRule type="expression" dxfId="1800" priority="29" stopIfTrue="1">
      <formula>IF(OR($L149=0,NOT(ISNUMBER($L149))),TRUE,FALSE)</formula>
    </cfRule>
  </conditionalFormatting>
  <conditionalFormatting sqref="L149">
    <cfRule type="cellIs" dxfId="1799" priority="30" stopIfTrue="1" operator="equal">
      <formula>0</formula>
    </cfRule>
    <cfRule type="cellIs" dxfId="1798" priority="31" stopIfTrue="1" operator="equal">
      <formula>"x"</formula>
    </cfRule>
  </conditionalFormatting>
  <conditionalFormatting sqref="L149">
    <cfRule type="cellIs" dxfId="1797" priority="32" stopIfTrue="1" operator="equal">
      <formula>0</formula>
    </cfRule>
    <cfRule type="cellIs" dxfId="1796" priority="33" stopIfTrue="1" operator="equal">
      <formula>"x"</formula>
    </cfRule>
  </conditionalFormatting>
  <conditionalFormatting sqref="A173:K173">
    <cfRule type="expression" dxfId="1795" priority="22" stopIfTrue="1">
      <formula>IF(OR($L173=0,NOT(ISNUMBER($L173))),TRUE,FALSE)</formula>
    </cfRule>
  </conditionalFormatting>
  <conditionalFormatting sqref="F173:K173 B173:D173">
    <cfRule type="expression" dxfId="1794" priority="23" stopIfTrue="1">
      <formula>IF(OR($L173=0,NOT(ISNUMBER($L173))),TRUE,FALSE)</formula>
    </cfRule>
  </conditionalFormatting>
  <conditionalFormatting sqref="L173">
    <cfRule type="cellIs" dxfId="1793" priority="24" stopIfTrue="1" operator="equal">
      <formula>0</formula>
    </cfRule>
    <cfRule type="cellIs" dxfId="1792" priority="25" stopIfTrue="1" operator="equal">
      <formula>"x"</formula>
    </cfRule>
  </conditionalFormatting>
  <conditionalFormatting sqref="L173">
    <cfRule type="cellIs" dxfId="1791" priority="26" stopIfTrue="1" operator="equal">
      <formula>0</formula>
    </cfRule>
    <cfRule type="cellIs" dxfId="1790" priority="27" stopIfTrue="1" operator="equal">
      <formula>"x"</formula>
    </cfRule>
  </conditionalFormatting>
  <conditionalFormatting sqref="A192:K192">
    <cfRule type="expression" dxfId="1789" priority="19" stopIfTrue="1">
      <formula>IF(OR($L192=0,NOT(ISNUMBER($L192))),TRUE,FALSE)</formula>
    </cfRule>
  </conditionalFormatting>
  <conditionalFormatting sqref="L192">
    <cfRule type="cellIs" dxfId="1788" priority="20" stopIfTrue="1" operator="equal">
      <formula>0</formula>
    </cfRule>
    <cfRule type="cellIs" dxfId="1787" priority="21" stopIfTrue="1" operator="equal">
      <formula>"x"</formula>
    </cfRule>
  </conditionalFormatting>
  <conditionalFormatting sqref="A206:B206 C205:K206">
    <cfRule type="expression" dxfId="1786" priority="13" stopIfTrue="1">
      <formula>IF(OR($L205=0,NOT(ISNUMBER($L205))),TRUE,FALSE)</formula>
    </cfRule>
  </conditionalFormatting>
  <conditionalFormatting sqref="C205 D205:K206 B206">
    <cfRule type="expression" dxfId="1785" priority="14" stopIfTrue="1">
      <formula>IF(OR($L205=0,NOT(ISNUMBER($L205))),TRUE,FALSE)</formula>
    </cfRule>
  </conditionalFormatting>
  <conditionalFormatting sqref="L205:L206">
    <cfRule type="cellIs" dxfId="1784" priority="15" stopIfTrue="1" operator="equal">
      <formula>0</formula>
    </cfRule>
    <cfRule type="cellIs" dxfId="1783" priority="16" stopIfTrue="1" operator="equal">
      <formula>"x"</formula>
    </cfRule>
  </conditionalFormatting>
  <conditionalFormatting sqref="L205:L206">
    <cfRule type="cellIs" dxfId="1782" priority="17" stopIfTrue="1" operator="equal">
      <formula>0</formula>
    </cfRule>
    <cfRule type="cellIs" dxfId="1781" priority="18" stopIfTrue="1" operator="equal">
      <formula>"x"</formula>
    </cfRule>
  </conditionalFormatting>
  <conditionalFormatting sqref="A207:K207">
    <cfRule type="expression" dxfId="1780" priority="7" stopIfTrue="1">
      <formula>IF(OR($L207=0,NOT(ISNUMBER($L207))),TRUE,FALSE)</formula>
    </cfRule>
  </conditionalFormatting>
  <conditionalFormatting sqref="D207:K207 B207">
    <cfRule type="expression" dxfId="1779" priority="8" stopIfTrue="1">
      <formula>IF(OR($L207=0,NOT(ISNUMBER($L207))),TRUE,FALSE)</formula>
    </cfRule>
  </conditionalFormatting>
  <conditionalFormatting sqref="L207">
    <cfRule type="cellIs" dxfId="1778" priority="9" stopIfTrue="1" operator="equal">
      <formula>0</formula>
    </cfRule>
    <cfRule type="cellIs" dxfId="1777" priority="10" stopIfTrue="1" operator="equal">
      <formula>"x"</formula>
    </cfRule>
  </conditionalFormatting>
  <conditionalFormatting sqref="L207">
    <cfRule type="cellIs" dxfId="1776" priority="11" stopIfTrue="1" operator="equal">
      <formula>0</formula>
    </cfRule>
    <cfRule type="cellIs" dxfId="1775" priority="12" stopIfTrue="1" operator="equal">
      <formula>"x"</formula>
    </cfRule>
  </conditionalFormatting>
  <conditionalFormatting sqref="A234:K236">
    <cfRule type="expression" dxfId="1774" priority="4" stopIfTrue="1">
      <formula>IF(OR($L234=0,NOT(ISNUMBER($L234))),TRUE,FALSE)</formula>
    </cfRule>
  </conditionalFormatting>
  <conditionalFormatting sqref="L233:L236">
    <cfRule type="cellIs" dxfId="1773" priority="5" stopIfTrue="1" operator="equal">
      <formula>0</formula>
    </cfRule>
    <cfRule type="cellIs" dxfId="1772" priority="6" stopIfTrue="1" operator="equal">
      <formula>"x"</formula>
    </cfRule>
  </conditionalFormatting>
  <conditionalFormatting sqref="A230:K232">
    <cfRule type="expression" dxfId="1771" priority="1" stopIfTrue="1">
      <formula>IF(OR($L230=0,NOT(ISNUMBER($L230))),TRUE,FALSE)</formula>
    </cfRule>
  </conditionalFormatting>
  <conditionalFormatting sqref="L229:L232">
    <cfRule type="cellIs" dxfId="1770" priority="2" stopIfTrue="1" operator="equal">
      <formula>0</formula>
    </cfRule>
    <cfRule type="cellIs" dxfId="1769" priority="3" stopIfTrue="1" operator="equal">
      <formula>"x"</formula>
    </cfRule>
  </conditionalFormatting>
  <dataValidations count="3">
    <dataValidation type="decimal" operator="greaterThanOrEqual" allowBlank="1" showInputMessage="1" showErrorMessage="1" sqref="C434" xr:uid="{00000000-0002-0000-0400-000000000000}">
      <formula1>0</formula1>
    </dataValidation>
    <dataValidation type="list" allowBlank="1" showInputMessage="1" showErrorMessage="1" sqref="C435" xr:uid="{00000000-0002-0000-0400-000001000000}">
      <formula1>"ground water,surface water"</formula1>
    </dataValidation>
    <dataValidation type="decimal" operator="greaterThan" allowBlank="1" showInputMessage="1" showErrorMessage="1" sqref="C440:C442 C436:C437" xr:uid="{00000000-0002-0000-0400-000002000000}">
      <formula1>0</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3" location="link_dcc" display="Details" xr:uid="{00000000-0004-0000-0400-000006000000}"/>
    <hyperlink ref="D23" location="link_annc" display="Details" xr:uid="{00000000-0004-0000-0400-000008000000}"/>
  </hyperlinks>
  <pageMargins left="0.54" right="0.42" top="1" bottom="1" header="0.5" footer="0.5"/>
  <pageSetup scale="45" fitToHeight="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88900</xdr:colOff>
                    <xdr:row>2</xdr:row>
                    <xdr:rowOff>12700</xdr:rowOff>
                  </from>
                  <to>
                    <xdr:col>6</xdr:col>
                    <xdr:colOff>1003300</xdr:colOff>
                    <xdr:row>5</xdr:row>
                    <xdr:rowOff>63500</xdr:rowOff>
                  </to>
                </anchor>
              </controlPr>
            </control>
          </mc:Choice>
        </mc:AlternateContent>
        <mc:AlternateContent xmlns:mc="http://schemas.openxmlformats.org/markup-compatibility/2006">
          <mc:Choice Requires="x14">
            <control shapeId="1084" r:id="rId5" name="CmdCompSelect">
              <controlPr defaultSize="0" print="0" autoFill="0" autoPict="0" macro="[0]!Sheet4.cmdCompSelect_Click">
                <anchor moveWithCells="1" sizeWithCells="1">
                  <from>
                    <xdr:col>5</xdr:col>
                    <xdr:colOff>88900</xdr:colOff>
                    <xdr:row>5</xdr:row>
                    <xdr:rowOff>127000</xdr:rowOff>
                  </from>
                  <to>
                    <xdr:col>6</xdr:col>
                    <xdr:colOff>977900</xdr:colOff>
                    <xdr:row>8</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123"/>
  <sheetViews>
    <sheetView zoomScaleNormal="100" workbookViewId="0">
      <pane ySplit="4" topLeftCell="A5" activePane="bottomLeft" state="frozen"/>
      <selection activeCell="D18" sqref="D18"/>
      <selection pane="bottomLeft" activeCell="E17" sqref="E17"/>
    </sheetView>
  </sheetViews>
  <sheetFormatPr baseColWidth="10" defaultColWidth="8.83203125" defaultRowHeight="13"/>
  <cols>
    <col min="1" max="1" width="46.6640625" customWidth="1"/>
    <col min="2" max="2" width="24.5" customWidth="1"/>
    <col min="3" max="3" width="11.33203125" bestFit="1" customWidth="1"/>
    <col min="4" max="4" width="16.5" style="526" customWidth="1"/>
  </cols>
  <sheetData>
    <row r="1" spans="1:5">
      <c r="A1" s="1" t="s">
        <v>2946</v>
      </c>
      <c r="C1" s="44"/>
    </row>
    <row r="2" spans="1:5">
      <c r="A2" s="657" t="s">
        <v>2947</v>
      </c>
      <c r="C2" s="44"/>
    </row>
    <row r="4" spans="1:5">
      <c r="A4" s="206" t="s">
        <v>276</v>
      </c>
      <c r="B4" s="206" t="s">
        <v>277</v>
      </c>
      <c r="C4" s="207" t="s">
        <v>278</v>
      </c>
      <c r="D4" s="206" t="s">
        <v>279</v>
      </c>
      <c r="E4" s="206" t="s">
        <v>280</v>
      </c>
    </row>
    <row r="5" spans="1:5">
      <c r="A5" s="2" t="s">
        <v>3511</v>
      </c>
      <c r="B5" s="1"/>
      <c r="C5" s="208"/>
      <c r="D5" s="1"/>
      <c r="E5" s="1"/>
    </row>
    <row r="6" spans="1:5">
      <c r="A6" s="526" t="s">
        <v>3512</v>
      </c>
      <c r="B6" s="3" t="s">
        <v>3516</v>
      </c>
      <c r="C6" s="849">
        <v>2021</v>
      </c>
      <c r="D6" s="1"/>
      <c r="E6" s="6" t="s">
        <v>3515</v>
      </c>
    </row>
    <row r="7" spans="1:5">
      <c r="A7" s="526" t="s">
        <v>3513</v>
      </c>
      <c r="B7" s="3" t="s">
        <v>1479</v>
      </c>
      <c r="C7" s="195">
        <f>AVERAGE(35,75)*2000/media_density</f>
        <v>2558.1395348837209</v>
      </c>
      <c r="D7" s="643" t="s">
        <v>2172</v>
      </c>
      <c r="E7" s="6" t="s">
        <v>3514</v>
      </c>
    </row>
    <row r="8" spans="1:5">
      <c r="A8" s="968" t="s">
        <v>3525</v>
      </c>
      <c r="B8" s="963" t="s">
        <v>3526</v>
      </c>
      <c r="C8" s="972">
        <f>75*2000/media_density</f>
        <v>3488.3720930232557</v>
      </c>
      <c r="D8" s="965" t="s">
        <v>2172</v>
      </c>
      <c r="E8" s="6" t="s">
        <v>4389</v>
      </c>
    </row>
    <row r="9" spans="1:5">
      <c r="A9" s="1"/>
      <c r="B9" s="1"/>
      <c r="C9" s="208"/>
      <c r="D9" s="1"/>
      <c r="E9" s="1"/>
    </row>
    <row r="10" spans="1:5">
      <c r="A10" s="321" t="s">
        <v>723</v>
      </c>
      <c r="B10" s="1"/>
      <c r="C10" s="208"/>
      <c r="D10" s="1"/>
      <c r="E10" s="1"/>
    </row>
    <row r="11" spans="1:5">
      <c r="A11" t="s">
        <v>928</v>
      </c>
      <c r="B11" s="3" t="s">
        <v>2733</v>
      </c>
      <c r="C11" s="365">
        <v>0.01</v>
      </c>
      <c r="D11" s="526" t="s">
        <v>2303</v>
      </c>
      <c r="E11" s="6" t="s">
        <v>1163</v>
      </c>
    </row>
    <row r="12" spans="1:5">
      <c r="A12" s="460" t="s">
        <v>1292</v>
      </c>
      <c r="B12" s="340" t="s">
        <v>1293</v>
      </c>
      <c r="C12" s="461">
        <v>5</v>
      </c>
      <c r="D12" s="526" t="s">
        <v>1294</v>
      </c>
      <c r="E12" s="462" t="s">
        <v>1295</v>
      </c>
    </row>
    <row r="13" spans="1:5">
      <c r="B13" s="3"/>
      <c r="C13" s="10"/>
      <c r="E13" s="6"/>
    </row>
    <row r="14" spans="1:5">
      <c r="A14" s="321" t="s">
        <v>720</v>
      </c>
    </row>
    <row r="15" spans="1:5">
      <c r="A15" s="205" t="s">
        <v>1296</v>
      </c>
      <c r="B15" s="340" t="s">
        <v>1297</v>
      </c>
      <c r="C15" s="461">
        <v>12</v>
      </c>
      <c r="D15" s="526" t="s">
        <v>1298</v>
      </c>
      <c r="E15" s="6"/>
    </row>
    <row r="16" spans="1:5">
      <c r="A16" t="s">
        <v>2516</v>
      </c>
      <c r="B16" s="3" t="s">
        <v>2517</v>
      </c>
      <c r="C16" s="66">
        <v>0.1</v>
      </c>
      <c r="D16" s="526" t="s">
        <v>2518</v>
      </c>
    </row>
    <row r="17" spans="1:5">
      <c r="A17" t="s">
        <v>2305</v>
      </c>
      <c r="B17" s="3" t="s">
        <v>2519</v>
      </c>
      <c r="C17" s="66">
        <v>0.1</v>
      </c>
      <c r="D17" s="526" t="s">
        <v>2518</v>
      </c>
    </row>
    <row r="18" spans="1:5">
      <c r="B18" s="3"/>
    </row>
    <row r="19" spans="1:5">
      <c r="A19" s="2" t="s">
        <v>2801</v>
      </c>
    </row>
    <row r="20" spans="1:5">
      <c r="A20" t="s">
        <v>1132</v>
      </c>
      <c r="B20" s="3" t="s">
        <v>2802</v>
      </c>
      <c r="C20" s="66">
        <v>5</v>
      </c>
      <c r="D20" s="526" t="s">
        <v>2808</v>
      </c>
      <c r="E20" s="6" t="s">
        <v>2811</v>
      </c>
    </row>
    <row r="21" spans="1:5">
      <c r="A21" s="5" t="s">
        <v>124</v>
      </c>
      <c r="B21" s="3" t="s">
        <v>125</v>
      </c>
      <c r="C21" s="66">
        <v>5</v>
      </c>
      <c r="D21" s="526" t="s">
        <v>2808</v>
      </c>
      <c r="E21" s="6" t="s">
        <v>1692</v>
      </c>
    </row>
    <row r="22" spans="1:5">
      <c r="A22" t="s">
        <v>828</v>
      </c>
      <c r="B22" s="3" t="s">
        <v>2803</v>
      </c>
      <c r="C22" s="66">
        <v>5</v>
      </c>
      <c r="D22" s="526" t="s">
        <v>2808</v>
      </c>
      <c r="E22" s="6" t="s">
        <v>1691</v>
      </c>
    </row>
    <row r="23" spans="1:5">
      <c r="A23" t="s">
        <v>2800</v>
      </c>
      <c r="B23" s="3" t="s">
        <v>2804</v>
      </c>
      <c r="C23" s="66">
        <v>5</v>
      </c>
      <c r="D23" s="526" t="s">
        <v>2809</v>
      </c>
      <c r="E23" s="6" t="s">
        <v>1691</v>
      </c>
    </row>
    <row r="24" spans="1:5">
      <c r="A24" t="s">
        <v>2302</v>
      </c>
      <c r="B24" s="3" t="s">
        <v>2805</v>
      </c>
      <c r="C24" s="66">
        <v>1</v>
      </c>
      <c r="D24" s="526" t="s">
        <v>126</v>
      </c>
      <c r="E24" s="6"/>
    </row>
    <row r="25" spans="1:5">
      <c r="A25" t="s">
        <v>1418</v>
      </c>
      <c r="B25" s="3" t="s">
        <v>2806</v>
      </c>
      <c r="C25" s="66">
        <v>10</v>
      </c>
      <c r="D25" s="526" t="s">
        <v>2810</v>
      </c>
      <c r="E25" s="6" t="s">
        <v>1419</v>
      </c>
    </row>
    <row r="26" spans="1:5">
      <c r="A26" t="s">
        <v>1915</v>
      </c>
      <c r="B26" s="3" t="s">
        <v>2807</v>
      </c>
      <c r="C26" s="66">
        <f>8/(20*27)</f>
        <v>1.4814814814814815E-2</v>
      </c>
      <c r="D26" s="526" t="s">
        <v>14</v>
      </c>
      <c r="E26" s="6" t="s">
        <v>895</v>
      </c>
    </row>
    <row r="28" spans="1:5">
      <c r="A28" s="2" t="s">
        <v>127</v>
      </c>
      <c r="B28" s="3"/>
    </row>
    <row r="29" spans="1:5">
      <c r="A29" s="5" t="s">
        <v>128</v>
      </c>
      <c r="B29" s="3" t="s">
        <v>129</v>
      </c>
      <c r="C29" s="66">
        <v>10</v>
      </c>
      <c r="D29" s="526" t="s">
        <v>130</v>
      </c>
    </row>
    <row r="30" spans="1:5">
      <c r="A30" s="5" t="s">
        <v>131</v>
      </c>
      <c r="B30" s="3" t="s">
        <v>132</v>
      </c>
      <c r="C30" s="66">
        <v>30.25</v>
      </c>
      <c r="D30" s="526" t="s">
        <v>1700</v>
      </c>
      <c r="E30" s="6" t="s">
        <v>311</v>
      </c>
    </row>
    <row r="31" spans="1:5">
      <c r="A31" s="5" t="s">
        <v>312</v>
      </c>
      <c r="B31" s="3" t="s">
        <v>313</v>
      </c>
      <c r="C31" s="66">
        <v>5</v>
      </c>
      <c r="D31" s="526" t="s">
        <v>314</v>
      </c>
      <c r="E31" s="6" t="s">
        <v>315</v>
      </c>
    </row>
    <row r="32" spans="1:5">
      <c r="A32" s="5" t="s">
        <v>316</v>
      </c>
      <c r="B32" s="3" t="s">
        <v>317</v>
      </c>
      <c r="C32" s="66">
        <v>120</v>
      </c>
      <c r="D32" s="526" t="s">
        <v>130</v>
      </c>
      <c r="E32" s="6"/>
    </row>
    <row r="33" spans="1:5">
      <c r="A33" s="5"/>
      <c r="B33" s="3"/>
    </row>
    <row r="34" spans="1:5">
      <c r="A34" s="321" t="s">
        <v>735</v>
      </c>
    </row>
    <row r="35" spans="1:5">
      <c r="A35" t="s">
        <v>181</v>
      </c>
      <c r="B35" s="3" t="s">
        <v>929</v>
      </c>
      <c r="C35" s="455">
        <v>25</v>
      </c>
      <c r="D35" s="526" t="s">
        <v>1357</v>
      </c>
    </row>
    <row r="36" spans="1:5">
      <c r="A36" t="s">
        <v>1258</v>
      </c>
      <c r="B36" s="3" t="s">
        <v>1259</v>
      </c>
      <c r="C36" s="66">
        <v>25</v>
      </c>
      <c r="D36" s="526" t="s">
        <v>1357</v>
      </c>
      <c r="E36" s="6"/>
    </row>
    <row r="37" spans="1:5">
      <c r="A37" t="s">
        <v>927</v>
      </c>
      <c r="B37" s="3" t="s">
        <v>930</v>
      </c>
      <c r="C37" s="463">
        <v>0.75</v>
      </c>
    </row>
    <row r="38" spans="1:5">
      <c r="A38" s="526" t="s">
        <v>622</v>
      </c>
      <c r="B38" s="3" t="s">
        <v>623</v>
      </c>
      <c r="C38" s="189">
        <v>14.7</v>
      </c>
      <c r="D38" s="526" t="s">
        <v>1357</v>
      </c>
    </row>
    <row r="39" spans="1:5">
      <c r="E39" s="6"/>
    </row>
    <row r="40" spans="1:5">
      <c r="A40" s="2" t="s">
        <v>112</v>
      </c>
      <c r="B40" s="3"/>
      <c r="C40" s="50"/>
    </row>
    <row r="41" spans="1:5">
      <c r="A41" t="s">
        <v>113</v>
      </c>
      <c r="B41" s="47" t="s">
        <v>114</v>
      </c>
      <c r="C41" s="511">
        <v>0.3</v>
      </c>
      <c r="D41" s="526" t="s">
        <v>115</v>
      </c>
      <c r="E41" s="6" t="s">
        <v>3539</v>
      </c>
    </row>
    <row r="42" spans="1:5">
      <c r="A42" t="s">
        <v>116</v>
      </c>
      <c r="B42" s="47" t="s">
        <v>117</v>
      </c>
      <c r="C42" s="511">
        <v>0.6</v>
      </c>
      <c r="D42" s="526" t="s">
        <v>115</v>
      </c>
    </row>
    <row r="43" spans="1:5">
      <c r="A43" t="s">
        <v>118</v>
      </c>
      <c r="B43" s="47" t="s">
        <v>119</v>
      </c>
      <c r="C43" s="511">
        <v>1.2</v>
      </c>
      <c r="D43" s="526" t="s">
        <v>115</v>
      </c>
    </row>
    <row r="45" spans="1:5">
      <c r="A45" t="s">
        <v>2664</v>
      </c>
      <c r="B45" s="45" t="s">
        <v>2665</v>
      </c>
      <c r="C45" s="66">
        <v>3</v>
      </c>
      <c r="D45" s="731" t="s">
        <v>2666</v>
      </c>
    </row>
    <row r="46" spans="1:5">
      <c r="A46" t="s">
        <v>2667</v>
      </c>
      <c r="B46" s="45" t="s">
        <v>2668</v>
      </c>
      <c r="C46" s="66">
        <v>20</v>
      </c>
      <c r="D46" s="731" t="s">
        <v>2666</v>
      </c>
      <c r="E46" s="6" t="s">
        <v>1475</v>
      </c>
    </row>
    <row r="47" spans="1:5">
      <c r="A47" t="s">
        <v>2224</v>
      </c>
      <c r="B47" s="45" t="s">
        <v>2225</v>
      </c>
      <c r="C47" s="66">
        <v>2</v>
      </c>
      <c r="D47" s="731" t="s">
        <v>2666</v>
      </c>
    </row>
    <row r="48" spans="1:5">
      <c r="A48" t="s">
        <v>1932</v>
      </c>
      <c r="B48" s="45" t="s">
        <v>1933</v>
      </c>
      <c r="C48" s="66">
        <v>2</v>
      </c>
      <c r="D48" s="731" t="s">
        <v>2666</v>
      </c>
    </row>
    <row r="49" spans="1:5">
      <c r="A49" t="s">
        <v>933</v>
      </c>
      <c r="B49" s="47" t="s">
        <v>934</v>
      </c>
      <c r="C49" s="66">
        <v>0.25</v>
      </c>
      <c r="D49" s="526" t="s">
        <v>935</v>
      </c>
    </row>
    <row r="50" spans="1:5">
      <c r="A50" t="s">
        <v>1513</v>
      </c>
      <c r="B50" s="47" t="s">
        <v>1514</v>
      </c>
      <c r="C50" s="66">
        <v>90</v>
      </c>
      <c r="D50" s="526" t="s">
        <v>414</v>
      </c>
      <c r="E50" s="6" t="s">
        <v>415</v>
      </c>
    </row>
    <row r="51" spans="1:5">
      <c r="A51" t="s">
        <v>1515</v>
      </c>
      <c r="B51" s="47" t="s">
        <v>1516</v>
      </c>
      <c r="C51" s="66">
        <v>90</v>
      </c>
      <c r="D51" s="526" t="s">
        <v>414</v>
      </c>
      <c r="E51" s="6" t="s">
        <v>1517</v>
      </c>
    </row>
    <row r="52" spans="1:5">
      <c r="A52" t="s">
        <v>1518</v>
      </c>
      <c r="B52" s="47" t="s">
        <v>1519</v>
      </c>
      <c r="C52" s="66">
        <v>120</v>
      </c>
      <c r="D52" s="526" t="s">
        <v>414</v>
      </c>
      <c r="E52" s="6" t="s">
        <v>1520</v>
      </c>
    </row>
    <row r="53" spans="1:5">
      <c r="A53" t="s">
        <v>1521</v>
      </c>
      <c r="B53" s="47" t="s">
        <v>1522</v>
      </c>
      <c r="C53" s="66">
        <v>120</v>
      </c>
      <c r="D53" s="526" t="s">
        <v>414</v>
      </c>
      <c r="E53" s="6"/>
    </row>
    <row r="54" spans="1:5">
      <c r="A54" t="s">
        <v>1523</v>
      </c>
      <c r="B54" s="47" t="s">
        <v>1524</v>
      </c>
      <c r="C54" s="66">
        <v>185</v>
      </c>
      <c r="D54" s="526" t="s">
        <v>414</v>
      </c>
      <c r="E54" s="6" t="s">
        <v>1525</v>
      </c>
    </row>
    <row r="55" spans="1:5">
      <c r="A55" t="s">
        <v>1526</v>
      </c>
      <c r="B55" s="47" t="s">
        <v>1527</v>
      </c>
      <c r="C55" s="66">
        <v>185</v>
      </c>
      <c r="D55" s="526" t="s">
        <v>414</v>
      </c>
      <c r="E55" s="6"/>
    </row>
    <row r="56" spans="1:5">
      <c r="B56" s="45"/>
      <c r="D56" s="46"/>
    </row>
    <row r="57" spans="1:5">
      <c r="A57" t="s">
        <v>668</v>
      </c>
      <c r="B57" s="3" t="s">
        <v>669</v>
      </c>
      <c r="C57" s="869">
        <v>25</v>
      </c>
      <c r="D57" s="526" t="s">
        <v>670</v>
      </c>
      <c r="E57" s="6" t="s">
        <v>3537</v>
      </c>
    </row>
    <row r="58" spans="1:5">
      <c r="A58" t="s">
        <v>2246</v>
      </c>
      <c r="B58" s="3" t="s">
        <v>2247</v>
      </c>
      <c r="C58" s="869">
        <v>49</v>
      </c>
      <c r="D58" s="526" t="s">
        <v>670</v>
      </c>
      <c r="E58" s="6" t="s">
        <v>3537</v>
      </c>
    </row>
    <row r="59" spans="1:5">
      <c r="A59" t="s">
        <v>2248</v>
      </c>
      <c r="B59" s="3" t="s">
        <v>2249</v>
      </c>
      <c r="C59" s="870">
        <v>4260</v>
      </c>
      <c r="D59" s="526" t="s">
        <v>2250</v>
      </c>
      <c r="E59" s="6" t="s">
        <v>2253</v>
      </c>
    </row>
    <row r="60" spans="1:5">
      <c r="A60" t="s">
        <v>2254</v>
      </c>
      <c r="B60" s="3" t="s">
        <v>2255</v>
      </c>
      <c r="C60" s="870">
        <v>1415</v>
      </c>
      <c r="D60" s="526" t="s">
        <v>2250</v>
      </c>
      <c r="E60" s="6" t="s">
        <v>2253</v>
      </c>
    </row>
    <row r="61" spans="1:5">
      <c r="A61" t="s">
        <v>2256</v>
      </c>
      <c r="B61" s="3" t="s">
        <v>2257</v>
      </c>
      <c r="C61" s="870">
        <v>168679</v>
      </c>
      <c r="D61" s="526" t="s">
        <v>2258</v>
      </c>
      <c r="E61" s="6" t="s">
        <v>2253</v>
      </c>
    </row>
    <row r="62" spans="1:5">
      <c r="A62" t="s">
        <v>2259</v>
      </c>
      <c r="B62" s="3" t="s">
        <v>2260</v>
      </c>
      <c r="C62" s="870">
        <v>51771</v>
      </c>
      <c r="D62" s="526" t="s">
        <v>2258</v>
      </c>
      <c r="E62" s="6" t="s">
        <v>2253</v>
      </c>
    </row>
    <row r="63" spans="1:5">
      <c r="A63" t="s">
        <v>2261</v>
      </c>
      <c r="B63" s="3" t="s">
        <v>2262</v>
      </c>
      <c r="C63" s="871">
        <v>0.98</v>
      </c>
      <c r="E63" s="6" t="s">
        <v>1491</v>
      </c>
    </row>
    <row r="64" spans="1:5">
      <c r="A64" t="s">
        <v>2263</v>
      </c>
      <c r="B64" s="3" t="s">
        <v>2264</v>
      </c>
      <c r="C64" s="872">
        <v>3.3</v>
      </c>
      <c r="E64" s="6" t="s">
        <v>1491</v>
      </c>
    </row>
    <row r="65" spans="1:5">
      <c r="A65" t="s">
        <v>2265</v>
      </c>
      <c r="B65" s="3" t="s">
        <v>2266</v>
      </c>
      <c r="C65" s="871">
        <v>0.85</v>
      </c>
      <c r="E65" s="6" t="s">
        <v>1491</v>
      </c>
    </row>
    <row r="66" spans="1:5">
      <c r="A66" t="s">
        <v>2267</v>
      </c>
      <c r="B66" s="3" t="s">
        <v>2268</v>
      </c>
      <c r="C66" s="871">
        <v>0.9</v>
      </c>
      <c r="E66" s="6" t="s">
        <v>1491</v>
      </c>
    </row>
    <row r="67" spans="1:5">
      <c r="A67" t="s">
        <v>1913</v>
      </c>
      <c r="B67" s="3" t="s">
        <v>2269</v>
      </c>
      <c r="C67" s="871">
        <v>0.82</v>
      </c>
      <c r="E67" s="6" t="s">
        <v>1491</v>
      </c>
    </row>
    <row r="68" spans="1:5">
      <c r="A68" t="s">
        <v>1914</v>
      </c>
      <c r="B68" s="3" t="s">
        <v>2270</v>
      </c>
      <c r="C68" s="871">
        <v>0.9</v>
      </c>
      <c r="E68" s="6" t="s">
        <v>1491</v>
      </c>
    </row>
    <row r="69" spans="1:5">
      <c r="A69" t="s">
        <v>2271</v>
      </c>
      <c r="B69" s="3" t="s">
        <v>2272</v>
      </c>
      <c r="C69" s="869">
        <v>11.8</v>
      </c>
      <c r="D69" s="526" t="s">
        <v>3538</v>
      </c>
      <c r="E69" s="6" t="s">
        <v>1491</v>
      </c>
    </row>
    <row r="70" spans="1:5">
      <c r="A70" t="s">
        <v>2273</v>
      </c>
      <c r="B70" s="3" t="s">
        <v>2274</v>
      </c>
      <c r="C70" s="869">
        <v>11.8</v>
      </c>
      <c r="D70" s="526" t="s">
        <v>3538</v>
      </c>
      <c r="E70" s="6" t="s">
        <v>1491</v>
      </c>
    </row>
    <row r="72" spans="1:5">
      <c r="A72" t="s">
        <v>10</v>
      </c>
      <c r="B72" s="3" t="s">
        <v>606</v>
      </c>
      <c r="C72" s="191">
        <v>139000</v>
      </c>
      <c r="D72" s="526" t="s">
        <v>607</v>
      </c>
      <c r="E72" s="6" t="s">
        <v>11</v>
      </c>
    </row>
    <row r="76" spans="1:5">
      <c r="B76" s="3"/>
      <c r="C76" s="10"/>
      <c r="E76" s="6"/>
    </row>
    <row r="81" spans="1:5">
      <c r="A81" s="1"/>
    </row>
    <row r="84" spans="1:5">
      <c r="A84" s="1"/>
    </row>
    <row r="85" spans="1:5">
      <c r="A85" s="1"/>
    </row>
    <row r="86" spans="1:5">
      <c r="A86" s="1"/>
    </row>
    <row r="87" spans="1:5">
      <c r="A87" s="1"/>
    </row>
    <row r="88" spans="1:5">
      <c r="A88" s="1"/>
    </row>
    <row r="89" spans="1:5">
      <c r="A89" s="1"/>
    </row>
    <row r="90" spans="1:5">
      <c r="A90" s="1"/>
    </row>
    <row r="92" spans="1:5">
      <c r="B92" s="3"/>
      <c r="C92" s="5"/>
      <c r="E92" s="6"/>
    </row>
    <row r="93" spans="1:5">
      <c r="B93" s="3"/>
      <c r="C93" s="50"/>
    </row>
    <row r="94" spans="1:5">
      <c r="B94" s="3"/>
      <c r="C94" s="51"/>
      <c r="E94" s="6"/>
    </row>
    <row r="95" spans="1:5">
      <c r="B95" s="3"/>
      <c r="C95" s="51"/>
      <c r="E95" s="6"/>
    </row>
    <row r="97" spans="1:5">
      <c r="A97" s="5"/>
      <c r="B97" s="3"/>
      <c r="C97" s="52"/>
    </row>
    <row r="98" spans="1:5">
      <c r="A98" s="5"/>
      <c r="B98" s="3"/>
      <c r="C98" s="52"/>
    </row>
    <row r="100" spans="1:5">
      <c r="B100" s="45"/>
      <c r="D100" s="731"/>
    </row>
    <row r="101" spans="1:5">
      <c r="B101" s="45"/>
      <c r="D101" s="731"/>
      <c r="E101" s="6"/>
    </row>
    <row r="102" spans="1:5">
      <c r="B102" s="45"/>
      <c r="D102" s="731"/>
    </row>
    <row r="103" spans="1:5">
      <c r="B103" s="45"/>
      <c r="D103" s="731"/>
    </row>
    <row r="104" spans="1:5">
      <c r="B104" s="47"/>
    </row>
    <row r="105" spans="1:5">
      <c r="B105" s="47"/>
      <c r="E105" s="6"/>
    </row>
    <row r="106" spans="1:5">
      <c r="B106" s="47"/>
      <c r="E106" s="6"/>
    </row>
    <row r="108" spans="1:5">
      <c r="B108" s="3"/>
      <c r="E108" s="6"/>
    </row>
    <row r="109" spans="1:5">
      <c r="B109" s="3"/>
      <c r="E109" s="6"/>
    </row>
    <row r="110" spans="1:5">
      <c r="B110" s="3"/>
      <c r="C110" s="53"/>
      <c r="E110" s="6"/>
    </row>
    <row r="111" spans="1:5">
      <c r="B111" s="3"/>
      <c r="C111" s="53"/>
      <c r="E111" s="6"/>
    </row>
    <row r="112" spans="1:5">
      <c r="B112" s="3"/>
      <c r="C112" s="53"/>
      <c r="E112" s="6"/>
    </row>
    <row r="113" spans="2:5">
      <c r="B113" s="3"/>
      <c r="C113" s="53"/>
      <c r="E113" s="6"/>
    </row>
    <row r="114" spans="2:5">
      <c r="B114" s="3"/>
      <c r="C114" s="54"/>
      <c r="E114" s="6"/>
    </row>
    <row r="115" spans="2:5">
      <c r="B115" s="3"/>
      <c r="C115" s="55"/>
      <c r="E115" s="6"/>
    </row>
    <row r="116" spans="2:5">
      <c r="B116" s="3"/>
      <c r="C116" s="54"/>
      <c r="E116" s="6"/>
    </row>
    <row r="117" spans="2:5">
      <c r="B117" s="3"/>
      <c r="C117" s="54"/>
      <c r="E117" s="6"/>
    </row>
    <row r="118" spans="2:5">
      <c r="B118" s="3"/>
      <c r="C118" s="54"/>
      <c r="E118" s="6"/>
    </row>
    <row r="119" spans="2:5">
      <c r="B119" s="3"/>
      <c r="C119" s="54"/>
      <c r="E119" s="6"/>
    </row>
    <row r="120" spans="2:5">
      <c r="B120" s="3"/>
      <c r="E120" s="6"/>
    </row>
    <row r="121" spans="2:5">
      <c r="B121" s="3"/>
      <c r="E121" s="6"/>
    </row>
    <row r="122" spans="2:5">
      <c r="B122" s="3"/>
      <c r="C122" s="53"/>
    </row>
    <row r="123" spans="2:5">
      <c r="B123" s="3"/>
      <c r="C123" s="53"/>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3F104-C283-4F02-A312-8339CF19F5D7}">
  <dimension ref="A1:G1713"/>
  <sheetViews>
    <sheetView tabSelected="1" workbookViewId="0">
      <pane ySplit="3" topLeftCell="A889" activePane="bottomLeft" state="frozen"/>
      <selection pane="bottomLeft" activeCell="D914" sqref="D91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3585</v>
      </c>
    </row>
    <row r="2" spans="1:6">
      <c r="A2" s="657" t="s">
        <v>4373</v>
      </c>
    </row>
    <row r="3" spans="1:6">
      <c r="A3" s="657" t="s">
        <v>4374</v>
      </c>
    </row>
    <row r="5" spans="1:6">
      <c r="A5" s="890" t="s">
        <v>3586</v>
      </c>
      <c r="B5" s="890" t="s">
        <v>3587</v>
      </c>
      <c r="C5" s="890"/>
      <c r="D5" s="890"/>
      <c r="E5" s="890"/>
      <c r="F5" s="890"/>
    </row>
    <row r="6" spans="1:6">
      <c r="A6" s="888">
        <v>43</v>
      </c>
      <c r="B6" s="320"/>
      <c r="C6" s="320"/>
      <c r="D6" s="320" t="s">
        <v>2578</v>
      </c>
      <c r="E6" s="320" t="s">
        <v>3588</v>
      </c>
      <c r="F6" s="320" t="s">
        <v>3589</v>
      </c>
    </row>
    <row r="7" spans="1:6">
      <c r="A7" s="3" t="s">
        <v>3590</v>
      </c>
      <c r="B7">
        <v>0</v>
      </c>
      <c r="C7">
        <v>0</v>
      </c>
      <c r="D7" s="889">
        <v>600.18707669670891</v>
      </c>
      <c r="E7">
        <v>15</v>
      </c>
      <c r="F7">
        <v>14</v>
      </c>
    </row>
    <row r="10" spans="1:6">
      <c r="A10" s="890" t="s">
        <v>3591</v>
      </c>
      <c r="B10" s="890" t="s">
        <v>3592</v>
      </c>
      <c r="C10" s="890"/>
      <c r="D10" s="890"/>
      <c r="E10" s="890"/>
      <c r="F10" s="890"/>
    </row>
    <row r="11" spans="1:6">
      <c r="A11" s="888">
        <v>30</v>
      </c>
      <c r="B11" s="320" t="s">
        <v>3593</v>
      </c>
      <c r="C11" s="320" t="s">
        <v>3594</v>
      </c>
      <c r="D11" s="847" t="s">
        <v>3595</v>
      </c>
      <c r="E11" s="320" t="s">
        <v>3588</v>
      </c>
      <c r="F11" s="320" t="s">
        <v>3589</v>
      </c>
    </row>
    <row r="12" spans="1:6">
      <c r="A12" s="3" t="s">
        <v>3597</v>
      </c>
      <c r="B12">
        <v>0</v>
      </c>
      <c r="C12">
        <v>10</v>
      </c>
      <c r="D12" s="889">
        <v>3765.081740826402</v>
      </c>
      <c r="E12">
        <v>20</v>
      </c>
      <c r="F12">
        <v>17</v>
      </c>
    </row>
    <row r="13" spans="1:6">
      <c r="A13" s="3"/>
      <c r="B13">
        <v>11</v>
      </c>
      <c r="C13">
        <v>30</v>
      </c>
      <c r="D13" s="889">
        <v>4254.6995836907727</v>
      </c>
      <c r="E13">
        <v>20</v>
      </c>
      <c r="F13">
        <v>17</v>
      </c>
    </row>
    <row r="14" spans="1:6">
      <c r="A14" s="3"/>
      <c r="B14">
        <v>31</v>
      </c>
      <c r="C14">
        <v>200</v>
      </c>
      <c r="D14" s="889">
        <v>12125.919025502953</v>
      </c>
      <c r="E14">
        <v>20</v>
      </c>
      <c r="F14">
        <v>17</v>
      </c>
    </row>
    <row r="15" spans="1:6">
      <c r="A15" s="3"/>
      <c r="B15">
        <v>201</v>
      </c>
      <c r="C15">
        <v>500</v>
      </c>
      <c r="D15" s="889">
        <v>13969.613526038316</v>
      </c>
      <c r="E15">
        <v>20</v>
      </c>
      <c r="F15">
        <v>17</v>
      </c>
    </row>
    <row r="16" spans="1:6">
      <c r="A16" s="3"/>
      <c r="B16">
        <v>501</v>
      </c>
      <c r="C16">
        <v>750</v>
      </c>
      <c r="D16" s="889">
        <v>17759.918572183145</v>
      </c>
      <c r="E16">
        <v>20</v>
      </c>
      <c r="F16">
        <v>17</v>
      </c>
    </row>
    <row r="17" spans="1:6">
      <c r="A17" s="3"/>
      <c r="B17">
        <v>751</v>
      </c>
      <c r="C17">
        <v>1000</v>
      </c>
      <c r="D17" s="889">
        <v>18367.928438860366</v>
      </c>
      <c r="E17">
        <v>20</v>
      </c>
      <c r="F17">
        <v>17</v>
      </c>
    </row>
    <row r="18" spans="1:6">
      <c r="A18" s="3"/>
      <c r="B18">
        <v>1001</v>
      </c>
      <c r="C18">
        <v>1500</v>
      </c>
      <c r="D18" s="889">
        <v>23207.19064302601</v>
      </c>
      <c r="E18">
        <v>20</v>
      </c>
      <c r="F18">
        <v>17</v>
      </c>
    </row>
    <row r="19" spans="1:6">
      <c r="A19" s="3"/>
      <c r="B19">
        <v>1501</v>
      </c>
      <c r="C19">
        <v>2000</v>
      </c>
      <c r="D19" s="889">
        <v>33543.358376538781</v>
      </c>
      <c r="E19">
        <v>20</v>
      </c>
      <c r="F19">
        <v>17</v>
      </c>
    </row>
    <row r="20" spans="1:6">
      <c r="A20" s="3"/>
      <c r="B20">
        <v>2001</v>
      </c>
      <c r="C20">
        <v>3000</v>
      </c>
      <c r="D20" s="889">
        <v>38246.128569817702</v>
      </c>
      <c r="E20">
        <v>20</v>
      </c>
      <c r="F20">
        <v>17</v>
      </c>
    </row>
    <row r="21" spans="1:6">
      <c r="A21" s="3"/>
      <c r="B21">
        <v>3001</v>
      </c>
      <c r="C21">
        <v>3500</v>
      </c>
      <c r="D21" s="889">
        <v>41894.187769881028</v>
      </c>
      <c r="E21">
        <v>20</v>
      </c>
      <c r="F21">
        <v>17</v>
      </c>
    </row>
    <row r="22" spans="1:6">
      <c r="A22" s="3"/>
      <c r="B22">
        <v>3501</v>
      </c>
      <c r="C22">
        <v>4000</v>
      </c>
      <c r="D22" s="889">
        <v>44289.002142711717</v>
      </c>
      <c r="E22">
        <v>20</v>
      </c>
      <c r="F22">
        <v>17</v>
      </c>
    </row>
    <row r="23" spans="1:6">
      <c r="A23" s="3"/>
      <c r="B23">
        <v>4001</v>
      </c>
      <c r="C23">
        <v>6000</v>
      </c>
      <c r="D23" s="889">
        <v>82333.048086229319</v>
      </c>
      <c r="E23">
        <v>20</v>
      </c>
      <c r="F23">
        <v>17</v>
      </c>
    </row>
    <row r="24" spans="1:6">
      <c r="A24" s="3"/>
      <c r="B24">
        <v>6001</v>
      </c>
      <c r="C24">
        <v>10000</v>
      </c>
      <c r="D24" s="889">
        <v>89174.66776026864</v>
      </c>
      <c r="E24">
        <v>20</v>
      </c>
      <c r="F24">
        <v>17</v>
      </c>
    </row>
    <row r="25" spans="1:6">
      <c r="A25" s="3"/>
      <c r="B25">
        <v>10001</v>
      </c>
      <c r="C25" t="s">
        <v>3596</v>
      </c>
      <c r="D25" s="889" t="s">
        <v>3596</v>
      </c>
      <c r="E25">
        <v>20</v>
      </c>
      <c r="F25">
        <v>17</v>
      </c>
    </row>
    <row r="28" spans="1:6">
      <c r="A28" s="891" t="s">
        <v>3598</v>
      </c>
      <c r="B28" s="891" t="s">
        <v>3599</v>
      </c>
      <c r="C28" s="891"/>
      <c r="D28" s="891"/>
      <c r="E28" s="891"/>
      <c r="F28" s="891"/>
    </row>
    <row r="29" spans="1:6">
      <c r="A29" s="888">
        <v>3</v>
      </c>
      <c r="B29" s="320"/>
      <c r="C29" s="320"/>
      <c r="D29" s="320" t="s">
        <v>3600</v>
      </c>
      <c r="E29" s="320" t="s">
        <v>3588</v>
      </c>
      <c r="F29" s="320" t="s">
        <v>3589</v>
      </c>
    </row>
    <row r="30" spans="1:6">
      <c r="A30" s="3" t="s">
        <v>3602</v>
      </c>
      <c r="B30">
        <v>0</v>
      </c>
      <c r="C30">
        <v>0</v>
      </c>
      <c r="D30" s="892">
        <v>18.649999999999999</v>
      </c>
      <c r="E30" t="s">
        <v>3601</v>
      </c>
      <c r="F30" t="s">
        <v>3601</v>
      </c>
    </row>
    <row r="33" spans="1:6">
      <c r="A33" s="891" t="s">
        <v>3603</v>
      </c>
      <c r="B33" s="891" t="s">
        <v>3604</v>
      </c>
      <c r="C33" s="891"/>
      <c r="D33" s="891"/>
      <c r="E33" s="891"/>
      <c r="F33" s="891"/>
    </row>
    <row r="34" spans="1:6">
      <c r="A34" s="888">
        <v>2</v>
      </c>
      <c r="B34" s="320"/>
      <c r="C34" s="320"/>
      <c r="D34" s="320" t="s">
        <v>3605</v>
      </c>
      <c r="E34" s="320" t="s">
        <v>3588</v>
      </c>
      <c r="F34" s="320" t="s">
        <v>3589</v>
      </c>
    </row>
    <row r="35" spans="1:6">
      <c r="A35" s="3" t="s">
        <v>3606</v>
      </c>
      <c r="B35">
        <v>0</v>
      </c>
      <c r="C35">
        <v>0</v>
      </c>
      <c r="D35" s="892">
        <v>45.35</v>
      </c>
      <c r="E35" t="s">
        <v>3601</v>
      </c>
      <c r="F35" t="s">
        <v>3601</v>
      </c>
    </row>
    <row r="38" spans="1:6">
      <c r="A38" s="3" t="s">
        <v>3607</v>
      </c>
      <c r="B38">
        <v>0</v>
      </c>
      <c r="C38">
        <v>0</v>
      </c>
      <c r="D38" s="892">
        <v>2650</v>
      </c>
      <c r="E38" t="s">
        <v>3601</v>
      </c>
      <c r="F38" t="s">
        <v>3601</v>
      </c>
    </row>
    <row r="39" spans="1:6">
      <c r="A39" s="3"/>
      <c r="B39" t="s">
        <v>1853</v>
      </c>
      <c r="D39" t="s">
        <v>3608</v>
      </c>
      <c r="E39" t="s">
        <v>3588</v>
      </c>
      <c r="F39" t="s">
        <v>3589</v>
      </c>
    </row>
    <row r="40" spans="1:6">
      <c r="A40" s="3" t="s">
        <v>3610</v>
      </c>
      <c r="B40">
        <v>0</v>
      </c>
      <c r="C40">
        <v>0</v>
      </c>
      <c r="D40" s="892">
        <v>64</v>
      </c>
      <c r="E40" t="s">
        <v>3601</v>
      </c>
      <c r="F40" t="s">
        <v>3601</v>
      </c>
    </row>
    <row r="43" spans="1:6">
      <c r="A43" s="3" t="s">
        <v>3611</v>
      </c>
      <c r="B43">
        <v>0</v>
      </c>
      <c r="C43">
        <v>0</v>
      </c>
      <c r="D43" s="892">
        <v>1475</v>
      </c>
      <c r="E43" t="s">
        <v>3601</v>
      </c>
      <c r="F43" t="s">
        <v>3601</v>
      </c>
    </row>
    <row r="44" spans="1:6">
      <c r="A44" s="3"/>
      <c r="B44" s="724" t="s">
        <v>1849</v>
      </c>
      <c r="D44" t="s">
        <v>3612</v>
      </c>
      <c r="E44" t="s">
        <v>3588</v>
      </c>
      <c r="F44" t="s">
        <v>3589</v>
      </c>
    </row>
    <row r="45" spans="1:6">
      <c r="A45" s="3" t="s">
        <v>3614</v>
      </c>
      <c r="B45">
        <v>0</v>
      </c>
      <c r="C45">
        <v>0</v>
      </c>
      <c r="D45" s="892">
        <v>425</v>
      </c>
      <c r="E45" t="s">
        <v>3601</v>
      </c>
      <c r="F45" t="s">
        <v>3601</v>
      </c>
    </row>
    <row r="48" spans="1:6">
      <c r="A48" s="3" t="s">
        <v>3615</v>
      </c>
      <c r="B48">
        <v>0</v>
      </c>
      <c r="C48">
        <v>0</v>
      </c>
      <c r="D48" s="892">
        <v>970</v>
      </c>
      <c r="E48" t="s">
        <v>3601</v>
      </c>
      <c r="F48" t="s">
        <v>3601</v>
      </c>
    </row>
    <row r="49" spans="1:6">
      <c r="A49" s="3"/>
      <c r="B49" s="724" t="s">
        <v>1851</v>
      </c>
      <c r="D49" t="s">
        <v>3595</v>
      </c>
      <c r="E49" t="s">
        <v>3588</v>
      </c>
      <c r="F49" t="s">
        <v>3589</v>
      </c>
    </row>
    <row r="50" spans="1:6">
      <c r="A50" s="3" t="s">
        <v>3617</v>
      </c>
      <c r="B50">
        <v>0</v>
      </c>
      <c r="C50">
        <v>0</v>
      </c>
      <c r="D50" s="892">
        <v>660</v>
      </c>
      <c r="E50" t="s">
        <v>3601</v>
      </c>
      <c r="F50" t="s">
        <v>3601</v>
      </c>
    </row>
    <row r="53" spans="1:6">
      <c r="A53" s="3" t="s">
        <v>3613</v>
      </c>
      <c r="B53">
        <v>0</v>
      </c>
      <c r="C53">
        <v>0</v>
      </c>
      <c r="D53" s="892">
        <v>425</v>
      </c>
      <c r="E53" t="s">
        <v>3601</v>
      </c>
      <c r="F53" t="s">
        <v>3601</v>
      </c>
    </row>
    <row r="54" spans="1:6">
      <c r="A54" s="3"/>
      <c r="B54" s="724" t="s">
        <v>1850</v>
      </c>
      <c r="D54" t="s">
        <v>3612</v>
      </c>
      <c r="E54" t="s">
        <v>3588</v>
      </c>
      <c r="F54" t="s">
        <v>3589</v>
      </c>
    </row>
    <row r="55" spans="1:6">
      <c r="A55" s="3" t="s">
        <v>3618</v>
      </c>
      <c r="B55">
        <v>0</v>
      </c>
      <c r="C55">
        <v>0</v>
      </c>
      <c r="D55" s="892">
        <v>970</v>
      </c>
      <c r="E55" t="s">
        <v>3601</v>
      </c>
      <c r="F55" t="s">
        <v>3601</v>
      </c>
    </row>
    <row r="58" spans="1:6">
      <c r="A58" s="3" t="s">
        <v>3616</v>
      </c>
      <c r="B58">
        <v>0</v>
      </c>
      <c r="C58">
        <v>0</v>
      </c>
      <c r="D58" s="892">
        <v>660</v>
      </c>
      <c r="E58" t="s">
        <v>3601</v>
      </c>
      <c r="F58" t="s">
        <v>3601</v>
      </c>
    </row>
    <row r="59" spans="1:6">
      <c r="A59" s="3"/>
      <c r="B59" s="724" t="s">
        <v>1852</v>
      </c>
      <c r="D59" t="s">
        <v>3605</v>
      </c>
      <c r="E59" t="s">
        <v>3588</v>
      </c>
      <c r="F59" t="s">
        <v>3589</v>
      </c>
    </row>
    <row r="60" spans="1:6">
      <c r="A60" s="3" t="s">
        <v>3619</v>
      </c>
      <c r="B60">
        <v>0</v>
      </c>
      <c r="C60">
        <v>0</v>
      </c>
      <c r="D60" s="892">
        <v>2650</v>
      </c>
      <c r="E60" t="s">
        <v>3601</v>
      </c>
      <c r="F60" t="s">
        <v>3601</v>
      </c>
    </row>
    <row r="63" spans="1:6">
      <c r="A63" s="890" t="s">
        <v>3620</v>
      </c>
      <c r="B63" s="890" t="s">
        <v>3621</v>
      </c>
      <c r="C63" s="890"/>
      <c r="D63" s="890"/>
      <c r="E63" s="890"/>
      <c r="F63" s="890"/>
    </row>
    <row r="64" spans="1:6">
      <c r="A64" s="888">
        <v>26</v>
      </c>
      <c r="B64" s="893" t="s">
        <v>870</v>
      </c>
      <c r="C64" s="320" t="s">
        <v>871</v>
      </c>
      <c r="D64" s="847" t="s">
        <v>3595</v>
      </c>
      <c r="E64" s="893" t="s">
        <v>3622</v>
      </c>
      <c r="F64" s="847" t="s">
        <v>3589</v>
      </c>
    </row>
    <row r="65" spans="1:6">
      <c r="A65" s="3" t="s">
        <v>3623</v>
      </c>
      <c r="B65" s="526">
        <v>0</v>
      </c>
      <c r="C65">
        <v>0.216</v>
      </c>
      <c r="D65" s="889">
        <v>4845.9262035465572</v>
      </c>
      <c r="E65">
        <v>35</v>
      </c>
      <c r="F65">
        <v>30</v>
      </c>
    </row>
    <row r="66" spans="1:6">
      <c r="A66" s="3"/>
      <c r="B66" s="526">
        <v>0.217</v>
      </c>
      <c r="C66">
        <v>0.32400000000000001</v>
      </c>
      <c r="D66" s="889">
        <v>4723.3564925311694</v>
      </c>
      <c r="E66">
        <v>35</v>
      </c>
      <c r="F66">
        <v>30</v>
      </c>
    </row>
    <row r="67" spans="1:6">
      <c r="A67" s="3"/>
      <c r="B67" s="526">
        <v>0.32500000000000001</v>
      </c>
      <c r="C67">
        <v>0.64800000000000002</v>
      </c>
      <c r="D67" s="889">
        <v>16283.820788606667</v>
      </c>
      <c r="E67">
        <v>35</v>
      </c>
      <c r="F67">
        <v>30</v>
      </c>
    </row>
    <row r="68" spans="1:6">
      <c r="A68" s="3"/>
      <c r="B68" s="526">
        <v>0.64900000000000002</v>
      </c>
      <c r="C68">
        <v>1.08</v>
      </c>
      <c r="D68" s="889">
        <v>30059.781891890772</v>
      </c>
      <c r="E68">
        <v>35</v>
      </c>
      <c r="F68">
        <v>30</v>
      </c>
    </row>
    <row r="69" spans="1:6">
      <c r="A69" s="3"/>
      <c r="B69" s="526">
        <v>1.081</v>
      </c>
      <c r="C69">
        <v>1.728</v>
      </c>
      <c r="D69" s="889">
        <v>40784.260105788446</v>
      </c>
      <c r="E69">
        <v>35</v>
      </c>
      <c r="F69">
        <v>30</v>
      </c>
    </row>
    <row r="70" spans="1:6">
      <c r="A70" s="3"/>
      <c r="B70" s="526">
        <v>1.7289999999999999</v>
      </c>
      <c r="C70">
        <v>2.3039999999999998</v>
      </c>
      <c r="D70" s="889">
        <v>28052.036954037438</v>
      </c>
      <c r="E70">
        <v>35</v>
      </c>
      <c r="F70">
        <v>30</v>
      </c>
    </row>
    <row r="71" spans="1:6">
      <c r="A71" s="3"/>
      <c r="B71" s="526">
        <v>2.3049999999999997</v>
      </c>
      <c r="C71">
        <v>2.7650000000000001</v>
      </c>
      <c r="D71" s="889">
        <v>30326.526436797234</v>
      </c>
      <c r="E71">
        <v>35</v>
      </c>
      <c r="F71">
        <v>30</v>
      </c>
    </row>
    <row r="72" spans="1:6">
      <c r="A72" s="3"/>
      <c r="B72" s="526">
        <v>2.766</v>
      </c>
      <c r="C72">
        <v>3.456</v>
      </c>
      <c r="D72" s="889">
        <v>35633.668563236744</v>
      </c>
      <c r="E72">
        <v>35</v>
      </c>
      <c r="F72">
        <v>30</v>
      </c>
    </row>
    <row r="73" spans="1:6">
      <c r="A73" s="3"/>
      <c r="B73" s="526">
        <v>3.4569999999999999</v>
      </c>
      <c r="C73">
        <v>4.32</v>
      </c>
      <c r="D73" s="889">
        <v>51555.094942555297</v>
      </c>
      <c r="E73">
        <v>35</v>
      </c>
      <c r="F73">
        <v>30</v>
      </c>
    </row>
    <row r="74" spans="1:6">
      <c r="A74" s="3"/>
      <c r="B74" s="526">
        <v>4.3210000000000006</v>
      </c>
      <c r="C74" t="s">
        <v>3596</v>
      </c>
      <c r="D74" s="889" t="s">
        <v>3596</v>
      </c>
      <c r="E74">
        <v>35</v>
      </c>
      <c r="F74">
        <v>30</v>
      </c>
    </row>
    <row r="77" spans="1:6">
      <c r="A77" s="890" t="s">
        <v>3620</v>
      </c>
      <c r="B77" s="890" t="s">
        <v>3624</v>
      </c>
      <c r="C77" s="890"/>
      <c r="D77" s="890"/>
      <c r="E77" s="890"/>
      <c r="F77" s="890"/>
    </row>
    <row r="78" spans="1:6">
      <c r="A78" s="888">
        <v>26</v>
      </c>
      <c r="B78" s="893" t="s">
        <v>870</v>
      </c>
      <c r="C78" s="320" t="s">
        <v>871</v>
      </c>
      <c r="D78" s="847" t="s">
        <v>3595</v>
      </c>
      <c r="E78" s="893" t="s">
        <v>3622</v>
      </c>
      <c r="F78" s="847" t="s">
        <v>3589</v>
      </c>
    </row>
    <row r="79" spans="1:6">
      <c r="A79" s="3" t="s">
        <v>3625</v>
      </c>
      <c r="B79" s="526">
        <v>0</v>
      </c>
      <c r="C79">
        <v>0.05</v>
      </c>
      <c r="D79" s="889">
        <v>185.01350000000002</v>
      </c>
      <c r="E79" s="44" t="s">
        <v>3601</v>
      </c>
      <c r="F79" s="44" t="s">
        <v>3601</v>
      </c>
    </row>
    <row r="80" spans="1:6">
      <c r="A80" s="3"/>
      <c r="B80" s="526">
        <v>5.0999999999999997E-2</v>
      </c>
      <c r="C80">
        <v>0.14399999999999999</v>
      </c>
      <c r="D80" s="889">
        <v>185.01350000000002</v>
      </c>
      <c r="E80" s="44" t="s">
        <v>3601</v>
      </c>
      <c r="F80" s="44" t="s">
        <v>3601</v>
      </c>
    </row>
    <row r="81" spans="1:6">
      <c r="A81" s="3"/>
      <c r="B81" s="526">
        <v>0.14499999999999999</v>
      </c>
      <c r="C81">
        <v>0.2</v>
      </c>
      <c r="D81" s="889">
        <v>216.1635</v>
      </c>
      <c r="E81" s="44" t="s">
        <v>3601</v>
      </c>
      <c r="F81" s="44" t="s">
        <v>3601</v>
      </c>
    </row>
    <row r="82" spans="1:6">
      <c r="A82" s="3"/>
      <c r="B82" s="526">
        <v>0.20100000000000001</v>
      </c>
      <c r="C82">
        <v>0.5</v>
      </c>
      <c r="D82" s="889">
        <v>296.12099999999998</v>
      </c>
      <c r="E82" s="44" t="s">
        <v>3601</v>
      </c>
      <c r="F82" s="44" t="s">
        <v>3601</v>
      </c>
    </row>
    <row r="83" spans="1:6">
      <c r="A83" s="3"/>
      <c r="B83" s="526">
        <v>0.501</v>
      </c>
      <c r="C83">
        <v>1</v>
      </c>
      <c r="D83" s="889">
        <v>296.12099999999998</v>
      </c>
      <c r="E83" s="44" t="s">
        <v>3601</v>
      </c>
      <c r="F83" s="44" t="s">
        <v>3601</v>
      </c>
    </row>
    <row r="84" spans="1:6">
      <c r="A84" s="3"/>
      <c r="B84" s="526">
        <v>1.0009999999999999</v>
      </c>
      <c r="C84">
        <v>2</v>
      </c>
      <c r="D84" s="889">
        <v>296.12099999999998</v>
      </c>
      <c r="E84" s="44" t="s">
        <v>3601</v>
      </c>
      <c r="F84" s="44" t="s">
        <v>3601</v>
      </c>
    </row>
    <row r="85" spans="1:6">
      <c r="A85" s="3"/>
      <c r="B85" s="526">
        <v>2.0009999999999999</v>
      </c>
      <c r="C85">
        <v>5</v>
      </c>
      <c r="D85" s="889">
        <v>296.12099999999998</v>
      </c>
      <c r="E85" s="44" t="s">
        <v>3601</v>
      </c>
      <c r="F85" s="44" t="s">
        <v>3601</v>
      </c>
    </row>
    <row r="86" spans="1:6">
      <c r="A86" s="3"/>
      <c r="B86" s="526">
        <v>5.0010000000000003</v>
      </c>
      <c r="C86" t="s">
        <v>3596</v>
      </c>
      <c r="D86" s="889" t="s">
        <v>3596</v>
      </c>
      <c r="E86" s="44" t="s">
        <v>3601</v>
      </c>
      <c r="F86" s="44" t="s">
        <v>3601</v>
      </c>
    </row>
    <row r="89" spans="1:6">
      <c r="A89" s="894" t="s">
        <v>3626</v>
      </c>
      <c r="B89" s="895" t="s">
        <v>3627</v>
      </c>
      <c r="C89" s="896"/>
      <c r="D89" s="897"/>
      <c r="E89" s="896"/>
      <c r="F89" s="896"/>
    </row>
    <row r="90" spans="1:6">
      <c r="A90" s="888">
        <v>11</v>
      </c>
      <c r="B90" s="320" t="s">
        <v>3628</v>
      </c>
      <c r="C90" s="320" t="s">
        <v>279</v>
      </c>
      <c r="D90" s="847" t="s">
        <v>3595</v>
      </c>
      <c r="E90" s="320" t="s">
        <v>3588</v>
      </c>
      <c r="F90" s="320" t="s">
        <v>3589</v>
      </c>
    </row>
    <row r="91" spans="1:6">
      <c r="A91" s="132" t="s">
        <v>3691</v>
      </c>
      <c r="B91" s="898" t="s">
        <v>3629</v>
      </c>
      <c r="C91" s="898" t="s">
        <v>3630</v>
      </c>
      <c r="D91" s="899">
        <v>0.25892298275361592</v>
      </c>
      <c r="E91" s="900" t="s">
        <v>3601</v>
      </c>
      <c r="F91" s="900" t="s">
        <v>3601</v>
      </c>
    </row>
    <row r="92" spans="1:6">
      <c r="B92" s="901" t="s">
        <v>3631</v>
      </c>
      <c r="C92" s="898" t="s">
        <v>3632</v>
      </c>
      <c r="D92" s="899">
        <v>379.67249647750987</v>
      </c>
      <c r="E92" s="900" t="s">
        <v>3601</v>
      </c>
      <c r="F92" s="900" t="s">
        <v>3601</v>
      </c>
    </row>
    <row r="93" spans="1:6">
      <c r="B93" s="898" t="s">
        <v>3633</v>
      </c>
      <c r="C93" s="898" t="s">
        <v>3630</v>
      </c>
      <c r="D93" s="899">
        <v>0.98400176743500989</v>
      </c>
      <c r="E93" s="900" t="s">
        <v>3601</v>
      </c>
      <c r="F93" s="900" t="s">
        <v>3601</v>
      </c>
    </row>
    <row r="94" spans="1:6">
      <c r="B94" s="373" t="s">
        <v>3634</v>
      </c>
      <c r="C94" s="373" t="s">
        <v>3630</v>
      </c>
      <c r="D94" s="902">
        <v>2.935905987838364</v>
      </c>
      <c r="E94" s="903" t="s">
        <v>3601</v>
      </c>
      <c r="F94" s="903" t="s">
        <v>3601</v>
      </c>
    </row>
    <row r="95" spans="1:6">
      <c r="B95" s="320" t="s">
        <v>3635</v>
      </c>
      <c r="C95" s="320" t="s">
        <v>3630</v>
      </c>
      <c r="D95" s="904">
        <v>4.298511395790559</v>
      </c>
      <c r="E95" s="620" t="s">
        <v>3601</v>
      </c>
      <c r="F95" s="620" t="s">
        <v>3601</v>
      </c>
    </row>
    <row r="96" spans="1:6">
      <c r="B96" s="905" t="s">
        <v>3636</v>
      </c>
      <c r="C96" s="373" t="s">
        <v>3630</v>
      </c>
      <c r="D96" s="902">
        <v>0.14933365711760807</v>
      </c>
      <c r="E96" s="903" t="s">
        <v>3601</v>
      </c>
      <c r="F96" s="903" t="s">
        <v>3601</v>
      </c>
    </row>
    <row r="97" spans="2:6">
      <c r="B97" s="847" t="s">
        <v>3637</v>
      </c>
      <c r="C97" s="320" t="s">
        <v>3630</v>
      </c>
      <c r="D97" s="904">
        <v>0.25092360451306417</v>
      </c>
      <c r="E97" s="620" t="s">
        <v>3601</v>
      </c>
      <c r="F97" s="620" t="s">
        <v>3601</v>
      </c>
    </row>
    <row r="98" spans="2:6">
      <c r="B98" s="526" t="s">
        <v>3638</v>
      </c>
      <c r="C98" t="s">
        <v>3630</v>
      </c>
      <c r="D98" s="892">
        <v>1.8076509548824649</v>
      </c>
      <c r="E98" s="44" t="s">
        <v>3601</v>
      </c>
      <c r="F98" s="44" t="s">
        <v>3601</v>
      </c>
    </row>
    <row r="99" spans="2:6">
      <c r="B99" s="847" t="s">
        <v>3639</v>
      </c>
      <c r="C99" s="320" t="s">
        <v>3630</v>
      </c>
      <c r="D99" s="904">
        <v>3.0195931290952047</v>
      </c>
      <c r="E99" s="620" t="s">
        <v>3601</v>
      </c>
      <c r="F99" s="620" t="s">
        <v>3601</v>
      </c>
    </row>
    <row r="100" spans="2:6">
      <c r="B100" s="320" t="s">
        <v>3640</v>
      </c>
      <c r="C100" s="320" t="s">
        <v>3632</v>
      </c>
      <c r="D100" s="904">
        <v>292.14602474409008</v>
      </c>
      <c r="E100" s="620" t="s">
        <v>3601</v>
      </c>
      <c r="F100" s="620" t="s">
        <v>3601</v>
      </c>
    </row>
    <row r="101" spans="2:6">
      <c r="B101" s="847" t="s">
        <v>3641</v>
      </c>
      <c r="C101" s="320" t="s">
        <v>3630</v>
      </c>
      <c r="D101" s="904">
        <v>1.2847889581924627</v>
      </c>
      <c r="E101" s="620" t="s">
        <v>3601</v>
      </c>
      <c r="F101" s="620" t="s">
        <v>3601</v>
      </c>
    </row>
    <row r="102" spans="2:6">
      <c r="B102" s="906" t="s">
        <v>3642</v>
      </c>
      <c r="C102" s="898" t="s">
        <v>1131</v>
      </c>
      <c r="D102" s="899">
        <v>4.5669105752706649</v>
      </c>
      <c r="E102" s="900" t="s">
        <v>3601</v>
      </c>
      <c r="F102" s="900" t="s">
        <v>3601</v>
      </c>
    </row>
    <row r="103" spans="2:6">
      <c r="B103" s="901" t="s">
        <v>3643</v>
      </c>
      <c r="C103" s="898" t="s">
        <v>3630</v>
      </c>
      <c r="D103" s="899">
        <v>0.16017416334156323</v>
      </c>
      <c r="E103" s="900" t="s">
        <v>3601</v>
      </c>
      <c r="F103" s="900" t="s">
        <v>3601</v>
      </c>
    </row>
    <row r="104" spans="2:6">
      <c r="B104" s="526" t="s">
        <v>3644</v>
      </c>
      <c r="C104" t="s">
        <v>3630</v>
      </c>
      <c r="D104" s="892">
        <v>0.14204018747082317</v>
      </c>
      <c r="E104" s="44" t="s">
        <v>3601</v>
      </c>
      <c r="F104" s="44" t="s">
        <v>3601</v>
      </c>
    </row>
    <row r="105" spans="2:6">
      <c r="B105" s="905" t="s">
        <v>3645</v>
      </c>
      <c r="C105" s="373" t="s">
        <v>3630</v>
      </c>
      <c r="D105" s="902">
        <v>1.4750000000000001</v>
      </c>
      <c r="E105" s="903" t="s">
        <v>3601</v>
      </c>
      <c r="F105" s="903" t="s">
        <v>3601</v>
      </c>
    </row>
    <row r="106" spans="2:6">
      <c r="B106" s="526" t="s">
        <v>3646</v>
      </c>
      <c r="C106" t="s">
        <v>3630</v>
      </c>
      <c r="D106" s="892">
        <v>1.1012</v>
      </c>
      <c r="E106" s="44" t="s">
        <v>3601</v>
      </c>
      <c r="F106" s="44" t="s">
        <v>3601</v>
      </c>
    </row>
    <row r="107" spans="2:6">
      <c r="B107" s="847" t="s">
        <v>3647</v>
      </c>
      <c r="C107" s="320" t="s">
        <v>3630</v>
      </c>
      <c r="D107" s="904">
        <v>0.91449999999999998</v>
      </c>
      <c r="E107" s="620" t="s">
        <v>3601</v>
      </c>
      <c r="F107" s="620" t="s">
        <v>3601</v>
      </c>
    </row>
    <row r="108" spans="2:6">
      <c r="B108" s="905" t="s">
        <v>3648</v>
      </c>
      <c r="C108" s="373" t="s">
        <v>3630</v>
      </c>
      <c r="D108" s="902">
        <v>0.49255463949257372</v>
      </c>
      <c r="E108" s="903" t="s">
        <v>3601</v>
      </c>
      <c r="F108" s="903" t="s">
        <v>3601</v>
      </c>
    </row>
    <row r="109" spans="2:6">
      <c r="B109" s="526" t="s">
        <v>3649</v>
      </c>
      <c r="C109" t="s">
        <v>3630</v>
      </c>
      <c r="D109" s="892">
        <v>0.57004275858817965</v>
      </c>
      <c r="E109" s="44" t="s">
        <v>3601</v>
      </c>
      <c r="F109" s="44" t="s">
        <v>3601</v>
      </c>
    </row>
    <row r="110" spans="2:6">
      <c r="B110" s="847" t="s">
        <v>3650</v>
      </c>
      <c r="C110" s="320" t="s">
        <v>3630</v>
      </c>
      <c r="D110" s="904">
        <v>0.93372617539628344</v>
      </c>
      <c r="E110" s="620" t="s">
        <v>3601</v>
      </c>
      <c r="F110" s="620" t="s">
        <v>3601</v>
      </c>
    </row>
    <row r="111" spans="2:6">
      <c r="B111" s="905" t="s">
        <v>3651</v>
      </c>
      <c r="C111" s="373" t="s">
        <v>3630</v>
      </c>
      <c r="D111" s="902">
        <v>0.3172018248175183</v>
      </c>
      <c r="E111" s="903" t="s">
        <v>3601</v>
      </c>
      <c r="F111" s="903" t="s">
        <v>3601</v>
      </c>
    </row>
    <row r="112" spans="2:6">
      <c r="B112" s="847" t="s">
        <v>3652</v>
      </c>
      <c r="C112" s="320" t="s">
        <v>3630</v>
      </c>
      <c r="D112" s="904">
        <v>0.47022883285981981</v>
      </c>
      <c r="E112" s="620" t="s">
        <v>3601</v>
      </c>
      <c r="F112" s="620" t="s">
        <v>3601</v>
      </c>
    </row>
    <row r="113" spans="2:6">
      <c r="B113" s="905" t="s">
        <v>3653</v>
      </c>
      <c r="C113" s="373" t="s">
        <v>3632</v>
      </c>
      <c r="D113" s="902">
        <v>78.476632289948313</v>
      </c>
      <c r="E113" s="903" t="s">
        <v>3601</v>
      </c>
      <c r="F113" s="903" t="s">
        <v>3601</v>
      </c>
    </row>
    <row r="114" spans="2:6">
      <c r="B114" s="526" t="s">
        <v>3654</v>
      </c>
      <c r="C114" t="s">
        <v>3632</v>
      </c>
      <c r="D114" s="892">
        <v>361.7648758605846</v>
      </c>
      <c r="E114" s="44" t="s">
        <v>3601</v>
      </c>
      <c r="F114" s="44" t="s">
        <v>3601</v>
      </c>
    </row>
    <row r="115" spans="2:6">
      <c r="B115" s="847" t="s">
        <v>3655</v>
      </c>
      <c r="C115" s="320" t="s">
        <v>3632</v>
      </c>
      <c r="D115" s="904">
        <v>811.40046895446164</v>
      </c>
      <c r="E115" s="620" t="s">
        <v>3601</v>
      </c>
      <c r="F115" s="620" t="s">
        <v>3601</v>
      </c>
    </row>
    <row r="116" spans="2:6">
      <c r="B116" s="373" t="s">
        <v>3656</v>
      </c>
      <c r="C116" s="373" t="s">
        <v>1131</v>
      </c>
      <c r="D116" s="902">
        <v>44.177656959004025</v>
      </c>
      <c r="E116" s="903" t="s">
        <v>3601</v>
      </c>
      <c r="F116" s="903" t="s">
        <v>3601</v>
      </c>
    </row>
    <row r="117" spans="2:6">
      <c r="B117" s="320" t="s">
        <v>3657</v>
      </c>
      <c r="C117" s="320" t="s">
        <v>1131</v>
      </c>
      <c r="D117" s="904">
        <v>38.525745847892914</v>
      </c>
      <c r="E117" s="620" t="s">
        <v>3601</v>
      </c>
      <c r="F117" s="620" t="s">
        <v>3601</v>
      </c>
    </row>
    <row r="118" spans="2:6">
      <c r="B118" s="526" t="s">
        <v>3658</v>
      </c>
      <c r="C118" t="s">
        <v>3630</v>
      </c>
      <c r="D118" s="892">
        <v>0.65600897434378369</v>
      </c>
      <c r="E118" s="44" t="s">
        <v>3601</v>
      </c>
      <c r="F118" s="44" t="s">
        <v>3601</v>
      </c>
    </row>
    <row r="119" spans="2:6">
      <c r="B119" s="526" t="s">
        <v>3659</v>
      </c>
      <c r="C119" t="s">
        <v>3630</v>
      </c>
      <c r="D119" s="892">
        <v>0.74193129494261945</v>
      </c>
      <c r="E119" s="44" t="s">
        <v>3601</v>
      </c>
      <c r="F119" s="44" t="s">
        <v>3601</v>
      </c>
    </row>
    <row r="120" spans="2:6">
      <c r="B120" s="847" t="s">
        <v>3660</v>
      </c>
      <c r="C120" s="320" t="s">
        <v>3630</v>
      </c>
      <c r="D120" s="904">
        <v>0.84674242280285039</v>
      </c>
      <c r="E120" s="620" t="s">
        <v>3601</v>
      </c>
      <c r="F120" s="620" t="s">
        <v>3601</v>
      </c>
    </row>
    <row r="121" spans="2:6">
      <c r="B121" s="526" t="s">
        <v>3661</v>
      </c>
      <c r="C121" t="s">
        <v>3630</v>
      </c>
      <c r="D121" s="892">
        <v>0.33234317417601811</v>
      </c>
      <c r="E121" s="44" t="s">
        <v>3601</v>
      </c>
      <c r="F121" s="44" t="s">
        <v>3601</v>
      </c>
    </row>
    <row r="122" spans="2:6">
      <c r="B122" s="847" t="s">
        <v>3662</v>
      </c>
      <c r="C122" s="320" t="s">
        <v>3630</v>
      </c>
      <c r="D122" s="904">
        <v>0.81370650744184447</v>
      </c>
      <c r="E122" s="620" t="s">
        <v>3601</v>
      </c>
      <c r="F122" s="620" t="s">
        <v>3601</v>
      </c>
    </row>
    <row r="123" spans="2:6">
      <c r="B123" s="526" t="s">
        <v>3663</v>
      </c>
      <c r="C123" t="s">
        <v>3630</v>
      </c>
      <c r="D123" s="892">
        <v>0.20438225614058614</v>
      </c>
      <c r="E123" s="44" t="s">
        <v>3601</v>
      </c>
      <c r="F123" s="44" t="s">
        <v>3601</v>
      </c>
    </row>
    <row r="124" spans="2:6">
      <c r="B124" s="847" t="s">
        <v>3664</v>
      </c>
      <c r="C124" s="320" t="s">
        <v>3630</v>
      </c>
      <c r="D124" s="904">
        <v>0.40812805824157544</v>
      </c>
      <c r="E124" s="620" t="s">
        <v>3601</v>
      </c>
      <c r="F124" s="620" t="s">
        <v>3601</v>
      </c>
    </row>
    <row r="125" spans="2:6">
      <c r="B125" s="898" t="s">
        <v>3665</v>
      </c>
      <c r="C125" s="898" t="s">
        <v>3630</v>
      </c>
      <c r="D125" s="899">
        <v>0.74137399196238118</v>
      </c>
      <c r="E125" s="900" t="s">
        <v>3601</v>
      </c>
      <c r="F125" s="900" t="s">
        <v>3601</v>
      </c>
    </row>
    <row r="126" spans="2:6">
      <c r="B126" s="526" t="s">
        <v>3666</v>
      </c>
      <c r="C126" t="s">
        <v>3630</v>
      </c>
      <c r="D126" s="892">
        <v>2.3881161426276218</v>
      </c>
      <c r="E126" s="44" t="s">
        <v>3601</v>
      </c>
      <c r="F126" s="44" t="s">
        <v>3601</v>
      </c>
    </row>
    <row r="127" spans="2:6">
      <c r="B127" s="898" t="s">
        <v>3667</v>
      </c>
      <c r="C127" s="898" t="s">
        <v>3630</v>
      </c>
      <c r="D127" s="899">
        <v>0.42575032116788325</v>
      </c>
      <c r="E127" s="900" t="s">
        <v>3601</v>
      </c>
      <c r="F127" s="900" t="s">
        <v>3601</v>
      </c>
    </row>
    <row r="128" spans="2:6">
      <c r="B128" s="898" t="s">
        <v>3668</v>
      </c>
      <c r="C128" s="898" t="s">
        <v>3630</v>
      </c>
      <c r="D128" s="899">
        <v>0.48694420796818616</v>
      </c>
      <c r="E128" s="900" t="s">
        <v>3601</v>
      </c>
      <c r="F128" s="900" t="s">
        <v>3601</v>
      </c>
    </row>
    <row r="129" spans="2:6">
      <c r="B129" s="898" t="s">
        <v>3669</v>
      </c>
      <c r="C129" s="898" t="s">
        <v>3630</v>
      </c>
      <c r="D129" s="899">
        <v>0.38999349762688967</v>
      </c>
      <c r="E129" s="900" t="s">
        <v>3601</v>
      </c>
      <c r="F129" s="900" t="s">
        <v>3601</v>
      </c>
    </row>
    <row r="130" spans="2:6">
      <c r="B130" s="526" t="s">
        <v>3670</v>
      </c>
      <c r="C130" t="s">
        <v>3630</v>
      </c>
      <c r="D130" s="892">
        <v>0.10445948132048184</v>
      </c>
      <c r="E130" s="44" t="s">
        <v>3601</v>
      </c>
      <c r="F130" s="44" t="s">
        <v>3601</v>
      </c>
    </row>
    <row r="131" spans="2:6">
      <c r="B131" s="526" t="s">
        <v>3671</v>
      </c>
      <c r="C131" t="s">
        <v>3630</v>
      </c>
      <c r="D131" s="892">
        <v>0.21448163524559982</v>
      </c>
      <c r="E131" s="44" t="s">
        <v>3601</v>
      </c>
      <c r="F131" s="44" t="s">
        <v>3601</v>
      </c>
    </row>
    <row r="132" spans="2:6">
      <c r="B132" s="847" t="s">
        <v>3672</v>
      </c>
      <c r="C132" s="320" t="s">
        <v>3630</v>
      </c>
      <c r="D132" s="904">
        <v>0.28961344000739103</v>
      </c>
      <c r="E132" s="620" t="s">
        <v>3601</v>
      </c>
      <c r="F132" s="620" t="s">
        <v>3601</v>
      </c>
    </row>
    <row r="133" spans="2:6">
      <c r="B133" s="905" t="s">
        <v>3673</v>
      </c>
      <c r="C133" s="373" t="s">
        <v>3630</v>
      </c>
      <c r="D133" s="902">
        <v>0.87543886696652329</v>
      </c>
      <c r="E133" s="903" t="s">
        <v>3601</v>
      </c>
      <c r="F133" s="903" t="s">
        <v>3601</v>
      </c>
    </row>
    <row r="134" spans="2:6">
      <c r="B134" s="847" t="s">
        <v>3674</v>
      </c>
      <c r="C134" s="320" t="s">
        <v>3630</v>
      </c>
      <c r="D134" s="904">
        <v>0.48591449775627299</v>
      </c>
      <c r="E134" s="620" t="s">
        <v>3601</v>
      </c>
      <c r="F134" s="620" t="s">
        <v>3601</v>
      </c>
    </row>
    <row r="135" spans="2:6">
      <c r="B135" s="898" t="s">
        <v>3675</v>
      </c>
      <c r="C135" s="898" t="s">
        <v>3630</v>
      </c>
      <c r="D135" s="899">
        <v>0.68255791765637375</v>
      </c>
      <c r="E135" s="900" t="s">
        <v>3601</v>
      </c>
      <c r="F135" s="900" t="s">
        <v>3601</v>
      </c>
    </row>
    <row r="136" spans="2:6">
      <c r="B136" s="526" t="s">
        <v>3676</v>
      </c>
      <c r="C136" t="s">
        <v>3630</v>
      </c>
      <c r="D136" s="892">
        <v>0.21325228017050835</v>
      </c>
      <c r="E136" s="44" t="s">
        <v>3601</v>
      </c>
      <c r="F136" s="44" t="s">
        <v>3601</v>
      </c>
    </row>
    <row r="137" spans="2:6">
      <c r="B137" s="526" t="s">
        <v>3677</v>
      </c>
      <c r="C137" t="s">
        <v>3630</v>
      </c>
      <c r="D137" s="892">
        <v>0.2558351123249763</v>
      </c>
      <c r="E137" s="44" t="s">
        <v>3601</v>
      </c>
      <c r="F137" s="44" t="s">
        <v>3601</v>
      </c>
    </row>
    <row r="138" spans="2:6">
      <c r="B138" s="847" t="s">
        <v>3678</v>
      </c>
      <c r="C138" s="320" t="s">
        <v>3630</v>
      </c>
      <c r="D138" s="904">
        <v>0.31827794416978772</v>
      </c>
      <c r="E138" s="620" t="s">
        <v>3601</v>
      </c>
      <c r="F138" s="620" t="s">
        <v>3601</v>
      </c>
    </row>
    <row r="139" spans="2:6">
      <c r="B139" s="526" t="s">
        <v>3679</v>
      </c>
      <c r="C139" t="s">
        <v>3630</v>
      </c>
      <c r="D139" s="892">
        <v>0.12531949821201241</v>
      </c>
      <c r="E139" s="44" t="s">
        <v>3601</v>
      </c>
      <c r="F139" s="44" t="s">
        <v>3601</v>
      </c>
    </row>
    <row r="140" spans="2:6">
      <c r="B140" s="526" t="s">
        <v>3680</v>
      </c>
      <c r="C140" t="s">
        <v>3630</v>
      </c>
      <c r="D140" s="892">
        <v>0.15728565790356952</v>
      </c>
      <c r="E140" s="44" t="s">
        <v>3601</v>
      </c>
      <c r="F140" s="44" t="s">
        <v>3601</v>
      </c>
    </row>
    <row r="141" spans="2:6">
      <c r="B141" s="847" t="s">
        <v>3681</v>
      </c>
      <c r="C141" s="320" t="s">
        <v>3630</v>
      </c>
      <c r="D141" s="904">
        <v>0.17978347397804662</v>
      </c>
      <c r="E141" s="620" t="s">
        <v>3601</v>
      </c>
      <c r="F141" s="620" t="s">
        <v>3601</v>
      </c>
    </row>
    <row r="142" spans="2:6">
      <c r="B142" t="s">
        <v>3682</v>
      </c>
      <c r="C142" t="s">
        <v>1131</v>
      </c>
      <c r="D142" s="892">
        <v>1.0111282050615207</v>
      </c>
      <c r="E142" s="44" t="s">
        <v>3601</v>
      </c>
      <c r="F142" s="44" t="s">
        <v>3601</v>
      </c>
    </row>
    <row r="143" spans="2:6">
      <c r="B143" s="526" t="s">
        <v>3683</v>
      </c>
      <c r="C143" t="s">
        <v>1131</v>
      </c>
      <c r="D143" s="892">
        <v>1.3708025989562564</v>
      </c>
      <c r="E143" s="44" t="s">
        <v>3601</v>
      </c>
      <c r="F143" s="44" t="s">
        <v>3601</v>
      </c>
    </row>
    <row r="144" spans="2:6">
      <c r="B144" s="320" t="s">
        <v>3684</v>
      </c>
      <c r="C144" s="320" t="s">
        <v>1131</v>
      </c>
      <c r="D144" s="904">
        <v>1.7203222705757928</v>
      </c>
      <c r="E144" s="620" t="s">
        <v>3601</v>
      </c>
      <c r="F144" s="620" t="s">
        <v>3601</v>
      </c>
    </row>
    <row r="145" spans="1:6">
      <c r="B145" s="526" t="s">
        <v>3685</v>
      </c>
      <c r="C145" t="s">
        <v>3630</v>
      </c>
      <c r="D145" s="892">
        <v>0.13709828619050735</v>
      </c>
      <c r="E145" s="44" t="s">
        <v>3601</v>
      </c>
      <c r="F145" s="44" t="s">
        <v>3601</v>
      </c>
    </row>
    <row r="146" spans="1:6">
      <c r="B146" s="847" t="s">
        <v>3686</v>
      </c>
      <c r="C146" s="320" t="s">
        <v>3630</v>
      </c>
      <c r="D146" s="904">
        <v>0.19509817893903403</v>
      </c>
      <c r="E146" s="620" t="s">
        <v>3601</v>
      </c>
      <c r="F146" s="620" t="s">
        <v>3601</v>
      </c>
    </row>
    <row r="147" spans="1:6">
      <c r="B147" s="901" t="s">
        <v>3687</v>
      </c>
      <c r="C147" s="898" t="s">
        <v>3630</v>
      </c>
      <c r="D147" s="899">
        <v>8.3511491937189888</v>
      </c>
      <c r="E147" s="900" t="s">
        <v>3601</v>
      </c>
      <c r="F147" s="900" t="s">
        <v>3601</v>
      </c>
    </row>
    <row r="148" spans="1:6">
      <c r="B148" s="526" t="s">
        <v>3688</v>
      </c>
      <c r="C148" t="s">
        <v>1131</v>
      </c>
      <c r="D148" s="892">
        <v>6.3109223358010995</v>
      </c>
      <c r="E148" s="44" t="s">
        <v>3601</v>
      </c>
      <c r="F148" s="44" t="s">
        <v>3601</v>
      </c>
    </row>
    <row r="149" spans="1:6">
      <c r="B149" s="526" t="s">
        <v>3689</v>
      </c>
      <c r="C149" t="s">
        <v>1131</v>
      </c>
      <c r="D149" s="892">
        <v>8.0362899049881236</v>
      </c>
      <c r="E149" s="44" t="s">
        <v>3601</v>
      </c>
      <c r="F149" s="44" t="s">
        <v>3601</v>
      </c>
    </row>
    <row r="150" spans="1:6">
      <c r="B150" s="847" t="s">
        <v>3690</v>
      </c>
      <c r="C150" s="320" t="s">
        <v>1131</v>
      </c>
      <c r="D150" s="904">
        <v>10.748262798053529</v>
      </c>
      <c r="E150" s="620" t="s">
        <v>3601</v>
      </c>
      <c r="F150" s="620" t="s">
        <v>3601</v>
      </c>
    </row>
    <row r="153" spans="1:6">
      <c r="A153" s="890" t="s">
        <v>3692</v>
      </c>
      <c r="B153" s="890" t="s">
        <v>3693</v>
      </c>
      <c r="C153" s="890"/>
      <c r="D153" s="890"/>
      <c r="E153" s="890"/>
      <c r="F153" s="890"/>
    </row>
    <row r="154" spans="1:6">
      <c r="A154" s="888">
        <v>35</v>
      </c>
      <c r="B154" s="320" t="s">
        <v>3694</v>
      </c>
      <c r="C154" s="320" t="s">
        <v>3695</v>
      </c>
      <c r="D154" s="847" t="s">
        <v>3595</v>
      </c>
      <c r="E154" s="320" t="s">
        <v>3588</v>
      </c>
      <c r="F154" s="320" t="s">
        <v>3589</v>
      </c>
    </row>
    <row r="155" spans="1:6">
      <c r="A155" s="3" t="s">
        <v>3697</v>
      </c>
      <c r="B155">
        <v>0</v>
      </c>
      <c r="C155">
        <v>2</v>
      </c>
      <c r="D155" s="889">
        <v>382.59443243243237</v>
      </c>
      <c r="E155">
        <v>25</v>
      </c>
      <c r="F155">
        <v>20</v>
      </c>
    </row>
    <row r="156" spans="1:6">
      <c r="A156" s="3"/>
      <c r="B156">
        <v>2.1</v>
      </c>
      <c r="C156">
        <v>2.5</v>
      </c>
      <c r="D156" s="889">
        <v>465.81371999999999</v>
      </c>
      <c r="E156">
        <v>25</v>
      </c>
      <c r="F156">
        <v>20</v>
      </c>
    </row>
    <row r="157" spans="1:6">
      <c r="A157" s="3"/>
      <c r="B157">
        <v>2.6</v>
      </c>
      <c r="C157">
        <v>3</v>
      </c>
      <c r="D157" s="889">
        <v>985.99555274261604</v>
      </c>
      <c r="E157">
        <v>25</v>
      </c>
      <c r="F157">
        <v>20</v>
      </c>
    </row>
    <row r="158" spans="1:6">
      <c r="A158" s="3"/>
      <c r="B158">
        <v>3.1</v>
      </c>
      <c r="C158">
        <v>4</v>
      </c>
      <c r="D158" s="889">
        <v>1175</v>
      </c>
      <c r="E158">
        <v>25</v>
      </c>
      <c r="F158">
        <v>20</v>
      </c>
    </row>
    <row r="159" spans="1:6">
      <c r="A159" s="3"/>
      <c r="B159">
        <v>4.0999999999999996</v>
      </c>
      <c r="C159">
        <v>8</v>
      </c>
      <c r="D159" s="889">
        <v>1725</v>
      </c>
      <c r="E159">
        <v>25</v>
      </c>
      <c r="F159">
        <v>20</v>
      </c>
    </row>
    <row r="160" spans="1:6">
      <c r="A160" s="3"/>
      <c r="B160">
        <v>8.1</v>
      </c>
      <c r="C160">
        <v>12</v>
      </c>
      <c r="D160" s="889">
        <v>2875</v>
      </c>
      <c r="E160">
        <v>25</v>
      </c>
      <c r="F160">
        <v>20</v>
      </c>
    </row>
    <row r="161" spans="1:6">
      <c r="A161" s="3" t="s">
        <v>3696</v>
      </c>
      <c r="B161">
        <v>12.1</v>
      </c>
      <c r="C161">
        <v>14</v>
      </c>
      <c r="D161" s="889">
        <v>5400</v>
      </c>
      <c r="E161">
        <v>25</v>
      </c>
      <c r="F161">
        <v>20</v>
      </c>
    </row>
    <row r="162" spans="1:6">
      <c r="A162" s="3"/>
      <c r="B162">
        <v>14.1</v>
      </c>
      <c r="C162">
        <v>18</v>
      </c>
      <c r="D162" s="889">
        <v>9700</v>
      </c>
      <c r="E162">
        <v>25</v>
      </c>
      <c r="F162">
        <v>20</v>
      </c>
    </row>
    <row r="163" spans="1:6">
      <c r="A163" s="3"/>
      <c r="B163">
        <v>18.100000000000001</v>
      </c>
      <c r="C163">
        <v>20</v>
      </c>
      <c r="D163" s="889">
        <v>12700</v>
      </c>
      <c r="E163">
        <v>25</v>
      </c>
      <c r="F163">
        <v>20</v>
      </c>
    </row>
    <row r="164" spans="1:6">
      <c r="A164" s="3"/>
      <c r="B164">
        <v>20.100000000000001</v>
      </c>
      <c r="C164">
        <v>24</v>
      </c>
      <c r="D164" s="889">
        <v>20900</v>
      </c>
      <c r="E164">
        <v>25</v>
      </c>
      <c r="F164">
        <v>20</v>
      </c>
    </row>
    <row r="165" spans="1:6">
      <c r="A165" s="3"/>
      <c r="B165">
        <v>24.1</v>
      </c>
      <c r="C165">
        <v>30</v>
      </c>
      <c r="D165" s="889">
        <v>17100</v>
      </c>
      <c r="E165">
        <v>25</v>
      </c>
      <c r="F165">
        <v>20</v>
      </c>
    </row>
    <row r="166" spans="1:6">
      <c r="A166" s="3"/>
      <c r="B166">
        <v>30.1</v>
      </c>
      <c r="C166">
        <v>36</v>
      </c>
      <c r="D166" s="889">
        <v>21100</v>
      </c>
      <c r="E166">
        <v>25</v>
      </c>
      <c r="F166">
        <v>20</v>
      </c>
    </row>
    <row r="167" spans="1:6">
      <c r="A167" s="3"/>
      <c r="B167">
        <v>36.1</v>
      </c>
      <c r="C167">
        <v>42</v>
      </c>
      <c r="D167" s="889">
        <v>26600</v>
      </c>
      <c r="E167">
        <v>25</v>
      </c>
      <c r="F167">
        <v>20</v>
      </c>
    </row>
    <row r="168" spans="1:6">
      <c r="A168" s="3"/>
      <c r="B168">
        <v>42.1</v>
      </c>
      <c r="C168">
        <v>48</v>
      </c>
      <c r="D168" s="889">
        <v>34100</v>
      </c>
      <c r="E168">
        <v>25</v>
      </c>
      <c r="F168">
        <v>20</v>
      </c>
    </row>
    <row r="169" spans="1:6">
      <c r="A169" s="3"/>
      <c r="B169">
        <v>48.1</v>
      </c>
      <c r="C169" t="s">
        <v>3596</v>
      </c>
      <c r="D169" s="889" t="s">
        <v>3596</v>
      </c>
      <c r="E169">
        <v>25</v>
      </c>
      <c r="F169">
        <v>20</v>
      </c>
    </row>
    <row r="172" spans="1:6">
      <c r="A172" s="890" t="s">
        <v>3692</v>
      </c>
      <c r="B172" s="890" t="s">
        <v>3698</v>
      </c>
      <c r="C172" s="890"/>
      <c r="D172" s="890"/>
      <c r="E172" s="890"/>
      <c r="F172" s="890"/>
    </row>
    <row r="173" spans="1:6">
      <c r="A173" s="888">
        <v>35</v>
      </c>
      <c r="B173" s="320" t="s">
        <v>3694</v>
      </c>
      <c r="C173" s="320" t="s">
        <v>3695</v>
      </c>
      <c r="D173" s="847" t="s">
        <v>3595</v>
      </c>
      <c r="E173" s="320" t="s">
        <v>3588</v>
      </c>
      <c r="F173" s="320" t="s">
        <v>3589</v>
      </c>
    </row>
    <row r="174" spans="1:6">
      <c r="A174" s="3" t="s">
        <v>3699</v>
      </c>
      <c r="B174">
        <v>0</v>
      </c>
      <c r="C174">
        <v>2</v>
      </c>
      <c r="D174" s="889">
        <v>727.99227027027018</v>
      </c>
      <c r="E174">
        <v>25</v>
      </c>
      <c r="F174">
        <v>20</v>
      </c>
    </row>
    <row r="175" spans="1:6">
      <c r="A175" s="3"/>
      <c r="B175">
        <v>2.1</v>
      </c>
      <c r="C175">
        <v>3</v>
      </c>
      <c r="D175" s="889">
        <v>906.87331645569623</v>
      </c>
      <c r="E175">
        <v>25</v>
      </c>
      <c r="F175">
        <v>20</v>
      </c>
    </row>
    <row r="176" spans="1:6">
      <c r="A176" s="3"/>
      <c r="B176">
        <v>3.1</v>
      </c>
      <c r="C176">
        <v>4</v>
      </c>
      <c r="D176" s="889">
        <v>1775</v>
      </c>
      <c r="E176">
        <v>25</v>
      </c>
      <c r="F176">
        <v>20</v>
      </c>
    </row>
    <row r="177" spans="1:6">
      <c r="A177" s="3"/>
      <c r="B177">
        <v>4.0999999999999996</v>
      </c>
      <c r="C177">
        <v>6</v>
      </c>
      <c r="D177" s="889">
        <v>2750</v>
      </c>
      <c r="E177">
        <v>25</v>
      </c>
      <c r="F177">
        <v>20</v>
      </c>
    </row>
    <row r="178" spans="1:6">
      <c r="A178" s="3"/>
      <c r="B178">
        <v>6.1</v>
      </c>
      <c r="C178">
        <v>8</v>
      </c>
      <c r="D178" s="889">
        <v>4850</v>
      </c>
      <c r="E178">
        <v>25</v>
      </c>
      <c r="F178">
        <v>20</v>
      </c>
    </row>
    <row r="179" spans="1:6">
      <c r="A179" s="3"/>
      <c r="B179">
        <v>8.1</v>
      </c>
      <c r="C179">
        <v>12</v>
      </c>
      <c r="D179" s="889">
        <v>12600</v>
      </c>
      <c r="E179">
        <v>25</v>
      </c>
      <c r="F179">
        <v>20</v>
      </c>
    </row>
    <row r="180" spans="1:6">
      <c r="A180" s="3"/>
      <c r="B180">
        <v>12.1</v>
      </c>
      <c r="C180">
        <v>18</v>
      </c>
      <c r="D180" s="889">
        <v>47100</v>
      </c>
      <c r="E180">
        <v>25</v>
      </c>
      <c r="F180">
        <v>20</v>
      </c>
    </row>
    <row r="181" spans="1:6">
      <c r="A181" s="3"/>
      <c r="B181">
        <v>18.100000000000001</v>
      </c>
      <c r="C181">
        <v>24</v>
      </c>
      <c r="D181" s="889">
        <v>66500</v>
      </c>
      <c r="E181">
        <v>25</v>
      </c>
      <c r="F181">
        <v>20</v>
      </c>
    </row>
    <row r="182" spans="1:6">
      <c r="A182" s="3"/>
      <c r="B182">
        <v>24.1</v>
      </c>
      <c r="C182" t="s">
        <v>3596</v>
      </c>
      <c r="D182" s="889" t="s">
        <v>3596</v>
      </c>
      <c r="E182">
        <v>25</v>
      </c>
      <c r="F182">
        <v>20</v>
      </c>
    </row>
    <row r="185" spans="1:6">
      <c r="A185" s="890" t="s">
        <v>3692</v>
      </c>
      <c r="B185" s="890" t="s">
        <v>3700</v>
      </c>
      <c r="C185" s="890"/>
      <c r="D185" s="890"/>
      <c r="E185" s="890"/>
      <c r="F185" s="890"/>
    </row>
    <row r="186" spans="1:6">
      <c r="A186" s="888">
        <v>35</v>
      </c>
      <c r="B186" s="320" t="s">
        <v>3694</v>
      </c>
      <c r="C186" s="320" t="s">
        <v>3695</v>
      </c>
      <c r="D186" s="847" t="s">
        <v>3595</v>
      </c>
      <c r="E186" s="320" t="s">
        <v>3588</v>
      </c>
      <c r="F186" s="320" t="s">
        <v>3589</v>
      </c>
    </row>
    <row r="187" spans="1:6">
      <c r="A187" s="3" t="s">
        <v>3701</v>
      </c>
      <c r="B187">
        <v>0</v>
      </c>
      <c r="C187">
        <v>1</v>
      </c>
      <c r="D187" s="889">
        <v>1344.7174074420614</v>
      </c>
      <c r="E187">
        <v>25</v>
      </c>
      <c r="F187">
        <v>20</v>
      </c>
    </row>
    <row r="188" spans="1:6">
      <c r="A188" s="3"/>
      <c r="B188">
        <v>1.1000000000000001</v>
      </c>
      <c r="C188">
        <v>2</v>
      </c>
      <c r="D188" s="889">
        <v>863.90978021978026</v>
      </c>
      <c r="E188">
        <v>25</v>
      </c>
      <c r="F188">
        <v>20</v>
      </c>
    </row>
    <row r="189" spans="1:6">
      <c r="A189" s="3"/>
      <c r="B189">
        <v>2.1</v>
      </c>
      <c r="C189">
        <v>3</v>
      </c>
      <c r="D189" s="889">
        <v>3473.2001649484537</v>
      </c>
      <c r="E189">
        <v>25</v>
      </c>
      <c r="F189">
        <v>20</v>
      </c>
    </row>
    <row r="190" spans="1:6">
      <c r="A190" s="3"/>
      <c r="B190">
        <v>3.1</v>
      </c>
      <c r="C190">
        <v>4</v>
      </c>
      <c r="D190" s="889">
        <v>4185.087896551724</v>
      </c>
      <c r="E190">
        <v>25</v>
      </c>
      <c r="F190">
        <v>20</v>
      </c>
    </row>
    <row r="191" spans="1:6">
      <c r="A191" s="3"/>
      <c r="B191">
        <v>4.0999999999999996</v>
      </c>
      <c r="C191">
        <v>6</v>
      </c>
      <c r="D191" s="889">
        <v>6000.7343666666675</v>
      </c>
      <c r="E191">
        <v>25</v>
      </c>
      <c r="F191">
        <v>20</v>
      </c>
    </row>
    <row r="192" spans="1:6">
      <c r="A192" s="3"/>
      <c r="B192">
        <v>6.1</v>
      </c>
      <c r="C192">
        <v>8</v>
      </c>
      <c r="D192" s="889">
        <v>11061.839595959596</v>
      </c>
      <c r="E192">
        <v>25</v>
      </c>
      <c r="F192">
        <v>20</v>
      </c>
    </row>
    <row r="193" spans="1:6">
      <c r="A193" s="3"/>
      <c r="B193">
        <v>8.1</v>
      </c>
      <c r="C193">
        <v>10</v>
      </c>
      <c r="D193" s="889">
        <v>14396.050612244897</v>
      </c>
      <c r="E193">
        <v>25</v>
      </c>
      <c r="F193">
        <v>20</v>
      </c>
    </row>
    <row r="194" spans="1:6">
      <c r="A194" s="3"/>
      <c r="B194">
        <v>10.1</v>
      </c>
      <c r="C194">
        <v>12</v>
      </c>
      <c r="D194" s="889">
        <v>16659.506451612902</v>
      </c>
      <c r="E194">
        <v>25</v>
      </c>
      <c r="F194">
        <v>20</v>
      </c>
    </row>
    <row r="195" spans="1:6">
      <c r="A195" s="3"/>
      <c r="B195">
        <v>12.1</v>
      </c>
      <c r="C195">
        <v>14</v>
      </c>
      <c r="D195" s="889">
        <v>19254.500240963855</v>
      </c>
      <c r="E195">
        <v>25</v>
      </c>
      <c r="F195">
        <v>20</v>
      </c>
    </row>
    <row r="196" spans="1:6">
      <c r="A196" s="3"/>
      <c r="B196">
        <v>14.1</v>
      </c>
      <c r="C196">
        <v>16</v>
      </c>
      <c r="D196" s="889">
        <v>26647.512289156628</v>
      </c>
      <c r="E196">
        <v>25</v>
      </c>
      <c r="F196">
        <v>20</v>
      </c>
    </row>
    <row r="197" spans="1:6">
      <c r="A197" s="3"/>
      <c r="B197">
        <v>16.100000000000001</v>
      </c>
      <c r="C197">
        <v>18</v>
      </c>
      <c r="D197" s="889">
        <v>33531.189219858155</v>
      </c>
      <c r="E197">
        <v>25</v>
      </c>
      <c r="F197">
        <v>20</v>
      </c>
    </row>
    <row r="198" spans="1:6">
      <c r="A198" s="3"/>
      <c r="B198">
        <v>18.100000000000001</v>
      </c>
      <c r="C198">
        <v>30</v>
      </c>
      <c r="D198" s="889">
        <v>42084.270140109402</v>
      </c>
      <c r="E198">
        <v>25</v>
      </c>
      <c r="F198">
        <v>20</v>
      </c>
    </row>
    <row r="199" spans="1:6">
      <c r="A199" s="3"/>
      <c r="B199">
        <v>30.1</v>
      </c>
      <c r="C199">
        <v>48</v>
      </c>
      <c r="D199" s="889">
        <v>59227.779900671587</v>
      </c>
      <c r="E199">
        <v>25</v>
      </c>
      <c r="F199">
        <v>20</v>
      </c>
    </row>
    <row r="200" spans="1:6">
      <c r="A200" s="3"/>
      <c r="B200">
        <v>48.1</v>
      </c>
      <c r="C200" t="s">
        <v>3596</v>
      </c>
      <c r="D200" s="889" t="s">
        <v>3596</v>
      </c>
      <c r="E200">
        <v>25</v>
      </c>
      <c r="F200">
        <v>20</v>
      </c>
    </row>
    <row r="203" spans="1:6">
      <c r="A203" s="891" t="s">
        <v>3598</v>
      </c>
      <c r="B203" s="891" t="s">
        <v>3702</v>
      </c>
      <c r="C203" s="891"/>
      <c r="D203" s="891"/>
      <c r="E203" s="891"/>
      <c r="F203" s="891"/>
    </row>
    <row r="204" spans="1:6">
      <c r="A204" s="888">
        <v>3</v>
      </c>
      <c r="B204" s="320"/>
      <c r="C204" s="320"/>
      <c r="D204" s="320" t="s">
        <v>3600</v>
      </c>
      <c r="E204" s="893" t="s">
        <v>3588</v>
      </c>
      <c r="F204" s="893" t="s">
        <v>3589</v>
      </c>
    </row>
    <row r="205" spans="1:6">
      <c r="A205" s="3" t="s">
        <v>3703</v>
      </c>
      <c r="B205">
        <v>0</v>
      </c>
      <c r="C205">
        <v>0</v>
      </c>
      <c r="D205" s="892">
        <v>739.60558874747949</v>
      </c>
      <c r="E205" s="526">
        <v>40</v>
      </c>
      <c r="F205" s="526">
        <v>37</v>
      </c>
    </row>
    <row r="208" spans="1:6">
      <c r="A208" s="891" t="s">
        <v>3626</v>
      </c>
      <c r="B208" s="891" t="s">
        <v>3704</v>
      </c>
      <c r="C208" s="891"/>
      <c r="D208" s="891"/>
      <c r="E208" s="891"/>
      <c r="F208" s="891"/>
    </row>
    <row r="209" spans="1:6">
      <c r="A209" s="888">
        <v>11</v>
      </c>
      <c r="B209" s="320"/>
      <c r="C209" s="320"/>
      <c r="D209" s="907" t="s">
        <v>3705</v>
      </c>
      <c r="E209" s="893" t="s">
        <v>3588</v>
      </c>
      <c r="F209" s="893" t="s">
        <v>3589</v>
      </c>
    </row>
    <row r="210" spans="1:6">
      <c r="A210" s="3" t="s">
        <v>3706</v>
      </c>
      <c r="B210">
        <v>0</v>
      </c>
      <c r="C210">
        <v>0</v>
      </c>
      <c r="D210" s="892">
        <v>389.13</v>
      </c>
      <c r="E210" s="526">
        <v>10</v>
      </c>
      <c r="F210" s="526">
        <v>10</v>
      </c>
    </row>
    <row r="213" spans="1:6">
      <c r="A213" s="891" t="s">
        <v>3598</v>
      </c>
      <c r="B213" s="891" t="s">
        <v>1347</v>
      </c>
      <c r="C213" s="891"/>
      <c r="D213" s="891"/>
      <c r="E213" s="891"/>
      <c r="F213" s="891"/>
    </row>
    <row r="214" spans="1:6">
      <c r="A214" s="888">
        <v>3</v>
      </c>
      <c r="B214" s="320"/>
      <c r="C214" s="320"/>
      <c r="D214" s="320" t="s">
        <v>3600</v>
      </c>
      <c r="E214" s="893" t="s">
        <v>3588</v>
      </c>
      <c r="F214" s="893" t="s">
        <v>3589</v>
      </c>
    </row>
    <row r="215" spans="1:6">
      <c r="A215" s="3" t="s">
        <v>3707</v>
      </c>
      <c r="B215">
        <v>0</v>
      </c>
      <c r="C215">
        <v>0</v>
      </c>
      <c r="D215" s="892">
        <v>492.74999999999994</v>
      </c>
      <c r="E215" s="526">
        <v>40</v>
      </c>
      <c r="F215" s="526">
        <v>37</v>
      </c>
    </row>
    <row r="218" spans="1:6">
      <c r="A218" s="890" t="s">
        <v>3586</v>
      </c>
      <c r="B218" s="890" t="s">
        <v>3708</v>
      </c>
      <c r="C218" s="890"/>
      <c r="D218" s="890"/>
      <c r="E218" s="890"/>
      <c r="F218" s="890"/>
    </row>
    <row r="219" spans="1:6">
      <c r="A219" s="888">
        <v>43</v>
      </c>
      <c r="B219" s="320"/>
      <c r="C219" s="320"/>
      <c r="D219" s="847" t="s">
        <v>3595</v>
      </c>
      <c r="E219" s="320" t="s">
        <v>3588</v>
      </c>
      <c r="F219" s="320" t="s">
        <v>3589</v>
      </c>
    </row>
    <row r="220" spans="1:6">
      <c r="A220" s="3" t="s">
        <v>3709</v>
      </c>
      <c r="B220">
        <v>0</v>
      </c>
      <c r="C220">
        <v>0</v>
      </c>
      <c r="D220" s="889">
        <v>2280.4682700037665</v>
      </c>
      <c r="E220">
        <v>15</v>
      </c>
      <c r="F220">
        <v>14</v>
      </c>
    </row>
    <row r="223" spans="1:6">
      <c r="A223" s="890" t="s">
        <v>3710</v>
      </c>
      <c r="B223" s="890" t="s">
        <v>3711</v>
      </c>
      <c r="C223" s="890"/>
      <c r="D223" s="890"/>
      <c r="E223" s="890"/>
      <c r="F223" s="890"/>
    </row>
    <row r="224" spans="1:6">
      <c r="A224" s="888">
        <v>15</v>
      </c>
      <c r="B224" s="320" t="s">
        <v>3694</v>
      </c>
      <c r="C224" s="320" t="s">
        <v>3695</v>
      </c>
      <c r="D224" s="847" t="s">
        <v>3712</v>
      </c>
      <c r="E224" s="320" t="s">
        <v>3588</v>
      </c>
      <c r="F224" s="320" t="s">
        <v>3589</v>
      </c>
    </row>
    <row r="225" spans="1:6">
      <c r="A225" s="3" t="s">
        <v>3713</v>
      </c>
      <c r="B225">
        <v>0</v>
      </c>
      <c r="C225">
        <v>0.5</v>
      </c>
      <c r="D225" s="889">
        <v>2.6632135313802943</v>
      </c>
      <c r="E225">
        <v>22</v>
      </c>
      <c r="F225">
        <v>17</v>
      </c>
    </row>
    <row r="226" spans="1:6">
      <c r="A226" s="3"/>
      <c r="B226">
        <v>0.6</v>
      </c>
      <c r="C226">
        <v>0.75</v>
      </c>
      <c r="D226" s="889">
        <v>3.4161861313868607</v>
      </c>
      <c r="E226">
        <v>22</v>
      </c>
      <c r="F226">
        <v>17</v>
      </c>
    </row>
    <row r="227" spans="1:6">
      <c r="A227" s="3"/>
      <c r="B227">
        <v>0.76</v>
      </c>
      <c r="C227">
        <v>1</v>
      </c>
      <c r="D227" s="889">
        <v>4.6191902899139743</v>
      </c>
      <c r="E227">
        <v>22</v>
      </c>
      <c r="F227">
        <v>17</v>
      </c>
    </row>
    <row r="228" spans="1:6">
      <c r="A228" s="3"/>
      <c r="B228">
        <v>1.1000000000000001</v>
      </c>
      <c r="C228">
        <v>1.5</v>
      </c>
      <c r="D228" s="889">
        <v>6.9897382182847299</v>
      </c>
      <c r="E228">
        <v>22</v>
      </c>
      <c r="F228">
        <v>17</v>
      </c>
    </row>
    <row r="229" spans="1:6">
      <c r="A229" s="3"/>
      <c r="B229">
        <v>1.6</v>
      </c>
      <c r="C229">
        <v>2</v>
      </c>
      <c r="D229" s="889">
        <v>9.7307617597109495</v>
      </c>
      <c r="E229">
        <v>22</v>
      </c>
      <c r="F229">
        <v>17</v>
      </c>
    </row>
    <row r="230" spans="1:6">
      <c r="A230" s="3"/>
      <c r="B230">
        <v>2.1</v>
      </c>
      <c r="C230">
        <v>2.5</v>
      </c>
      <c r="D230" s="889">
        <v>13.9160178794061</v>
      </c>
      <c r="E230">
        <v>22</v>
      </c>
      <c r="F230">
        <v>17</v>
      </c>
    </row>
    <row r="231" spans="1:6">
      <c r="A231" s="3"/>
      <c r="B231">
        <v>2.6</v>
      </c>
      <c r="C231">
        <v>3</v>
      </c>
      <c r="D231" s="889">
        <v>15.479636354286573</v>
      </c>
      <c r="E231">
        <v>22</v>
      </c>
      <c r="F231">
        <v>17</v>
      </c>
    </row>
    <row r="232" spans="1:6">
      <c r="A232" s="3"/>
      <c r="B232">
        <v>3.1</v>
      </c>
      <c r="C232">
        <v>4</v>
      </c>
      <c r="D232" s="889">
        <v>27.687322631427584</v>
      </c>
      <c r="E232">
        <v>22</v>
      </c>
      <c r="F232">
        <v>17</v>
      </c>
    </row>
    <row r="233" spans="1:6">
      <c r="A233" s="3"/>
      <c r="B233">
        <v>4.0999999999999996</v>
      </c>
      <c r="C233">
        <v>6</v>
      </c>
      <c r="D233" s="889">
        <v>50.768846439169138</v>
      </c>
      <c r="E233">
        <v>22</v>
      </c>
      <c r="F233">
        <v>17</v>
      </c>
    </row>
    <row r="234" spans="1:6">
      <c r="A234" s="3"/>
      <c r="B234">
        <v>6.1</v>
      </c>
      <c r="C234">
        <v>8</v>
      </c>
      <c r="D234" s="889">
        <v>60.907083897837325</v>
      </c>
      <c r="E234">
        <v>22</v>
      </c>
      <c r="F234">
        <v>17</v>
      </c>
    </row>
    <row r="235" spans="1:6">
      <c r="A235" s="3"/>
      <c r="B235">
        <v>8.1</v>
      </c>
      <c r="C235">
        <v>10</v>
      </c>
      <c r="D235" s="889">
        <v>120.49246198157502</v>
      </c>
      <c r="E235">
        <v>22</v>
      </c>
      <c r="F235">
        <v>17</v>
      </c>
    </row>
    <row r="236" spans="1:6">
      <c r="A236" s="3"/>
      <c r="B236">
        <v>10.1</v>
      </c>
      <c r="C236">
        <v>12</v>
      </c>
      <c r="D236" s="889">
        <v>157.99898111173229</v>
      </c>
      <c r="E236">
        <v>22</v>
      </c>
      <c r="F236">
        <v>17</v>
      </c>
    </row>
    <row r="237" spans="1:6">
      <c r="A237" s="3"/>
      <c r="B237">
        <v>12.1</v>
      </c>
      <c r="C237">
        <v>14</v>
      </c>
      <c r="D237" s="889">
        <v>232.01930337969426</v>
      </c>
      <c r="E237">
        <v>22</v>
      </c>
      <c r="F237">
        <v>17</v>
      </c>
    </row>
    <row r="238" spans="1:6">
      <c r="A238" s="3"/>
      <c r="B238">
        <v>14.1</v>
      </c>
      <c r="C238">
        <v>16</v>
      </c>
      <c r="D238" s="889">
        <v>296.65379213483146</v>
      </c>
      <c r="E238">
        <v>22</v>
      </c>
      <c r="F238">
        <v>17</v>
      </c>
    </row>
    <row r="239" spans="1:6">
      <c r="A239" s="3"/>
      <c r="B239">
        <v>16.100000000000001</v>
      </c>
      <c r="C239">
        <v>18</v>
      </c>
      <c r="D239" s="889">
        <v>297.3340569345113</v>
      </c>
      <c r="E239">
        <v>22</v>
      </c>
      <c r="F239">
        <v>17</v>
      </c>
    </row>
    <row r="240" spans="1:6">
      <c r="A240" s="3"/>
      <c r="B240">
        <v>18.100000000000001</v>
      </c>
      <c r="C240" t="s">
        <v>3596</v>
      </c>
      <c r="D240" s="889" t="s">
        <v>3596</v>
      </c>
      <c r="E240">
        <v>22</v>
      </c>
      <c r="F240">
        <v>17</v>
      </c>
    </row>
    <row r="243" spans="1:6">
      <c r="A243" s="890" t="s">
        <v>3714</v>
      </c>
      <c r="B243" s="890" t="s">
        <v>3715</v>
      </c>
      <c r="C243" s="890"/>
      <c r="D243" s="890"/>
      <c r="E243" s="890"/>
      <c r="F243" s="890"/>
    </row>
    <row r="244" spans="1:6">
      <c r="A244" s="888">
        <v>23</v>
      </c>
      <c r="B244" s="320" t="s">
        <v>3716</v>
      </c>
      <c r="C244" s="320" t="s">
        <v>3717</v>
      </c>
      <c r="D244" s="320" t="s">
        <v>3595</v>
      </c>
      <c r="E244" s="320" t="s">
        <v>3588</v>
      </c>
      <c r="F244" s="320" t="s">
        <v>3589</v>
      </c>
    </row>
    <row r="245" spans="1:6">
      <c r="A245" s="3" t="s">
        <v>3718</v>
      </c>
      <c r="B245">
        <v>0</v>
      </c>
      <c r="C245" s="526">
        <v>180</v>
      </c>
      <c r="D245" s="889">
        <v>18903.617325224444</v>
      </c>
      <c r="E245">
        <v>35</v>
      </c>
      <c r="F245">
        <v>30</v>
      </c>
    </row>
    <row r="246" spans="1:6">
      <c r="A246" s="3"/>
      <c r="B246">
        <v>181</v>
      </c>
      <c r="C246" s="526">
        <v>1400</v>
      </c>
      <c r="D246" s="889">
        <v>37307.291561729398</v>
      </c>
      <c r="E246">
        <v>35</v>
      </c>
      <c r="F246">
        <v>30</v>
      </c>
    </row>
    <row r="247" spans="1:6">
      <c r="A247" s="3"/>
      <c r="B247">
        <v>1401</v>
      </c>
      <c r="C247" s="526">
        <v>2000</v>
      </c>
      <c r="D247" s="889">
        <v>56179.431524547799</v>
      </c>
      <c r="E247">
        <v>35</v>
      </c>
      <c r="F247">
        <v>30</v>
      </c>
    </row>
    <row r="248" spans="1:6">
      <c r="A248" s="3"/>
      <c r="B248">
        <v>2001</v>
      </c>
      <c r="C248" s="526">
        <v>6800</v>
      </c>
      <c r="D248" s="889">
        <v>86885.007846737135</v>
      </c>
      <c r="E248">
        <v>35</v>
      </c>
      <c r="F248">
        <v>30</v>
      </c>
    </row>
    <row r="249" spans="1:6">
      <c r="A249" s="3"/>
      <c r="B249">
        <v>6801</v>
      </c>
      <c r="C249" s="526">
        <v>27100</v>
      </c>
      <c r="D249" s="889">
        <v>188661.29032258067</v>
      </c>
      <c r="E249">
        <v>35</v>
      </c>
      <c r="F249">
        <v>30</v>
      </c>
    </row>
    <row r="250" spans="1:6">
      <c r="A250" s="3"/>
      <c r="B250">
        <v>27101</v>
      </c>
      <c r="C250" t="s">
        <v>3596</v>
      </c>
      <c r="D250" s="889" t="s">
        <v>3596</v>
      </c>
      <c r="E250">
        <v>35</v>
      </c>
      <c r="F250">
        <v>30</v>
      </c>
    </row>
    <row r="253" spans="1:6">
      <c r="A253" s="890" t="s">
        <v>3714</v>
      </c>
      <c r="B253" s="890" t="s">
        <v>3719</v>
      </c>
      <c r="C253" s="890"/>
      <c r="D253" s="890"/>
      <c r="E253" s="890"/>
      <c r="F253" s="890"/>
    </row>
    <row r="254" spans="1:6">
      <c r="A254" s="888">
        <v>23</v>
      </c>
      <c r="B254" s="320" t="s">
        <v>3716</v>
      </c>
      <c r="C254" s="320" t="s">
        <v>3717</v>
      </c>
      <c r="D254" s="320" t="s">
        <v>3595</v>
      </c>
      <c r="E254" s="320" t="s">
        <v>3588</v>
      </c>
      <c r="F254" s="320" t="s">
        <v>3589</v>
      </c>
    </row>
    <row r="255" spans="1:6">
      <c r="A255" s="3" t="s">
        <v>3720</v>
      </c>
      <c r="B255">
        <v>0</v>
      </c>
      <c r="C255" s="526">
        <v>180</v>
      </c>
      <c r="D255" s="889">
        <v>17250.424316108834</v>
      </c>
      <c r="E255">
        <v>35</v>
      </c>
      <c r="F255">
        <v>30</v>
      </c>
    </row>
    <row r="256" spans="1:6">
      <c r="A256" s="3"/>
      <c r="B256">
        <v>181</v>
      </c>
      <c r="C256" s="526">
        <v>1400</v>
      </c>
      <c r="D256" s="889">
        <v>32550.197998383468</v>
      </c>
      <c r="E256">
        <v>35</v>
      </c>
      <c r="F256">
        <v>30</v>
      </c>
    </row>
    <row r="257" spans="1:6">
      <c r="A257" s="3"/>
      <c r="B257">
        <v>1701</v>
      </c>
      <c r="C257" s="526">
        <v>2000</v>
      </c>
      <c r="D257" s="889">
        <v>49233.695090439272</v>
      </c>
      <c r="E257">
        <v>35</v>
      </c>
      <c r="F257">
        <v>30</v>
      </c>
    </row>
    <row r="258" spans="1:6">
      <c r="A258" s="3"/>
      <c r="B258">
        <v>1401</v>
      </c>
      <c r="C258" s="526">
        <v>6800</v>
      </c>
      <c r="D258" s="889">
        <v>71941.198515468393</v>
      </c>
      <c r="E258">
        <v>35</v>
      </c>
      <c r="F258">
        <v>30</v>
      </c>
    </row>
    <row r="259" spans="1:6">
      <c r="A259" s="3"/>
      <c r="B259">
        <v>6801</v>
      </c>
      <c r="C259" s="526">
        <v>27100</v>
      </c>
      <c r="D259" s="889">
        <v>142935.48387096776</v>
      </c>
      <c r="E259">
        <v>35</v>
      </c>
      <c r="F259">
        <v>30</v>
      </c>
    </row>
    <row r="260" spans="1:6">
      <c r="A260" s="3"/>
      <c r="B260">
        <v>27101</v>
      </c>
      <c r="C260" t="s">
        <v>3596</v>
      </c>
      <c r="D260" s="889" t="s">
        <v>3596</v>
      </c>
      <c r="E260">
        <v>35</v>
      </c>
      <c r="F260">
        <v>30</v>
      </c>
    </row>
    <row r="263" spans="1:6">
      <c r="A263" s="890" t="s">
        <v>3721</v>
      </c>
      <c r="B263" s="890" t="s">
        <v>3722</v>
      </c>
      <c r="C263" s="890"/>
      <c r="D263" s="890"/>
      <c r="E263" s="890"/>
      <c r="F263" s="890"/>
    </row>
    <row r="264" spans="1:6">
      <c r="A264" s="888">
        <v>22</v>
      </c>
      <c r="B264" s="893" t="s">
        <v>3723</v>
      </c>
      <c r="C264" s="847" t="s">
        <v>3724</v>
      </c>
      <c r="D264" s="320" t="s">
        <v>3595</v>
      </c>
      <c r="E264" s="320" t="s">
        <v>3588</v>
      </c>
      <c r="F264" s="320" t="s">
        <v>3589</v>
      </c>
    </row>
    <row r="265" spans="1:6">
      <c r="A265" s="3" t="s">
        <v>3725</v>
      </c>
      <c r="B265">
        <v>0</v>
      </c>
      <c r="C265">
        <v>40</v>
      </c>
      <c r="D265" s="889">
        <v>2118</v>
      </c>
      <c r="E265">
        <v>10</v>
      </c>
      <c r="F265">
        <v>7</v>
      </c>
    </row>
    <row r="266" spans="1:6">
      <c r="A266" s="3"/>
      <c r="B266">
        <v>41</v>
      </c>
      <c r="C266">
        <v>60</v>
      </c>
      <c r="D266" s="889">
        <v>2118</v>
      </c>
      <c r="E266">
        <v>10</v>
      </c>
      <c r="F266">
        <v>7</v>
      </c>
    </row>
    <row r="267" spans="1:6">
      <c r="A267" s="3"/>
      <c r="B267">
        <v>61</v>
      </c>
      <c r="C267">
        <v>80</v>
      </c>
      <c r="D267" s="889">
        <v>2118</v>
      </c>
      <c r="E267">
        <v>10</v>
      </c>
      <c r="F267">
        <v>7</v>
      </c>
    </row>
    <row r="268" spans="1:6">
      <c r="A268" s="3"/>
      <c r="B268">
        <v>81</v>
      </c>
      <c r="C268">
        <v>120</v>
      </c>
      <c r="D268" s="889">
        <v>2118</v>
      </c>
      <c r="E268">
        <v>10</v>
      </c>
      <c r="F268">
        <v>7</v>
      </c>
    </row>
    <row r="269" spans="1:6">
      <c r="A269" s="3"/>
      <c r="B269">
        <v>121</v>
      </c>
      <c r="C269">
        <v>140</v>
      </c>
      <c r="D269" s="889">
        <v>2118</v>
      </c>
      <c r="E269">
        <v>10</v>
      </c>
      <c r="F269">
        <v>7</v>
      </c>
    </row>
    <row r="270" spans="1:6">
      <c r="A270" s="3"/>
      <c r="B270">
        <v>141</v>
      </c>
      <c r="C270">
        <v>175</v>
      </c>
      <c r="D270" s="889">
        <v>2118</v>
      </c>
      <c r="E270">
        <v>10</v>
      </c>
      <c r="F270">
        <v>7</v>
      </c>
    </row>
    <row r="271" spans="1:6">
      <c r="A271" s="3"/>
      <c r="B271">
        <v>176</v>
      </c>
      <c r="C271">
        <v>200</v>
      </c>
      <c r="D271" s="889">
        <v>2118</v>
      </c>
      <c r="E271">
        <v>10</v>
      </c>
      <c r="F271">
        <v>7</v>
      </c>
    </row>
    <row r="272" spans="1:6">
      <c r="A272" s="3"/>
      <c r="B272">
        <v>201</v>
      </c>
      <c r="C272">
        <v>250</v>
      </c>
      <c r="D272" s="889">
        <v>2118</v>
      </c>
      <c r="E272">
        <v>10</v>
      </c>
      <c r="F272">
        <v>7</v>
      </c>
    </row>
    <row r="273" spans="1:6">
      <c r="A273" s="3"/>
      <c r="B273">
        <v>251</v>
      </c>
      <c r="C273">
        <v>300</v>
      </c>
      <c r="D273" s="889">
        <v>2118</v>
      </c>
      <c r="E273">
        <v>10</v>
      </c>
      <c r="F273">
        <v>7</v>
      </c>
    </row>
    <row r="274" spans="1:6">
      <c r="A274" s="3"/>
      <c r="B274">
        <v>301</v>
      </c>
      <c r="C274">
        <v>400</v>
      </c>
      <c r="D274" s="889">
        <v>2203</v>
      </c>
      <c r="E274">
        <v>10</v>
      </c>
      <c r="F274">
        <v>7</v>
      </c>
    </row>
    <row r="275" spans="1:6">
      <c r="A275" s="3"/>
      <c r="B275">
        <v>401</v>
      </c>
      <c r="C275">
        <v>550</v>
      </c>
      <c r="D275" s="889">
        <v>2203</v>
      </c>
      <c r="E275">
        <v>10</v>
      </c>
      <c r="F275">
        <v>7</v>
      </c>
    </row>
    <row r="276" spans="1:6">
      <c r="A276" s="3"/>
      <c r="B276">
        <v>551</v>
      </c>
      <c r="C276">
        <v>625</v>
      </c>
      <c r="D276" s="889">
        <v>3358</v>
      </c>
      <c r="E276">
        <v>10</v>
      </c>
      <c r="F276">
        <v>7</v>
      </c>
    </row>
    <row r="277" spans="1:6">
      <c r="A277" s="3"/>
      <c r="B277">
        <v>626</v>
      </c>
      <c r="C277">
        <v>700</v>
      </c>
      <c r="D277" s="889">
        <v>2491</v>
      </c>
      <c r="E277">
        <v>10</v>
      </c>
      <c r="F277">
        <v>7</v>
      </c>
    </row>
    <row r="278" spans="1:6">
      <c r="A278" s="3"/>
      <c r="B278">
        <v>701</v>
      </c>
      <c r="C278">
        <v>850</v>
      </c>
      <c r="D278" s="889">
        <v>2306</v>
      </c>
      <c r="E278">
        <v>10</v>
      </c>
      <c r="F278">
        <v>7</v>
      </c>
    </row>
    <row r="279" spans="1:6">
      <c r="A279" s="3"/>
      <c r="B279">
        <v>851</v>
      </c>
      <c r="C279">
        <v>950</v>
      </c>
      <c r="D279" s="889">
        <v>2560</v>
      </c>
      <c r="E279">
        <v>10</v>
      </c>
      <c r="F279">
        <v>7</v>
      </c>
    </row>
    <row r="280" spans="1:6">
      <c r="A280" s="3"/>
      <c r="B280">
        <v>951</v>
      </c>
      <c r="C280">
        <v>1000</v>
      </c>
      <c r="D280" s="889">
        <v>2184.75</v>
      </c>
      <c r="E280">
        <v>10</v>
      </c>
      <c r="F280">
        <v>7</v>
      </c>
    </row>
    <row r="281" spans="1:6">
      <c r="A281" s="3"/>
      <c r="B281">
        <v>1001</v>
      </c>
      <c r="C281">
        <v>1100</v>
      </c>
      <c r="D281" s="889">
        <v>2627</v>
      </c>
      <c r="E281">
        <v>10</v>
      </c>
      <c r="F281">
        <v>7</v>
      </c>
    </row>
    <row r="282" spans="1:6">
      <c r="A282" s="3"/>
      <c r="B282">
        <v>1101</v>
      </c>
      <c r="C282">
        <v>1200</v>
      </c>
      <c r="D282" s="889">
        <v>2636</v>
      </c>
      <c r="E282">
        <v>10</v>
      </c>
      <c r="F282">
        <v>7</v>
      </c>
    </row>
    <row r="283" spans="1:6">
      <c r="A283" s="3"/>
      <c r="B283">
        <v>1201</v>
      </c>
      <c r="C283">
        <v>1500</v>
      </c>
      <c r="D283" s="889">
        <v>2627</v>
      </c>
      <c r="E283">
        <v>10</v>
      </c>
      <c r="F283">
        <v>7</v>
      </c>
    </row>
    <row r="284" spans="1:6">
      <c r="A284" s="3"/>
      <c r="B284">
        <v>1501</v>
      </c>
      <c r="C284">
        <v>1850</v>
      </c>
      <c r="D284" s="889">
        <v>2694</v>
      </c>
      <c r="E284">
        <v>10</v>
      </c>
      <c r="F284">
        <v>7</v>
      </c>
    </row>
    <row r="285" spans="1:6">
      <c r="A285" s="3"/>
      <c r="B285">
        <v>1851</v>
      </c>
      <c r="C285">
        <v>2000</v>
      </c>
      <c r="D285" s="889">
        <v>2694</v>
      </c>
      <c r="E285">
        <v>10</v>
      </c>
      <c r="F285">
        <v>7</v>
      </c>
    </row>
    <row r="286" spans="1:6">
      <c r="A286" s="3"/>
      <c r="B286">
        <v>2001</v>
      </c>
      <c r="C286">
        <v>2050</v>
      </c>
      <c r="D286" s="889">
        <v>2694</v>
      </c>
      <c r="E286">
        <v>10</v>
      </c>
      <c r="F286">
        <v>7</v>
      </c>
    </row>
    <row r="287" spans="1:6">
      <c r="A287" s="3"/>
      <c r="B287">
        <v>2051</v>
      </c>
      <c r="C287">
        <v>2400</v>
      </c>
      <c r="D287" s="889">
        <v>3033</v>
      </c>
      <c r="E287">
        <v>10</v>
      </c>
      <c r="F287">
        <v>7</v>
      </c>
    </row>
    <row r="288" spans="1:6">
      <c r="A288" s="3"/>
      <c r="B288">
        <v>2401</v>
      </c>
      <c r="C288">
        <v>2500</v>
      </c>
      <c r="D288" s="889">
        <v>2571.9499999999998</v>
      </c>
      <c r="E288">
        <v>10</v>
      </c>
      <c r="F288">
        <v>7</v>
      </c>
    </row>
    <row r="289" spans="1:6">
      <c r="A289" s="3"/>
      <c r="B289">
        <v>2501</v>
      </c>
      <c r="C289">
        <v>2900</v>
      </c>
      <c r="D289" s="889">
        <v>3136</v>
      </c>
      <c r="E289">
        <v>10</v>
      </c>
      <c r="F289">
        <v>7</v>
      </c>
    </row>
    <row r="290" spans="1:6">
      <c r="A290" s="3"/>
      <c r="B290">
        <v>2901</v>
      </c>
      <c r="C290">
        <v>3000</v>
      </c>
      <c r="D290" s="889">
        <v>3136</v>
      </c>
      <c r="E290">
        <v>10</v>
      </c>
      <c r="F290">
        <v>7</v>
      </c>
    </row>
    <row r="291" spans="1:6">
      <c r="A291" s="3"/>
      <c r="B291">
        <v>3001</v>
      </c>
      <c r="C291">
        <v>4000</v>
      </c>
      <c r="D291" s="889">
        <v>3424</v>
      </c>
      <c r="E291">
        <v>10</v>
      </c>
      <c r="F291">
        <v>7</v>
      </c>
    </row>
    <row r="292" spans="1:6">
      <c r="A292" s="3"/>
      <c r="B292">
        <v>4001</v>
      </c>
      <c r="C292">
        <v>4100</v>
      </c>
      <c r="D292" s="889">
        <v>3424</v>
      </c>
      <c r="E292">
        <v>10</v>
      </c>
      <c r="F292">
        <v>7</v>
      </c>
    </row>
    <row r="293" spans="1:6">
      <c r="A293" s="3"/>
      <c r="B293">
        <v>4101</v>
      </c>
      <c r="C293">
        <v>4200</v>
      </c>
      <c r="D293" s="889">
        <v>3424</v>
      </c>
      <c r="E293">
        <v>10</v>
      </c>
      <c r="F293">
        <v>7</v>
      </c>
    </row>
    <row r="294" spans="1:6">
      <c r="A294" s="3"/>
      <c r="B294">
        <v>4201</v>
      </c>
      <c r="C294">
        <v>5200</v>
      </c>
      <c r="D294" s="889">
        <v>2781.75</v>
      </c>
      <c r="E294">
        <v>10</v>
      </c>
      <c r="F294">
        <v>7</v>
      </c>
    </row>
    <row r="295" spans="1:6">
      <c r="A295" s="3"/>
      <c r="B295">
        <v>5201</v>
      </c>
      <c r="C295">
        <v>5500</v>
      </c>
      <c r="D295" s="889">
        <v>3542</v>
      </c>
      <c r="E295">
        <v>10</v>
      </c>
      <c r="F295">
        <v>7</v>
      </c>
    </row>
    <row r="296" spans="1:6">
      <c r="A296" s="3"/>
      <c r="B296">
        <v>5501</v>
      </c>
      <c r="C296">
        <v>5600</v>
      </c>
      <c r="D296" s="889">
        <v>3542</v>
      </c>
      <c r="E296">
        <v>10</v>
      </c>
      <c r="F296">
        <v>7</v>
      </c>
    </row>
    <row r="297" spans="1:6">
      <c r="A297" s="3"/>
      <c r="B297">
        <v>5601</v>
      </c>
      <c r="C297">
        <v>6500</v>
      </c>
      <c r="D297" s="889">
        <v>5354</v>
      </c>
      <c r="E297">
        <v>10</v>
      </c>
      <c r="F297">
        <v>7</v>
      </c>
    </row>
    <row r="298" spans="1:6">
      <c r="A298" s="3"/>
      <c r="B298">
        <v>6501</v>
      </c>
      <c r="C298">
        <v>6510</v>
      </c>
      <c r="D298" s="889">
        <v>5354</v>
      </c>
      <c r="E298">
        <v>10</v>
      </c>
      <c r="F298">
        <v>7</v>
      </c>
    </row>
    <row r="299" spans="1:6">
      <c r="A299" s="3"/>
      <c r="B299">
        <v>6511</v>
      </c>
      <c r="C299">
        <v>7300</v>
      </c>
      <c r="D299" s="889">
        <v>5777</v>
      </c>
      <c r="E299">
        <v>10</v>
      </c>
      <c r="F299">
        <v>7</v>
      </c>
    </row>
    <row r="300" spans="1:6">
      <c r="A300" s="3"/>
      <c r="B300">
        <v>7301</v>
      </c>
      <c r="C300">
        <v>8000</v>
      </c>
      <c r="D300" s="889">
        <v>4290.45</v>
      </c>
      <c r="E300">
        <v>10</v>
      </c>
      <c r="F300">
        <v>7</v>
      </c>
    </row>
    <row r="301" spans="1:6">
      <c r="A301" s="3"/>
      <c r="B301">
        <v>8001</v>
      </c>
      <c r="C301">
        <v>8400</v>
      </c>
      <c r="D301" s="889">
        <v>5777</v>
      </c>
      <c r="E301">
        <v>10</v>
      </c>
      <c r="F301">
        <v>7</v>
      </c>
    </row>
    <row r="302" spans="1:6">
      <c r="A302" s="3"/>
      <c r="B302">
        <v>8401</v>
      </c>
      <c r="C302">
        <v>10000</v>
      </c>
      <c r="D302" s="889">
        <v>5777</v>
      </c>
      <c r="E302">
        <v>10</v>
      </c>
      <c r="F302">
        <v>7</v>
      </c>
    </row>
    <row r="303" spans="1:6">
      <c r="A303" s="3"/>
      <c r="B303">
        <v>10001</v>
      </c>
      <c r="C303">
        <v>12000</v>
      </c>
      <c r="D303" s="889">
        <v>8374.167270844122</v>
      </c>
      <c r="E303">
        <v>10</v>
      </c>
      <c r="F303">
        <v>7</v>
      </c>
    </row>
    <row r="304" spans="1:6">
      <c r="A304" s="3"/>
      <c r="B304">
        <v>12001</v>
      </c>
      <c r="C304" t="s">
        <v>3596</v>
      </c>
      <c r="D304" s="889" t="s">
        <v>3596</v>
      </c>
      <c r="E304">
        <v>10</v>
      </c>
      <c r="F304">
        <v>7</v>
      </c>
    </row>
    <row r="307" spans="1:6">
      <c r="A307" s="890" t="s">
        <v>3721</v>
      </c>
      <c r="B307" s="890" t="s">
        <v>3726</v>
      </c>
      <c r="C307" s="890"/>
      <c r="D307" s="890"/>
      <c r="E307" s="890"/>
      <c r="F307" s="890"/>
    </row>
    <row r="308" spans="1:6">
      <c r="A308" s="888">
        <v>22</v>
      </c>
      <c r="B308" s="893" t="s">
        <v>3723</v>
      </c>
      <c r="C308" s="847" t="s">
        <v>3724</v>
      </c>
      <c r="D308" s="320" t="s">
        <v>3595</v>
      </c>
      <c r="E308" s="320" t="s">
        <v>3588</v>
      </c>
      <c r="F308" s="320" t="s">
        <v>3589</v>
      </c>
    </row>
    <row r="309" spans="1:6">
      <c r="A309" s="3" t="s">
        <v>3727</v>
      </c>
      <c r="B309">
        <v>0</v>
      </c>
      <c r="C309">
        <v>40</v>
      </c>
      <c r="D309" s="889">
        <v>230</v>
      </c>
      <c r="E309">
        <v>10</v>
      </c>
      <c r="F309">
        <v>7</v>
      </c>
    </row>
    <row r="310" spans="1:6">
      <c r="A310" s="3"/>
      <c r="B310">
        <v>41</v>
      </c>
      <c r="C310">
        <v>60</v>
      </c>
      <c r="D310" s="889">
        <v>294</v>
      </c>
      <c r="E310">
        <v>10</v>
      </c>
      <c r="F310">
        <v>7</v>
      </c>
    </row>
    <row r="311" spans="1:6">
      <c r="A311" s="3"/>
      <c r="B311">
        <v>61</v>
      </c>
      <c r="C311">
        <v>80</v>
      </c>
      <c r="D311" s="889">
        <v>353</v>
      </c>
      <c r="E311">
        <v>10</v>
      </c>
      <c r="F311">
        <v>7</v>
      </c>
    </row>
    <row r="312" spans="1:6">
      <c r="A312" s="3"/>
      <c r="B312">
        <v>81</v>
      </c>
      <c r="C312">
        <v>120</v>
      </c>
      <c r="D312" s="889">
        <v>460</v>
      </c>
      <c r="E312">
        <v>10</v>
      </c>
      <c r="F312">
        <v>7</v>
      </c>
    </row>
    <row r="313" spans="1:6">
      <c r="A313" s="3"/>
      <c r="B313">
        <v>121</v>
      </c>
      <c r="C313">
        <v>140</v>
      </c>
      <c r="D313" s="889">
        <v>506</v>
      </c>
      <c r="E313">
        <v>10</v>
      </c>
      <c r="F313">
        <v>7</v>
      </c>
    </row>
    <row r="314" spans="1:6">
      <c r="A314" s="3"/>
      <c r="B314">
        <v>141</v>
      </c>
      <c r="C314">
        <v>175</v>
      </c>
      <c r="D314" s="889">
        <v>558</v>
      </c>
      <c r="E314">
        <v>10</v>
      </c>
      <c r="F314">
        <v>7</v>
      </c>
    </row>
    <row r="315" spans="1:6">
      <c r="A315" s="3"/>
      <c r="B315">
        <v>176</v>
      </c>
      <c r="C315">
        <v>200</v>
      </c>
      <c r="D315" s="889">
        <v>615</v>
      </c>
      <c r="E315">
        <v>10</v>
      </c>
      <c r="F315">
        <v>7</v>
      </c>
    </row>
    <row r="316" spans="1:6">
      <c r="A316" s="3"/>
      <c r="B316">
        <v>201</v>
      </c>
      <c r="C316">
        <v>250</v>
      </c>
      <c r="D316" s="889">
        <v>727</v>
      </c>
      <c r="E316">
        <v>10</v>
      </c>
      <c r="F316">
        <v>7</v>
      </c>
    </row>
    <row r="317" spans="1:6">
      <c r="A317" s="3"/>
      <c r="B317">
        <v>251</v>
      </c>
      <c r="C317">
        <v>300</v>
      </c>
      <c r="D317" s="889">
        <v>879</v>
      </c>
      <c r="E317">
        <v>10</v>
      </c>
      <c r="F317">
        <v>7</v>
      </c>
    </row>
    <row r="318" spans="1:6">
      <c r="A318" s="3"/>
      <c r="B318">
        <v>301</v>
      </c>
      <c r="C318">
        <v>400</v>
      </c>
      <c r="D318" s="889">
        <v>1016</v>
      </c>
      <c r="E318">
        <v>10</v>
      </c>
      <c r="F318">
        <v>7</v>
      </c>
    </row>
    <row r="319" spans="1:6">
      <c r="A319" s="3"/>
      <c r="B319">
        <v>401</v>
      </c>
      <c r="C319">
        <v>550</v>
      </c>
      <c r="D319" s="889">
        <v>1257</v>
      </c>
      <c r="E319">
        <v>10</v>
      </c>
      <c r="F319">
        <v>7</v>
      </c>
    </row>
    <row r="320" spans="1:6">
      <c r="A320" s="3"/>
      <c r="B320">
        <v>551</v>
      </c>
      <c r="C320">
        <v>625</v>
      </c>
      <c r="D320" s="889">
        <v>1306</v>
      </c>
      <c r="E320">
        <v>10</v>
      </c>
      <c r="F320">
        <v>7</v>
      </c>
    </row>
    <row r="321" spans="1:6">
      <c r="A321" s="3"/>
      <c r="B321">
        <v>626</v>
      </c>
      <c r="C321">
        <v>700</v>
      </c>
      <c r="D321" s="889">
        <v>1306</v>
      </c>
      <c r="E321">
        <v>10</v>
      </c>
      <c r="F321">
        <v>7</v>
      </c>
    </row>
    <row r="322" spans="1:6">
      <c r="A322" s="3"/>
      <c r="B322">
        <v>701</v>
      </c>
      <c r="C322">
        <v>850</v>
      </c>
      <c r="D322" s="889">
        <v>1724</v>
      </c>
      <c r="E322">
        <v>10</v>
      </c>
      <c r="F322">
        <v>7</v>
      </c>
    </row>
    <row r="323" spans="1:6">
      <c r="A323" s="3"/>
      <c r="B323">
        <v>851</v>
      </c>
      <c r="C323">
        <v>950</v>
      </c>
      <c r="D323" s="889">
        <v>1758</v>
      </c>
      <c r="E323">
        <v>10</v>
      </c>
      <c r="F323">
        <v>7</v>
      </c>
    </row>
    <row r="324" spans="1:6">
      <c r="A324" s="3"/>
      <c r="B324">
        <v>951</v>
      </c>
      <c r="C324">
        <v>1000</v>
      </c>
      <c r="D324" s="889">
        <v>1613.8</v>
      </c>
      <c r="E324">
        <v>10</v>
      </c>
      <c r="F324">
        <v>7</v>
      </c>
    </row>
    <row r="325" spans="1:6">
      <c r="A325" s="3"/>
      <c r="B325">
        <v>1001</v>
      </c>
      <c r="C325">
        <v>1100</v>
      </c>
      <c r="D325" s="889">
        <v>1834</v>
      </c>
      <c r="E325">
        <v>10</v>
      </c>
      <c r="F325">
        <v>7</v>
      </c>
    </row>
    <row r="326" spans="1:6">
      <c r="A326" s="3"/>
      <c r="B326">
        <v>1101</v>
      </c>
      <c r="C326">
        <v>1200</v>
      </c>
      <c r="D326" s="889">
        <v>2032</v>
      </c>
      <c r="E326">
        <v>10</v>
      </c>
      <c r="F326">
        <v>7</v>
      </c>
    </row>
    <row r="327" spans="1:6">
      <c r="A327" s="3"/>
      <c r="B327">
        <v>1201</v>
      </c>
      <c r="C327">
        <v>1500</v>
      </c>
      <c r="D327" s="889">
        <v>2469</v>
      </c>
      <c r="E327">
        <v>10</v>
      </c>
      <c r="F327">
        <v>7</v>
      </c>
    </row>
    <row r="328" spans="1:6">
      <c r="A328" s="3"/>
      <c r="B328">
        <v>1501</v>
      </c>
      <c r="C328">
        <v>1850</v>
      </c>
      <c r="D328" s="889">
        <v>2823</v>
      </c>
      <c r="E328">
        <v>10</v>
      </c>
      <c r="F328">
        <v>7</v>
      </c>
    </row>
    <row r="329" spans="1:6">
      <c r="A329" s="3"/>
      <c r="B329">
        <v>1851</v>
      </c>
      <c r="C329">
        <v>2000</v>
      </c>
      <c r="D329" s="889">
        <v>2823</v>
      </c>
      <c r="E329">
        <v>10</v>
      </c>
      <c r="F329">
        <v>7</v>
      </c>
    </row>
    <row r="330" spans="1:6">
      <c r="A330" s="3"/>
      <c r="B330">
        <v>2001</v>
      </c>
      <c r="C330">
        <v>2050</v>
      </c>
      <c r="D330" s="889">
        <v>3237</v>
      </c>
      <c r="E330">
        <v>10</v>
      </c>
      <c r="F330">
        <v>7</v>
      </c>
    </row>
    <row r="331" spans="1:6">
      <c r="A331" s="3"/>
      <c r="B331">
        <v>2051</v>
      </c>
      <c r="C331">
        <v>2400</v>
      </c>
      <c r="D331" s="889">
        <v>3221</v>
      </c>
      <c r="E331">
        <v>10</v>
      </c>
      <c r="F331">
        <v>7</v>
      </c>
    </row>
    <row r="332" spans="1:6">
      <c r="A332" s="3"/>
      <c r="B332">
        <v>2401</v>
      </c>
      <c r="C332">
        <v>2500</v>
      </c>
      <c r="D332" s="889">
        <v>2956.9</v>
      </c>
      <c r="E332">
        <v>10</v>
      </c>
      <c r="F332">
        <v>7</v>
      </c>
    </row>
    <row r="333" spans="1:6">
      <c r="A333" s="3"/>
      <c r="B333">
        <v>2501</v>
      </c>
      <c r="C333">
        <v>2900</v>
      </c>
      <c r="D333" s="889">
        <v>3648</v>
      </c>
      <c r="E333">
        <v>10</v>
      </c>
      <c r="F333">
        <v>7</v>
      </c>
    </row>
    <row r="334" spans="1:6">
      <c r="A334" s="3"/>
      <c r="B334">
        <v>2901</v>
      </c>
      <c r="C334">
        <v>3000</v>
      </c>
      <c r="D334" s="889">
        <v>3648</v>
      </c>
      <c r="E334">
        <v>10</v>
      </c>
      <c r="F334">
        <v>7</v>
      </c>
    </row>
    <row r="335" spans="1:6">
      <c r="A335" s="3"/>
      <c r="B335">
        <v>3001</v>
      </c>
      <c r="C335">
        <v>4000</v>
      </c>
      <c r="D335" s="889">
        <v>4418</v>
      </c>
      <c r="E335">
        <v>10</v>
      </c>
      <c r="F335">
        <v>7</v>
      </c>
    </row>
    <row r="336" spans="1:6">
      <c r="A336" s="3"/>
      <c r="B336">
        <v>4001</v>
      </c>
      <c r="C336">
        <v>4100</v>
      </c>
      <c r="D336" s="889">
        <v>4549</v>
      </c>
      <c r="E336">
        <v>10</v>
      </c>
      <c r="F336">
        <v>7</v>
      </c>
    </row>
    <row r="337" spans="1:6">
      <c r="A337" s="3"/>
      <c r="B337">
        <v>4101</v>
      </c>
      <c r="C337">
        <v>4200</v>
      </c>
      <c r="D337" s="889">
        <v>4654</v>
      </c>
      <c r="E337">
        <v>10</v>
      </c>
      <c r="F337">
        <v>7</v>
      </c>
    </row>
    <row r="338" spans="1:6">
      <c r="A338" s="3"/>
      <c r="B338">
        <v>4201</v>
      </c>
      <c r="C338">
        <v>5200</v>
      </c>
      <c r="D338" s="889">
        <v>4641.1000000000004</v>
      </c>
      <c r="E338">
        <v>10</v>
      </c>
      <c r="F338">
        <v>7</v>
      </c>
    </row>
    <row r="339" spans="1:6">
      <c r="A339" s="3"/>
      <c r="B339">
        <v>5201</v>
      </c>
      <c r="C339">
        <v>5500</v>
      </c>
      <c r="D339" s="889">
        <v>4808</v>
      </c>
      <c r="E339">
        <v>10</v>
      </c>
      <c r="F339">
        <v>7</v>
      </c>
    </row>
    <row r="340" spans="1:6">
      <c r="A340" s="3"/>
      <c r="B340">
        <v>5501</v>
      </c>
      <c r="C340">
        <v>5600</v>
      </c>
      <c r="D340" s="889">
        <v>5674</v>
      </c>
      <c r="E340">
        <v>10</v>
      </c>
      <c r="F340">
        <v>7</v>
      </c>
    </row>
    <row r="341" spans="1:6">
      <c r="A341" s="3"/>
      <c r="B341">
        <v>5601</v>
      </c>
      <c r="C341">
        <v>6500</v>
      </c>
      <c r="D341" s="889">
        <v>6276</v>
      </c>
      <c r="E341">
        <v>10</v>
      </c>
      <c r="F341">
        <v>7</v>
      </c>
    </row>
    <row r="342" spans="1:6">
      <c r="A342" s="3"/>
      <c r="B342">
        <v>6501</v>
      </c>
      <c r="C342">
        <v>6510</v>
      </c>
      <c r="D342" s="889">
        <v>5297</v>
      </c>
      <c r="E342">
        <v>10</v>
      </c>
      <c r="F342">
        <v>7</v>
      </c>
    </row>
    <row r="343" spans="1:6">
      <c r="A343" s="3"/>
      <c r="B343">
        <v>6511</v>
      </c>
      <c r="C343">
        <v>7300</v>
      </c>
      <c r="D343" s="889">
        <v>6966</v>
      </c>
      <c r="E343">
        <v>10</v>
      </c>
      <c r="F343">
        <v>7</v>
      </c>
    </row>
    <row r="344" spans="1:6">
      <c r="A344" s="3"/>
      <c r="B344">
        <v>7301</v>
      </c>
      <c r="C344">
        <v>8000</v>
      </c>
      <c r="D344" s="889">
        <v>6394.7</v>
      </c>
      <c r="E344">
        <v>10</v>
      </c>
      <c r="F344">
        <v>7</v>
      </c>
    </row>
    <row r="345" spans="1:6">
      <c r="A345" s="3"/>
      <c r="B345">
        <v>8001</v>
      </c>
      <c r="C345">
        <v>8400</v>
      </c>
      <c r="D345" s="889">
        <v>7347</v>
      </c>
      <c r="E345">
        <v>10</v>
      </c>
      <c r="F345">
        <v>7</v>
      </c>
    </row>
    <row r="346" spans="1:6">
      <c r="A346" s="3"/>
      <c r="B346">
        <v>8401</v>
      </c>
      <c r="C346">
        <v>10000</v>
      </c>
      <c r="D346" s="889">
        <v>8170</v>
      </c>
      <c r="E346">
        <v>10</v>
      </c>
      <c r="F346">
        <v>7</v>
      </c>
    </row>
    <row r="347" spans="1:6">
      <c r="A347" s="3"/>
      <c r="B347">
        <v>10001</v>
      </c>
      <c r="C347">
        <v>12000</v>
      </c>
      <c r="D347" s="889">
        <v>9076</v>
      </c>
      <c r="E347">
        <v>10</v>
      </c>
      <c r="F347">
        <v>7</v>
      </c>
    </row>
    <row r="348" spans="1:6">
      <c r="A348" s="3"/>
      <c r="B348">
        <v>12001</v>
      </c>
      <c r="C348" t="s">
        <v>3596</v>
      </c>
      <c r="D348" s="889" t="s">
        <v>3596</v>
      </c>
      <c r="E348">
        <v>10</v>
      </c>
      <c r="F348">
        <v>7</v>
      </c>
    </row>
    <row r="351" spans="1:6">
      <c r="A351" s="3"/>
    </row>
    <row r="352" spans="1:6">
      <c r="A352" s="908" t="s">
        <v>3728</v>
      </c>
      <c r="B352" s="909" t="s">
        <v>3729</v>
      </c>
      <c r="C352" s="910">
        <v>2021</v>
      </c>
    </row>
    <row r="355" spans="1:6">
      <c r="A355" s="890" t="s">
        <v>3730</v>
      </c>
      <c r="B355" s="890" t="s">
        <v>3731</v>
      </c>
      <c r="C355" s="890"/>
      <c r="D355" s="890"/>
      <c r="E355" s="890"/>
      <c r="F355" s="890"/>
    </row>
    <row r="356" spans="1:6">
      <c r="A356" s="888">
        <v>19</v>
      </c>
      <c r="B356" s="320" t="s">
        <v>3694</v>
      </c>
      <c r="C356" s="320" t="s">
        <v>3695</v>
      </c>
      <c r="D356" s="847" t="s">
        <v>3712</v>
      </c>
      <c r="E356" s="320" t="s">
        <v>3588</v>
      </c>
      <c r="F356" s="320" t="s">
        <v>3589</v>
      </c>
    </row>
    <row r="357" spans="1:6">
      <c r="A357" s="3" t="s">
        <v>3732</v>
      </c>
      <c r="B357">
        <v>0</v>
      </c>
      <c r="C357">
        <v>4</v>
      </c>
      <c r="D357" s="889">
        <v>75</v>
      </c>
      <c r="E357">
        <v>40</v>
      </c>
      <c r="F357">
        <v>35</v>
      </c>
    </row>
    <row r="358" spans="1:6">
      <c r="A358" s="3"/>
      <c r="B358">
        <v>4.0999999999999996</v>
      </c>
      <c r="C358">
        <v>6</v>
      </c>
      <c r="D358" s="889">
        <v>92.5</v>
      </c>
      <c r="E358">
        <v>40</v>
      </c>
      <c r="F358">
        <v>35</v>
      </c>
    </row>
    <row r="359" spans="1:6">
      <c r="A359" s="3"/>
      <c r="B359">
        <v>6.1</v>
      </c>
      <c r="C359">
        <v>8</v>
      </c>
      <c r="D359" s="889">
        <v>126</v>
      </c>
      <c r="E359">
        <v>40</v>
      </c>
      <c r="F359">
        <v>35</v>
      </c>
    </row>
    <row r="360" spans="1:6">
      <c r="A360" s="3"/>
      <c r="B360">
        <v>8.1</v>
      </c>
      <c r="C360">
        <v>10</v>
      </c>
      <c r="D360" s="889">
        <v>161</v>
      </c>
      <c r="E360">
        <v>40</v>
      </c>
      <c r="F360">
        <v>35</v>
      </c>
    </row>
    <row r="361" spans="1:6">
      <c r="A361" s="3"/>
      <c r="B361">
        <v>10.1</v>
      </c>
      <c r="C361">
        <v>12</v>
      </c>
      <c r="D361" s="889">
        <v>197</v>
      </c>
      <c r="E361">
        <v>40</v>
      </c>
      <c r="F361">
        <v>35</v>
      </c>
    </row>
    <row r="362" spans="1:6">
      <c r="A362" s="3"/>
      <c r="B362">
        <v>12.1</v>
      </c>
      <c r="C362">
        <v>14</v>
      </c>
      <c r="D362" s="889">
        <v>157</v>
      </c>
      <c r="E362">
        <v>40</v>
      </c>
      <c r="F362">
        <v>35</v>
      </c>
    </row>
    <row r="363" spans="1:6">
      <c r="A363" s="3"/>
      <c r="B363">
        <v>14.1</v>
      </c>
      <c r="C363">
        <v>16</v>
      </c>
      <c r="D363" s="889">
        <v>169</v>
      </c>
      <c r="E363">
        <v>40</v>
      </c>
      <c r="F363">
        <v>35</v>
      </c>
    </row>
    <row r="364" spans="1:6">
      <c r="A364" s="3"/>
      <c r="B364">
        <v>16.100000000000001</v>
      </c>
      <c r="C364">
        <v>18</v>
      </c>
      <c r="D364" s="889">
        <v>216</v>
      </c>
      <c r="E364">
        <v>40</v>
      </c>
      <c r="F364">
        <v>35</v>
      </c>
    </row>
    <row r="365" spans="1:6">
      <c r="A365" s="3"/>
      <c r="B365">
        <v>18.100000000000001</v>
      </c>
      <c r="C365">
        <v>20</v>
      </c>
      <c r="D365" s="889">
        <v>225</v>
      </c>
      <c r="E365">
        <v>40</v>
      </c>
      <c r="F365">
        <v>35</v>
      </c>
    </row>
    <row r="366" spans="1:6">
      <c r="A366" s="3"/>
      <c r="B366">
        <v>20.100000000000001</v>
      </c>
      <c r="C366">
        <v>24</v>
      </c>
      <c r="D366" s="889">
        <v>254</v>
      </c>
      <c r="E366">
        <v>40</v>
      </c>
      <c r="F366">
        <v>35</v>
      </c>
    </row>
    <row r="367" spans="1:6">
      <c r="A367" s="3"/>
      <c r="B367">
        <v>24.1</v>
      </c>
      <c r="C367">
        <v>30</v>
      </c>
      <c r="D367" s="889">
        <v>345.13777777777773</v>
      </c>
      <c r="E367">
        <v>40</v>
      </c>
      <c r="F367">
        <v>35</v>
      </c>
    </row>
    <row r="368" spans="1:6">
      <c r="A368" s="3"/>
      <c r="B368">
        <v>30.1</v>
      </c>
      <c r="C368">
        <v>36</v>
      </c>
      <c r="D368" s="889">
        <v>451.23555555555549</v>
      </c>
      <c r="E368">
        <v>40</v>
      </c>
      <c r="F368">
        <v>35</v>
      </c>
    </row>
    <row r="369" spans="1:6">
      <c r="A369" s="3"/>
      <c r="B369">
        <v>36.1</v>
      </c>
      <c r="C369">
        <v>42</v>
      </c>
      <c r="D369" s="889">
        <v>628.76444444444439</v>
      </c>
      <c r="E369">
        <v>40</v>
      </c>
      <c r="F369">
        <v>35</v>
      </c>
    </row>
    <row r="370" spans="1:6">
      <c r="A370" s="3"/>
      <c r="B370">
        <v>42.1</v>
      </c>
      <c r="C370">
        <v>48</v>
      </c>
      <c r="D370" s="889">
        <v>816.64</v>
      </c>
      <c r="E370">
        <v>40</v>
      </c>
      <c r="F370">
        <v>35</v>
      </c>
    </row>
    <row r="371" spans="1:6">
      <c r="A371" s="3"/>
      <c r="B371">
        <v>48.1</v>
      </c>
      <c r="C371" t="s">
        <v>3596</v>
      </c>
      <c r="D371" s="889" t="s">
        <v>3596</v>
      </c>
      <c r="E371">
        <v>40</v>
      </c>
      <c r="F371">
        <v>35</v>
      </c>
    </row>
    <row r="374" spans="1:6">
      <c r="A374" s="891" t="s">
        <v>3586</v>
      </c>
      <c r="B374" s="891" t="s">
        <v>93</v>
      </c>
      <c r="C374" s="891"/>
      <c r="D374" s="891"/>
      <c r="E374" s="891"/>
      <c r="F374" s="891"/>
    </row>
    <row r="375" spans="1:6">
      <c r="A375" s="888">
        <v>43</v>
      </c>
      <c r="B375" s="320"/>
      <c r="C375" s="320"/>
      <c r="D375" s="847" t="s">
        <v>3595</v>
      </c>
      <c r="E375" s="320" t="s">
        <v>3588</v>
      </c>
      <c r="F375" s="320" t="s">
        <v>3589</v>
      </c>
    </row>
    <row r="376" spans="1:6">
      <c r="A376" s="3" t="s">
        <v>3733</v>
      </c>
      <c r="B376">
        <v>0</v>
      </c>
      <c r="C376">
        <v>0</v>
      </c>
      <c r="D376" s="889">
        <v>1400</v>
      </c>
      <c r="E376">
        <v>22</v>
      </c>
      <c r="F376">
        <v>17</v>
      </c>
    </row>
    <row r="379" spans="1:6">
      <c r="A379" s="888">
        <v>3</v>
      </c>
      <c r="B379" s="320"/>
      <c r="C379" s="782"/>
      <c r="D379" s="847" t="s">
        <v>3600</v>
      </c>
      <c r="E379" s="847" t="s">
        <v>3588</v>
      </c>
    </row>
    <row r="380" spans="1:6">
      <c r="A380" s="3" t="s">
        <v>3735</v>
      </c>
      <c r="B380" s="526" t="s">
        <v>3734</v>
      </c>
      <c r="C380" s="3" t="s">
        <v>3735</v>
      </c>
      <c r="D380" s="892">
        <v>8.19</v>
      </c>
      <c r="E380" t="s">
        <v>1343</v>
      </c>
    </row>
    <row r="383" spans="1:6">
      <c r="A383" s="891" t="s">
        <v>3736</v>
      </c>
      <c r="B383" s="891" t="s">
        <v>3737</v>
      </c>
      <c r="C383" s="891"/>
      <c r="D383" s="891"/>
      <c r="E383" s="891"/>
      <c r="F383" s="891"/>
    </row>
    <row r="384" spans="1:6">
      <c r="A384" s="888">
        <v>16</v>
      </c>
      <c r="B384" s="320"/>
      <c r="C384" s="782"/>
      <c r="D384" s="847" t="s">
        <v>3738</v>
      </c>
      <c r="E384" s="847" t="s">
        <v>3588</v>
      </c>
      <c r="F384" s="847" t="s">
        <v>3589</v>
      </c>
    </row>
    <row r="385" spans="1:6">
      <c r="A385" s="3" t="s">
        <v>3739</v>
      </c>
      <c r="B385">
        <v>0</v>
      </c>
      <c r="C385">
        <v>0</v>
      </c>
      <c r="D385" s="892">
        <v>2.7</v>
      </c>
      <c r="E385" s="526">
        <v>10</v>
      </c>
      <c r="F385" s="526">
        <v>10</v>
      </c>
    </row>
    <row r="388" spans="1:6">
      <c r="A388" s="891" t="s">
        <v>3598</v>
      </c>
      <c r="B388" s="891" t="s">
        <v>566</v>
      </c>
      <c r="C388" s="891"/>
      <c r="D388" s="891"/>
      <c r="E388" s="891"/>
      <c r="F388" s="891"/>
    </row>
    <row r="389" spans="1:6">
      <c r="A389" s="888">
        <v>3</v>
      </c>
      <c r="B389" s="320"/>
      <c r="C389" s="320"/>
      <c r="D389" s="320" t="s">
        <v>3600</v>
      </c>
      <c r="E389" s="320" t="s">
        <v>3588</v>
      </c>
      <c r="F389" s="320" t="s">
        <v>3589</v>
      </c>
    </row>
    <row r="390" spans="1:6">
      <c r="A390" s="3" t="s">
        <v>3740</v>
      </c>
      <c r="B390">
        <v>0</v>
      </c>
      <c r="C390">
        <v>0</v>
      </c>
      <c r="D390" s="892">
        <v>30.879999999999995</v>
      </c>
      <c r="E390" t="s">
        <v>3601</v>
      </c>
      <c r="F390" t="s">
        <v>3601</v>
      </c>
    </row>
    <row r="393" spans="1:6">
      <c r="A393" s="890" t="s">
        <v>3736</v>
      </c>
      <c r="B393" s="890" t="s">
        <v>3741</v>
      </c>
      <c r="C393" s="890"/>
      <c r="D393" s="890"/>
      <c r="E393" s="890"/>
      <c r="F393" s="890"/>
    </row>
    <row r="394" spans="1:6">
      <c r="A394" s="888">
        <v>16</v>
      </c>
      <c r="B394" s="320" t="s">
        <v>3716</v>
      </c>
      <c r="C394" s="320" t="s">
        <v>3717</v>
      </c>
      <c r="D394" s="320" t="s">
        <v>3595</v>
      </c>
      <c r="E394" s="320" t="s">
        <v>3588</v>
      </c>
      <c r="F394" s="320" t="s">
        <v>3589</v>
      </c>
    </row>
    <row r="395" spans="1:6">
      <c r="A395" s="3" t="s">
        <v>3742</v>
      </c>
      <c r="B395">
        <v>0</v>
      </c>
      <c r="C395">
        <v>564</v>
      </c>
      <c r="D395" s="889">
        <v>7145.2205882352946</v>
      </c>
      <c r="E395">
        <v>25</v>
      </c>
      <c r="F395">
        <v>20</v>
      </c>
    </row>
    <row r="396" spans="1:6">
      <c r="A396" s="3"/>
      <c r="B396">
        <v>565</v>
      </c>
      <c r="C396">
        <v>600</v>
      </c>
      <c r="D396" s="889">
        <v>18678.227941176472</v>
      </c>
      <c r="E396">
        <v>25</v>
      </c>
      <c r="F396">
        <v>20</v>
      </c>
    </row>
    <row r="397" spans="1:6">
      <c r="A397" s="3"/>
      <c r="B397">
        <v>601</v>
      </c>
      <c r="C397">
        <v>1000</v>
      </c>
      <c r="D397" s="889">
        <v>28419.964285714283</v>
      </c>
      <c r="E397">
        <v>25</v>
      </c>
      <c r="F397">
        <v>20</v>
      </c>
    </row>
    <row r="398" spans="1:6">
      <c r="A398" s="3"/>
      <c r="B398">
        <v>1001</v>
      </c>
      <c r="C398">
        <v>1470</v>
      </c>
      <c r="D398" s="889">
        <v>8733.9285714285706</v>
      </c>
      <c r="E398">
        <v>25</v>
      </c>
      <c r="F398">
        <v>20</v>
      </c>
    </row>
    <row r="399" spans="1:6">
      <c r="A399" s="3"/>
      <c r="B399">
        <v>1471</v>
      </c>
      <c r="C399">
        <v>1500</v>
      </c>
      <c r="D399" s="889">
        <v>24998.206896551721</v>
      </c>
      <c r="E399">
        <v>25</v>
      </c>
      <c r="F399">
        <v>20</v>
      </c>
    </row>
    <row r="400" spans="1:6">
      <c r="A400" s="3"/>
      <c r="B400">
        <v>1501</v>
      </c>
      <c r="C400">
        <v>2000</v>
      </c>
      <c r="D400" s="889">
        <v>28731.03875968992</v>
      </c>
      <c r="E400">
        <v>25</v>
      </c>
      <c r="F400">
        <v>20</v>
      </c>
    </row>
    <row r="401" spans="1:6">
      <c r="A401" s="3"/>
      <c r="B401">
        <v>2001</v>
      </c>
      <c r="C401">
        <v>3000</v>
      </c>
      <c r="D401" s="889">
        <v>30053.043927648578</v>
      </c>
      <c r="E401">
        <v>25</v>
      </c>
      <c r="F401">
        <v>20</v>
      </c>
    </row>
    <row r="402" spans="1:6">
      <c r="A402" s="3"/>
      <c r="B402">
        <v>3001</v>
      </c>
      <c r="C402">
        <v>4000</v>
      </c>
      <c r="D402" s="889">
        <v>33272.392764857876</v>
      </c>
      <c r="E402">
        <v>25</v>
      </c>
      <c r="F402">
        <v>20</v>
      </c>
    </row>
    <row r="403" spans="1:6">
      <c r="A403" s="3"/>
      <c r="B403">
        <v>4001</v>
      </c>
      <c r="C403">
        <v>4500</v>
      </c>
      <c r="D403" s="889">
        <v>12994.315245478036</v>
      </c>
      <c r="E403">
        <v>25</v>
      </c>
      <c r="F403">
        <v>20</v>
      </c>
    </row>
    <row r="404" spans="1:6">
      <c r="A404" s="3"/>
      <c r="B404">
        <v>4501</v>
      </c>
      <c r="C404">
        <v>5000</v>
      </c>
      <c r="D404" s="889">
        <v>36466.366492146597</v>
      </c>
      <c r="E404">
        <v>25</v>
      </c>
      <c r="F404">
        <v>20</v>
      </c>
    </row>
    <row r="405" spans="1:6">
      <c r="A405" s="3"/>
      <c r="B405">
        <v>5001</v>
      </c>
      <c r="C405">
        <v>6000</v>
      </c>
      <c r="D405" s="889">
        <v>40172.167539267015</v>
      </c>
      <c r="E405">
        <v>25</v>
      </c>
      <c r="F405">
        <v>20</v>
      </c>
    </row>
    <row r="406" spans="1:6">
      <c r="A406" s="3"/>
      <c r="B406">
        <v>6001</v>
      </c>
      <c r="C406">
        <v>7000</v>
      </c>
      <c r="D406" s="889">
        <v>43357.41361256544</v>
      </c>
      <c r="E406">
        <v>25</v>
      </c>
      <c r="F406">
        <v>20</v>
      </c>
    </row>
    <row r="407" spans="1:6">
      <c r="A407" s="3"/>
      <c r="B407">
        <v>7001</v>
      </c>
      <c r="C407">
        <v>8000</v>
      </c>
      <c r="D407" s="889">
        <v>46547.246073298425</v>
      </c>
      <c r="E407">
        <v>25</v>
      </c>
      <c r="F407">
        <v>20</v>
      </c>
    </row>
    <row r="408" spans="1:6">
      <c r="A408" s="3"/>
      <c r="B408">
        <v>8001</v>
      </c>
      <c r="C408">
        <v>9000</v>
      </c>
      <c r="D408" s="889">
        <v>49390.806282722508</v>
      </c>
      <c r="E408">
        <v>25</v>
      </c>
      <c r="F408">
        <v>20</v>
      </c>
    </row>
    <row r="409" spans="1:6">
      <c r="A409" s="3"/>
      <c r="B409">
        <v>9001</v>
      </c>
      <c r="C409">
        <v>10000</v>
      </c>
      <c r="D409" s="889">
        <v>58598.51880877743</v>
      </c>
      <c r="E409">
        <v>25</v>
      </c>
      <c r="F409">
        <v>20</v>
      </c>
    </row>
    <row r="410" spans="1:6">
      <c r="A410" s="3"/>
      <c r="B410">
        <v>10001</v>
      </c>
      <c r="C410">
        <v>11000</v>
      </c>
      <c r="D410" s="889">
        <v>55237.429467084643</v>
      </c>
      <c r="E410">
        <v>25</v>
      </c>
      <c r="F410">
        <v>20</v>
      </c>
    </row>
    <row r="411" spans="1:6">
      <c r="A411" s="3"/>
      <c r="B411">
        <v>11001</v>
      </c>
      <c r="C411">
        <v>11750</v>
      </c>
      <c r="D411" s="889">
        <v>26877.272727272728</v>
      </c>
      <c r="E411">
        <v>25</v>
      </c>
      <c r="F411">
        <v>20</v>
      </c>
    </row>
    <row r="412" spans="1:6">
      <c r="A412" s="3"/>
      <c r="B412">
        <v>11751</v>
      </c>
      <c r="C412">
        <v>12000</v>
      </c>
      <c r="D412" s="889">
        <v>58195.188087774295</v>
      </c>
      <c r="E412">
        <v>25</v>
      </c>
      <c r="F412">
        <v>20</v>
      </c>
    </row>
    <row r="413" spans="1:6">
      <c r="A413" s="3"/>
      <c r="B413">
        <v>12001</v>
      </c>
      <c r="C413">
        <v>13000</v>
      </c>
      <c r="D413" s="889">
        <v>67522.711598746086</v>
      </c>
      <c r="E413">
        <v>25</v>
      </c>
      <c r="F413">
        <v>20</v>
      </c>
    </row>
    <row r="414" spans="1:6">
      <c r="A414" s="3"/>
      <c r="B414">
        <v>13001</v>
      </c>
      <c r="C414">
        <v>14000</v>
      </c>
      <c r="D414" s="889">
        <v>74843.307210031358</v>
      </c>
      <c r="E414">
        <v>25</v>
      </c>
      <c r="F414">
        <v>20</v>
      </c>
    </row>
    <row r="415" spans="1:6">
      <c r="A415" s="3"/>
      <c r="B415">
        <v>14001</v>
      </c>
      <c r="C415">
        <v>15000</v>
      </c>
      <c r="D415" s="889">
        <v>73837.256097560967</v>
      </c>
      <c r="E415">
        <v>25</v>
      </c>
      <c r="F415">
        <v>20</v>
      </c>
    </row>
    <row r="416" spans="1:6">
      <c r="A416" s="3"/>
      <c r="B416">
        <v>15001</v>
      </c>
      <c r="C416">
        <v>20000</v>
      </c>
      <c r="D416" s="889">
        <v>103145.65094339623</v>
      </c>
      <c r="E416">
        <v>25</v>
      </c>
      <c r="F416">
        <v>20</v>
      </c>
    </row>
    <row r="417" spans="1:6">
      <c r="A417" s="3"/>
      <c r="B417">
        <v>20001</v>
      </c>
      <c r="C417">
        <v>20300</v>
      </c>
      <c r="D417" s="889">
        <v>37943.773584905663</v>
      </c>
      <c r="E417">
        <v>25</v>
      </c>
      <c r="F417">
        <v>20</v>
      </c>
    </row>
    <row r="418" spans="1:6">
      <c r="A418" s="3"/>
      <c r="B418">
        <v>20001</v>
      </c>
      <c r="C418">
        <v>22000</v>
      </c>
      <c r="D418" s="889">
        <v>115906.58490566039</v>
      </c>
      <c r="E418">
        <v>25</v>
      </c>
      <c r="F418">
        <v>20</v>
      </c>
    </row>
    <row r="419" spans="1:6">
      <c r="A419" s="3"/>
      <c r="B419">
        <v>20001</v>
      </c>
      <c r="C419">
        <v>25000</v>
      </c>
      <c r="D419" s="889">
        <v>134954.3548387097</v>
      </c>
      <c r="E419">
        <v>25</v>
      </c>
      <c r="F419">
        <v>20</v>
      </c>
    </row>
    <row r="420" spans="1:6">
      <c r="A420" s="3"/>
      <c r="B420">
        <v>20001</v>
      </c>
      <c r="C420">
        <v>30000</v>
      </c>
      <c r="D420" s="889">
        <v>163190.43243243243</v>
      </c>
      <c r="E420">
        <v>25</v>
      </c>
      <c r="F420">
        <v>20</v>
      </c>
    </row>
    <row r="421" spans="1:6">
      <c r="A421" s="3"/>
      <c r="B421">
        <v>20001</v>
      </c>
      <c r="C421">
        <v>35000</v>
      </c>
      <c r="D421" s="889">
        <v>177220.13513513512</v>
      </c>
      <c r="E421">
        <v>25</v>
      </c>
      <c r="F421">
        <v>20</v>
      </c>
    </row>
    <row r="422" spans="1:6">
      <c r="A422" s="3"/>
      <c r="B422">
        <v>20001</v>
      </c>
      <c r="C422">
        <v>40000</v>
      </c>
      <c r="D422" s="889">
        <v>222109.6216216216</v>
      </c>
      <c r="E422">
        <v>25</v>
      </c>
      <c r="F422">
        <v>20</v>
      </c>
    </row>
    <row r="423" spans="1:6">
      <c r="A423" s="3"/>
      <c r="B423">
        <v>20001</v>
      </c>
      <c r="C423">
        <v>45000</v>
      </c>
      <c r="D423" s="889">
        <v>254334.97297297296</v>
      </c>
      <c r="E423">
        <v>25</v>
      </c>
      <c r="F423">
        <v>20</v>
      </c>
    </row>
    <row r="424" spans="1:6">
      <c r="A424" s="3"/>
      <c r="B424">
        <v>20001</v>
      </c>
      <c r="C424">
        <v>48000</v>
      </c>
      <c r="D424" s="889">
        <v>271073.67567567568</v>
      </c>
      <c r="E424">
        <v>25</v>
      </c>
      <c r="F424">
        <v>20</v>
      </c>
    </row>
    <row r="425" spans="1:6">
      <c r="A425" s="3"/>
      <c r="B425">
        <v>20001</v>
      </c>
      <c r="C425">
        <v>50000</v>
      </c>
      <c r="D425" s="889">
        <v>203871.02702702701</v>
      </c>
      <c r="E425">
        <v>25</v>
      </c>
      <c r="F425">
        <v>20</v>
      </c>
    </row>
    <row r="426" spans="1:6">
      <c r="A426" s="3"/>
      <c r="B426">
        <v>20001</v>
      </c>
      <c r="C426" t="s">
        <v>3596</v>
      </c>
      <c r="D426" s="889" t="s">
        <v>3596</v>
      </c>
      <c r="E426">
        <v>25</v>
      </c>
      <c r="F426">
        <v>20</v>
      </c>
    </row>
    <row r="429" spans="1:6">
      <c r="A429" s="890" t="s">
        <v>3736</v>
      </c>
      <c r="B429" s="890" t="s">
        <v>3743</v>
      </c>
      <c r="C429" s="890"/>
      <c r="D429" s="890"/>
      <c r="E429" s="890"/>
      <c r="F429" s="890"/>
    </row>
    <row r="430" spans="1:6">
      <c r="A430" s="888">
        <v>16</v>
      </c>
      <c r="B430" s="893" t="s">
        <v>3723</v>
      </c>
      <c r="C430" s="847" t="s">
        <v>3724</v>
      </c>
      <c r="D430" s="320" t="s">
        <v>3595</v>
      </c>
      <c r="E430" s="320" t="s">
        <v>3588</v>
      </c>
      <c r="F430" s="320" t="s">
        <v>3589</v>
      </c>
    </row>
    <row r="431" spans="1:6">
      <c r="A431" s="3" t="s">
        <v>3744</v>
      </c>
      <c r="B431">
        <v>0</v>
      </c>
      <c r="C431">
        <v>564</v>
      </c>
      <c r="D431" s="889">
        <v>10643.27205882353</v>
      </c>
      <c r="E431">
        <v>10</v>
      </c>
      <c r="F431">
        <v>7</v>
      </c>
    </row>
    <row r="432" spans="1:6">
      <c r="A432" s="3"/>
      <c r="B432">
        <v>565</v>
      </c>
      <c r="C432">
        <v>600</v>
      </c>
      <c r="D432" s="889">
        <v>9872.8308823529405</v>
      </c>
      <c r="E432">
        <v>10</v>
      </c>
      <c r="F432">
        <v>7</v>
      </c>
    </row>
    <row r="433" spans="1:6">
      <c r="A433" s="3"/>
      <c r="B433">
        <v>601</v>
      </c>
      <c r="C433">
        <v>625</v>
      </c>
      <c r="D433" s="889">
        <v>10625.875</v>
      </c>
      <c r="E433">
        <v>10</v>
      </c>
      <c r="F433">
        <v>7</v>
      </c>
    </row>
    <row r="434" spans="1:6">
      <c r="A434" s="3"/>
      <c r="B434">
        <v>626</v>
      </c>
      <c r="C434">
        <v>1000</v>
      </c>
      <c r="D434" s="889">
        <v>12232.285714285714</v>
      </c>
      <c r="E434">
        <v>10</v>
      </c>
      <c r="F434">
        <v>7</v>
      </c>
    </row>
    <row r="435" spans="1:6">
      <c r="A435" s="3"/>
      <c r="B435">
        <v>1001</v>
      </c>
      <c r="C435">
        <v>1470</v>
      </c>
      <c r="D435" s="889">
        <v>12855.625</v>
      </c>
      <c r="E435">
        <v>10</v>
      </c>
      <c r="F435">
        <v>7</v>
      </c>
    </row>
    <row r="436" spans="1:6">
      <c r="A436" s="3"/>
      <c r="B436">
        <v>1471</v>
      </c>
      <c r="C436">
        <v>1500</v>
      </c>
      <c r="D436" s="889">
        <v>15064.344827586207</v>
      </c>
      <c r="E436">
        <v>10</v>
      </c>
      <c r="F436">
        <v>7</v>
      </c>
    </row>
    <row r="437" spans="1:6">
      <c r="A437" s="3"/>
      <c r="B437">
        <v>1501</v>
      </c>
      <c r="C437">
        <v>2000</v>
      </c>
      <c r="D437" s="889">
        <v>18487.235142118861</v>
      </c>
      <c r="E437">
        <v>10</v>
      </c>
      <c r="F437">
        <v>7</v>
      </c>
    </row>
    <row r="438" spans="1:6">
      <c r="A438" s="3"/>
      <c r="B438">
        <v>2001</v>
      </c>
      <c r="C438">
        <v>2150</v>
      </c>
      <c r="D438" s="889">
        <v>12954.956072351421</v>
      </c>
      <c r="E438">
        <v>10</v>
      </c>
      <c r="F438">
        <v>7</v>
      </c>
    </row>
    <row r="439" spans="1:6">
      <c r="A439" s="3"/>
      <c r="B439">
        <v>2151</v>
      </c>
      <c r="C439">
        <v>3000</v>
      </c>
      <c r="D439" s="889">
        <v>19159.81395348837</v>
      </c>
      <c r="E439">
        <v>10</v>
      </c>
      <c r="F439">
        <v>7</v>
      </c>
    </row>
    <row r="440" spans="1:6">
      <c r="A440" s="3"/>
      <c r="B440">
        <v>3001</v>
      </c>
      <c r="C440">
        <v>4000</v>
      </c>
      <c r="D440" s="889">
        <v>21829.291989664081</v>
      </c>
      <c r="E440">
        <v>10</v>
      </c>
      <c r="F440">
        <v>7</v>
      </c>
    </row>
    <row r="441" spans="1:6">
      <c r="A441" s="3"/>
      <c r="B441">
        <v>4001</v>
      </c>
      <c r="C441">
        <v>4500</v>
      </c>
      <c r="D441" s="889">
        <v>39689.09560723514</v>
      </c>
      <c r="E441">
        <v>10</v>
      </c>
      <c r="F441">
        <v>7</v>
      </c>
    </row>
    <row r="442" spans="1:6">
      <c r="A442" s="3"/>
      <c r="B442">
        <v>4501</v>
      </c>
      <c r="C442">
        <v>5000</v>
      </c>
      <c r="D442" s="889">
        <v>24602.528795811515</v>
      </c>
      <c r="E442">
        <v>10</v>
      </c>
      <c r="F442">
        <v>7</v>
      </c>
    </row>
    <row r="443" spans="1:6">
      <c r="A443" s="3"/>
      <c r="B443">
        <v>5001</v>
      </c>
      <c r="C443">
        <v>6000</v>
      </c>
      <c r="D443" s="889">
        <v>27770.575916230366</v>
      </c>
      <c r="E443">
        <v>10</v>
      </c>
      <c r="F443">
        <v>7</v>
      </c>
    </row>
    <row r="444" spans="1:6">
      <c r="A444" s="3"/>
      <c r="B444">
        <v>6001</v>
      </c>
      <c r="C444">
        <v>7000</v>
      </c>
      <c r="D444" s="889">
        <v>30351.565445026175</v>
      </c>
      <c r="E444">
        <v>10</v>
      </c>
      <c r="F444">
        <v>7</v>
      </c>
    </row>
    <row r="445" spans="1:6">
      <c r="A445" s="3"/>
      <c r="B445">
        <v>7001</v>
      </c>
      <c r="C445">
        <v>8000</v>
      </c>
      <c r="D445" s="889">
        <v>32931.408376963351</v>
      </c>
      <c r="E445">
        <v>10</v>
      </c>
      <c r="F445">
        <v>7</v>
      </c>
    </row>
    <row r="446" spans="1:6">
      <c r="A446" s="3"/>
      <c r="B446">
        <v>8001</v>
      </c>
      <c r="C446">
        <v>9000</v>
      </c>
      <c r="D446" s="889">
        <v>35253.267015706806</v>
      </c>
      <c r="E446">
        <v>10</v>
      </c>
      <c r="F446">
        <v>7</v>
      </c>
    </row>
    <row r="447" spans="1:6">
      <c r="A447" s="3"/>
      <c r="B447">
        <v>9001</v>
      </c>
      <c r="C447">
        <v>10000</v>
      </c>
      <c r="D447" s="889">
        <v>37624.749216300945</v>
      </c>
      <c r="E447">
        <v>10</v>
      </c>
      <c r="F447">
        <v>7</v>
      </c>
    </row>
    <row r="448" spans="1:6">
      <c r="A448" s="3"/>
      <c r="B448">
        <v>10001</v>
      </c>
      <c r="C448">
        <v>10100</v>
      </c>
      <c r="D448" s="889">
        <v>18617.288401253922</v>
      </c>
      <c r="E448">
        <v>10</v>
      </c>
      <c r="F448">
        <v>7</v>
      </c>
    </row>
    <row r="449" spans="1:6">
      <c r="A449" s="3"/>
      <c r="B449">
        <v>10101</v>
      </c>
      <c r="C449">
        <v>11000</v>
      </c>
      <c r="D449" s="889">
        <v>39992.100313479626</v>
      </c>
      <c r="E449">
        <v>10</v>
      </c>
      <c r="F449">
        <v>7</v>
      </c>
    </row>
    <row r="450" spans="1:6">
      <c r="A450" s="3"/>
      <c r="B450">
        <v>11001</v>
      </c>
      <c r="C450">
        <v>11750</v>
      </c>
      <c r="D450" s="889">
        <v>55751.175548589345</v>
      </c>
      <c r="E450">
        <v>10</v>
      </c>
      <c r="F450">
        <v>7</v>
      </c>
    </row>
    <row r="451" spans="1:6">
      <c r="A451" s="3"/>
      <c r="B451">
        <v>11751</v>
      </c>
      <c r="C451">
        <v>12000</v>
      </c>
      <c r="D451" s="889">
        <v>42353.730407523515</v>
      </c>
      <c r="E451">
        <v>10</v>
      </c>
      <c r="F451">
        <v>7</v>
      </c>
    </row>
    <row r="452" spans="1:6">
      <c r="A452" s="3"/>
      <c r="B452">
        <v>12001</v>
      </c>
      <c r="C452">
        <v>13000</v>
      </c>
      <c r="D452" s="889">
        <v>49086.206896551725</v>
      </c>
      <c r="E452">
        <v>10</v>
      </c>
      <c r="F452">
        <v>7</v>
      </c>
    </row>
    <row r="453" spans="1:6">
      <c r="A453" s="3"/>
      <c r="B453">
        <v>13001</v>
      </c>
      <c r="C453">
        <v>14000</v>
      </c>
      <c r="D453" s="889">
        <v>55803.808777429469</v>
      </c>
      <c r="E453">
        <v>10</v>
      </c>
      <c r="F453">
        <v>7</v>
      </c>
    </row>
    <row r="454" spans="1:6">
      <c r="A454" s="3"/>
      <c r="B454">
        <v>14001</v>
      </c>
      <c r="C454">
        <v>15000</v>
      </c>
      <c r="D454" s="889">
        <v>59147.258536585359</v>
      </c>
      <c r="E454">
        <v>10</v>
      </c>
      <c r="F454">
        <v>7</v>
      </c>
    </row>
    <row r="455" spans="1:6">
      <c r="A455" s="3"/>
      <c r="B455">
        <v>15001</v>
      </c>
      <c r="C455">
        <v>20000</v>
      </c>
      <c r="D455" s="889">
        <v>75892.113207547169</v>
      </c>
      <c r="E455">
        <v>10</v>
      </c>
      <c r="F455">
        <v>7</v>
      </c>
    </row>
    <row r="456" spans="1:6">
      <c r="A456" s="3"/>
      <c r="B456">
        <v>20001</v>
      </c>
      <c r="C456">
        <v>22000</v>
      </c>
      <c r="D456" s="889">
        <v>95701.867924528313</v>
      </c>
      <c r="E456">
        <v>10</v>
      </c>
      <c r="F456">
        <v>7</v>
      </c>
    </row>
    <row r="457" spans="1:6">
      <c r="A457" s="3"/>
      <c r="B457">
        <v>22001</v>
      </c>
      <c r="C457">
        <v>25000</v>
      </c>
      <c r="D457" s="889">
        <v>111582.25806451614</v>
      </c>
      <c r="E457">
        <v>10</v>
      </c>
      <c r="F457">
        <v>7</v>
      </c>
    </row>
    <row r="458" spans="1:6">
      <c r="A458" s="3"/>
      <c r="B458">
        <v>25001</v>
      </c>
      <c r="C458">
        <v>29610</v>
      </c>
      <c r="D458" s="889">
        <v>34484.032258064522</v>
      </c>
      <c r="E458">
        <v>10</v>
      </c>
      <c r="F458">
        <v>7</v>
      </c>
    </row>
    <row r="459" spans="1:6">
      <c r="A459" s="3"/>
      <c r="B459">
        <v>29611</v>
      </c>
      <c r="C459">
        <v>30000</v>
      </c>
      <c r="D459" s="889">
        <v>135622.54054054053</v>
      </c>
      <c r="E459">
        <v>10</v>
      </c>
      <c r="F459">
        <v>7</v>
      </c>
    </row>
    <row r="460" spans="1:6">
      <c r="A460" s="3"/>
      <c r="B460">
        <v>30001</v>
      </c>
      <c r="C460" t="s">
        <v>3596</v>
      </c>
      <c r="D460" s="889" t="s">
        <v>3596</v>
      </c>
      <c r="E460">
        <v>10</v>
      </c>
      <c r="F460">
        <v>7</v>
      </c>
    </row>
    <row r="463" spans="1:6">
      <c r="A463" s="890" t="s">
        <v>3736</v>
      </c>
      <c r="B463" s="890" t="s">
        <v>3745</v>
      </c>
      <c r="C463" s="890"/>
      <c r="D463" s="890"/>
      <c r="E463" s="890"/>
      <c r="F463" s="890"/>
    </row>
    <row r="464" spans="1:6">
      <c r="A464" s="888">
        <v>16</v>
      </c>
      <c r="B464" s="320" t="s">
        <v>3716</v>
      </c>
      <c r="C464" s="320" t="s">
        <v>3717</v>
      </c>
      <c r="D464" s="320" t="s">
        <v>3595</v>
      </c>
      <c r="E464" s="320" t="s">
        <v>3588</v>
      </c>
      <c r="F464" s="320" t="s">
        <v>3589</v>
      </c>
    </row>
    <row r="465" spans="1:6">
      <c r="A465" s="3" t="s">
        <v>3746</v>
      </c>
      <c r="B465">
        <v>0</v>
      </c>
      <c r="C465">
        <v>187</v>
      </c>
      <c r="D465" s="889">
        <v>3564.9366552509068</v>
      </c>
      <c r="E465">
        <v>25</v>
      </c>
      <c r="F465">
        <v>20</v>
      </c>
    </row>
    <row r="466" spans="1:6">
      <c r="A466" s="3"/>
      <c r="B466">
        <v>188</v>
      </c>
      <c r="C466">
        <v>264</v>
      </c>
      <c r="D466" s="889">
        <v>4715.9393278960542</v>
      </c>
      <c r="E466">
        <v>25</v>
      </c>
      <c r="F466">
        <v>20</v>
      </c>
    </row>
    <row r="467" spans="1:6">
      <c r="A467" s="3"/>
      <c r="B467">
        <v>265</v>
      </c>
      <c r="C467">
        <v>345</v>
      </c>
      <c r="D467" s="889">
        <v>6699.5778154536429</v>
      </c>
      <c r="E467">
        <v>25</v>
      </c>
      <c r="F467">
        <v>20</v>
      </c>
    </row>
    <row r="468" spans="1:6">
      <c r="A468" s="3"/>
      <c r="B468">
        <v>346</v>
      </c>
      <c r="C468">
        <v>463</v>
      </c>
      <c r="D468" s="889">
        <v>8437.1019714039867</v>
      </c>
      <c r="E468">
        <v>25</v>
      </c>
      <c r="F468">
        <v>20</v>
      </c>
    </row>
    <row r="469" spans="1:6">
      <c r="A469" s="3"/>
      <c r="B469">
        <v>464</v>
      </c>
      <c r="C469">
        <v>900</v>
      </c>
      <c r="D469" s="889">
        <v>17867.134000531456</v>
      </c>
      <c r="E469">
        <v>25</v>
      </c>
      <c r="F469">
        <v>20</v>
      </c>
    </row>
    <row r="470" spans="1:6">
      <c r="A470" s="3"/>
      <c r="B470">
        <v>901</v>
      </c>
      <c r="C470" t="s">
        <v>3596</v>
      </c>
      <c r="D470" s="889" t="s">
        <v>3596</v>
      </c>
      <c r="E470">
        <v>25</v>
      </c>
      <c r="F470">
        <v>20</v>
      </c>
    </row>
    <row r="473" spans="1:6">
      <c r="A473" s="890" t="s">
        <v>3747</v>
      </c>
      <c r="B473" s="890" t="s">
        <v>3748</v>
      </c>
      <c r="C473" s="890"/>
      <c r="D473" s="890"/>
      <c r="E473" s="890"/>
      <c r="F473" s="890"/>
    </row>
    <row r="474" spans="1:6">
      <c r="A474" s="888">
        <v>29</v>
      </c>
      <c r="B474" s="893" t="s">
        <v>3749</v>
      </c>
      <c r="C474" s="320" t="s">
        <v>3750</v>
      </c>
      <c r="D474" s="911" t="s">
        <v>3595</v>
      </c>
      <c r="E474" s="893" t="s">
        <v>3622</v>
      </c>
      <c r="F474" s="847" t="s">
        <v>3589</v>
      </c>
    </row>
    <row r="475" spans="1:6">
      <c r="A475" s="3" t="s">
        <v>3751</v>
      </c>
      <c r="B475" s="526">
        <v>0</v>
      </c>
      <c r="C475">
        <v>5</v>
      </c>
      <c r="D475" s="889">
        <v>15616.958308798366</v>
      </c>
      <c r="E475">
        <v>25</v>
      </c>
      <c r="F475">
        <v>20</v>
      </c>
    </row>
    <row r="476" spans="1:6">
      <c r="A476" s="3"/>
      <c r="B476" s="526">
        <v>5.0999999999999996</v>
      </c>
      <c r="C476">
        <v>10</v>
      </c>
      <c r="D476" s="889">
        <v>41977.372309220293</v>
      </c>
      <c r="E476">
        <v>25</v>
      </c>
      <c r="F476">
        <v>20</v>
      </c>
    </row>
    <row r="477" spans="1:6">
      <c r="A477" s="3"/>
      <c r="B477" s="526">
        <v>10.1</v>
      </c>
      <c r="C477">
        <v>35</v>
      </c>
      <c r="D477" s="889">
        <v>56372.334683886889</v>
      </c>
      <c r="E477">
        <v>25</v>
      </c>
      <c r="F477">
        <v>20</v>
      </c>
    </row>
    <row r="478" spans="1:6">
      <c r="A478" s="3"/>
      <c r="B478" s="526">
        <v>35.1</v>
      </c>
      <c r="C478">
        <v>40</v>
      </c>
      <c r="D478" s="889">
        <v>68450.961837467112</v>
      </c>
      <c r="E478">
        <v>25</v>
      </c>
      <c r="F478">
        <v>20</v>
      </c>
    </row>
    <row r="479" spans="1:6">
      <c r="A479" s="3"/>
      <c r="B479" s="526">
        <v>40.1</v>
      </c>
      <c r="C479">
        <v>75</v>
      </c>
      <c r="D479" s="889">
        <v>98010.007096359113</v>
      </c>
      <c r="E479">
        <v>25</v>
      </c>
      <c r="F479">
        <v>20</v>
      </c>
    </row>
    <row r="480" spans="1:6">
      <c r="A480" s="3"/>
      <c r="B480" s="526">
        <v>75.099999999999994</v>
      </c>
      <c r="C480">
        <v>80</v>
      </c>
      <c r="D480" s="889">
        <v>79665.455340428918</v>
      </c>
      <c r="E480">
        <v>25</v>
      </c>
      <c r="F480">
        <v>20</v>
      </c>
    </row>
    <row r="481" spans="1:6">
      <c r="A481" s="3"/>
      <c r="B481" s="526">
        <v>80.099999999999994</v>
      </c>
      <c r="C481" t="s">
        <v>3596</v>
      </c>
      <c r="D481" s="889" t="s">
        <v>3596</v>
      </c>
      <c r="E481">
        <v>25</v>
      </c>
      <c r="F481">
        <v>20</v>
      </c>
    </row>
    <row r="484" spans="1:6">
      <c r="A484" s="890" t="s">
        <v>3591</v>
      </c>
      <c r="B484" s="890" t="s">
        <v>3752</v>
      </c>
      <c r="C484" s="890"/>
      <c r="D484" s="890"/>
      <c r="E484" s="890"/>
      <c r="F484" s="890"/>
    </row>
    <row r="485" spans="1:6">
      <c r="A485" s="888">
        <v>30</v>
      </c>
      <c r="B485" s="893" t="s">
        <v>3753</v>
      </c>
      <c r="C485" s="320" t="s">
        <v>3754</v>
      </c>
      <c r="D485" s="847" t="s">
        <v>3595</v>
      </c>
      <c r="E485" s="893" t="s">
        <v>3622</v>
      </c>
      <c r="F485" s="847" t="s">
        <v>3589</v>
      </c>
    </row>
    <row r="486" spans="1:6">
      <c r="A486" s="3" t="s">
        <v>3755</v>
      </c>
      <c r="B486">
        <v>0</v>
      </c>
      <c r="C486">
        <v>3369</v>
      </c>
      <c r="D486" s="889">
        <v>2695.6790639301639</v>
      </c>
      <c r="E486">
        <v>20</v>
      </c>
      <c r="F486">
        <v>15</v>
      </c>
    </row>
    <row r="487" spans="1:6">
      <c r="A487" s="3"/>
      <c r="B487">
        <v>3370</v>
      </c>
      <c r="C487">
        <v>8422</v>
      </c>
      <c r="D487" s="889">
        <v>3397.7395118773702</v>
      </c>
      <c r="E487">
        <v>20</v>
      </c>
      <c r="F487">
        <v>15</v>
      </c>
    </row>
    <row r="488" spans="1:6">
      <c r="A488" s="3"/>
      <c r="B488">
        <v>8423</v>
      </c>
      <c r="C488">
        <v>12513</v>
      </c>
      <c r="D488" s="889">
        <v>4485.1233552826388</v>
      </c>
      <c r="E488">
        <v>20</v>
      </c>
      <c r="F488">
        <v>15</v>
      </c>
    </row>
    <row r="489" spans="1:6">
      <c r="A489" s="3"/>
      <c r="B489">
        <v>12514</v>
      </c>
      <c r="C489">
        <v>21658</v>
      </c>
      <c r="D489" s="889">
        <v>5623.1498382603413</v>
      </c>
      <c r="E489">
        <v>20</v>
      </c>
      <c r="F489">
        <v>15</v>
      </c>
    </row>
    <row r="490" spans="1:6">
      <c r="A490" s="3"/>
      <c r="B490">
        <v>21659</v>
      </c>
      <c r="C490">
        <v>24064</v>
      </c>
      <c r="D490" s="889">
        <v>5503.1934667585701</v>
      </c>
      <c r="E490">
        <v>20</v>
      </c>
      <c r="F490">
        <v>15</v>
      </c>
    </row>
    <row r="491" spans="1:6">
      <c r="A491" s="3"/>
      <c r="B491">
        <v>24065</v>
      </c>
      <c r="C491">
        <v>29599</v>
      </c>
      <c r="D491" s="889">
        <v>7395.6437375098158</v>
      </c>
      <c r="E491">
        <v>20</v>
      </c>
      <c r="F491">
        <v>15</v>
      </c>
    </row>
    <row r="492" spans="1:6">
      <c r="A492" s="3"/>
      <c r="B492">
        <v>29600</v>
      </c>
      <c r="C492">
        <v>36096</v>
      </c>
      <c r="D492" s="889">
        <v>8157.4375622864745</v>
      </c>
      <c r="E492">
        <v>20</v>
      </c>
      <c r="F492">
        <v>15</v>
      </c>
    </row>
    <row r="493" spans="1:6">
      <c r="A493" s="3"/>
      <c r="B493">
        <v>36097</v>
      </c>
      <c r="C493">
        <v>41390</v>
      </c>
      <c r="D493" s="889">
        <v>12412.345463578609</v>
      </c>
      <c r="E493">
        <v>20</v>
      </c>
      <c r="F493">
        <v>15</v>
      </c>
    </row>
    <row r="494" spans="1:6">
      <c r="A494" s="3"/>
      <c r="B494">
        <v>41391</v>
      </c>
      <c r="C494">
        <v>57032</v>
      </c>
      <c r="D494" s="889">
        <v>15312.983296187971</v>
      </c>
      <c r="E494">
        <v>20</v>
      </c>
      <c r="F494">
        <v>15</v>
      </c>
    </row>
    <row r="495" spans="1:6">
      <c r="A495" s="3"/>
      <c r="B495">
        <v>57033</v>
      </c>
      <c r="C495">
        <v>66176</v>
      </c>
      <c r="D495" s="889">
        <v>16434.285464427834</v>
      </c>
      <c r="E495">
        <v>20</v>
      </c>
      <c r="F495">
        <v>15</v>
      </c>
    </row>
    <row r="496" spans="1:6">
      <c r="A496" s="3"/>
      <c r="B496">
        <v>66177</v>
      </c>
      <c r="C496">
        <v>72193</v>
      </c>
      <c r="D496" s="889">
        <v>16931.904693619013</v>
      </c>
      <c r="E496">
        <v>20</v>
      </c>
      <c r="F496">
        <v>15</v>
      </c>
    </row>
    <row r="497" spans="1:6">
      <c r="A497" s="3"/>
      <c r="B497">
        <v>72194</v>
      </c>
      <c r="C497">
        <v>108289</v>
      </c>
      <c r="D497" s="889">
        <v>16394.998463315911</v>
      </c>
      <c r="E497">
        <v>20</v>
      </c>
      <c r="F497">
        <v>15</v>
      </c>
    </row>
    <row r="498" spans="1:6">
      <c r="A498" s="3"/>
      <c r="B498">
        <v>108290</v>
      </c>
      <c r="C498" t="s">
        <v>3596</v>
      </c>
      <c r="D498" s="889" t="s">
        <v>3596</v>
      </c>
      <c r="E498">
        <v>20</v>
      </c>
      <c r="F498">
        <v>15</v>
      </c>
    </row>
    <row r="501" spans="1:6">
      <c r="A501" s="890" t="s">
        <v>3736</v>
      </c>
      <c r="B501" s="890" t="s">
        <v>3756</v>
      </c>
      <c r="C501" s="890"/>
      <c r="D501" s="890"/>
      <c r="E501" s="890"/>
      <c r="F501" s="890"/>
    </row>
    <row r="502" spans="1:6">
      <c r="A502" s="888">
        <v>16</v>
      </c>
      <c r="B502" s="893" t="s">
        <v>3723</v>
      </c>
      <c r="C502" s="847" t="s">
        <v>3724</v>
      </c>
      <c r="D502" s="320" t="s">
        <v>3595</v>
      </c>
      <c r="E502" s="320" t="s">
        <v>3588</v>
      </c>
      <c r="F502" s="320" t="s">
        <v>3589</v>
      </c>
    </row>
    <row r="503" spans="1:6">
      <c r="A503" s="3" t="s">
        <v>3757</v>
      </c>
      <c r="B503" s="654">
        <v>0</v>
      </c>
      <c r="C503" s="526">
        <v>300</v>
      </c>
      <c r="D503" s="889">
        <v>1386.5477871292217</v>
      </c>
      <c r="E503">
        <v>25</v>
      </c>
      <c r="F503">
        <v>20</v>
      </c>
    </row>
    <row r="504" spans="1:6">
      <c r="A504" s="3"/>
      <c r="B504" s="654">
        <v>301</v>
      </c>
      <c r="C504" s="526">
        <v>550</v>
      </c>
      <c r="D504" s="889">
        <v>1384.7996533333639</v>
      </c>
      <c r="E504">
        <v>25</v>
      </c>
      <c r="F504">
        <v>20</v>
      </c>
    </row>
    <row r="505" spans="1:6">
      <c r="B505" s="654">
        <v>551</v>
      </c>
      <c r="C505">
        <v>850</v>
      </c>
      <c r="D505" s="889">
        <v>2146.4226420816422</v>
      </c>
      <c r="E505">
        <v>25</v>
      </c>
      <c r="F505">
        <v>20</v>
      </c>
    </row>
    <row r="506" spans="1:6">
      <c r="B506" s="654">
        <v>851</v>
      </c>
      <c r="C506">
        <v>1000</v>
      </c>
      <c r="D506" s="889">
        <v>1995.7016566438342</v>
      </c>
      <c r="E506">
        <v>25</v>
      </c>
      <c r="F506">
        <v>20</v>
      </c>
    </row>
    <row r="507" spans="1:6">
      <c r="B507" s="654">
        <v>1001</v>
      </c>
      <c r="C507">
        <v>1200</v>
      </c>
      <c r="D507" s="889">
        <v>3130.7544642857142</v>
      </c>
      <c r="E507">
        <v>25</v>
      </c>
      <c r="F507">
        <v>20</v>
      </c>
    </row>
    <row r="508" spans="1:6">
      <c r="B508" s="654">
        <v>1201</v>
      </c>
      <c r="C508">
        <v>1500</v>
      </c>
      <c r="D508" s="889">
        <v>3408.9308352781204</v>
      </c>
      <c r="E508">
        <v>25</v>
      </c>
      <c r="F508">
        <v>20</v>
      </c>
    </row>
    <row r="509" spans="1:6">
      <c r="B509" s="654">
        <v>1501</v>
      </c>
      <c r="C509">
        <v>2000</v>
      </c>
      <c r="D509" s="889">
        <v>4730.5117831880343</v>
      </c>
      <c r="E509">
        <v>25</v>
      </c>
      <c r="F509">
        <v>20</v>
      </c>
    </row>
    <row r="510" spans="1:6">
      <c r="B510" s="654">
        <v>2001</v>
      </c>
      <c r="C510">
        <v>2500</v>
      </c>
      <c r="D510" s="889">
        <v>5435.1240971303132</v>
      </c>
      <c r="E510">
        <v>25</v>
      </c>
      <c r="F510">
        <v>20</v>
      </c>
    </row>
    <row r="511" spans="1:6">
      <c r="B511" s="654">
        <v>2501</v>
      </c>
      <c r="C511">
        <v>3000</v>
      </c>
      <c r="D511" s="889">
        <v>6806.9102726329838</v>
      </c>
      <c r="E511">
        <v>25</v>
      </c>
      <c r="F511">
        <v>20</v>
      </c>
    </row>
    <row r="512" spans="1:6">
      <c r="B512" s="654">
        <v>3001</v>
      </c>
      <c r="C512">
        <v>4200</v>
      </c>
      <c r="D512" s="889">
        <v>11072.07111111111</v>
      </c>
      <c r="E512">
        <v>25</v>
      </c>
      <c r="F512">
        <v>20</v>
      </c>
    </row>
    <row r="513" spans="1:6">
      <c r="B513" s="654">
        <v>4201</v>
      </c>
      <c r="C513">
        <v>5200</v>
      </c>
      <c r="D513" s="889">
        <v>12227.704476439791</v>
      </c>
      <c r="E513">
        <v>25</v>
      </c>
      <c r="F513">
        <v>20</v>
      </c>
    </row>
    <row r="514" spans="1:6">
      <c r="B514" s="654">
        <v>5201</v>
      </c>
      <c r="C514">
        <v>6500</v>
      </c>
      <c r="D514" s="889">
        <v>15376.40342557439</v>
      </c>
      <c r="E514">
        <v>25</v>
      </c>
      <c r="F514">
        <v>20</v>
      </c>
    </row>
    <row r="515" spans="1:6">
      <c r="B515" s="654">
        <v>6501</v>
      </c>
      <c r="C515">
        <v>8000</v>
      </c>
      <c r="D515" s="889">
        <v>14636.079581151831</v>
      </c>
      <c r="E515">
        <v>25</v>
      </c>
      <c r="F515">
        <v>20</v>
      </c>
    </row>
    <row r="516" spans="1:6">
      <c r="B516" s="654">
        <v>8001</v>
      </c>
      <c r="C516">
        <v>10500</v>
      </c>
      <c r="D516" s="889">
        <v>17612.96962298809</v>
      </c>
      <c r="E516">
        <v>25</v>
      </c>
      <c r="F516">
        <v>20</v>
      </c>
    </row>
    <row r="517" spans="1:6">
      <c r="B517" s="654">
        <v>10501</v>
      </c>
      <c r="C517">
        <v>12500</v>
      </c>
      <c r="D517" s="889">
        <v>28047.512796129413</v>
      </c>
      <c r="E517">
        <v>25</v>
      </c>
      <c r="F517">
        <v>20</v>
      </c>
    </row>
    <row r="518" spans="1:6">
      <c r="B518" s="654">
        <v>12501</v>
      </c>
      <c r="C518">
        <v>15000</v>
      </c>
      <c r="D518" s="889">
        <v>28077.508317844786</v>
      </c>
      <c r="E518">
        <v>25</v>
      </c>
      <c r="F518">
        <v>20</v>
      </c>
    </row>
    <row r="519" spans="1:6">
      <c r="B519" s="654">
        <v>15001</v>
      </c>
      <c r="C519">
        <v>16501</v>
      </c>
      <c r="D519" s="889">
        <v>53210.572999570199</v>
      </c>
      <c r="E519">
        <v>25</v>
      </c>
      <c r="F519">
        <v>20</v>
      </c>
    </row>
    <row r="520" spans="1:6">
      <c r="B520" s="654">
        <v>16502</v>
      </c>
      <c r="C520" t="s">
        <v>3596</v>
      </c>
      <c r="D520" s="889" t="s">
        <v>3596</v>
      </c>
      <c r="E520">
        <v>25</v>
      </c>
      <c r="F520">
        <v>20</v>
      </c>
    </row>
    <row r="523" spans="1:6">
      <c r="A523" s="890" t="s">
        <v>3586</v>
      </c>
      <c r="B523" s="890" t="s">
        <v>3758</v>
      </c>
      <c r="C523" s="890"/>
      <c r="D523" s="890"/>
      <c r="E523" s="890"/>
      <c r="F523" s="890"/>
    </row>
    <row r="524" spans="1:6">
      <c r="A524" s="888">
        <v>43</v>
      </c>
      <c r="B524" s="320"/>
      <c r="C524" s="320"/>
      <c r="D524" s="320" t="s">
        <v>2578</v>
      </c>
      <c r="E524" s="320" t="s">
        <v>3588</v>
      </c>
      <c r="F524" s="320" t="s">
        <v>3589</v>
      </c>
    </row>
    <row r="525" spans="1:6">
      <c r="A525" s="3" t="s">
        <v>3759</v>
      </c>
      <c r="B525">
        <v>0</v>
      </c>
      <c r="C525">
        <v>0</v>
      </c>
      <c r="D525" s="889">
        <v>2388.9364733422249</v>
      </c>
      <c r="E525">
        <v>15</v>
      </c>
      <c r="F525">
        <v>14</v>
      </c>
    </row>
    <row r="528" spans="1:6">
      <c r="A528" s="890" t="s">
        <v>3747</v>
      </c>
      <c r="B528" s="890" t="s">
        <v>3760</v>
      </c>
      <c r="C528" s="890"/>
      <c r="D528" s="890"/>
      <c r="E528" s="890"/>
      <c r="F528" s="890"/>
    </row>
    <row r="529" spans="1:6">
      <c r="A529" s="888">
        <v>29</v>
      </c>
      <c r="B529" s="320" t="s">
        <v>3761</v>
      </c>
      <c r="C529" s="847" t="s">
        <v>3762</v>
      </c>
      <c r="D529" s="847" t="s">
        <v>3595</v>
      </c>
      <c r="E529" s="320" t="s">
        <v>3588</v>
      </c>
      <c r="F529" s="320" t="s">
        <v>3589</v>
      </c>
    </row>
    <row r="530" spans="1:6">
      <c r="A530" s="3" t="s">
        <v>3763</v>
      </c>
      <c r="B530">
        <v>0</v>
      </c>
      <c r="C530">
        <v>1</v>
      </c>
      <c r="D530" s="889">
        <v>5215.639311849045</v>
      </c>
      <c r="E530">
        <v>25</v>
      </c>
      <c r="F530">
        <v>20</v>
      </c>
    </row>
    <row r="531" spans="1:6">
      <c r="A531" s="3"/>
      <c r="B531">
        <v>1.1000000000000001</v>
      </c>
      <c r="C531">
        <v>1.5</v>
      </c>
      <c r="D531" s="889">
        <v>5974.8263252684128</v>
      </c>
      <c r="E531">
        <v>25</v>
      </c>
      <c r="F531">
        <v>20</v>
      </c>
    </row>
    <row r="532" spans="1:6">
      <c r="A532" s="3"/>
      <c r="B532">
        <v>1.6</v>
      </c>
      <c r="C532">
        <v>2</v>
      </c>
      <c r="D532" s="889">
        <v>6068.3450523109377</v>
      </c>
      <c r="E532">
        <v>25</v>
      </c>
      <c r="F532">
        <v>20</v>
      </c>
    </row>
    <row r="533" spans="1:6">
      <c r="A533" s="3"/>
      <c r="B533">
        <v>2.1</v>
      </c>
      <c r="C533">
        <v>3</v>
      </c>
      <c r="D533" s="889">
        <v>7378.3626076365754</v>
      </c>
      <c r="E533">
        <v>25</v>
      </c>
      <c r="F533">
        <v>20</v>
      </c>
    </row>
    <row r="534" spans="1:6">
      <c r="A534" s="3"/>
      <c r="B534">
        <v>3.1</v>
      </c>
      <c r="C534">
        <v>5</v>
      </c>
      <c r="D534" s="889">
        <v>8134.7527370290263</v>
      </c>
      <c r="E534">
        <v>25</v>
      </c>
      <c r="F534">
        <v>20</v>
      </c>
    </row>
    <row r="535" spans="1:6">
      <c r="A535" s="3"/>
      <c r="B535">
        <v>5.0999999999999996</v>
      </c>
      <c r="C535">
        <v>7.5</v>
      </c>
      <c r="D535" s="889">
        <v>11316.307504296892</v>
      </c>
      <c r="E535">
        <v>25</v>
      </c>
      <c r="F535">
        <v>20</v>
      </c>
    </row>
    <row r="536" spans="1:6">
      <c r="A536" s="3"/>
      <c r="B536">
        <v>7.6</v>
      </c>
      <c r="C536">
        <v>10</v>
      </c>
      <c r="D536" s="889">
        <v>14374.813447090328</v>
      </c>
      <c r="E536">
        <v>25</v>
      </c>
      <c r="F536">
        <v>20</v>
      </c>
    </row>
    <row r="537" spans="1:6">
      <c r="A537" s="3"/>
      <c r="B537">
        <v>10.1</v>
      </c>
      <c r="C537">
        <v>20</v>
      </c>
      <c r="D537" s="889">
        <v>25944.468684113283</v>
      </c>
      <c r="E537">
        <v>25</v>
      </c>
      <c r="F537">
        <v>20</v>
      </c>
    </row>
    <row r="538" spans="1:6">
      <c r="A538" s="3"/>
      <c r="B538">
        <v>20.100000000000001</v>
      </c>
      <c r="C538">
        <v>30</v>
      </c>
      <c r="D538" s="889">
        <v>39315.823046232101</v>
      </c>
      <c r="E538">
        <v>25</v>
      </c>
      <c r="F538">
        <v>20</v>
      </c>
    </row>
    <row r="539" spans="1:6">
      <c r="A539" s="3"/>
      <c r="B539">
        <v>30.1</v>
      </c>
      <c r="C539" t="s">
        <v>3596</v>
      </c>
      <c r="D539" s="889" t="s">
        <v>3596</v>
      </c>
      <c r="E539">
        <v>25</v>
      </c>
      <c r="F539">
        <v>20</v>
      </c>
    </row>
    <row r="542" spans="1:6">
      <c r="A542" s="890" t="s">
        <v>3764</v>
      </c>
      <c r="B542" s="890" t="s">
        <v>3765</v>
      </c>
      <c r="C542" s="890"/>
      <c r="D542" s="890"/>
      <c r="E542" s="890"/>
      <c r="F542" s="890"/>
    </row>
    <row r="543" spans="1:6">
      <c r="A543" s="888">
        <v>38</v>
      </c>
      <c r="B543" s="320"/>
      <c r="C543" s="320"/>
      <c r="D543" s="847" t="s">
        <v>3595</v>
      </c>
      <c r="E543" s="320" t="s">
        <v>3588</v>
      </c>
      <c r="F543" s="320" t="s">
        <v>3589</v>
      </c>
    </row>
    <row r="544" spans="1:6">
      <c r="A544" s="3" t="s">
        <v>3766</v>
      </c>
      <c r="B544">
        <v>0</v>
      </c>
      <c r="C544">
        <v>0</v>
      </c>
      <c r="D544" s="889">
        <v>373.99500000000006</v>
      </c>
      <c r="E544">
        <v>10</v>
      </c>
      <c r="F544">
        <v>8</v>
      </c>
    </row>
    <row r="547" spans="1:6">
      <c r="A547" s="890" t="s">
        <v>3586</v>
      </c>
      <c r="B547" s="890" t="s">
        <v>3767</v>
      </c>
      <c r="C547" s="890"/>
      <c r="D547" s="890"/>
      <c r="E547" s="890"/>
      <c r="F547" s="890"/>
    </row>
    <row r="548" spans="1:6">
      <c r="A548" s="888">
        <v>43</v>
      </c>
      <c r="B548" s="320" t="s">
        <v>3694</v>
      </c>
      <c r="C548" s="320" t="s">
        <v>3695</v>
      </c>
      <c r="D548" s="847" t="s">
        <v>3595</v>
      </c>
      <c r="E548" s="320" t="s">
        <v>3588</v>
      </c>
      <c r="F548" s="320" t="s">
        <v>3589</v>
      </c>
    </row>
    <row r="549" spans="1:6">
      <c r="A549" s="3" t="s">
        <v>3768</v>
      </c>
      <c r="B549">
        <v>0</v>
      </c>
      <c r="C549">
        <v>0.75</v>
      </c>
      <c r="D549" s="889">
        <v>5046.2119844357976</v>
      </c>
      <c r="E549">
        <v>15</v>
      </c>
      <c r="F549">
        <v>14</v>
      </c>
    </row>
    <row r="550" spans="1:6">
      <c r="A550" s="3"/>
      <c r="B550">
        <v>0.76</v>
      </c>
      <c r="C550">
        <v>1</v>
      </c>
      <c r="D550" s="889">
        <v>3719.3050000000003</v>
      </c>
      <c r="E550">
        <v>15</v>
      </c>
      <c r="F550">
        <v>14</v>
      </c>
    </row>
    <row r="551" spans="1:6">
      <c r="A551" s="3"/>
      <c r="B551">
        <v>1.1000000000000001</v>
      </c>
      <c r="C551">
        <v>1.5</v>
      </c>
      <c r="D551" s="889">
        <v>3762.3734647887327</v>
      </c>
      <c r="E551">
        <v>15</v>
      </c>
      <c r="F551">
        <v>14</v>
      </c>
    </row>
    <row r="552" spans="1:6">
      <c r="A552" s="3"/>
      <c r="B552">
        <v>1.6</v>
      </c>
      <c r="C552">
        <v>2</v>
      </c>
      <c r="D552" s="889">
        <v>3899.756109589041</v>
      </c>
      <c r="E552">
        <v>15</v>
      </c>
      <c r="F552">
        <v>14</v>
      </c>
    </row>
    <row r="553" spans="1:6">
      <c r="A553" s="3"/>
      <c r="B553">
        <v>2.1</v>
      </c>
      <c r="C553">
        <v>2.5</v>
      </c>
      <c r="D553" s="889">
        <v>3894.0035399999997</v>
      </c>
      <c r="E553">
        <v>15</v>
      </c>
      <c r="F553">
        <v>14</v>
      </c>
    </row>
    <row r="554" spans="1:6">
      <c r="A554" s="3"/>
      <c r="B554">
        <v>2.6</v>
      </c>
      <c r="C554">
        <v>3</v>
      </c>
      <c r="D554" s="889">
        <v>4108.8077378640774</v>
      </c>
      <c r="E554">
        <v>15</v>
      </c>
      <c r="F554">
        <v>14</v>
      </c>
    </row>
    <row r="555" spans="1:6">
      <c r="A555" s="3"/>
      <c r="B555">
        <v>3.1</v>
      </c>
      <c r="C555">
        <v>4</v>
      </c>
      <c r="D555" s="889">
        <v>4281.420210752688</v>
      </c>
      <c r="E555">
        <v>15</v>
      </c>
      <c r="F555">
        <v>14</v>
      </c>
    </row>
    <row r="556" spans="1:6">
      <c r="A556" s="3"/>
      <c r="B556">
        <v>4.0999999999999996</v>
      </c>
      <c r="C556">
        <v>6</v>
      </c>
      <c r="D556" s="889">
        <v>6813.2262666666675</v>
      </c>
      <c r="E556">
        <v>15</v>
      </c>
      <c r="F556">
        <v>14</v>
      </c>
    </row>
    <row r="557" spans="1:6">
      <c r="A557" s="3"/>
      <c r="B557">
        <v>6.1</v>
      </c>
      <c r="C557">
        <v>8</v>
      </c>
      <c r="D557" s="889">
        <v>9089.8655287356323</v>
      </c>
      <c r="E557">
        <v>15</v>
      </c>
      <c r="F557">
        <v>14</v>
      </c>
    </row>
    <row r="558" spans="1:6">
      <c r="A558" s="3"/>
      <c r="B558">
        <v>8.1</v>
      </c>
      <c r="C558">
        <v>10</v>
      </c>
      <c r="D558" s="889">
        <v>12176.345693430656</v>
      </c>
      <c r="E558">
        <v>15</v>
      </c>
      <c r="F558">
        <v>14</v>
      </c>
    </row>
    <row r="559" spans="1:6">
      <c r="A559" s="3"/>
      <c r="B559">
        <v>10.1</v>
      </c>
      <c r="C559">
        <v>12</v>
      </c>
      <c r="D559" s="889">
        <v>12145.340729927009</v>
      </c>
      <c r="E559">
        <v>15</v>
      </c>
      <c r="F559">
        <v>14</v>
      </c>
    </row>
    <row r="560" spans="1:6">
      <c r="A560" s="3"/>
      <c r="B560">
        <v>12.1</v>
      </c>
      <c r="C560">
        <v>14</v>
      </c>
      <c r="D560" s="889">
        <v>10284.360875912409</v>
      </c>
      <c r="E560">
        <v>15</v>
      </c>
      <c r="F560">
        <v>14</v>
      </c>
    </row>
    <row r="561" spans="1:6">
      <c r="A561" s="3"/>
      <c r="B561">
        <v>14.1</v>
      </c>
      <c r="C561">
        <v>16</v>
      </c>
      <c r="D561" s="889">
        <v>12564.606131386863</v>
      </c>
      <c r="E561">
        <v>15</v>
      </c>
      <c r="F561">
        <v>14</v>
      </c>
    </row>
    <row r="562" spans="1:6">
      <c r="A562" s="3"/>
      <c r="B562">
        <v>16.100000000000001</v>
      </c>
      <c r="C562">
        <v>18</v>
      </c>
      <c r="D562" s="889">
        <v>10867.900729927009</v>
      </c>
      <c r="E562">
        <v>15</v>
      </c>
      <c r="F562">
        <v>14</v>
      </c>
    </row>
    <row r="563" spans="1:6">
      <c r="A563" s="3"/>
      <c r="B563">
        <v>18.100000000000001</v>
      </c>
      <c r="C563">
        <v>20</v>
      </c>
      <c r="D563" s="889">
        <v>14743.154452554745</v>
      </c>
      <c r="E563">
        <v>15</v>
      </c>
      <c r="F563">
        <v>14</v>
      </c>
    </row>
    <row r="564" spans="1:6">
      <c r="A564" s="3"/>
      <c r="B564">
        <v>20.100000000000001</v>
      </c>
      <c r="C564">
        <v>24</v>
      </c>
      <c r="D564" s="889">
        <v>19627.052846715331</v>
      </c>
      <c r="E564">
        <v>15</v>
      </c>
      <c r="F564">
        <v>14</v>
      </c>
    </row>
    <row r="565" spans="1:6">
      <c r="A565" s="3"/>
      <c r="B565">
        <v>24.1</v>
      </c>
      <c r="C565">
        <v>30</v>
      </c>
      <c r="D565" s="889">
        <v>22949.66189781022</v>
      </c>
      <c r="E565">
        <v>15</v>
      </c>
      <c r="F565">
        <v>14</v>
      </c>
    </row>
    <row r="566" spans="1:6">
      <c r="A566" s="3"/>
      <c r="B566">
        <v>30.1</v>
      </c>
      <c r="C566">
        <v>36</v>
      </c>
      <c r="D566" s="889">
        <v>30908.188029197081</v>
      </c>
      <c r="E566">
        <v>15</v>
      </c>
      <c r="F566">
        <v>14</v>
      </c>
    </row>
    <row r="567" spans="1:6">
      <c r="A567" s="3"/>
      <c r="B567">
        <v>36.1</v>
      </c>
      <c r="C567" t="s">
        <v>3596</v>
      </c>
      <c r="D567" s="889" t="s">
        <v>3596</v>
      </c>
      <c r="E567">
        <v>15</v>
      </c>
      <c r="F567">
        <v>14</v>
      </c>
    </row>
    <row r="570" spans="1:6">
      <c r="A570" s="891" t="s">
        <v>3603</v>
      </c>
      <c r="B570" s="891" t="s">
        <v>3769</v>
      </c>
      <c r="C570" s="891"/>
      <c r="D570" s="891"/>
      <c r="E570" s="891"/>
      <c r="F570" s="891"/>
    </row>
    <row r="571" spans="1:6">
      <c r="A571" s="888">
        <v>2</v>
      </c>
      <c r="B571" s="320"/>
      <c r="C571" s="320" t="s">
        <v>279</v>
      </c>
      <c r="D571" s="320" t="s">
        <v>3595</v>
      </c>
      <c r="E571" s="320" t="s">
        <v>3588</v>
      </c>
      <c r="F571" s="320" t="s">
        <v>3589</v>
      </c>
    </row>
    <row r="572" spans="1:6">
      <c r="A572" s="3" t="s">
        <v>3775</v>
      </c>
      <c r="B572" s="912" t="s">
        <v>3770</v>
      </c>
      <c r="C572" t="s">
        <v>1330</v>
      </c>
      <c r="D572" s="892">
        <v>44</v>
      </c>
      <c r="E572" s="526">
        <v>40</v>
      </c>
      <c r="F572" s="526">
        <v>35</v>
      </c>
    </row>
    <row r="573" spans="1:6">
      <c r="A573" s="3"/>
      <c r="B573" s="912" t="s">
        <v>3771</v>
      </c>
      <c r="C573" t="s">
        <v>3772</v>
      </c>
      <c r="D573" s="892">
        <v>460</v>
      </c>
      <c r="E573" s="526">
        <v>40</v>
      </c>
      <c r="F573" s="526">
        <v>35</v>
      </c>
    </row>
    <row r="574" spans="1:6">
      <c r="A574" s="3"/>
      <c r="B574" s="912" t="s">
        <v>3773</v>
      </c>
      <c r="C574" t="s">
        <v>1348</v>
      </c>
      <c r="D574" s="892">
        <v>47.774999999999999</v>
      </c>
      <c r="E574" s="526">
        <v>40</v>
      </c>
      <c r="F574" s="526">
        <v>35</v>
      </c>
    </row>
    <row r="575" spans="1:6">
      <c r="A575" s="3"/>
      <c r="B575" s="912" t="s">
        <v>3774</v>
      </c>
      <c r="C575" t="s">
        <v>1348</v>
      </c>
      <c r="D575" s="892">
        <v>43.491623083060013</v>
      </c>
      <c r="E575" s="526">
        <v>40</v>
      </c>
      <c r="F575" s="526">
        <v>35</v>
      </c>
    </row>
    <row r="578" spans="1:6">
      <c r="A578" s="890" t="s">
        <v>3747</v>
      </c>
      <c r="B578" s="890" t="s">
        <v>3776</v>
      </c>
      <c r="C578" s="890"/>
      <c r="D578" s="890"/>
      <c r="E578" s="890"/>
      <c r="F578" s="890"/>
    </row>
    <row r="579" spans="1:6">
      <c r="A579" s="888">
        <v>29</v>
      </c>
      <c r="B579" s="320" t="s">
        <v>3761</v>
      </c>
      <c r="C579" s="320" t="s">
        <v>3777</v>
      </c>
      <c r="D579" s="847" t="s">
        <v>3595</v>
      </c>
      <c r="E579" s="320" t="s">
        <v>3588</v>
      </c>
      <c r="F579" s="320" t="s">
        <v>3589</v>
      </c>
    </row>
    <row r="580" spans="1:6">
      <c r="A580" s="3" t="s">
        <v>3778</v>
      </c>
      <c r="B580">
        <v>0</v>
      </c>
      <c r="C580">
        <v>0.33333333333333331</v>
      </c>
      <c r="D580" s="889">
        <v>2576.0571507413197</v>
      </c>
      <c r="E580">
        <v>25</v>
      </c>
      <c r="F580">
        <v>22</v>
      </c>
    </row>
    <row r="581" spans="1:6">
      <c r="A581" s="3"/>
      <c r="B581">
        <v>0.34</v>
      </c>
      <c r="C581">
        <v>0.5</v>
      </c>
      <c r="D581" s="889">
        <v>3281.4726797331573</v>
      </c>
      <c r="E581">
        <v>25</v>
      </c>
      <c r="F581">
        <v>22</v>
      </c>
    </row>
    <row r="582" spans="1:6">
      <c r="A582" s="3"/>
      <c r="B582">
        <v>0.51</v>
      </c>
      <c r="C582">
        <v>0.75</v>
      </c>
      <c r="D582" s="889">
        <v>2703.2428881584933</v>
      </c>
      <c r="E582">
        <v>25</v>
      </c>
      <c r="F582">
        <v>22</v>
      </c>
    </row>
    <row r="583" spans="1:6">
      <c r="A583" s="3"/>
      <c r="B583">
        <v>0.76</v>
      </c>
      <c r="C583">
        <v>1</v>
      </c>
      <c r="D583" s="889">
        <v>3740.58217089759</v>
      </c>
      <c r="E583">
        <v>25</v>
      </c>
      <c r="F583">
        <v>22</v>
      </c>
    </row>
    <row r="584" spans="1:6">
      <c r="A584" s="3"/>
      <c r="B584">
        <v>1.1000000000000001</v>
      </c>
      <c r="C584">
        <v>1.5</v>
      </c>
      <c r="D584" s="889">
        <v>3059.3629529265804</v>
      </c>
      <c r="E584">
        <v>25</v>
      </c>
      <c r="F584">
        <v>22</v>
      </c>
    </row>
    <row r="585" spans="1:6">
      <c r="A585" s="3"/>
      <c r="B585">
        <v>1.6</v>
      </c>
      <c r="C585">
        <v>2</v>
      </c>
      <c r="D585" s="889">
        <v>3689.7078759307205</v>
      </c>
      <c r="E585">
        <v>25</v>
      </c>
      <c r="F585">
        <v>22</v>
      </c>
    </row>
    <row r="586" spans="1:6">
      <c r="A586" s="3"/>
      <c r="B586">
        <v>2.1</v>
      </c>
      <c r="C586">
        <v>4</v>
      </c>
      <c r="D586" s="889">
        <v>3958.3489700850441</v>
      </c>
      <c r="E586">
        <v>25</v>
      </c>
      <c r="F586">
        <v>22</v>
      </c>
    </row>
    <row r="587" spans="1:6">
      <c r="A587" s="3"/>
      <c r="B587">
        <v>4.0999999999999996</v>
      </c>
      <c r="C587" t="s">
        <v>3596</v>
      </c>
      <c r="D587" s="889" t="s">
        <v>3596</v>
      </c>
      <c r="E587">
        <v>25</v>
      </c>
      <c r="F587">
        <v>22</v>
      </c>
    </row>
    <row r="590" spans="1:6">
      <c r="A590" s="890" t="s">
        <v>3586</v>
      </c>
      <c r="B590" s="890" t="s">
        <v>3779</v>
      </c>
      <c r="C590" s="890"/>
      <c r="D590" s="890"/>
      <c r="E590" s="890"/>
      <c r="F590" s="890"/>
    </row>
    <row r="591" spans="1:6">
      <c r="A591" s="888">
        <v>43</v>
      </c>
      <c r="B591" s="320" t="s">
        <v>3694</v>
      </c>
      <c r="C591" s="320" t="s">
        <v>3695</v>
      </c>
      <c r="D591" s="847" t="s">
        <v>3595</v>
      </c>
      <c r="E591" s="320" t="s">
        <v>3588</v>
      </c>
      <c r="F591" s="320" t="s">
        <v>3589</v>
      </c>
    </row>
    <row r="592" spans="1:6">
      <c r="A592" s="3" t="s">
        <v>3780</v>
      </c>
      <c r="B592">
        <v>0</v>
      </c>
      <c r="C592">
        <v>2</v>
      </c>
      <c r="D592" s="889">
        <v>1917.9132555761435</v>
      </c>
      <c r="E592">
        <v>15</v>
      </c>
      <c r="F592">
        <v>14</v>
      </c>
    </row>
    <row r="593" spans="1:6">
      <c r="A593" s="3"/>
      <c r="B593">
        <v>2.1</v>
      </c>
      <c r="C593">
        <v>3</v>
      </c>
      <c r="D593" s="889">
        <v>2012.2775307939435</v>
      </c>
      <c r="E593">
        <v>15</v>
      </c>
      <c r="F593">
        <v>14</v>
      </c>
    </row>
    <row r="594" spans="1:6">
      <c r="A594" s="3"/>
      <c r="B594">
        <v>3.1</v>
      </c>
      <c r="C594">
        <v>6</v>
      </c>
      <c r="D594" s="889">
        <v>3229.2703536375971</v>
      </c>
      <c r="E594">
        <v>15</v>
      </c>
      <c r="F594">
        <v>14</v>
      </c>
    </row>
    <row r="595" spans="1:6">
      <c r="A595" s="3"/>
      <c r="B595">
        <v>6.1</v>
      </c>
      <c r="C595">
        <v>12</v>
      </c>
      <c r="D595" s="889">
        <v>5131.3008277058216</v>
      </c>
      <c r="E595">
        <v>15</v>
      </c>
      <c r="F595">
        <v>14</v>
      </c>
    </row>
    <row r="596" spans="1:6">
      <c r="A596" s="3"/>
      <c r="B596">
        <v>12.1</v>
      </c>
      <c r="C596">
        <v>16</v>
      </c>
      <c r="D596" s="889">
        <v>6932.5703263810165</v>
      </c>
      <c r="E596">
        <v>15</v>
      </c>
      <c r="F596">
        <v>14</v>
      </c>
    </row>
    <row r="597" spans="1:6">
      <c r="A597" s="3"/>
      <c r="B597">
        <v>16.100000000000001</v>
      </c>
      <c r="C597">
        <v>24</v>
      </c>
      <c r="D597" s="889">
        <v>6272.4431261963609</v>
      </c>
      <c r="E597">
        <v>15</v>
      </c>
      <c r="F597">
        <v>14</v>
      </c>
    </row>
    <row r="598" spans="1:6">
      <c r="A598" s="3"/>
      <c r="B598">
        <v>48.1</v>
      </c>
      <c r="C598">
        <v>60</v>
      </c>
      <c r="D598" s="889">
        <v>25150.900552878997</v>
      </c>
      <c r="E598">
        <v>15</v>
      </c>
      <c r="F598">
        <v>14</v>
      </c>
    </row>
    <row r="599" spans="1:6">
      <c r="A599" s="3"/>
      <c r="B599">
        <v>60.1</v>
      </c>
      <c r="C599" t="s">
        <v>3596</v>
      </c>
      <c r="D599" s="889" t="s">
        <v>3596</v>
      </c>
      <c r="E599">
        <v>15</v>
      </c>
      <c r="F599">
        <v>14</v>
      </c>
    </row>
    <row r="602" spans="1:6">
      <c r="A602" s="890" t="s">
        <v>3781</v>
      </c>
      <c r="B602" s="890" t="s">
        <v>3782</v>
      </c>
      <c r="C602" s="890"/>
      <c r="D602" s="890"/>
      <c r="E602" s="890"/>
      <c r="F602" s="890"/>
    </row>
    <row r="603" spans="1:6">
      <c r="A603" s="888">
        <v>42</v>
      </c>
      <c r="B603" s="320"/>
      <c r="C603" s="320"/>
      <c r="D603" s="847" t="s">
        <v>3595</v>
      </c>
      <c r="E603" s="320" t="s">
        <v>3588</v>
      </c>
      <c r="F603" s="320" t="s">
        <v>3589</v>
      </c>
    </row>
    <row r="604" spans="1:6">
      <c r="A604" s="3" t="s">
        <v>3783</v>
      </c>
      <c r="B604">
        <v>0</v>
      </c>
      <c r="C604">
        <v>0</v>
      </c>
      <c r="D604" s="889">
        <v>40.5</v>
      </c>
      <c r="E604">
        <v>10</v>
      </c>
      <c r="F604">
        <v>8</v>
      </c>
    </row>
    <row r="607" spans="1:6">
      <c r="A607" s="890" t="s">
        <v>3586</v>
      </c>
      <c r="B607" s="890" t="s">
        <v>3784</v>
      </c>
      <c r="C607" s="890"/>
      <c r="D607" s="890"/>
      <c r="E607" s="890"/>
      <c r="F607" s="890"/>
    </row>
    <row r="608" spans="1:6">
      <c r="A608" s="888">
        <v>43</v>
      </c>
      <c r="B608" s="320"/>
      <c r="C608" s="320"/>
      <c r="D608" s="847" t="s">
        <v>3595</v>
      </c>
      <c r="E608" s="320" t="s">
        <v>3588</v>
      </c>
      <c r="F608" s="320" t="s">
        <v>3589</v>
      </c>
    </row>
    <row r="609" spans="1:6">
      <c r="A609" s="3" t="s">
        <v>3785</v>
      </c>
      <c r="B609">
        <v>0</v>
      </c>
      <c r="C609">
        <v>0</v>
      </c>
      <c r="D609" s="889">
        <v>2732.7503535108604</v>
      </c>
      <c r="E609">
        <v>15</v>
      </c>
      <c r="F609">
        <v>14</v>
      </c>
    </row>
    <row r="612" spans="1:6">
      <c r="A612" s="890" t="s">
        <v>3786</v>
      </c>
      <c r="B612" s="890" t="s">
        <v>3787</v>
      </c>
      <c r="C612" s="890"/>
      <c r="D612" s="890"/>
      <c r="E612" s="890"/>
      <c r="F612" s="890"/>
    </row>
    <row r="613" spans="1:6">
      <c r="A613" s="888">
        <v>37</v>
      </c>
      <c r="B613" s="320"/>
      <c r="C613" s="320"/>
      <c r="D613" s="847" t="s">
        <v>3595</v>
      </c>
      <c r="E613" s="320" t="s">
        <v>3588</v>
      </c>
      <c r="F613" s="320" t="s">
        <v>3589</v>
      </c>
    </row>
    <row r="614" spans="1:6">
      <c r="A614" s="3" t="s">
        <v>3788</v>
      </c>
      <c r="B614">
        <v>0</v>
      </c>
      <c r="C614">
        <v>0</v>
      </c>
      <c r="D614" s="889">
        <v>1325.79</v>
      </c>
      <c r="E614">
        <v>10</v>
      </c>
      <c r="F614">
        <v>8</v>
      </c>
    </row>
    <row r="617" spans="1:6">
      <c r="A617" s="890" t="s">
        <v>3586</v>
      </c>
      <c r="B617" s="890" t="s">
        <v>3789</v>
      </c>
      <c r="C617" s="890"/>
      <c r="D617" s="890"/>
      <c r="E617" s="890"/>
      <c r="F617" s="890"/>
    </row>
    <row r="618" spans="1:6">
      <c r="A618" s="888">
        <v>43</v>
      </c>
      <c r="B618" s="320"/>
      <c r="C618" s="320"/>
      <c r="D618" s="847" t="s">
        <v>3595</v>
      </c>
      <c r="E618" s="320" t="s">
        <v>3588</v>
      </c>
      <c r="F618" s="320" t="s">
        <v>3589</v>
      </c>
    </row>
    <row r="619" spans="1:6">
      <c r="A619" s="3" t="s">
        <v>3790</v>
      </c>
      <c r="B619">
        <v>0</v>
      </c>
      <c r="C619">
        <v>0</v>
      </c>
      <c r="D619" s="889">
        <v>3047.1155477538618</v>
      </c>
      <c r="E619">
        <v>15</v>
      </c>
      <c r="F619">
        <v>14</v>
      </c>
    </row>
    <row r="622" spans="1:6">
      <c r="A622" s="3" t="s">
        <v>3609</v>
      </c>
      <c r="B622">
        <v>0</v>
      </c>
      <c r="C622">
        <v>0</v>
      </c>
      <c r="D622" s="892">
        <v>64</v>
      </c>
      <c r="E622" t="s">
        <v>3601</v>
      </c>
      <c r="F622" t="s">
        <v>3601</v>
      </c>
    </row>
    <row r="623" spans="1:6">
      <c r="A623" s="3"/>
      <c r="B623" t="s">
        <v>3791</v>
      </c>
      <c r="D623" t="s">
        <v>3600</v>
      </c>
      <c r="E623" t="s">
        <v>3588</v>
      </c>
      <c r="F623" t="s">
        <v>3589</v>
      </c>
    </row>
    <row r="624" spans="1:6">
      <c r="A624" s="782" t="s">
        <v>3792</v>
      </c>
      <c r="B624" s="320">
        <v>0</v>
      </c>
      <c r="C624" s="320">
        <v>0</v>
      </c>
      <c r="D624" s="904">
        <v>284.5</v>
      </c>
      <c r="E624" s="320" t="s">
        <v>3601</v>
      </c>
      <c r="F624" s="320" t="s">
        <v>3601</v>
      </c>
    </row>
    <row r="627" spans="1:6">
      <c r="A627" s="890" t="s">
        <v>3736</v>
      </c>
      <c r="B627" s="890" t="s">
        <v>3793</v>
      </c>
      <c r="C627" s="890"/>
      <c r="D627" s="890"/>
      <c r="E627" s="890"/>
      <c r="F627" s="890"/>
    </row>
    <row r="628" spans="1:6">
      <c r="A628" s="888">
        <v>16</v>
      </c>
      <c r="B628" s="893" t="s">
        <v>3723</v>
      </c>
      <c r="C628" s="847" t="s">
        <v>3724</v>
      </c>
      <c r="D628" s="320" t="s">
        <v>3595</v>
      </c>
      <c r="E628" s="320" t="s">
        <v>3588</v>
      </c>
      <c r="F628" s="320" t="s">
        <v>3589</v>
      </c>
    </row>
    <row r="629" spans="1:6">
      <c r="A629" s="3" t="s">
        <v>3794</v>
      </c>
      <c r="B629">
        <v>0</v>
      </c>
      <c r="C629">
        <v>60</v>
      </c>
      <c r="D629" s="889">
        <v>648.92857142857144</v>
      </c>
      <c r="E629">
        <v>10</v>
      </c>
      <c r="F629">
        <v>7</v>
      </c>
    </row>
    <row r="630" spans="1:6">
      <c r="A630" s="3"/>
      <c r="B630">
        <v>61</v>
      </c>
      <c r="C630">
        <v>100</v>
      </c>
      <c r="D630" s="889">
        <v>1067.8571428571429</v>
      </c>
      <c r="E630">
        <v>10</v>
      </c>
      <c r="F630">
        <v>7</v>
      </c>
    </row>
    <row r="631" spans="1:6">
      <c r="A631" s="3"/>
      <c r="B631">
        <v>101</v>
      </c>
      <c r="C631">
        <v>120</v>
      </c>
      <c r="D631" s="889">
        <v>745.85714285714289</v>
      </c>
      <c r="E631">
        <v>10</v>
      </c>
      <c r="F631">
        <v>7</v>
      </c>
    </row>
    <row r="632" spans="1:6">
      <c r="A632" s="3"/>
      <c r="B632">
        <v>121</v>
      </c>
      <c r="C632">
        <v>155</v>
      </c>
      <c r="D632" s="889">
        <v>821.42857142857133</v>
      </c>
      <c r="E632">
        <v>10</v>
      </c>
      <c r="F632">
        <v>7</v>
      </c>
    </row>
    <row r="633" spans="1:6">
      <c r="A633" s="3"/>
      <c r="B633">
        <v>156</v>
      </c>
      <c r="C633">
        <v>200</v>
      </c>
      <c r="D633" s="889">
        <v>903.57142857142856</v>
      </c>
      <c r="E633">
        <v>10</v>
      </c>
      <c r="F633">
        <v>7</v>
      </c>
    </row>
    <row r="634" spans="1:6">
      <c r="A634" s="3"/>
      <c r="B634">
        <v>201</v>
      </c>
      <c r="C634">
        <v>205</v>
      </c>
      <c r="D634" s="889">
        <v>1412.8571428571427</v>
      </c>
      <c r="E634">
        <v>10</v>
      </c>
      <c r="F634">
        <v>7</v>
      </c>
    </row>
    <row r="635" spans="1:6">
      <c r="A635" s="3"/>
      <c r="B635">
        <v>206</v>
      </c>
      <c r="C635">
        <v>295</v>
      </c>
      <c r="D635" s="889">
        <v>1150</v>
      </c>
      <c r="E635">
        <v>10</v>
      </c>
      <c r="F635">
        <v>7</v>
      </c>
    </row>
    <row r="636" spans="1:6">
      <c r="A636" s="3"/>
      <c r="B636">
        <v>296</v>
      </c>
      <c r="C636">
        <v>300</v>
      </c>
      <c r="D636" s="889">
        <v>1288</v>
      </c>
      <c r="E636">
        <v>10</v>
      </c>
      <c r="F636">
        <v>7</v>
      </c>
    </row>
    <row r="637" spans="1:6">
      <c r="A637" s="3"/>
      <c r="B637">
        <v>301</v>
      </c>
      <c r="C637">
        <v>540</v>
      </c>
      <c r="D637" s="889">
        <v>1827.6785714285716</v>
      </c>
      <c r="E637">
        <v>10</v>
      </c>
      <c r="F637">
        <v>7</v>
      </c>
    </row>
    <row r="638" spans="1:6">
      <c r="A638" s="3"/>
      <c r="B638">
        <v>541</v>
      </c>
      <c r="C638">
        <v>550</v>
      </c>
      <c r="D638" s="889">
        <v>1339.5735294117649</v>
      </c>
      <c r="E638">
        <v>10</v>
      </c>
      <c r="F638">
        <v>7</v>
      </c>
    </row>
    <row r="639" spans="1:6">
      <c r="A639" s="3"/>
      <c r="B639">
        <v>551</v>
      </c>
      <c r="C639">
        <v>850</v>
      </c>
      <c r="D639" s="889">
        <v>1913.6764705882354</v>
      </c>
      <c r="E639">
        <v>10</v>
      </c>
      <c r="F639">
        <v>7</v>
      </c>
    </row>
    <row r="640" spans="1:6">
      <c r="A640" s="3"/>
      <c r="B640">
        <v>851</v>
      </c>
      <c r="C640">
        <v>1000</v>
      </c>
      <c r="D640" s="889">
        <v>1653.4642857142858</v>
      </c>
      <c r="E640">
        <v>10</v>
      </c>
      <c r="F640">
        <v>7</v>
      </c>
    </row>
    <row r="641" spans="1:6">
      <c r="A641" s="3"/>
      <c r="B641">
        <v>1001</v>
      </c>
      <c r="C641">
        <v>1050</v>
      </c>
      <c r="D641" s="889">
        <v>3015</v>
      </c>
      <c r="E641">
        <v>10</v>
      </c>
      <c r="F641">
        <v>7</v>
      </c>
    </row>
    <row r="642" spans="1:6">
      <c r="A642" s="3"/>
      <c r="B642">
        <v>1051</v>
      </c>
      <c r="C642">
        <v>1200</v>
      </c>
      <c r="D642" s="889">
        <v>2413.1964285714284</v>
      </c>
      <c r="E642">
        <v>10</v>
      </c>
      <c r="F642">
        <v>7</v>
      </c>
    </row>
    <row r="643" spans="1:6">
      <c r="A643" s="3"/>
      <c r="B643">
        <v>1201</v>
      </c>
      <c r="C643">
        <v>1450</v>
      </c>
      <c r="D643" s="889">
        <v>1917.875</v>
      </c>
      <c r="E643">
        <v>10</v>
      </c>
      <c r="F643">
        <v>7</v>
      </c>
    </row>
    <row r="644" spans="1:6">
      <c r="A644" s="3"/>
      <c r="B644">
        <v>1451</v>
      </c>
      <c r="C644">
        <v>1500</v>
      </c>
      <c r="D644" s="889">
        <v>3619.2413793103447</v>
      </c>
      <c r="E644">
        <v>10</v>
      </c>
      <c r="F644">
        <v>7</v>
      </c>
    </row>
    <row r="645" spans="1:6">
      <c r="A645" s="3"/>
      <c r="B645">
        <v>1501</v>
      </c>
      <c r="C645">
        <v>2000</v>
      </c>
      <c r="D645" s="889">
        <v>4125.1886304909558</v>
      </c>
      <c r="E645">
        <v>10</v>
      </c>
      <c r="F645">
        <v>7</v>
      </c>
    </row>
    <row r="646" spans="1:6">
      <c r="A646" s="3"/>
      <c r="B646">
        <v>2001</v>
      </c>
      <c r="C646">
        <v>2450</v>
      </c>
      <c r="D646" s="889">
        <v>3836.3617571059431</v>
      </c>
      <c r="E646">
        <v>10</v>
      </c>
      <c r="F646">
        <v>7</v>
      </c>
    </row>
    <row r="647" spans="1:6">
      <c r="A647" s="3"/>
      <c r="B647">
        <v>2451</v>
      </c>
      <c r="C647">
        <v>2500</v>
      </c>
      <c r="D647" s="889">
        <v>5598.2635658914724</v>
      </c>
      <c r="E647">
        <v>10</v>
      </c>
      <c r="F647">
        <v>7</v>
      </c>
    </row>
    <row r="648" spans="1:6">
      <c r="A648" s="3"/>
      <c r="B648">
        <v>2501</v>
      </c>
      <c r="C648">
        <v>2550</v>
      </c>
      <c r="D648" s="889">
        <v>7703.9793281653738</v>
      </c>
      <c r="E648">
        <v>10</v>
      </c>
      <c r="F648">
        <v>7</v>
      </c>
    </row>
    <row r="649" spans="1:6">
      <c r="A649" s="3"/>
      <c r="B649">
        <v>2551</v>
      </c>
      <c r="C649">
        <v>3000</v>
      </c>
      <c r="D649" s="889">
        <v>5615.0490956072354</v>
      </c>
      <c r="E649">
        <v>10</v>
      </c>
      <c r="F649">
        <v>7</v>
      </c>
    </row>
    <row r="650" spans="1:6">
      <c r="A650" s="3"/>
      <c r="B650">
        <v>3001</v>
      </c>
      <c r="C650">
        <v>4200</v>
      </c>
      <c r="D650" s="889">
        <v>8250.3772609819116</v>
      </c>
      <c r="E650">
        <v>10</v>
      </c>
      <c r="F650">
        <v>7</v>
      </c>
    </row>
    <row r="651" spans="1:6">
      <c r="A651" s="3"/>
      <c r="B651">
        <v>4201</v>
      </c>
      <c r="C651">
        <v>5200</v>
      </c>
      <c r="D651" s="889">
        <v>11687.261780104711</v>
      </c>
      <c r="E651">
        <v>10</v>
      </c>
      <c r="F651">
        <v>7</v>
      </c>
    </row>
    <row r="652" spans="1:6">
      <c r="A652" s="3"/>
      <c r="B652">
        <v>5201</v>
      </c>
      <c r="C652">
        <v>5300</v>
      </c>
      <c r="D652" s="889">
        <v>13787.82722513089</v>
      </c>
      <c r="E652">
        <v>10</v>
      </c>
      <c r="F652">
        <v>7</v>
      </c>
    </row>
    <row r="653" spans="1:6">
      <c r="A653" s="3"/>
      <c r="B653">
        <v>5301</v>
      </c>
      <c r="C653">
        <v>6500</v>
      </c>
      <c r="D653" s="889">
        <v>14716.570680628272</v>
      </c>
      <c r="E653">
        <v>10</v>
      </c>
      <c r="F653">
        <v>7</v>
      </c>
    </row>
    <row r="654" spans="1:6">
      <c r="A654" s="3"/>
      <c r="B654">
        <v>6501</v>
      </c>
      <c r="C654">
        <v>6600</v>
      </c>
      <c r="D654" s="889">
        <v>17680.523560209422</v>
      </c>
      <c r="E654">
        <v>10</v>
      </c>
      <c r="F654">
        <v>7</v>
      </c>
    </row>
    <row r="655" spans="1:6">
      <c r="A655" s="3"/>
      <c r="B655">
        <v>6601</v>
      </c>
      <c r="C655" t="s">
        <v>3596</v>
      </c>
      <c r="D655" s="889" t="s">
        <v>3596</v>
      </c>
      <c r="E655">
        <v>10</v>
      </c>
      <c r="F655">
        <v>7</v>
      </c>
    </row>
    <row r="658" spans="1:6">
      <c r="A658" s="890" t="s">
        <v>3747</v>
      </c>
      <c r="B658" s="890" t="s">
        <v>3795</v>
      </c>
      <c r="C658" s="890"/>
      <c r="D658" s="890"/>
      <c r="E658" s="890"/>
      <c r="F658" s="890"/>
    </row>
    <row r="659" spans="1:6">
      <c r="A659" s="888">
        <v>29</v>
      </c>
      <c r="B659" s="893" t="s">
        <v>3796</v>
      </c>
      <c r="C659" s="320" t="s">
        <v>3797</v>
      </c>
      <c r="D659" s="847" t="s">
        <v>3595</v>
      </c>
      <c r="E659" s="893" t="s">
        <v>3622</v>
      </c>
      <c r="F659" s="847" t="s">
        <v>3589</v>
      </c>
    </row>
    <row r="660" spans="1:6">
      <c r="A660" s="3" t="s">
        <v>3798</v>
      </c>
      <c r="B660">
        <v>0</v>
      </c>
      <c r="C660">
        <v>0.5</v>
      </c>
      <c r="D660" s="889">
        <v>481.93126486452076</v>
      </c>
      <c r="E660">
        <v>22</v>
      </c>
      <c r="F660">
        <v>17</v>
      </c>
    </row>
    <row r="661" spans="1:6">
      <c r="A661" s="3"/>
      <c r="B661">
        <v>0.51</v>
      </c>
      <c r="C661">
        <v>0.75</v>
      </c>
      <c r="D661" s="889">
        <v>702.02717316143742</v>
      </c>
      <c r="E661">
        <v>22</v>
      </c>
      <c r="F661">
        <v>17</v>
      </c>
    </row>
    <row r="662" spans="1:6">
      <c r="A662" s="3"/>
      <c r="B662">
        <v>0.76</v>
      </c>
      <c r="C662">
        <v>1</v>
      </c>
      <c r="D662" s="889">
        <v>699.02092264499606</v>
      </c>
      <c r="E662">
        <v>22</v>
      </c>
      <c r="F662">
        <v>17</v>
      </c>
    </row>
    <row r="663" spans="1:6">
      <c r="A663" s="3"/>
      <c r="B663">
        <v>1.1000000000000001</v>
      </c>
      <c r="C663">
        <v>1.5</v>
      </c>
      <c r="D663" s="889">
        <v>1099.9332416323491</v>
      </c>
      <c r="E663">
        <v>22</v>
      </c>
      <c r="F663">
        <v>17</v>
      </c>
    </row>
    <row r="664" spans="1:6">
      <c r="A664" s="3"/>
      <c r="B664">
        <v>1.6</v>
      </c>
      <c r="C664">
        <v>2</v>
      </c>
      <c r="D664" s="889">
        <v>1360.1061971941751</v>
      </c>
      <c r="E664">
        <v>22</v>
      </c>
      <c r="F664">
        <v>17</v>
      </c>
    </row>
    <row r="665" spans="1:6">
      <c r="A665" s="3"/>
      <c r="B665">
        <v>2.1</v>
      </c>
      <c r="C665">
        <v>3</v>
      </c>
      <c r="D665" s="889">
        <v>2365.6722675847818</v>
      </c>
      <c r="E665">
        <v>22</v>
      </c>
      <c r="F665">
        <v>17</v>
      </c>
    </row>
    <row r="666" spans="1:6">
      <c r="A666" s="3"/>
      <c r="B666">
        <v>3.1</v>
      </c>
      <c r="C666" t="s">
        <v>3596</v>
      </c>
      <c r="D666" s="889" t="s">
        <v>3596</v>
      </c>
      <c r="E666">
        <v>22</v>
      </c>
      <c r="F666">
        <v>17</v>
      </c>
    </row>
    <row r="669" spans="1:6">
      <c r="A669" s="890" t="s">
        <v>3747</v>
      </c>
      <c r="B669" s="890" t="s">
        <v>3799</v>
      </c>
      <c r="C669" s="890"/>
      <c r="D669" s="890"/>
      <c r="E669" s="890"/>
      <c r="F669" s="890"/>
    </row>
    <row r="670" spans="1:6">
      <c r="A670" s="888">
        <v>29</v>
      </c>
      <c r="B670" s="893" t="s">
        <v>3749</v>
      </c>
      <c r="C670" s="320" t="s">
        <v>3750</v>
      </c>
      <c r="D670" s="911" t="s">
        <v>3595</v>
      </c>
      <c r="E670" s="893" t="s">
        <v>3622</v>
      </c>
      <c r="F670" s="847" t="s">
        <v>3589</v>
      </c>
    </row>
    <row r="671" spans="1:6">
      <c r="A671" s="3" t="s">
        <v>3800</v>
      </c>
      <c r="B671">
        <v>0</v>
      </c>
      <c r="C671">
        <v>23</v>
      </c>
      <c r="D671" s="889">
        <v>46895.133512695342</v>
      </c>
      <c r="E671">
        <v>25</v>
      </c>
      <c r="F671">
        <v>20</v>
      </c>
    </row>
    <row r="672" spans="1:6">
      <c r="A672" s="3"/>
      <c r="B672">
        <v>23.1</v>
      </c>
      <c r="C672">
        <v>25</v>
      </c>
      <c r="D672" s="889">
        <v>36207.352424455079</v>
      </c>
      <c r="E672">
        <v>25</v>
      </c>
      <c r="F672">
        <v>20</v>
      </c>
    </row>
    <row r="673" spans="1:6">
      <c r="A673" s="3"/>
      <c r="B673">
        <v>25.1</v>
      </c>
      <c r="C673">
        <v>27</v>
      </c>
      <c r="D673" s="889">
        <v>41804.409352504816</v>
      </c>
      <c r="E673">
        <v>25</v>
      </c>
      <c r="F673">
        <v>20</v>
      </c>
    </row>
    <row r="674" spans="1:6">
      <c r="A674" s="3"/>
      <c r="B674">
        <v>27.1</v>
      </c>
      <c r="C674">
        <v>40</v>
      </c>
      <c r="D674" s="889">
        <v>54130.913463583238</v>
      </c>
      <c r="E674">
        <v>25</v>
      </c>
      <c r="F674">
        <v>20</v>
      </c>
    </row>
    <row r="675" spans="1:6">
      <c r="A675" s="3"/>
      <c r="B675">
        <v>40.1</v>
      </c>
      <c r="C675">
        <v>42</v>
      </c>
      <c r="D675" s="889">
        <v>44373.49303762948</v>
      </c>
      <c r="E675">
        <v>25</v>
      </c>
      <c r="F675">
        <v>20</v>
      </c>
    </row>
    <row r="676" spans="1:6">
      <c r="A676" s="3"/>
      <c r="B676">
        <v>42.1</v>
      </c>
      <c r="C676">
        <v>59</v>
      </c>
      <c r="D676" s="889">
        <v>49529.137167641573</v>
      </c>
      <c r="E676">
        <v>25</v>
      </c>
      <c r="F676">
        <v>20</v>
      </c>
    </row>
    <row r="677" spans="1:6">
      <c r="A677" s="3"/>
      <c r="B677">
        <v>59.1</v>
      </c>
      <c r="C677">
        <v>60</v>
      </c>
      <c r="D677" s="889">
        <v>64367.056872138957</v>
      </c>
      <c r="E677">
        <v>25</v>
      </c>
      <c r="F677">
        <v>20</v>
      </c>
    </row>
    <row r="678" spans="1:6">
      <c r="A678" s="3"/>
      <c r="B678">
        <v>60.1</v>
      </c>
      <c r="C678">
        <v>63</v>
      </c>
      <c r="D678" s="889">
        <v>57099.898982493134</v>
      </c>
      <c r="E678">
        <v>25</v>
      </c>
      <c r="F678">
        <v>20</v>
      </c>
    </row>
    <row r="679" spans="1:6">
      <c r="A679" s="3"/>
      <c r="B679">
        <v>63.1</v>
      </c>
      <c r="C679">
        <v>80</v>
      </c>
      <c r="D679" s="889">
        <v>55873.200961520859</v>
      </c>
      <c r="E679">
        <v>25</v>
      </c>
      <c r="F679">
        <v>20</v>
      </c>
    </row>
    <row r="680" spans="1:6">
      <c r="A680" s="3"/>
      <c r="B680">
        <v>80.099999999999994</v>
      </c>
      <c r="C680" t="s">
        <v>3596</v>
      </c>
      <c r="D680" s="889" t="s">
        <v>3596</v>
      </c>
      <c r="E680">
        <v>25</v>
      </c>
      <c r="F680">
        <v>20</v>
      </c>
    </row>
    <row r="683" spans="1:6">
      <c r="A683" s="890" t="s">
        <v>3801</v>
      </c>
      <c r="B683" s="890" t="s">
        <v>3802</v>
      </c>
      <c r="C683" s="890"/>
      <c r="D683" s="890"/>
      <c r="E683" s="890"/>
      <c r="F683" s="890"/>
    </row>
    <row r="684" spans="1:6">
      <c r="A684" s="888">
        <v>36</v>
      </c>
      <c r="B684" s="320"/>
      <c r="C684" s="320"/>
      <c r="D684" s="847" t="s">
        <v>3595</v>
      </c>
      <c r="E684" s="320" t="s">
        <v>3588</v>
      </c>
      <c r="F684" s="320" t="s">
        <v>3589</v>
      </c>
    </row>
    <row r="685" spans="1:6">
      <c r="A685" s="3" t="s">
        <v>3803</v>
      </c>
      <c r="B685">
        <v>0</v>
      </c>
      <c r="C685">
        <v>0</v>
      </c>
      <c r="D685" s="889">
        <v>20680.739999999998</v>
      </c>
      <c r="E685">
        <v>10</v>
      </c>
      <c r="F685">
        <v>8</v>
      </c>
    </row>
    <row r="688" spans="1:6">
      <c r="A688" s="890" t="s">
        <v>3801</v>
      </c>
      <c r="B688" s="890" t="s">
        <v>3804</v>
      </c>
      <c r="C688" s="890"/>
      <c r="D688" s="890"/>
      <c r="E688" s="890"/>
      <c r="F688" s="890"/>
    </row>
    <row r="689" spans="1:6">
      <c r="A689" s="888">
        <v>36</v>
      </c>
      <c r="B689" s="320"/>
      <c r="C689" s="320"/>
      <c r="D689" s="847" t="s">
        <v>3595</v>
      </c>
      <c r="E689" s="320" t="s">
        <v>3588</v>
      </c>
      <c r="F689" s="320" t="s">
        <v>3589</v>
      </c>
    </row>
    <row r="690" spans="1:6">
      <c r="A690" s="3" t="s">
        <v>3805</v>
      </c>
      <c r="B690">
        <v>0</v>
      </c>
      <c r="C690">
        <v>0</v>
      </c>
      <c r="D690" s="889">
        <v>107.74000000000001</v>
      </c>
      <c r="E690">
        <v>10</v>
      </c>
      <c r="F690">
        <v>8</v>
      </c>
    </row>
    <row r="693" spans="1:6">
      <c r="A693" s="890" t="s">
        <v>3781</v>
      </c>
      <c r="B693" s="890" t="s">
        <v>3806</v>
      </c>
      <c r="C693" s="890"/>
      <c r="D693" s="890"/>
      <c r="E693" s="890"/>
      <c r="F693" s="890"/>
    </row>
    <row r="694" spans="1:6">
      <c r="A694" s="888">
        <v>42</v>
      </c>
      <c r="B694" s="320"/>
      <c r="C694" s="320"/>
      <c r="D694" s="847" t="s">
        <v>3595</v>
      </c>
      <c r="E694" s="320" t="s">
        <v>3588</v>
      </c>
      <c r="F694" s="320" t="s">
        <v>3589</v>
      </c>
    </row>
    <row r="695" spans="1:6">
      <c r="A695" s="3" t="s">
        <v>3807</v>
      </c>
      <c r="B695">
        <v>0</v>
      </c>
      <c r="C695">
        <v>0</v>
      </c>
      <c r="D695" s="889">
        <v>142.66999999999999</v>
      </c>
      <c r="E695">
        <v>10</v>
      </c>
      <c r="F695">
        <v>8</v>
      </c>
    </row>
    <row r="698" spans="1:6">
      <c r="A698" s="890" t="s">
        <v>3781</v>
      </c>
      <c r="B698" s="890" t="s">
        <v>3808</v>
      </c>
      <c r="C698" s="890"/>
      <c r="D698" s="890"/>
      <c r="E698" s="890"/>
      <c r="F698" s="890"/>
    </row>
    <row r="699" spans="1:6">
      <c r="A699" s="888">
        <v>42</v>
      </c>
      <c r="B699" s="320"/>
      <c r="C699" s="320"/>
      <c r="D699" s="847" t="s">
        <v>3595</v>
      </c>
      <c r="E699" s="320" t="s">
        <v>3588</v>
      </c>
      <c r="F699" s="320" t="s">
        <v>3589</v>
      </c>
    </row>
    <row r="700" spans="1:6">
      <c r="A700" s="3" t="s">
        <v>3809</v>
      </c>
      <c r="B700">
        <v>0</v>
      </c>
      <c r="C700">
        <v>0</v>
      </c>
      <c r="D700" s="889">
        <v>557.33500000000004</v>
      </c>
      <c r="E700">
        <v>10</v>
      </c>
      <c r="F700">
        <v>8</v>
      </c>
    </row>
    <row r="703" spans="1:6">
      <c r="A703" s="890" t="s">
        <v>3781</v>
      </c>
      <c r="B703" s="890" t="s">
        <v>3810</v>
      </c>
      <c r="C703" s="890"/>
      <c r="D703" s="890"/>
      <c r="E703" s="890"/>
      <c r="F703" s="890"/>
    </row>
    <row r="704" spans="1:6">
      <c r="A704" s="888">
        <v>42</v>
      </c>
      <c r="B704" s="320"/>
      <c r="C704" s="320"/>
      <c r="D704" s="847" t="s">
        <v>3595</v>
      </c>
      <c r="E704" s="320" t="s">
        <v>3588</v>
      </c>
      <c r="F704" s="320" t="s">
        <v>3589</v>
      </c>
    </row>
    <row r="705" spans="1:6">
      <c r="A705" s="3" t="s">
        <v>3811</v>
      </c>
      <c r="B705">
        <v>0</v>
      </c>
      <c r="C705">
        <v>0</v>
      </c>
      <c r="D705" s="889">
        <v>378.8</v>
      </c>
      <c r="E705">
        <v>10</v>
      </c>
      <c r="F705">
        <v>8</v>
      </c>
    </row>
    <row r="708" spans="1:6">
      <c r="A708" s="890" t="s">
        <v>3781</v>
      </c>
      <c r="B708" s="890" t="s">
        <v>3812</v>
      </c>
      <c r="C708" s="890"/>
      <c r="D708" s="890"/>
      <c r="E708" s="890"/>
      <c r="F708" s="890"/>
    </row>
    <row r="709" spans="1:6">
      <c r="A709" s="888">
        <v>42</v>
      </c>
      <c r="B709" s="320"/>
      <c r="C709" s="320"/>
      <c r="D709" s="847" t="s">
        <v>3595</v>
      </c>
      <c r="E709" s="320" t="s">
        <v>3588</v>
      </c>
      <c r="F709" s="320" t="s">
        <v>3589</v>
      </c>
    </row>
    <row r="710" spans="1:6">
      <c r="A710" s="3" t="s">
        <v>3813</v>
      </c>
      <c r="B710">
        <v>0</v>
      </c>
      <c r="C710">
        <v>0</v>
      </c>
      <c r="D710" s="889">
        <v>597.23500000000001</v>
      </c>
      <c r="E710">
        <v>10</v>
      </c>
      <c r="F710">
        <v>8</v>
      </c>
    </row>
    <row r="713" spans="1:6">
      <c r="A713" s="890" t="s">
        <v>3781</v>
      </c>
      <c r="B713" s="890" t="s">
        <v>3814</v>
      </c>
      <c r="C713" s="890"/>
      <c r="D713" s="890"/>
      <c r="E713" s="890"/>
      <c r="F713" s="890"/>
    </row>
    <row r="714" spans="1:6">
      <c r="A714" s="888">
        <v>42</v>
      </c>
      <c r="B714" s="320"/>
      <c r="C714" s="320"/>
      <c r="D714" s="847" t="s">
        <v>3595</v>
      </c>
      <c r="E714" s="320" t="s">
        <v>3588</v>
      </c>
      <c r="F714" s="320" t="s">
        <v>3589</v>
      </c>
    </row>
    <row r="715" spans="1:6">
      <c r="A715" s="3" t="s">
        <v>3815</v>
      </c>
      <c r="B715">
        <v>0</v>
      </c>
      <c r="C715">
        <v>0</v>
      </c>
      <c r="D715" s="889">
        <v>382.68</v>
      </c>
      <c r="E715">
        <v>10</v>
      </c>
      <c r="F715">
        <v>8</v>
      </c>
    </row>
    <row r="718" spans="1:6">
      <c r="A718" s="890" t="s">
        <v>3781</v>
      </c>
      <c r="B718" s="890" t="s">
        <v>3816</v>
      </c>
      <c r="C718" s="890"/>
      <c r="D718" s="890"/>
      <c r="E718" s="890"/>
      <c r="F718" s="890"/>
    </row>
    <row r="719" spans="1:6">
      <c r="A719" s="888">
        <v>42</v>
      </c>
      <c r="B719" s="320"/>
      <c r="C719" s="320"/>
      <c r="D719" s="847" t="s">
        <v>3595</v>
      </c>
      <c r="E719" s="320" t="s">
        <v>3588</v>
      </c>
      <c r="F719" s="320" t="s">
        <v>3589</v>
      </c>
    </row>
    <row r="720" spans="1:6">
      <c r="A720" s="3" t="s">
        <v>3817</v>
      </c>
      <c r="B720">
        <v>0</v>
      </c>
      <c r="C720">
        <v>0</v>
      </c>
      <c r="D720" s="889">
        <v>340.42500000000001</v>
      </c>
      <c r="E720">
        <v>10</v>
      </c>
      <c r="F720">
        <v>8</v>
      </c>
    </row>
    <row r="723" spans="1:6">
      <c r="A723" s="890" t="s">
        <v>3781</v>
      </c>
      <c r="B723" s="890" t="s">
        <v>3818</v>
      </c>
      <c r="C723" s="890"/>
      <c r="D723" s="890"/>
      <c r="E723" s="890"/>
      <c r="F723" s="890"/>
    </row>
    <row r="724" spans="1:6">
      <c r="A724" s="888">
        <v>42</v>
      </c>
      <c r="B724" s="320"/>
      <c r="C724" s="320"/>
      <c r="D724" s="847" t="s">
        <v>3595</v>
      </c>
      <c r="E724" s="320" t="s">
        <v>3588</v>
      </c>
      <c r="F724" s="320" t="s">
        <v>3589</v>
      </c>
    </row>
    <row r="725" spans="1:6">
      <c r="A725" s="3" t="s">
        <v>3819</v>
      </c>
      <c r="B725">
        <v>0</v>
      </c>
      <c r="C725">
        <v>0</v>
      </c>
      <c r="D725" s="889">
        <v>1342.2349999999999</v>
      </c>
      <c r="E725">
        <v>10</v>
      </c>
      <c r="F725">
        <v>8</v>
      </c>
    </row>
    <row r="728" spans="1:6">
      <c r="A728" s="890" t="s">
        <v>3801</v>
      </c>
      <c r="B728" s="890" t="s">
        <v>3820</v>
      </c>
      <c r="C728" s="890"/>
      <c r="D728" s="890"/>
      <c r="E728" s="890"/>
      <c r="F728" s="890"/>
    </row>
    <row r="729" spans="1:6">
      <c r="A729" s="888">
        <v>36</v>
      </c>
      <c r="B729" s="320" t="s">
        <v>2885</v>
      </c>
      <c r="C729" s="320"/>
      <c r="D729" s="847" t="s">
        <v>3595</v>
      </c>
      <c r="E729" s="320" t="s">
        <v>3588</v>
      </c>
      <c r="F729" s="320" t="s">
        <v>3589</v>
      </c>
    </row>
    <row r="730" spans="1:6">
      <c r="A730" s="3" t="s">
        <v>3823</v>
      </c>
      <c r="B730" t="s">
        <v>3821</v>
      </c>
      <c r="C730" t="s">
        <v>3821</v>
      </c>
      <c r="D730" s="889">
        <v>1828.625</v>
      </c>
      <c r="E730">
        <v>10</v>
      </c>
      <c r="F730">
        <v>8</v>
      </c>
    </row>
    <row r="731" spans="1:6">
      <c r="A731" s="3"/>
      <c r="B731" t="s">
        <v>3822</v>
      </c>
      <c r="C731" t="s">
        <v>3822</v>
      </c>
      <c r="D731" s="889">
        <v>616.5</v>
      </c>
      <c r="E731">
        <v>10</v>
      </c>
      <c r="F731">
        <v>8</v>
      </c>
    </row>
    <row r="734" spans="1:6">
      <c r="A734" s="890" t="s">
        <v>3801</v>
      </c>
      <c r="B734" s="890" t="s">
        <v>3824</v>
      </c>
      <c r="C734" s="890"/>
      <c r="D734" s="890"/>
      <c r="E734" s="890"/>
      <c r="F734" s="890"/>
    </row>
    <row r="735" spans="1:6">
      <c r="A735" s="888">
        <v>36</v>
      </c>
      <c r="B735" s="320"/>
      <c r="C735" s="320"/>
      <c r="D735" s="847" t="s">
        <v>3595</v>
      </c>
      <c r="E735" s="320" t="s">
        <v>3588</v>
      </c>
      <c r="F735" s="320" t="s">
        <v>3589</v>
      </c>
    </row>
    <row r="736" spans="1:6">
      <c r="A736" s="3" t="s">
        <v>3825</v>
      </c>
      <c r="B736">
        <v>0</v>
      </c>
      <c r="C736">
        <v>0</v>
      </c>
      <c r="D736" s="889">
        <v>355.56</v>
      </c>
      <c r="E736">
        <v>10</v>
      </c>
      <c r="F736">
        <v>8</v>
      </c>
    </row>
    <row r="739" spans="1:6">
      <c r="A739" s="890" t="s">
        <v>3781</v>
      </c>
      <c r="B739" s="890" t="s">
        <v>3826</v>
      </c>
      <c r="C739" s="890"/>
      <c r="D739" s="890"/>
      <c r="E739" s="890"/>
      <c r="F739" s="890"/>
    </row>
    <row r="740" spans="1:6">
      <c r="A740" s="888">
        <v>42</v>
      </c>
      <c r="B740" s="320"/>
      <c r="C740" s="320"/>
      <c r="D740" s="847" t="s">
        <v>3595</v>
      </c>
      <c r="E740" s="320" t="s">
        <v>3588</v>
      </c>
      <c r="F740" s="320" t="s">
        <v>3589</v>
      </c>
    </row>
    <row r="741" spans="1:6">
      <c r="A741" s="3" t="s">
        <v>3827</v>
      </c>
      <c r="B741">
        <v>0</v>
      </c>
      <c r="C741">
        <v>0</v>
      </c>
      <c r="D741" s="889">
        <v>553.5</v>
      </c>
      <c r="E741">
        <v>10</v>
      </c>
      <c r="F741">
        <v>8</v>
      </c>
    </row>
    <row r="744" spans="1:6">
      <c r="A744" s="890" t="s">
        <v>3747</v>
      </c>
      <c r="B744" s="890" t="s">
        <v>3828</v>
      </c>
      <c r="C744" s="890"/>
      <c r="D744" s="890"/>
      <c r="E744" s="890"/>
      <c r="F744" s="890"/>
    </row>
    <row r="745" spans="1:6">
      <c r="A745" s="888">
        <v>29</v>
      </c>
      <c r="B745" s="320" t="s">
        <v>3761</v>
      </c>
      <c r="C745" s="320" t="s">
        <v>3777</v>
      </c>
      <c r="D745" s="847" t="s">
        <v>3595</v>
      </c>
      <c r="E745" s="320" t="s">
        <v>3588</v>
      </c>
      <c r="F745" s="320" t="s">
        <v>3589</v>
      </c>
    </row>
    <row r="746" spans="1:6">
      <c r="A746" s="3" t="s">
        <v>3829</v>
      </c>
      <c r="B746">
        <v>0</v>
      </c>
      <c r="C746">
        <v>1</v>
      </c>
      <c r="D746" s="889">
        <v>2673.5819322709162</v>
      </c>
      <c r="E746">
        <v>25</v>
      </c>
      <c r="F746">
        <v>20</v>
      </c>
    </row>
    <row r="747" spans="1:6">
      <c r="A747" s="3"/>
      <c r="B747">
        <v>1.1000000000000001</v>
      </c>
      <c r="C747" t="s">
        <v>3596</v>
      </c>
      <c r="D747" s="889" t="s">
        <v>3596</v>
      </c>
      <c r="E747">
        <v>25</v>
      </c>
      <c r="F747">
        <v>20</v>
      </c>
    </row>
    <row r="750" spans="1:6">
      <c r="A750" s="890" t="s">
        <v>3692</v>
      </c>
      <c r="B750" s="890" t="s">
        <v>3830</v>
      </c>
      <c r="C750" s="890"/>
      <c r="D750" s="890"/>
      <c r="E750" s="890"/>
      <c r="F750" s="890"/>
    </row>
    <row r="751" spans="1:6">
      <c r="A751" s="888">
        <v>35</v>
      </c>
      <c r="B751" s="320" t="s">
        <v>3694</v>
      </c>
      <c r="C751" s="320" t="s">
        <v>3695</v>
      </c>
      <c r="D751" s="847" t="s">
        <v>3595</v>
      </c>
      <c r="E751" s="320" t="s">
        <v>3588</v>
      </c>
      <c r="F751" s="320" t="s">
        <v>3589</v>
      </c>
    </row>
    <row r="752" spans="1:6">
      <c r="A752" s="3" t="s">
        <v>3831</v>
      </c>
      <c r="B752">
        <v>0</v>
      </c>
      <c r="C752">
        <v>0.5</v>
      </c>
      <c r="D752" s="889">
        <v>86</v>
      </c>
      <c r="E752">
        <v>25</v>
      </c>
      <c r="F752">
        <v>20</v>
      </c>
    </row>
    <row r="753" spans="1:6">
      <c r="A753" s="3"/>
      <c r="B753">
        <v>0.6</v>
      </c>
      <c r="C753">
        <v>0.75</v>
      </c>
      <c r="D753" s="889">
        <v>94</v>
      </c>
      <c r="E753">
        <v>25</v>
      </c>
      <c r="F753">
        <v>20</v>
      </c>
    </row>
    <row r="754" spans="1:6">
      <c r="A754" s="3"/>
      <c r="B754">
        <v>0.76</v>
      </c>
      <c r="C754">
        <v>1</v>
      </c>
      <c r="D754" s="889">
        <v>112</v>
      </c>
      <c r="E754">
        <v>25</v>
      </c>
      <c r="F754">
        <v>20</v>
      </c>
    </row>
    <row r="755" spans="1:6">
      <c r="A755" s="3"/>
      <c r="B755">
        <v>1.1000000000000001</v>
      </c>
      <c r="C755">
        <v>1.5</v>
      </c>
      <c r="D755" s="889">
        <v>168</v>
      </c>
      <c r="E755">
        <v>25</v>
      </c>
      <c r="F755">
        <v>20</v>
      </c>
    </row>
    <row r="756" spans="1:6">
      <c r="A756" s="3"/>
      <c r="B756">
        <v>1.51</v>
      </c>
      <c r="C756">
        <v>2</v>
      </c>
      <c r="D756" s="889">
        <v>221</v>
      </c>
      <c r="E756">
        <v>25</v>
      </c>
      <c r="F756">
        <v>20</v>
      </c>
    </row>
    <row r="757" spans="1:6">
      <c r="A757" s="3"/>
      <c r="B757">
        <v>2.1</v>
      </c>
      <c r="C757">
        <v>3</v>
      </c>
      <c r="D757" s="889">
        <v>535</v>
      </c>
      <c r="E757">
        <v>25</v>
      </c>
      <c r="F757">
        <v>20</v>
      </c>
    </row>
    <row r="758" spans="1:6">
      <c r="A758" s="3"/>
      <c r="B758">
        <v>3.1</v>
      </c>
      <c r="C758">
        <v>4</v>
      </c>
      <c r="D758" s="889">
        <v>745</v>
      </c>
      <c r="E758">
        <v>25</v>
      </c>
      <c r="F758">
        <v>20</v>
      </c>
    </row>
    <row r="759" spans="1:6">
      <c r="A759" s="3"/>
      <c r="B759">
        <v>4.0999999999999996</v>
      </c>
      <c r="C759">
        <v>6</v>
      </c>
      <c r="D759" s="889">
        <v>1183.2912922943299</v>
      </c>
      <c r="E759">
        <v>25</v>
      </c>
      <c r="F759">
        <v>20</v>
      </c>
    </row>
    <row r="760" spans="1:6">
      <c r="A760" s="3"/>
      <c r="B760">
        <v>6.1</v>
      </c>
      <c r="C760">
        <v>8</v>
      </c>
      <c r="D760" s="889">
        <v>2546.809935210013</v>
      </c>
      <c r="E760">
        <v>25</v>
      </c>
      <c r="F760">
        <v>20</v>
      </c>
    </row>
    <row r="761" spans="1:6">
      <c r="A761" s="3"/>
      <c r="B761">
        <v>8.1</v>
      </c>
      <c r="C761">
        <v>10</v>
      </c>
      <c r="D761" s="889">
        <v>3343.2641795643849</v>
      </c>
      <c r="E761">
        <v>25</v>
      </c>
      <c r="F761">
        <v>20</v>
      </c>
    </row>
    <row r="762" spans="1:6">
      <c r="A762" s="3"/>
      <c r="B762">
        <v>10.1</v>
      </c>
      <c r="C762">
        <v>12</v>
      </c>
      <c r="D762" s="889">
        <v>3308.8022170682825</v>
      </c>
      <c r="E762">
        <v>25</v>
      </c>
      <c r="F762">
        <v>20</v>
      </c>
    </row>
    <row r="763" spans="1:6">
      <c r="A763" s="3"/>
      <c r="B763">
        <v>12.1</v>
      </c>
      <c r="C763" t="s">
        <v>3596</v>
      </c>
      <c r="D763" s="889" t="s">
        <v>3596</v>
      </c>
      <c r="E763">
        <v>25</v>
      </c>
      <c r="F763">
        <v>20</v>
      </c>
    </row>
    <row r="766" spans="1:6">
      <c r="A766" s="890" t="s">
        <v>3692</v>
      </c>
      <c r="B766" s="890" t="s">
        <v>3832</v>
      </c>
      <c r="C766" s="890"/>
      <c r="D766" s="890"/>
      <c r="E766" s="890"/>
      <c r="F766" s="890"/>
    </row>
    <row r="767" spans="1:6">
      <c r="A767" s="888">
        <v>35</v>
      </c>
      <c r="B767" s="320" t="s">
        <v>3694</v>
      </c>
      <c r="C767" s="320" t="s">
        <v>3695</v>
      </c>
      <c r="D767" s="847" t="s">
        <v>3595</v>
      </c>
      <c r="E767" s="320" t="s">
        <v>3588</v>
      </c>
      <c r="F767" s="320" t="s">
        <v>3589</v>
      </c>
    </row>
    <row r="768" spans="1:6">
      <c r="A768" s="3" t="s">
        <v>3834</v>
      </c>
      <c r="B768">
        <v>0</v>
      </c>
      <c r="C768">
        <v>0.5</v>
      </c>
      <c r="D768" s="889">
        <v>128.83954852512139</v>
      </c>
      <c r="E768">
        <v>25</v>
      </c>
      <c r="F768">
        <v>20</v>
      </c>
    </row>
    <row r="769" spans="1:6">
      <c r="A769" s="3"/>
      <c r="B769">
        <v>0.6</v>
      </c>
      <c r="C769">
        <v>0.75</v>
      </c>
      <c r="D769" s="889">
        <v>147.50199593286607</v>
      </c>
      <c r="E769">
        <v>25</v>
      </c>
      <c r="F769">
        <v>20</v>
      </c>
    </row>
    <row r="770" spans="1:6">
      <c r="A770" s="3"/>
      <c r="B770">
        <v>0.76</v>
      </c>
      <c r="C770">
        <v>1</v>
      </c>
      <c r="D770" s="889">
        <v>165.45892277617779</v>
      </c>
      <c r="E770">
        <v>25</v>
      </c>
      <c r="F770">
        <v>20</v>
      </c>
    </row>
    <row r="771" spans="1:6">
      <c r="A771" s="3"/>
      <c r="B771">
        <v>1.1000000000000001</v>
      </c>
      <c r="C771">
        <v>1.5</v>
      </c>
      <c r="D771" s="889">
        <v>234.30425345942169</v>
      </c>
      <c r="E771">
        <v>25</v>
      </c>
      <c r="F771">
        <v>20</v>
      </c>
    </row>
    <row r="772" spans="1:6">
      <c r="A772" s="3"/>
      <c r="B772">
        <v>1.6</v>
      </c>
      <c r="C772">
        <v>2</v>
      </c>
      <c r="D772" s="889">
        <v>297.00740796003362</v>
      </c>
      <c r="E772">
        <v>25</v>
      </c>
      <c r="F772">
        <v>20</v>
      </c>
    </row>
    <row r="773" spans="1:6">
      <c r="A773" s="3"/>
      <c r="B773">
        <v>2.1</v>
      </c>
      <c r="C773">
        <v>3</v>
      </c>
      <c r="D773" s="889">
        <v>500.39976319112048</v>
      </c>
      <c r="E773">
        <v>25</v>
      </c>
      <c r="F773">
        <v>20</v>
      </c>
    </row>
    <row r="774" spans="1:6">
      <c r="A774" s="3"/>
      <c r="B774">
        <v>3.1</v>
      </c>
      <c r="C774">
        <v>4</v>
      </c>
      <c r="D774" s="889">
        <v>636.40287930604438</v>
      </c>
      <c r="E774">
        <v>25</v>
      </c>
      <c r="F774">
        <v>20</v>
      </c>
    </row>
    <row r="775" spans="1:6">
      <c r="A775" s="3"/>
      <c r="B775">
        <v>4.0999999999999996</v>
      </c>
      <c r="C775">
        <v>6</v>
      </c>
      <c r="D775" s="889">
        <v>509.65011818181824</v>
      </c>
      <c r="E775">
        <v>25</v>
      </c>
      <c r="F775">
        <v>20</v>
      </c>
    </row>
    <row r="776" spans="1:6">
      <c r="A776" s="3"/>
      <c r="B776">
        <v>6.1</v>
      </c>
      <c r="C776">
        <v>8</v>
      </c>
      <c r="D776" s="889">
        <v>1509.803581818182</v>
      </c>
      <c r="E776">
        <v>25</v>
      </c>
      <c r="F776">
        <v>20</v>
      </c>
    </row>
    <row r="777" spans="1:6">
      <c r="A777" s="3"/>
      <c r="B777">
        <v>8.1</v>
      </c>
      <c r="C777">
        <v>10</v>
      </c>
      <c r="D777" s="889">
        <v>2218.7854000000002</v>
      </c>
      <c r="E777">
        <v>25</v>
      </c>
      <c r="F777">
        <v>20</v>
      </c>
    </row>
    <row r="778" spans="1:6">
      <c r="A778" s="3"/>
      <c r="B778" s="526">
        <v>10.1</v>
      </c>
      <c r="C778">
        <v>12</v>
      </c>
      <c r="D778" s="889">
        <v>3493.0035818181823</v>
      </c>
      <c r="E778">
        <v>25</v>
      </c>
      <c r="F778">
        <v>20</v>
      </c>
    </row>
    <row r="779" spans="1:6">
      <c r="A779" s="3" t="s">
        <v>3833</v>
      </c>
      <c r="B779" s="526">
        <v>12.1</v>
      </c>
      <c r="C779">
        <v>14</v>
      </c>
      <c r="D779" s="889">
        <v>9497.3730363636369</v>
      </c>
      <c r="E779">
        <v>25</v>
      </c>
      <c r="F779">
        <v>20</v>
      </c>
    </row>
    <row r="780" spans="1:6">
      <c r="A780" s="3"/>
      <c r="B780" s="526">
        <v>14.1</v>
      </c>
      <c r="C780">
        <v>16</v>
      </c>
      <c r="D780" s="889">
        <v>15175.099218181818</v>
      </c>
      <c r="E780">
        <v>25</v>
      </c>
      <c r="F780">
        <v>20</v>
      </c>
    </row>
    <row r="781" spans="1:6">
      <c r="A781" s="3"/>
      <c r="B781" s="526">
        <v>16.100000000000001</v>
      </c>
      <c r="C781">
        <v>18</v>
      </c>
      <c r="D781" s="889">
        <v>26336.568309090911</v>
      </c>
      <c r="E781">
        <v>25</v>
      </c>
      <c r="F781">
        <v>20</v>
      </c>
    </row>
    <row r="782" spans="1:6">
      <c r="A782" s="3"/>
      <c r="B782" s="526">
        <v>18.100000000000001</v>
      </c>
      <c r="C782">
        <v>20</v>
      </c>
      <c r="D782" s="889">
        <v>27037.973036363637</v>
      </c>
      <c r="E782">
        <v>25</v>
      </c>
      <c r="F782">
        <v>20</v>
      </c>
    </row>
    <row r="783" spans="1:6">
      <c r="A783" s="3"/>
      <c r="B783" s="526">
        <v>20.100000000000001</v>
      </c>
      <c r="C783">
        <v>24</v>
      </c>
      <c r="D783" s="889">
        <v>30928.845763636364</v>
      </c>
      <c r="E783">
        <v>25</v>
      </c>
      <c r="F783">
        <v>20</v>
      </c>
    </row>
    <row r="784" spans="1:6">
      <c r="A784" s="3"/>
      <c r="B784" s="526">
        <v>24.1</v>
      </c>
      <c r="C784" t="s">
        <v>3596</v>
      </c>
      <c r="D784" s="889" t="s">
        <v>3596</v>
      </c>
      <c r="E784">
        <v>25</v>
      </c>
      <c r="F784">
        <v>20</v>
      </c>
    </row>
    <row r="787" spans="1:6">
      <c r="A787" s="890" t="s">
        <v>3692</v>
      </c>
      <c r="B787" s="890" t="s">
        <v>3835</v>
      </c>
      <c r="C787" s="890"/>
      <c r="D787" s="913"/>
      <c r="E787" s="890"/>
      <c r="F787" s="890"/>
    </row>
    <row r="788" spans="1:6">
      <c r="A788" s="888">
        <v>35</v>
      </c>
      <c r="B788" s="320" t="s">
        <v>3694</v>
      </c>
      <c r="C788" s="320" t="s">
        <v>3695</v>
      </c>
      <c r="D788" s="847" t="s">
        <v>3595</v>
      </c>
      <c r="E788" s="320" t="s">
        <v>3588</v>
      </c>
      <c r="F788" s="320" t="s">
        <v>3589</v>
      </c>
    </row>
    <row r="789" spans="1:6">
      <c r="A789" s="3" t="s">
        <v>3837</v>
      </c>
      <c r="B789">
        <v>0</v>
      </c>
      <c r="C789">
        <v>0.5</v>
      </c>
      <c r="D789" s="889">
        <v>740.26144396551717</v>
      </c>
      <c r="E789">
        <v>25</v>
      </c>
      <c r="F789">
        <v>20</v>
      </c>
    </row>
    <row r="790" spans="1:6">
      <c r="A790" s="3"/>
      <c r="B790">
        <v>0.6</v>
      </c>
      <c r="C790">
        <v>0.75</v>
      </c>
      <c r="D790" s="889">
        <v>756.44980603448266</v>
      </c>
      <c r="E790">
        <v>25</v>
      </c>
      <c r="F790">
        <v>20</v>
      </c>
    </row>
    <row r="791" spans="1:6">
      <c r="A791" s="3"/>
      <c r="B791">
        <v>0.76</v>
      </c>
      <c r="C791">
        <v>1</v>
      </c>
      <c r="D791" s="889">
        <v>762.05928879310341</v>
      </c>
      <c r="E791">
        <v>25</v>
      </c>
      <c r="F791">
        <v>20</v>
      </c>
    </row>
    <row r="792" spans="1:6">
      <c r="A792" s="3"/>
      <c r="B792">
        <v>1.1000000000000001</v>
      </c>
      <c r="C792">
        <v>1.5</v>
      </c>
      <c r="D792" s="889">
        <v>832.34657327586206</v>
      </c>
      <c r="E792">
        <v>25</v>
      </c>
      <c r="F792">
        <v>20</v>
      </c>
    </row>
    <row r="793" spans="1:6">
      <c r="A793" s="3"/>
      <c r="B793">
        <v>1.6</v>
      </c>
      <c r="C793">
        <v>2</v>
      </c>
      <c r="D793" s="889">
        <v>819.5775532116046</v>
      </c>
      <c r="E793">
        <v>25</v>
      </c>
      <c r="F793">
        <v>20</v>
      </c>
    </row>
    <row r="794" spans="1:6">
      <c r="A794" s="3"/>
      <c r="B794">
        <v>2.1</v>
      </c>
      <c r="C794">
        <v>2.5</v>
      </c>
      <c r="D794" s="889">
        <v>754.23778894515874</v>
      </c>
      <c r="E794">
        <v>25</v>
      </c>
      <c r="F794">
        <v>20</v>
      </c>
    </row>
    <row r="795" spans="1:6">
      <c r="A795" s="3"/>
      <c r="B795">
        <v>2.6</v>
      </c>
      <c r="C795">
        <v>3</v>
      </c>
      <c r="D795" s="889">
        <v>976.71146485581494</v>
      </c>
      <c r="E795">
        <v>25</v>
      </c>
      <c r="F795">
        <v>20</v>
      </c>
    </row>
    <row r="796" spans="1:6">
      <c r="A796" s="3"/>
      <c r="B796">
        <v>3.1</v>
      </c>
      <c r="C796">
        <v>4</v>
      </c>
      <c r="D796" s="889">
        <v>1166.5479564973525</v>
      </c>
      <c r="E796">
        <v>25</v>
      </c>
      <c r="F796">
        <v>20</v>
      </c>
    </row>
    <row r="797" spans="1:6">
      <c r="A797" s="3"/>
      <c r="B797">
        <v>4.0999999999999996</v>
      </c>
      <c r="C797">
        <v>6</v>
      </c>
      <c r="D797" s="889">
        <v>1648.4738331376229</v>
      </c>
      <c r="E797">
        <v>25</v>
      </c>
      <c r="F797">
        <v>20</v>
      </c>
    </row>
    <row r="798" spans="1:6">
      <c r="A798" s="3"/>
      <c r="B798">
        <v>6.1</v>
      </c>
      <c r="C798">
        <v>8</v>
      </c>
      <c r="D798" s="889">
        <v>2631.2493192641541</v>
      </c>
      <c r="E798">
        <v>25</v>
      </c>
      <c r="F798">
        <v>20</v>
      </c>
    </row>
    <row r="799" spans="1:6">
      <c r="A799" s="3"/>
      <c r="B799">
        <v>8.1</v>
      </c>
      <c r="C799">
        <v>10</v>
      </c>
      <c r="D799" s="889">
        <v>4317.4601627104021</v>
      </c>
      <c r="E799">
        <v>25</v>
      </c>
      <c r="F799">
        <v>20</v>
      </c>
    </row>
    <row r="800" spans="1:6">
      <c r="A800" s="3"/>
      <c r="B800">
        <v>10.1</v>
      </c>
      <c r="C800">
        <v>12</v>
      </c>
      <c r="D800" s="889">
        <v>5117.5928035714278</v>
      </c>
      <c r="E800">
        <v>25</v>
      </c>
      <c r="F800">
        <v>20</v>
      </c>
    </row>
    <row r="801" spans="1:6">
      <c r="A801" s="3" t="s">
        <v>3836</v>
      </c>
      <c r="B801">
        <v>12.1</v>
      </c>
      <c r="C801">
        <v>14</v>
      </c>
      <c r="D801" s="889">
        <v>11974.494936134073</v>
      </c>
      <c r="E801">
        <v>25</v>
      </c>
      <c r="F801">
        <v>20</v>
      </c>
    </row>
    <row r="802" spans="1:6">
      <c r="A802" s="3"/>
      <c r="B802">
        <v>14.1</v>
      </c>
      <c r="C802">
        <v>16</v>
      </c>
      <c r="D802" s="889">
        <v>17391.798762050355</v>
      </c>
      <c r="E802">
        <v>25</v>
      </c>
      <c r="F802">
        <v>20</v>
      </c>
    </row>
    <row r="803" spans="1:6">
      <c r="A803" s="3"/>
      <c r="B803">
        <v>16.100000000000001</v>
      </c>
      <c r="C803">
        <v>18</v>
      </c>
      <c r="D803" s="889">
        <v>27381.034667861262</v>
      </c>
      <c r="E803">
        <v>25</v>
      </c>
      <c r="F803">
        <v>20</v>
      </c>
    </row>
    <row r="804" spans="1:6">
      <c r="A804" s="3"/>
      <c r="B804">
        <v>18.100000000000001</v>
      </c>
      <c r="C804">
        <v>20</v>
      </c>
      <c r="D804" s="889">
        <v>29109.944789041583</v>
      </c>
      <c r="E804">
        <v>25</v>
      </c>
      <c r="F804">
        <v>20</v>
      </c>
    </row>
    <row r="805" spans="1:6">
      <c r="A805" s="3"/>
      <c r="B805">
        <v>20.100000000000001</v>
      </c>
      <c r="C805">
        <v>24</v>
      </c>
      <c r="D805" s="889">
        <v>32873.996547028371</v>
      </c>
      <c r="E805">
        <v>25</v>
      </c>
      <c r="F805">
        <v>20</v>
      </c>
    </row>
    <row r="806" spans="1:6">
      <c r="A806" s="3"/>
      <c r="B806">
        <v>24.1</v>
      </c>
      <c r="C806" t="s">
        <v>3596</v>
      </c>
      <c r="D806" s="889" t="s">
        <v>3596</v>
      </c>
      <c r="E806">
        <v>25</v>
      </c>
      <c r="F806">
        <v>20</v>
      </c>
    </row>
    <row r="809" spans="1:6">
      <c r="A809" s="890" t="s">
        <v>3586</v>
      </c>
      <c r="B809" s="890" t="s">
        <v>3838</v>
      </c>
      <c r="C809" s="890"/>
      <c r="D809" s="890"/>
      <c r="E809" s="890"/>
      <c r="F809" s="890"/>
    </row>
    <row r="810" spans="1:6">
      <c r="A810" s="888">
        <v>43</v>
      </c>
      <c r="B810" s="320" t="s">
        <v>3694</v>
      </c>
      <c r="C810" s="320" t="s">
        <v>3695</v>
      </c>
      <c r="D810" s="847" t="s">
        <v>3595</v>
      </c>
      <c r="E810" s="320" t="s">
        <v>3588</v>
      </c>
      <c r="F810" s="320" t="s">
        <v>3589</v>
      </c>
    </row>
    <row r="811" spans="1:6">
      <c r="A811" s="3" t="s">
        <v>3839</v>
      </c>
      <c r="B811">
        <v>0</v>
      </c>
      <c r="C811">
        <v>2</v>
      </c>
      <c r="D811" s="889">
        <v>2762.2015890410958</v>
      </c>
      <c r="E811">
        <v>15</v>
      </c>
      <c r="F811">
        <v>14</v>
      </c>
    </row>
    <row r="812" spans="1:6">
      <c r="A812" s="3"/>
      <c r="B812">
        <v>2.1</v>
      </c>
      <c r="C812">
        <v>3</v>
      </c>
      <c r="D812" s="889">
        <v>2952.1338543689321</v>
      </c>
      <c r="E812">
        <v>15</v>
      </c>
      <c r="F812">
        <v>14</v>
      </c>
    </row>
    <row r="813" spans="1:6">
      <c r="A813" s="3"/>
      <c r="B813">
        <v>3.1</v>
      </c>
      <c r="C813">
        <v>4</v>
      </c>
      <c r="D813" s="889">
        <v>3374.8769849462369</v>
      </c>
      <c r="E813">
        <v>15</v>
      </c>
      <c r="F813">
        <v>14</v>
      </c>
    </row>
    <row r="814" spans="1:6">
      <c r="A814" s="3"/>
      <c r="B814">
        <v>4.0999999999999996</v>
      </c>
      <c r="C814">
        <v>6</v>
      </c>
      <c r="D814" s="889">
        <v>5052.9042666666664</v>
      </c>
      <c r="E814">
        <v>15</v>
      </c>
      <c r="F814">
        <v>14</v>
      </c>
    </row>
    <row r="815" spans="1:6">
      <c r="A815" s="3"/>
      <c r="B815">
        <v>6.1</v>
      </c>
      <c r="C815">
        <v>8</v>
      </c>
      <c r="D815" s="889">
        <v>5332.266333333333</v>
      </c>
      <c r="E815">
        <v>15</v>
      </c>
      <c r="F815">
        <v>14</v>
      </c>
    </row>
    <row r="816" spans="1:6">
      <c r="A816" s="3"/>
      <c r="B816">
        <v>8.1</v>
      </c>
      <c r="C816">
        <v>10</v>
      </c>
      <c r="D816" s="889">
        <v>5899.4732846715342</v>
      </c>
      <c r="E816">
        <v>15</v>
      </c>
      <c r="F816">
        <v>14</v>
      </c>
    </row>
    <row r="817" spans="1:6">
      <c r="A817" s="3"/>
      <c r="B817">
        <v>10.1</v>
      </c>
      <c r="C817">
        <v>12</v>
      </c>
      <c r="D817" s="889">
        <v>6787.882043795621</v>
      </c>
      <c r="E817">
        <v>15</v>
      </c>
      <c r="F817">
        <v>14</v>
      </c>
    </row>
    <row r="818" spans="1:6">
      <c r="A818" s="3"/>
      <c r="B818">
        <v>12.1</v>
      </c>
      <c r="C818">
        <v>14</v>
      </c>
      <c r="D818" s="889">
        <v>7395.5316788321179</v>
      </c>
      <c r="E818">
        <v>15</v>
      </c>
      <c r="F818">
        <v>14</v>
      </c>
    </row>
    <row r="819" spans="1:6">
      <c r="A819" s="3"/>
      <c r="B819">
        <v>14.1</v>
      </c>
      <c r="C819">
        <v>16</v>
      </c>
      <c r="D819" s="889">
        <v>8116.5827737226282</v>
      </c>
      <c r="E819">
        <v>15</v>
      </c>
      <c r="F819">
        <v>14</v>
      </c>
    </row>
    <row r="820" spans="1:6">
      <c r="A820" s="3"/>
      <c r="B820">
        <v>16.100000000000001</v>
      </c>
      <c r="C820">
        <v>18</v>
      </c>
      <c r="D820" s="889">
        <v>8534.2178102189791</v>
      </c>
      <c r="E820">
        <v>15</v>
      </c>
      <c r="F820">
        <v>14</v>
      </c>
    </row>
    <row r="821" spans="1:6">
      <c r="A821" s="3"/>
      <c r="B821">
        <v>18.100000000000001</v>
      </c>
      <c r="C821">
        <v>20</v>
      </c>
      <c r="D821" s="889">
        <v>9377.896642335767</v>
      </c>
      <c r="E821">
        <v>15</v>
      </c>
      <c r="F821">
        <v>14</v>
      </c>
    </row>
    <row r="822" spans="1:6">
      <c r="A822" s="3"/>
      <c r="B822">
        <v>20.100000000000001</v>
      </c>
      <c r="C822">
        <v>24</v>
      </c>
      <c r="D822" s="889">
        <v>11593.604671532848</v>
      </c>
      <c r="E822">
        <v>15</v>
      </c>
      <c r="F822">
        <v>14</v>
      </c>
    </row>
    <row r="823" spans="1:6">
      <c r="A823" s="3"/>
      <c r="B823">
        <v>24.1</v>
      </c>
      <c r="C823">
        <v>30</v>
      </c>
      <c r="D823" s="889">
        <v>15914.305401459857</v>
      </c>
      <c r="E823">
        <v>15</v>
      </c>
      <c r="F823">
        <v>14</v>
      </c>
    </row>
    <row r="824" spans="1:6">
      <c r="A824" s="3"/>
      <c r="B824">
        <v>30.1</v>
      </c>
      <c r="C824">
        <v>36</v>
      </c>
      <c r="D824" s="889">
        <v>20239.210510948906</v>
      </c>
      <c r="E824">
        <v>15</v>
      </c>
      <c r="F824">
        <v>14</v>
      </c>
    </row>
    <row r="825" spans="1:6">
      <c r="A825" s="3"/>
      <c r="B825">
        <v>36.1</v>
      </c>
      <c r="C825" t="s">
        <v>3596</v>
      </c>
      <c r="D825" s="889" t="s">
        <v>3596</v>
      </c>
      <c r="E825">
        <v>15</v>
      </c>
      <c r="F825">
        <v>14</v>
      </c>
    </row>
    <row r="828" spans="1:6">
      <c r="A828" s="890" t="s">
        <v>3591</v>
      </c>
      <c r="B828" s="890" t="s">
        <v>3840</v>
      </c>
      <c r="C828" s="890"/>
      <c r="D828" s="890"/>
      <c r="E828" s="890"/>
      <c r="F828" s="890"/>
    </row>
    <row r="829" spans="1:6">
      <c r="A829" s="888">
        <v>30</v>
      </c>
      <c r="B829" s="320" t="s">
        <v>3593</v>
      </c>
      <c r="C829" s="320" t="s">
        <v>3594</v>
      </c>
      <c r="D829" s="847" t="s">
        <v>3595</v>
      </c>
      <c r="E829" s="320" t="s">
        <v>3588</v>
      </c>
      <c r="F829" s="320" t="s">
        <v>3589</v>
      </c>
    </row>
    <row r="830" spans="1:6">
      <c r="A830" s="3" t="s">
        <v>3841</v>
      </c>
      <c r="B830">
        <v>0</v>
      </c>
      <c r="C830">
        <v>10</v>
      </c>
      <c r="D830" s="889">
        <v>3765.081740826402</v>
      </c>
      <c r="E830">
        <v>20</v>
      </c>
      <c r="F830">
        <v>17</v>
      </c>
    </row>
    <row r="831" spans="1:6">
      <c r="A831" s="3"/>
      <c r="B831">
        <v>11</v>
      </c>
      <c r="C831">
        <v>30</v>
      </c>
      <c r="D831" s="889">
        <v>4254.6995836907727</v>
      </c>
      <c r="E831">
        <v>20</v>
      </c>
      <c r="F831">
        <v>17</v>
      </c>
    </row>
    <row r="832" spans="1:6">
      <c r="A832" s="3"/>
      <c r="B832">
        <v>31</v>
      </c>
      <c r="C832">
        <v>200</v>
      </c>
      <c r="D832" s="889">
        <v>12125.919025502953</v>
      </c>
      <c r="E832">
        <v>20</v>
      </c>
      <c r="F832">
        <v>17</v>
      </c>
    </row>
    <row r="833" spans="1:6">
      <c r="A833" s="3"/>
      <c r="B833">
        <v>301</v>
      </c>
      <c r="C833">
        <v>500</v>
      </c>
      <c r="D833" s="889">
        <v>13969.613526038316</v>
      </c>
      <c r="E833">
        <v>20</v>
      </c>
      <c r="F833">
        <v>17</v>
      </c>
    </row>
    <row r="834" spans="1:6">
      <c r="A834" s="3"/>
      <c r="B834">
        <v>501</v>
      </c>
      <c r="C834">
        <v>750</v>
      </c>
      <c r="D834" s="889">
        <v>17759.918572183145</v>
      </c>
      <c r="E834">
        <v>20</v>
      </c>
      <c r="F834">
        <v>17</v>
      </c>
    </row>
    <row r="835" spans="1:6">
      <c r="A835" s="3"/>
      <c r="B835">
        <v>751</v>
      </c>
      <c r="C835">
        <v>1000</v>
      </c>
      <c r="D835" s="889">
        <v>18367.928438860366</v>
      </c>
      <c r="E835">
        <v>20</v>
      </c>
      <c r="F835">
        <v>17</v>
      </c>
    </row>
    <row r="836" spans="1:6">
      <c r="A836" s="3"/>
      <c r="B836">
        <v>1001</v>
      </c>
      <c r="C836">
        <v>1500</v>
      </c>
      <c r="D836" s="889">
        <v>23207.19064302601</v>
      </c>
      <c r="E836">
        <v>20</v>
      </c>
      <c r="F836">
        <v>17</v>
      </c>
    </row>
    <row r="837" spans="1:6">
      <c r="A837" s="3"/>
      <c r="B837">
        <v>1501</v>
      </c>
      <c r="C837">
        <v>2000</v>
      </c>
      <c r="D837" s="889">
        <v>33543.358376538781</v>
      </c>
      <c r="E837">
        <v>20</v>
      </c>
      <c r="F837">
        <v>17</v>
      </c>
    </row>
    <row r="838" spans="1:6">
      <c r="A838" s="3"/>
      <c r="B838">
        <v>2001</v>
      </c>
      <c r="C838">
        <v>3000</v>
      </c>
      <c r="D838" s="889">
        <v>38246.128569817702</v>
      </c>
      <c r="E838">
        <v>20</v>
      </c>
      <c r="F838">
        <v>17</v>
      </c>
    </row>
    <row r="839" spans="1:6">
      <c r="A839" s="3"/>
      <c r="B839">
        <v>3001</v>
      </c>
      <c r="C839">
        <v>3500</v>
      </c>
      <c r="D839" s="889">
        <v>41894.187769881028</v>
      </c>
      <c r="E839">
        <v>20</v>
      </c>
      <c r="F839">
        <v>17</v>
      </c>
    </row>
    <row r="840" spans="1:6">
      <c r="A840" s="3"/>
      <c r="B840">
        <v>3501</v>
      </c>
      <c r="C840">
        <v>4000</v>
      </c>
      <c r="D840" s="889">
        <v>44289.002142711717</v>
      </c>
      <c r="E840">
        <v>20</v>
      </c>
      <c r="F840">
        <v>17</v>
      </c>
    </row>
    <row r="841" spans="1:6">
      <c r="A841" s="3"/>
      <c r="B841">
        <v>4001</v>
      </c>
      <c r="C841">
        <v>6000</v>
      </c>
      <c r="D841" s="889">
        <v>82333.048086229319</v>
      </c>
      <c r="E841">
        <v>20</v>
      </c>
      <c r="F841">
        <v>17</v>
      </c>
    </row>
    <row r="842" spans="1:6">
      <c r="A842" s="3"/>
      <c r="B842">
        <v>6001</v>
      </c>
      <c r="C842">
        <v>10000</v>
      </c>
      <c r="D842" s="889">
        <v>89174.66776026864</v>
      </c>
      <c r="E842">
        <v>20</v>
      </c>
      <c r="F842">
        <v>17</v>
      </c>
    </row>
    <row r="843" spans="1:6">
      <c r="A843" s="3"/>
      <c r="B843">
        <v>10001</v>
      </c>
      <c r="C843" t="s">
        <v>3596</v>
      </c>
      <c r="D843" s="889" t="s">
        <v>3596</v>
      </c>
      <c r="E843">
        <v>20</v>
      </c>
      <c r="F843">
        <v>17</v>
      </c>
    </row>
    <row r="846" spans="1:6">
      <c r="A846" s="890" t="s">
        <v>3591</v>
      </c>
      <c r="B846" s="890" t="s">
        <v>3842</v>
      </c>
      <c r="C846" s="890"/>
      <c r="D846" s="890"/>
      <c r="E846" s="890"/>
      <c r="F846" s="890"/>
    </row>
    <row r="847" spans="1:6">
      <c r="A847" s="888">
        <v>30</v>
      </c>
      <c r="B847" s="320" t="s">
        <v>3843</v>
      </c>
      <c r="C847" s="320" t="s">
        <v>3844</v>
      </c>
      <c r="D847" s="847" t="s">
        <v>3595</v>
      </c>
      <c r="E847" s="320" t="s">
        <v>3588</v>
      </c>
      <c r="F847" s="320" t="s">
        <v>3589</v>
      </c>
    </row>
    <row r="848" spans="1:6">
      <c r="A848" s="3" t="s">
        <v>3845</v>
      </c>
      <c r="B848">
        <v>0</v>
      </c>
      <c r="C848">
        <v>0.21</v>
      </c>
      <c r="D848" s="889">
        <v>1430.5603577391205</v>
      </c>
      <c r="E848">
        <v>20</v>
      </c>
      <c r="F848">
        <v>15</v>
      </c>
    </row>
    <row r="849" spans="1:6">
      <c r="A849" s="3"/>
      <c r="B849">
        <v>0.22</v>
      </c>
      <c r="C849">
        <v>0.5</v>
      </c>
      <c r="D849" s="889">
        <v>1698.9532846009226</v>
      </c>
      <c r="E849">
        <v>20</v>
      </c>
      <c r="F849">
        <v>15</v>
      </c>
    </row>
    <row r="850" spans="1:6">
      <c r="A850" s="3"/>
      <c r="B850">
        <v>0.51</v>
      </c>
      <c r="C850">
        <v>0.6</v>
      </c>
      <c r="D850" s="889">
        <v>667.04762473158007</v>
      </c>
      <c r="E850">
        <v>20</v>
      </c>
      <c r="F850">
        <v>15</v>
      </c>
    </row>
    <row r="851" spans="1:6">
      <c r="A851" s="3"/>
      <c r="B851">
        <v>0.61</v>
      </c>
      <c r="C851">
        <v>1</v>
      </c>
      <c r="D851" s="889">
        <v>1376.9078299324747</v>
      </c>
      <c r="E851">
        <v>20</v>
      </c>
      <c r="F851">
        <v>15</v>
      </c>
    </row>
    <row r="852" spans="1:6">
      <c r="A852" s="3"/>
      <c r="B852">
        <v>1.01</v>
      </c>
      <c r="C852">
        <v>1.5</v>
      </c>
      <c r="D852" s="889">
        <v>717.80776274388995</v>
      </c>
      <c r="E852">
        <v>20</v>
      </c>
      <c r="F852">
        <v>15</v>
      </c>
    </row>
    <row r="853" spans="1:6">
      <c r="A853" s="3"/>
      <c r="B853">
        <v>1.51</v>
      </c>
      <c r="C853">
        <v>2</v>
      </c>
      <c r="D853" s="889">
        <v>1063.3180553384593</v>
      </c>
      <c r="E853">
        <v>20</v>
      </c>
      <c r="F853">
        <v>15</v>
      </c>
    </row>
    <row r="854" spans="1:6">
      <c r="A854" s="3"/>
      <c r="B854">
        <v>2.0099999999999998</v>
      </c>
      <c r="C854">
        <v>2.5</v>
      </c>
      <c r="D854" s="889">
        <v>2044.2160303212022</v>
      </c>
      <c r="E854">
        <v>20</v>
      </c>
      <c r="F854">
        <v>15</v>
      </c>
    </row>
    <row r="855" spans="1:6">
      <c r="A855" s="3"/>
      <c r="B855">
        <v>2.5099999999999998</v>
      </c>
      <c r="C855">
        <v>5</v>
      </c>
      <c r="D855" s="889">
        <v>2208.378694324052</v>
      </c>
      <c r="E855">
        <v>20</v>
      </c>
      <c r="F855">
        <v>15</v>
      </c>
    </row>
    <row r="856" spans="1:6">
      <c r="A856" s="3"/>
      <c r="B856">
        <v>5.01</v>
      </c>
      <c r="C856">
        <v>6.3</v>
      </c>
      <c r="D856" s="889">
        <v>1184.6029949577078</v>
      </c>
      <c r="E856">
        <v>20</v>
      </c>
      <c r="F856">
        <v>15</v>
      </c>
    </row>
    <row r="857" spans="1:6">
      <c r="A857" s="3"/>
      <c r="B857">
        <v>6.31</v>
      </c>
      <c r="C857">
        <v>10</v>
      </c>
      <c r="D857" s="889">
        <v>2393.3874108986925</v>
      </c>
      <c r="E857">
        <v>20</v>
      </c>
      <c r="F857">
        <v>15</v>
      </c>
    </row>
    <row r="858" spans="1:6">
      <c r="A858" s="3"/>
      <c r="B858">
        <v>10.01</v>
      </c>
      <c r="C858">
        <v>21</v>
      </c>
      <c r="D858" s="889">
        <v>3340.5799246294214</v>
      </c>
      <c r="E858">
        <v>20</v>
      </c>
      <c r="F858">
        <v>15</v>
      </c>
    </row>
    <row r="859" spans="1:6">
      <c r="A859" s="3"/>
      <c r="B859">
        <v>21.01</v>
      </c>
      <c r="C859" t="s">
        <v>3596</v>
      </c>
      <c r="D859" s="889" t="s">
        <v>3596</v>
      </c>
      <c r="E859">
        <v>20</v>
      </c>
      <c r="F859">
        <v>15</v>
      </c>
    </row>
    <row r="862" spans="1:6">
      <c r="A862" s="890" t="s">
        <v>3591</v>
      </c>
      <c r="B862" s="890" t="s">
        <v>3846</v>
      </c>
      <c r="C862" s="890"/>
      <c r="D862" s="890"/>
      <c r="E862" s="890"/>
      <c r="F862" s="890"/>
    </row>
    <row r="863" spans="1:6">
      <c r="A863" s="888">
        <v>30</v>
      </c>
      <c r="B863" s="320" t="s">
        <v>3843</v>
      </c>
      <c r="C863" s="320" t="s">
        <v>3844</v>
      </c>
      <c r="D863" s="847" t="s">
        <v>3595</v>
      </c>
      <c r="E863" s="320" t="s">
        <v>3588</v>
      </c>
      <c r="F863" s="320" t="s">
        <v>3589</v>
      </c>
    </row>
    <row r="864" spans="1:6">
      <c r="A864" s="3" t="s">
        <v>3847</v>
      </c>
      <c r="B864">
        <v>0</v>
      </c>
      <c r="C864">
        <v>1</v>
      </c>
      <c r="D864" s="889">
        <v>3165.9942343406765</v>
      </c>
      <c r="E864">
        <v>20</v>
      </c>
      <c r="F864">
        <v>17</v>
      </c>
    </row>
    <row r="865" spans="1:6">
      <c r="A865" s="3"/>
      <c r="B865">
        <v>1.01</v>
      </c>
      <c r="C865">
        <v>2</v>
      </c>
      <c r="D865" s="889">
        <v>3165.9942343406765</v>
      </c>
      <c r="E865">
        <v>20</v>
      </c>
      <c r="F865">
        <v>17</v>
      </c>
    </row>
    <row r="866" spans="1:6">
      <c r="A866" s="3"/>
      <c r="B866">
        <v>2.0099999999999998</v>
      </c>
      <c r="C866">
        <v>4</v>
      </c>
      <c r="D866" s="889">
        <v>3165.9942343406765</v>
      </c>
      <c r="E866">
        <v>20</v>
      </c>
      <c r="F866">
        <v>17</v>
      </c>
    </row>
    <row r="867" spans="1:6">
      <c r="A867" s="3"/>
      <c r="B867">
        <v>4.01</v>
      </c>
      <c r="C867">
        <v>5</v>
      </c>
      <c r="D867" s="889">
        <v>3165.9942343406765</v>
      </c>
      <c r="E867">
        <v>20</v>
      </c>
      <c r="F867">
        <v>17</v>
      </c>
    </row>
    <row r="868" spans="1:6">
      <c r="A868" s="3"/>
      <c r="B868">
        <v>5.01</v>
      </c>
      <c r="C868">
        <v>7</v>
      </c>
      <c r="D868" s="889">
        <v>3599.2012643481967</v>
      </c>
      <c r="E868">
        <v>20</v>
      </c>
      <c r="F868">
        <v>17</v>
      </c>
    </row>
    <row r="869" spans="1:6">
      <c r="A869" s="3"/>
      <c r="B869">
        <v>7.01</v>
      </c>
      <c r="C869">
        <v>11</v>
      </c>
      <c r="D869" s="889">
        <v>3165.9942343406765</v>
      </c>
      <c r="E869">
        <v>20</v>
      </c>
      <c r="F869">
        <v>17</v>
      </c>
    </row>
    <row r="870" spans="1:6">
      <c r="A870" s="3"/>
      <c r="B870">
        <v>11.01</v>
      </c>
      <c r="C870">
        <v>14</v>
      </c>
      <c r="D870" s="889">
        <v>4109.2781132141945</v>
      </c>
      <c r="E870">
        <v>20</v>
      </c>
      <c r="F870">
        <v>17</v>
      </c>
    </row>
    <row r="871" spans="1:6">
      <c r="A871" s="3"/>
      <c r="B871">
        <v>14.01</v>
      </c>
      <c r="C871">
        <v>22</v>
      </c>
      <c r="D871" s="889">
        <v>4552.8161503300189</v>
      </c>
      <c r="E871">
        <v>20</v>
      </c>
      <c r="F871">
        <v>17</v>
      </c>
    </row>
    <row r="872" spans="1:6">
      <c r="A872" s="3"/>
      <c r="B872">
        <v>22.01</v>
      </c>
      <c r="C872">
        <v>29</v>
      </c>
      <c r="D872" s="889">
        <v>4415.4545103623668</v>
      </c>
      <c r="E872">
        <v>20</v>
      </c>
      <c r="F872">
        <v>17</v>
      </c>
    </row>
    <row r="873" spans="1:6">
      <c r="A873" s="3"/>
      <c r="B873">
        <v>29.01</v>
      </c>
      <c r="C873">
        <v>35</v>
      </c>
      <c r="D873" s="889">
        <v>4569.1941480793221</v>
      </c>
      <c r="E873">
        <v>20</v>
      </c>
      <c r="F873">
        <v>17</v>
      </c>
    </row>
    <row r="874" spans="1:6">
      <c r="A874" s="3"/>
      <c r="B874">
        <v>35.01</v>
      </c>
      <c r="C874">
        <v>59</v>
      </c>
      <c r="D874" s="889">
        <v>5503.0238131129645</v>
      </c>
      <c r="E874">
        <v>20</v>
      </c>
      <c r="F874">
        <v>17</v>
      </c>
    </row>
    <row r="875" spans="1:6">
      <c r="A875" s="3"/>
      <c r="B875">
        <v>59.01</v>
      </c>
      <c r="C875">
        <v>132</v>
      </c>
      <c r="D875" s="889">
        <v>6656.4039497412641</v>
      </c>
      <c r="E875">
        <v>20</v>
      </c>
      <c r="F875">
        <v>17</v>
      </c>
    </row>
    <row r="876" spans="1:6">
      <c r="A876" s="3"/>
      <c r="B876">
        <v>132.01</v>
      </c>
      <c r="C876" t="s">
        <v>3596</v>
      </c>
      <c r="D876" s="889" t="s">
        <v>3596</v>
      </c>
      <c r="E876">
        <v>20</v>
      </c>
      <c r="F876">
        <v>17</v>
      </c>
    </row>
    <row r="879" spans="1:6">
      <c r="A879" s="890" t="s">
        <v>3710</v>
      </c>
      <c r="B879" s="890" t="s">
        <v>3848</v>
      </c>
      <c r="C879" s="890"/>
      <c r="D879" s="890"/>
      <c r="E879" s="890"/>
      <c r="F879" s="890"/>
    </row>
    <row r="880" spans="1:6">
      <c r="A880" s="888">
        <v>15</v>
      </c>
      <c r="B880" s="320" t="s">
        <v>3694</v>
      </c>
      <c r="C880" s="320" t="s">
        <v>3695</v>
      </c>
      <c r="D880" s="847" t="s">
        <v>3712</v>
      </c>
      <c r="E880" s="320" t="s">
        <v>3588</v>
      </c>
      <c r="F880" s="320" t="s">
        <v>3589</v>
      </c>
    </row>
    <row r="881" spans="1:6">
      <c r="A881" s="3" t="s">
        <v>3849</v>
      </c>
      <c r="B881">
        <v>0</v>
      </c>
      <c r="C881">
        <v>0.5</v>
      </c>
      <c r="D881" s="889">
        <v>1.9312269788838421</v>
      </c>
      <c r="E881">
        <v>22</v>
      </c>
      <c r="F881">
        <v>17</v>
      </c>
    </row>
    <row r="882" spans="1:6">
      <c r="A882" s="3"/>
      <c r="B882">
        <v>0.6</v>
      </c>
      <c r="C882">
        <v>0.75</v>
      </c>
      <c r="D882" s="889">
        <v>2.5438388800988618</v>
      </c>
      <c r="E882">
        <v>22</v>
      </c>
      <c r="F882">
        <v>17</v>
      </c>
    </row>
    <row r="883" spans="1:6">
      <c r="A883" s="3"/>
      <c r="B883">
        <v>0.76</v>
      </c>
      <c r="C883">
        <v>1</v>
      </c>
      <c r="D883" s="889">
        <v>3.7370578810951129</v>
      </c>
      <c r="E883">
        <v>22</v>
      </c>
      <c r="F883">
        <v>17</v>
      </c>
    </row>
    <row r="884" spans="1:6">
      <c r="A884" s="3"/>
      <c r="B884">
        <v>1.1000000000000001</v>
      </c>
      <c r="C884">
        <v>1.5</v>
      </c>
      <c r="D884" s="889">
        <v>2.3199999999999998</v>
      </c>
      <c r="E884">
        <v>22</v>
      </c>
      <c r="F884">
        <v>17</v>
      </c>
    </row>
    <row r="885" spans="1:6">
      <c r="A885" s="3"/>
      <c r="B885">
        <v>1.6</v>
      </c>
      <c r="C885">
        <v>2</v>
      </c>
      <c r="D885" s="889">
        <v>2.4700000000000002</v>
      </c>
      <c r="E885">
        <v>22</v>
      </c>
      <c r="F885">
        <v>17</v>
      </c>
    </row>
    <row r="886" spans="1:6">
      <c r="A886" s="3"/>
      <c r="B886">
        <v>2.1</v>
      </c>
      <c r="C886">
        <v>2.5</v>
      </c>
      <c r="D886" s="889">
        <v>3.46</v>
      </c>
      <c r="E886">
        <v>22</v>
      </c>
      <c r="F886">
        <v>17</v>
      </c>
    </row>
    <row r="887" spans="1:6">
      <c r="A887" s="3"/>
      <c r="B887">
        <v>2.6</v>
      </c>
      <c r="C887">
        <v>3</v>
      </c>
      <c r="D887" s="889">
        <v>6.45</v>
      </c>
      <c r="E887">
        <v>22</v>
      </c>
      <c r="F887">
        <v>17</v>
      </c>
    </row>
    <row r="888" spans="1:6">
      <c r="A888" s="3"/>
      <c r="B888">
        <v>3.1</v>
      </c>
      <c r="C888">
        <v>4</v>
      </c>
      <c r="D888" s="889">
        <v>9.6</v>
      </c>
      <c r="E888">
        <v>22</v>
      </c>
      <c r="F888">
        <v>17</v>
      </c>
    </row>
    <row r="889" spans="1:6">
      <c r="A889" s="3"/>
      <c r="B889">
        <v>3.1</v>
      </c>
      <c r="C889">
        <v>6</v>
      </c>
      <c r="D889" s="889">
        <v>12.6</v>
      </c>
      <c r="E889">
        <v>22</v>
      </c>
      <c r="F889">
        <v>17</v>
      </c>
    </row>
    <row r="890" spans="1:6">
      <c r="A890" s="3"/>
      <c r="B890">
        <v>6.1</v>
      </c>
      <c r="C890">
        <v>8</v>
      </c>
      <c r="D890" s="889">
        <v>17.850000000000001</v>
      </c>
      <c r="E890">
        <v>22</v>
      </c>
      <c r="F890">
        <v>17</v>
      </c>
    </row>
    <row r="891" spans="1:6">
      <c r="A891" s="3"/>
      <c r="B891">
        <v>8.1</v>
      </c>
      <c r="C891">
        <v>10</v>
      </c>
      <c r="D891" s="889">
        <v>22.5</v>
      </c>
      <c r="E891">
        <v>22</v>
      </c>
      <c r="F891">
        <v>17</v>
      </c>
    </row>
    <row r="892" spans="1:6">
      <c r="A892" s="3"/>
      <c r="B892">
        <v>10.1</v>
      </c>
      <c r="C892">
        <v>12</v>
      </c>
      <c r="D892" s="889">
        <v>29</v>
      </c>
      <c r="E892">
        <v>22</v>
      </c>
      <c r="F892">
        <v>17</v>
      </c>
    </row>
    <row r="893" spans="1:6">
      <c r="A893" s="3"/>
      <c r="B893">
        <v>12.1</v>
      </c>
      <c r="C893">
        <v>14</v>
      </c>
      <c r="D893" s="889">
        <v>28</v>
      </c>
      <c r="E893">
        <v>22</v>
      </c>
      <c r="F893">
        <v>17</v>
      </c>
    </row>
    <row r="894" spans="1:6">
      <c r="A894" s="3"/>
      <c r="B894">
        <v>14.1</v>
      </c>
      <c r="C894">
        <v>16</v>
      </c>
      <c r="D894" s="889">
        <v>35</v>
      </c>
      <c r="E894">
        <v>22</v>
      </c>
      <c r="F894">
        <v>17</v>
      </c>
    </row>
    <row r="895" spans="1:6">
      <c r="A895" s="3"/>
      <c r="B895">
        <v>16.100000000000001</v>
      </c>
      <c r="C895">
        <v>18</v>
      </c>
      <c r="D895" s="889">
        <v>42.5</v>
      </c>
      <c r="E895">
        <v>22</v>
      </c>
      <c r="F895">
        <v>17</v>
      </c>
    </row>
    <row r="896" spans="1:6">
      <c r="A896" s="3"/>
      <c r="B896">
        <v>18.100000000000001</v>
      </c>
      <c r="C896">
        <v>20</v>
      </c>
      <c r="D896" s="889">
        <v>52.5</v>
      </c>
      <c r="E896">
        <v>22</v>
      </c>
      <c r="F896">
        <v>17</v>
      </c>
    </row>
    <row r="897" spans="1:6">
      <c r="A897" s="3"/>
      <c r="B897">
        <v>20.100000000000001</v>
      </c>
      <c r="C897">
        <v>24</v>
      </c>
      <c r="D897" s="889">
        <v>73.5</v>
      </c>
      <c r="E897">
        <v>22</v>
      </c>
      <c r="F897">
        <v>17</v>
      </c>
    </row>
    <row r="898" spans="1:6">
      <c r="A898" s="3"/>
      <c r="B898">
        <v>24.1</v>
      </c>
      <c r="C898">
        <v>30</v>
      </c>
      <c r="D898" s="889">
        <v>115</v>
      </c>
      <c r="E898">
        <v>22</v>
      </c>
      <c r="F898">
        <v>17</v>
      </c>
    </row>
    <row r="899" spans="1:6">
      <c r="A899" s="3"/>
      <c r="B899">
        <v>30.1</v>
      </c>
      <c r="C899">
        <v>36</v>
      </c>
      <c r="D899" s="889">
        <v>160</v>
      </c>
      <c r="E899">
        <v>22</v>
      </c>
      <c r="F899">
        <v>17</v>
      </c>
    </row>
    <row r="900" spans="1:6">
      <c r="A900" s="3"/>
      <c r="B900">
        <v>36.1</v>
      </c>
      <c r="C900">
        <v>42</v>
      </c>
      <c r="D900" s="889">
        <v>217</v>
      </c>
      <c r="E900">
        <v>22</v>
      </c>
      <c r="F900">
        <v>17</v>
      </c>
    </row>
    <row r="901" spans="1:6">
      <c r="A901" s="3"/>
      <c r="B901">
        <v>42.1</v>
      </c>
      <c r="C901">
        <v>48</v>
      </c>
      <c r="D901" s="889">
        <v>265</v>
      </c>
      <c r="E901">
        <v>22</v>
      </c>
      <c r="F901">
        <v>17</v>
      </c>
    </row>
    <row r="902" spans="1:6">
      <c r="A902" s="3"/>
      <c r="B902">
        <v>48.1</v>
      </c>
      <c r="C902" t="s">
        <v>3596</v>
      </c>
      <c r="D902" s="889" t="s">
        <v>3596</v>
      </c>
      <c r="E902">
        <v>22</v>
      </c>
      <c r="F902">
        <v>17</v>
      </c>
    </row>
    <row r="905" spans="1:6">
      <c r="A905" s="894" t="s">
        <v>3850</v>
      </c>
      <c r="B905" s="895" t="s">
        <v>3851</v>
      </c>
      <c r="C905" s="896"/>
      <c r="D905" s="897"/>
      <c r="E905" s="896"/>
      <c r="F905" s="896"/>
    </row>
    <row r="906" spans="1:6">
      <c r="A906" s="888">
        <v>12</v>
      </c>
      <c r="B906" s="320" t="s">
        <v>3852</v>
      </c>
      <c r="C906" s="320" t="s">
        <v>279</v>
      </c>
      <c r="D906" s="847" t="s">
        <v>3595</v>
      </c>
      <c r="E906" s="320" t="s">
        <v>3588</v>
      </c>
      <c r="F906" s="320" t="s">
        <v>3589</v>
      </c>
    </row>
    <row r="907" spans="1:6">
      <c r="A907" s="3" t="s">
        <v>3859</v>
      </c>
      <c r="B907" t="s">
        <v>3853</v>
      </c>
      <c r="C907" t="s">
        <v>1099</v>
      </c>
      <c r="D907" s="889">
        <v>232.14331410016109</v>
      </c>
      <c r="E907" s="44" t="s">
        <v>3601</v>
      </c>
      <c r="F907" s="44" t="s">
        <v>3601</v>
      </c>
    </row>
    <row r="908" spans="1:6">
      <c r="A908" s="3"/>
      <c r="B908" t="s">
        <v>3854</v>
      </c>
      <c r="C908" t="s">
        <v>1099</v>
      </c>
      <c r="D908" s="889">
        <v>244.12932340248665</v>
      </c>
      <c r="E908" s="44" t="s">
        <v>3601</v>
      </c>
      <c r="F908" s="44" t="s">
        <v>3601</v>
      </c>
    </row>
    <row r="909" spans="1:6">
      <c r="A909" s="3"/>
      <c r="B909" t="s">
        <v>3855</v>
      </c>
      <c r="C909" t="s">
        <v>1099</v>
      </c>
      <c r="D909" s="889">
        <v>256.3837144722541</v>
      </c>
      <c r="E909" s="44" t="s">
        <v>3601</v>
      </c>
      <c r="F909" s="44" t="s">
        <v>3601</v>
      </c>
    </row>
    <row r="910" spans="1:6">
      <c r="A910" s="3"/>
      <c r="B910" t="s">
        <v>3856</v>
      </c>
      <c r="C910" t="s">
        <v>1099</v>
      </c>
      <c r="D910" s="889">
        <v>261.3837144722541</v>
      </c>
      <c r="E910" s="44" t="s">
        <v>3601</v>
      </c>
      <c r="F910" s="44" t="s">
        <v>3601</v>
      </c>
    </row>
    <row r="911" spans="1:6">
      <c r="A911" s="3"/>
      <c r="B911" t="s">
        <v>3857</v>
      </c>
      <c r="C911" t="s">
        <v>1099</v>
      </c>
      <c r="D911" s="889">
        <v>254.61176061178898</v>
      </c>
      <c r="E911" s="44" t="s">
        <v>3601</v>
      </c>
      <c r="F911" s="44" t="s">
        <v>3601</v>
      </c>
    </row>
    <row r="912" spans="1:6">
      <c r="A912" s="3"/>
      <c r="B912" t="s">
        <v>3858</v>
      </c>
      <c r="C912" t="s">
        <v>1099</v>
      </c>
      <c r="D912" s="889">
        <v>291.27842727845564</v>
      </c>
      <c r="E912" s="44" t="s">
        <v>3601</v>
      </c>
      <c r="F912" s="44" t="s">
        <v>3601</v>
      </c>
    </row>
    <row r="913" spans="1:6">
      <c r="A913" s="963"/>
      <c r="B913" s="968" t="s">
        <v>3214</v>
      </c>
      <c r="C913" s="970" t="s">
        <v>1099</v>
      </c>
      <c r="D913" s="973">
        <v>156</v>
      </c>
      <c r="E913" s="974" t="s">
        <v>3601</v>
      </c>
      <c r="F913" s="974" t="s">
        <v>3601</v>
      </c>
    </row>
    <row r="916" spans="1:6">
      <c r="A916" s="890" t="s">
        <v>3747</v>
      </c>
      <c r="B916" s="890" t="s">
        <v>3860</v>
      </c>
      <c r="C916" s="890"/>
      <c r="D916" s="890"/>
      <c r="E916" s="890"/>
      <c r="F916" s="890"/>
    </row>
    <row r="917" spans="1:6">
      <c r="A917" s="888">
        <v>29</v>
      </c>
      <c r="B917" s="893" t="s">
        <v>3796</v>
      </c>
      <c r="C917" s="320" t="s">
        <v>3797</v>
      </c>
      <c r="D917" s="847" t="s">
        <v>3595</v>
      </c>
      <c r="E917" s="893" t="s">
        <v>3622</v>
      </c>
      <c r="F917" s="847" t="s">
        <v>3589</v>
      </c>
    </row>
    <row r="918" spans="1:6">
      <c r="A918" s="3" t="s">
        <v>3861</v>
      </c>
      <c r="B918">
        <v>0</v>
      </c>
      <c r="C918">
        <v>1.5</v>
      </c>
      <c r="D918" s="889">
        <v>1592.0114753108576</v>
      </c>
      <c r="E918">
        <v>45</v>
      </c>
      <c r="F918">
        <v>40</v>
      </c>
    </row>
    <row r="919" spans="1:6">
      <c r="A919" s="3"/>
      <c r="B919">
        <v>1.6</v>
      </c>
      <c r="C919">
        <v>2</v>
      </c>
      <c r="D919" s="889">
        <v>2338.2652863410285</v>
      </c>
      <c r="E919">
        <v>45</v>
      </c>
      <c r="F919">
        <v>40</v>
      </c>
    </row>
    <row r="920" spans="1:6">
      <c r="A920" s="3"/>
      <c r="B920">
        <v>2.1</v>
      </c>
      <c r="C920">
        <v>2.5</v>
      </c>
      <c r="D920" s="889">
        <v>3611.0523920066867</v>
      </c>
      <c r="E920">
        <v>45</v>
      </c>
      <c r="F920">
        <v>40</v>
      </c>
    </row>
    <row r="921" spans="1:6">
      <c r="A921" s="3"/>
      <c r="B921">
        <v>2.6</v>
      </c>
      <c r="C921">
        <v>3</v>
      </c>
      <c r="D921" s="889">
        <v>5300.1058353433509</v>
      </c>
      <c r="E921">
        <v>45</v>
      </c>
      <c r="F921">
        <v>40</v>
      </c>
    </row>
    <row r="922" spans="1:6">
      <c r="A922" s="3"/>
      <c r="B922">
        <v>3.1</v>
      </c>
      <c r="C922">
        <v>4</v>
      </c>
      <c r="D922" s="889">
        <v>9224.9830647570034</v>
      </c>
      <c r="E922">
        <v>45</v>
      </c>
      <c r="F922">
        <v>40</v>
      </c>
    </row>
    <row r="923" spans="1:6">
      <c r="A923" s="3"/>
      <c r="B923">
        <v>4.0999999999999996</v>
      </c>
      <c r="C923">
        <v>6</v>
      </c>
      <c r="D923" s="889">
        <v>11428.861838511519</v>
      </c>
      <c r="E923">
        <v>45</v>
      </c>
      <c r="F923">
        <v>40</v>
      </c>
    </row>
    <row r="924" spans="1:6">
      <c r="A924" s="3"/>
      <c r="B924">
        <v>6.1</v>
      </c>
      <c r="C924">
        <v>8</v>
      </c>
      <c r="D924" s="889">
        <v>17349.221932885906</v>
      </c>
      <c r="E924">
        <v>45</v>
      </c>
      <c r="F924">
        <v>40</v>
      </c>
    </row>
    <row r="925" spans="1:6">
      <c r="A925" s="3"/>
      <c r="B925">
        <v>8.1</v>
      </c>
      <c r="C925" t="s">
        <v>3596</v>
      </c>
      <c r="D925" s="889" t="s">
        <v>3596</v>
      </c>
      <c r="E925">
        <v>45</v>
      </c>
      <c r="F925">
        <v>40</v>
      </c>
    </row>
    <row r="928" spans="1:6">
      <c r="A928" s="888">
        <v>3</v>
      </c>
      <c r="B928" s="320"/>
      <c r="C928" s="320"/>
      <c r="D928" s="320" t="s">
        <v>3738</v>
      </c>
      <c r="E928" s="320" t="s">
        <v>3588</v>
      </c>
    </row>
    <row r="929" spans="1:6">
      <c r="A929" s="3" t="s">
        <v>3863</v>
      </c>
      <c r="B929" t="s">
        <v>3862</v>
      </c>
      <c r="C929" s="3" t="s">
        <v>3863</v>
      </c>
      <c r="D929" s="892">
        <v>15.191208791208791</v>
      </c>
      <c r="E929" t="s">
        <v>3601</v>
      </c>
    </row>
    <row r="932" spans="1:6">
      <c r="A932" s="890" t="s">
        <v>3692</v>
      </c>
      <c r="B932" s="890" t="s">
        <v>3864</v>
      </c>
      <c r="C932" s="890"/>
      <c r="D932" s="890"/>
      <c r="E932" s="890"/>
      <c r="F932" s="890"/>
    </row>
    <row r="933" spans="1:6">
      <c r="A933" s="888">
        <v>35</v>
      </c>
      <c r="B933" s="320" t="s">
        <v>3694</v>
      </c>
      <c r="C933" s="320" t="s">
        <v>3695</v>
      </c>
      <c r="D933" s="847" t="s">
        <v>3595</v>
      </c>
      <c r="E933" s="320" t="s">
        <v>3588</v>
      </c>
      <c r="F933" s="320" t="s">
        <v>3589</v>
      </c>
    </row>
    <row r="934" spans="1:6">
      <c r="A934" s="3" t="s">
        <v>3865</v>
      </c>
      <c r="B934">
        <v>0</v>
      </c>
      <c r="C934">
        <v>0.5</v>
      </c>
      <c r="D934" s="889">
        <v>260.09816326530608</v>
      </c>
      <c r="E934">
        <v>25</v>
      </c>
      <c r="F934">
        <v>20</v>
      </c>
    </row>
    <row r="935" spans="1:6">
      <c r="A935" s="3"/>
      <c r="B935">
        <v>0.6</v>
      </c>
      <c r="C935">
        <v>0.75</v>
      </c>
      <c r="D935" s="889">
        <v>282.54780745341617</v>
      </c>
      <c r="E935">
        <v>25</v>
      </c>
      <c r="F935">
        <v>20</v>
      </c>
    </row>
    <row r="936" spans="1:6">
      <c r="A936" s="3"/>
      <c r="B936">
        <v>0.76</v>
      </c>
      <c r="C936">
        <v>1</v>
      </c>
      <c r="D936" s="889">
        <v>307.49703414634143</v>
      </c>
      <c r="E936">
        <v>25</v>
      </c>
      <c r="F936">
        <v>20</v>
      </c>
    </row>
    <row r="937" spans="1:6">
      <c r="A937" s="3"/>
      <c r="B937">
        <v>1.1000000000000001</v>
      </c>
      <c r="C937">
        <v>1.5</v>
      </c>
      <c r="D937" s="889">
        <v>473.64268354430379</v>
      </c>
      <c r="E937">
        <v>25</v>
      </c>
      <c r="F937">
        <v>20</v>
      </c>
    </row>
    <row r="938" spans="1:6">
      <c r="A938" s="3"/>
      <c r="B938">
        <v>1.6</v>
      </c>
      <c r="C938">
        <v>2</v>
      </c>
      <c r="D938" s="889">
        <v>599.03731818181814</v>
      </c>
      <c r="E938">
        <v>25</v>
      </c>
      <c r="F938">
        <v>20</v>
      </c>
    </row>
    <row r="939" spans="1:6">
      <c r="A939" s="3"/>
      <c r="B939">
        <v>2.1</v>
      </c>
      <c r="C939">
        <v>2.5</v>
      </c>
      <c r="D939" s="889">
        <v>768.14740298507468</v>
      </c>
      <c r="E939">
        <v>25</v>
      </c>
      <c r="F939">
        <v>20</v>
      </c>
    </row>
    <row r="940" spans="1:6">
      <c r="A940" s="3"/>
      <c r="B940">
        <v>2.6</v>
      </c>
      <c r="C940">
        <v>3</v>
      </c>
      <c r="D940" s="889">
        <v>1029.0379104477611</v>
      </c>
      <c r="E940">
        <v>25</v>
      </c>
      <c r="F940">
        <v>20</v>
      </c>
    </row>
    <row r="941" spans="1:6">
      <c r="A941" s="3"/>
      <c r="B941">
        <v>3.1</v>
      </c>
      <c r="C941">
        <v>4</v>
      </c>
      <c r="D941" s="889">
        <v>1644.4010800000003</v>
      </c>
      <c r="E941">
        <v>25</v>
      </c>
      <c r="F941">
        <v>20</v>
      </c>
    </row>
    <row r="942" spans="1:6">
      <c r="A942" s="3"/>
      <c r="B942">
        <v>4.0999999999999996</v>
      </c>
      <c r="C942">
        <v>6</v>
      </c>
      <c r="D942" s="889">
        <v>6040.9246741573043</v>
      </c>
      <c r="E942">
        <v>25</v>
      </c>
      <c r="F942">
        <v>20</v>
      </c>
    </row>
    <row r="943" spans="1:6">
      <c r="A943" s="3"/>
      <c r="B943">
        <v>6.1</v>
      </c>
      <c r="C943">
        <v>8</v>
      </c>
      <c r="D943" s="889">
        <v>9572.4145503355703</v>
      </c>
      <c r="E943">
        <v>25</v>
      </c>
      <c r="F943">
        <v>20</v>
      </c>
    </row>
    <row r="944" spans="1:6">
      <c r="A944" s="914"/>
      <c r="B944">
        <v>8.1</v>
      </c>
      <c r="C944">
        <v>30</v>
      </c>
      <c r="D944" s="889">
        <v>49334.628922752097</v>
      </c>
      <c r="E944">
        <v>25</v>
      </c>
      <c r="F944">
        <v>20</v>
      </c>
    </row>
    <row r="945" spans="1:6">
      <c r="A945" s="914"/>
      <c r="B945">
        <v>30.1</v>
      </c>
      <c r="C945">
        <v>36</v>
      </c>
      <c r="D945" s="889">
        <v>59019.279083141446</v>
      </c>
      <c r="E945">
        <v>25</v>
      </c>
      <c r="F945">
        <v>20</v>
      </c>
    </row>
    <row r="946" spans="1:6">
      <c r="A946" s="914"/>
      <c r="B946">
        <v>36.1</v>
      </c>
      <c r="C946">
        <v>42</v>
      </c>
      <c r="D946" s="889">
        <v>80002.687763985043</v>
      </c>
      <c r="E946">
        <v>25</v>
      </c>
      <c r="F946">
        <v>20</v>
      </c>
    </row>
    <row r="947" spans="1:6">
      <c r="A947" s="914"/>
      <c r="B947">
        <v>42.1</v>
      </c>
      <c r="C947">
        <v>48</v>
      </c>
      <c r="D947" s="889">
        <v>96143.77136463394</v>
      </c>
      <c r="E947">
        <v>25</v>
      </c>
      <c r="F947">
        <v>20</v>
      </c>
    </row>
    <row r="948" spans="1:6">
      <c r="A948" s="3"/>
      <c r="B948">
        <v>48.1</v>
      </c>
      <c r="C948" t="s">
        <v>3596</v>
      </c>
      <c r="D948" s="889" t="s">
        <v>3596</v>
      </c>
      <c r="E948">
        <v>25</v>
      </c>
      <c r="F948">
        <v>20</v>
      </c>
    </row>
    <row r="951" spans="1:6">
      <c r="A951" s="890" t="s">
        <v>3714</v>
      </c>
      <c r="B951" s="890" t="s">
        <v>3866</v>
      </c>
      <c r="C951" s="890"/>
      <c r="D951" s="890"/>
      <c r="E951" s="890"/>
      <c r="F951" s="890"/>
    </row>
    <row r="952" spans="1:6">
      <c r="A952" s="888">
        <v>23</v>
      </c>
      <c r="B952" s="320" t="s">
        <v>3716</v>
      </c>
      <c r="C952" s="320" t="s">
        <v>3717</v>
      </c>
      <c r="D952" s="320" t="s">
        <v>3595</v>
      </c>
      <c r="E952" s="320" t="s">
        <v>3588</v>
      </c>
      <c r="F952" s="320" t="s">
        <v>3589</v>
      </c>
    </row>
    <row r="953" spans="1:6">
      <c r="A953" s="3" t="s">
        <v>3867</v>
      </c>
      <c r="B953">
        <v>0</v>
      </c>
      <c r="C953" s="526">
        <v>1100</v>
      </c>
      <c r="D953" s="915">
        <v>10925.879875999251</v>
      </c>
      <c r="E953">
        <v>35</v>
      </c>
      <c r="F953">
        <v>30</v>
      </c>
    </row>
    <row r="954" spans="1:6">
      <c r="A954" s="3"/>
      <c r="B954">
        <v>1101</v>
      </c>
      <c r="C954" s="526">
        <v>2400</v>
      </c>
      <c r="D954" s="915">
        <v>15033.777689958049</v>
      </c>
      <c r="E954">
        <v>35</v>
      </c>
      <c r="F954">
        <v>30</v>
      </c>
    </row>
    <row r="955" spans="1:6">
      <c r="A955" s="3"/>
      <c r="B955">
        <v>2401</v>
      </c>
      <c r="C955" s="526">
        <v>3000</v>
      </c>
      <c r="D955" s="915">
        <v>18123.913110825615</v>
      </c>
      <c r="E955">
        <v>35</v>
      </c>
      <c r="F955">
        <v>30</v>
      </c>
    </row>
    <row r="956" spans="1:6">
      <c r="A956" s="3"/>
      <c r="B956">
        <v>3001</v>
      </c>
      <c r="C956" s="526">
        <v>4300</v>
      </c>
      <c r="D956" s="915">
        <v>25327.233246383039</v>
      </c>
      <c r="E956">
        <v>35</v>
      </c>
      <c r="F956">
        <v>30</v>
      </c>
    </row>
    <row r="957" spans="1:6">
      <c r="A957" s="3"/>
      <c r="B957">
        <v>4301</v>
      </c>
      <c r="C957" s="526">
        <v>5100</v>
      </c>
      <c r="D957" s="915">
        <v>27899.146705242172</v>
      </c>
      <c r="E957">
        <v>35</v>
      </c>
      <c r="F957">
        <v>30</v>
      </c>
    </row>
    <row r="958" spans="1:6">
      <c r="A958" s="3"/>
      <c r="B958">
        <v>5101</v>
      </c>
      <c r="C958" s="526">
        <v>6100</v>
      </c>
      <c r="D958" s="915">
        <v>31920.470343344543</v>
      </c>
      <c r="E958">
        <v>35</v>
      </c>
      <c r="F958">
        <v>30</v>
      </c>
    </row>
    <row r="959" spans="1:6">
      <c r="A959" s="3"/>
      <c r="B959">
        <v>6101</v>
      </c>
      <c r="C959" s="526">
        <v>8000</v>
      </c>
      <c r="D959" s="915">
        <v>40900.418617903975</v>
      </c>
      <c r="E959">
        <v>35</v>
      </c>
      <c r="F959">
        <v>30</v>
      </c>
    </row>
    <row r="960" spans="1:6">
      <c r="A960" s="3"/>
      <c r="B960">
        <v>8001</v>
      </c>
      <c r="C960" s="526">
        <v>10000</v>
      </c>
      <c r="D960" s="915">
        <v>48707.45393314898</v>
      </c>
      <c r="E960">
        <v>35</v>
      </c>
      <c r="F960">
        <v>30</v>
      </c>
    </row>
    <row r="961" spans="1:6">
      <c r="A961" s="3"/>
      <c r="B961">
        <v>10001</v>
      </c>
      <c r="C961" s="526">
        <v>30000</v>
      </c>
      <c r="D961" s="915">
        <v>109987.48232351081</v>
      </c>
      <c r="E961">
        <v>35</v>
      </c>
      <c r="F961">
        <v>30</v>
      </c>
    </row>
    <row r="962" spans="1:6">
      <c r="A962" s="3"/>
      <c r="B962">
        <v>30001</v>
      </c>
      <c r="C962" s="526" t="s">
        <v>3596</v>
      </c>
      <c r="D962" s="915" t="s">
        <v>3596</v>
      </c>
      <c r="E962">
        <v>35</v>
      </c>
      <c r="F962">
        <v>30</v>
      </c>
    </row>
    <row r="965" spans="1:6">
      <c r="A965" s="890" t="s">
        <v>3747</v>
      </c>
      <c r="B965" s="890" t="s">
        <v>3868</v>
      </c>
      <c r="C965" s="890"/>
      <c r="D965" s="890"/>
      <c r="E965" s="890"/>
      <c r="F965" s="890"/>
    </row>
    <row r="966" spans="1:6">
      <c r="A966" s="888">
        <v>29</v>
      </c>
      <c r="B966" s="893" t="s">
        <v>3796</v>
      </c>
      <c r="C966" s="847" t="s">
        <v>3797</v>
      </c>
      <c r="D966" s="847" t="s">
        <v>3595</v>
      </c>
      <c r="E966" s="893" t="s">
        <v>3622</v>
      </c>
      <c r="F966" s="847" t="s">
        <v>3589</v>
      </c>
    </row>
    <row r="967" spans="1:6">
      <c r="A967" s="3" t="s">
        <v>3869</v>
      </c>
      <c r="B967">
        <v>0</v>
      </c>
      <c r="C967">
        <v>0.5</v>
      </c>
      <c r="D967" s="889">
        <v>794.9454755408002</v>
      </c>
      <c r="E967">
        <v>45</v>
      </c>
      <c r="F967">
        <v>40</v>
      </c>
    </row>
    <row r="968" spans="1:6">
      <c r="A968" s="3"/>
      <c r="B968">
        <v>0.51</v>
      </c>
      <c r="C968">
        <v>0.75</v>
      </c>
      <c r="D968" s="889">
        <v>991.0157787082735</v>
      </c>
      <c r="E968">
        <v>45</v>
      </c>
      <c r="F968">
        <v>40</v>
      </c>
    </row>
    <row r="969" spans="1:6">
      <c r="A969" s="3"/>
      <c r="B969">
        <v>0.76</v>
      </c>
      <c r="C969">
        <v>1</v>
      </c>
      <c r="D969" s="889">
        <v>1081.191483762733</v>
      </c>
      <c r="E969">
        <v>45</v>
      </c>
      <c r="F969">
        <v>40</v>
      </c>
    </row>
    <row r="970" spans="1:6">
      <c r="A970" s="3"/>
      <c r="B970">
        <v>1.1000000000000001</v>
      </c>
      <c r="C970">
        <v>1.5</v>
      </c>
      <c r="D970" s="889">
        <v>1490.1469751510231</v>
      </c>
      <c r="E970">
        <v>45</v>
      </c>
      <c r="F970">
        <v>40</v>
      </c>
    </row>
    <row r="971" spans="1:6">
      <c r="A971" s="3"/>
      <c r="B971">
        <v>1.6</v>
      </c>
      <c r="C971">
        <v>2</v>
      </c>
      <c r="D971" s="889">
        <v>2569.9605577918605</v>
      </c>
      <c r="E971">
        <v>45</v>
      </c>
      <c r="F971">
        <v>40</v>
      </c>
    </row>
    <row r="972" spans="1:6">
      <c r="A972" s="3"/>
      <c r="B972">
        <v>2.1</v>
      </c>
      <c r="C972">
        <v>3</v>
      </c>
      <c r="D972" s="889">
        <v>5553.9467950946264</v>
      </c>
      <c r="E972">
        <v>45</v>
      </c>
      <c r="F972">
        <v>40</v>
      </c>
    </row>
    <row r="973" spans="1:6">
      <c r="A973" s="3"/>
      <c r="B973">
        <v>3.1</v>
      </c>
      <c r="C973">
        <v>4</v>
      </c>
      <c r="D973" s="889">
        <v>10441.320103481086</v>
      </c>
      <c r="E973">
        <v>45</v>
      </c>
      <c r="F973">
        <v>40</v>
      </c>
    </row>
    <row r="974" spans="1:6">
      <c r="A974" s="3"/>
      <c r="B974">
        <v>4.0999999999999996</v>
      </c>
      <c r="C974">
        <v>6</v>
      </c>
      <c r="D974" s="889">
        <v>10818.749085797044</v>
      </c>
      <c r="E974">
        <v>45</v>
      </c>
      <c r="F974">
        <v>40</v>
      </c>
    </row>
    <row r="975" spans="1:6">
      <c r="A975" s="3"/>
      <c r="B975">
        <v>6.1</v>
      </c>
      <c r="C975">
        <v>8</v>
      </c>
      <c r="D975" s="889">
        <v>11983.743204968245</v>
      </c>
      <c r="E975">
        <v>45</v>
      </c>
      <c r="F975">
        <v>40</v>
      </c>
    </row>
    <row r="976" spans="1:6">
      <c r="A976" s="3"/>
      <c r="B976">
        <v>8.1</v>
      </c>
      <c r="C976" t="s">
        <v>3596</v>
      </c>
      <c r="D976" s="889" t="s">
        <v>3596</v>
      </c>
      <c r="E976">
        <v>45</v>
      </c>
      <c r="F976">
        <v>40</v>
      </c>
    </row>
    <row r="979" spans="1:6">
      <c r="A979" s="890" t="s">
        <v>3591</v>
      </c>
      <c r="B979" s="890" t="s">
        <v>3870</v>
      </c>
      <c r="C979" s="890"/>
      <c r="D979" s="890"/>
      <c r="E979" s="890"/>
      <c r="F979" s="890"/>
    </row>
    <row r="980" spans="1:6">
      <c r="A980" s="888">
        <v>30</v>
      </c>
      <c r="B980" s="320" t="s">
        <v>3843</v>
      </c>
      <c r="C980" s="320" t="s">
        <v>3844</v>
      </c>
      <c r="D980" s="847" t="s">
        <v>3595</v>
      </c>
      <c r="E980" s="320" t="s">
        <v>3588</v>
      </c>
      <c r="F980" s="320" t="s">
        <v>3589</v>
      </c>
    </row>
    <row r="981" spans="1:6">
      <c r="A981" s="3" t="s">
        <v>3871</v>
      </c>
      <c r="B981">
        <v>0</v>
      </c>
      <c r="C981">
        <v>0.21</v>
      </c>
      <c r="D981" s="889">
        <v>1774.520225173663</v>
      </c>
      <c r="E981">
        <v>20</v>
      </c>
      <c r="F981">
        <v>15</v>
      </c>
    </row>
    <row r="982" spans="1:6">
      <c r="A982" s="3"/>
      <c r="B982">
        <v>0.22</v>
      </c>
      <c r="C982">
        <v>0.5</v>
      </c>
      <c r="D982" s="889">
        <v>1894.3850274614583</v>
      </c>
      <c r="E982">
        <v>20</v>
      </c>
      <c r="F982">
        <v>15</v>
      </c>
    </row>
    <row r="983" spans="1:6">
      <c r="A983" s="3"/>
      <c r="B983">
        <v>0.51</v>
      </c>
      <c r="C983">
        <v>0.8</v>
      </c>
      <c r="D983" s="889">
        <v>3294.9791846286298</v>
      </c>
      <c r="E983">
        <v>20</v>
      </c>
      <c r="F983">
        <v>15</v>
      </c>
    </row>
    <row r="984" spans="1:6">
      <c r="A984" s="3"/>
      <c r="B984">
        <v>0.81</v>
      </c>
      <c r="C984">
        <v>1</v>
      </c>
      <c r="D984" s="889">
        <v>1657.2611794573418</v>
      </c>
      <c r="E984">
        <v>20</v>
      </c>
      <c r="F984">
        <v>15</v>
      </c>
    </row>
    <row r="985" spans="1:6">
      <c r="A985" s="3"/>
      <c r="B985">
        <v>1.01</v>
      </c>
      <c r="C985">
        <v>2</v>
      </c>
      <c r="D985" s="889">
        <v>3251.9842011993123</v>
      </c>
      <c r="E985">
        <v>20</v>
      </c>
      <c r="F985">
        <v>15</v>
      </c>
    </row>
    <row r="986" spans="1:6">
      <c r="A986" s="3"/>
      <c r="B986">
        <v>2.0099999999999998</v>
      </c>
      <c r="C986">
        <v>2.5</v>
      </c>
      <c r="D986" s="889">
        <v>2124.9944840368903</v>
      </c>
      <c r="E986">
        <v>20</v>
      </c>
      <c r="F986">
        <v>15</v>
      </c>
    </row>
    <row r="987" spans="1:6">
      <c r="A987" s="3"/>
      <c r="B987">
        <v>2.5099999999999998</v>
      </c>
      <c r="C987">
        <v>3</v>
      </c>
      <c r="D987" s="889">
        <v>3251.9842011993123</v>
      </c>
      <c r="E987">
        <v>20</v>
      </c>
      <c r="F987">
        <v>15</v>
      </c>
    </row>
    <row r="988" spans="1:6">
      <c r="A988" s="3"/>
      <c r="B988">
        <v>3.01</v>
      </c>
      <c r="C988">
        <v>3.17</v>
      </c>
      <c r="D988" s="889">
        <v>2406.4161937560611</v>
      </c>
      <c r="E988">
        <v>20</v>
      </c>
      <c r="F988">
        <v>15</v>
      </c>
    </row>
    <row r="989" spans="1:6">
      <c r="A989" s="3"/>
      <c r="B989">
        <v>3.1799999999999997</v>
      </c>
      <c r="C989">
        <v>4</v>
      </c>
      <c r="D989" s="889">
        <v>3251.9842011993123</v>
      </c>
      <c r="E989">
        <v>20</v>
      </c>
      <c r="F989">
        <v>15</v>
      </c>
    </row>
    <row r="990" spans="1:6">
      <c r="A990" s="3"/>
      <c r="B990">
        <v>4.01</v>
      </c>
      <c r="C990">
        <v>5</v>
      </c>
      <c r="D990" s="889">
        <v>2552.3385617585946</v>
      </c>
      <c r="E990">
        <v>20</v>
      </c>
      <c r="F990">
        <v>15</v>
      </c>
    </row>
    <row r="991" spans="1:6">
      <c r="A991" s="3"/>
      <c r="B991">
        <v>5.01</v>
      </c>
      <c r="C991">
        <v>7</v>
      </c>
      <c r="D991" s="889">
        <v>3251.9842011993123</v>
      </c>
      <c r="E991">
        <v>20</v>
      </c>
      <c r="F991">
        <v>15</v>
      </c>
    </row>
    <row r="992" spans="1:6">
      <c r="A992" s="3"/>
      <c r="B992">
        <v>7.01</v>
      </c>
      <c r="C992">
        <v>10</v>
      </c>
      <c r="D992" s="889">
        <v>2737.3472783332354</v>
      </c>
      <c r="E992">
        <v>20</v>
      </c>
      <c r="F992">
        <v>15</v>
      </c>
    </row>
    <row r="993" spans="1:6">
      <c r="A993" s="3"/>
      <c r="B993">
        <v>10.01</v>
      </c>
      <c r="C993">
        <v>21</v>
      </c>
      <c r="D993" s="889">
        <v>3684.5397920639643</v>
      </c>
      <c r="E993">
        <v>20</v>
      </c>
      <c r="F993">
        <v>15</v>
      </c>
    </row>
    <row r="994" spans="1:6">
      <c r="A994" s="3"/>
      <c r="B994">
        <v>21.01</v>
      </c>
      <c r="C994" t="s">
        <v>3596</v>
      </c>
      <c r="D994" s="889" t="s">
        <v>3596</v>
      </c>
      <c r="E994">
        <v>20</v>
      </c>
      <c r="F994">
        <v>15</v>
      </c>
    </row>
    <row r="997" spans="1:6">
      <c r="A997" s="890" t="s">
        <v>3692</v>
      </c>
      <c r="B997" s="890" t="s">
        <v>3872</v>
      </c>
      <c r="C997" s="890"/>
      <c r="D997" s="890"/>
      <c r="E997" s="890"/>
      <c r="F997" s="890"/>
    </row>
    <row r="998" spans="1:6">
      <c r="A998" s="888">
        <v>35</v>
      </c>
      <c r="B998" s="320" t="s">
        <v>3694</v>
      </c>
      <c r="C998" s="320" t="s">
        <v>3695</v>
      </c>
      <c r="D998" s="847" t="s">
        <v>3595</v>
      </c>
      <c r="E998" s="320" t="s">
        <v>3588</v>
      </c>
      <c r="F998" s="320" t="s">
        <v>3589</v>
      </c>
    </row>
    <row r="999" spans="1:6">
      <c r="A999" s="3" t="s">
        <v>3873</v>
      </c>
      <c r="B999">
        <v>0</v>
      </c>
      <c r="C999">
        <v>1</v>
      </c>
      <c r="D999" s="889">
        <v>317.83100975609756</v>
      </c>
      <c r="E999">
        <v>25</v>
      </c>
      <c r="F999">
        <v>20</v>
      </c>
    </row>
    <row r="1000" spans="1:6">
      <c r="A1000" s="3"/>
      <c r="B1000">
        <v>1.1000000000000001</v>
      </c>
      <c r="C1000">
        <v>2</v>
      </c>
      <c r="D1000" s="889">
        <v>468.17123628865829</v>
      </c>
      <c r="E1000">
        <v>25</v>
      </c>
      <c r="F1000">
        <v>20</v>
      </c>
    </row>
    <row r="1001" spans="1:6">
      <c r="A1001" s="3"/>
      <c r="B1001">
        <v>2.1</v>
      </c>
      <c r="C1001">
        <v>3</v>
      </c>
      <c r="D1001" s="889">
        <v>761.47524388103591</v>
      </c>
      <c r="E1001">
        <v>25</v>
      </c>
      <c r="F1001">
        <v>20</v>
      </c>
    </row>
    <row r="1002" spans="1:6">
      <c r="A1002" s="3"/>
      <c r="B1002">
        <v>3.1</v>
      </c>
      <c r="C1002">
        <v>4</v>
      </c>
      <c r="D1002" s="889">
        <v>1023.1879828009146</v>
      </c>
      <c r="E1002">
        <v>25</v>
      </c>
      <c r="F1002">
        <v>20</v>
      </c>
    </row>
    <row r="1003" spans="1:6">
      <c r="A1003" s="3"/>
      <c r="B1003">
        <v>4.0999999999999996</v>
      </c>
      <c r="C1003">
        <v>6</v>
      </c>
      <c r="D1003" s="889">
        <v>1045.1288577751598</v>
      </c>
      <c r="E1003">
        <v>25</v>
      </c>
      <c r="F1003">
        <v>20</v>
      </c>
    </row>
    <row r="1004" spans="1:6">
      <c r="A1004" s="3"/>
      <c r="B1004">
        <v>6.1</v>
      </c>
      <c r="C1004">
        <v>8</v>
      </c>
      <c r="D1004" s="889">
        <v>1499.216706700558</v>
      </c>
      <c r="E1004">
        <v>25</v>
      </c>
      <c r="F1004">
        <v>20</v>
      </c>
    </row>
    <row r="1005" spans="1:6">
      <c r="A1005" s="3"/>
      <c r="B1005">
        <v>8.1</v>
      </c>
      <c r="C1005">
        <v>10</v>
      </c>
      <c r="D1005" s="889">
        <v>2730.5081374852439</v>
      </c>
      <c r="E1005">
        <v>25</v>
      </c>
      <c r="F1005">
        <v>20</v>
      </c>
    </row>
    <row r="1006" spans="1:6">
      <c r="A1006" s="3"/>
      <c r="B1006">
        <v>10.1</v>
      </c>
      <c r="C1006">
        <v>12</v>
      </c>
      <c r="D1006" s="889">
        <v>3467.076863583452</v>
      </c>
      <c r="E1006">
        <v>25</v>
      </c>
      <c r="F1006">
        <v>20</v>
      </c>
    </row>
    <row r="1007" spans="1:6">
      <c r="A1007" s="3"/>
      <c r="B1007">
        <v>12.1</v>
      </c>
      <c r="C1007" t="s">
        <v>3596</v>
      </c>
      <c r="D1007" s="889" t="s">
        <v>3596</v>
      </c>
      <c r="E1007">
        <v>25</v>
      </c>
      <c r="F1007">
        <v>20</v>
      </c>
    </row>
    <row r="1010" spans="1:6">
      <c r="A1010" s="890" t="s">
        <v>3591</v>
      </c>
      <c r="B1010" s="890" t="s">
        <v>3874</v>
      </c>
      <c r="C1010" s="890"/>
      <c r="D1010" s="890"/>
      <c r="E1010" s="890"/>
      <c r="F1010" s="890"/>
    </row>
    <row r="1011" spans="1:6">
      <c r="A1011" s="888">
        <v>30</v>
      </c>
      <c r="B1011" s="320" t="s">
        <v>3843</v>
      </c>
      <c r="C1011" s="320" t="s">
        <v>3844</v>
      </c>
      <c r="D1011" s="847" t="s">
        <v>3595</v>
      </c>
      <c r="E1011" s="320" t="s">
        <v>3588</v>
      </c>
      <c r="F1011" s="320" t="s">
        <v>3589</v>
      </c>
    </row>
    <row r="1012" spans="1:6">
      <c r="A1012" s="3" t="s">
        <v>3875</v>
      </c>
      <c r="B1012">
        <v>0</v>
      </c>
      <c r="C1012">
        <v>1</v>
      </c>
      <c r="D1012" s="889">
        <v>3680.6311572067534</v>
      </c>
      <c r="E1012">
        <v>20</v>
      </c>
      <c r="F1012">
        <v>17</v>
      </c>
    </row>
    <row r="1013" spans="1:6">
      <c r="A1013" s="3"/>
      <c r="B1013">
        <v>1.01</v>
      </c>
      <c r="C1013">
        <v>2</v>
      </c>
      <c r="D1013" s="889">
        <v>3680.6311572067534</v>
      </c>
      <c r="E1013">
        <v>20</v>
      </c>
      <c r="F1013">
        <v>17</v>
      </c>
    </row>
    <row r="1014" spans="1:6">
      <c r="A1014" s="3"/>
      <c r="B1014">
        <v>2.0099999999999998</v>
      </c>
      <c r="C1014">
        <v>4</v>
      </c>
      <c r="D1014" s="889">
        <v>3680.6311572067534</v>
      </c>
      <c r="E1014">
        <v>20</v>
      </c>
      <c r="F1014">
        <v>17</v>
      </c>
    </row>
    <row r="1015" spans="1:6">
      <c r="A1015" s="3"/>
      <c r="B1015">
        <v>4.01</v>
      </c>
      <c r="C1015">
        <v>5</v>
      </c>
      <c r="D1015" s="889">
        <v>3680.6311572067534</v>
      </c>
      <c r="E1015">
        <v>20</v>
      </c>
      <c r="F1015">
        <v>17</v>
      </c>
    </row>
    <row r="1016" spans="1:6">
      <c r="A1016" s="3"/>
      <c r="B1016">
        <v>5.01</v>
      </c>
      <c r="C1016">
        <v>7</v>
      </c>
      <c r="D1016" s="889">
        <v>3680.6311572067534</v>
      </c>
      <c r="E1016">
        <v>20</v>
      </c>
      <c r="F1016">
        <v>17</v>
      </c>
    </row>
    <row r="1017" spans="1:6">
      <c r="A1017" s="3"/>
      <c r="B1017">
        <v>7.01</v>
      </c>
      <c r="C1017">
        <v>11</v>
      </c>
      <c r="D1017" s="889">
        <v>3680.6311572067534</v>
      </c>
      <c r="E1017">
        <v>20</v>
      </c>
      <c r="F1017">
        <v>17</v>
      </c>
    </row>
    <row r="1018" spans="1:6">
      <c r="A1018" s="3"/>
      <c r="B1018">
        <v>11.01</v>
      </c>
      <c r="C1018">
        <v>14</v>
      </c>
      <c r="D1018" s="889">
        <v>4695.5733417958018</v>
      </c>
      <c r="E1018">
        <v>20</v>
      </c>
      <c r="F1018">
        <v>17</v>
      </c>
    </row>
    <row r="1019" spans="1:6">
      <c r="A1019" s="3"/>
      <c r="B1019">
        <v>14.01</v>
      </c>
      <c r="C1019">
        <v>29</v>
      </c>
      <c r="D1019" s="889">
        <v>5001.7497389439741</v>
      </c>
      <c r="E1019">
        <v>20</v>
      </c>
      <c r="F1019">
        <v>17</v>
      </c>
    </row>
    <row r="1020" spans="1:6">
      <c r="A1020" s="3"/>
      <c r="B1020">
        <v>29.01</v>
      </c>
      <c r="C1020">
        <v>35</v>
      </c>
      <c r="D1020" s="889">
        <v>5155.4893766609293</v>
      </c>
      <c r="E1020">
        <v>20</v>
      </c>
      <c r="F1020">
        <v>17</v>
      </c>
    </row>
    <row r="1021" spans="1:6">
      <c r="A1021" s="3"/>
      <c r="B1021">
        <v>35.01</v>
      </c>
      <c r="C1021">
        <v>59</v>
      </c>
      <c r="D1021" s="889">
        <v>6859.1551118682983</v>
      </c>
      <c r="E1021">
        <v>20</v>
      </c>
      <c r="F1021">
        <v>17</v>
      </c>
    </row>
    <row r="1022" spans="1:6">
      <c r="A1022" s="3"/>
      <c r="B1022">
        <v>59.01</v>
      </c>
      <c r="C1022">
        <v>98</v>
      </c>
      <c r="D1022" s="889">
        <v>7352.1766738116858</v>
      </c>
      <c r="E1022">
        <v>20</v>
      </c>
      <c r="F1022">
        <v>17</v>
      </c>
    </row>
    <row r="1023" spans="1:6">
      <c r="A1023" s="3"/>
      <c r="B1023">
        <v>98.01</v>
      </c>
      <c r="C1023">
        <v>132</v>
      </c>
      <c r="D1023" s="889">
        <v>8019.603101716275</v>
      </c>
      <c r="E1023">
        <v>20</v>
      </c>
      <c r="F1023">
        <v>17</v>
      </c>
    </row>
    <row r="1024" spans="1:6">
      <c r="A1024" s="3"/>
      <c r="B1024">
        <v>132.01</v>
      </c>
      <c r="C1024" t="s">
        <v>3596</v>
      </c>
      <c r="D1024" s="889" t="s">
        <v>3596</v>
      </c>
      <c r="E1024">
        <v>20</v>
      </c>
      <c r="F1024">
        <v>17</v>
      </c>
    </row>
    <row r="1027" spans="1:6">
      <c r="A1027" s="890" t="s">
        <v>3692</v>
      </c>
      <c r="B1027" s="890" t="s">
        <v>3876</v>
      </c>
      <c r="C1027" s="890"/>
      <c r="D1027" s="890"/>
      <c r="E1027" s="890"/>
      <c r="F1027" s="890"/>
    </row>
    <row r="1028" spans="1:6">
      <c r="A1028" s="888">
        <v>35</v>
      </c>
      <c r="B1028" s="320" t="s">
        <v>3694</v>
      </c>
      <c r="C1028" s="320" t="s">
        <v>3695</v>
      </c>
      <c r="D1028" s="847" t="s">
        <v>3595</v>
      </c>
      <c r="E1028" s="320" t="s">
        <v>3588</v>
      </c>
      <c r="F1028" s="320" t="s">
        <v>3589</v>
      </c>
    </row>
    <row r="1029" spans="1:6">
      <c r="A1029" s="3" t="s">
        <v>3877</v>
      </c>
      <c r="B1029">
        <v>0</v>
      </c>
      <c r="C1029">
        <v>1</v>
      </c>
      <c r="D1029" s="889">
        <v>1207.272967032967</v>
      </c>
      <c r="E1029">
        <v>25</v>
      </c>
      <c r="F1029">
        <v>20</v>
      </c>
    </row>
    <row r="1030" spans="1:6">
      <c r="A1030" s="3"/>
      <c r="B1030">
        <v>1.1000000000000001</v>
      </c>
      <c r="C1030">
        <v>1.5</v>
      </c>
      <c r="D1030" s="889">
        <v>1723.1306593406593</v>
      </c>
      <c r="E1030">
        <v>25</v>
      </c>
      <c r="F1030">
        <v>20</v>
      </c>
    </row>
    <row r="1031" spans="1:6">
      <c r="A1031" s="3"/>
      <c r="B1031">
        <v>1.6</v>
      </c>
      <c r="C1031">
        <v>2</v>
      </c>
      <c r="D1031" s="889">
        <v>1414.6933333692275</v>
      </c>
      <c r="E1031">
        <v>25</v>
      </c>
      <c r="F1031">
        <v>20</v>
      </c>
    </row>
    <row r="1032" spans="1:6">
      <c r="A1032" s="3"/>
      <c r="B1032">
        <v>2.1</v>
      </c>
      <c r="C1032">
        <v>3</v>
      </c>
      <c r="D1032" s="889">
        <v>2482.1433022573333</v>
      </c>
      <c r="E1032">
        <v>25</v>
      </c>
      <c r="F1032">
        <v>20</v>
      </c>
    </row>
    <row r="1033" spans="1:6">
      <c r="A1033" s="3"/>
      <c r="B1033">
        <v>3.1</v>
      </c>
      <c r="C1033">
        <v>4</v>
      </c>
      <c r="D1033" s="889">
        <v>4004.9512980917061</v>
      </c>
      <c r="E1033">
        <v>25</v>
      </c>
      <c r="F1033">
        <v>20</v>
      </c>
    </row>
    <row r="1034" spans="1:6">
      <c r="A1034" s="3"/>
      <c r="B1034">
        <v>4.0999999999999996</v>
      </c>
      <c r="C1034">
        <v>6</v>
      </c>
      <c r="D1034" s="889">
        <v>2714.3535021394746</v>
      </c>
      <c r="E1034">
        <v>25</v>
      </c>
      <c r="F1034">
        <v>20</v>
      </c>
    </row>
    <row r="1035" spans="1:6">
      <c r="A1035" s="3"/>
      <c r="B1035">
        <v>6.1</v>
      </c>
      <c r="C1035">
        <v>8</v>
      </c>
      <c r="D1035" s="889">
        <v>4334.6072933153191</v>
      </c>
      <c r="E1035">
        <v>25</v>
      </c>
      <c r="F1035">
        <v>20</v>
      </c>
    </row>
    <row r="1036" spans="1:6">
      <c r="A1036" s="3"/>
      <c r="B1036">
        <v>8.1</v>
      </c>
      <c r="C1036">
        <v>10</v>
      </c>
      <c r="D1036" s="889">
        <v>5587.5543049125572</v>
      </c>
      <c r="E1036">
        <v>25</v>
      </c>
      <c r="F1036">
        <v>20</v>
      </c>
    </row>
    <row r="1037" spans="1:6">
      <c r="A1037" s="3"/>
      <c r="B1037">
        <v>10.1</v>
      </c>
      <c r="C1037">
        <v>12</v>
      </c>
      <c r="D1037" s="889">
        <v>7631.5667775126039</v>
      </c>
      <c r="E1037">
        <v>25</v>
      </c>
      <c r="F1037">
        <v>20</v>
      </c>
    </row>
    <row r="1038" spans="1:6">
      <c r="A1038" s="3"/>
      <c r="B1038">
        <v>12.1</v>
      </c>
      <c r="C1038">
        <v>14</v>
      </c>
      <c r="D1038" s="889">
        <v>24748.502523442836</v>
      </c>
      <c r="E1038">
        <v>25</v>
      </c>
      <c r="F1038">
        <v>20</v>
      </c>
    </row>
    <row r="1039" spans="1:6">
      <c r="A1039" s="3"/>
      <c r="B1039">
        <v>14.1</v>
      </c>
      <c r="C1039">
        <v>16</v>
      </c>
      <c r="D1039" s="889">
        <v>28530.258869128291</v>
      </c>
      <c r="E1039">
        <v>25</v>
      </c>
      <c r="F1039">
        <v>20</v>
      </c>
    </row>
    <row r="1040" spans="1:6">
      <c r="A1040" s="3"/>
      <c r="B1040">
        <v>16.100000000000001</v>
      </c>
      <c r="C1040">
        <v>20</v>
      </c>
      <c r="D1040" s="889">
        <v>46615.65881913164</v>
      </c>
      <c r="E1040">
        <v>25</v>
      </c>
      <c r="F1040">
        <v>20</v>
      </c>
    </row>
    <row r="1041" spans="1:6">
      <c r="A1041" s="3"/>
      <c r="B1041">
        <v>20.100000000000001</v>
      </c>
      <c r="C1041">
        <v>24</v>
      </c>
      <c r="D1041" s="889">
        <v>65149.016724246409</v>
      </c>
      <c r="E1041">
        <v>25</v>
      </c>
      <c r="F1041">
        <v>20</v>
      </c>
    </row>
    <row r="1042" spans="1:6">
      <c r="A1042" s="3"/>
      <c r="B1042">
        <v>24.1</v>
      </c>
      <c r="C1042">
        <v>30</v>
      </c>
      <c r="D1042" s="889">
        <v>80302.681490252042</v>
      </c>
      <c r="E1042">
        <v>25</v>
      </c>
      <c r="F1042">
        <v>20</v>
      </c>
    </row>
    <row r="1043" spans="1:6">
      <c r="A1043" s="3"/>
      <c r="B1043">
        <v>30.1</v>
      </c>
      <c r="C1043">
        <v>48</v>
      </c>
      <c r="D1043" s="889">
        <v>220985.84305316926</v>
      </c>
      <c r="E1043">
        <v>25</v>
      </c>
      <c r="F1043">
        <v>20</v>
      </c>
    </row>
    <row r="1044" spans="1:6">
      <c r="A1044" s="3"/>
      <c r="B1044">
        <v>48.1</v>
      </c>
      <c r="C1044" t="s">
        <v>3596</v>
      </c>
      <c r="D1044" s="889" t="s">
        <v>3596</v>
      </c>
      <c r="E1044">
        <v>25</v>
      </c>
      <c r="F1044">
        <v>20</v>
      </c>
    </row>
    <row r="1047" spans="1:6">
      <c r="A1047" s="890" t="s">
        <v>3878</v>
      </c>
      <c r="B1047" s="890" t="s">
        <v>3879</v>
      </c>
      <c r="C1047" s="890"/>
      <c r="D1047" s="890"/>
      <c r="E1047" s="890"/>
      <c r="F1047" s="890"/>
    </row>
    <row r="1048" spans="1:6">
      <c r="A1048" s="888">
        <v>21</v>
      </c>
      <c r="B1048" s="320" t="s">
        <v>3694</v>
      </c>
      <c r="C1048" s="320" t="s">
        <v>3695</v>
      </c>
      <c r="D1048" s="847" t="s">
        <v>3712</v>
      </c>
      <c r="E1048" s="320" t="s">
        <v>3588</v>
      </c>
      <c r="F1048" s="320" t="s">
        <v>3589</v>
      </c>
    </row>
    <row r="1049" spans="1:6">
      <c r="A1049" s="3" t="s">
        <v>3880</v>
      </c>
      <c r="B1049">
        <v>0</v>
      </c>
      <c r="C1049">
        <v>0.5</v>
      </c>
      <c r="D1049" s="889">
        <v>23</v>
      </c>
      <c r="E1049">
        <v>45</v>
      </c>
      <c r="F1049">
        <v>40</v>
      </c>
    </row>
    <row r="1050" spans="1:6">
      <c r="A1050" s="3"/>
      <c r="B1050">
        <v>0.6</v>
      </c>
      <c r="C1050">
        <v>0.75</v>
      </c>
      <c r="D1050" s="889">
        <v>29.5</v>
      </c>
      <c r="E1050">
        <v>45</v>
      </c>
      <c r="F1050">
        <v>40</v>
      </c>
    </row>
    <row r="1051" spans="1:6">
      <c r="A1051" s="3"/>
      <c r="B1051">
        <v>0.76</v>
      </c>
      <c r="C1051">
        <v>1</v>
      </c>
      <c r="D1051" s="889">
        <v>37.5</v>
      </c>
      <c r="E1051">
        <v>45</v>
      </c>
      <c r="F1051">
        <v>40</v>
      </c>
    </row>
    <row r="1052" spans="1:6">
      <c r="A1052" s="3"/>
      <c r="B1052">
        <v>1.1000000000000001</v>
      </c>
      <c r="C1052">
        <v>1.25</v>
      </c>
      <c r="D1052" s="889">
        <v>45</v>
      </c>
      <c r="E1052">
        <v>45</v>
      </c>
      <c r="F1052">
        <v>40</v>
      </c>
    </row>
    <row r="1053" spans="1:6">
      <c r="A1053" s="3"/>
      <c r="B1053">
        <v>1.26</v>
      </c>
      <c r="C1053">
        <v>1.5</v>
      </c>
      <c r="D1053" s="889">
        <v>57</v>
      </c>
      <c r="E1053">
        <v>45</v>
      </c>
      <c r="F1053">
        <v>40</v>
      </c>
    </row>
    <row r="1054" spans="1:6">
      <c r="A1054" s="3"/>
      <c r="B1054">
        <v>1.6</v>
      </c>
      <c r="C1054">
        <v>2</v>
      </c>
      <c r="D1054" s="889">
        <v>82.5</v>
      </c>
      <c r="E1054">
        <v>45</v>
      </c>
      <c r="F1054">
        <v>40</v>
      </c>
    </row>
    <row r="1055" spans="1:6">
      <c r="A1055" s="3"/>
      <c r="B1055">
        <v>2.1</v>
      </c>
      <c r="C1055">
        <v>2.5</v>
      </c>
      <c r="D1055" s="889">
        <v>153</v>
      </c>
      <c r="E1055">
        <v>45</v>
      </c>
      <c r="F1055">
        <v>40</v>
      </c>
    </row>
    <row r="1056" spans="1:6">
      <c r="A1056" s="3"/>
      <c r="B1056">
        <v>2.6</v>
      </c>
      <c r="C1056">
        <v>3</v>
      </c>
      <c r="D1056" s="889">
        <v>190</v>
      </c>
      <c r="E1056">
        <v>45</v>
      </c>
      <c r="F1056">
        <v>40</v>
      </c>
    </row>
    <row r="1057" spans="1:6">
      <c r="A1057" s="3"/>
      <c r="B1057">
        <v>3.1</v>
      </c>
      <c r="C1057">
        <v>4</v>
      </c>
      <c r="D1057" s="889">
        <v>231</v>
      </c>
      <c r="E1057">
        <v>45</v>
      </c>
      <c r="F1057">
        <v>40</v>
      </c>
    </row>
    <row r="1058" spans="1:6">
      <c r="A1058" s="3"/>
      <c r="B1058">
        <v>4.0999999999999996</v>
      </c>
      <c r="C1058">
        <v>6</v>
      </c>
      <c r="D1058" s="889">
        <v>325</v>
      </c>
      <c r="E1058">
        <v>45</v>
      </c>
      <c r="F1058">
        <v>40</v>
      </c>
    </row>
    <row r="1059" spans="1:6">
      <c r="A1059" s="3"/>
      <c r="B1059">
        <v>6.1</v>
      </c>
      <c r="C1059">
        <v>8</v>
      </c>
      <c r="D1059" s="889">
        <v>475</v>
      </c>
      <c r="E1059">
        <v>45</v>
      </c>
      <c r="F1059">
        <v>40</v>
      </c>
    </row>
    <row r="1060" spans="1:6">
      <c r="A1060" s="3"/>
      <c r="B1060">
        <v>8.1</v>
      </c>
      <c r="C1060">
        <v>10</v>
      </c>
      <c r="D1060" s="889">
        <v>565</v>
      </c>
      <c r="E1060">
        <v>45</v>
      </c>
      <c r="F1060">
        <v>40</v>
      </c>
    </row>
    <row r="1061" spans="1:6">
      <c r="A1061" s="3"/>
      <c r="B1061">
        <v>10.1</v>
      </c>
      <c r="C1061">
        <v>12</v>
      </c>
      <c r="D1061" s="889">
        <v>725</v>
      </c>
      <c r="E1061">
        <v>45</v>
      </c>
      <c r="F1061">
        <v>40</v>
      </c>
    </row>
    <row r="1062" spans="1:6">
      <c r="A1062" s="3"/>
      <c r="B1062">
        <v>12.1</v>
      </c>
      <c r="C1062">
        <v>16</v>
      </c>
      <c r="D1062" s="889">
        <v>328.39642490634219</v>
      </c>
      <c r="E1062">
        <v>45</v>
      </c>
      <c r="F1062">
        <v>40</v>
      </c>
    </row>
    <row r="1063" spans="1:6">
      <c r="A1063" s="3"/>
      <c r="B1063">
        <v>16.100000000000001</v>
      </c>
      <c r="C1063">
        <v>24</v>
      </c>
      <c r="D1063" s="889">
        <v>574.9220707070707</v>
      </c>
      <c r="E1063">
        <v>45</v>
      </c>
      <c r="F1063">
        <v>40</v>
      </c>
    </row>
    <row r="1064" spans="1:6">
      <c r="A1064" s="3"/>
      <c r="B1064">
        <v>24.1</v>
      </c>
      <c r="C1064">
        <v>36</v>
      </c>
      <c r="D1064" s="889">
        <v>1302.2010248742749</v>
      </c>
      <c r="E1064">
        <v>45</v>
      </c>
      <c r="F1064">
        <v>40</v>
      </c>
    </row>
    <row r="1065" spans="1:6">
      <c r="A1065" s="3"/>
      <c r="B1065">
        <v>36.1</v>
      </c>
      <c r="C1065">
        <v>48</v>
      </c>
      <c r="D1065" s="889">
        <v>2074.2913701060911</v>
      </c>
      <c r="E1065">
        <v>45</v>
      </c>
      <c r="F1065">
        <v>40</v>
      </c>
    </row>
    <row r="1066" spans="1:6">
      <c r="A1066" s="3"/>
      <c r="B1066">
        <v>48.1</v>
      </c>
      <c r="C1066" t="s">
        <v>3596</v>
      </c>
      <c r="D1066" s="889" t="s">
        <v>3596</v>
      </c>
      <c r="E1066">
        <v>45</v>
      </c>
      <c r="F1066">
        <v>40</v>
      </c>
    </row>
    <row r="1069" spans="1:6">
      <c r="A1069" s="890" t="s">
        <v>3714</v>
      </c>
      <c r="B1069" s="890" t="s">
        <v>3881</v>
      </c>
      <c r="C1069" s="890"/>
      <c r="D1069" s="890"/>
      <c r="E1069" s="890"/>
      <c r="F1069" s="890"/>
    </row>
    <row r="1070" spans="1:6">
      <c r="A1070" s="888">
        <v>23</v>
      </c>
      <c r="B1070" s="320" t="s">
        <v>3716</v>
      </c>
      <c r="C1070" s="320" t="s">
        <v>3717</v>
      </c>
      <c r="D1070" s="320" t="s">
        <v>3595</v>
      </c>
      <c r="E1070" s="320" t="s">
        <v>3588</v>
      </c>
      <c r="F1070" s="320" t="s">
        <v>3589</v>
      </c>
    </row>
    <row r="1071" spans="1:6">
      <c r="A1071" s="3" t="s">
        <v>3882</v>
      </c>
      <c r="B1071">
        <v>0</v>
      </c>
      <c r="C1071" s="526">
        <v>180</v>
      </c>
      <c r="D1071" s="915">
        <v>34393.230182367304</v>
      </c>
      <c r="E1071">
        <v>35</v>
      </c>
      <c r="F1071">
        <v>30</v>
      </c>
    </row>
    <row r="1072" spans="1:6">
      <c r="A1072" s="3"/>
      <c r="B1072">
        <v>181</v>
      </c>
      <c r="C1072" s="526">
        <v>1400</v>
      </c>
      <c r="D1072" s="915">
        <v>53241.5665617294</v>
      </c>
      <c r="E1072">
        <v>35</v>
      </c>
      <c r="F1072">
        <v>30</v>
      </c>
    </row>
    <row r="1073" spans="1:6">
      <c r="A1073" s="3"/>
      <c r="B1073">
        <v>1401</v>
      </c>
      <c r="C1073" s="526">
        <v>2000</v>
      </c>
      <c r="D1073" s="915">
        <v>101905.52971576227</v>
      </c>
      <c r="E1073">
        <v>35</v>
      </c>
      <c r="F1073">
        <v>30</v>
      </c>
    </row>
    <row r="1074" spans="1:6">
      <c r="A1074" s="3"/>
      <c r="B1074">
        <v>2001</v>
      </c>
      <c r="C1074" s="526">
        <v>6800</v>
      </c>
      <c r="D1074" s="915">
        <v>142962.6122184649</v>
      </c>
      <c r="E1074">
        <v>35</v>
      </c>
      <c r="F1074">
        <v>30</v>
      </c>
    </row>
    <row r="1075" spans="1:6">
      <c r="A1075" s="3"/>
      <c r="B1075">
        <v>17001</v>
      </c>
      <c r="C1075" s="526">
        <v>27100</v>
      </c>
      <c r="D1075" s="915">
        <v>327532.25806451618</v>
      </c>
      <c r="E1075">
        <v>35</v>
      </c>
      <c r="F1075">
        <v>30</v>
      </c>
    </row>
    <row r="1076" spans="1:6">
      <c r="A1076" s="3"/>
      <c r="B1076">
        <v>27101</v>
      </c>
      <c r="C1076" s="526" t="s">
        <v>3596</v>
      </c>
      <c r="D1076" s="915" t="s">
        <v>3596</v>
      </c>
    </row>
    <row r="1079" spans="1:6">
      <c r="A1079" s="890" t="s">
        <v>3714</v>
      </c>
      <c r="B1079" s="890" t="s">
        <v>3883</v>
      </c>
      <c r="C1079" s="890"/>
      <c r="D1079" s="890"/>
      <c r="E1079" s="890"/>
      <c r="F1079" s="890"/>
    </row>
    <row r="1080" spans="1:6">
      <c r="A1080" s="888">
        <v>23</v>
      </c>
      <c r="B1080" s="320" t="s">
        <v>3716</v>
      </c>
      <c r="C1080" s="320" t="s">
        <v>3717</v>
      </c>
      <c r="D1080" s="320" t="s">
        <v>3595</v>
      </c>
      <c r="E1080" s="320" t="s">
        <v>3588</v>
      </c>
      <c r="F1080" s="320" t="s">
        <v>3589</v>
      </c>
    </row>
    <row r="1081" spans="1:6">
      <c r="A1081" s="3" t="s">
        <v>3884</v>
      </c>
      <c r="B1081">
        <v>0</v>
      </c>
      <c r="C1081">
        <v>1000</v>
      </c>
      <c r="D1081" s="889">
        <v>10213.815000000001</v>
      </c>
      <c r="E1081">
        <v>35</v>
      </c>
      <c r="F1081">
        <v>30</v>
      </c>
    </row>
    <row r="1082" spans="1:6">
      <c r="A1082" s="3"/>
      <c r="B1082">
        <v>1001</v>
      </c>
      <c r="C1082">
        <v>10000</v>
      </c>
      <c r="D1082" s="889">
        <v>27077.073040752352</v>
      </c>
      <c r="E1082">
        <v>35</v>
      </c>
      <c r="F1082">
        <v>30</v>
      </c>
    </row>
    <row r="1083" spans="1:6">
      <c r="A1083" s="3"/>
      <c r="B1083">
        <v>10001</v>
      </c>
      <c r="C1083">
        <v>14500</v>
      </c>
      <c r="D1083" s="889">
        <v>59666.630094043889</v>
      </c>
      <c r="E1083">
        <v>35</v>
      </c>
      <c r="F1083">
        <v>30</v>
      </c>
    </row>
    <row r="1084" spans="1:6">
      <c r="A1084" s="3"/>
      <c r="B1084">
        <v>14501</v>
      </c>
      <c r="C1084">
        <v>20000</v>
      </c>
      <c r="D1084" s="889">
        <v>32998.400849056605</v>
      </c>
      <c r="E1084">
        <v>35</v>
      </c>
      <c r="F1084">
        <v>30</v>
      </c>
    </row>
    <row r="1085" spans="1:6">
      <c r="A1085" s="3"/>
      <c r="B1085">
        <v>20001</v>
      </c>
      <c r="C1085">
        <v>35000</v>
      </c>
      <c r="D1085" s="889">
        <v>47169.235135135132</v>
      </c>
      <c r="E1085">
        <v>35</v>
      </c>
      <c r="F1085">
        <v>30</v>
      </c>
    </row>
    <row r="1086" spans="1:6">
      <c r="A1086" s="3"/>
      <c r="B1086">
        <v>35001</v>
      </c>
      <c r="C1086">
        <v>44800</v>
      </c>
      <c r="D1086" s="889">
        <v>78522.972972972973</v>
      </c>
      <c r="E1086">
        <v>35</v>
      </c>
      <c r="F1086">
        <v>30</v>
      </c>
    </row>
    <row r="1087" spans="1:6">
      <c r="A1087" s="3"/>
      <c r="B1087">
        <v>44801</v>
      </c>
      <c r="C1087">
        <v>50000</v>
      </c>
      <c r="D1087" s="889">
        <v>63507.314594594587</v>
      </c>
      <c r="E1087">
        <v>35</v>
      </c>
      <c r="F1087">
        <v>30</v>
      </c>
    </row>
    <row r="1088" spans="1:6">
      <c r="A1088" s="3"/>
      <c r="B1088">
        <v>50001</v>
      </c>
      <c r="C1088">
        <v>134100</v>
      </c>
      <c r="D1088" s="889">
        <v>120656.91891891892</v>
      </c>
      <c r="E1088">
        <v>35</v>
      </c>
      <c r="F1088">
        <v>30</v>
      </c>
    </row>
    <row r="1089" spans="1:6">
      <c r="A1089" s="3"/>
      <c r="B1089">
        <v>134101</v>
      </c>
      <c r="C1089">
        <v>289000</v>
      </c>
      <c r="D1089" s="889">
        <v>178208.27027027027</v>
      </c>
      <c r="E1089">
        <v>35</v>
      </c>
      <c r="F1089">
        <v>30</v>
      </c>
    </row>
    <row r="1090" spans="1:6">
      <c r="A1090" s="3"/>
      <c r="B1090">
        <v>289001</v>
      </c>
      <c r="C1090" t="s">
        <v>3596</v>
      </c>
      <c r="D1090" s="889" t="s">
        <v>3596</v>
      </c>
      <c r="E1090">
        <v>35</v>
      </c>
      <c r="F1090">
        <v>30</v>
      </c>
    </row>
    <row r="1093" spans="1:6">
      <c r="A1093" s="890" t="s">
        <v>3885</v>
      </c>
      <c r="B1093" s="890" t="s">
        <v>3886</v>
      </c>
      <c r="C1093" s="890"/>
      <c r="D1093" s="890"/>
      <c r="E1093" s="890"/>
      <c r="F1093" s="890"/>
    </row>
    <row r="1094" spans="1:6">
      <c r="A1094" s="888">
        <v>25</v>
      </c>
      <c r="B1094" s="320" t="s">
        <v>3694</v>
      </c>
      <c r="C1094" s="320" t="s">
        <v>3695</v>
      </c>
      <c r="D1094" s="847" t="s">
        <v>3712</v>
      </c>
      <c r="E1094" s="320" t="s">
        <v>3588</v>
      </c>
      <c r="F1094" s="320" t="s">
        <v>3589</v>
      </c>
    </row>
    <row r="1095" spans="1:6">
      <c r="A1095" s="3" t="s">
        <v>3887</v>
      </c>
      <c r="B1095">
        <v>0</v>
      </c>
      <c r="C1095">
        <v>0.5</v>
      </c>
      <c r="D1095" s="889">
        <v>13.896100000000001</v>
      </c>
      <c r="E1095">
        <v>35</v>
      </c>
      <c r="F1095">
        <v>33</v>
      </c>
    </row>
    <row r="1096" spans="1:6">
      <c r="A1096" s="3"/>
      <c r="B1096">
        <v>0.6</v>
      </c>
      <c r="C1096">
        <v>1</v>
      </c>
      <c r="D1096" s="889">
        <v>18.130499999999998</v>
      </c>
      <c r="E1096">
        <v>35</v>
      </c>
      <c r="F1096">
        <v>33</v>
      </c>
    </row>
    <row r="1097" spans="1:6">
      <c r="A1097" s="3"/>
      <c r="B1097">
        <v>1.1000000000000001</v>
      </c>
      <c r="C1097">
        <v>1.5</v>
      </c>
      <c r="D1097" s="889">
        <v>23.482500000000002</v>
      </c>
      <c r="E1097">
        <v>35</v>
      </c>
      <c r="F1097">
        <v>33</v>
      </c>
    </row>
    <row r="1098" spans="1:6">
      <c r="A1098" s="3"/>
      <c r="B1098">
        <v>1.6</v>
      </c>
      <c r="C1098">
        <v>2</v>
      </c>
      <c r="D1098" s="889">
        <v>31.328500000000002</v>
      </c>
      <c r="E1098">
        <v>35</v>
      </c>
      <c r="F1098">
        <v>33</v>
      </c>
    </row>
    <row r="1099" spans="1:6">
      <c r="A1099" s="3"/>
      <c r="B1099">
        <v>2.1</v>
      </c>
      <c r="C1099">
        <v>2.5</v>
      </c>
      <c r="D1099" s="889">
        <v>43.287999999999997</v>
      </c>
      <c r="E1099">
        <v>35</v>
      </c>
      <c r="F1099">
        <v>33</v>
      </c>
    </row>
    <row r="1100" spans="1:6">
      <c r="A1100" s="3"/>
      <c r="B1100">
        <v>2.6</v>
      </c>
      <c r="C1100">
        <v>3</v>
      </c>
      <c r="D1100" s="889">
        <v>49.111499999999999</v>
      </c>
      <c r="E1100">
        <v>35</v>
      </c>
      <c r="F1100">
        <v>33</v>
      </c>
    </row>
    <row r="1101" spans="1:6">
      <c r="A1101" s="3"/>
      <c r="B1101">
        <v>3.1</v>
      </c>
      <c r="C1101">
        <v>4</v>
      </c>
      <c r="D1101" s="889">
        <v>64.635000000000005</v>
      </c>
      <c r="E1101">
        <v>35</v>
      </c>
      <c r="F1101">
        <v>33</v>
      </c>
    </row>
    <row r="1102" spans="1:6">
      <c r="A1102" s="3"/>
      <c r="B1102">
        <v>4.0999999999999996</v>
      </c>
      <c r="C1102">
        <v>6</v>
      </c>
      <c r="D1102" s="889">
        <v>91.93</v>
      </c>
      <c r="E1102">
        <v>35</v>
      </c>
      <c r="F1102">
        <v>33</v>
      </c>
    </row>
    <row r="1103" spans="1:6">
      <c r="A1103" s="3"/>
      <c r="B1103">
        <v>6.1</v>
      </c>
      <c r="C1103">
        <v>8</v>
      </c>
      <c r="D1103" s="889">
        <v>172.095</v>
      </c>
      <c r="E1103">
        <v>35</v>
      </c>
      <c r="F1103">
        <v>33</v>
      </c>
    </row>
    <row r="1104" spans="1:6">
      <c r="A1104" s="3"/>
      <c r="B1104">
        <v>8.1</v>
      </c>
      <c r="C1104">
        <v>10</v>
      </c>
      <c r="D1104" s="889">
        <v>213.54999999999998</v>
      </c>
      <c r="E1104">
        <v>35</v>
      </c>
      <c r="F1104">
        <v>33</v>
      </c>
    </row>
    <row r="1105" spans="1:6">
      <c r="A1105" s="3"/>
      <c r="B1105">
        <v>10.1</v>
      </c>
      <c r="C1105">
        <v>12</v>
      </c>
      <c r="D1105" s="889">
        <v>270.05</v>
      </c>
      <c r="E1105">
        <v>35</v>
      </c>
      <c r="F1105">
        <v>33</v>
      </c>
    </row>
    <row r="1106" spans="1:6">
      <c r="A1106" s="3"/>
      <c r="B1106">
        <v>12.1</v>
      </c>
      <c r="C1106">
        <v>14</v>
      </c>
      <c r="D1106" s="889">
        <v>305.43</v>
      </c>
      <c r="E1106">
        <v>35</v>
      </c>
      <c r="F1106">
        <v>33</v>
      </c>
    </row>
    <row r="1107" spans="1:6">
      <c r="A1107" s="3"/>
      <c r="B1107">
        <v>14.1</v>
      </c>
      <c r="C1107">
        <v>16</v>
      </c>
      <c r="D1107" s="889">
        <v>396.85</v>
      </c>
      <c r="E1107">
        <v>35</v>
      </c>
      <c r="F1107">
        <v>33</v>
      </c>
    </row>
    <row r="1108" spans="1:6">
      <c r="A1108" s="3"/>
      <c r="B1108">
        <v>16.100000000000001</v>
      </c>
      <c r="C1108">
        <v>18</v>
      </c>
      <c r="D1108" s="889">
        <v>419.98</v>
      </c>
      <c r="E1108">
        <v>35</v>
      </c>
      <c r="F1108">
        <v>33</v>
      </c>
    </row>
    <row r="1109" spans="1:6">
      <c r="A1109" s="3"/>
      <c r="B1109">
        <v>18.100000000000001</v>
      </c>
      <c r="C1109">
        <v>20</v>
      </c>
      <c r="D1109" s="889">
        <v>486.21000000000004</v>
      </c>
      <c r="E1109">
        <v>35</v>
      </c>
      <c r="F1109">
        <v>33</v>
      </c>
    </row>
    <row r="1110" spans="1:6">
      <c r="A1110" s="3"/>
      <c r="B1110">
        <v>20.100000000000001</v>
      </c>
      <c r="C1110">
        <v>24</v>
      </c>
      <c r="D1110" s="889">
        <v>592.07000000000005</v>
      </c>
      <c r="E1110">
        <v>35</v>
      </c>
      <c r="F1110">
        <v>33</v>
      </c>
    </row>
    <row r="1111" spans="1:6">
      <c r="A1111" s="3"/>
      <c r="B1111">
        <v>24.1</v>
      </c>
      <c r="C1111">
        <v>36</v>
      </c>
      <c r="D1111" s="889">
        <v>263.86210075918711</v>
      </c>
      <c r="E1111">
        <v>35</v>
      </c>
      <c r="F1111">
        <v>33</v>
      </c>
    </row>
    <row r="1112" spans="1:6">
      <c r="A1112" s="3"/>
      <c r="B1112">
        <v>36.1</v>
      </c>
      <c r="C1112">
        <v>48</v>
      </c>
      <c r="D1112" s="889">
        <v>363.17883258666518</v>
      </c>
      <c r="E1112">
        <v>35</v>
      </c>
      <c r="F1112">
        <v>33</v>
      </c>
    </row>
    <row r="1113" spans="1:6">
      <c r="A1113" s="3"/>
      <c r="B1113">
        <v>48.1</v>
      </c>
      <c r="C1113" t="s">
        <v>3596</v>
      </c>
      <c r="D1113" s="889" t="s">
        <v>3596</v>
      </c>
      <c r="E1113">
        <v>35</v>
      </c>
      <c r="F1113">
        <v>33</v>
      </c>
    </row>
    <row r="1116" spans="1:6">
      <c r="A1116" s="891" t="s">
        <v>3888</v>
      </c>
      <c r="B1116" s="891" t="s">
        <v>3889</v>
      </c>
      <c r="C1116" s="891"/>
      <c r="D1116" s="891"/>
      <c r="E1116" s="891"/>
      <c r="F1116" s="891"/>
    </row>
    <row r="1117" spans="1:6">
      <c r="A1117" s="47">
        <v>4</v>
      </c>
      <c r="B1117" t="s">
        <v>1848</v>
      </c>
      <c r="D1117" t="s">
        <v>3605</v>
      </c>
      <c r="E1117" t="s">
        <v>3588</v>
      </c>
      <c r="F1117" t="s">
        <v>3589</v>
      </c>
    </row>
    <row r="1118" spans="1:6">
      <c r="A1118" s="3" t="s">
        <v>3890</v>
      </c>
      <c r="B1118">
        <v>0</v>
      </c>
      <c r="C1118">
        <v>0</v>
      </c>
      <c r="D1118" s="892">
        <v>1475</v>
      </c>
      <c r="E1118" t="s">
        <v>3601</v>
      </c>
      <c r="F1118" t="s">
        <v>3601</v>
      </c>
    </row>
    <row r="1121" spans="1:6">
      <c r="A1121" s="891" t="s">
        <v>3891</v>
      </c>
      <c r="B1121" s="891" t="s">
        <v>3892</v>
      </c>
      <c r="C1121" s="891"/>
      <c r="D1121" s="891"/>
      <c r="E1121" s="891"/>
      <c r="F1121" s="891"/>
    </row>
    <row r="1122" spans="1:6">
      <c r="A1122" s="888">
        <v>40</v>
      </c>
      <c r="B1122" s="320" t="s">
        <v>3893</v>
      </c>
      <c r="C1122" s="320" t="s">
        <v>3894</v>
      </c>
      <c r="D1122" s="847" t="s">
        <v>3895</v>
      </c>
      <c r="E1122" s="320" t="s">
        <v>3588</v>
      </c>
      <c r="F1122" s="320" t="s">
        <v>3589</v>
      </c>
    </row>
    <row r="1123" spans="1:6">
      <c r="A1123" s="3" t="s">
        <v>3896</v>
      </c>
      <c r="B1123">
        <v>0</v>
      </c>
      <c r="C1123">
        <v>30</v>
      </c>
      <c r="D1123" s="892">
        <v>660</v>
      </c>
    </row>
    <row r="1124" spans="1:6">
      <c r="A1124" s="3"/>
      <c r="B1124">
        <v>31</v>
      </c>
      <c r="C1124">
        <v>50</v>
      </c>
      <c r="D1124" s="892">
        <v>482</v>
      </c>
    </row>
    <row r="1125" spans="1:6">
      <c r="A1125" s="3"/>
      <c r="B1125">
        <v>51</v>
      </c>
      <c r="C1125">
        <v>60</v>
      </c>
      <c r="D1125" s="892">
        <v>525</v>
      </c>
    </row>
    <row r="1126" spans="1:6">
      <c r="A1126" s="3"/>
      <c r="B1126">
        <v>61</v>
      </c>
      <c r="C1126">
        <v>75</v>
      </c>
      <c r="D1126" s="892">
        <v>477.33333333333331</v>
      </c>
    </row>
    <row r="1127" spans="1:6">
      <c r="A1127" s="3"/>
      <c r="B1127">
        <v>76</v>
      </c>
      <c r="C1127">
        <v>100</v>
      </c>
      <c r="D1127" s="892">
        <v>412</v>
      </c>
    </row>
    <row r="1128" spans="1:6">
      <c r="A1128" s="3"/>
      <c r="B1128">
        <v>101</v>
      </c>
      <c r="C1128">
        <v>125</v>
      </c>
      <c r="D1128" s="892">
        <v>304</v>
      </c>
    </row>
    <row r="1129" spans="1:6">
      <c r="A1129" s="3"/>
      <c r="B1129">
        <v>126</v>
      </c>
      <c r="C1129">
        <v>150</v>
      </c>
      <c r="D1129" s="892">
        <v>356.66666666666669</v>
      </c>
    </row>
    <row r="1130" spans="1:6">
      <c r="A1130" s="3"/>
      <c r="B1130">
        <v>151</v>
      </c>
      <c r="C1130">
        <v>175</v>
      </c>
      <c r="D1130" s="892">
        <v>262.85714285714283</v>
      </c>
    </row>
    <row r="1131" spans="1:6">
      <c r="A1131" s="3"/>
      <c r="B1131">
        <v>176</v>
      </c>
      <c r="C1131">
        <v>200</v>
      </c>
      <c r="D1131" s="892">
        <v>357.5</v>
      </c>
    </row>
    <row r="1132" spans="1:6">
      <c r="A1132" s="3"/>
      <c r="B1132">
        <v>201</v>
      </c>
      <c r="C1132">
        <v>250</v>
      </c>
      <c r="D1132" s="892">
        <v>240</v>
      </c>
    </row>
    <row r="1133" spans="1:6">
      <c r="A1133" s="3"/>
      <c r="B1133">
        <v>251</v>
      </c>
      <c r="C1133">
        <v>275</v>
      </c>
      <c r="D1133" s="892">
        <v>301.81818181818181</v>
      </c>
    </row>
    <row r="1134" spans="1:6">
      <c r="A1134" s="3"/>
      <c r="B1134">
        <v>276</v>
      </c>
      <c r="C1134">
        <v>300</v>
      </c>
      <c r="D1134" s="892">
        <v>221.66666666666666</v>
      </c>
    </row>
    <row r="1135" spans="1:6">
      <c r="A1135" s="3"/>
      <c r="B1135">
        <v>301</v>
      </c>
      <c r="C1135">
        <v>350</v>
      </c>
      <c r="D1135" s="892">
        <v>230</v>
      </c>
    </row>
    <row r="1136" spans="1:6">
      <c r="A1136" s="3"/>
      <c r="B1136">
        <v>351</v>
      </c>
      <c r="C1136">
        <v>400</v>
      </c>
      <c r="D1136" s="892">
        <v>237.5</v>
      </c>
    </row>
    <row r="1137" spans="1:6">
      <c r="A1137" s="3"/>
      <c r="B1137">
        <v>401</v>
      </c>
      <c r="C1137">
        <v>500</v>
      </c>
      <c r="D1137" s="892">
        <v>214</v>
      </c>
    </row>
    <row r="1138" spans="1:6">
      <c r="A1138" s="3"/>
      <c r="B1138">
        <v>501</v>
      </c>
      <c r="C1138">
        <v>600</v>
      </c>
      <c r="D1138" s="892">
        <v>250</v>
      </c>
    </row>
    <row r="1139" spans="1:6">
      <c r="A1139" s="3"/>
      <c r="B1139">
        <v>601</v>
      </c>
      <c r="C1139">
        <v>650</v>
      </c>
      <c r="D1139" s="892">
        <v>346.92307692307691</v>
      </c>
    </row>
    <row r="1140" spans="1:6">
      <c r="A1140" s="3"/>
      <c r="B1140">
        <v>651</v>
      </c>
      <c r="C1140">
        <v>750</v>
      </c>
      <c r="D1140" s="892">
        <v>281.33333333333331</v>
      </c>
    </row>
    <row r="1141" spans="1:6">
      <c r="A1141" s="3"/>
      <c r="B1141">
        <v>751</v>
      </c>
      <c r="C1141">
        <v>800</v>
      </c>
      <c r="D1141" s="892">
        <v>260</v>
      </c>
    </row>
    <row r="1142" spans="1:6">
      <c r="A1142" s="3"/>
      <c r="B1142">
        <v>801</v>
      </c>
      <c r="C1142">
        <v>900</v>
      </c>
      <c r="D1142" s="892">
        <v>287.22222222222223</v>
      </c>
    </row>
    <row r="1143" spans="1:6">
      <c r="A1143" s="3"/>
      <c r="B1143">
        <v>901</v>
      </c>
      <c r="C1143">
        <v>1000</v>
      </c>
      <c r="D1143" s="892">
        <v>243</v>
      </c>
    </row>
    <row r="1146" spans="1:6">
      <c r="A1146" s="890" t="s">
        <v>3586</v>
      </c>
      <c r="B1146" s="890" t="s">
        <v>3897</v>
      </c>
      <c r="C1146" s="890"/>
      <c r="D1146" s="890"/>
      <c r="E1146" s="890"/>
      <c r="F1146" s="890"/>
    </row>
    <row r="1147" spans="1:6">
      <c r="A1147" s="888">
        <v>43</v>
      </c>
      <c r="B1147" s="320"/>
      <c r="C1147" s="320"/>
      <c r="D1147" s="847" t="s">
        <v>3595</v>
      </c>
      <c r="E1147" s="320" t="s">
        <v>3588</v>
      </c>
      <c r="F1147" s="320" t="s">
        <v>3589</v>
      </c>
    </row>
    <row r="1148" spans="1:6">
      <c r="A1148" s="3" t="s">
        <v>3898</v>
      </c>
      <c r="B1148">
        <v>0</v>
      </c>
      <c r="C1148">
        <v>0</v>
      </c>
      <c r="D1148" s="889">
        <v>1300.8978726158491</v>
      </c>
      <c r="E1148">
        <v>15</v>
      </c>
      <c r="F1148">
        <v>14</v>
      </c>
    </row>
    <row r="1151" spans="1:6">
      <c r="A1151" s="890" t="s">
        <v>3586</v>
      </c>
      <c r="B1151" s="890" t="s">
        <v>3899</v>
      </c>
      <c r="C1151" s="890"/>
      <c r="D1151" s="890"/>
      <c r="E1151" s="890"/>
      <c r="F1151" s="890"/>
    </row>
    <row r="1152" spans="1:6">
      <c r="A1152" s="888">
        <v>43</v>
      </c>
      <c r="B1152" s="320"/>
      <c r="C1152" s="320"/>
      <c r="D1152" s="847" t="s">
        <v>3595</v>
      </c>
      <c r="E1152" s="320" t="s">
        <v>3588</v>
      </c>
      <c r="F1152" s="320" t="s">
        <v>3589</v>
      </c>
    </row>
    <row r="1153" spans="1:6">
      <c r="A1153" s="3" t="s">
        <v>3900</v>
      </c>
      <c r="B1153">
        <v>0</v>
      </c>
      <c r="C1153">
        <v>0</v>
      </c>
      <c r="D1153" s="889">
        <v>794.75852923757691</v>
      </c>
      <c r="E1153">
        <v>15</v>
      </c>
      <c r="F1153">
        <v>14</v>
      </c>
    </row>
    <row r="1156" spans="1:6">
      <c r="A1156" s="890" t="s">
        <v>3586</v>
      </c>
      <c r="B1156" s="890" t="s">
        <v>3901</v>
      </c>
      <c r="C1156" s="890"/>
      <c r="D1156" s="890"/>
      <c r="E1156" s="890"/>
      <c r="F1156" s="890"/>
    </row>
    <row r="1157" spans="1:6">
      <c r="A1157" s="888">
        <v>43</v>
      </c>
      <c r="B1157" s="847"/>
      <c r="C1157" s="320"/>
      <c r="D1157" s="847" t="s">
        <v>3595</v>
      </c>
      <c r="E1157" s="320" t="s">
        <v>3588</v>
      </c>
      <c r="F1157" s="320" t="s">
        <v>3589</v>
      </c>
    </row>
    <row r="1158" spans="1:6">
      <c r="A1158" s="3" t="s">
        <v>3902</v>
      </c>
      <c r="B1158">
        <v>0</v>
      </c>
      <c r="C1158">
        <v>0</v>
      </c>
      <c r="D1158" s="889">
        <v>6183.7045937122821</v>
      </c>
      <c r="E1158">
        <v>15</v>
      </c>
      <c r="F1158">
        <v>14</v>
      </c>
    </row>
    <row r="1161" spans="1:6">
      <c r="A1161" s="890" t="s">
        <v>3781</v>
      </c>
      <c r="B1161" s="890" t="s">
        <v>3903</v>
      </c>
      <c r="C1161" s="890"/>
      <c r="D1161" s="890"/>
      <c r="E1161" s="890"/>
      <c r="F1161" s="890"/>
    </row>
    <row r="1162" spans="1:6">
      <c r="A1162" s="888">
        <v>42</v>
      </c>
      <c r="B1162" s="320"/>
      <c r="C1162" s="320"/>
      <c r="D1162" s="847" t="s">
        <v>3595</v>
      </c>
      <c r="E1162" s="320" t="s">
        <v>3588</v>
      </c>
      <c r="F1162" s="320" t="s">
        <v>3589</v>
      </c>
    </row>
    <row r="1163" spans="1:6">
      <c r="A1163" s="3" t="s">
        <v>3904</v>
      </c>
      <c r="B1163">
        <v>0</v>
      </c>
      <c r="C1163">
        <v>0</v>
      </c>
      <c r="D1163" s="889">
        <v>877.495</v>
      </c>
      <c r="E1163">
        <v>10</v>
      </c>
      <c r="F1163">
        <v>8</v>
      </c>
    </row>
    <row r="1166" spans="1:6">
      <c r="A1166" s="890" t="s">
        <v>3586</v>
      </c>
      <c r="B1166" s="890" t="s">
        <v>3905</v>
      </c>
      <c r="C1166" s="890"/>
      <c r="D1166" s="890"/>
      <c r="E1166" s="890"/>
      <c r="F1166" s="890"/>
    </row>
    <row r="1167" spans="1:6">
      <c r="A1167" s="888">
        <v>43</v>
      </c>
      <c r="B1167" s="320" t="s">
        <v>3694</v>
      </c>
      <c r="C1167" s="320" t="s">
        <v>3695</v>
      </c>
      <c r="D1167" s="847" t="s">
        <v>3595</v>
      </c>
      <c r="E1167" s="320" t="s">
        <v>3588</v>
      </c>
      <c r="F1167" s="320" t="s">
        <v>3589</v>
      </c>
    </row>
    <row r="1168" spans="1:6">
      <c r="A1168" s="3" t="s">
        <v>3906</v>
      </c>
      <c r="B1168">
        <v>0</v>
      </c>
      <c r="C1168">
        <v>1</v>
      </c>
      <c r="D1168" s="889">
        <v>2193.0706249999998</v>
      </c>
      <c r="E1168">
        <v>15</v>
      </c>
      <c r="F1168">
        <v>14</v>
      </c>
    </row>
    <row r="1169" spans="1:6">
      <c r="A1169" s="3"/>
      <c r="B1169">
        <v>1.1000000000000001</v>
      </c>
      <c r="C1169">
        <v>2</v>
      </c>
      <c r="D1169" s="889">
        <v>2310.6700136986301</v>
      </c>
      <c r="E1169">
        <v>15</v>
      </c>
      <c r="F1169">
        <v>14</v>
      </c>
    </row>
    <row r="1170" spans="1:6">
      <c r="A1170" s="3"/>
      <c r="B1170">
        <v>2.1</v>
      </c>
      <c r="C1170">
        <v>3</v>
      </c>
      <c r="D1170" s="889">
        <v>2401.0457718446605</v>
      </c>
      <c r="E1170">
        <v>15</v>
      </c>
      <c r="F1170">
        <v>14</v>
      </c>
    </row>
    <row r="1171" spans="1:6">
      <c r="A1171" s="3"/>
      <c r="B1171">
        <v>3.1</v>
      </c>
      <c r="C1171">
        <v>4</v>
      </c>
      <c r="D1171" s="889">
        <v>2419.8302129032259</v>
      </c>
      <c r="E1171">
        <v>15</v>
      </c>
      <c r="F1171">
        <v>14</v>
      </c>
    </row>
    <row r="1172" spans="1:6">
      <c r="A1172" s="3"/>
      <c r="B1172">
        <v>4.0999999999999996</v>
      </c>
      <c r="C1172">
        <v>6</v>
      </c>
      <c r="D1172" s="889">
        <v>3590.5771888888885</v>
      </c>
      <c r="E1172">
        <v>15</v>
      </c>
      <c r="F1172">
        <v>14</v>
      </c>
    </row>
    <row r="1173" spans="1:6">
      <c r="A1173" s="3"/>
      <c r="B1173">
        <v>6.1</v>
      </c>
      <c r="C1173">
        <v>8</v>
      </c>
      <c r="D1173" s="889">
        <v>3965.3893275862065</v>
      </c>
      <c r="E1173">
        <v>15</v>
      </c>
      <c r="F1173">
        <v>14</v>
      </c>
    </row>
    <row r="1174" spans="1:6">
      <c r="A1174" s="3"/>
      <c r="B1174">
        <v>8.1</v>
      </c>
      <c r="C1174">
        <v>10</v>
      </c>
      <c r="D1174" s="889">
        <v>4011.5260729927013</v>
      </c>
      <c r="E1174">
        <v>15</v>
      </c>
      <c r="F1174">
        <v>14</v>
      </c>
    </row>
    <row r="1175" spans="1:6">
      <c r="A1175" s="3"/>
      <c r="B1175">
        <v>10.1</v>
      </c>
      <c r="C1175">
        <v>12</v>
      </c>
      <c r="D1175" s="889">
        <v>4677.219503649635</v>
      </c>
      <c r="E1175">
        <v>15</v>
      </c>
      <c r="F1175">
        <v>14</v>
      </c>
    </row>
    <row r="1176" spans="1:6">
      <c r="A1176" s="3"/>
      <c r="B1176">
        <v>12.1</v>
      </c>
      <c r="C1176">
        <v>14</v>
      </c>
      <c r="D1176" s="889">
        <v>5013.5698686131391</v>
      </c>
      <c r="E1176">
        <v>15</v>
      </c>
      <c r="F1176">
        <v>14</v>
      </c>
    </row>
    <row r="1177" spans="1:6">
      <c r="A1177" s="3"/>
      <c r="B1177">
        <v>14.1</v>
      </c>
      <c r="C1177">
        <v>16</v>
      </c>
      <c r="D1177" s="889">
        <v>5181.7450510948911</v>
      </c>
      <c r="E1177">
        <v>15</v>
      </c>
      <c r="F1177">
        <v>14</v>
      </c>
    </row>
    <row r="1178" spans="1:6">
      <c r="A1178" s="3"/>
      <c r="B1178">
        <v>16.100000000000001</v>
      </c>
      <c r="C1178">
        <v>18</v>
      </c>
      <c r="D1178" s="889">
        <v>5924.5187737226279</v>
      </c>
      <c r="E1178">
        <v>15</v>
      </c>
      <c r="F1178">
        <v>14</v>
      </c>
    </row>
    <row r="1179" spans="1:6">
      <c r="A1179" s="3"/>
      <c r="B1179">
        <v>18.100000000000001</v>
      </c>
      <c r="C1179">
        <v>20</v>
      </c>
      <c r="D1179" s="889">
        <v>6330.9421313868606</v>
      </c>
      <c r="E1179">
        <v>15</v>
      </c>
      <c r="F1179">
        <v>14</v>
      </c>
    </row>
    <row r="1180" spans="1:6">
      <c r="A1180" s="3"/>
      <c r="B1180">
        <v>20.100000000000001</v>
      </c>
      <c r="C1180">
        <v>24</v>
      </c>
      <c r="D1180" s="889">
        <v>9988.7523503649645</v>
      </c>
      <c r="E1180">
        <v>15</v>
      </c>
      <c r="F1180">
        <v>14</v>
      </c>
    </row>
    <row r="1181" spans="1:6">
      <c r="A1181" s="3"/>
      <c r="B1181">
        <v>24.1</v>
      </c>
      <c r="C1181">
        <v>30</v>
      </c>
      <c r="D1181" s="889">
        <v>11109.920233576642</v>
      </c>
      <c r="E1181">
        <v>15</v>
      </c>
      <c r="F1181">
        <v>14</v>
      </c>
    </row>
    <row r="1182" spans="1:6">
      <c r="A1182" s="3"/>
      <c r="B1182">
        <v>30.1</v>
      </c>
      <c r="C1182">
        <v>36</v>
      </c>
      <c r="D1182" s="889">
        <v>12511.380087591242</v>
      </c>
      <c r="E1182">
        <v>15</v>
      </c>
      <c r="F1182">
        <v>14</v>
      </c>
    </row>
    <row r="1183" spans="1:6">
      <c r="A1183" s="3"/>
      <c r="B1183">
        <v>36.1</v>
      </c>
      <c r="C1183">
        <v>42</v>
      </c>
      <c r="D1183" s="889">
        <v>13492.40198540146</v>
      </c>
      <c r="E1183">
        <v>15</v>
      </c>
      <c r="F1183">
        <v>14</v>
      </c>
    </row>
    <row r="1184" spans="1:6">
      <c r="A1184" s="3"/>
      <c r="B1184">
        <v>42.1</v>
      </c>
      <c r="C1184">
        <v>48</v>
      </c>
      <c r="D1184" s="889">
        <v>15594.591766423357</v>
      </c>
      <c r="E1184">
        <v>15</v>
      </c>
      <c r="F1184">
        <v>14</v>
      </c>
    </row>
    <row r="1185" spans="1:6">
      <c r="A1185" s="3"/>
      <c r="B1185">
        <v>48.1</v>
      </c>
      <c r="C1185" t="s">
        <v>3596</v>
      </c>
      <c r="D1185" s="889" t="s">
        <v>3596</v>
      </c>
      <c r="E1185">
        <v>15</v>
      </c>
      <c r="F1185">
        <v>14</v>
      </c>
    </row>
    <row r="1188" spans="1:6">
      <c r="A1188" s="916" t="s">
        <v>3598</v>
      </c>
      <c r="B1188" s="891" t="s">
        <v>3907</v>
      </c>
      <c r="C1188" s="917"/>
      <c r="D1188" s="918"/>
      <c r="E1188" s="917"/>
      <c r="F1188" s="917"/>
    </row>
    <row r="1189" spans="1:6">
      <c r="A1189" s="888">
        <v>3</v>
      </c>
      <c r="B1189" s="320" t="s">
        <v>3908</v>
      </c>
      <c r="C1189" s="320" t="s">
        <v>3909</v>
      </c>
      <c r="D1189" s="320" t="s">
        <v>3595</v>
      </c>
      <c r="E1189" s="320" t="s">
        <v>3588</v>
      </c>
      <c r="F1189" s="320" t="s">
        <v>3589</v>
      </c>
    </row>
    <row r="1190" spans="1:6">
      <c r="A1190" s="3" t="s">
        <v>3910</v>
      </c>
      <c r="B1190">
        <v>0</v>
      </c>
      <c r="C1190">
        <v>500</v>
      </c>
      <c r="D1190" s="892">
        <v>181.38524604341987</v>
      </c>
      <c r="E1190">
        <v>40</v>
      </c>
      <c r="F1190">
        <v>37</v>
      </c>
    </row>
    <row r="1191" spans="1:6">
      <c r="A1191" s="3"/>
      <c r="B1191">
        <v>500.1</v>
      </c>
      <c r="C1191">
        <v>1000</v>
      </c>
      <c r="D1191" s="892">
        <v>152.59181452329247</v>
      </c>
      <c r="E1191">
        <v>40</v>
      </c>
      <c r="F1191">
        <v>37</v>
      </c>
    </row>
    <row r="1192" spans="1:6">
      <c r="A1192" s="3"/>
      <c r="B1192">
        <v>1000.1</v>
      </c>
      <c r="C1192">
        <v>2000</v>
      </c>
      <c r="D1192" s="892">
        <v>134.80205030118768</v>
      </c>
      <c r="E1192">
        <v>40</v>
      </c>
      <c r="F1192">
        <v>37</v>
      </c>
    </row>
    <row r="1193" spans="1:6">
      <c r="A1193" s="3"/>
      <c r="B1193">
        <v>2000.1</v>
      </c>
      <c r="C1193">
        <v>3000</v>
      </c>
      <c r="D1193" s="892">
        <v>127.23811561623944</v>
      </c>
      <c r="E1193">
        <v>40</v>
      </c>
      <c r="F1193">
        <v>37</v>
      </c>
    </row>
    <row r="1194" spans="1:6">
      <c r="A1194" s="3"/>
      <c r="B1194">
        <v>3000.1</v>
      </c>
      <c r="C1194">
        <v>4000</v>
      </c>
      <c r="D1194" s="892">
        <v>119.65198435204586</v>
      </c>
      <c r="E1194">
        <v>40</v>
      </c>
      <c r="F1194">
        <v>37</v>
      </c>
    </row>
    <row r="1195" spans="1:6">
      <c r="A1195" s="3"/>
      <c r="B1195">
        <v>4000.1</v>
      </c>
      <c r="C1195">
        <v>5000</v>
      </c>
      <c r="D1195" s="892">
        <v>114.29481081705296</v>
      </c>
      <c r="E1195">
        <v>40</v>
      </c>
      <c r="F1195">
        <v>37</v>
      </c>
    </row>
    <row r="1196" spans="1:6">
      <c r="A1196" s="3"/>
      <c r="B1196">
        <v>5000.1000000000004</v>
      </c>
      <c r="C1196">
        <v>7500</v>
      </c>
      <c r="D1196" s="892">
        <v>107.59283026135358</v>
      </c>
      <c r="E1196">
        <v>40</v>
      </c>
      <c r="F1196">
        <v>37</v>
      </c>
    </row>
    <row r="1197" spans="1:6">
      <c r="A1197" s="3"/>
      <c r="B1197">
        <v>7500.1</v>
      </c>
      <c r="C1197">
        <v>8000</v>
      </c>
      <c r="D1197" s="892">
        <v>106.71475413024437</v>
      </c>
      <c r="E1197">
        <v>40</v>
      </c>
      <c r="F1197">
        <v>37</v>
      </c>
    </row>
    <row r="1198" spans="1:6">
      <c r="A1198" s="3"/>
      <c r="B1198">
        <v>8000.1</v>
      </c>
      <c r="C1198">
        <v>10000</v>
      </c>
      <c r="D1198" s="892">
        <v>102.07668261986309</v>
      </c>
      <c r="E1198">
        <v>40</v>
      </c>
      <c r="F1198">
        <v>37</v>
      </c>
    </row>
    <row r="1199" spans="1:6">
      <c r="A1199" s="3"/>
      <c r="B1199">
        <v>10000.1</v>
      </c>
      <c r="C1199">
        <v>12000</v>
      </c>
      <c r="D1199" s="892">
        <v>102.10697569089804</v>
      </c>
      <c r="E1199">
        <v>40</v>
      </c>
      <c r="F1199">
        <v>37</v>
      </c>
    </row>
    <row r="1200" spans="1:6">
      <c r="A1200" s="3"/>
      <c r="B1200">
        <v>12000.1</v>
      </c>
      <c r="C1200">
        <v>15000</v>
      </c>
      <c r="D1200" s="892">
        <v>97.487260194733452</v>
      </c>
      <c r="E1200">
        <v>40</v>
      </c>
      <c r="F1200">
        <v>37</v>
      </c>
    </row>
    <row r="1201" spans="1:6">
      <c r="A1201" s="3"/>
      <c r="B1201">
        <v>15000.1</v>
      </c>
      <c r="C1201">
        <v>18000</v>
      </c>
      <c r="D1201" s="892">
        <v>97.108122653342377</v>
      </c>
      <c r="E1201">
        <v>40</v>
      </c>
      <c r="F1201">
        <v>37</v>
      </c>
    </row>
    <row r="1202" spans="1:6">
      <c r="A1202" s="3"/>
      <c r="B1202">
        <v>18000.099999999999</v>
      </c>
      <c r="C1202">
        <v>20000</v>
      </c>
      <c r="D1202" s="892">
        <v>93.246542829484653</v>
      </c>
      <c r="E1202">
        <v>40</v>
      </c>
      <c r="F1202">
        <v>37</v>
      </c>
    </row>
    <row r="1203" spans="1:6">
      <c r="A1203" s="3"/>
      <c r="B1203">
        <v>20000.099999999999</v>
      </c>
      <c r="C1203">
        <v>24000</v>
      </c>
      <c r="D1203" s="892">
        <v>94.708080048348506</v>
      </c>
      <c r="E1203">
        <v>40</v>
      </c>
      <c r="F1203">
        <v>37</v>
      </c>
    </row>
    <row r="1204" spans="1:6">
      <c r="A1204" s="3"/>
      <c r="B1204">
        <v>24000.1</v>
      </c>
      <c r="C1204">
        <v>25000</v>
      </c>
      <c r="D1204" s="892">
        <v>92.553828193295317</v>
      </c>
      <c r="E1204">
        <v>40</v>
      </c>
      <c r="F1204">
        <v>37</v>
      </c>
    </row>
    <row r="1205" spans="1:6">
      <c r="A1205" s="3"/>
      <c r="B1205">
        <v>25000.1</v>
      </c>
      <c r="C1205">
        <v>30000</v>
      </c>
      <c r="D1205" s="892">
        <v>90.338307129170701</v>
      </c>
      <c r="E1205">
        <v>40</v>
      </c>
      <c r="F1205">
        <v>37</v>
      </c>
    </row>
    <row r="1206" spans="1:6">
      <c r="A1206" s="3"/>
      <c r="B1206">
        <v>30000.1</v>
      </c>
      <c r="C1206">
        <v>36000</v>
      </c>
      <c r="D1206" s="892">
        <v>90.041447180993472</v>
      </c>
      <c r="E1206">
        <v>40</v>
      </c>
      <c r="F1206">
        <v>37</v>
      </c>
    </row>
    <row r="1207" spans="1:6">
      <c r="A1207" s="3"/>
      <c r="B1207">
        <v>36000.1</v>
      </c>
      <c r="C1207">
        <v>42000</v>
      </c>
      <c r="D1207" s="892">
        <v>88.914423506689516</v>
      </c>
      <c r="E1207">
        <v>40</v>
      </c>
      <c r="F1207">
        <v>37</v>
      </c>
    </row>
    <row r="1208" spans="1:6">
      <c r="A1208" s="3"/>
      <c r="B1208">
        <v>42000.1</v>
      </c>
      <c r="C1208">
        <v>48000</v>
      </c>
      <c r="D1208" s="892">
        <v>88.479467175528967</v>
      </c>
      <c r="E1208">
        <v>40</v>
      </c>
      <c r="F1208">
        <v>37</v>
      </c>
    </row>
    <row r="1209" spans="1:6">
      <c r="A1209" s="3"/>
      <c r="B1209">
        <v>48000.1</v>
      </c>
      <c r="C1209">
        <v>50000</v>
      </c>
      <c r="D1209" s="892">
        <v>85.89116831075917</v>
      </c>
      <c r="E1209">
        <v>40</v>
      </c>
      <c r="F1209">
        <v>37</v>
      </c>
    </row>
    <row r="1210" spans="1:6">
      <c r="A1210" s="3"/>
      <c r="B1210">
        <v>50000.1</v>
      </c>
      <c r="C1210">
        <v>54000</v>
      </c>
      <c r="D1210" s="892">
        <v>86.097491763353631</v>
      </c>
      <c r="E1210">
        <v>40</v>
      </c>
      <c r="F1210">
        <v>37</v>
      </c>
    </row>
    <row r="1211" spans="1:6">
      <c r="A1211" s="3"/>
      <c r="B1211">
        <v>54000.1</v>
      </c>
      <c r="C1211">
        <v>60000</v>
      </c>
      <c r="D1211" s="892">
        <v>85.905352939687944</v>
      </c>
      <c r="E1211">
        <v>40</v>
      </c>
      <c r="F1211">
        <v>37</v>
      </c>
    </row>
    <row r="1212" spans="1:6">
      <c r="A1212" s="3"/>
      <c r="B1212">
        <v>60000.1</v>
      </c>
      <c r="C1212">
        <v>100000</v>
      </c>
      <c r="D1212" s="892">
        <v>82.041080305591748</v>
      </c>
      <c r="E1212">
        <v>40</v>
      </c>
      <c r="F1212">
        <v>37</v>
      </c>
    </row>
    <row r="1213" spans="1:6">
      <c r="A1213" s="3"/>
      <c r="B1213">
        <v>100000.1</v>
      </c>
      <c r="C1213">
        <v>200000</v>
      </c>
      <c r="D1213" s="892">
        <v>79.117503222271026</v>
      </c>
      <c r="E1213">
        <v>40</v>
      </c>
      <c r="F1213">
        <v>37</v>
      </c>
    </row>
    <row r="1214" spans="1:6">
      <c r="A1214" s="3"/>
      <c r="B1214">
        <v>200000.1</v>
      </c>
      <c r="C1214" t="s">
        <v>3596</v>
      </c>
      <c r="D1214" s="889"/>
    </row>
    <row r="1217" spans="1:6">
      <c r="A1217" s="916" t="s">
        <v>3598</v>
      </c>
      <c r="B1217" s="891" t="s">
        <v>3911</v>
      </c>
      <c r="C1217" s="917"/>
      <c r="D1217" s="918"/>
      <c r="E1217" s="917"/>
      <c r="F1217" s="917"/>
    </row>
    <row r="1218" spans="1:6">
      <c r="A1218" s="888">
        <v>3</v>
      </c>
      <c r="B1218" s="320" t="s">
        <v>3908</v>
      </c>
      <c r="C1218" s="320" t="s">
        <v>3909</v>
      </c>
      <c r="D1218" s="320" t="s">
        <v>3595</v>
      </c>
      <c r="E1218" s="320" t="s">
        <v>3588</v>
      </c>
      <c r="F1218" s="320" t="s">
        <v>3589</v>
      </c>
    </row>
    <row r="1219" spans="1:6">
      <c r="A1219" s="3" t="s">
        <v>3912</v>
      </c>
      <c r="B1219">
        <v>0</v>
      </c>
      <c r="C1219">
        <v>500</v>
      </c>
      <c r="D1219" s="892">
        <v>96.812325106916731</v>
      </c>
      <c r="E1219">
        <v>40</v>
      </c>
      <c r="F1219">
        <v>37</v>
      </c>
    </row>
    <row r="1220" spans="1:6">
      <c r="A1220" s="3"/>
      <c r="B1220">
        <v>500.1</v>
      </c>
      <c r="C1220">
        <v>1000</v>
      </c>
      <c r="D1220" s="892">
        <v>85.695132889157776</v>
      </c>
      <c r="E1220">
        <v>40</v>
      </c>
      <c r="F1220">
        <v>37</v>
      </c>
    </row>
    <row r="1221" spans="1:6">
      <c r="A1221" s="3"/>
      <c r="B1221">
        <v>1000.1</v>
      </c>
      <c r="C1221">
        <v>2000</v>
      </c>
      <c r="D1221" s="892">
        <v>79.902726370939661</v>
      </c>
      <c r="E1221">
        <v>40</v>
      </c>
      <c r="F1221">
        <v>37</v>
      </c>
    </row>
    <row r="1222" spans="1:6">
      <c r="A1222" s="3"/>
      <c r="B1222">
        <v>2000.1</v>
      </c>
      <c r="C1222">
        <v>3000</v>
      </c>
      <c r="D1222" s="892">
        <v>77.562022463174657</v>
      </c>
      <c r="E1222">
        <v>40</v>
      </c>
      <c r="F1222">
        <v>37</v>
      </c>
    </row>
    <row r="1223" spans="1:6">
      <c r="A1223" s="3"/>
      <c r="B1223">
        <v>3000.1</v>
      </c>
      <c r="C1223">
        <v>4000</v>
      </c>
      <c r="D1223" s="892">
        <v>73.888442053430978</v>
      </c>
      <c r="E1223">
        <v>40</v>
      </c>
      <c r="F1223">
        <v>37</v>
      </c>
    </row>
    <row r="1224" spans="1:6">
      <c r="A1224" s="3"/>
      <c r="B1224">
        <v>4000.1</v>
      </c>
      <c r="C1224">
        <v>5000</v>
      </c>
      <c r="D1224" s="892">
        <v>71.210649833158655</v>
      </c>
      <c r="E1224">
        <v>40</v>
      </c>
      <c r="F1224">
        <v>37</v>
      </c>
    </row>
    <row r="1225" spans="1:6">
      <c r="A1225" s="3"/>
      <c r="B1225">
        <v>5000.1000000000004</v>
      </c>
      <c r="C1225">
        <v>7500</v>
      </c>
      <c r="D1225" s="892">
        <v>68.754095256191349</v>
      </c>
      <c r="E1225">
        <v>40</v>
      </c>
      <c r="F1225">
        <v>37</v>
      </c>
    </row>
    <row r="1226" spans="1:6">
      <c r="A1226" s="3"/>
      <c r="B1226">
        <v>7500.1</v>
      </c>
      <c r="C1226">
        <v>8000</v>
      </c>
      <c r="D1226" s="892">
        <v>68.342791320755438</v>
      </c>
      <c r="E1226">
        <v>40</v>
      </c>
      <c r="F1226">
        <v>37</v>
      </c>
    </row>
    <row r="1227" spans="1:6">
      <c r="A1227" s="3"/>
      <c r="B1227">
        <v>8000.1</v>
      </c>
      <c r="C1227">
        <v>10000</v>
      </c>
      <c r="D1227" s="892">
        <v>65.677166848285296</v>
      </c>
      <c r="E1227">
        <v>40</v>
      </c>
      <c r="F1227">
        <v>37</v>
      </c>
    </row>
    <row r="1228" spans="1:6">
      <c r="A1228" s="3"/>
      <c r="B1228">
        <v>10000.1</v>
      </c>
      <c r="C1228">
        <v>12000</v>
      </c>
      <c r="D1228" s="892">
        <v>66.225667162447152</v>
      </c>
      <c r="E1228">
        <v>40</v>
      </c>
      <c r="F1228">
        <v>37</v>
      </c>
    </row>
    <row r="1229" spans="1:6">
      <c r="A1229" s="3"/>
      <c r="B1229">
        <v>12000.1</v>
      </c>
      <c r="C1229">
        <v>15000</v>
      </c>
      <c r="D1229" s="892">
        <v>63.962022393975595</v>
      </c>
      <c r="E1229">
        <v>40</v>
      </c>
      <c r="F1229">
        <v>37</v>
      </c>
    </row>
    <row r="1230" spans="1:6">
      <c r="A1230" s="3"/>
      <c r="B1230">
        <v>15000.1</v>
      </c>
      <c r="C1230">
        <v>18000</v>
      </c>
      <c r="D1230" s="892">
        <v>63.774970360904831</v>
      </c>
      <c r="E1230">
        <v>40</v>
      </c>
      <c r="F1230">
        <v>37</v>
      </c>
    </row>
    <row r="1231" spans="1:6">
      <c r="A1231" s="3"/>
      <c r="B1231">
        <v>18000.099999999999</v>
      </c>
      <c r="C1231">
        <v>20000</v>
      </c>
      <c r="D1231" s="892">
        <v>61.506399713827875</v>
      </c>
      <c r="E1231">
        <v>40</v>
      </c>
      <c r="F1231">
        <v>37</v>
      </c>
    </row>
    <row r="1232" spans="1:6">
      <c r="A1232" s="3"/>
      <c r="B1232">
        <v>20000.099999999999</v>
      </c>
      <c r="C1232">
        <v>24000</v>
      </c>
      <c r="D1232" s="892">
        <v>62.533501422015092</v>
      </c>
      <c r="E1232">
        <v>40</v>
      </c>
      <c r="F1232">
        <v>37</v>
      </c>
    </row>
    <row r="1233" spans="1:6">
      <c r="A1233" s="3"/>
      <c r="B1233">
        <v>24000.1</v>
      </c>
      <c r="C1233">
        <v>25000</v>
      </c>
      <c r="D1233" s="892">
        <v>61.704060174752492</v>
      </c>
      <c r="E1233">
        <v>40</v>
      </c>
      <c r="F1233">
        <v>37</v>
      </c>
    </row>
    <row r="1234" spans="1:6">
      <c r="A1234" s="3"/>
      <c r="B1234">
        <v>25000.1</v>
      </c>
      <c r="C1234">
        <v>30000</v>
      </c>
      <c r="D1234" s="892">
        <v>60.168928848565692</v>
      </c>
      <c r="E1234">
        <v>40</v>
      </c>
      <c r="F1234">
        <v>37</v>
      </c>
    </row>
    <row r="1235" spans="1:6">
      <c r="A1235" s="3"/>
      <c r="B1235">
        <v>30000.1</v>
      </c>
      <c r="C1235">
        <v>36000</v>
      </c>
      <c r="D1235" s="892">
        <v>60.263829094701443</v>
      </c>
      <c r="E1235">
        <v>40</v>
      </c>
      <c r="F1235">
        <v>37</v>
      </c>
    </row>
    <row r="1236" spans="1:6">
      <c r="A1236" s="3"/>
      <c r="B1236">
        <v>36000.1</v>
      </c>
      <c r="C1236">
        <v>42000</v>
      </c>
      <c r="D1236" s="892">
        <v>59.739422513108003</v>
      </c>
      <c r="E1236">
        <v>40</v>
      </c>
      <c r="F1236">
        <v>37</v>
      </c>
    </row>
    <row r="1237" spans="1:6">
      <c r="A1237" s="3"/>
      <c r="B1237">
        <v>42000.1</v>
      </c>
      <c r="C1237">
        <v>48000</v>
      </c>
      <c r="D1237" s="892">
        <v>59.54501465752233</v>
      </c>
      <c r="E1237">
        <v>40</v>
      </c>
      <c r="F1237">
        <v>37</v>
      </c>
    </row>
    <row r="1238" spans="1:6">
      <c r="A1238" s="3"/>
      <c r="B1238">
        <v>48000.1</v>
      </c>
      <c r="C1238">
        <v>50000</v>
      </c>
      <c r="D1238" s="892">
        <v>58.026379657538449</v>
      </c>
      <c r="E1238">
        <v>40</v>
      </c>
      <c r="F1238">
        <v>37</v>
      </c>
    </row>
    <row r="1239" spans="1:6">
      <c r="A1239" s="3"/>
      <c r="B1239">
        <v>50000.1</v>
      </c>
      <c r="C1239">
        <v>54000</v>
      </c>
      <c r="D1239" s="892">
        <v>58.038523930206111</v>
      </c>
      <c r="E1239">
        <v>40</v>
      </c>
      <c r="F1239">
        <v>37</v>
      </c>
    </row>
    <row r="1240" spans="1:6">
      <c r="A1240" s="3"/>
      <c r="B1240">
        <v>54000.1</v>
      </c>
      <c r="C1240">
        <v>60000</v>
      </c>
      <c r="D1240" s="892">
        <v>58.21329937756736</v>
      </c>
      <c r="E1240">
        <v>40</v>
      </c>
      <c r="F1240">
        <v>37</v>
      </c>
    </row>
    <row r="1241" spans="1:6">
      <c r="A1241" s="3"/>
      <c r="B1241">
        <v>60000.1</v>
      </c>
      <c r="C1241">
        <v>100000</v>
      </c>
      <c r="D1241" s="892">
        <v>56.179268642501221</v>
      </c>
      <c r="E1241">
        <v>40</v>
      </c>
      <c r="F1241">
        <v>37</v>
      </c>
    </row>
    <row r="1242" spans="1:6">
      <c r="A1242" s="3"/>
      <c r="B1242">
        <v>100000.1</v>
      </c>
      <c r="C1242">
        <v>200000</v>
      </c>
      <c r="D1242" s="892">
        <v>54.640406783156237</v>
      </c>
      <c r="E1242">
        <v>40</v>
      </c>
      <c r="F1242">
        <v>37</v>
      </c>
    </row>
    <row r="1243" spans="1:6">
      <c r="A1243" s="3"/>
      <c r="B1243">
        <v>200000.1</v>
      </c>
      <c r="C1243" t="s">
        <v>3596</v>
      </c>
      <c r="D1243" s="889"/>
    </row>
    <row r="1246" spans="1:6">
      <c r="A1246" s="916" t="s">
        <v>3598</v>
      </c>
      <c r="B1246" s="891" t="s">
        <v>3913</v>
      </c>
      <c r="C1246" s="917"/>
      <c r="D1246" s="918"/>
      <c r="E1246" s="917"/>
      <c r="F1246" s="917"/>
    </row>
    <row r="1247" spans="1:6">
      <c r="A1247" s="888">
        <v>3</v>
      </c>
      <c r="B1247" s="320" t="s">
        <v>3908</v>
      </c>
      <c r="C1247" s="320" t="s">
        <v>3909</v>
      </c>
      <c r="D1247" s="320" t="s">
        <v>3595</v>
      </c>
      <c r="E1247" s="320" t="s">
        <v>3588</v>
      </c>
      <c r="F1247" s="320" t="s">
        <v>3589</v>
      </c>
    </row>
    <row r="1248" spans="1:6">
      <c r="A1248" s="3" t="s">
        <v>3914</v>
      </c>
      <c r="B1248">
        <v>0</v>
      </c>
      <c r="C1248">
        <v>500</v>
      </c>
      <c r="D1248" s="892">
        <v>116.34576395640443</v>
      </c>
      <c r="E1248">
        <v>40</v>
      </c>
      <c r="F1248">
        <v>37</v>
      </c>
    </row>
    <row r="1249" spans="1:6">
      <c r="A1249" s="3"/>
      <c r="B1249">
        <v>500.1</v>
      </c>
      <c r="C1249">
        <v>1000</v>
      </c>
      <c r="D1249" s="892">
        <v>103.19344629810541</v>
      </c>
      <c r="E1249">
        <v>40</v>
      </c>
      <c r="F1249">
        <v>37</v>
      </c>
    </row>
    <row r="1250" spans="1:6">
      <c r="A1250" s="3"/>
      <c r="B1250">
        <v>1000.1</v>
      </c>
      <c r="C1250">
        <v>2000</v>
      </c>
      <c r="D1250" s="892">
        <v>96.04871059453717</v>
      </c>
      <c r="E1250">
        <v>40</v>
      </c>
      <c r="F1250">
        <v>37</v>
      </c>
    </row>
    <row r="1251" spans="1:6">
      <c r="A1251" s="3"/>
      <c r="B1251">
        <v>2000.1</v>
      </c>
      <c r="C1251">
        <v>3000</v>
      </c>
      <c r="D1251" s="892">
        <v>93.135677984524762</v>
      </c>
      <c r="E1251">
        <v>40</v>
      </c>
      <c r="F1251">
        <v>37</v>
      </c>
    </row>
    <row r="1252" spans="1:6">
      <c r="A1252" s="3"/>
      <c r="B1252">
        <v>3000.1</v>
      </c>
      <c r="C1252">
        <v>4000</v>
      </c>
      <c r="D1252" s="892">
        <v>88.775181990128956</v>
      </c>
      <c r="E1252">
        <v>40</v>
      </c>
      <c r="F1252">
        <v>37</v>
      </c>
    </row>
    <row r="1253" spans="1:6">
      <c r="A1253" s="3"/>
      <c r="B1253">
        <v>4000.1</v>
      </c>
      <c r="C1253">
        <v>5000</v>
      </c>
      <c r="D1253" s="892">
        <v>85.653754800953607</v>
      </c>
      <c r="E1253">
        <v>40</v>
      </c>
      <c r="F1253">
        <v>37</v>
      </c>
    </row>
    <row r="1254" spans="1:6">
      <c r="A1254" s="3"/>
      <c r="B1254">
        <v>5000.1000000000004</v>
      </c>
      <c r="C1254">
        <v>7500</v>
      </c>
      <c r="D1254" s="892">
        <v>82.125208477775175</v>
      </c>
      <c r="E1254">
        <v>40</v>
      </c>
      <c r="F1254">
        <v>37</v>
      </c>
    </row>
    <row r="1255" spans="1:6">
      <c r="A1255" s="3"/>
      <c r="B1255">
        <v>7500.1</v>
      </c>
      <c r="C1255">
        <v>8000</v>
      </c>
      <c r="D1255" s="892">
        <v>81.663115865254738</v>
      </c>
      <c r="E1255">
        <v>40</v>
      </c>
      <c r="F1255">
        <v>37</v>
      </c>
    </row>
    <row r="1256" spans="1:6">
      <c r="A1256" s="3"/>
      <c r="B1256">
        <v>8000.1</v>
      </c>
      <c r="C1256">
        <v>10000</v>
      </c>
      <c r="D1256" s="892">
        <v>78.673266907766262</v>
      </c>
      <c r="E1256">
        <v>40</v>
      </c>
      <c r="F1256">
        <v>37</v>
      </c>
    </row>
    <row r="1257" spans="1:6">
      <c r="A1257" s="3"/>
      <c r="B1257">
        <v>10000.1</v>
      </c>
      <c r="C1257">
        <v>12000</v>
      </c>
      <c r="D1257" s="892">
        <v>79.134249580788165</v>
      </c>
      <c r="E1257">
        <v>40</v>
      </c>
      <c r="F1257">
        <v>37</v>
      </c>
    </row>
    <row r="1258" spans="1:6">
      <c r="A1258" s="3"/>
      <c r="B1258">
        <v>12000.1</v>
      </c>
      <c r="C1258">
        <v>15000</v>
      </c>
      <c r="D1258" s="892">
        <v>76.416119325190365</v>
      </c>
      <c r="E1258">
        <v>40</v>
      </c>
      <c r="F1258">
        <v>37</v>
      </c>
    </row>
    <row r="1259" spans="1:6">
      <c r="A1259" s="3"/>
      <c r="B1259">
        <v>15000.1</v>
      </c>
      <c r="C1259">
        <v>18000</v>
      </c>
      <c r="D1259" s="892">
        <v>76.116806928585163</v>
      </c>
      <c r="E1259">
        <v>40</v>
      </c>
      <c r="F1259">
        <v>37</v>
      </c>
    </row>
    <row r="1260" spans="1:6">
      <c r="A1260" s="3"/>
      <c r="B1260">
        <v>18000.099999999999</v>
      </c>
      <c r="C1260">
        <v>20000</v>
      </c>
      <c r="D1260" s="892">
        <v>73.601730882546249</v>
      </c>
      <c r="E1260">
        <v>40</v>
      </c>
      <c r="F1260">
        <v>37</v>
      </c>
    </row>
    <row r="1261" spans="1:6">
      <c r="A1261" s="3"/>
      <c r="B1261">
        <v>20000.099999999999</v>
      </c>
      <c r="C1261">
        <v>24000</v>
      </c>
      <c r="D1261" s="892">
        <v>74.675352562661516</v>
      </c>
      <c r="E1261">
        <v>40</v>
      </c>
      <c r="F1261">
        <v>37</v>
      </c>
    </row>
    <row r="1262" spans="1:6">
      <c r="A1262" s="3"/>
      <c r="B1262">
        <v>24000.1</v>
      </c>
      <c r="C1262">
        <v>25000</v>
      </c>
      <c r="D1262" s="892">
        <v>73.708182823794161</v>
      </c>
      <c r="E1262">
        <v>40</v>
      </c>
      <c r="F1262">
        <v>37</v>
      </c>
    </row>
    <row r="1263" spans="1:6">
      <c r="A1263" s="3"/>
      <c r="B1263">
        <v>25000.1</v>
      </c>
      <c r="C1263">
        <v>30000</v>
      </c>
      <c r="D1263" s="892">
        <v>71.971198866715682</v>
      </c>
      <c r="E1263">
        <v>40</v>
      </c>
      <c r="F1263">
        <v>37</v>
      </c>
    </row>
    <row r="1264" spans="1:6">
      <c r="A1264" s="3"/>
      <c r="B1264">
        <v>30000.1</v>
      </c>
      <c r="C1264">
        <v>36000</v>
      </c>
      <c r="D1264" s="892">
        <v>72.021397991373973</v>
      </c>
      <c r="E1264">
        <v>40</v>
      </c>
      <c r="F1264">
        <v>37</v>
      </c>
    </row>
    <row r="1265" spans="1:6">
      <c r="A1265" s="3"/>
      <c r="B1265">
        <v>36000.1</v>
      </c>
      <c r="C1265">
        <v>42000</v>
      </c>
      <c r="D1265" s="892">
        <v>71.434644688721548</v>
      </c>
      <c r="E1265">
        <v>40</v>
      </c>
      <c r="F1265">
        <v>37</v>
      </c>
    </row>
    <row r="1266" spans="1:6">
      <c r="A1266" s="3"/>
      <c r="B1266">
        <v>42000.1</v>
      </c>
      <c r="C1266">
        <v>48000</v>
      </c>
      <c r="D1266" s="892">
        <v>71.222326845008411</v>
      </c>
      <c r="E1266">
        <v>40</v>
      </c>
      <c r="F1266">
        <v>37</v>
      </c>
    </row>
    <row r="1267" spans="1:6">
      <c r="A1267" s="3"/>
      <c r="B1267">
        <v>48000.1</v>
      </c>
      <c r="C1267">
        <v>50000</v>
      </c>
      <c r="D1267" s="892">
        <v>69.463600800159014</v>
      </c>
      <c r="E1267">
        <v>40</v>
      </c>
      <c r="F1267">
        <v>37</v>
      </c>
    </row>
    <row r="1268" spans="1:6">
      <c r="A1268" s="3"/>
      <c r="B1268">
        <v>50000.1</v>
      </c>
      <c r="C1268">
        <v>54000</v>
      </c>
      <c r="D1268" s="892">
        <v>69.496533272752387</v>
      </c>
      <c r="E1268">
        <v>40</v>
      </c>
      <c r="F1268">
        <v>37</v>
      </c>
    </row>
    <row r="1269" spans="1:6">
      <c r="A1269" s="3"/>
      <c r="B1269">
        <v>54000.1</v>
      </c>
      <c r="C1269">
        <v>60000</v>
      </c>
      <c r="D1269" s="892">
        <v>69.632777066852483</v>
      </c>
      <c r="E1269">
        <v>40</v>
      </c>
      <c r="F1269">
        <v>37</v>
      </c>
    </row>
    <row r="1270" spans="1:6">
      <c r="A1270" s="3"/>
      <c r="B1270">
        <v>60000.1</v>
      </c>
      <c r="C1270">
        <v>100000</v>
      </c>
      <c r="D1270" s="892">
        <v>67.290512754671852</v>
      </c>
      <c r="E1270">
        <v>40</v>
      </c>
      <c r="F1270">
        <v>37</v>
      </c>
    </row>
    <row r="1271" spans="1:6">
      <c r="A1271" s="3"/>
      <c r="B1271">
        <v>100000.1</v>
      </c>
      <c r="C1271">
        <v>200000</v>
      </c>
      <c r="D1271" s="892">
        <v>65.539760978220841</v>
      </c>
      <c r="E1271">
        <v>40</v>
      </c>
      <c r="F1271">
        <v>37</v>
      </c>
    </row>
    <row r="1272" spans="1:6">
      <c r="A1272" s="3"/>
      <c r="B1272">
        <v>200000.1</v>
      </c>
      <c r="C1272" t="s">
        <v>3596</v>
      </c>
      <c r="D1272" s="889"/>
    </row>
    <row r="1275" spans="1:6">
      <c r="A1275" s="916" t="s">
        <v>3598</v>
      </c>
      <c r="B1275" s="891" t="s">
        <v>2116</v>
      </c>
      <c r="C1275" s="917"/>
      <c r="D1275" s="918"/>
      <c r="E1275" s="917"/>
      <c r="F1275" s="917"/>
    </row>
    <row r="1276" spans="1:6">
      <c r="A1276" s="888">
        <v>3</v>
      </c>
      <c r="B1276" s="320" t="s">
        <v>3908</v>
      </c>
      <c r="C1276" s="320" t="s">
        <v>3909</v>
      </c>
      <c r="D1276" s="320" t="s">
        <v>3595</v>
      </c>
      <c r="E1276" s="320" t="s">
        <v>3588</v>
      </c>
      <c r="F1276" s="320" t="s">
        <v>3589</v>
      </c>
    </row>
    <row r="1277" spans="1:6">
      <c r="A1277" s="3" t="s">
        <v>3915</v>
      </c>
      <c r="B1277">
        <v>0</v>
      </c>
      <c r="C1277">
        <v>500</v>
      </c>
      <c r="D1277" s="892">
        <v>50.742289444355997</v>
      </c>
      <c r="E1277">
        <v>25</v>
      </c>
      <c r="F1277">
        <v>20</v>
      </c>
    </row>
    <row r="1278" spans="1:6">
      <c r="A1278" s="3"/>
      <c r="B1278">
        <v>500.1</v>
      </c>
      <c r="C1278" t="s">
        <v>3596</v>
      </c>
      <c r="D1278" s="892" t="s">
        <v>3596</v>
      </c>
    </row>
    <row r="1281" spans="1:6">
      <c r="A1281" s="916" t="s">
        <v>3916</v>
      </c>
      <c r="B1281" s="891" t="s">
        <v>2083</v>
      </c>
      <c r="C1281" s="917"/>
      <c r="D1281" s="918"/>
      <c r="E1281" s="917"/>
      <c r="F1281" s="917"/>
    </row>
    <row r="1282" spans="1:6">
      <c r="A1282" s="888">
        <v>34</v>
      </c>
      <c r="B1282" s="320" t="s">
        <v>3917</v>
      </c>
      <c r="C1282" s="320" t="s">
        <v>1989</v>
      </c>
      <c r="D1282" s="320" t="s">
        <v>3595</v>
      </c>
      <c r="E1282" s="320" t="s">
        <v>3588</v>
      </c>
      <c r="F1282" s="320" t="s">
        <v>3589</v>
      </c>
    </row>
    <row r="1283" spans="1:6">
      <c r="A1283" s="3" t="s">
        <v>3918</v>
      </c>
      <c r="B1283">
        <v>0</v>
      </c>
      <c r="C1283">
        <v>3.33</v>
      </c>
      <c r="D1283" s="892">
        <v>9610</v>
      </c>
      <c r="E1283">
        <v>25</v>
      </c>
      <c r="F1283">
        <v>20</v>
      </c>
    </row>
    <row r="1284" spans="1:6">
      <c r="B1284">
        <v>3.34</v>
      </c>
      <c r="C1284">
        <v>66.66</v>
      </c>
      <c r="D1284" s="892">
        <v>262200</v>
      </c>
      <c r="E1284">
        <v>25</v>
      </c>
      <c r="F1284">
        <v>20</v>
      </c>
    </row>
    <row r="1285" spans="1:6">
      <c r="B1285">
        <v>66.67</v>
      </c>
      <c r="C1285">
        <v>113.32</v>
      </c>
      <c r="D1285" s="892">
        <v>509000</v>
      </c>
      <c r="E1285">
        <v>25</v>
      </c>
      <c r="F1285">
        <v>20</v>
      </c>
    </row>
    <row r="1286" spans="1:6">
      <c r="B1286">
        <v>113.33</v>
      </c>
      <c r="C1286" t="s">
        <v>3596</v>
      </c>
      <c r="D1286" s="892" t="s">
        <v>3596</v>
      </c>
      <c r="E1286">
        <v>25</v>
      </c>
      <c r="F1286">
        <v>20</v>
      </c>
    </row>
    <row r="1289" spans="1:6">
      <c r="A1289" s="916" t="s">
        <v>3721</v>
      </c>
      <c r="B1289" s="891" t="s">
        <v>3919</v>
      </c>
      <c r="C1289" s="917"/>
      <c r="D1289" s="918"/>
      <c r="E1289" s="917"/>
      <c r="F1289" s="917"/>
    </row>
    <row r="1290" spans="1:6">
      <c r="A1290" s="888">
        <v>22</v>
      </c>
      <c r="B1290" s="320" t="s">
        <v>3920</v>
      </c>
      <c r="C1290" s="320" t="s">
        <v>1997</v>
      </c>
      <c r="D1290" s="320" t="s">
        <v>3595</v>
      </c>
      <c r="E1290" s="320" t="s">
        <v>3588</v>
      </c>
      <c r="F1290" s="320" t="s">
        <v>3589</v>
      </c>
    </row>
    <row r="1291" spans="1:6">
      <c r="A1291" s="3" t="s">
        <v>3921</v>
      </c>
      <c r="B1291">
        <v>0</v>
      </c>
      <c r="C1291">
        <v>41</v>
      </c>
      <c r="D1291" s="892">
        <v>20050</v>
      </c>
      <c r="E1291">
        <v>25</v>
      </c>
      <c r="F1291">
        <v>20</v>
      </c>
    </row>
    <row r="1292" spans="1:6">
      <c r="B1292">
        <v>41.1</v>
      </c>
      <c r="C1292">
        <v>103</v>
      </c>
      <c r="D1292" s="892">
        <v>53000</v>
      </c>
      <c r="E1292">
        <v>25</v>
      </c>
      <c r="F1292">
        <v>20</v>
      </c>
    </row>
    <row r="1293" spans="1:6">
      <c r="B1293">
        <v>103.1</v>
      </c>
      <c r="C1293">
        <v>461</v>
      </c>
      <c r="D1293" s="892">
        <v>80828.800000000003</v>
      </c>
      <c r="E1293">
        <v>25</v>
      </c>
      <c r="F1293">
        <v>20</v>
      </c>
    </row>
    <row r="1294" spans="1:6">
      <c r="B1294">
        <v>461.1</v>
      </c>
      <c r="C1294">
        <v>820</v>
      </c>
      <c r="D1294" s="892">
        <v>186250</v>
      </c>
      <c r="E1294">
        <v>25</v>
      </c>
      <c r="F1294">
        <v>20</v>
      </c>
    </row>
    <row r="1295" spans="1:6">
      <c r="B1295">
        <v>820.1</v>
      </c>
      <c r="C1295">
        <v>1010</v>
      </c>
      <c r="D1295" s="892">
        <v>240870</v>
      </c>
      <c r="E1295">
        <v>25</v>
      </c>
      <c r="F1295">
        <v>20</v>
      </c>
    </row>
    <row r="1296" spans="1:6">
      <c r="B1296">
        <v>1010.1</v>
      </c>
      <c r="C1296">
        <v>1432</v>
      </c>
      <c r="D1296" s="892">
        <v>335385</v>
      </c>
      <c r="E1296">
        <v>25</v>
      </c>
      <c r="F1296">
        <v>20</v>
      </c>
    </row>
    <row r="1297" spans="1:6">
      <c r="B1297">
        <v>1432.1</v>
      </c>
      <c r="C1297">
        <v>2273</v>
      </c>
      <c r="D1297" s="892">
        <v>422280</v>
      </c>
      <c r="E1297">
        <v>25</v>
      </c>
      <c r="F1297">
        <v>20</v>
      </c>
    </row>
    <row r="1298" spans="1:6">
      <c r="B1298">
        <v>2273.1</v>
      </c>
      <c r="C1298">
        <v>3071</v>
      </c>
      <c r="D1298" s="892">
        <v>602965</v>
      </c>
      <c r="E1298">
        <v>25</v>
      </c>
      <c r="F1298">
        <v>20</v>
      </c>
    </row>
    <row r="1299" spans="1:6">
      <c r="B1299">
        <v>3071.1</v>
      </c>
      <c r="C1299">
        <v>6148</v>
      </c>
      <c r="D1299" s="892">
        <v>1026523</v>
      </c>
      <c r="E1299">
        <v>25</v>
      </c>
      <c r="F1299">
        <v>20</v>
      </c>
    </row>
    <row r="1300" spans="1:6">
      <c r="B1300">
        <v>6148.1</v>
      </c>
      <c r="C1300" t="s">
        <v>3596</v>
      </c>
      <c r="D1300" s="892" t="s">
        <v>3596</v>
      </c>
      <c r="E1300">
        <v>25</v>
      </c>
      <c r="F1300">
        <v>20</v>
      </c>
    </row>
    <row r="1303" spans="1:6">
      <c r="A1303" s="916" t="s">
        <v>3721</v>
      </c>
      <c r="B1303" s="891" t="s">
        <v>2739</v>
      </c>
      <c r="C1303" s="917"/>
      <c r="D1303" s="918"/>
      <c r="E1303" s="917"/>
      <c r="F1303" s="917"/>
    </row>
    <row r="1304" spans="1:6">
      <c r="A1304" s="888">
        <v>22</v>
      </c>
      <c r="B1304" s="320" t="s">
        <v>3920</v>
      </c>
      <c r="C1304" s="320" t="s">
        <v>1997</v>
      </c>
      <c r="D1304" s="320" t="s">
        <v>3595</v>
      </c>
      <c r="E1304" s="320" t="s">
        <v>3588</v>
      </c>
      <c r="F1304" s="320" t="s">
        <v>3589</v>
      </c>
    </row>
    <row r="1305" spans="1:6">
      <c r="A1305" s="3" t="s">
        <v>3922</v>
      </c>
      <c r="B1305">
        <v>0</v>
      </c>
      <c r="C1305">
        <v>80</v>
      </c>
      <c r="D1305" s="892">
        <v>28108.899999999998</v>
      </c>
      <c r="E1305">
        <v>25</v>
      </c>
      <c r="F1305">
        <v>20</v>
      </c>
    </row>
    <row r="1306" spans="1:6">
      <c r="B1306">
        <v>80.099999999999994</v>
      </c>
      <c r="C1306">
        <v>163</v>
      </c>
      <c r="D1306" s="892">
        <v>36915</v>
      </c>
      <c r="E1306">
        <v>25</v>
      </c>
      <c r="F1306">
        <v>20</v>
      </c>
    </row>
    <row r="1307" spans="1:6">
      <c r="B1307">
        <v>163.1</v>
      </c>
      <c r="C1307">
        <v>544</v>
      </c>
      <c r="D1307" s="892">
        <v>88087.5</v>
      </c>
      <c r="E1307">
        <v>25</v>
      </c>
      <c r="F1307">
        <v>20</v>
      </c>
    </row>
    <row r="1308" spans="1:6">
      <c r="B1308">
        <v>544.1</v>
      </c>
      <c r="C1308">
        <v>1088</v>
      </c>
      <c r="D1308" s="892">
        <v>159500</v>
      </c>
      <c r="E1308">
        <v>25</v>
      </c>
      <c r="F1308">
        <v>20</v>
      </c>
    </row>
    <row r="1309" spans="1:6">
      <c r="B1309">
        <v>1088.0999999999999</v>
      </c>
      <c r="C1309">
        <v>3264</v>
      </c>
      <c r="D1309" s="892">
        <v>370185</v>
      </c>
      <c r="E1309">
        <v>25</v>
      </c>
      <c r="F1309">
        <v>20</v>
      </c>
    </row>
    <row r="1310" spans="1:6">
      <c r="B1310">
        <v>3264.1</v>
      </c>
      <c r="C1310">
        <v>5032</v>
      </c>
      <c r="D1310" s="892">
        <v>612623</v>
      </c>
      <c r="E1310">
        <v>25</v>
      </c>
      <c r="F1310">
        <v>20</v>
      </c>
    </row>
    <row r="1311" spans="1:6">
      <c r="B1311">
        <v>5032.1000000000004</v>
      </c>
      <c r="C1311" t="s">
        <v>3596</v>
      </c>
      <c r="D1311" s="892" t="s">
        <v>3596</v>
      </c>
      <c r="E1311">
        <v>25</v>
      </c>
      <c r="F1311">
        <v>20</v>
      </c>
    </row>
    <row r="1314" spans="1:6">
      <c r="A1314" s="916" t="s">
        <v>3721</v>
      </c>
      <c r="B1314" s="891" t="s">
        <v>856</v>
      </c>
      <c r="C1314" s="917"/>
      <c r="D1314" s="918"/>
      <c r="E1314" s="917"/>
      <c r="F1314" s="917"/>
    </row>
    <row r="1315" spans="1:6">
      <c r="A1315" s="888">
        <v>22</v>
      </c>
      <c r="B1315" s="320" t="s">
        <v>3920</v>
      </c>
      <c r="C1315" s="320" t="s">
        <v>1997</v>
      </c>
      <c r="D1315" s="320" t="s">
        <v>3595</v>
      </c>
      <c r="E1315" s="320" t="s">
        <v>3588</v>
      </c>
      <c r="F1315" s="320" t="s">
        <v>3589</v>
      </c>
    </row>
    <row r="1316" spans="1:6">
      <c r="A1316" s="3" t="s">
        <v>3923</v>
      </c>
      <c r="B1316">
        <v>0</v>
      </c>
      <c r="C1316">
        <v>80</v>
      </c>
      <c r="D1316" s="892">
        <v>28108.899999999998</v>
      </c>
      <c r="E1316">
        <v>25</v>
      </c>
      <c r="F1316">
        <v>20</v>
      </c>
    </row>
    <row r="1317" spans="1:6">
      <c r="B1317">
        <v>80.099999999999994</v>
      </c>
      <c r="C1317">
        <v>163</v>
      </c>
      <c r="D1317" s="892">
        <v>36915</v>
      </c>
      <c r="E1317">
        <v>25</v>
      </c>
      <c r="F1317">
        <v>20</v>
      </c>
    </row>
    <row r="1318" spans="1:6">
      <c r="B1318">
        <v>163.1</v>
      </c>
      <c r="C1318">
        <v>544</v>
      </c>
      <c r="D1318" s="892">
        <v>88087.5</v>
      </c>
      <c r="E1318">
        <v>25</v>
      </c>
      <c r="F1318">
        <v>20</v>
      </c>
    </row>
    <row r="1319" spans="1:6">
      <c r="B1319">
        <v>544.1</v>
      </c>
      <c r="C1319">
        <v>1088</v>
      </c>
      <c r="D1319" s="892">
        <v>159500</v>
      </c>
      <c r="E1319">
        <v>25</v>
      </c>
      <c r="F1319">
        <v>20</v>
      </c>
    </row>
    <row r="1320" spans="1:6">
      <c r="B1320">
        <v>1088.0999999999999</v>
      </c>
      <c r="C1320">
        <v>3264</v>
      </c>
      <c r="D1320" s="892">
        <v>370185</v>
      </c>
      <c r="E1320">
        <v>25</v>
      </c>
      <c r="F1320">
        <v>20</v>
      </c>
    </row>
    <row r="1321" spans="1:6">
      <c r="B1321">
        <v>3264.1</v>
      </c>
      <c r="C1321">
        <v>5032</v>
      </c>
      <c r="D1321" s="892">
        <v>612623</v>
      </c>
      <c r="E1321">
        <v>25</v>
      </c>
      <c r="F1321">
        <v>20</v>
      </c>
    </row>
    <row r="1322" spans="1:6">
      <c r="B1322">
        <v>5032.1000000000004</v>
      </c>
      <c r="C1322" t="s">
        <v>3596</v>
      </c>
      <c r="D1322" s="892" t="s">
        <v>3596</v>
      </c>
      <c r="E1322">
        <v>25</v>
      </c>
      <c r="F1322">
        <v>20</v>
      </c>
    </row>
    <row r="1325" spans="1:6">
      <c r="A1325" s="916" t="s">
        <v>3916</v>
      </c>
      <c r="B1325" s="891" t="s">
        <v>855</v>
      </c>
      <c r="C1325" s="917"/>
      <c r="D1325" s="918"/>
      <c r="E1325" s="917"/>
      <c r="F1325" s="917"/>
    </row>
    <row r="1326" spans="1:6">
      <c r="A1326" s="888">
        <v>34</v>
      </c>
      <c r="B1326" s="320" t="s">
        <v>3917</v>
      </c>
      <c r="C1326" s="320" t="s">
        <v>1989</v>
      </c>
      <c r="D1326" s="320" t="s">
        <v>3595</v>
      </c>
      <c r="E1326" s="320" t="s">
        <v>3588</v>
      </c>
      <c r="F1326" s="320" t="s">
        <v>3589</v>
      </c>
    </row>
    <row r="1327" spans="1:6">
      <c r="A1327" s="3" t="s">
        <v>3925</v>
      </c>
      <c r="B1327" s="526">
        <v>0</v>
      </c>
      <c r="C1327">
        <v>0.5</v>
      </c>
      <c r="D1327" s="889">
        <v>3300</v>
      </c>
      <c r="E1327">
        <v>25</v>
      </c>
      <c r="F1327">
        <v>20</v>
      </c>
    </row>
    <row r="1328" spans="1:6">
      <c r="A1328" s="3"/>
      <c r="B1328" s="526">
        <v>0.51</v>
      </c>
      <c r="C1328">
        <v>0.75</v>
      </c>
      <c r="D1328" s="889">
        <v>3500</v>
      </c>
      <c r="E1328">
        <v>25</v>
      </c>
      <c r="F1328">
        <v>20</v>
      </c>
    </row>
    <row r="1329" spans="1:6">
      <c r="A1329" s="3"/>
      <c r="B1329" s="526">
        <v>0.76</v>
      </c>
      <c r="C1329">
        <v>1</v>
      </c>
      <c r="D1329" s="889">
        <v>3862.5</v>
      </c>
      <c r="E1329">
        <v>25</v>
      </c>
      <c r="F1329">
        <v>20</v>
      </c>
    </row>
    <row r="1330" spans="1:6">
      <c r="A1330" s="3"/>
      <c r="B1330" s="526">
        <v>1.01</v>
      </c>
      <c r="C1330">
        <v>1.5</v>
      </c>
      <c r="D1330" s="889">
        <v>3862.5</v>
      </c>
      <c r="E1330">
        <v>25</v>
      </c>
      <c r="F1330">
        <v>20</v>
      </c>
    </row>
    <row r="1331" spans="1:6">
      <c r="A1331" s="3"/>
      <c r="B1331" s="526">
        <v>1.51</v>
      </c>
      <c r="C1331">
        <v>2</v>
      </c>
      <c r="D1331" s="889">
        <v>4150</v>
      </c>
      <c r="E1331">
        <v>25</v>
      </c>
      <c r="F1331">
        <v>20</v>
      </c>
    </row>
    <row r="1332" spans="1:6">
      <c r="A1332" s="3"/>
      <c r="B1332" s="526">
        <v>2.0099999999999998</v>
      </c>
      <c r="C1332">
        <v>2.5</v>
      </c>
      <c r="D1332" s="889">
        <v>5550</v>
      </c>
      <c r="E1332">
        <v>25</v>
      </c>
      <c r="F1332">
        <v>20</v>
      </c>
    </row>
    <row r="1333" spans="1:6">
      <c r="A1333" s="3"/>
      <c r="B1333" s="526">
        <v>2.5099999999999998</v>
      </c>
      <c r="C1333">
        <v>3</v>
      </c>
      <c r="D1333" s="889">
        <v>6300</v>
      </c>
      <c r="E1333">
        <v>25</v>
      </c>
      <c r="F1333">
        <v>20</v>
      </c>
    </row>
    <row r="1334" spans="1:6">
      <c r="A1334" s="3"/>
      <c r="B1334" s="526">
        <v>3.01</v>
      </c>
      <c r="C1334">
        <v>3.5</v>
      </c>
      <c r="D1334" s="889">
        <v>5250</v>
      </c>
      <c r="E1334">
        <v>25</v>
      </c>
      <c r="F1334">
        <v>20</v>
      </c>
    </row>
    <row r="1335" spans="1:6">
      <c r="A1335" s="3"/>
      <c r="B1335" s="526">
        <v>3.51</v>
      </c>
      <c r="C1335">
        <v>4</v>
      </c>
      <c r="D1335" s="889">
        <v>5750</v>
      </c>
      <c r="E1335">
        <v>25</v>
      </c>
      <c r="F1335">
        <v>20</v>
      </c>
    </row>
    <row r="1336" spans="1:6">
      <c r="A1336" s="3"/>
      <c r="B1336" s="526">
        <v>4.01</v>
      </c>
      <c r="C1336">
        <v>5</v>
      </c>
      <c r="D1336" s="889">
        <v>6762.5</v>
      </c>
      <c r="E1336">
        <v>25</v>
      </c>
      <c r="F1336">
        <v>20</v>
      </c>
    </row>
    <row r="1337" spans="1:6">
      <c r="A1337" s="3"/>
      <c r="B1337" s="526">
        <v>5.01</v>
      </c>
      <c r="C1337">
        <v>7.5</v>
      </c>
      <c r="D1337" s="889">
        <v>11350</v>
      </c>
      <c r="E1337">
        <v>25</v>
      </c>
      <c r="F1337">
        <v>20</v>
      </c>
    </row>
    <row r="1338" spans="1:6">
      <c r="A1338" s="3"/>
      <c r="B1338" s="526">
        <v>7.51</v>
      </c>
      <c r="C1338">
        <v>10</v>
      </c>
      <c r="D1338" s="889">
        <v>13700</v>
      </c>
      <c r="E1338">
        <v>25</v>
      </c>
      <c r="F1338">
        <v>20</v>
      </c>
    </row>
    <row r="1339" spans="1:6">
      <c r="A1339" s="3" t="s">
        <v>3924</v>
      </c>
      <c r="B1339" s="526">
        <v>10.01</v>
      </c>
      <c r="C1339">
        <v>12</v>
      </c>
      <c r="D1339" s="889">
        <v>19700</v>
      </c>
      <c r="E1339">
        <v>25</v>
      </c>
      <c r="F1339">
        <v>20</v>
      </c>
    </row>
    <row r="1340" spans="1:6">
      <c r="A1340" s="3"/>
      <c r="B1340" s="526">
        <v>12.01</v>
      </c>
      <c r="C1340">
        <v>15</v>
      </c>
      <c r="D1340" s="889">
        <v>21900</v>
      </c>
      <c r="E1340">
        <v>25</v>
      </c>
      <c r="F1340">
        <v>20</v>
      </c>
    </row>
    <row r="1341" spans="1:6">
      <c r="B1341" s="526">
        <v>15.01</v>
      </c>
      <c r="C1341">
        <v>20</v>
      </c>
      <c r="D1341" s="889">
        <v>24100</v>
      </c>
      <c r="E1341">
        <v>25</v>
      </c>
      <c r="F1341">
        <v>20</v>
      </c>
    </row>
    <row r="1342" spans="1:6">
      <c r="B1342" s="526">
        <v>20.010000000000002</v>
      </c>
      <c r="C1342">
        <v>25</v>
      </c>
      <c r="D1342" s="889">
        <v>32400</v>
      </c>
      <c r="E1342">
        <v>25</v>
      </c>
      <c r="F1342">
        <v>20</v>
      </c>
    </row>
    <row r="1343" spans="1:6">
      <c r="B1343" s="526">
        <v>25.01</v>
      </c>
      <c r="C1343">
        <v>30</v>
      </c>
      <c r="D1343" s="889">
        <v>37400</v>
      </c>
      <c r="E1343">
        <v>25</v>
      </c>
      <c r="F1343">
        <v>20</v>
      </c>
    </row>
    <row r="1344" spans="1:6">
      <c r="B1344" s="526">
        <v>30.01</v>
      </c>
      <c r="C1344">
        <v>40</v>
      </c>
      <c r="D1344" s="889">
        <v>50000</v>
      </c>
      <c r="E1344">
        <v>25</v>
      </c>
      <c r="F1344">
        <v>20</v>
      </c>
    </row>
    <row r="1345" spans="1:6">
      <c r="B1345" s="526">
        <v>40.01</v>
      </c>
      <c r="C1345">
        <v>50</v>
      </c>
      <c r="D1345" s="889">
        <v>59500</v>
      </c>
      <c r="E1345">
        <v>25</v>
      </c>
      <c r="F1345">
        <v>20</v>
      </c>
    </row>
    <row r="1346" spans="1:6">
      <c r="B1346" s="526">
        <v>50.01</v>
      </c>
      <c r="C1346" t="s">
        <v>3596</v>
      </c>
      <c r="D1346" s="889" t="s">
        <v>3596</v>
      </c>
    </row>
    <row r="1349" spans="1:6">
      <c r="A1349" s="916" t="s">
        <v>3721</v>
      </c>
      <c r="B1349" s="891" t="s">
        <v>13</v>
      </c>
      <c r="C1349" s="917"/>
      <c r="D1349" s="918"/>
      <c r="E1349" s="917"/>
      <c r="F1349" s="917"/>
    </row>
    <row r="1350" spans="1:6">
      <c r="A1350" s="888">
        <v>22</v>
      </c>
      <c r="B1350" s="320" t="s">
        <v>3920</v>
      </c>
      <c r="C1350" s="320" t="s">
        <v>1997</v>
      </c>
      <c r="D1350" s="320" t="s">
        <v>3595</v>
      </c>
      <c r="E1350" s="320" t="s">
        <v>3588</v>
      </c>
      <c r="F1350" s="320" t="s">
        <v>3589</v>
      </c>
    </row>
    <row r="1351" spans="1:6">
      <c r="A1351" s="3" t="s">
        <v>3926</v>
      </c>
      <c r="B1351">
        <v>0</v>
      </c>
      <c r="C1351">
        <v>109</v>
      </c>
      <c r="D1351" s="892">
        <v>38340</v>
      </c>
      <c r="E1351">
        <v>25</v>
      </c>
      <c r="F1351">
        <v>20</v>
      </c>
    </row>
    <row r="1352" spans="1:6">
      <c r="B1352">
        <v>109.1</v>
      </c>
      <c r="C1352">
        <v>235</v>
      </c>
      <c r="D1352" s="892">
        <v>51502.500000000007</v>
      </c>
      <c r="E1352">
        <v>25</v>
      </c>
      <c r="F1352">
        <v>20</v>
      </c>
    </row>
    <row r="1353" spans="1:6">
      <c r="B1353">
        <v>235.1</v>
      </c>
      <c r="C1353">
        <v>940</v>
      </c>
      <c r="D1353" s="892">
        <v>145625</v>
      </c>
      <c r="E1353">
        <v>25</v>
      </c>
      <c r="F1353">
        <v>20</v>
      </c>
    </row>
    <row r="1354" spans="1:6">
      <c r="B1354">
        <v>940.1</v>
      </c>
      <c r="C1354">
        <v>1600</v>
      </c>
      <c r="D1354" s="892">
        <v>224928</v>
      </c>
      <c r="E1354">
        <v>25</v>
      </c>
      <c r="F1354">
        <v>20</v>
      </c>
    </row>
    <row r="1355" spans="1:6">
      <c r="B1355">
        <v>1600.1</v>
      </c>
      <c r="C1355">
        <v>2480</v>
      </c>
      <c r="D1355" s="892">
        <v>318753</v>
      </c>
      <c r="E1355">
        <v>25</v>
      </c>
      <c r="F1355">
        <v>20</v>
      </c>
    </row>
    <row r="1356" spans="1:6">
      <c r="B1356">
        <v>2480.1</v>
      </c>
      <c r="C1356">
        <v>3350</v>
      </c>
      <c r="D1356" s="892">
        <v>430315</v>
      </c>
      <c r="E1356">
        <v>25</v>
      </c>
      <c r="F1356">
        <v>20</v>
      </c>
    </row>
    <row r="1357" spans="1:6">
      <c r="B1357">
        <v>3350.1</v>
      </c>
      <c r="C1357" t="s">
        <v>3596</v>
      </c>
      <c r="D1357" s="892" t="s">
        <v>3596</v>
      </c>
      <c r="E1357">
        <v>25</v>
      </c>
      <c r="F1357">
        <v>20</v>
      </c>
    </row>
    <row r="1360" spans="1:6">
      <c r="A1360" s="916" t="s">
        <v>3721</v>
      </c>
      <c r="B1360" s="891" t="s">
        <v>12</v>
      </c>
      <c r="C1360" s="917"/>
      <c r="D1360" s="918"/>
      <c r="E1360" s="917"/>
      <c r="F1360" s="917"/>
    </row>
    <row r="1361" spans="1:6">
      <c r="A1361" s="888">
        <v>22</v>
      </c>
      <c r="B1361" s="320" t="s">
        <v>3920</v>
      </c>
      <c r="C1361" s="320" t="s">
        <v>1997</v>
      </c>
      <c r="D1361" s="320" t="s">
        <v>3595</v>
      </c>
      <c r="E1361" s="320" t="s">
        <v>3588</v>
      </c>
      <c r="F1361" s="320" t="s">
        <v>3589</v>
      </c>
    </row>
    <row r="1362" spans="1:6">
      <c r="A1362" s="3" t="s">
        <v>3927</v>
      </c>
      <c r="B1362">
        <v>0</v>
      </c>
      <c r="C1362">
        <v>109</v>
      </c>
      <c r="D1362" s="892">
        <v>38340</v>
      </c>
      <c r="E1362">
        <v>25</v>
      </c>
      <c r="F1362">
        <v>20</v>
      </c>
    </row>
    <row r="1363" spans="1:6">
      <c r="B1363">
        <v>109.1</v>
      </c>
      <c r="C1363">
        <v>235</v>
      </c>
      <c r="D1363" s="892">
        <v>51502.500000000007</v>
      </c>
      <c r="E1363">
        <v>25</v>
      </c>
      <c r="F1363">
        <v>20</v>
      </c>
    </row>
    <row r="1364" spans="1:6">
      <c r="B1364">
        <v>235.1</v>
      </c>
      <c r="C1364">
        <v>940</v>
      </c>
      <c r="D1364" s="892">
        <v>145625</v>
      </c>
      <c r="E1364">
        <v>25</v>
      </c>
      <c r="F1364">
        <v>20</v>
      </c>
    </row>
    <row r="1365" spans="1:6">
      <c r="B1365">
        <v>940.1</v>
      </c>
      <c r="C1365">
        <v>1600</v>
      </c>
      <c r="D1365" s="892">
        <v>224928</v>
      </c>
      <c r="E1365">
        <v>25</v>
      </c>
      <c r="F1365">
        <v>20</v>
      </c>
    </row>
    <row r="1366" spans="1:6">
      <c r="B1366">
        <v>1600.1</v>
      </c>
      <c r="C1366">
        <v>2480</v>
      </c>
      <c r="D1366" s="892">
        <v>318753</v>
      </c>
      <c r="E1366">
        <v>25</v>
      </c>
      <c r="F1366">
        <v>20</v>
      </c>
    </row>
    <row r="1367" spans="1:6">
      <c r="B1367">
        <v>2480.1</v>
      </c>
      <c r="C1367">
        <v>3350</v>
      </c>
      <c r="D1367" s="892">
        <v>430315</v>
      </c>
      <c r="E1367">
        <v>25</v>
      </c>
      <c r="F1367">
        <v>20</v>
      </c>
    </row>
    <row r="1368" spans="1:6">
      <c r="B1368">
        <v>3350.1</v>
      </c>
      <c r="C1368" t="s">
        <v>3596</v>
      </c>
      <c r="D1368" s="892" t="s">
        <v>3596</v>
      </c>
      <c r="E1368">
        <v>25</v>
      </c>
      <c r="F1368">
        <v>20</v>
      </c>
    </row>
    <row r="1371" spans="1:6">
      <c r="A1371" s="3"/>
      <c r="B1371" s="912" t="s">
        <v>3928</v>
      </c>
      <c r="C1371" s="3" t="s">
        <v>3929</v>
      </c>
      <c r="D1371" s="919">
        <v>6.4790285359180011</v>
      </c>
      <c r="E1371" s="643" t="s">
        <v>180</v>
      </c>
    </row>
    <row r="1374" spans="1:6">
      <c r="A1374" s="3"/>
      <c r="B1374" s="912" t="s">
        <v>3930</v>
      </c>
      <c r="C1374" s="3" t="s">
        <v>3931</v>
      </c>
      <c r="D1374" s="919">
        <v>8.235301147941651E-2</v>
      </c>
      <c r="E1374" s="643" t="s">
        <v>180</v>
      </c>
    </row>
    <row r="1377" spans="1:5">
      <c r="A1377" s="3"/>
      <c r="B1377" s="912" t="s">
        <v>3932</v>
      </c>
      <c r="C1377" s="3" t="s">
        <v>3933</v>
      </c>
      <c r="D1377" s="920">
        <v>3.8295007720020586</v>
      </c>
      <c r="E1377" s="643" t="s">
        <v>2741</v>
      </c>
    </row>
    <row r="1380" spans="1:5">
      <c r="A1380" s="3"/>
      <c r="B1380" s="970" t="s">
        <v>3934</v>
      </c>
      <c r="C1380" s="963" t="s">
        <v>3935</v>
      </c>
      <c r="D1380" s="975">
        <v>0.106</v>
      </c>
      <c r="E1380" s="968" t="s">
        <v>46</v>
      </c>
    </row>
    <row r="1381" spans="1:5">
      <c r="B1381" s="970"/>
      <c r="C1381" s="970"/>
      <c r="D1381" s="970"/>
      <c r="E1381" s="970"/>
    </row>
    <row r="1382" spans="1:5">
      <c r="B1382" s="970"/>
      <c r="C1382" s="970"/>
      <c r="D1382" s="970"/>
      <c r="E1382" s="970"/>
    </row>
    <row r="1383" spans="1:5">
      <c r="A1383" s="3"/>
      <c r="B1383" s="970" t="s">
        <v>3936</v>
      </c>
      <c r="C1383" s="963" t="s">
        <v>3937</v>
      </c>
      <c r="D1383" s="975">
        <v>1.7879</v>
      </c>
      <c r="E1383" s="965" t="s">
        <v>2738</v>
      </c>
    </row>
    <row r="1384" spans="1:5">
      <c r="B1384" s="970"/>
      <c r="C1384" s="970"/>
      <c r="D1384" s="970"/>
      <c r="E1384" s="970"/>
    </row>
    <row r="1385" spans="1:5">
      <c r="B1385" s="970"/>
      <c r="C1385" s="970"/>
      <c r="D1385" s="970"/>
      <c r="E1385" s="970"/>
    </row>
    <row r="1386" spans="1:5">
      <c r="A1386" s="47">
        <v>5</v>
      </c>
      <c r="B1386" s="970" t="s">
        <v>3938</v>
      </c>
      <c r="C1386" s="963" t="s">
        <v>3939</v>
      </c>
      <c r="D1386" s="976">
        <v>1679.9</v>
      </c>
      <c r="E1386" s="977" t="s">
        <v>2172</v>
      </c>
    </row>
    <row r="1388" spans="1:5">
      <c r="B1388" s="970"/>
      <c r="C1388" s="970"/>
      <c r="D1388" s="970"/>
      <c r="E1388" s="970"/>
    </row>
    <row r="1389" spans="1:5">
      <c r="A1389" s="3"/>
      <c r="B1389" s="970" t="s">
        <v>3940</v>
      </c>
      <c r="C1389" s="963" t="s">
        <v>3942</v>
      </c>
      <c r="D1389" s="976">
        <v>2170.2890000000002</v>
      </c>
      <c r="E1389" s="977" t="s">
        <v>3941</v>
      </c>
    </row>
    <row r="1390" spans="1:5">
      <c r="B1390" s="970"/>
      <c r="C1390" s="970"/>
      <c r="D1390" s="970"/>
      <c r="E1390" s="970"/>
    </row>
    <row r="1391" spans="1:5">
      <c r="B1391" s="970"/>
      <c r="C1391" s="970"/>
      <c r="D1391" s="970"/>
      <c r="E1391" s="970"/>
    </row>
    <row r="1392" spans="1:5">
      <c r="A1392" s="3"/>
      <c r="B1392" s="970" t="s">
        <v>3943</v>
      </c>
      <c r="C1392" s="963" t="s">
        <v>3945</v>
      </c>
      <c r="D1392" s="976">
        <v>0.26500000000000001</v>
      </c>
      <c r="E1392" s="977" t="s">
        <v>3944</v>
      </c>
    </row>
    <row r="1395" spans="1:5">
      <c r="A1395" s="921"/>
      <c r="B1395" s="895" t="s">
        <v>3946</v>
      </c>
      <c r="C1395" s="896"/>
    </row>
    <row r="1396" spans="1:5">
      <c r="A1396" s="782"/>
      <c r="B1396" s="893" t="s">
        <v>3947</v>
      </c>
      <c r="C1396" s="847" t="s">
        <v>3948</v>
      </c>
    </row>
    <row r="1397" spans="1:5">
      <c r="A1397" s="3" t="s">
        <v>3949</v>
      </c>
      <c r="B1397">
        <v>0</v>
      </c>
      <c r="C1397" s="889">
        <v>953.90523240122491</v>
      </c>
    </row>
    <row r="1398" spans="1:5">
      <c r="A1398" s="3"/>
      <c r="B1398">
        <v>20000</v>
      </c>
      <c r="C1398" s="889">
        <v>4769.5261620061247</v>
      </c>
    </row>
    <row r="1399" spans="1:5">
      <c r="A1399" s="3"/>
      <c r="B1399">
        <v>50000</v>
      </c>
      <c r="C1399" s="889">
        <v>9857.0207348126569</v>
      </c>
    </row>
    <row r="1402" spans="1:5">
      <c r="A1402" s="3"/>
      <c r="B1402" s="912" t="s">
        <v>3950</v>
      </c>
      <c r="C1402" s="3" t="s">
        <v>3951</v>
      </c>
      <c r="D1402" s="85">
        <v>14784.380530580231</v>
      </c>
      <c r="E1402" s="72" t="s">
        <v>2172</v>
      </c>
    </row>
    <row r="1405" spans="1:5">
      <c r="A1405" s="3"/>
      <c r="B1405" s="912" t="s">
        <v>3952</v>
      </c>
      <c r="C1405" s="3" t="s">
        <v>3953</v>
      </c>
      <c r="D1405" s="85">
        <v>3392.2096819686953</v>
      </c>
      <c r="E1405" s="72" t="s">
        <v>3941</v>
      </c>
    </row>
    <row r="1408" spans="1:5">
      <c r="A1408" s="3"/>
      <c r="B1408" s="912" t="s">
        <v>3954</v>
      </c>
      <c r="C1408" s="3" t="s">
        <v>3955</v>
      </c>
      <c r="D1408" s="85">
        <v>0.56536828032811592</v>
      </c>
      <c r="E1408" s="72" t="s">
        <v>3944</v>
      </c>
    </row>
    <row r="1411" spans="1:7">
      <c r="A1411" s="3"/>
      <c r="B1411" s="912" t="s">
        <v>3956</v>
      </c>
      <c r="C1411" s="3" t="s">
        <v>3957</v>
      </c>
      <c r="D1411" s="919">
        <v>0.14857538964026834</v>
      </c>
      <c r="E1411" s="643" t="s">
        <v>180</v>
      </c>
    </row>
    <row r="1414" spans="1:7">
      <c r="A1414" s="916" t="s">
        <v>3888</v>
      </c>
      <c r="B1414" s="891" t="s">
        <v>3958</v>
      </c>
      <c r="C1414" s="917"/>
      <c r="D1414" s="922"/>
      <c r="E1414" s="917" t="s">
        <v>3959</v>
      </c>
      <c r="F1414" s="917"/>
      <c r="G1414" s="917"/>
    </row>
    <row r="1415" spans="1:7">
      <c r="A1415" s="888">
        <v>4</v>
      </c>
      <c r="B1415" s="320" t="s">
        <v>3960</v>
      </c>
      <c r="C1415" s="320" t="s">
        <v>3961</v>
      </c>
      <c r="D1415" s="320" t="s">
        <v>3962</v>
      </c>
      <c r="E1415" s="320" t="s">
        <v>3963</v>
      </c>
      <c r="F1415" s="923" t="s">
        <v>3964</v>
      </c>
      <c r="G1415" s="923" t="s">
        <v>3965</v>
      </c>
    </row>
    <row r="1416" spans="1:7">
      <c r="A1416" s="3" t="s">
        <v>3966</v>
      </c>
      <c r="B1416">
        <v>0</v>
      </c>
      <c r="C1416">
        <v>0.03</v>
      </c>
      <c r="D1416">
        <v>1</v>
      </c>
      <c r="E1416" s="978">
        <v>21.856107661074009</v>
      </c>
      <c r="F1416" s="978">
        <v>32.40431834093409</v>
      </c>
      <c r="G1416" s="978">
        <v>21.04936114636196</v>
      </c>
    </row>
    <row r="1417" spans="1:7">
      <c r="A1417" s="3"/>
      <c r="B1417">
        <v>3.1E-2</v>
      </c>
      <c r="C1417">
        <v>0.124</v>
      </c>
      <c r="D1417">
        <v>1</v>
      </c>
      <c r="E1417" s="978">
        <v>21.856107661074009</v>
      </c>
      <c r="F1417" s="978">
        <v>32.40431834093409</v>
      </c>
      <c r="G1417" s="978">
        <v>21.04936114636196</v>
      </c>
    </row>
    <row r="1418" spans="1:7">
      <c r="A1418" s="3"/>
      <c r="B1418">
        <v>0.1241</v>
      </c>
      <c r="C1418">
        <v>0.30499999999999999</v>
      </c>
      <c r="D1418">
        <v>1.2</v>
      </c>
      <c r="E1418" s="978">
        <v>21.856107661074009</v>
      </c>
      <c r="F1418" s="978">
        <v>32.40431834093409</v>
      </c>
      <c r="G1418" s="978">
        <v>21.04936114636196</v>
      </c>
    </row>
    <row r="1419" spans="1:7">
      <c r="A1419" s="3"/>
      <c r="B1419">
        <v>0.30509999999999998</v>
      </c>
      <c r="C1419">
        <v>0.74</v>
      </c>
      <c r="D1419">
        <v>1.2</v>
      </c>
      <c r="E1419" s="978">
        <v>21.856107661074009</v>
      </c>
      <c r="F1419" s="978">
        <v>32.40431834093409</v>
      </c>
      <c r="G1419" s="978">
        <v>21.04936114636196</v>
      </c>
    </row>
    <row r="1420" spans="1:7">
      <c r="A1420" s="3"/>
      <c r="B1420">
        <v>0.74099999999999999</v>
      </c>
      <c r="C1420">
        <v>2.1520000000000001</v>
      </c>
      <c r="D1420">
        <v>1.6</v>
      </c>
      <c r="E1420" s="978">
        <v>23.308251387555707</v>
      </c>
      <c r="F1420" s="978">
        <v>37.063279463396192</v>
      </c>
      <c r="G1420" s="978">
        <v>21.04936114636196</v>
      </c>
    </row>
    <row r="1421" spans="1:7">
      <c r="A1421" s="3"/>
      <c r="B1421">
        <v>2.1520999999999999</v>
      </c>
      <c r="C1421">
        <v>7.3650000000000002</v>
      </c>
      <c r="D1421">
        <v>2.8</v>
      </c>
      <c r="E1421" s="978">
        <v>24.605768698717593</v>
      </c>
      <c r="F1421" s="978">
        <v>41.285252890389266</v>
      </c>
      <c r="G1421" s="978">
        <v>27.180634658173556</v>
      </c>
    </row>
    <row r="1422" spans="1:7">
      <c r="A1422" s="3"/>
      <c r="B1422">
        <v>7.3651</v>
      </c>
      <c r="C1422">
        <v>22.614000000000001</v>
      </c>
      <c r="D1422">
        <v>3.8</v>
      </c>
      <c r="E1422" s="978">
        <v>25.688153605956259</v>
      </c>
      <c r="F1422" s="978">
        <v>48.176212703554711</v>
      </c>
      <c r="G1422" s="978">
        <v>27.180634658173556</v>
      </c>
    </row>
    <row r="1423" spans="1:7">
      <c r="A1423" s="3"/>
      <c r="B1423">
        <v>22.614100000000001</v>
      </c>
      <c r="C1423">
        <v>75.069999999999993</v>
      </c>
      <c r="D1423">
        <v>7.8</v>
      </c>
      <c r="E1423" s="978">
        <v>30.024416122533538</v>
      </c>
      <c r="F1423" s="978">
        <v>51.470427638628934</v>
      </c>
      <c r="G1423" s="978">
        <v>27.180634658173556</v>
      </c>
    </row>
    <row r="1426" spans="1:5" ht="20">
      <c r="A1426" s="924"/>
      <c r="B1426" s="925" t="s">
        <v>3967</v>
      </c>
      <c r="C1426" s="926"/>
      <c r="D1426" s="926"/>
    </row>
    <row r="1427" spans="1:5">
      <c r="A1427" s="921" t="s">
        <v>3968</v>
      </c>
      <c r="B1427" s="895" t="s">
        <v>3967</v>
      </c>
      <c r="C1427" s="896"/>
      <c r="D1427" s="896"/>
    </row>
    <row r="1428" spans="1:5">
      <c r="A1428" s="888">
        <v>5</v>
      </c>
      <c r="B1428" s="927" t="s">
        <v>3969</v>
      </c>
      <c r="C1428" s="320" t="s">
        <v>3970</v>
      </c>
      <c r="D1428" s="782" t="s">
        <v>3971</v>
      </c>
    </row>
    <row r="1429" spans="1:5">
      <c r="A1429" s="3" t="s">
        <v>3980</v>
      </c>
      <c r="B1429">
        <v>0</v>
      </c>
      <c r="C1429" t="s">
        <v>3972</v>
      </c>
      <c r="D1429" s="889">
        <v>21165.713250209614</v>
      </c>
    </row>
    <row r="1430" spans="1:5">
      <c r="A1430" s="3"/>
      <c r="B1430">
        <v>3.1E-2</v>
      </c>
      <c r="C1430" t="s">
        <v>3973</v>
      </c>
      <c r="D1430" s="889">
        <v>20660.02273280502</v>
      </c>
    </row>
    <row r="1431" spans="1:5">
      <c r="A1431" s="3"/>
      <c r="B1431">
        <v>0.1241</v>
      </c>
      <c r="C1431" t="s">
        <v>3974</v>
      </c>
      <c r="D1431" s="889">
        <v>16458.498827329597</v>
      </c>
    </row>
    <row r="1432" spans="1:5">
      <c r="A1432" s="3"/>
      <c r="B1432">
        <v>0.30509999999999998</v>
      </c>
      <c r="C1432" t="s">
        <v>3975</v>
      </c>
      <c r="D1432" s="889">
        <v>19327.219360846331</v>
      </c>
    </row>
    <row r="1433" spans="1:5">
      <c r="A1433" s="3"/>
      <c r="B1433">
        <v>0.74099999999999999</v>
      </c>
      <c r="C1433" t="s">
        <v>3976</v>
      </c>
      <c r="D1433" s="889">
        <v>31219.845835377939</v>
      </c>
    </row>
    <row r="1434" spans="1:5">
      <c r="A1434" s="3"/>
      <c r="B1434">
        <v>2.1520999999999999</v>
      </c>
      <c r="C1434" t="s">
        <v>3977</v>
      </c>
      <c r="D1434" s="889">
        <v>68950.849699201353</v>
      </c>
    </row>
    <row r="1435" spans="1:5">
      <c r="A1435" s="3"/>
      <c r="B1435">
        <v>7.3651</v>
      </c>
      <c r="C1435" t="s">
        <v>3978</v>
      </c>
      <c r="D1435" s="889">
        <v>129311.24247230604</v>
      </c>
    </row>
    <row r="1436" spans="1:5">
      <c r="A1436" s="3"/>
      <c r="B1436">
        <v>22.614100000000001</v>
      </c>
      <c r="C1436" t="s">
        <v>3979</v>
      </c>
      <c r="D1436" s="889">
        <v>262816.68000200921</v>
      </c>
    </row>
    <row r="1439" spans="1:5">
      <c r="A1439" s="3"/>
      <c r="B1439" s="912" t="s">
        <v>3981</v>
      </c>
      <c r="C1439" s="3" t="s">
        <v>3982</v>
      </c>
      <c r="D1439" s="85">
        <v>3.8110010007302626</v>
      </c>
      <c r="E1439" s="72" t="s">
        <v>2741</v>
      </c>
    </row>
    <row r="1442" spans="1:5">
      <c r="A1442" s="3"/>
      <c r="B1442" s="912" t="s">
        <v>3983</v>
      </c>
      <c r="C1442" s="3" t="s">
        <v>3984</v>
      </c>
      <c r="D1442" s="85">
        <v>3392.2096819686953</v>
      </c>
      <c r="E1442" s="72" t="s">
        <v>3941</v>
      </c>
    </row>
    <row r="1445" spans="1:5">
      <c r="A1445" s="3"/>
      <c r="B1445" s="912" t="s">
        <v>3985</v>
      </c>
      <c r="C1445" s="3" t="s">
        <v>3987</v>
      </c>
      <c r="D1445" s="928">
        <v>1.0469782969039184E-3</v>
      </c>
      <c r="E1445" s="72" t="s">
        <v>3986</v>
      </c>
    </row>
    <row r="1448" spans="1:5">
      <c r="A1448" s="921"/>
      <c r="B1448" s="895" t="s">
        <v>3988</v>
      </c>
      <c r="C1448" s="896"/>
    </row>
    <row r="1449" spans="1:5">
      <c r="A1449" s="782"/>
      <c r="B1449" s="320" t="s">
        <v>3989</v>
      </c>
      <c r="C1449" s="320" t="s">
        <v>3990</v>
      </c>
    </row>
    <row r="1450" spans="1:5">
      <c r="A1450" s="3" t="s">
        <v>3991</v>
      </c>
      <c r="B1450">
        <v>0</v>
      </c>
      <c r="C1450" s="889">
        <v>3769.1218688541057</v>
      </c>
    </row>
    <row r="1451" spans="1:5">
      <c r="A1451" s="3"/>
      <c r="B1451">
        <v>1.0009999999999999</v>
      </c>
      <c r="C1451" s="889">
        <v>15599.976623868382</v>
      </c>
    </row>
    <row r="1454" spans="1:5">
      <c r="A1454" s="3" t="s">
        <v>3993</v>
      </c>
      <c r="B1454" s="526" t="s">
        <v>3992</v>
      </c>
      <c r="C1454" s="889">
        <v>30467.068439904022</v>
      </c>
      <c r="D1454" s="889">
        <v>29100</v>
      </c>
      <c r="E1454" s="526">
        <v>2020</v>
      </c>
    </row>
    <row r="1457" spans="1:5">
      <c r="A1457" s="3"/>
      <c r="B1457" s="912" t="s">
        <v>3994</v>
      </c>
      <c r="C1457" s="3" t="s">
        <v>3995</v>
      </c>
      <c r="D1457" s="85">
        <v>110.0374190046018</v>
      </c>
      <c r="E1457" s="72" t="s">
        <v>2172</v>
      </c>
    </row>
    <row r="1460" spans="1:5">
      <c r="A1460" s="3"/>
      <c r="B1460" s="970" t="s">
        <v>3996</v>
      </c>
      <c r="C1460" s="963" t="s">
        <v>3997</v>
      </c>
      <c r="D1460" s="976">
        <v>0.19900000000000001</v>
      </c>
      <c r="E1460" s="977" t="s">
        <v>3944</v>
      </c>
    </row>
    <row r="1463" spans="1:5">
      <c r="A1463" s="929"/>
      <c r="B1463" s="302" t="s">
        <v>3998</v>
      </c>
      <c r="C1463" s="930"/>
    </row>
    <row r="1464" spans="1:5">
      <c r="A1464" s="921" t="s">
        <v>3968</v>
      </c>
      <c r="B1464" s="895" t="s">
        <v>3999</v>
      </c>
      <c r="C1464" s="896"/>
    </row>
    <row r="1465" spans="1:5">
      <c r="A1465" s="888">
        <v>5</v>
      </c>
      <c r="B1465" s="320" t="s">
        <v>4000</v>
      </c>
      <c r="C1465" s="320" t="s">
        <v>3990</v>
      </c>
    </row>
    <row r="1466" spans="1:5">
      <c r="A1466" s="3" t="s">
        <v>4001</v>
      </c>
      <c r="B1466">
        <v>0</v>
      </c>
      <c r="C1466" s="889">
        <v>2408.0500828790123</v>
      </c>
    </row>
    <row r="1467" spans="1:5">
      <c r="A1467" s="3"/>
      <c r="B1467">
        <v>100000.1</v>
      </c>
      <c r="C1467" s="889">
        <v>3036.2370610213629</v>
      </c>
    </row>
    <row r="1468" spans="1:5">
      <c r="A1468" s="3"/>
      <c r="B1468">
        <v>1000000.1</v>
      </c>
      <c r="C1468" s="889">
        <v>5548.9849735907674</v>
      </c>
    </row>
    <row r="1471" spans="1:5" ht="20">
      <c r="A1471" s="924"/>
      <c r="B1471" s="925" t="s">
        <v>4002</v>
      </c>
      <c r="C1471" s="926"/>
    </row>
    <row r="1472" spans="1:5">
      <c r="A1472" s="921" t="s">
        <v>3888</v>
      </c>
      <c r="B1472" s="895" t="s">
        <v>4003</v>
      </c>
      <c r="C1472" s="896"/>
    </row>
    <row r="1473" spans="1:3">
      <c r="A1473" s="931">
        <v>4</v>
      </c>
      <c r="B1473" s="932" t="s">
        <v>4004</v>
      </c>
      <c r="C1473" s="933"/>
    </row>
    <row r="1474" spans="1:3">
      <c r="A1474" s="3"/>
      <c r="B1474" t="s">
        <v>4005</v>
      </c>
      <c r="C1474" s="526" t="s">
        <v>4006</v>
      </c>
    </row>
    <row r="1475" spans="1:3">
      <c r="A1475" s="3" t="s">
        <v>4007</v>
      </c>
      <c r="B1475" t="s">
        <v>4008</v>
      </c>
      <c r="C1475" s="915">
        <v>15793.535539996074</v>
      </c>
    </row>
    <row r="1476" spans="1:3">
      <c r="A1476" s="3"/>
      <c r="B1476" s="526" t="s">
        <v>4009</v>
      </c>
      <c r="C1476" s="915">
        <v>15793.535539996074</v>
      </c>
    </row>
    <row r="1477" spans="1:3">
      <c r="A1477" s="3"/>
      <c r="B1477" s="526" t="s">
        <v>4010</v>
      </c>
      <c r="C1477" s="915">
        <v>15793.535539996074</v>
      </c>
    </row>
    <row r="1478" spans="1:3">
      <c r="A1478" s="3"/>
      <c r="B1478" s="526" t="s">
        <v>4011</v>
      </c>
      <c r="C1478" s="915">
        <v>15793.535539996074</v>
      </c>
    </row>
    <row r="1479" spans="1:3">
      <c r="A1479" s="3"/>
      <c r="B1479" s="526" t="s">
        <v>4012</v>
      </c>
      <c r="C1479" s="915">
        <v>15793.535539996074</v>
      </c>
    </row>
    <row r="1480" spans="1:3">
      <c r="A1480" s="3"/>
      <c r="B1480" s="526" t="s">
        <v>4013</v>
      </c>
      <c r="C1480" s="915">
        <v>15793.535539996074</v>
      </c>
    </row>
    <row r="1481" spans="1:3">
      <c r="A1481" s="3"/>
      <c r="B1481" s="526" t="s">
        <v>4014</v>
      </c>
      <c r="C1481" s="915">
        <v>15793.535539996074</v>
      </c>
    </row>
    <row r="1482" spans="1:3">
      <c r="A1482" s="3"/>
      <c r="B1482" s="526" t="s">
        <v>2841</v>
      </c>
      <c r="C1482" s="915">
        <v>15793.535539996074</v>
      </c>
    </row>
    <row r="1483" spans="1:3">
      <c r="A1483" s="3"/>
      <c r="B1483" s="526" t="s">
        <v>4015</v>
      </c>
      <c r="C1483" s="915">
        <v>15793.535539996074</v>
      </c>
    </row>
    <row r="1484" spans="1:3">
      <c r="A1484" s="3"/>
      <c r="B1484" s="526" t="s">
        <v>4016</v>
      </c>
      <c r="C1484" s="915">
        <v>615.39008342245984</v>
      </c>
    </row>
    <row r="1485" spans="1:3">
      <c r="A1485" s="3"/>
      <c r="B1485" t="s">
        <v>4017</v>
      </c>
      <c r="C1485" s="915">
        <v>1217.0660847213492</v>
      </c>
    </row>
    <row r="1486" spans="1:3">
      <c r="A1486" s="3"/>
      <c r="B1486" t="s">
        <v>4018</v>
      </c>
      <c r="C1486" s="915">
        <v>1217.0660847213492</v>
      </c>
    </row>
    <row r="1487" spans="1:3">
      <c r="A1487" s="3"/>
      <c r="B1487" s="526" t="s">
        <v>4019</v>
      </c>
      <c r="C1487" s="915">
        <v>860.39920013666426</v>
      </c>
    </row>
    <row r="1488" spans="1:3">
      <c r="A1488" s="3"/>
      <c r="B1488" t="s">
        <v>4020</v>
      </c>
      <c r="C1488" s="915">
        <v>58859.382028416068</v>
      </c>
    </row>
    <row r="1489" spans="1:3">
      <c r="A1489" s="3"/>
      <c r="B1489" t="s">
        <v>4021</v>
      </c>
      <c r="C1489" s="915">
        <v>58859.382028416068</v>
      </c>
    </row>
    <row r="1490" spans="1:3">
      <c r="A1490" s="3"/>
      <c r="B1490" t="s">
        <v>4022</v>
      </c>
      <c r="C1490" s="915">
        <v>2709.1797841536459</v>
      </c>
    </row>
    <row r="1491" spans="1:3">
      <c r="A1491" s="3"/>
      <c r="B1491" t="s">
        <v>4023</v>
      </c>
      <c r="C1491" s="915">
        <v>2709.1797841536459</v>
      </c>
    </row>
    <row r="1492" spans="1:3">
      <c r="A1492" s="3"/>
      <c r="B1492" t="s">
        <v>4024</v>
      </c>
      <c r="C1492" s="915">
        <v>0</v>
      </c>
    </row>
    <row r="1493" spans="1:3">
      <c r="A1493" s="3"/>
      <c r="B1493" t="s">
        <v>4025</v>
      </c>
      <c r="C1493" s="915">
        <v>24372.554078613746</v>
      </c>
    </row>
    <row r="1494" spans="1:3">
      <c r="A1494" s="3"/>
      <c r="B1494" t="s">
        <v>4026</v>
      </c>
      <c r="C1494" s="915">
        <v>615.39008342245984</v>
      </c>
    </row>
    <row r="1495" spans="1:3">
      <c r="A1495" s="3"/>
      <c r="B1495" s="526" t="s">
        <v>4027</v>
      </c>
      <c r="C1495" s="915">
        <v>16444.957306241584</v>
      </c>
    </row>
    <row r="1496" spans="1:3">
      <c r="A1496" s="3"/>
      <c r="B1496" s="526" t="s">
        <v>4028</v>
      </c>
      <c r="C1496" s="915">
        <v>16444.957306241584</v>
      </c>
    </row>
    <row r="1497" spans="1:3">
      <c r="A1497" s="3"/>
      <c r="B1497" s="526" t="s">
        <v>4029</v>
      </c>
      <c r="C1497" s="915">
        <v>14998.238656107189</v>
      </c>
    </row>
    <row r="1498" spans="1:3">
      <c r="A1498" s="3"/>
      <c r="B1498" t="s">
        <v>4030</v>
      </c>
      <c r="C1498" s="915">
        <v>2499.8674794593167</v>
      </c>
    </row>
    <row r="1499" spans="1:3">
      <c r="A1499" s="3"/>
      <c r="B1499" t="s">
        <v>4031</v>
      </c>
      <c r="C1499" s="915">
        <v>32140.792422095365</v>
      </c>
    </row>
    <row r="1500" spans="1:3">
      <c r="A1500" s="3"/>
      <c r="B1500" t="s">
        <v>4032</v>
      </c>
      <c r="C1500" s="915">
        <v>5513.4302822925574</v>
      </c>
    </row>
    <row r="1501" spans="1:3">
      <c r="A1501" s="3"/>
      <c r="B1501" s="526" t="s">
        <v>4033</v>
      </c>
      <c r="C1501" s="915">
        <v>134602.19700079926</v>
      </c>
    </row>
    <row r="1502" spans="1:3">
      <c r="A1502" s="3"/>
      <c r="B1502" s="526" t="s">
        <v>4034</v>
      </c>
      <c r="C1502" s="915">
        <v>113958.93551980422</v>
      </c>
    </row>
    <row r="1503" spans="1:3">
      <c r="A1503" s="934"/>
      <c r="B1503" s="932" t="s">
        <v>4035</v>
      </c>
      <c r="C1503" s="933"/>
    </row>
    <row r="1504" spans="1:3">
      <c r="A1504" s="3" t="s">
        <v>4036</v>
      </c>
      <c r="B1504" t="s">
        <v>4008</v>
      </c>
      <c r="C1504" s="915">
        <v>70415.236495493649</v>
      </c>
    </row>
    <row r="1505" spans="1:3">
      <c r="A1505" s="3"/>
      <c r="B1505" s="526" t="s">
        <v>4009</v>
      </c>
      <c r="C1505" s="915">
        <v>70415.236495493649</v>
      </c>
    </row>
    <row r="1506" spans="1:3">
      <c r="A1506" s="3"/>
      <c r="B1506" s="526" t="s">
        <v>4010</v>
      </c>
      <c r="C1506" s="915">
        <v>70415.236495493649</v>
      </c>
    </row>
    <row r="1507" spans="1:3">
      <c r="A1507" s="3"/>
      <c r="B1507" s="526" t="s">
        <v>4011</v>
      </c>
      <c r="C1507" s="915">
        <v>70415.236495493649</v>
      </c>
    </row>
    <row r="1508" spans="1:3">
      <c r="A1508" s="3"/>
      <c r="B1508" s="526" t="s">
        <v>4012</v>
      </c>
      <c r="C1508" s="915">
        <v>70415.236495493649</v>
      </c>
    </row>
    <row r="1509" spans="1:3">
      <c r="A1509" s="3"/>
      <c r="B1509" s="526" t="s">
        <v>4013</v>
      </c>
      <c r="C1509" s="915">
        <v>70415.236495493649</v>
      </c>
    </row>
    <row r="1510" spans="1:3">
      <c r="A1510" s="3"/>
      <c r="B1510" s="526" t="s">
        <v>4014</v>
      </c>
      <c r="C1510" s="915">
        <v>70415.236495493649</v>
      </c>
    </row>
    <row r="1511" spans="1:3">
      <c r="A1511" s="3"/>
      <c r="B1511" s="526" t="s">
        <v>2841</v>
      </c>
      <c r="C1511" s="915">
        <v>70415.236495493649</v>
      </c>
    </row>
    <row r="1512" spans="1:3">
      <c r="A1512" s="3"/>
      <c r="B1512" s="526" t="s">
        <v>4015</v>
      </c>
      <c r="C1512" s="915">
        <v>70415.236495493649</v>
      </c>
    </row>
    <row r="1513" spans="1:3">
      <c r="A1513" s="3"/>
      <c r="B1513" s="526" t="s">
        <v>4016</v>
      </c>
      <c r="C1513" s="915">
        <v>615.39008342245984</v>
      </c>
    </row>
    <row r="1514" spans="1:3">
      <c r="A1514" s="3"/>
      <c r="B1514" t="s">
        <v>4017</v>
      </c>
      <c r="C1514" s="915">
        <v>66652.775724390434</v>
      </c>
    </row>
    <row r="1515" spans="1:3">
      <c r="A1515" s="3"/>
      <c r="B1515" t="s">
        <v>4018</v>
      </c>
      <c r="C1515" s="915">
        <v>66652.775724390434</v>
      </c>
    </row>
    <row r="1516" spans="1:3">
      <c r="A1516" s="3"/>
      <c r="B1516" s="526" t="s">
        <v>4019</v>
      </c>
      <c r="C1516" s="915">
        <v>67436.081031866575</v>
      </c>
    </row>
    <row r="1517" spans="1:3">
      <c r="A1517" s="3"/>
      <c r="B1517" t="s">
        <v>4020</v>
      </c>
      <c r="C1517" s="915">
        <v>106012.42499444949</v>
      </c>
    </row>
    <row r="1518" spans="1:3">
      <c r="A1518" s="3"/>
      <c r="B1518" t="s">
        <v>4021</v>
      </c>
      <c r="C1518" s="915">
        <v>106012.42499444949</v>
      </c>
    </row>
    <row r="1519" spans="1:3">
      <c r="A1519" s="3"/>
      <c r="B1519" t="s">
        <v>4022</v>
      </c>
      <c r="C1519" s="915">
        <v>87277.850879096295</v>
      </c>
    </row>
    <row r="1520" spans="1:3">
      <c r="A1520" s="3"/>
      <c r="B1520" t="s">
        <v>4023</v>
      </c>
      <c r="C1520" s="915">
        <v>87277.850879096295</v>
      </c>
    </row>
    <row r="1521" spans="1:3">
      <c r="A1521" s="3"/>
      <c r="B1521" t="s">
        <v>4024</v>
      </c>
      <c r="C1521" s="915">
        <v>20136.618090557393</v>
      </c>
    </row>
    <row r="1522" spans="1:3">
      <c r="A1522" s="3"/>
      <c r="B1522" t="s">
        <v>4025</v>
      </c>
      <c r="C1522" s="915">
        <v>62551.098535576341</v>
      </c>
    </row>
    <row r="1523" spans="1:3">
      <c r="A1523" s="3"/>
      <c r="B1523" t="s">
        <v>4026</v>
      </c>
      <c r="C1523" s="915">
        <v>615.39008342245984</v>
      </c>
    </row>
    <row r="1524" spans="1:3">
      <c r="A1524" s="3"/>
      <c r="B1524" s="526" t="s">
        <v>4027</v>
      </c>
      <c r="C1524" s="915">
        <v>36426.901995363005</v>
      </c>
    </row>
    <row r="1525" spans="1:3">
      <c r="A1525" s="3"/>
      <c r="B1525" s="526" t="s">
        <v>4028</v>
      </c>
      <c r="C1525" s="915">
        <v>36426.901995363005</v>
      </c>
    </row>
    <row r="1526" spans="1:3">
      <c r="A1526" s="3"/>
      <c r="B1526" s="526" t="s">
        <v>4029</v>
      </c>
      <c r="C1526" s="915">
        <v>33992.302523002589</v>
      </c>
    </row>
    <row r="1527" spans="1:3">
      <c r="A1527" s="3"/>
      <c r="B1527" t="s">
        <v>4030</v>
      </c>
      <c r="C1527" s="915">
        <v>3749.8012191889752</v>
      </c>
    </row>
    <row r="1528" spans="1:3">
      <c r="A1528" s="3"/>
      <c r="B1528" t="s">
        <v>4031</v>
      </c>
      <c r="C1528" s="915">
        <v>48543.555387689659</v>
      </c>
    </row>
    <row r="1529" spans="1:3">
      <c r="A1529" s="3"/>
      <c r="B1529" t="s">
        <v>4032</v>
      </c>
      <c r="C1529" s="915">
        <v>189167.22449229649</v>
      </c>
    </row>
    <row r="1530" spans="1:3">
      <c r="A1530" s="3"/>
      <c r="B1530" s="526" t="s">
        <v>4033</v>
      </c>
      <c r="C1530" s="915">
        <v>216124.0034000657</v>
      </c>
    </row>
    <row r="1531" spans="1:3">
      <c r="A1531" s="3"/>
      <c r="B1531" s="526" t="s">
        <v>4034</v>
      </c>
      <c r="C1531" s="915">
        <v>134570.11249132303</v>
      </c>
    </row>
    <row r="1532" spans="1:3">
      <c r="A1532" s="934"/>
      <c r="B1532" s="932" t="s">
        <v>4037</v>
      </c>
      <c r="C1532" s="933"/>
    </row>
    <row r="1533" spans="1:3">
      <c r="A1533" s="3" t="s">
        <v>4038</v>
      </c>
      <c r="B1533" t="s">
        <v>4008</v>
      </c>
      <c r="C1533" s="915">
        <v>70415.236495493649</v>
      </c>
    </row>
    <row r="1534" spans="1:3">
      <c r="A1534" s="3"/>
      <c r="B1534" s="526" t="s">
        <v>4009</v>
      </c>
      <c r="C1534" s="915">
        <v>70415.236495493649</v>
      </c>
    </row>
    <row r="1535" spans="1:3">
      <c r="A1535" s="3"/>
      <c r="B1535" s="526" t="s">
        <v>4010</v>
      </c>
      <c r="C1535" s="915">
        <v>70415.236495493649</v>
      </c>
    </row>
    <row r="1536" spans="1:3">
      <c r="A1536" s="3"/>
      <c r="B1536" s="526" t="s">
        <v>4011</v>
      </c>
      <c r="C1536" s="915">
        <v>70415.236495493649</v>
      </c>
    </row>
    <row r="1537" spans="1:3">
      <c r="A1537" s="3"/>
      <c r="B1537" s="526" t="s">
        <v>4012</v>
      </c>
      <c r="C1537" s="915">
        <v>70415.236495493649</v>
      </c>
    </row>
    <row r="1538" spans="1:3">
      <c r="A1538" s="3"/>
      <c r="B1538" s="526" t="s">
        <v>4013</v>
      </c>
      <c r="C1538" s="915">
        <v>70415.236495493649</v>
      </c>
    </row>
    <row r="1539" spans="1:3">
      <c r="A1539" s="3"/>
      <c r="B1539" s="526" t="s">
        <v>4014</v>
      </c>
      <c r="C1539" s="915">
        <v>70415.236495493649</v>
      </c>
    </row>
    <row r="1540" spans="1:3">
      <c r="A1540" s="3"/>
      <c r="B1540" s="526" t="s">
        <v>2841</v>
      </c>
      <c r="C1540" s="915">
        <v>70415.236495493649</v>
      </c>
    </row>
    <row r="1541" spans="1:3">
      <c r="A1541" s="3"/>
      <c r="B1541" s="526" t="s">
        <v>4015</v>
      </c>
      <c r="C1541" s="915">
        <v>70415.236495493649</v>
      </c>
    </row>
    <row r="1542" spans="1:3">
      <c r="A1542" s="3"/>
      <c r="B1542" s="526" t="s">
        <v>4016</v>
      </c>
      <c r="C1542" s="915">
        <v>615.39008342245984</v>
      </c>
    </row>
    <row r="1543" spans="1:3">
      <c r="A1543" s="3"/>
      <c r="B1543" t="s">
        <v>4017</v>
      </c>
      <c r="C1543" s="915">
        <v>138633.82081554571</v>
      </c>
    </row>
    <row r="1544" spans="1:3">
      <c r="A1544" s="3"/>
      <c r="B1544" t="s">
        <v>4018</v>
      </c>
      <c r="C1544" s="915">
        <v>138633.82081554571</v>
      </c>
    </row>
    <row r="1545" spans="1:3">
      <c r="A1545" s="3"/>
      <c r="B1545" s="526" t="s">
        <v>4019</v>
      </c>
      <c r="C1545" s="915">
        <v>142217.78903377001</v>
      </c>
    </row>
    <row r="1546" spans="1:3">
      <c r="A1546" s="3"/>
      <c r="B1546" t="s">
        <v>4020</v>
      </c>
      <c r="C1546" s="915">
        <v>218629.75925053674</v>
      </c>
    </row>
    <row r="1547" spans="1:3">
      <c r="A1547" s="3"/>
      <c r="B1547" t="s">
        <v>4021</v>
      </c>
      <c r="C1547" s="915">
        <v>218629.75925053674</v>
      </c>
    </row>
    <row r="1548" spans="1:3">
      <c r="A1548" s="3"/>
      <c r="B1548" t="s">
        <v>4022</v>
      </c>
      <c r="C1548" s="915">
        <v>160637.62679028435</v>
      </c>
    </row>
    <row r="1549" spans="1:3">
      <c r="A1549" s="3"/>
      <c r="B1549" t="s">
        <v>4023</v>
      </c>
      <c r="C1549" s="915">
        <v>160637.62679028435</v>
      </c>
    </row>
    <row r="1550" spans="1:3">
      <c r="A1550" s="3"/>
      <c r="B1550" t="s">
        <v>4024</v>
      </c>
      <c r="C1550" s="915">
        <v>39431.052611067469</v>
      </c>
    </row>
    <row r="1551" spans="1:3">
      <c r="A1551" s="3"/>
      <c r="B1551" t="s">
        <v>4025</v>
      </c>
      <c r="C1551" s="915">
        <v>114612.79624085034</v>
      </c>
    </row>
    <row r="1552" spans="1:3">
      <c r="A1552" s="3"/>
      <c r="B1552" t="s">
        <v>4026</v>
      </c>
      <c r="C1552" s="915">
        <v>615.39008342245984</v>
      </c>
    </row>
    <row r="1553" spans="1:3">
      <c r="A1553" s="3"/>
      <c r="B1553" s="526" t="s">
        <v>4027</v>
      </c>
      <c r="C1553" s="915">
        <v>68723.781450000242</v>
      </c>
    </row>
    <row r="1554" spans="1:3">
      <c r="A1554" s="3"/>
      <c r="B1554" s="526" t="s">
        <v>4028</v>
      </c>
      <c r="C1554" s="915">
        <v>68723.781450000242</v>
      </c>
    </row>
    <row r="1555" spans="1:3">
      <c r="A1555" s="3"/>
      <c r="B1555" s="526" t="s">
        <v>4029</v>
      </c>
      <c r="C1555" s="915">
        <v>66289.181977639833</v>
      </c>
    </row>
    <row r="1556" spans="1:3">
      <c r="A1556" s="3"/>
      <c r="B1556" t="s">
        <v>4030</v>
      </c>
      <c r="C1556" s="915">
        <v>4999.7349589186333</v>
      </c>
    </row>
    <row r="1557" spans="1:3">
      <c r="A1557" s="3"/>
      <c r="B1557" t="s">
        <v>4031</v>
      </c>
      <c r="C1557" s="915">
        <v>48543.555387689659</v>
      </c>
    </row>
    <row r="1558" spans="1:3">
      <c r="A1558" s="3"/>
      <c r="B1558" t="s">
        <v>4032</v>
      </c>
      <c r="C1558" s="915">
        <v>222516.75400470028</v>
      </c>
    </row>
    <row r="1559" spans="1:3">
      <c r="A1559" s="3"/>
      <c r="B1559" s="526" t="s">
        <v>4033</v>
      </c>
      <c r="C1559" s="915">
        <v>354406.6446382748</v>
      </c>
    </row>
    <row r="1560" spans="1:3">
      <c r="A1560" s="3"/>
      <c r="B1560" s="526" t="s">
        <v>4034</v>
      </c>
      <c r="C1560" s="915">
        <v>245287.83478699805</v>
      </c>
    </row>
    <row r="1563" spans="1:3" ht="20">
      <c r="A1563" s="924"/>
      <c r="B1563" s="925" t="s">
        <v>4002</v>
      </c>
      <c r="C1563" s="926"/>
    </row>
    <row r="1564" spans="1:3">
      <c r="A1564" s="921" t="s">
        <v>3888</v>
      </c>
      <c r="B1564" s="895" t="s">
        <v>4003</v>
      </c>
      <c r="C1564" s="896"/>
    </row>
    <row r="1565" spans="1:3">
      <c r="A1565" s="931">
        <v>4</v>
      </c>
      <c r="B1565" s="932" t="s">
        <v>4004</v>
      </c>
      <c r="C1565" s="933"/>
    </row>
    <row r="1566" spans="1:3">
      <c r="A1566" s="3"/>
      <c r="B1566" t="s">
        <v>4005</v>
      </c>
      <c r="C1566" s="526" t="s">
        <v>4006</v>
      </c>
    </row>
    <row r="1567" spans="1:3">
      <c r="A1567" s="3" t="s">
        <v>4007</v>
      </c>
      <c r="B1567" t="s">
        <v>4008</v>
      </c>
      <c r="C1567" s="915">
        <v>15793.535539996074</v>
      </c>
    </row>
    <row r="1568" spans="1:3">
      <c r="A1568" s="3"/>
      <c r="B1568" s="526" t="s">
        <v>4009</v>
      </c>
      <c r="C1568" s="915">
        <v>15793.535539996074</v>
      </c>
    </row>
    <row r="1569" spans="1:3">
      <c r="A1569" s="3"/>
      <c r="B1569" s="526" t="s">
        <v>4010</v>
      </c>
      <c r="C1569" s="915">
        <v>15793.535539996074</v>
      </c>
    </row>
    <row r="1570" spans="1:3">
      <c r="A1570" s="3"/>
      <c r="B1570" s="526" t="s">
        <v>4011</v>
      </c>
      <c r="C1570" s="915">
        <v>15793.535539996074</v>
      </c>
    </row>
    <row r="1571" spans="1:3">
      <c r="A1571" s="3"/>
      <c r="B1571" s="526" t="s">
        <v>4012</v>
      </c>
      <c r="C1571" s="915">
        <v>15793.535539996074</v>
      </c>
    </row>
    <row r="1572" spans="1:3">
      <c r="A1572" s="3"/>
      <c r="B1572" s="526" t="s">
        <v>4013</v>
      </c>
      <c r="C1572" s="915">
        <v>15793.535539996074</v>
      </c>
    </row>
    <row r="1573" spans="1:3">
      <c r="A1573" s="3"/>
      <c r="B1573" s="526" t="s">
        <v>4014</v>
      </c>
      <c r="C1573" s="915">
        <v>15793.535539996074</v>
      </c>
    </row>
    <row r="1574" spans="1:3">
      <c r="A1574" s="3"/>
      <c r="B1574" s="526" t="s">
        <v>2841</v>
      </c>
      <c r="C1574" s="915">
        <v>15793.535539996074</v>
      </c>
    </row>
    <row r="1575" spans="1:3">
      <c r="A1575" s="3"/>
      <c r="B1575" s="526" t="s">
        <v>4015</v>
      </c>
      <c r="C1575" s="915">
        <v>15793.535539996074</v>
      </c>
    </row>
    <row r="1576" spans="1:3">
      <c r="A1576" s="3"/>
      <c r="B1576" s="526" t="s">
        <v>4016</v>
      </c>
      <c r="C1576" s="915">
        <v>615.39008342245984</v>
      </c>
    </row>
    <row r="1577" spans="1:3">
      <c r="A1577" s="3"/>
      <c r="B1577" t="s">
        <v>4017</v>
      </c>
      <c r="C1577" s="915">
        <v>1217.0660847213492</v>
      </c>
    </row>
    <row r="1578" spans="1:3">
      <c r="A1578" s="3"/>
      <c r="B1578" t="s">
        <v>4018</v>
      </c>
      <c r="C1578" s="915">
        <v>1217.0660847213492</v>
      </c>
    </row>
    <row r="1579" spans="1:3">
      <c r="A1579" s="3"/>
      <c r="B1579" s="526" t="s">
        <v>4019</v>
      </c>
      <c r="C1579" s="915">
        <v>860.39920013666426</v>
      </c>
    </row>
    <row r="1580" spans="1:3">
      <c r="A1580" s="3"/>
      <c r="B1580" t="s">
        <v>4020</v>
      </c>
      <c r="C1580" s="915">
        <v>58859.382028416068</v>
      </c>
    </row>
    <row r="1581" spans="1:3">
      <c r="A1581" s="3"/>
      <c r="B1581" t="s">
        <v>4021</v>
      </c>
      <c r="C1581" s="915">
        <v>58859.382028416068</v>
      </c>
    </row>
    <row r="1582" spans="1:3">
      <c r="A1582" s="3"/>
      <c r="B1582" t="s">
        <v>4022</v>
      </c>
      <c r="C1582" s="915">
        <v>2709.1797841536459</v>
      </c>
    </row>
    <row r="1583" spans="1:3">
      <c r="A1583" s="3"/>
      <c r="B1583" t="s">
        <v>4023</v>
      </c>
      <c r="C1583" s="915">
        <v>2709.1797841536459</v>
      </c>
    </row>
    <row r="1584" spans="1:3">
      <c r="A1584" s="3"/>
      <c r="B1584" t="s">
        <v>4024</v>
      </c>
      <c r="C1584" s="915">
        <v>0</v>
      </c>
    </row>
    <row r="1585" spans="1:3">
      <c r="A1585" s="3"/>
      <c r="B1585" t="s">
        <v>4025</v>
      </c>
      <c r="C1585" s="915">
        <v>24372.554078613746</v>
      </c>
    </row>
    <row r="1586" spans="1:3">
      <c r="A1586" s="3"/>
      <c r="B1586" t="s">
        <v>4026</v>
      </c>
      <c r="C1586" s="915">
        <v>615.39008342245984</v>
      </c>
    </row>
    <row r="1587" spans="1:3">
      <c r="A1587" s="3"/>
      <c r="B1587" s="526" t="s">
        <v>4027</v>
      </c>
      <c r="C1587" s="915">
        <v>16444.957306241584</v>
      </c>
    </row>
    <row r="1588" spans="1:3">
      <c r="A1588" s="3"/>
      <c r="B1588" s="526" t="s">
        <v>4028</v>
      </c>
      <c r="C1588" s="915">
        <v>16444.957306241584</v>
      </c>
    </row>
    <row r="1589" spans="1:3">
      <c r="A1589" s="3"/>
      <c r="B1589" s="526" t="s">
        <v>4029</v>
      </c>
      <c r="C1589" s="915">
        <v>14998.238656107189</v>
      </c>
    </row>
    <row r="1590" spans="1:3">
      <c r="A1590" s="3"/>
      <c r="B1590" t="s">
        <v>4030</v>
      </c>
      <c r="C1590" s="915">
        <v>2499.8674794593167</v>
      </c>
    </row>
    <row r="1591" spans="1:3">
      <c r="A1591" s="3"/>
      <c r="B1591" t="s">
        <v>4031</v>
      </c>
      <c r="C1591" s="915">
        <v>32140.792422095365</v>
      </c>
    </row>
    <row r="1592" spans="1:3">
      <c r="A1592" s="3"/>
      <c r="B1592" t="s">
        <v>4032</v>
      </c>
      <c r="C1592" s="915">
        <v>5513.4302822925574</v>
      </c>
    </row>
    <row r="1593" spans="1:3">
      <c r="A1593" s="3"/>
      <c r="B1593" s="526" t="s">
        <v>4033</v>
      </c>
      <c r="C1593" s="915">
        <v>134602.19700079926</v>
      </c>
    </row>
    <row r="1594" spans="1:3">
      <c r="A1594" s="3"/>
      <c r="B1594" s="526" t="s">
        <v>4034</v>
      </c>
      <c r="C1594" s="915">
        <v>113958.93551980422</v>
      </c>
    </row>
    <row r="1595" spans="1:3">
      <c r="A1595" s="934"/>
      <c r="B1595" s="932" t="s">
        <v>4035</v>
      </c>
      <c r="C1595" s="933"/>
    </row>
    <row r="1596" spans="1:3">
      <c r="A1596" s="3" t="s">
        <v>4039</v>
      </c>
      <c r="B1596" t="s">
        <v>4008</v>
      </c>
      <c r="C1596" s="915">
        <v>70415.236495493649</v>
      </c>
    </row>
    <row r="1597" spans="1:3">
      <c r="A1597" s="3"/>
      <c r="B1597" s="526" t="s">
        <v>4009</v>
      </c>
      <c r="C1597" s="915">
        <v>70415.236495493649</v>
      </c>
    </row>
    <row r="1598" spans="1:3">
      <c r="A1598" s="3"/>
      <c r="B1598" s="526" t="s">
        <v>4010</v>
      </c>
      <c r="C1598" s="915">
        <v>70415.236495493649</v>
      </c>
    </row>
    <row r="1599" spans="1:3">
      <c r="A1599" s="3"/>
      <c r="B1599" s="526" t="s">
        <v>4011</v>
      </c>
      <c r="C1599" s="915">
        <v>70415.236495493649</v>
      </c>
    </row>
    <row r="1600" spans="1:3">
      <c r="A1600" s="3"/>
      <c r="B1600" s="526" t="s">
        <v>4012</v>
      </c>
      <c r="C1600" s="915">
        <v>70415.236495493649</v>
      </c>
    </row>
    <row r="1601" spans="1:3">
      <c r="A1601" s="3"/>
      <c r="B1601" s="526" t="s">
        <v>4013</v>
      </c>
      <c r="C1601" s="915">
        <v>70415.236495493649</v>
      </c>
    </row>
    <row r="1602" spans="1:3">
      <c r="A1602" s="3"/>
      <c r="B1602" s="526" t="s">
        <v>4014</v>
      </c>
      <c r="C1602" s="915">
        <v>70415.236495493649</v>
      </c>
    </row>
    <row r="1603" spans="1:3">
      <c r="A1603" s="3"/>
      <c r="B1603" s="526" t="s">
        <v>2841</v>
      </c>
      <c r="C1603" s="915">
        <v>70415.236495493649</v>
      </c>
    </row>
    <row r="1604" spans="1:3">
      <c r="A1604" s="3"/>
      <c r="B1604" s="526" t="s">
        <v>4015</v>
      </c>
      <c r="C1604" s="915">
        <v>70415.236495493649</v>
      </c>
    </row>
    <row r="1605" spans="1:3">
      <c r="A1605" s="3"/>
      <c r="B1605" s="526" t="s">
        <v>4016</v>
      </c>
      <c r="C1605" s="915">
        <v>615.39008342245984</v>
      </c>
    </row>
    <row r="1606" spans="1:3">
      <c r="A1606" s="3"/>
      <c r="B1606" t="s">
        <v>4017</v>
      </c>
      <c r="C1606" s="915">
        <v>66652.775724390434</v>
      </c>
    </row>
    <row r="1607" spans="1:3">
      <c r="A1607" s="3"/>
      <c r="B1607" t="s">
        <v>4018</v>
      </c>
      <c r="C1607" s="915">
        <v>66652.775724390434</v>
      </c>
    </row>
    <row r="1608" spans="1:3">
      <c r="A1608" s="3"/>
      <c r="B1608" s="526" t="s">
        <v>4019</v>
      </c>
      <c r="C1608" s="915">
        <v>67436.081031866575</v>
      </c>
    </row>
    <row r="1609" spans="1:3">
      <c r="A1609" s="3"/>
      <c r="B1609" t="s">
        <v>4020</v>
      </c>
      <c r="C1609" s="915">
        <v>106012.42499444949</v>
      </c>
    </row>
    <row r="1610" spans="1:3">
      <c r="A1610" s="3"/>
      <c r="B1610" t="s">
        <v>4021</v>
      </c>
      <c r="C1610" s="915">
        <v>106012.42499444949</v>
      </c>
    </row>
    <row r="1611" spans="1:3">
      <c r="A1611" s="3"/>
      <c r="B1611" t="s">
        <v>4022</v>
      </c>
      <c r="C1611" s="915">
        <v>87277.850879096295</v>
      </c>
    </row>
    <row r="1612" spans="1:3">
      <c r="A1612" s="3"/>
      <c r="B1612" t="s">
        <v>4023</v>
      </c>
      <c r="C1612" s="915">
        <v>87277.850879096295</v>
      </c>
    </row>
    <row r="1613" spans="1:3">
      <c r="A1613" s="3"/>
      <c r="B1613" t="s">
        <v>4024</v>
      </c>
      <c r="C1613" s="915">
        <v>20136.618090557393</v>
      </c>
    </row>
    <row r="1614" spans="1:3">
      <c r="A1614" s="3"/>
      <c r="B1614" t="s">
        <v>4025</v>
      </c>
      <c r="C1614" s="915">
        <v>62551.098535576341</v>
      </c>
    </row>
    <row r="1615" spans="1:3">
      <c r="A1615" s="3"/>
      <c r="B1615" t="s">
        <v>4026</v>
      </c>
      <c r="C1615" s="915">
        <v>615.39008342245984</v>
      </c>
    </row>
    <row r="1616" spans="1:3">
      <c r="A1616" s="3"/>
      <c r="B1616" s="526" t="s">
        <v>4027</v>
      </c>
      <c r="C1616" s="915">
        <v>36426.901995363005</v>
      </c>
    </row>
    <row r="1617" spans="1:3">
      <c r="A1617" s="3"/>
      <c r="B1617" s="526" t="s">
        <v>4028</v>
      </c>
      <c r="C1617" s="915">
        <v>36426.901995363005</v>
      </c>
    </row>
    <row r="1618" spans="1:3">
      <c r="A1618" s="3"/>
      <c r="B1618" s="526" t="s">
        <v>4029</v>
      </c>
      <c r="C1618" s="915">
        <v>33992.302523002589</v>
      </c>
    </row>
    <row r="1619" spans="1:3">
      <c r="A1619" s="3"/>
      <c r="B1619" t="s">
        <v>4030</v>
      </c>
      <c r="C1619" s="915">
        <v>3749.8012191889752</v>
      </c>
    </row>
    <row r="1620" spans="1:3">
      <c r="A1620" s="3"/>
      <c r="B1620" t="s">
        <v>4031</v>
      </c>
      <c r="C1620" s="915">
        <v>48543.555387689659</v>
      </c>
    </row>
    <row r="1621" spans="1:3">
      <c r="A1621" s="3"/>
      <c r="B1621" t="s">
        <v>4032</v>
      </c>
      <c r="C1621" s="915">
        <v>189167.22449229649</v>
      </c>
    </row>
    <row r="1622" spans="1:3">
      <c r="A1622" s="3"/>
      <c r="B1622" s="526" t="s">
        <v>4033</v>
      </c>
      <c r="C1622" s="915">
        <v>216124.0034000657</v>
      </c>
    </row>
    <row r="1623" spans="1:3">
      <c r="A1623" s="3"/>
      <c r="B1623" s="526" t="s">
        <v>4034</v>
      </c>
      <c r="C1623" s="915">
        <v>134570.11249132303</v>
      </c>
    </row>
    <row r="1626" spans="1:3" ht="20">
      <c r="A1626" s="924"/>
      <c r="B1626" s="925" t="s">
        <v>4002</v>
      </c>
      <c r="C1626" s="926"/>
    </row>
    <row r="1627" spans="1:3">
      <c r="A1627" s="921" t="s">
        <v>3888</v>
      </c>
      <c r="B1627" s="895" t="s">
        <v>4003</v>
      </c>
      <c r="C1627" s="896"/>
    </row>
    <row r="1628" spans="1:3">
      <c r="A1628" s="931">
        <v>4</v>
      </c>
      <c r="B1628" s="932" t="s">
        <v>4004</v>
      </c>
      <c r="C1628" s="933"/>
    </row>
    <row r="1629" spans="1:3">
      <c r="A1629" s="3"/>
      <c r="B1629" t="s">
        <v>4005</v>
      </c>
      <c r="C1629" s="526" t="s">
        <v>4006</v>
      </c>
    </row>
    <row r="1630" spans="1:3">
      <c r="A1630" s="3" t="s">
        <v>4040</v>
      </c>
      <c r="B1630" t="s">
        <v>4008</v>
      </c>
      <c r="C1630" s="915">
        <v>15793.535539996074</v>
      </c>
    </row>
    <row r="1631" spans="1:3">
      <c r="A1631" s="3"/>
      <c r="B1631" s="526" t="s">
        <v>4009</v>
      </c>
      <c r="C1631" s="915">
        <v>15793.535539996074</v>
      </c>
    </row>
    <row r="1632" spans="1:3">
      <c r="A1632" s="3"/>
      <c r="B1632" s="526" t="s">
        <v>4010</v>
      </c>
      <c r="C1632" s="915">
        <v>15793.535539996074</v>
      </c>
    </row>
    <row r="1633" spans="1:3">
      <c r="A1633" s="3"/>
      <c r="B1633" s="526" t="s">
        <v>4011</v>
      </c>
      <c r="C1633" s="915">
        <v>15793.535539996074</v>
      </c>
    </row>
    <row r="1634" spans="1:3">
      <c r="A1634" s="3"/>
      <c r="B1634" s="526" t="s">
        <v>4012</v>
      </c>
      <c r="C1634" s="915">
        <v>15793.535539996074</v>
      </c>
    </row>
    <row r="1635" spans="1:3">
      <c r="A1635" s="3"/>
      <c r="B1635" s="526" t="s">
        <v>4013</v>
      </c>
      <c r="C1635" s="915">
        <v>15793.535539996074</v>
      </c>
    </row>
    <row r="1636" spans="1:3">
      <c r="A1636" s="3"/>
      <c r="B1636" s="526" t="s">
        <v>4014</v>
      </c>
      <c r="C1636" s="915">
        <v>15793.535539996074</v>
      </c>
    </row>
    <row r="1637" spans="1:3">
      <c r="A1637" s="3"/>
      <c r="B1637" s="526" t="s">
        <v>2841</v>
      </c>
      <c r="C1637" s="915">
        <v>15793.535539996074</v>
      </c>
    </row>
    <row r="1638" spans="1:3">
      <c r="A1638" s="3"/>
      <c r="B1638" s="526" t="s">
        <v>4015</v>
      </c>
      <c r="C1638" s="915">
        <v>15793.535539996074</v>
      </c>
    </row>
    <row r="1639" spans="1:3">
      <c r="A1639" s="3"/>
      <c r="B1639" s="526" t="s">
        <v>4016</v>
      </c>
      <c r="C1639" s="915">
        <v>615.39008342245984</v>
      </c>
    </row>
    <row r="1640" spans="1:3">
      <c r="A1640" s="3"/>
      <c r="B1640" t="s">
        <v>4017</v>
      </c>
      <c r="C1640" s="915">
        <v>1217.0660847213492</v>
      </c>
    </row>
    <row r="1641" spans="1:3">
      <c r="A1641" s="3"/>
      <c r="B1641" t="s">
        <v>4018</v>
      </c>
      <c r="C1641" s="915">
        <v>1217.0660847213492</v>
      </c>
    </row>
    <row r="1642" spans="1:3">
      <c r="A1642" s="3"/>
      <c r="B1642" s="526" t="s">
        <v>4019</v>
      </c>
      <c r="C1642" s="915">
        <v>860.39920013666426</v>
      </c>
    </row>
    <row r="1643" spans="1:3">
      <c r="A1643" s="3"/>
      <c r="B1643" t="s">
        <v>4020</v>
      </c>
      <c r="C1643" s="915">
        <v>58859.382028416068</v>
      </c>
    </row>
    <row r="1644" spans="1:3">
      <c r="A1644" s="3"/>
      <c r="B1644" t="s">
        <v>4021</v>
      </c>
      <c r="C1644" s="915">
        <v>58859.382028416068</v>
      </c>
    </row>
    <row r="1645" spans="1:3">
      <c r="A1645" s="3"/>
      <c r="B1645" t="s">
        <v>4022</v>
      </c>
      <c r="C1645" s="915">
        <v>2709.1797841536459</v>
      </c>
    </row>
    <row r="1646" spans="1:3">
      <c r="A1646" s="3"/>
      <c r="B1646" t="s">
        <v>4023</v>
      </c>
      <c r="C1646" s="915">
        <v>2709.1797841536459</v>
      </c>
    </row>
    <row r="1647" spans="1:3">
      <c r="A1647" s="3"/>
      <c r="B1647" t="s">
        <v>4024</v>
      </c>
      <c r="C1647" s="915">
        <v>0</v>
      </c>
    </row>
    <row r="1648" spans="1:3">
      <c r="A1648" s="3"/>
      <c r="B1648" t="s">
        <v>4025</v>
      </c>
      <c r="C1648" s="915">
        <v>24372.554078613746</v>
      </c>
    </row>
    <row r="1649" spans="1:5">
      <c r="A1649" s="3"/>
      <c r="B1649" t="s">
        <v>4026</v>
      </c>
      <c r="C1649" s="915">
        <v>615.39008342245984</v>
      </c>
    </row>
    <row r="1650" spans="1:5">
      <c r="A1650" s="3"/>
      <c r="B1650" s="526" t="s">
        <v>4027</v>
      </c>
      <c r="C1650" s="915">
        <v>16444.957306241584</v>
      </c>
    </row>
    <row r="1651" spans="1:5">
      <c r="A1651" s="3"/>
      <c r="B1651" s="526" t="s">
        <v>4028</v>
      </c>
      <c r="C1651" s="915">
        <v>16444.957306241584</v>
      </c>
    </row>
    <row r="1652" spans="1:5">
      <c r="A1652" s="3"/>
      <c r="B1652" s="526" t="s">
        <v>4029</v>
      </c>
      <c r="C1652" s="915">
        <v>14998.238656107189</v>
      </c>
    </row>
    <row r="1653" spans="1:5">
      <c r="A1653" s="3"/>
      <c r="B1653" t="s">
        <v>4030</v>
      </c>
      <c r="C1653" s="915">
        <v>2499.8674794593167</v>
      </c>
    </row>
    <row r="1654" spans="1:5">
      <c r="A1654" s="3"/>
      <c r="B1654" t="s">
        <v>4031</v>
      </c>
      <c r="C1654" s="915">
        <v>32140.792422095365</v>
      </c>
    </row>
    <row r="1655" spans="1:5">
      <c r="A1655" s="3"/>
      <c r="B1655" t="s">
        <v>4032</v>
      </c>
      <c r="C1655" s="915">
        <v>5513.4302822925574</v>
      </c>
    </row>
    <row r="1656" spans="1:5">
      <c r="A1656" s="3"/>
      <c r="B1656" s="526" t="s">
        <v>4033</v>
      </c>
      <c r="C1656" s="915">
        <v>134602.19700079926</v>
      </c>
    </row>
    <row r="1657" spans="1:5">
      <c r="A1657" s="3"/>
      <c r="B1657" s="526" t="s">
        <v>4034</v>
      </c>
      <c r="C1657" s="915">
        <v>113958.93551980422</v>
      </c>
    </row>
    <row r="1660" spans="1:5">
      <c r="A1660" s="3"/>
      <c r="B1660" s="912" t="s">
        <v>4041</v>
      </c>
      <c r="C1660" s="3" t="s">
        <v>4043</v>
      </c>
      <c r="D1660" s="85">
        <v>17.200849956393093</v>
      </c>
      <c r="E1660" s="72" t="s">
        <v>4042</v>
      </c>
    </row>
    <row r="1663" spans="1:5">
      <c r="A1663" s="3"/>
      <c r="B1663" s="912" t="s">
        <v>4044</v>
      </c>
      <c r="C1663" s="3" t="s">
        <v>4045</v>
      </c>
      <c r="D1663" s="85">
        <v>18.819499575878012</v>
      </c>
      <c r="E1663" s="72" t="s">
        <v>4042</v>
      </c>
    </row>
    <row r="1666" spans="1:5">
      <c r="A1666" s="3"/>
      <c r="B1666" s="912" t="s">
        <v>4046</v>
      </c>
      <c r="C1666" s="3" t="s">
        <v>4048</v>
      </c>
      <c r="D1666" s="85">
        <v>0.26599808746868864</v>
      </c>
      <c r="E1666" s="72" t="s">
        <v>4047</v>
      </c>
    </row>
    <row r="1669" spans="1:5">
      <c r="A1669" s="3"/>
      <c r="B1669" s="912" t="s">
        <v>4049</v>
      </c>
      <c r="C1669" s="3" t="s">
        <v>4050</v>
      </c>
      <c r="D1669" s="85">
        <v>0.38318831991939695</v>
      </c>
      <c r="E1669" s="72" t="s">
        <v>4047</v>
      </c>
    </row>
    <row r="1672" spans="1:5">
      <c r="A1672" s="3"/>
      <c r="B1672" s="912" t="s">
        <v>4051</v>
      </c>
      <c r="C1672" s="3" t="s">
        <v>4053</v>
      </c>
      <c r="D1672" s="85">
        <v>5.5573636935648949</v>
      </c>
      <c r="E1672" s="72" t="s">
        <v>4052</v>
      </c>
    </row>
    <row r="1675" spans="1:5">
      <c r="A1675" s="3"/>
      <c r="B1675" s="912" t="s">
        <v>4054</v>
      </c>
      <c r="C1675" s="3" t="s">
        <v>4055</v>
      </c>
      <c r="D1675" s="85">
        <v>6.0105855870206728</v>
      </c>
      <c r="E1675" s="72" t="s">
        <v>4052</v>
      </c>
    </row>
    <row r="1678" spans="1:5">
      <c r="A1678" s="3" t="s">
        <v>4057</v>
      </c>
      <c r="B1678" s="526" t="s">
        <v>4056</v>
      </c>
      <c r="C1678" s="889">
        <v>2722.1435719501874</v>
      </c>
      <c r="D1678" s="889">
        <v>2600</v>
      </c>
    </row>
    <row r="1681" spans="1:5">
      <c r="A1681" s="921"/>
      <c r="B1681" s="895" t="s">
        <v>4058</v>
      </c>
      <c r="C1681" s="896"/>
    </row>
    <row r="1682" spans="1:5">
      <c r="A1682" s="782"/>
      <c r="B1682" s="893" t="s">
        <v>3947</v>
      </c>
      <c r="C1682" s="847" t="s">
        <v>3948</v>
      </c>
    </row>
    <row r="1683" spans="1:5">
      <c r="A1683" s="3" t="s">
        <v>4059</v>
      </c>
      <c r="B1683">
        <v>0</v>
      </c>
      <c r="C1683" s="889">
        <v>953.90523240122491</v>
      </c>
    </row>
    <row r="1684" spans="1:5">
      <c r="A1684" s="3"/>
      <c r="B1684">
        <v>20000</v>
      </c>
      <c r="C1684" s="889">
        <v>4769.5261620061247</v>
      </c>
    </row>
    <row r="1685" spans="1:5">
      <c r="A1685" s="3"/>
      <c r="B1685">
        <v>50000</v>
      </c>
      <c r="C1685" s="889">
        <v>9857.0207348126569</v>
      </c>
    </row>
    <row r="1688" spans="1:5">
      <c r="A1688" s="3"/>
      <c r="B1688" s="912" t="s">
        <v>4060</v>
      </c>
      <c r="C1688" s="3" t="s">
        <v>4061</v>
      </c>
      <c r="D1688" s="85">
        <v>14784.380530580231</v>
      </c>
      <c r="E1688" s="72" t="s">
        <v>2172</v>
      </c>
    </row>
    <row r="1691" spans="1:5">
      <c r="A1691" s="3"/>
      <c r="B1691" s="912" t="s">
        <v>4062</v>
      </c>
      <c r="C1691" s="3" t="s">
        <v>4063</v>
      </c>
      <c r="D1691" s="85">
        <v>3392.2096819686953</v>
      </c>
      <c r="E1691" s="72" t="s">
        <v>3941</v>
      </c>
    </row>
    <row r="1694" spans="1:5">
      <c r="A1694" s="3"/>
      <c r="B1694" s="912" t="s">
        <v>4064</v>
      </c>
      <c r="C1694" s="3" t="s">
        <v>4065</v>
      </c>
      <c r="D1694" s="85">
        <v>0.56536828032811592</v>
      </c>
      <c r="E1694" s="72" t="s">
        <v>3944</v>
      </c>
    </row>
    <row r="1697" spans="1:4">
      <c r="A1697" s="921"/>
      <c r="B1697" s="895" t="s">
        <v>4066</v>
      </c>
      <c r="C1697" s="896"/>
    </row>
    <row r="1698" spans="1:4">
      <c r="A1698" s="782"/>
      <c r="B1698" s="893" t="s">
        <v>3989</v>
      </c>
      <c r="C1698" s="320" t="s">
        <v>3990</v>
      </c>
    </row>
    <row r="1699" spans="1:4">
      <c r="A1699" s="3" t="s">
        <v>4067</v>
      </c>
      <c r="B1699">
        <v>0</v>
      </c>
      <c r="C1699" s="889">
        <v>0</v>
      </c>
    </row>
    <row r="1700" spans="1:4">
      <c r="A1700" s="3"/>
      <c r="B1700">
        <v>1</v>
      </c>
      <c r="C1700" s="889">
        <v>1779.8631047366612</v>
      </c>
    </row>
    <row r="1701" spans="1:4">
      <c r="A1701" s="3"/>
      <c r="B1701">
        <v>5</v>
      </c>
      <c r="C1701" s="889">
        <v>2722.1435719501874</v>
      </c>
    </row>
    <row r="1704" spans="1:4">
      <c r="A1704" s="921"/>
      <c r="B1704" s="895" t="s">
        <v>4068</v>
      </c>
      <c r="C1704" s="896"/>
      <c r="D1704" s="896"/>
    </row>
    <row r="1705" spans="1:4">
      <c r="A1705" s="782"/>
      <c r="B1705" s="893" t="s">
        <v>3969</v>
      </c>
      <c r="C1705" s="320" t="s">
        <v>3970</v>
      </c>
      <c r="D1705" s="935" t="s">
        <v>4069</v>
      </c>
    </row>
    <row r="1706" spans="1:4">
      <c r="A1706" s="3" t="s">
        <v>4070</v>
      </c>
      <c r="B1706">
        <v>0</v>
      </c>
      <c r="C1706" s="889" t="s">
        <v>3972</v>
      </c>
      <c r="D1706" s="889">
        <v>2.6</v>
      </c>
    </row>
    <row r="1707" spans="1:4">
      <c r="A1707" s="3"/>
      <c r="B1707">
        <v>3.1E-2</v>
      </c>
      <c r="C1707" s="889" t="s">
        <v>3973</v>
      </c>
      <c r="D1707" s="889">
        <v>2.2999999999999998</v>
      </c>
    </row>
    <row r="1708" spans="1:4">
      <c r="A1708" s="3"/>
      <c r="B1708">
        <v>0.1241</v>
      </c>
      <c r="C1708" s="889" t="s">
        <v>3974</v>
      </c>
      <c r="D1708" s="889">
        <v>2.2000000000000002</v>
      </c>
    </row>
    <row r="1709" spans="1:4">
      <c r="B1709">
        <v>0.30509999999999998</v>
      </c>
      <c r="C1709" t="s">
        <v>3975</v>
      </c>
      <c r="D1709">
        <v>1.8</v>
      </c>
    </row>
    <row r="1710" spans="1:4">
      <c r="B1710">
        <v>0.74099999999999999</v>
      </c>
      <c r="C1710" t="s">
        <v>3976</v>
      </c>
      <c r="D1710">
        <v>1.6</v>
      </c>
    </row>
    <row r="1711" spans="1:4">
      <c r="B1711">
        <v>2.1520999999999999</v>
      </c>
      <c r="C1711" t="s">
        <v>3977</v>
      </c>
      <c r="D1711">
        <v>1.5</v>
      </c>
    </row>
    <row r="1712" spans="1:4">
      <c r="B1712">
        <v>7.3651</v>
      </c>
      <c r="C1712" t="s">
        <v>3978</v>
      </c>
      <c r="D1712">
        <v>1.5</v>
      </c>
    </row>
    <row r="1713" spans="2:4">
      <c r="B1713">
        <v>22.614100000000001</v>
      </c>
      <c r="C1713" t="s">
        <v>3979</v>
      </c>
      <c r="D1713">
        <v>1.4</v>
      </c>
    </row>
  </sheetData>
  <phoneticPr fontId="84" type="noConversion"/>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pageSetUpPr autoPageBreaks="0"/>
  </sheetPr>
  <dimension ref="A1:E82"/>
  <sheetViews>
    <sheetView zoomScaleNormal="100" workbookViewId="0">
      <pane ySplit="3" topLeftCell="A4" activePane="bottomLeft" state="frozen"/>
      <selection activeCell="D18" sqref="D18"/>
      <selection pane="bottomLeft" activeCell="C41" sqref="C41"/>
    </sheetView>
  </sheetViews>
  <sheetFormatPr baseColWidth="10" defaultColWidth="9.1640625" defaultRowHeight="13"/>
  <cols>
    <col min="1" max="1" width="47.83203125" style="16" customWidth="1"/>
    <col min="2" max="2" width="25.5" style="22" customWidth="1"/>
    <col min="3" max="3" width="18.6640625" style="16" customWidth="1"/>
    <col min="4" max="4" width="30.5" style="651" customWidth="1"/>
    <col min="5" max="16384" width="9.1640625" style="16"/>
  </cols>
  <sheetData>
    <row r="1" spans="1:5" s="526" customFormat="1">
      <c r="A1" s="1" t="s">
        <v>3250</v>
      </c>
      <c r="B1" s="3"/>
    </row>
    <row r="2" spans="1:5" s="526" customFormat="1">
      <c r="B2" s="3"/>
    </row>
    <row r="3" spans="1:5" s="526" customFormat="1">
      <c r="A3" s="206" t="s">
        <v>2950</v>
      </c>
      <c r="B3" s="206" t="s">
        <v>277</v>
      </c>
      <c r="C3" s="207" t="s">
        <v>278</v>
      </c>
      <c r="D3" s="206" t="s">
        <v>279</v>
      </c>
      <c r="E3" s="206" t="s">
        <v>280</v>
      </c>
    </row>
    <row r="4" spans="1:5">
      <c r="A4" s="2" t="s">
        <v>2952</v>
      </c>
    </row>
    <row r="5" spans="1:5">
      <c r="A5" s="205" t="s">
        <v>1500</v>
      </c>
      <c r="B5" s="22" t="s">
        <v>2486</v>
      </c>
      <c r="C5" s="16">
        <f>IF(throwaway_I="regeneration",1,2)</f>
        <v>2</v>
      </c>
      <c r="D5" s="526" t="s">
        <v>832</v>
      </c>
    </row>
    <row r="6" spans="1:5">
      <c r="A6" s="16" t="s">
        <v>640</v>
      </c>
      <c r="B6" s="3" t="s">
        <v>1810</v>
      </c>
      <c r="C6" s="16" t="str">
        <f>IF(no_backwash_I="existing pumps",1,IF(no_backwash_I="new pumps","",IF(ss_cat2=1,1,"")))</f>
        <v/>
      </c>
      <c r="D6" s="526" t="s">
        <v>1883</v>
      </c>
    </row>
    <row r="7" spans="1:5">
      <c r="A7" s="16" t="s">
        <v>1882</v>
      </c>
      <c r="B7" s="3" t="s">
        <v>1160</v>
      </c>
      <c r="C7" s="16" t="str">
        <f>IF(no_back_tank_I="existing storage",1,IF(no_back_tank_I="new storage","",IF(ss_cat2=2,"",1)))</f>
        <v/>
      </c>
      <c r="D7" s="526" t="s">
        <v>1884</v>
      </c>
    </row>
    <row r="8" spans="1:5">
      <c r="A8" t="s">
        <v>660</v>
      </c>
      <c r="B8" s="3" t="s">
        <v>743</v>
      </c>
      <c r="C8" t="str">
        <f>IF(brine_method_I="","",IF(brine_method_I="brine mixing tanks",1,2))</f>
        <v/>
      </c>
      <c r="D8" s="526" t="s">
        <v>639</v>
      </c>
    </row>
    <row r="10" spans="1:5">
      <c r="A10" s="96" t="s">
        <v>3237</v>
      </c>
    </row>
    <row r="11" spans="1:5">
      <c r="A11" s="651" t="s">
        <v>3234</v>
      </c>
      <c r="B11" s="22" t="s">
        <v>2506</v>
      </c>
      <c r="C11" s="20">
        <f>IF(BV_units="bed volumes",(num_treat_lines*IF(BV_definition="EBCT per vessel",1,Num_tanks)*media_volume_gal*BV_regen)/(average_flow*1000000),BV_regen*30)</f>
        <v>96.109625223851666</v>
      </c>
      <c r="D11" s="651" t="s">
        <v>268</v>
      </c>
      <c r="E11" s="15" t="s">
        <v>2505</v>
      </c>
    </row>
    <row r="12" spans="1:5">
      <c r="A12" s="651" t="s">
        <v>3235</v>
      </c>
      <c r="B12" s="22" t="s">
        <v>3236</v>
      </c>
      <c r="C12" s="16">
        <f>regen_days/30</f>
        <v>3.2036541741283888</v>
      </c>
      <c r="D12" s="651" t="s">
        <v>1294</v>
      </c>
    </row>
    <row r="13" spans="1:5" s="651" customFormat="1">
      <c r="A13" s="651" t="s">
        <v>833</v>
      </c>
      <c r="B13" s="22" t="s">
        <v>3497</v>
      </c>
      <c r="C13" s="776">
        <f>IF(BV_units="bed volumes",BV_regen,(average_flow*1000000)*BV_regen*30/(num_treat_lines*IF(BV_definition="EBCT per vessel",1,Num_tanks)*media_volume_gal))</f>
        <v>86800</v>
      </c>
      <c r="D13" s="651" t="s">
        <v>2677</v>
      </c>
      <c r="E13" s="792" t="s">
        <v>3496</v>
      </c>
    </row>
    <row r="15" spans="1:5">
      <c r="A15" s="96" t="s">
        <v>3222</v>
      </c>
    </row>
    <row r="16" spans="1:5">
      <c r="A16" s="16" t="s">
        <v>352</v>
      </c>
      <c r="B16" s="22" t="s">
        <v>975</v>
      </c>
      <c r="C16" s="18">
        <f>ROUND(h2oflush_backwash_rate*comm_SA,0)</f>
        <v>398</v>
      </c>
      <c r="D16" s="651" t="s">
        <v>142</v>
      </c>
    </row>
    <row r="17" spans="1:5">
      <c r="A17" s="16" t="s">
        <v>353</v>
      </c>
      <c r="B17" s="22" t="s">
        <v>976</v>
      </c>
      <c r="C17" s="18">
        <f>water_flush*backwash_time</f>
        <v>4776</v>
      </c>
      <c r="D17" s="651" t="s">
        <v>143</v>
      </c>
    </row>
    <row r="18" spans="1:5">
      <c r="A18" s="16" t="s">
        <v>1791</v>
      </c>
      <c r="B18" s="22" t="s">
        <v>1792</v>
      </c>
      <c r="C18" s="18">
        <f>vol_brine-vol_brine_sat</f>
        <v>0</v>
      </c>
      <c r="D18" s="651" t="s">
        <v>143</v>
      </c>
      <c r="E18" s="792" t="s">
        <v>3238</v>
      </c>
    </row>
    <row r="19" spans="1:5">
      <c r="A19" s="16" t="s">
        <v>1793</v>
      </c>
      <c r="B19" s="22" t="s">
        <v>1794</v>
      </c>
      <c r="C19" s="18">
        <f>brine_dilution_vol/time_regen</f>
        <v>0</v>
      </c>
      <c r="D19" s="651" t="s">
        <v>142</v>
      </c>
      <c r="E19" s="792" t="s">
        <v>3238</v>
      </c>
    </row>
    <row r="20" spans="1:5">
      <c r="A20" s="651" t="s">
        <v>3228</v>
      </c>
      <c r="B20" s="22" t="s">
        <v>1053</v>
      </c>
      <c r="C20" s="18">
        <f>media_volume_gal*rinse_BV</f>
        <v>0</v>
      </c>
      <c r="D20" s="651" t="s">
        <v>143</v>
      </c>
      <c r="E20" s="792" t="s">
        <v>3238</v>
      </c>
    </row>
    <row r="21" spans="1:5">
      <c r="A21" s="651" t="s">
        <v>3229</v>
      </c>
      <c r="B21" s="22" t="s">
        <v>1054</v>
      </c>
      <c r="C21" s="18">
        <f>rinse_vol/(comm_SA*rinse_rate)</f>
        <v>0</v>
      </c>
      <c r="D21" s="651" t="s">
        <v>60</v>
      </c>
      <c r="E21" s="792" t="s">
        <v>3238</v>
      </c>
    </row>
    <row r="22" spans="1:5">
      <c r="A22" s="651" t="s">
        <v>3230</v>
      </c>
      <c r="B22" s="22" t="s">
        <v>1055</v>
      </c>
      <c r="C22" s="18">
        <f>IF(rinse_time=0,0,rinse_vol/rinse_time)</f>
        <v>0</v>
      </c>
      <c r="D22" s="651" t="s">
        <v>142</v>
      </c>
      <c r="E22" s="792" t="s">
        <v>3238</v>
      </c>
    </row>
    <row r="23" spans="1:5">
      <c r="A23" s="16" t="s">
        <v>351</v>
      </c>
      <c r="B23" s="22" t="s">
        <v>266</v>
      </c>
      <c r="C23" s="18">
        <f>waterflush_vol+rinse_vol+brine_dilution_vol</f>
        <v>4776</v>
      </c>
      <c r="D23" s="651" t="s">
        <v>143</v>
      </c>
    </row>
    <row r="24" spans="1:5">
      <c r="A24" s="21"/>
      <c r="C24" s="18"/>
    </row>
    <row r="25" spans="1:5">
      <c r="A25" s="96" t="s">
        <v>2513</v>
      </c>
      <c r="B25" s="16"/>
    </row>
    <row r="26" spans="1:5" customFormat="1">
      <c r="A26" t="s">
        <v>1174</v>
      </c>
      <c r="B26" s="3" t="s">
        <v>1159</v>
      </c>
      <c r="C26" s="53">
        <f>MAX(VLOOKUP(10^6,st_bwt_cost_cl,1)-1,VLOOKUP(10^6,fg_bwt_cost_cl,1)-1,VLOOKUP(10^6,hdpe_bwt_cost_cl,1)-1)</f>
        <v>289000</v>
      </c>
      <c r="D26" s="526" t="s">
        <v>143</v>
      </c>
      <c r="E26" s="6" t="s">
        <v>730</v>
      </c>
    </row>
    <row r="27" spans="1:5">
      <c r="A27" t="s">
        <v>2513</v>
      </c>
      <c r="B27" s="3" t="s">
        <v>2514</v>
      </c>
      <c r="C27">
        <f>IF(no_back_tank=1,0,ROUNDUP(total_backwash/max_back_tank_size,0))</f>
        <v>1</v>
      </c>
      <c r="D27" s="526" t="s">
        <v>64</v>
      </c>
    </row>
    <row r="28" spans="1:5">
      <c r="A28" t="s">
        <v>1161</v>
      </c>
      <c r="B28" s="3" t="s">
        <v>1162</v>
      </c>
      <c r="C28" s="18">
        <f>IF(total_backwash=0,0,IF(back_tanks=0,0,total_backwash/back_tanks))</f>
        <v>4776</v>
      </c>
      <c r="D28" s="651" t="s">
        <v>1131</v>
      </c>
    </row>
    <row r="29" spans="1:5">
      <c r="A29"/>
      <c r="B29" s="3"/>
      <c r="C29" s="18"/>
    </row>
    <row r="30" spans="1:5">
      <c r="A30" s="6" t="s">
        <v>3226</v>
      </c>
      <c r="B30" s="3"/>
      <c r="C30" s="18"/>
    </row>
    <row r="31" spans="1:5">
      <c r="A31" s="6" t="s">
        <v>3227</v>
      </c>
      <c r="B31" s="3"/>
      <c r="C31" s="18"/>
    </row>
    <row r="32" spans="1:5">
      <c r="A32" s="2" t="s">
        <v>350</v>
      </c>
    </row>
    <row r="33" spans="1:5">
      <c r="A33" s="16" t="s">
        <v>94</v>
      </c>
      <c r="B33" s="22" t="s">
        <v>2670</v>
      </c>
      <c r="C33" s="20">
        <f>final_num_tanks*media_volume</f>
        <v>955.6724852220151</v>
      </c>
      <c r="D33" s="651" t="s">
        <v>1117</v>
      </c>
    </row>
    <row r="34" spans="1:5">
      <c r="A34" s="16" t="s">
        <v>2671</v>
      </c>
      <c r="B34" s="22" t="s">
        <v>2672</v>
      </c>
      <c r="C34" s="18">
        <f>comm_SA*brine_load</f>
        <v>0</v>
      </c>
      <c r="D34" s="651" t="s">
        <v>264</v>
      </c>
    </row>
    <row r="35" spans="1:5">
      <c r="A35" s="16" t="s">
        <v>1789</v>
      </c>
      <c r="B35" s="22" t="s">
        <v>1790</v>
      </c>
      <c r="C35" s="18">
        <f>IF(regen_type=1,salt_regen/brine_conc_sat,0)</f>
        <v>0</v>
      </c>
      <c r="D35" s="651" t="s">
        <v>143</v>
      </c>
    </row>
    <row r="36" spans="1:5">
      <c r="A36" s="16" t="s">
        <v>1788</v>
      </c>
      <c r="B36" s="22" t="s">
        <v>2673</v>
      </c>
      <c r="C36" s="18">
        <f>IF(regen_type=1,salt_regen/brine_conc,0)</f>
        <v>0</v>
      </c>
      <c r="D36" s="651" t="s">
        <v>143</v>
      </c>
    </row>
    <row r="37" spans="1:5">
      <c r="A37" s="16" t="s">
        <v>2568</v>
      </c>
      <c r="B37" s="22" t="s">
        <v>2569</v>
      </c>
      <c r="C37" s="18">
        <f>(regen_per_month*cstore_days/30)*salt_regen*final_num_tanks/(regen_reuse+1)</f>
        <v>0</v>
      </c>
      <c r="D37" s="651" t="s">
        <v>264</v>
      </c>
    </row>
    <row r="38" spans="1:5">
      <c r="C38" s="18"/>
    </row>
    <row r="39" spans="1:5">
      <c r="A39" s="96" t="s">
        <v>2521</v>
      </c>
      <c r="E39" s="6" t="s">
        <v>3225</v>
      </c>
    </row>
    <row r="40" spans="1:5">
      <c r="A40" s="27" t="s">
        <v>900</v>
      </c>
      <c r="B40" s="22" t="s">
        <v>901</v>
      </c>
      <c r="C40" s="18">
        <f>IF(regen_type=1,vol_brine,0)</f>
        <v>0</v>
      </c>
      <c r="D40" s="651" t="s">
        <v>143</v>
      </c>
    </row>
    <row r="41" spans="1:5">
      <c r="A41" s="16" t="s">
        <v>2864</v>
      </c>
      <c r="B41" s="22" t="s">
        <v>2865</v>
      </c>
      <c r="C41" s="32">
        <f>vol_regen/(time_regen*comm_SA)</f>
        <v>0</v>
      </c>
      <c r="D41" s="651" t="s">
        <v>140</v>
      </c>
      <c r="E41" s="15"/>
    </row>
    <row r="42" spans="1:5">
      <c r="A42" s="16" t="s">
        <v>1929</v>
      </c>
      <c r="B42" s="22" t="s">
        <v>1930</v>
      </c>
      <c r="C42" s="20">
        <f>regen_days/num_treat_lines*24*60</f>
        <v>138397.86032234642</v>
      </c>
      <c r="D42" s="651" t="s">
        <v>60</v>
      </c>
      <c r="E42" s="15" t="s">
        <v>1775</v>
      </c>
    </row>
    <row r="43" spans="1:5">
      <c r="A43" s="16" t="s">
        <v>2507</v>
      </c>
      <c r="B43" s="22" t="s">
        <v>3249</v>
      </c>
      <c r="C43" s="20">
        <f>30/regen_days</f>
        <v>0.31214355409383965</v>
      </c>
      <c r="D43" s="651" t="s">
        <v>2508</v>
      </c>
    </row>
    <row r="44" spans="1:5">
      <c r="A44" s="16" t="s">
        <v>265</v>
      </c>
      <c r="B44" s="22" t="s">
        <v>267</v>
      </c>
      <c r="C44" s="19">
        <f>backwash_time+rinse_time+time_regen</f>
        <v>57</v>
      </c>
      <c r="D44" s="651" t="s">
        <v>60</v>
      </c>
    </row>
    <row r="45" spans="1:5">
      <c r="A45" s="16" t="s">
        <v>616</v>
      </c>
      <c r="B45" s="22" t="s">
        <v>617</v>
      </c>
      <c r="C45" s="20">
        <f>regeneration_downtime*final_num_tanks/(24*60)</f>
        <v>0.11874999999999999</v>
      </c>
      <c r="D45" s="651" t="s">
        <v>268</v>
      </c>
    </row>
    <row r="46" spans="1:5">
      <c r="A46" s="16" t="s">
        <v>618</v>
      </c>
      <c r="B46" s="22" t="s">
        <v>619</v>
      </c>
      <c r="C46" s="20">
        <f>ROUNDUP(total_downtime/regen_days,0)</f>
        <v>1</v>
      </c>
    </row>
    <row r="47" spans="1:5">
      <c r="B47" s="16"/>
    </row>
    <row r="48" spans="1:5">
      <c r="A48" s="96" t="s">
        <v>902</v>
      </c>
      <c r="C48" s="18"/>
    </row>
    <row r="49" spans="1:5">
      <c r="A49" s="27" t="s">
        <v>1798</v>
      </c>
      <c r="B49" s="22" t="s">
        <v>1799</v>
      </c>
      <c r="C49" s="49">
        <f>IF(OR(regen_type=2,brine_method=2),0,vol_brine_sat)</f>
        <v>0</v>
      </c>
      <c r="D49" s="651" t="s">
        <v>143</v>
      </c>
    </row>
    <row r="50" spans="1:5" customFormat="1" ht="12.75" customHeight="1">
      <c r="A50" s="5" t="s">
        <v>2907</v>
      </c>
      <c r="B50" s="3" t="s">
        <v>1477</v>
      </c>
      <c r="C50" s="53">
        <f>MAX(VLOOKUP(10^6,pl_cst_cost_cl,1)-1,VLOOKUP(10^6,fg_cst_cost_cl,1)-1,VLOOKUP(10^6,ss_cst_cost_cl,1)-1)</f>
        <v>30000</v>
      </c>
      <c r="D50" s="526" t="s">
        <v>143</v>
      </c>
      <c r="E50" s="6" t="s">
        <v>730</v>
      </c>
    </row>
    <row r="51" spans="1:5" customFormat="1" ht="12.75" customHeight="1">
      <c r="A51" s="660" t="s">
        <v>3428</v>
      </c>
      <c r="B51" s="3" t="s">
        <v>3429</v>
      </c>
      <c r="C51" s="53">
        <f>MAX(VLOOKUP(10^6,pl_cst_cost_cl,1)-1,VLOOKUP(10^6,fg_cst_cost_cl,1)-1)</f>
        <v>30000</v>
      </c>
      <c r="D51" s="526" t="s">
        <v>143</v>
      </c>
      <c r="E51" s="6" t="s">
        <v>3430</v>
      </c>
    </row>
    <row r="52" spans="1:5">
      <c r="A52" t="s">
        <v>903</v>
      </c>
      <c r="B52" s="3" t="s">
        <v>354</v>
      </c>
      <c r="C52">
        <f>IF(OR(regen_type=2,brine_method=2),0,IF(mix_tank_vol_tot&gt;max_chem_tank_size,ROUNDUP(mix_tank_vol_tot/max_chem_tank_size,0)*regen_redun,regen_redun))</f>
        <v>0</v>
      </c>
      <c r="D52" s="526" t="s">
        <v>64</v>
      </c>
    </row>
    <row r="53" spans="1:5">
      <c r="A53" s="16" t="s">
        <v>904</v>
      </c>
      <c r="B53" s="3" t="s">
        <v>355</v>
      </c>
      <c r="C53" s="49">
        <f>IF(mix_tanks=0,0,mix_tank_vol_tot*regen_redun/mix_tanks)</f>
        <v>0</v>
      </c>
      <c r="D53" s="526" t="s">
        <v>143</v>
      </c>
    </row>
    <row r="54" spans="1:5">
      <c r="A54" t="s">
        <v>50</v>
      </c>
      <c r="B54" s="3" t="s">
        <v>2869</v>
      </c>
      <c r="C54">
        <f>mix_tanks</f>
        <v>0</v>
      </c>
      <c r="D54" s="526" t="s">
        <v>64</v>
      </c>
    </row>
    <row r="55" spans="1:5">
      <c r="C55" s="18"/>
    </row>
    <row r="56" spans="1:5">
      <c r="A56" s="96" t="s">
        <v>1460</v>
      </c>
      <c r="C56" s="18"/>
    </row>
    <row r="57" spans="1:5" customFormat="1" ht="12.75" customHeight="1">
      <c r="A57" t="s">
        <v>728</v>
      </c>
      <c r="B57" s="3" t="s">
        <v>729</v>
      </c>
      <c r="C57">
        <f>MAX(VLOOKUP(10^6,fg_saltbox_cost_cl,1)-0.1,VLOOKUP(10^6,pl_saltbox_cost_cl,1)-0.1)</f>
        <v>80</v>
      </c>
      <c r="D57" s="526" t="s">
        <v>2283</v>
      </c>
      <c r="E57" s="6" t="s">
        <v>730</v>
      </c>
    </row>
    <row r="58" spans="1:5">
      <c r="A58" s="16" t="s">
        <v>2279</v>
      </c>
      <c r="B58" s="22" t="s">
        <v>2280</v>
      </c>
      <c r="C58" s="32">
        <f>IF(salt_store/cstore_days/2000&gt;=min_saltbox,salt_store/cstore_days/2000,IF(salt_store/(cstore_days/7)/2000&gt;=min_saltbox,salt_store/(cstore_days/7)/2000,salt_store/(cstore_days/30)/2000))</f>
        <v>0</v>
      </c>
      <c r="D58" s="651" t="s">
        <v>2283</v>
      </c>
      <c r="E58" s="15" t="s">
        <v>1648</v>
      </c>
    </row>
    <row r="59" spans="1:5">
      <c r="A59" s="16" t="s">
        <v>2570</v>
      </c>
      <c r="B59" s="22" t="s">
        <v>2571</v>
      </c>
      <c r="C59" s="18">
        <f>IF(salt_store/cstore_days/2000&gt;=min_saltbox,1,IF(salt_store/(cstore_days/7)/2000&gt;=min_saltbox,7,30))</f>
        <v>30</v>
      </c>
      <c r="D59" s="651" t="s">
        <v>268</v>
      </c>
      <c r="E59" s="15"/>
    </row>
    <row r="60" spans="1:5">
      <c r="A60" s="16" t="s">
        <v>1647</v>
      </c>
      <c r="B60" s="22" t="s">
        <v>1467</v>
      </c>
      <c r="C60" s="18">
        <f>IF(cstore_days-salt_box_days&gt;0,cstore_days-salt_box_days,0)</f>
        <v>0</v>
      </c>
      <c r="D60" s="651" t="s">
        <v>268</v>
      </c>
      <c r="E60" s="15" t="s">
        <v>1466</v>
      </c>
    </row>
    <row r="61" spans="1:5">
      <c r="A61" s="16" t="s">
        <v>2281</v>
      </c>
      <c r="B61" s="22" t="s">
        <v>2282</v>
      </c>
      <c r="C61" s="18">
        <f>IF(AND(regen_type=1,brine_method=2),ROUNDUP(salt_box_need/max_saltbox,0),0)</f>
        <v>0</v>
      </c>
      <c r="D61" s="651" t="s">
        <v>64</v>
      </c>
    </row>
    <row r="62" spans="1:5">
      <c r="A62" s="16" t="s">
        <v>2277</v>
      </c>
      <c r="B62" s="22" t="s">
        <v>2278</v>
      </c>
      <c r="C62" s="18">
        <f>IF(AND(regen_type=1,brine_method=2),IF(ROUNDUP(salt_box_need/num_salt_box,0)&lt;min_saltbox,min_saltbox,ROUNDUP(salt_box_need/num_salt_box,0)),0)</f>
        <v>0</v>
      </c>
      <c r="D62" s="651" t="s">
        <v>2283</v>
      </c>
    </row>
    <row r="63" spans="1:5">
      <c r="C63" s="18"/>
    </row>
    <row r="64" spans="1:5">
      <c r="A64" s="96" t="s">
        <v>1464</v>
      </c>
      <c r="C64" s="18"/>
    </row>
    <row r="65" spans="1:5" customFormat="1">
      <c r="A65" t="s">
        <v>197</v>
      </c>
      <c r="B65" s="3" t="s">
        <v>198</v>
      </c>
      <c r="C65" s="562">
        <f>VLOOKUP(10^6,eductor_size_table_cl,1)</f>
        <v>53.5</v>
      </c>
      <c r="D65" s="526" t="s">
        <v>142</v>
      </c>
      <c r="E65" s="6" t="s">
        <v>730</v>
      </c>
    </row>
    <row r="66" spans="1:5">
      <c r="A66" s="16" t="s">
        <v>1425</v>
      </c>
      <c r="B66" s="22" t="s">
        <v>1426</v>
      </c>
      <c r="C66" s="18">
        <f>IF(regen_type=2,0,IF(brine_method=1,mix_tanks,num_salt_box))</f>
        <v>0</v>
      </c>
      <c r="D66" s="651" t="s">
        <v>64</v>
      </c>
    </row>
    <row r="67" spans="1:5">
      <c r="C67" s="18"/>
    </row>
    <row r="68" spans="1:5">
      <c r="A68" s="783" t="s">
        <v>2988</v>
      </c>
      <c r="C68" s="18"/>
    </row>
    <row r="69" spans="1:5">
      <c r="A69" s="784" t="s">
        <v>2989</v>
      </c>
      <c r="C69" s="720">
        <f>VLOOKUP("Sodium Chloride - Large Qty",chem_break_table_cl,2,FALSE)</f>
        <v>27500</v>
      </c>
      <c r="D69" s="651" t="s">
        <v>264</v>
      </c>
      <c r="E69" s="6" t="s">
        <v>2990</v>
      </c>
    </row>
    <row r="70" spans="1:5">
      <c r="A70" s="784" t="s">
        <v>2991</v>
      </c>
      <c r="C70" s="720">
        <f>VLOOKUP("Sodium Chloride - Mid Qty",chem_break_table_cl,2,FALSE)</f>
        <v>5000</v>
      </c>
      <c r="D70" s="651" t="s">
        <v>264</v>
      </c>
      <c r="E70" s="6" t="s">
        <v>2990</v>
      </c>
    </row>
    <row r="71" spans="1:5">
      <c r="A71" s="784" t="s">
        <v>2992</v>
      </c>
      <c r="C71" s="720">
        <f>VLOOKUP("Sodium Chloride - Small Qty",chem_break_table_cl,2,FALSE)</f>
        <v>0</v>
      </c>
      <c r="D71" s="651" t="s">
        <v>264</v>
      </c>
      <c r="E71" s="6" t="s">
        <v>2990</v>
      </c>
    </row>
    <row r="72" spans="1:5">
      <c r="A72" s="784" t="s">
        <v>2998</v>
      </c>
      <c r="B72" s="22" t="s">
        <v>2993</v>
      </c>
      <c r="C72" s="18" t="str">
        <f>IF(AND(ISNA(C69),ISNA(C70),ISNA(C71)),"",IF(salt_store&gt;=C69," - Large Qty",IF(salt_store&gt;=C70," - Mid Qty"," - Small Qty")))</f>
        <v xml:space="preserve"> - Small Qty</v>
      </c>
      <c r="E72" s="657" t="s">
        <v>2994</v>
      </c>
    </row>
    <row r="74" spans="1:5">
      <c r="A74" s="2" t="s">
        <v>3540</v>
      </c>
      <c r="B74" s="651"/>
    </row>
    <row r="75" spans="1:5">
      <c r="A75" s="526" t="s">
        <v>3143</v>
      </c>
      <c r="B75" s="3" t="s">
        <v>3541</v>
      </c>
      <c r="C75" s="16">
        <f>MAX(mix_tanks*mix_tank_vol*sec_cont_pct_of_total,mix_tank_vol*sec_cont_pct_of_largest)/7.48</f>
        <v>0</v>
      </c>
      <c r="D75" s="526" t="s">
        <v>1117</v>
      </c>
      <c r="E75" s="657" t="s">
        <v>3159</v>
      </c>
    </row>
    <row r="76" spans="1:5">
      <c r="A76" s="526" t="s">
        <v>3145</v>
      </c>
      <c r="B76" s="3" t="s">
        <v>3542</v>
      </c>
      <c r="C76" s="16">
        <f>IF(mix_tanks=0,0,mix_tank_fp-mix_tanks*PI()*(mx_diam/2)^2)</f>
        <v>0</v>
      </c>
      <c r="D76" s="526" t="s">
        <v>1067</v>
      </c>
      <c r="E76" s="657" t="s">
        <v>3160</v>
      </c>
    </row>
    <row r="77" spans="1:5">
      <c r="A77" s="526" t="s">
        <v>3147</v>
      </c>
      <c r="B77" s="3" t="s">
        <v>3543</v>
      </c>
      <c r="C77" s="16">
        <f>IF(mix_tanks=0,0,mix_cont_volume/mix_cont_fp+sec_cont_freeboard/12)</f>
        <v>0</v>
      </c>
      <c r="D77" s="526" t="s">
        <v>61</v>
      </c>
      <c r="E77"/>
    </row>
    <row r="78" spans="1:5">
      <c r="A78" s="526" t="s">
        <v>3149</v>
      </c>
      <c r="B78" s="3" t="s">
        <v>3544</v>
      </c>
      <c r="C78" s="16">
        <f>IF(mix_tanks=0,0,MIN(sec_cont_max_thick,mix_curb_height))</f>
        <v>0</v>
      </c>
      <c r="D78" s="526" t="s">
        <v>61</v>
      </c>
      <c r="E78"/>
    </row>
    <row r="79" spans="1:5">
      <c r="A79" s="526" t="s">
        <v>3151</v>
      </c>
      <c r="B79" s="3" t="s">
        <v>3545</v>
      </c>
      <c r="C79" s="16">
        <f>IF(mix_tanks=0,0,mix_tanks*mx_diam+2*space_st+(mix_tanks-1)*space_st+2*mix_curb_thick)</f>
        <v>0</v>
      </c>
      <c r="D79" s="526" t="s">
        <v>61</v>
      </c>
      <c r="E79"/>
    </row>
    <row r="80" spans="1:5">
      <c r="A80" s="526" t="s">
        <v>3153</v>
      </c>
      <c r="B80" s="3" t="s">
        <v>3546</v>
      </c>
      <c r="C80" s="16">
        <f>IF(mix_tanks=0,0,mx_diam+2*space_st)</f>
        <v>0</v>
      </c>
      <c r="D80" s="526" t="s">
        <v>61</v>
      </c>
      <c r="E80"/>
    </row>
    <row r="81" spans="1:5">
      <c r="A81" s="526" t="s">
        <v>3155</v>
      </c>
      <c r="B81" s="3" t="s">
        <v>3547</v>
      </c>
      <c r="C81" s="16">
        <f>IF(mix_tanks=0,0,ROUNDUP((mix_curb_len_long*2+mix_curb_len_short*2)*mix_curb_height*mix_curb_thick/27,0))</f>
        <v>0</v>
      </c>
      <c r="D81" s="526" t="s">
        <v>1906</v>
      </c>
      <c r="E81" s="657" t="s">
        <v>3161</v>
      </c>
    </row>
    <row r="82" spans="1:5">
      <c r="A82" s="526" t="s">
        <v>3157</v>
      </c>
      <c r="B82" s="3" t="s">
        <v>3548</v>
      </c>
      <c r="C82" s="16">
        <f>IF(mix_tanks=0,0,ROUNDUP((mix_tank_fp+2*(mix_curb_len_long-2*mix_curb_thick)*mix_curb_height+2*mix_curb_len_short*mix_curb_height)/sec_cont_coating_cvg,0))</f>
        <v>0</v>
      </c>
      <c r="D82" s="526" t="s">
        <v>143</v>
      </c>
      <c r="E82" s="657" t="s">
        <v>3162</v>
      </c>
    </row>
  </sheetData>
  <phoneticPr fontId="0" type="noConversion"/>
  <pageMargins left="0.75" right="0.75" top="1" bottom="1" header="0.5" footer="0.5"/>
  <pageSetup orientation="landscape"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E232"/>
  <sheetViews>
    <sheetView zoomScaleNormal="100" workbookViewId="0">
      <pane ySplit="3" topLeftCell="A186" activePane="bottomLeft" state="frozen"/>
      <selection activeCell="D18" sqref="D18"/>
      <selection pane="bottomLeft" activeCell="C209" sqref="C209"/>
    </sheetView>
  </sheetViews>
  <sheetFormatPr baseColWidth="10" defaultColWidth="8.83203125" defaultRowHeight="13"/>
  <cols>
    <col min="1" max="1" width="43.83203125" customWidth="1"/>
    <col min="2" max="2" width="22.5" customWidth="1"/>
    <col min="3" max="3" width="14.5" customWidth="1"/>
    <col min="4" max="4" width="25.6640625" style="526" customWidth="1"/>
  </cols>
  <sheetData>
    <row r="1" spans="1:5">
      <c r="A1" s="1" t="s">
        <v>2956</v>
      </c>
    </row>
    <row r="3" spans="1:5">
      <c r="A3" s="206" t="s">
        <v>2950</v>
      </c>
      <c r="B3" s="206" t="s">
        <v>277</v>
      </c>
      <c r="C3" s="207" t="s">
        <v>278</v>
      </c>
      <c r="D3" s="206" t="s">
        <v>279</v>
      </c>
      <c r="E3" s="206" t="s">
        <v>280</v>
      </c>
    </row>
    <row r="4" spans="1:5" s="2" customFormat="1">
      <c r="A4" s="2" t="s">
        <v>658</v>
      </c>
    </row>
    <row r="5" spans="1:5">
      <c r="A5" s="5" t="s">
        <v>1819</v>
      </c>
      <c r="B5" s="3" t="s">
        <v>1149</v>
      </c>
      <c r="C5">
        <f>IF(res_s2_opt_I="","",IF(res_s2_opt_I="surface water",1,IF(res_s2_opt_I="POTW",2,IF(res_s2_opt_I="evaporation pond",3,4))))</f>
        <v>4</v>
      </c>
      <c r="D5" s="526" t="s">
        <v>1544</v>
      </c>
    </row>
    <row r="6" spans="1:5">
      <c r="A6" s="5" t="s">
        <v>1818</v>
      </c>
      <c r="B6" s="3" t="s">
        <v>1150</v>
      </c>
      <c r="C6">
        <f>IF(res_s1_opt_I="","",IF(res_s2_opt&lt;&gt;3,IF(OR(res_s1_opt_I="holding tank",res_s2_opt=4),1,2),""))</f>
        <v>1</v>
      </c>
      <c r="D6" s="526" t="str">
        <f>IF(res_s2_opt&lt;&gt;3,"&lt;-- 1 for holding tank, 2 for no holding tank (input ignored if continuous regeneration is required)","")</f>
        <v>&lt;-- 1 for holding tank, 2 for no holding tank (input ignored if continuous regeneration is required)</v>
      </c>
    </row>
    <row r="7" spans="1:5">
      <c r="A7" s="5" t="s">
        <v>1151</v>
      </c>
      <c r="B7" s="3" t="s">
        <v>1152</v>
      </c>
      <c r="C7">
        <f>VLOOKUP(media_haz_I,resin_haz_table,2,FALSE)</f>
        <v>6</v>
      </c>
      <c r="D7" s="730" t="s">
        <v>3211</v>
      </c>
    </row>
    <row r="8" spans="1:5">
      <c r="A8" t="str">
        <f>IF(res_s2_opt=3,"Characteristics of evaporation pond solids","Characteristics of holding tank solids")</f>
        <v>Characteristics of holding tank solids</v>
      </c>
      <c r="B8" s="3" t="s">
        <v>1153</v>
      </c>
      <c r="C8">
        <f>IF(solids_haz_I="hazardous",2,IF(solids_haz_I="radioactive",3,IF(solids_haz_I="radioactive hazardous",4,1)))</f>
        <v>2</v>
      </c>
      <c r="D8" s="526" t="s">
        <v>2468</v>
      </c>
    </row>
    <row r="10" spans="1:5">
      <c r="A10" s="2" t="s">
        <v>3248</v>
      </c>
      <c r="B10" s="3"/>
      <c r="C10" s="5"/>
    </row>
    <row r="11" spans="1:5">
      <c r="A11" s="5" t="s">
        <v>1156</v>
      </c>
      <c r="B11" s="3" t="s">
        <v>1157</v>
      </c>
      <c r="C11" s="57">
        <f>IF(regen_type=2,0,vol_brine)</f>
        <v>0</v>
      </c>
      <c r="D11" s="526" t="s">
        <v>1131</v>
      </c>
      <c r="E11" s="6" t="s">
        <v>3252</v>
      </c>
    </row>
    <row r="12" spans="1:5">
      <c r="A12" t="s">
        <v>1401</v>
      </c>
      <c r="B12" s="3" t="s">
        <v>1154</v>
      </c>
      <c r="C12" s="77">
        <f>(total_backwash+regen_vol/(regen_reuse+1))</f>
        <v>4776</v>
      </c>
      <c r="D12" s="526" t="s">
        <v>1131</v>
      </c>
      <c r="E12" s="6" t="s">
        <v>1405</v>
      </c>
    </row>
    <row r="13" spans="1:5">
      <c r="A13" t="s">
        <v>1403</v>
      </c>
      <c r="B13" s="3" t="s">
        <v>1402</v>
      </c>
      <c r="C13" s="77">
        <f>IF(add_backwash_freq=0,0,total_backwash)</f>
        <v>0</v>
      </c>
      <c r="D13" s="526" t="s">
        <v>1131</v>
      </c>
      <c r="E13" s="6" t="s">
        <v>1404</v>
      </c>
    </row>
    <row r="14" spans="1:5">
      <c r="A14" t="s">
        <v>1406</v>
      </c>
      <c r="B14" s="3" t="s">
        <v>1158</v>
      </c>
      <c r="C14" s="100">
        <f>IF(regen_redun&gt;1,"NA",regen_days*24*60/num_treat_lines)</f>
        <v>138397.86032234642</v>
      </c>
      <c r="D14" s="526" t="s">
        <v>60</v>
      </c>
      <c r="E14" s="6" t="s">
        <v>886</v>
      </c>
    </row>
    <row r="15" spans="1:5">
      <c r="A15" t="s">
        <v>1407</v>
      </c>
      <c r="B15" s="3" t="s">
        <v>1408</v>
      </c>
      <c r="C15" s="100">
        <f>add_backwash_freq*24*60/final_num_tanks</f>
        <v>0</v>
      </c>
      <c r="D15" s="526" t="s">
        <v>60</v>
      </c>
      <c r="E15" s="6" t="s">
        <v>1409</v>
      </c>
    </row>
    <row r="16" spans="1:5">
      <c r="A16" t="s">
        <v>1660</v>
      </c>
      <c r="B16" s="3" t="s">
        <v>1661</v>
      </c>
      <c r="C16" s="101">
        <f>IF(regen_redun&gt;1,res_vol*regen_redun/regeneration_downtime,IF(AND(res_s1_opt=1,res_s2_opt&lt;&gt;3),res_vol/res_stagger_time,res_vol*regen_redun/regeneration_downtime))</f>
        <v>3.4509204035930045E-2</v>
      </c>
      <c r="D16" s="526" t="s">
        <v>142</v>
      </c>
      <c r="E16" s="6" t="s">
        <v>1662</v>
      </c>
    </row>
    <row r="17" spans="1:5">
      <c r="A17" s="5" t="s">
        <v>1410</v>
      </c>
      <c r="B17" s="3" t="s">
        <v>1411</v>
      </c>
      <c r="C17" s="101">
        <f>IF(add_backwash_freq=0,0,IF(AND(res_s1_opt=1,res_s2_opt&lt;&gt;3),res_outcycle_vol/res_outcycle_stagger_time,total_backwash/backwash_time))</f>
        <v>0</v>
      </c>
      <c r="D17" s="526" t="s">
        <v>142</v>
      </c>
      <c r="E17" s="6" t="s">
        <v>1662</v>
      </c>
    </row>
    <row r="18" spans="1:5">
      <c r="A18" t="s">
        <v>1663</v>
      </c>
      <c r="B18" s="3" t="s">
        <v>1664</v>
      </c>
      <c r="C18" s="101">
        <f>IF(regen_redun&gt;1,res_flow_actual,IF(AND(res_s1_opt=1,res_s2_opt&lt;&gt;3),res_cap_factor*res_vol/res_stagger_time,res_flow_actual))</f>
        <v>6.9018408071860091E-2</v>
      </c>
      <c r="D18" s="526" t="s">
        <v>142</v>
      </c>
      <c r="E18" s="6" t="s">
        <v>1665</v>
      </c>
    </row>
    <row r="19" spans="1:5">
      <c r="A19" s="5" t="s">
        <v>2132</v>
      </c>
      <c r="B19" s="3" t="s">
        <v>1412</v>
      </c>
      <c r="C19" s="101">
        <f>IF(add_backwash_freq=0,0,IF(AND(res_s1_opt=1,res_s2_opt&lt;&gt;3),res_cap_factor*res_outcycle_vol/res_outcycle_stagger_time,res_outcycle_flow_actual))</f>
        <v>0</v>
      </c>
      <c r="D19" s="526" t="s">
        <v>142</v>
      </c>
      <c r="E19" s="6" t="s">
        <v>1665</v>
      </c>
    </row>
    <row r="20" spans="1:5">
      <c r="A20" t="s">
        <v>1666</v>
      </c>
      <c r="B20" s="3" t="s">
        <v>1667</v>
      </c>
      <c r="C20" s="57">
        <f>IF(regen_redun&gt;1,res_flow*365*24*60,res_vol*num_treat_lines*(365/regen_days))+IF(add_backwash_freq=0,0,res_outcycle_vol*final_num_tanks*(365/add_backwash_freq))</f>
        <v>18138.037641284835</v>
      </c>
      <c r="D20" s="526" t="s">
        <v>1131</v>
      </c>
      <c r="E20" s="6" t="s">
        <v>1413</v>
      </c>
    </row>
    <row r="21" spans="1:5">
      <c r="A21" t="s">
        <v>1702</v>
      </c>
      <c r="B21" s="3" t="s">
        <v>1703</v>
      </c>
      <c r="C21" s="57">
        <f>IF(regen_redun&gt;1,(regen_vol/(regen_reuse+1)*regen_redun/regeneration_downtime)*365*24*60,regen_vol/(regen_reuse+1)*num_treat_lines*(365/regen_days))</f>
        <v>0</v>
      </c>
      <c r="D21" s="526" t="s">
        <v>1131</v>
      </c>
    </row>
    <row r="23" spans="1:5">
      <c r="A23" s="2" t="s">
        <v>1704</v>
      </c>
      <c r="B23" s="3"/>
      <c r="C23" s="78"/>
      <c r="E23" s="6" t="s">
        <v>2561</v>
      </c>
    </row>
    <row r="24" spans="1:5">
      <c r="A24" s="5" t="s">
        <v>897</v>
      </c>
      <c r="B24" s="3"/>
      <c r="C24" s="78">
        <f>(influent_TSS-effluent_TSS)*average_flow*1000000*365/res_flow_annual</f>
        <v>64958.515540743967</v>
      </c>
      <c r="D24" s="526" t="s">
        <v>141</v>
      </c>
      <c r="E24" s="6"/>
    </row>
    <row r="25" spans="1:5">
      <c r="A25" s="5" t="s">
        <v>898</v>
      </c>
      <c r="B25" s="3"/>
      <c r="C25" s="78">
        <f>resin_loss_vol_annual*media_density*453590/(res_flow_annual*3.78)</f>
        <v>0</v>
      </c>
      <c r="D25" s="526" t="s">
        <v>141</v>
      </c>
      <c r="E25" s="6"/>
    </row>
    <row r="26" spans="1:5">
      <c r="A26" t="s">
        <v>613</v>
      </c>
      <c r="B26" s="3" t="s">
        <v>614</v>
      </c>
      <c r="C26" s="78">
        <f>SUM(C24:C25)</f>
        <v>64958.515540743967</v>
      </c>
      <c r="D26" s="526" t="s">
        <v>141</v>
      </c>
    </row>
    <row r="27" spans="1:5">
      <c r="A27" t="s">
        <v>1705</v>
      </c>
      <c r="B27" s="3"/>
      <c r="C27" s="57">
        <f>IF(res_s2_opt=3,TSS_residuals*res_flow_annual*3.785/1000/453.59/dredging_freq,0)</f>
        <v>0</v>
      </c>
      <c r="D27" s="526" t="s">
        <v>264</v>
      </c>
    </row>
    <row r="28" spans="1:5">
      <c r="A28" t="s">
        <v>1706</v>
      </c>
      <c r="B28" s="3"/>
      <c r="C28" s="78">
        <f>IF(res_s2_opt=3,brine_conc*regen_flow_annual/dredging_freq,0)</f>
        <v>0</v>
      </c>
      <c r="D28" s="526" t="s">
        <v>264</v>
      </c>
    </row>
    <row r="29" spans="1:5">
      <c r="A29" t="s">
        <v>2574</v>
      </c>
      <c r="B29" s="3" t="s">
        <v>2575</v>
      </c>
      <c r="C29" s="78">
        <f>C27+C28</f>
        <v>0</v>
      </c>
      <c r="D29" s="526" t="s">
        <v>264</v>
      </c>
      <c r="E29" s="6" t="s">
        <v>2657</v>
      </c>
    </row>
    <row r="30" spans="1:5">
      <c r="A30" t="s">
        <v>2658</v>
      </c>
      <c r="B30" s="3"/>
      <c r="C30" s="101">
        <f>IF(res_holding&lt;&gt;"none",TSS_residuals*IF(coag_res=1,coag_TSSrem,htank_TSSrem)*res_flow_annual*3.785/1000/453.59,0)</f>
        <v>0</v>
      </c>
      <c r="D30" s="526" t="s">
        <v>2659</v>
      </c>
    </row>
    <row r="31" spans="1:5">
      <c r="A31" t="s">
        <v>2660</v>
      </c>
      <c r="B31" s="3"/>
      <c r="C31" s="101">
        <f>IF(AND(res_holding&lt;&gt;"none",coag_res=1),IF(coag_type&lt;&gt;1,coag_dose*coag_spf*8.34*res_flow_annual/10^6,0)+IF(coag_type&lt;&gt;2,polymer_dose*polymer_spf*8.34*res_flow_annual/10^6,0),0)</f>
        <v>0</v>
      </c>
      <c r="D31" s="526" t="s">
        <v>2659</v>
      </c>
    </row>
    <row r="32" spans="1:5">
      <c r="A32" t="s">
        <v>2661</v>
      </c>
      <c r="B32" s="3" t="s">
        <v>1046</v>
      </c>
      <c r="C32" s="57">
        <f>C31+C30</f>
        <v>0</v>
      </c>
      <c r="D32" s="526" t="s">
        <v>2659</v>
      </c>
    </row>
    <row r="33" spans="1:5">
      <c r="A33" t="s">
        <v>1047</v>
      </c>
      <c r="B33" s="3" t="s">
        <v>1048</v>
      </c>
      <c r="C33" s="78">
        <f>IF(res_holding="none",0,ROUNDUP((ht_solids/ht_solids_density*7.48)/(IF(res_holding="tanks",htanks*htank_vol,hbasins*hbasin_vol)*htank_clean_pct),0))</f>
        <v>0</v>
      </c>
      <c r="D33" s="724" t="s">
        <v>1049</v>
      </c>
    </row>
    <row r="34" spans="1:5">
      <c r="A34" t="s">
        <v>1050</v>
      </c>
      <c r="B34" s="3" t="s">
        <v>1051</v>
      </c>
      <c r="C34" s="103">
        <f>IF(res_s2_opt=3,ep_solids,IF(OR(res_holding="none",ht_solids=0),0,ht_solids/ht_clean_freq))/2000</f>
        <v>0</v>
      </c>
      <c r="D34" s="724" t="s">
        <v>2283</v>
      </c>
    </row>
    <row r="35" spans="1:5">
      <c r="A35" t="s">
        <v>664</v>
      </c>
      <c r="B35" s="3" t="s">
        <v>665</v>
      </c>
      <c r="C35" s="78">
        <f>IF(res_s2_opt=3,dredging_freq,IF(res_s1_opt=1,ht_clean_freq,0))</f>
        <v>0</v>
      </c>
      <c r="D35" s="724" t="s">
        <v>1049</v>
      </c>
    </row>
    <row r="37" spans="1:5">
      <c r="A37" s="2" t="s">
        <v>770</v>
      </c>
      <c r="B37" s="3"/>
      <c r="C37" s="78"/>
    </row>
    <row r="38" spans="1:5">
      <c r="A38" t="s">
        <v>666</v>
      </c>
      <c r="B38" s="3" t="s">
        <v>667</v>
      </c>
      <c r="C38" s="102">
        <f>IF(regen_type=1,1/resin_life,365/regen_days)</f>
        <v>3.7977465748083827</v>
      </c>
      <c r="D38" s="526" t="s">
        <v>1049</v>
      </c>
    </row>
    <row r="39" spans="1:5">
      <c r="A39" t="s">
        <v>1669</v>
      </c>
      <c r="B39" s="3" t="s">
        <v>2365</v>
      </c>
      <c r="C39" s="78">
        <f>IF(regen_type=1,total_media-resin_loss_vol_annual*media_density,media_per_vessel*num_treat_lines)/2000</f>
        <v>6.848986144091108</v>
      </c>
      <c r="D39" s="526" t="s">
        <v>2283</v>
      </c>
      <c r="E39" s="6" t="s">
        <v>891</v>
      </c>
    </row>
    <row r="40" spans="1:5">
      <c r="A40" t="s">
        <v>889</v>
      </c>
      <c r="B40" s="3" t="s">
        <v>890</v>
      </c>
      <c r="C40" s="103">
        <f>spent_media*disp_freq</f>
        <v>26.010713669632079</v>
      </c>
      <c r="D40" s="526" t="s">
        <v>2283</v>
      </c>
    </row>
    <row r="42" spans="1:5">
      <c r="A42" s="2" t="s">
        <v>874</v>
      </c>
      <c r="B42" s="470"/>
    </row>
    <row r="43" spans="1:5">
      <c r="A43" t="s">
        <v>666</v>
      </c>
      <c r="B43" s="470" t="s">
        <v>875</v>
      </c>
      <c r="C43">
        <f>12/cart_life</f>
        <v>2.4</v>
      </c>
      <c r="D43" s="526" t="s">
        <v>1049</v>
      </c>
    </row>
    <row r="44" spans="1:5">
      <c r="A44" t="s">
        <v>876</v>
      </c>
      <c r="B44" s="470" t="s">
        <v>877</v>
      </c>
      <c r="C44">
        <f>active_filters*filter_elements*VLOOKUP(filter_size,cart_wt_table,3)/2000</f>
        <v>0.192</v>
      </c>
      <c r="D44" s="526" t="s">
        <v>2283</v>
      </c>
    </row>
    <row r="46" spans="1:5">
      <c r="A46" s="2" t="s">
        <v>1670</v>
      </c>
      <c r="B46" s="3"/>
    </row>
    <row r="47" spans="1:5">
      <c r="A47" s="661" t="s">
        <v>1671</v>
      </c>
      <c r="B47" s="3"/>
    </row>
    <row r="48" spans="1:5">
      <c r="A48" s="660" t="s">
        <v>840</v>
      </c>
      <c r="B48" s="3" t="s">
        <v>841</v>
      </c>
      <c r="C48" s="53">
        <f>MAX(VLOOKUP(10^6,st_bwt_cost_cl,1)-1,VLOOKUP(10^6,fg_bwt_cost_cl,1)-1,VLOOKUP(10^6,hdpe_bwt_cost_cl,1)-1)</f>
        <v>289000</v>
      </c>
      <c r="D48" s="526" t="s">
        <v>1131</v>
      </c>
      <c r="E48" s="6" t="s">
        <v>730</v>
      </c>
    </row>
    <row r="49" spans="1:5">
      <c r="A49" s="660" t="s">
        <v>1672</v>
      </c>
      <c r="B49" s="3" t="s">
        <v>1673</v>
      </c>
      <c r="C49">
        <f>IF(coag_res=1,0,IF(regen_redun&gt;1,0,IF(AND(res_s1_opt=1,res_s2_opt&lt;&gt;3),ROUNDUP(MAX(res_flow*res_stagger_time,res_outcycle_flow*res_outcycle_stagger_time)/max_htank_size,0),0)))</f>
        <v>1</v>
      </c>
      <c r="D49" s="526" t="s">
        <v>64</v>
      </c>
      <c r="E49" s="6" t="s">
        <v>442</v>
      </c>
    </row>
    <row r="50" spans="1:5">
      <c r="A50" s="660" t="s">
        <v>1674</v>
      </c>
      <c r="B50" s="3" t="s">
        <v>1675</v>
      </c>
      <c r="C50" s="49">
        <f>IF(htanks=0,0,res_cap_factor*MAX(regen_redun*res_vol,res_outcycle_vol)/htanks)</f>
        <v>9552</v>
      </c>
      <c r="D50" s="526" t="s">
        <v>1131</v>
      </c>
    </row>
    <row r="51" spans="1:5">
      <c r="A51" s="5"/>
      <c r="B51" s="3"/>
      <c r="C51" s="49"/>
    </row>
    <row r="52" spans="1:5">
      <c r="A52" s="661" t="s">
        <v>443</v>
      </c>
      <c r="B52" s="3"/>
      <c r="C52" s="526"/>
    </row>
    <row r="53" spans="1:5">
      <c r="A53" s="660" t="s">
        <v>1090</v>
      </c>
      <c r="B53" s="3" t="s">
        <v>1091</v>
      </c>
      <c r="C53" s="526">
        <f>IF(coag_res=1,ROUNDUP(res_coag_settle_time/IF(res_outcycle_vol=0,res_stagger_time,MIN(res_stagger_time,res_outcycle_stagger_time)),0),1)</f>
        <v>1</v>
      </c>
      <c r="E53" s="6" t="s">
        <v>1092</v>
      </c>
    </row>
    <row r="54" spans="1:5">
      <c r="A54" s="660" t="s">
        <v>444</v>
      </c>
      <c r="B54" s="3" t="s">
        <v>445</v>
      </c>
      <c r="C54" s="625">
        <f>IF(regen_redun&gt;1,0,IF(AND(res_s1_opt=1,res_s2_opt&lt;&gt;3),hbasins_default*hbasin_redun,0))</f>
        <v>1</v>
      </c>
      <c r="D54" s="526" t="s">
        <v>64</v>
      </c>
      <c r="E54" s="6" t="s">
        <v>446</v>
      </c>
    </row>
    <row r="55" spans="1:5">
      <c r="A55" s="660" t="s">
        <v>1088</v>
      </c>
      <c r="B55" s="22" t="s">
        <v>1089</v>
      </c>
      <c r="C55" s="641">
        <f>IF(hbasins=0,0,MAX(res_cap_factor*res_vol,res_cap_factor*res_outcycle_vol)*hbasin_redun/7.48)</f>
        <v>1277.0053475935829</v>
      </c>
      <c r="D55" s="526" t="s">
        <v>1117</v>
      </c>
      <c r="E55" s="6" t="s">
        <v>446</v>
      </c>
    </row>
    <row r="56" spans="1:5">
      <c r="A56" s="660" t="s">
        <v>1082</v>
      </c>
      <c r="B56" s="22" t="s">
        <v>447</v>
      </c>
      <c r="C56" s="625">
        <f>IF(hbasins=0,0,total_hvol_ft/hbasins)</f>
        <v>1277.0053475935829</v>
      </c>
      <c r="D56" s="526" t="s">
        <v>1117</v>
      </c>
      <c r="E56" s="6" t="s">
        <v>446</v>
      </c>
    </row>
    <row r="57" spans="1:5">
      <c r="A57" s="660" t="s">
        <v>1083</v>
      </c>
      <c r="B57" s="22" t="s">
        <v>448</v>
      </c>
      <c r="C57" s="625">
        <f>IF(hbasins=0,0,ROUNDUP(hvol_ft^(1/3)*holding_ratio,0))</f>
        <v>7</v>
      </c>
      <c r="D57" s="526" t="s">
        <v>2843</v>
      </c>
      <c r="E57" s="6" t="s">
        <v>446</v>
      </c>
    </row>
    <row r="58" spans="1:5">
      <c r="A58" s="660" t="s">
        <v>1084</v>
      </c>
      <c r="B58" s="22" t="s">
        <v>449</v>
      </c>
      <c r="C58" s="625">
        <f>IF(hbasins=0,0,ROUNDUP((hvol_ft/hbasin_op_depth)^0.5,0))</f>
        <v>14</v>
      </c>
      <c r="D58" s="526" t="s">
        <v>2843</v>
      </c>
      <c r="E58" s="6" t="s">
        <v>446</v>
      </c>
    </row>
    <row r="59" spans="1:5">
      <c r="A59" s="660" t="s">
        <v>1085</v>
      </c>
      <c r="B59" s="22" t="s">
        <v>450</v>
      </c>
      <c r="C59" s="625">
        <f>hbasin_width</f>
        <v>14</v>
      </c>
      <c r="D59" s="526" t="s">
        <v>2843</v>
      </c>
      <c r="E59" s="6" t="s">
        <v>446</v>
      </c>
    </row>
    <row r="60" spans="1:5">
      <c r="A60" s="660" t="s">
        <v>1086</v>
      </c>
      <c r="B60" s="22" t="s">
        <v>451</v>
      </c>
      <c r="C60" s="625">
        <f>IF(hbasins=0,0,hbasin_op_depth+holding_freeboard)</f>
        <v>10</v>
      </c>
      <c r="D60" s="526" t="s">
        <v>2843</v>
      </c>
      <c r="E60" s="6" t="s">
        <v>446</v>
      </c>
    </row>
    <row r="61" spans="1:5">
      <c r="A61" s="660" t="s">
        <v>1087</v>
      </c>
      <c r="B61" s="22" t="s">
        <v>452</v>
      </c>
      <c r="C61" s="625">
        <f>ROUND(hbasin_width*hbasin_length*hbasin_depth*7.48,0)</f>
        <v>14661</v>
      </c>
      <c r="D61" s="526" t="s">
        <v>1131</v>
      </c>
      <c r="E61" s="6" t="s">
        <v>446</v>
      </c>
    </row>
    <row r="62" spans="1:5">
      <c r="A62" s="660" t="s">
        <v>453</v>
      </c>
      <c r="B62" s="22" t="s">
        <v>454</v>
      </c>
      <c r="C62" s="625">
        <f>(2*(hbasin_width*hbasins+conc_thick*(hbasins+1))*hbasin_depth*conc_thick+(hbasins+1)*hbasin_length*hbasin_depth*conc_thick+(hbasin_length+2*conc_thick)*(hbasin_width*hbasins+conc_thick*(hbasins+1))*conc_thick)/27</f>
        <v>31.703703703703702</v>
      </c>
      <c r="D62" s="526" t="s">
        <v>1906</v>
      </c>
      <c r="E62" s="6" t="s">
        <v>446</v>
      </c>
    </row>
    <row r="63" spans="1:5">
      <c r="A63" s="660" t="s">
        <v>455</v>
      </c>
      <c r="B63" s="22" t="s">
        <v>456</v>
      </c>
      <c r="C63" s="625">
        <f>IF(hbasins=0,0,((hbasins*hbasin_width+(hbasins+1)*conc_thick+overexcavate)*(hbasin_length+2*conc_thick+overexcavate)*(hbasin_depth+conc_thick+overexcavate)+0.5*(3*(hbasin_depth+conc_thick+overexcavate)*(hbasin_depth+conc_thick+overexcavate)*(hbasin_length+2*conc_thick+overexcavate)))/27)</f>
        <v>472.22222222222223</v>
      </c>
      <c r="D63" s="526" t="s">
        <v>1906</v>
      </c>
      <c r="E63" s="6" t="s">
        <v>446</v>
      </c>
    </row>
    <row r="64" spans="1:5">
      <c r="A64" s="660" t="s">
        <v>457</v>
      </c>
      <c r="B64" s="22" t="s">
        <v>458</v>
      </c>
      <c r="C64" s="625">
        <f>IF(hbasins=0,0,hexcavation_vol-(hbasins*hbasin_width+(hbasins+1)*conc_thick)*(hbasin_length+2*conc_thick)*(hbasin_depth+conc_thick)/27)</f>
        <v>367.92592592592592</v>
      </c>
      <c r="D64" s="526" t="s">
        <v>1906</v>
      </c>
      <c r="E64" s="6" t="s">
        <v>446</v>
      </c>
    </row>
    <row r="65" spans="1:5">
      <c r="A65" s="660" t="s">
        <v>459</v>
      </c>
      <c r="B65" s="22" t="s">
        <v>460</v>
      </c>
      <c r="C65" s="625">
        <f>IF(hbasins=0,0,2*(hbasins*hbasin_width+2*conc_thick/2+(hbasins-1)*conc_thick)+2*(hbasin_length+2*conc_thick/2))</f>
        <v>60</v>
      </c>
      <c r="D65" s="526" t="s">
        <v>1330</v>
      </c>
      <c r="E65" s="6" t="s">
        <v>446</v>
      </c>
    </row>
    <row r="66" spans="1:5">
      <c r="B66" s="22"/>
      <c r="C66" s="625"/>
      <c r="E66" s="6"/>
    </row>
    <row r="67" spans="1:5">
      <c r="A67" s="660" t="s">
        <v>468</v>
      </c>
      <c r="B67" s="3" t="s">
        <v>469</v>
      </c>
      <c r="C67" s="73" t="str">
        <f>IF(AND(hbasins&lt;&gt;0,coag_res=1),"basins",IF(OUTPUT!L68=1,"basins",IF(OR(OUTPUT!L69=1,OUTPUT!L70=1,OUTPUT!L71=1),"tanks","none")))</f>
        <v>tanks</v>
      </c>
      <c r="D67" s="526" t="s">
        <v>64</v>
      </c>
      <c r="E67" s="6" t="s">
        <v>470</v>
      </c>
    </row>
    <row r="69" spans="1:5">
      <c r="A69" s="661" t="s">
        <v>3316</v>
      </c>
      <c r="B69" s="3"/>
      <c r="C69" s="49"/>
    </row>
    <row r="70" spans="1:5">
      <c r="A70" s="660" t="s">
        <v>3317</v>
      </c>
      <c r="B70" s="3" t="s">
        <v>1696</v>
      </c>
      <c r="C70" s="37">
        <f>IF(AND(res_holding&lt;&gt;"none",coag_res=1),ROUNDUP(IF(res_holding="tanks",htank_vol,hbasin_vol)/1000*hmix_hp_per/hmix_hp_max,0),0)</f>
        <v>0</v>
      </c>
      <c r="D70" s="526" t="s">
        <v>64</v>
      </c>
    </row>
    <row r="71" spans="1:5">
      <c r="A71" s="843" t="s">
        <v>1693</v>
      </c>
      <c r="B71" s="3" t="s">
        <v>1694</v>
      </c>
      <c r="C71" s="44">
        <f>VLOOKUP(10^6,imp_mix_cost_cl,1)-0.1</f>
        <v>30</v>
      </c>
      <c r="D71" s="526" t="s">
        <v>1358</v>
      </c>
      <c r="E71" s="6" t="s">
        <v>1695</v>
      </c>
    </row>
    <row r="72" spans="1:5">
      <c r="A72" s="660" t="s">
        <v>3318</v>
      </c>
      <c r="B72" s="3" t="s">
        <v>1676</v>
      </c>
      <c r="C72" s="57">
        <f>IF(AND(res_holding&lt;&gt;"none",coag_res=1),IF(res_holding="tanks",htanks,hbasins)*hmix_per_tank,0)</f>
        <v>0</v>
      </c>
      <c r="D72" s="526" t="s">
        <v>64</v>
      </c>
    </row>
    <row r="73" spans="1:5">
      <c r="A73" s="660" t="s">
        <v>3319</v>
      </c>
      <c r="B73" s="3" t="s">
        <v>842</v>
      </c>
      <c r="C73" s="30">
        <f>IF(AND(res_holding&lt;&gt;"none",coag_res=1),MAX(min_hmix_hp,IF(res_holding="tanks",htank_vol,hbasin_vol)/1000*hmix_hp_per/hmix_per_tank),0)</f>
        <v>0</v>
      </c>
      <c r="D73" s="526" t="s">
        <v>1358</v>
      </c>
    </row>
    <row r="74" spans="1:5">
      <c r="A74" s="5"/>
      <c r="B74" s="3"/>
      <c r="C74" s="57"/>
    </row>
    <row r="75" spans="1:5">
      <c r="A75" s="661" t="s">
        <v>503</v>
      </c>
      <c r="D75"/>
    </row>
    <row r="76" spans="1:5">
      <c r="A76" s="660" t="s">
        <v>3320</v>
      </c>
      <c r="B76" s="3" t="s">
        <v>3321</v>
      </c>
      <c r="C76" s="73">
        <f>IF(AND(res_holding&lt;&gt;"none",coag_res=1,coag_type&lt;&gt;1),coag_dose*8.34*MAX(res_vol,res_outcycle_vol)/10^6,0)</f>
        <v>0</v>
      </c>
      <c r="D76" s="526" t="s">
        <v>264</v>
      </c>
    </row>
    <row r="77" spans="1:5">
      <c r="A77" s="660" t="s">
        <v>3322</v>
      </c>
      <c r="B77" s="3" t="s">
        <v>3323</v>
      </c>
      <c r="C77" s="643">
        <f>coag_day_lbs/coag_pct/coag_density</f>
        <v>0</v>
      </c>
      <c r="D77" s="526" t="s">
        <v>1131</v>
      </c>
    </row>
    <row r="78" spans="1:5">
      <c r="A78" s="660" t="s">
        <v>3433</v>
      </c>
      <c r="B78" s="3" t="s">
        <v>3324</v>
      </c>
      <c r="C78" s="73">
        <f>IF(AND(res_holding&lt;&gt;"none",coag_res=1,coag_type&lt;&gt;1),coag_dose*8.34*res_flow_annual/10^6/365*cstore_days,0)</f>
        <v>0</v>
      </c>
      <c r="D78" s="526" t="s">
        <v>264</v>
      </c>
    </row>
    <row r="79" spans="1:5">
      <c r="A79" s="660" t="s">
        <v>3325</v>
      </c>
      <c r="B79" s="3" t="s">
        <v>3326</v>
      </c>
      <c r="C79">
        <f>coag_storage_lbs/coag_pct/coag_density</f>
        <v>0</v>
      </c>
      <c r="D79" s="526" t="s">
        <v>1131</v>
      </c>
    </row>
    <row r="80" spans="1:5">
      <c r="A80" s="660" t="s">
        <v>3327</v>
      </c>
      <c r="B80" s="3" t="s">
        <v>3328</v>
      </c>
      <c r="C80">
        <f>ROUNDUP(coag_storage_gal/max_chem_tank_size_noSS,0)</f>
        <v>0</v>
      </c>
      <c r="D80" s="526" t="s">
        <v>64</v>
      </c>
    </row>
    <row r="81" spans="1:5">
      <c r="A81" s="660" t="s">
        <v>3329</v>
      </c>
      <c r="B81" s="3" t="s">
        <v>3330</v>
      </c>
      <c r="C81">
        <f>IF(coag_tanks&gt;0,ROUNDUP(coag_storage_gal/coag_tanks,0),0)</f>
        <v>0</v>
      </c>
      <c r="D81" s="526" t="s">
        <v>1131</v>
      </c>
    </row>
    <row r="82" spans="1:5">
      <c r="A82" s="660" t="s">
        <v>3331</v>
      </c>
      <c r="B82" s="3" t="s">
        <v>3332</v>
      </c>
      <c r="C82">
        <f>IF(AND(include_cmix=1,coag_tanks&lt;&gt;0),ROUNDUP(coag_tank_vol/1000*cmix_hp_per/cmix_hp_max,0),0)</f>
        <v>0</v>
      </c>
      <c r="D82" s="526" t="s">
        <v>64</v>
      </c>
    </row>
    <row r="83" spans="1:5">
      <c r="A83" s="660" t="s">
        <v>3333</v>
      </c>
      <c r="B83" s="3" t="s">
        <v>3334</v>
      </c>
      <c r="C83">
        <f>IF(AND(res_holding&lt;&gt;"none",coag_res=1,coag_type&lt;&gt;1),coag_tanks*coag_cmix_per_tank,0)</f>
        <v>0</v>
      </c>
      <c r="D83" s="526" t="s">
        <v>64</v>
      </c>
    </row>
    <row r="84" spans="1:5">
      <c r="A84" s="660" t="s">
        <v>2542</v>
      </c>
      <c r="B84" s="3" t="s">
        <v>3335</v>
      </c>
      <c r="C84">
        <f>IF(coag_cmixers&lt;&gt;0,MAX(min_cmix_hp,coag_tank_vol/1000*cmix_hp_per/coag_cmix_per_tank),0)</f>
        <v>0</v>
      </c>
      <c r="D84" s="526" t="s">
        <v>1358</v>
      </c>
    </row>
    <row r="85" spans="1:5">
      <c r="A85" s="660" t="s">
        <v>3336</v>
      </c>
      <c r="B85" s="3" t="s">
        <v>3337</v>
      </c>
      <c r="C85" s="73">
        <f>IF(coag_day_gal=0,0,coag_dose*8.34*MAX(res_vol/regeneration_downtime,res_outcycle_vol/backwash_time)*60/10^6/coag_pct/coag_density)</f>
        <v>0</v>
      </c>
      <c r="D85" s="526" t="s">
        <v>1029</v>
      </c>
    </row>
    <row r="86" spans="1:5">
      <c r="A86" s="660" t="s">
        <v>3338</v>
      </c>
      <c r="B86" s="3" t="s">
        <v>3339</v>
      </c>
      <c r="C86">
        <f>IF(coag_day_gal=0,0,ROUNDUP(coag_rate/max_cm_pump_size_noSS,0)+NRD_cm_pump)</f>
        <v>0</v>
      </c>
      <c r="D86" s="651" t="s">
        <v>64</v>
      </c>
    </row>
    <row r="87" spans="1:5">
      <c r="A87" s="660" t="s">
        <v>3340</v>
      </c>
      <c r="B87" s="3" t="s">
        <v>3341</v>
      </c>
      <c r="C87">
        <f>IF(coag_day_gal=0,0,MAX(min_chem_flow,coag_rate*(1+pump_safety_factor))/(cm_pumps_coag-NRD_cm_pump))</f>
        <v>0</v>
      </c>
      <c r="D87" s="651" t="s">
        <v>1029</v>
      </c>
    </row>
    <row r="88" spans="1:5">
      <c r="A88" s="660" t="s">
        <v>3434</v>
      </c>
      <c r="B88" s="3" t="s">
        <v>3435</v>
      </c>
      <c r="C88" s="526">
        <f>coag_storage_gal*coag_density</f>
        <v>0</v>
      </c>
      <c r="D88" s="651" t="s">
        <v>264</v>
      </c>
    </row>
    <row r="89" spans="1:5">
      <c r="A89" s="5"/>
      <c r="B89" s="3"/>
      <c r="C89" s="57"/>
    </row>
    <row r="90" spans="1:5">
      <c r="A90" s="661" t="s">
        <v>3356</v>
      </c>
      <c r="D90"/>
    </row>
    <row r="91" spans="1:5">
      <c r="A91" s="660" t="s">
        <v>3143</v>
      </c>
      <c r="B91" s="3" t="s">
        <v>3357</v>
      </c>
      <c r="C91">
        <f>MAX(coag_tanks*coag_tank_vol*sec_cont_pct_of_total,coag_tank_vol*sec_cont_pct_of_largest)/7.48</f>
        <v>0</v>
      </c>
      <c r="D91" s="526" t="s">
        <v>1117</v>
      </c>
      <c r="E91" s="657" t="s">
        <v>3159</v>
      </c>
    </row>
    <row r="92" spans="1:5">
      <c r="A92" s="660" t="s">
        <v>3145</v>
      </c>
      <c r="B92" s="3" t="s">
        <v>3358</v>
      </c>
      <c r="C92">
        <f>IF(coag_tanks=0,0,coag_fp-coag_tanks*PI()*(coag_st_diam/2)^2)</f>
        <v>0</v>
      </c>
      <c r="D92" s="526" t="s">
        <v>1067</v>
      </c>
      <c r="E92" s="657" t="s">
        <v>3160</v>
      </c>
    </row>
    <row r="93" spans="1:5">
      <c r="A93" s="660" t="s">
        <v>3147</v>
      </c>
      <c r="B93" s="3" t="s">
        <v>3359</v>
      </c>
      <c r="C93">
        <f>IF(coag_tanks=0,0,coag_cont_volume/coag_cont_fp+sec_cont_freeboard/12)</f>
        <v>0</v>
      </c>
      <c r="D93" s="526" t="s">
        <v>61</v>
      </c>
    </row>
    <row r="94" spans="1:5">
      <c r="A94" s="660" t="s">
        <v>3149</v>
      </c>
      <c r="B94" s="3" t="s">
        <v>3360</v>
      </c>
      <c r="C94">
        <f>IF(coag_tanks=0,0,MIN(sec_cont_max_thick,coag_curb_height))</f>
        <v>0</v>
      </c>
      <c r="D94" s="526" t="s">
        <v>61</v>
      </c>
    </row>
    <row r="95" spans="1:5">
      <c r="A95" s="660" t="s">
        <v>3151</v>
      </c>
      <c r="B95" s="3" t="s">
        <v>3361</v>
      </c>
      <c r="C95">
        <f>IF(coag_tanks=0,0,coag_tanks*coag_st_diam+2*space_coag_st+(coag_tanks-1)*space_coag_st+2*coag_curb_thick)</f>
        <v>0</v>
      </c>
      <c r="D95" s="526" t="s">
        <v>61</v>
      </c>
    </row>
    <row r="96" spans="1:5">
      <c r="A96" s="660" t="s">
        <v>3153</v>
      </c>
      <c r="B96" s="3" t="s">
        <v>3362</v>
      </c>
      <c r="C96">
        <f>IF(coag_tanks=0,0,coag_st_diam+2*space_coag_st)</f>
        <v>0</v>
      </c>
      <c r="D96" s="526" t="s">
        <v>61</v>
      </c>
    </row>
    <row r="97" spans="1:5">
      <c r="A97" s="660" t="s">
        <v>3155</v>
      </c>
      <c r="B97" s="3" t="s">
        <v>3363</v>
      </c>
      <c r="C97">
        <f>IF(coag_tanks=0,0,ROUNDUP((coag_curb_len_long*2+coag_curb_len_short*2)*coag_curb_height*coag_curb_thick/27,0))</f>
        <v>0</v>
      </c>
      <c r="D97" s="526" t="s">
        <v>1906</v>
      </c>
      <c r="E97" s="657" t="s">
        <v>3161</v>
      </c>
    </row>
    <row r="98" spans="1:5">
      <c r="A98" s="660" t="s">
        <v>3157</v>
      </c>
      <c r="B98" s="3" t="s">
        <v>3364</v>
      </c>
      <c r="C98">
        <f>IF(coag_tanks=0,0,ROUNDUP((coag_fp+2*(coag_curb_len_long-2*coag_curb_thick)*coag_curb_height+2*coag_curb_len_short*coag_curb_height)/sec_cont_coating_cvg,0))</f>
        <v>0</v>
      </c>
      <c r="D98" s="526" t="s">
        <v>143</v>
      </c>
      <c r="E98" s="657" t="s">
        <v>3162</v>
      </c>
    </row>
    <row r="99" spans="1:5">
      <c r="A99" s="5"/>
      <c r="B99" s="3"/>
      <c r="C99" s="57"/>
    </row>
    <row r="100" spans="1:5">
      <c r="A100" s="661" t="s">
        <v>504</v>
      </c>
      <c r="C100" s="72"/>
    </row>
    <row r="101" spans="1:5">
      <c r="A101" s="108" t="s">
        <v>540</v>
      </c>
      <c r="B101" s="3" t="s">
        <v>505</v>
      </c>
      <c r="C101" s="73">
        <f>IF(AND(res_holding&lt;&gt;"none",coag_res=1,coag_type&lt;&gt;2),polymer_dose*8.34*MAX(res_vol,res_outcycle_vol)/10^6/polymer_density,0)</f>
        <v>0</v>
      </c>
      <c r="D101" s="526" t="s">
        <v>1131</v>
      </c>
      <c r="E101" s="596"/>
    </row>
    <row r="102" spans="1:5">
      <c r="A102" s="108" t="s">
        <v>506</v>
      </c>
      <c r="B102" s="3" t="s">
        <v>507</v>
      </c>
      <c r="C102" s="73">
        <f>IF(AND(res_holding&lt;&gt;"none",coag_res=1,coag_type&lt;&gt;2),polymer_dose*8.34*res_flow_annual/10^6/polymer_density/365*cstore_days,0)</f>
        <v>0</v>
      </c>
      <c r="D102" s="526" t="s">
        <v>1131</v>
      </c>
      <c r="E102" s="596"/>
    </row>
    <row r="103" spans="1:5">
      <c r="A103" s="108" t="s">
        <v>2925</v>
      </c>
      <c r="B103" s="3" t="s">
        <v>2926</v>
      </c>
      <c r="C103" s="643">
        <f>polymer_storage*polymer_density</f>
        <v>0</v>
      </c>
      <c r="D103" s="526" t="s">
        <v>264</v>
      </c>
      <c r="E103" s="596"/>
    </row>
    <row r="104" spans="1:5">
      <c r="A104" s="108" t="s">
        <v>508</v>
      </c>
      <c r="B104" s="3" t="s">
        <v>509</v>
      </c>
      <c r="C104" s="73">
        <f>ROUNDUP(polymer_storage/max_chem_tank_size,0)</f>
        <v>0</v>
      </c>
      <c r="D104" s="526" t="s">
        <v>64</v>
      </c>
      <c r="E104" s="596"/>
    </row>
    <row r="105" spans="1:5">
      <c r="A105" s="108" t="s">
        <v>510</v>
      </c>
      <c r="B105" s="3" t="s">
        <v>511</v>
      </c>
      <c r="C105" s="73">
        <f>IF(polymer_tanks&gt;0,ROUNDUP(polymer_storage/polymer_tanks,0),0)</f>
        <v>0</v>
      </c>
      <c r="D105" s="526" t="s">
        <v>1131</v>
      </c>
      <c r="E105" s="596"/>
    </row>
    <row r="106" spans="1:5">
      <c r="A106" s="108" t="s">
        <v>2538</v>
      </c>
      <c r="B106" s="3" t="s">
        <v>512</v>
      </c>
      <c r="C106" s="73">
        <f>IF(AND(include_cmix=1,polymer_tanks&lt;&gt;0),ROUNDUP(polymer_tank_vol/1000*cmix_hp_per/cmix_hp_max,0),0)</f>
        <v>0</v>
      </c>
      <c r="D106" s="526" t="s">
        <v>64</v>
      </c>
      <c r="E106" s="596"/>
    </row>
    <row r="107" spans="1:5">
      <c r="A107" s="108" t="s">
        <v>2540</v>
      </c>
      <c r="B107" s="3" t="s">
        <v>513</v>
      </c>
      <c r="C107" s="73">
        <f>IF(AND(res_holding&lt;&gt;"none",coag_res=1,coag_type&lt;&gt;2),polymer_tanks*polymer_cmix_per_tank,0)</f>
        <v>0</v>
      </c>
      <c r="D107" s="526" t="s">
        <v>64</v>
      </c>
      <c r="E107" s="596"/>
    </row>
    <row r="108" spans="1:5">
      <c r="A108" s="108" t="s">
        <v>2542</v>
      </c>
      <c r="B108" s="3" t="s">
        <v>514</v>
      </c>
      <c r="C108" s="73">
        <f>IF(polymer_cmixers&lt;&gt;0,polymer_tank_vol/1000*cmix_hp_per/polymer_cmix_per_tank,0)</f>
        <v>0</v>
      </c>
      <c r="D108" s="526" t="s">
        <v>1358</v>
      </c>
      <c r="E108" s="596"/>
    </row>
    <row r="109" spans="1:5">
      <c r="A109" s="108" t="s">
        <v>541</v>
      </c>
      <c r="B109" s="3" t="s">
        <v>515</v>
      </c>
      <c r="C109" s="73">
        <f>IF(polymer_day=0,0,polymer_dose*8.34*MAX(res_vol/regeneration_downtime,res_outcycle_vol/backwash_time)*60/10^6/polymer_density)</f>
        <v>0</v>
      </c>
      <c r="D109" s="526" t="s">
        <v>1029</v>
      </c>
      <c r="E109" s="596"/>
    </row>
    <row r="110" spans="1:5">
      <c r="A110" s="108" t="s">
        <v>516</v>
      </c>
      <c r="B110" s="3" t="s">
        <v>517</v>
      </c>
      <c r="C110" s="73">
        <f>IF(polymer_day=0,0,ROUNDUP(polymer_rate/max_cm_pump_size,0)+NRD_cm_pump)</f>
        <v>0</v>
      </c>
      <c r="D110" s="651" t="s">
        <v>64</v>
      </c>
      <c r="E110" s="596"/>
    </row>
    <row r="111" spans="1:5">
      <c r="A111" s="108" t="s">
        <v>518</v>
      </c>
      <c r="B111" s="3" t="s">
        <v>519</v>
      </c>
      <c r="C111" s="73">
        <f>IF(polymer_day=0,0,MAX(min_chem_flow,polymer_rate*(1+pump_safety_factor)/(cm_pumps_polymer-NRD_cm_pump)))</f>
        <v>0</v>
      </c>
      <c r="D111" s="651" t="s">
        <v>1029</v>
      </c>
      <c r="E111" s="596"/>
    </row>
    <row r="113" spans="1:4">
      <c r="A113" s="661" t="s">
        <v>1338</v>
      </c>
      <c r="B113" s="3"/>
    </row>
    <row r="114" spans="1:4">
      <c r="A114" s="108" t="s">
        <v>1677</v>
      </c>
      <c r="B114" s="3" t="s">
        <v>1678</v>
      </c>
      <c r="C114">
        <f>IF(res_holding&lt;&gt;"none",ROUNDUP(MAX(res_flow,res_outcycle_flow)*(1+pump_safety_factor)/max_pump_size,0)+NRD_res_pump,0)</f>
        <v>2</v>
      </c>
      <c r="D114" s="526" t="s">
        <v>64</v>
      </c>
    </row>
    <row r="115" spans="1:4">
      <c r="A115" s="108" t="s">
        <v>1679</v>
      </c>
      <c r="B115" s="3" t="s">
        <v>1680</v>
      </c>
      <c r="C115" s="101">
        <f>IF(res_holding&lt;&gt;"none",MAX(res_flow,res_outcycle_flow)*(1+pump_safety_factor)/(res_pumps-NRD_res_pump),0)</f>
        <v>8.6273010089825117E-2</v>
      </c>
      <c r="D115" s="526" t="s">
        <v>142</v>
      </c>
    </row>
    <row r="116" spans="1:4">
      <c r="A116" s="5"/>
      <c r="B116" s="3"/>
      <c r="C116" s="101"/>
    </row>
    <row r="117" spans="1:4">
      <c r="A117" s="661" t="s">
        <v>199</v>
      </c>
      <c r="B117" s="3"/>
      <c r="C117" s="101"/>
    </row>
    <row r="118" spans="1:4">
      <c r="A118" s="108" t="s">
        <v>200</v>
      </c>
      <c r="B118" s="3" t="s">
        <v>201</v>
      </c>
      <c r="C118" s="18">
        <f>res_solids*2000/transfer_time</f>
        <v>0</v>
      </c>
      <c r="D118" s="526" t="s">
        <v>211</v>
      </c>
    </row>
    <row r="119" spans="1:4">
      <c r="A119" s="108" t="s">
        <v>202</v>
      </c>
      <c r="B119" s="3" t="s">
        <v>203</v>
      </c>
      <c r="C119" s="97">
        <f>res_transfer_rate/(ht_solids_density/7.48*60)</f>
        <v>0</v>
      </c>
      <c r="D119" s="526" t="s">
        <v>142</v>
      </c>
    </row>
    <row r="120" spans="1:4">
      <c r="A120" s="108" t="s">
        <v>204</v>
      </c>
      <c r="B120" s="3" t="s">
        <v>205</v>
      </c>
      <c r="C120" s="379">
        <f>IF(res_transfer_method=1,1,0)</f>
        <v>0</v>
      </c>
      <c r="D120" s="526" t="s">
        <v>64</v>
      </c>
    </row>
    <row r="121" spans="1:4">
      <c r="A121" s="108" t="s">
        <v>1425</v>
      </c>
      <c r="B121" s="3" t="s">
        <v>206</v>
      </c>
      <c r="C121" s="380">
        <f>IF(res_transfer_method&lt;&gt;2,0,ROUNDUP(res_transfer_rate_gal/max_eductor_size,0))</f>
        <v>0</v>
      </c>
      <c r="D121" s="526" t="s">
        <v>64</v>
      </c>
    </row>
    <row r="122" spans="1:4">
      <c r="A122" s="108" t="s">
        <v>207</v>
      </c>
      <c r="B122" s="3" t="s">
        <v>208</v>
      </c>
      <c r="C122" s="18">
        <f>IF(res_eductors=0,0,res_transfer_rate_gal/res_eductors)</f>
        <v>0</v>
      </c>
      <c r="D122" s="526" t="s">
        <v>142</v>
      </c>
    </row>
    <row r="123" spans="1:4">
      <c r="A123" s="108" t="s">
        <v>209</v>
      </c>
      <c r="B123" s="3" t="s">
        <v>210</v>
      </c>
      <c r="C123" s="37" t="str">
        <f>IF(res_transfer_method=2,VLOOKUP(res_eff_transfer_rate,eductor_size_table_cl,2),"NA")</f>
        <v>NA</v>
      </c>
      <c r="D123" s="526" t="s">
        <v>972</v>
      </c>
    </row>
    <row r="124" spans="1:4">
      <c r="A124" s="5"/>
      <c r="B124" s="3"/>
      <c r="C124" s="101"/>
    </row>
    <row r="125" spans="1:4">
      <c r="A125" s="661" t="s">
        <v>1645</v>
      </c>
      <c r="B125" s="3"/>
      <c r="C125" s="101"/>
    </row>
    <row r="126" spans="1:4">
      <c r="A126" s="108" t="s">
        <v>1646</v>
      </c>
      <c r="B126" s="3" t="s">
        <v>186</v>
      </c>
      <c r="C126" s="101">
        <f>ROUNDUP(res_solids*2000/ht_solids_density/solids_storage_height,-1)</f>
        <v>0</v>
      </c>
      <c r="D126" s="526" t="s">
        <v>851</v>
      </c>
    </row>
    <row r="127" spans="1:4">
      <c r="A127" s="108" t="s">
        <v>187</v>
      </c>
      <c r="B127" s="3" t="s">
        <v>188</v>
      </c>
      <c r="C127" s="49">
        <f>ROUNDUP(solids_pad_area*IF(ss_cat2=1,pad_thick_small,pad_thick)/27,0)</f>
        <v>0</v>
      </c>
      <c r="D127" s="526" t="s">
        <v>189</v>
      </c>
    </row>
    <row r="129" spans="1:5">
      <c r="A129" s="661" t="s">
        <v>1681</v>
      </c>
    </row>
    <row r="130" spans="1:5">
      <c r="A130" s="108" t="s">
        <v>1682</v>
      </c>
      <c r="B130" s="3" t="s">
        <v>1683</v>
      </c>
      <c r="C130" s="49">
        <f>IF(res_s2_opt=3,(res_flow_annual/7.48)*ep_safety_factor/((pan_evap*evap_ratio-precip)*0.0328),0)</f>
        <v>0</v>
      </c>
      <c r="D130" s="526" t="s">
        <v>1067</v>
      </c>
    </row>
    <row r="131" spans="1:5">
      <c r="A131" s="108" t="s">
        <v>1684</v>
      </c>
      <c r="B131" s="3" t="s">
        <v>1685</v>
      </c>
      <c r="C131" s="104">
        <f>IF(res_s2_opt=3,ep_solids/ep_solids_density/ep_total_sa,0)</f>
        <v>0</v>
      </c>
      <c r="D131" s="526" t="s">
        <v>61</v>
      </c>
    </row>
    <row r="132" spans="1:5">
      <c r="A132" s="108" t="s">
        <v>1686</v>
      </c>
      <c r="B132" s="3" t="s">
        <v>1687</v>
      </c>
      <c r="C132" s="104">
        <f>IF(res_s2_opt=3,(res_flow_annual/7.48)*winter_days/365/ep_total_sa,0)</f>
        <v>0</v>
      </c>
      <c r="D132" s="526" t="s">
        <v>61</v>
      </c>
    </row>
    <row r="133" spans="1:5">
      <c r="A133" s="108" t="s">
        <v>1688</v>
      </c>
      <c r="B133" s="3" t="s">
        <v>1689</v>
      </c>
      <c r="C133" s="104">
        <f>IF(res_s2_opt=3,ep_solids_depth+ep_water_depth+ep_freeboard,0)</f>
        <v>0</v>
      </c>
      <c r="D133" s="526" t="s">
        <v>61</v>
      </c>
      <c r="E133" s="6" t="s">
        <v>1690</v>
      </c>
    </row>
    <row r="134" spans="1:5">
      <c r="A134" s="108" t="s">
        <v>1232</v>
      </c>
      <c r="B134" s="3" t="s">
        <v>1233</v>
      </c>
      <c r="C134">
        <f>IF(res_s2_opt=3,IF(ROUNDUP(ep_total_sa/(max_ep_cell_area*43560),0)&lt;min_ep_cells,min_ep_cells,ROUNDUP(ep_total_sa/(max_ep_cell_area*43560),0)),0)</f>
        <v>0</v>
      </c>
      <c r="D134" s="526" t="s">
        <v>290</v>
      </c>
    </row>
    <row r="135" spans="1:5">
      <c r="A135" s="108" t="s">
        <v>1234</v>
      </c>
      <c r="B135" s="3" t="s">
        <v>1235</v>
      </c>
      <c r="C135" s="49">
        <f>IF(res_s2_opt=3,SQRT(ep_total_sa/ep_cells),0)</f>
        <v>0</v>
      </c>
      <c r="D135" s="526" t="s">
        <v>61</v>
      </c>
    </row>
    <row r="136" spans="1:5">
      <c r="A136" s="108" t="s">
        <v>1236</v>
      </c>
      <c r="B136" s="3" t="s">
        <v>1237</v>
      </c>
      <c r="C136" s="49">
        <f>IF(res_s2_opt=3,ROUNDUP(((ep_cell_side+ep_overexcavate)^2*(ep_depth+ep_overexcavate)+0.5*(3*(ep_depth+ep_overexcavate)*(ep_cell_side+ep_overexcavate)*(ep_depth+ep_overexcavate)))*ep_cells/27,0),0)</f>
        <v>0</v>
      </c>
      <c r="D136" s="526" t="s">
        <v>1906</v>
      </c>
    </row>
    <row r="137" spans="1:5">
      <c r="A137" s="108" t="s">
        <v>1238</v>
      </c>
      <c r="B137" s="3" t="s">
        <v>1239</v>
      </c>
      <c r="C137" s="49">
        <f>IF(res_s2_opt=3,ROUNDUP(ep_excavation_vol-(ep_cell_side^2*ep_depth*ep_cells)/27,0),0)</f>
        <v>0</v>
      </c>
      <c r="D137" s="526" t="s">
        <v>1906</v>
      </c>
    </row>
    <row r="138" spans="1:5">
      <c r="A138" s="108" t="s">
        <v>1240</v>
      </c>
      <c r="B138" s="3" t="s">
        <v>1241</v>
      </c>
      <c r="C138" s="49">
        <f>IF(res_s2_opt=3,ep_cells*ep_cell_side*4*dike_xsection/27,0)</f>
        <v>0</v>
      </c>
      <c r="D138" s="526" t="s">
        <v>1906</v>
      </c>
    </row>
    <row r="139" spans="1:5">
      <c r="A139" s="108" t="s">
        <v>1242</v>
      </c>
      <c r="B139" s="3" t="s">
        <v>1243</v>
      </c>
      <c r="C139" s="49">
        <f>(ep_cell_side^2+ep_cell_side*(ep_depth+2)*4)*ep_cells</f>
        <v>0</v>
      </c>
      <c r="D139" s="526" t="s">
        <v>1067</v>
      </c>
      <c r="E139" s="6" t="s">
        <v>1244</v>
      </c>
    </row>
    <row r="141" spans="1:5">
      <c r="A141" s="661" t="s">
        <v>1328</v>
      </c>
      <c r="B141" s="3"/>
    </row>
    <row r="142" spans="1:5">
      <c r="A142" s="108" t="s">
        <v>2837</v>
      </c>
      <c r="B142" s="3" t="s">
        <v>2842</v>
      </c>
      <c r="C142" s="27">
        <f>res_pipe_mult*facil_length+add_res_pipe_length</f>
        <v>100</v>
      </c>
      <c r="D142" s="526" t="s">
        <v>2843</v>
      </c>
    </row>
    <row r="143" spans="1:5">
      <c r="A143" s="108" t="s">
        <v>1245</v>
      </c>
      <c r="B143" s="3" t="s">
        <v>1246</v>
      </c>
      <c r="C143" s="27">
        <f>MAX(min_res_pipe_size,VLOOKUP(MAX(res_flow,res_outcycle_flow),pipe_size_table_cl,2))</f>
        <v>1</v>
      </c>
      <c r="D143" s="526" t="s">
        <v>972</v>
      </c>
    </row>
    <row r="144" spans="1:5">
      <c r="A144" s="108" t="s">
        <v>335</v>
      </c>
      <c r="B144" s="3" t="s">
        <v>336</v>
      </c>
      <c r="C144" s="27">
        <f>IF(res_s2_opt=4,0,add_res_pipe_length)</f>
        <v>0</v>
      </c>
      <c r="D144" s="526" t="s">
        <v>2843</v>
      </c>
    </row>
    <row r="145" spans="1:4">
      <c r="A145" s="108" t="s">
        <v>2797</v>
      </c>
      <c r="B145" s="3" t="s">
        <v>337</v>
      </c>
      <c r="C145">
        <f>MAX(frost,min_trench_depth)</f>
        <v>38</v>
      </c>
      <c r="D145" s="526" t="s">
        <v>1331</v>
      </c>
    </row>
    <row r="146" spans="1:4">
      <c r="A146" s="108" t="s">
        <v>2799</v>
      </c>
      <c r="B146" s="3" t="s">
        <v>338</v>
      </c>
      <c r="C146" s="519">
        <f>VLOOKUP(res_pipe_diam,thrust_block_table_cl,2)*2.2</f>
        <v>764.79838682438469</v>
      </c>
      <c r="D146" s="526" t="s">
        <v>972</v>
      </c>
    </row>
    <row r="147" spans="1:4">
      <c r="A147" s="108" t="s">
        <v>1186</v>
      </c>
      <c r="B147" s="3" t="s">
        <v>339</v>
      </c>
      <c r="C147">
        <f>1.5*res_thrust_force/(soil_dens*(res_trn_depth/12+res_pipe_diam/12)*Coeff_Kp*Reduction)</f>
        <v>2.5974368149556186</v>
      </c>
      <c r="D147" s="526" t="s">
        <v>264</v>
      </c>
    </row>
    <row r="148" spans="1:4">
      <c r="A148" s="108" t="s">
        <v>1188</v>
      </c>
      <c r="B148" s="3"/>
      <c r="C148">
        <f>res_bearing_area/C149</f>
        <v>2.2792265420337747</v>
      </c>
      <c r="D148" s="526" t="s">
        <v>851</v>
      </c>
    </row>
    <row r="149" spans="1:4">
      <c r="A149" s="108" t="s">
        <v>1189</v>
      </c>
      <c r="B149" s="3"/>
      <c r="C149">
        <f>(res_bearing_area/2)^0.5</f>
        <v>1.1396132710168871</v>
      </c>
      <c r="D149" s="526" t="s">
        <v>2843</v>
      </c>
    </row>
    <row r="150" spans="1:4">
      <c r="A150" s="108" t="s">
        <v>1190</v>
      </c>
      <c r="B150" s="3"/>
      <c r="C150">
        <f>MAX(0.5,res_pipe_diam/12)</f>
        <v>0.5</v>
      </c>
      <c r="D150" s="526" t="s">
        <v>2843</v>
      </c>
    </row>
    <row r="151" spans="1:4">
      <c r="A151" s="108" t="s">
        <v>1192</v>
      </c>
      <c r="B151" s="3"/>
      <c r="C151">
        <f>C148/2</f>
        <v>1.1396132710168874</v>
      </c>
      <c r="D151" s="526" t="s">
        <v>2843</v>
      </c>
    </row>
    <row r="152" spans="1:4">
      <c r="A152" s="108" t="s">
        <v>1193</v>
      </c>
      <c r="B152" s="3" t="s">
        <v>340</v>
      </c>
      <c r="C152">
        <f>IF(OR(buried_res_pipe_length=0,res_pipe_diam=0),0,(C151+(buried_res_pipe_length/12)/2)*(C148+C150)/2*C149/27)</f>
        <v>0</v>
      </c>
      <c r="D152" s="526" t="s">
        <v>1349</v>
      </c>
    </row>
    <row r="153" spans="1:4">
      <c r="A153" s="108" t="s">
        <v>341</v>
      </c>
      <c r="B153" s="3" t="s">
        <v>342</v>
      </c>
      <c r="C153" s="83">
        <f>IF(res_pipe_diam=0,0,(res_pipe_diam/12+2)*(bedding_depth/12+res_pipe_diam/12+res_trn_depth/12)+(bedding_depth/12+res_pipe_diam/12+res_trn_depth/12)^2*TAN(trench_angle))</f>
        <v>21.875</v>
      </c>
      <c r="D153" s="526" t="s">
        <v>1349</v>
      </c>
    </row>
    <row r="154" spans="1:4">
      <c r="A154" s="108" t="s">
        <v>343</v>
      </c>
      <c r="B154" s="3"/>
      <c r="C154" s="9">
        <f>res_trench_area*buried_res_pipe_length/27</f>
        <v>0</v>
      </c>
      <c r="D154" s="526" t="s">
        <v>851</v>
      </c>
    </row>
    <row r="155" spans="1:4">
      <c r="A155" s="108" t="s">
        <v>344</v>
      </c>
      <c r="B155" s="3" t="s">
        <v>345</v>
      </c>
      <c r="C155" s="9">
        <f>IF(OR(buried_res_pipe_length=0,res_pipe_diam=0),0,C154+res_block_vol)</f>
        <v>0</v>
      </c>
      <c r="D155" s="526" t="s">
        <v>1349</v>
      </c>
    </row>
    <row r="156" spans="1:4">
      <c r="A156" s="108" t="s">
        <v>2193</v>
      </c>
      <c r="B156" s="3"/>
      <c r="C156" s="84">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56" s="526" t="s">
        <v>851</v>
      </c>
    </row>
    <row r="157" spans="1:4">
      <c r="A157" s="108" t="s">
        <v>1800</v>
      </c>
      <c r="B157" s="3" t="s">
        <v>346</v>
      </c>
      <c r="C157">
        <f>C156*buried_res_pipe_length/2/27</f>
        <v>0</v>
      </c>
      <c r="D157" s="526" t="s">
        <v>1349</v>
      </c>
    </row>
    <row r="158" spans="1:4">
      <c r="B158" s="3"/>
      <c r="C158" s="27"/>
    </row>
    <row r="159" spans="1:4">
      <c r="A159" s="661" t="s">
        <v>1247</v>
      </c>
      <c r="B159" s="3"/>
      <c r="C159" s="27"/>
    </row>
    <row r="160" spans="1:4">
      <c r="A160" s="108" t="s">
        <v>1248</v>
      </c>
      <c r="B160" s="3" t="s">
        <v>1249</v>
      </c>
      <c r="C160" s="27">
        <f>res_pipe_diam</f>
        <v>1</v>
      </c>
      <c r="D160" s="526" t="s">
        <v>972</v>
      </c>
    </row>
    <row r="161" spans="1:4">
      <c r="A161" s="108" t="s">
        <v>1250</v>
      </c>
      <c r="B161" s="3" t="s">
        <v>1251</v>
      </c>
      <c r="C161" s="27">
        <f>VLOOKUP("res_MOV_pump",valve_table,manual+1,FALSE)*res_pumps+VLOOKUP("res_MOV_tank",valve_table,manual+1,FALSE)*IF(res_holding="tanks",htanks,IF(res_holding="basins",hbasins,0))+VLOOKUP("res_MOV_ep",valve_table,manual+1,FALSE)*ep_cells</f>
        <v>0</v>
      </c>
      <c r="D161" s="526" t="s">
        <v>144</v>
      </c>
    </row>
    <row r="162" spans="1:4">
      <c r="A162" s="108" t="s">
        <v>2123</v>
      </c>
      <c r="B162" s="3" t="s">
        <v>361</v>
      </c>
      <c r="C162" s="27">
        <f>VLOOKUP("res_man_pump",valve_table,manual+1,FALSE)*res_pumps+VLOOKUP("res_man_tank",valve_table,manual+1,FALSE)*IF(res_holding="tanks",htanks,IF(res_holding="basins",hbasins,0))+VLOOKUP("res_man_ep",valve_table,manual+1,FALSE)*ep_cells</f>
        <v>3</v>
      </c>
      <c r="D162" s="526" t="s">
        <v>144</v>
      </c>
    </row>
    <row r="163" spans="1:4">
      <c r="A163" s="108" t="s">
        <v>1252</v>
      </c>
      <c r="B163" s="3" t="s">
        <v>1253</v>
      </c>
      <c r="C163">
        <f>res_chv_pump*res_pumps+IF(res_pumps=0,res_chv_no_pump,0)</f>
        <v>2</v>
      </c>
      <c r="D163" s="526" t="s">
        <v>144</v>
      </c>
    </row>
    <row r="164" spans="1:4">
      <c r="A164" s="108" t="s">
        <v>1254</v>
      </c>
      <c r="B164" s="3" t="s">
        <v>1255</v>
      </c>
      <c r="C164">
        <f>IF(res_holding="tanks",htanks,IF(res_holding="basins",hbasins,0))*alarm_res</f>
        <v>1</v>
      </c>
      <c r="D164" s="526" t="s">
        <v>64</v>
      </c>
    </row>
    <row r="165" spans="1:4">
      <c r="A165" s="108" t="s">
        <v>1256</v>
      </c>
      <c r="B165" s="3" t="s">
        <v>1257</v>
      </c>
      <c r="C165" s="27">
        <f>res_pipe_diam</f>
        <v>1</v>
      </c>
      <c r="D165" s="526" t="s">
        <v>972</v>
      </c>
    </row>
    <row r="167" spans="1:4">
      <c r="A167" s="2" t="s">
        <v>473</v>
      </c>
    </row>
    <row r="168" spans="1:4">
      <c r="A168" s="661" t="s">
        <v>1338</v>
      </c>
      <c r="B168" s="3"/>
    </row>
    <row r="169" spans="1:4">
      <c r="A169" s="108" t="s">
        <v>1260</v>
      </c>
      <c r="B169" s="3"/>
      <c r="C169" s="621">
        <f>IF(res_pumps=0,0,MAX(res_flow_actual,res_outcycle_flow_actual)*res_pump_psi/(res_pumps-NRD_res_pump)/booster_pump_efficiency/14.7*33.9*8.34/550/60)</f>
        <v>6.7042185255702296E-4</v>
      </c>
      <c r="D169" s="526" t="s">
        <v>1358</v>
      </c>
    </row>
    <row r="170" spans="1:4">
      <c r="A170" s="108" t="s">
        <v>1261</v>
      </c>
      <c r="B170" s="3"/>
      <c r="C170" s="622">
        <f>C169*0.7457/1000*24*365</f>
        <v>4.379418120957523E-3</v>
      </c>
      <c r="D170" s="526" t="s">
        <v>179</v>
      </c>
    </row>
    <row r="171" spans="1:4">
      <c r="A171" s="108" t="s">
        <v>1262</v>
      </c>
      <c r="B171" s="3" t="s">
        <v>1263</v>
      </c>
      <c r="C171" s="622">
        <f>C170*(res_pumps-NRD_res_pump)</f>
        <v>4.379418120957523E-3</v>
      </c>
      <c r="D171" s="526" t="s">
        <v>179</v>
      </c>
    </row>
    <row r="172" spans="1:4">
      <c r="A172" s="108" t="s">
        <v>570</v>
      </c>
      <c r="B172" s="3" t="s">
        <v>571</v>
      </c>
      <c r="C172" s="7">
        <f>IF(res_pumps=0,0,OUTPUT!J204*booster_pump_maintenance)</f>
        <v>81.895445962954696</v>
      </c>
      <c r="D172" s="643" t="s">
        <v>177</v>
      </c>
    </row>
    <row r="174" spans="1:4">
      <c r="A174" s="661" t="s">
        <v>572</v>
      </c>
      <c r="B174" s="3"/>
      <c r="C174" s="7"/>
      <c r="D174" s="643"/>
    </row>
    <row r="175" spans="1:4">
      <c r="A175" s="660" t="s">
        <v>3436</v>
      </c>
      <c r="B175" s="3" t="s">
        <v>573</v>
      </c>
      <c r="C175" s="101">
        <f>IF(AND(res_holding&lt;&gt;"none",coag_res=1,coag_type&lt;&gt;1),coag_dose*8.34*res_flow_annual/10^6,0)/coag_pct</f>
        <v>0</v>
      </c>
      <c r="D175" s="526" t="s">
        <v>264</v>
      </c>
    </row>
    <row r="176" spans="1:4">
      <c r="A176" s="108" t="s">
        <v>520</v>
      </c>
      <c r="B176" s="3" t="s">
        <v>521</v>
      </c>
      <c r="C176" s="101">
        <f>IF(AND(res_holding&lt;&gt;"none",coag_res=1, coag_type&lt;&gt;2),polymer_dose*8.34*res_flow_annual/10^6,0)</f>
        <v>0</v>
      </c>
      <c r="D176" s="526" t="s">
        <v>264</v>
      </c>
    </row>
    <row r="177" spans="1:5">
      <c r="A177" s="108"/>
      <c r="B177" s="3"/>
      <c r="C177" s="101"/>
    </row>
    <row r="178" spans="1:5" s="16" customFormat="1">
      <c r="A178" s="661" t="s">
        <v>2995</v>
      </c>
      <c r="B178" s="3"/>
      <c r="C178" s="719"/>
      <c r="D178" s="719"/>
      <c r="E178" s="719"/>
    </row>
    <row r="179" spans="1:5" s="16" customFormat="1">
      <c r="A179" s="108" t="s">
        <v>2989</v>
      </c>
      <c r="B179" s="3"/>
      <c r="C179" s="720" t="e">
        <f>VLOOKUP("Ferric Chloride - Large Qty",chem_break_table_cl,2,FALSE)</f>
        <v>#N/A</v>
      </c>
      <c r="D179" s="719" t="s">
        <v>264</v>
      </c>
      <c r="E179" s="657" t="s">
        <v>2990</v>
      </c>
    </row>
    <row r="180" spans="1:5" s="16" customFormat="1">
      <c r="A180" s="108" t="s">
        <v>2991</v>
      </c>
      <c r="B180" s="3"/>
      <c r="C180" s="720" t="e">
        <f>VLOOKUP("Ferric Chloride - Mid Qty",chem_break_table_cl,2,FALSE)</f>
        <v>#N/A</v>
      </c>
      <c r="D180" s="719" t="s">
        <v>264</v>
      </c>
      <c r="E180" s="657" t="s">
        <v>2990</v>
      </c>
    </row>
    <row r="181" spans="1:5" s="16" customFormat="1">
      <c r="A181" s="108" t="s">
        <v>2992</v>
      </c>
      <c r="B181" s="3"/>
      <c r="C181" s="720" t="e">
        <f>VLOOKUP("Ferric Chloride - Small Qty",chem_break_table_cl,2,FALSE)</f>
        <v>#N/A</v>
      </c>
      <c r="D181" s="719" t="s">
        <v>264</v>
      </c>
      <c r="E181" s="657" t="s">
        <v>2990</v>
      </c>
    </row>
    <row r="182" spans="1:5" s="16" customFormat="1">
      <c r="A182" s="109" t="s">
        <v>2998</v>
      </c>
      <c r="B182" s="22" t="s">
        <v>2996</v>
      </c>
      <c r="C182" s="18" t="str">
        <f>IF(AND(ISNA(C179),ISNA(C180),ISNA(C181)),"",IF(coag_storage_lbs_bulk&gt;=C179," - Large Qty",IF(coag_storage_lbs_bulk&gt;=C180," - Mid Qty"," - Small Qty")))</f>
        <v/>
      </c>
      <c r="D182" s="651"/>
      <c r="E182" s="657" t="s">
        <v>2994</v>
      </c>
    </row>
    <row r="183" spans="1:5" s="16" customFormat="1">
      <c r="A183" s="109"/>
      <c r="B183" s="22"/>
      <c r="C183" s="18"/>
      <c r="D183" s="651"/>
      <c r="E183" s="657"/>
    </row>
    <row r="184" spans="1:5">
      <c r="A184" s="661" t="s">
        <v>3011</v>
      </c>
      <c r="B184" s="3"/>
      <c r="C184" s="101"/>
    </row>
    <row r="185" spans="1:5">
      <c r="A185" s="108" t="s">
        <v>2989</v>
      </c>
      <c r="B185" s="3"/>
      <c r="C185" s="720" t="e">
        <f>VLOOKUP("Polymers - Large Qty",chem_break_table_cl,2,FALSE)</f>
        <v>#N/A</v>
      </c>
      <c r="D185" s="526" t="s">
        <v>264</v>
      </c>
      <c r="E185" s="657" t="s">
        <v>2990</v>
      </c>
    </row>
    <row r="186" spans="1:5">
      <c r="A186" s="108" t="s">
        <v>2991</v>
      </c>
      <c r="B186" s="3"/>
      <c r="C186" s="720" t="e">
        <f>VLOOKUP("Polymers - Mid Qty",chem_break_table_cl,2,FALSE)</f>
        <v>#N/A</v>
      </c>
      <c r="D186" s="526" t="s">
        <v>264</v>
      </c>
      <c r="E186" s="657" t="s">
        <v>2990</v>
      </c>
    </row>
    <row r="187" spans="1:5">
      <c r="A187" s="108" t="s">
        <v>2992</v>
      </c>
      <c r="B187" s="3"/>
      <c r="C187" s="720" t="e">
        <f>VLOOKUP("Polymers - Small Qty",chem_break_table_cl,2,FALSE)</f>
        <v>#N/A</v>
      </c>
      <c r="D187" s="526" t="s">
        <v>264</v>
      </c>
      <c r="E187" s="657" t="s">
        <v>2990</v>
      </c>
    </row>
    <row r="188" spans="1:5">
      <c r="A188" s="108" t="s">
        <v>2998</v>
      </c>
      <c r="B188" s="3" t="s">
        <v>3000</v>
      </c>
      <c r="C188" s="18" t="str">
        <f>IF(AND(ISNA(C185),ISNA(C186),ISNA(C187)),"",IF(polymer_storage_lbs&gt;=C185," - Large Qty",IF(polymer_storage_lbs&gt;=C186," - Mid Qty"," - Small Qty")))</f>
        <v/>
      </c>
      <c r="E188" s="657" t="s">
        <v>2994</v>
      </c>
    </row>
    <row r="190" spans="1:5">
      <c r="A190" s="661" t="s">
        <v>574</v>
      </c>
      <c r="B190" s="3"/>
    </row>
    <row r="191" spans="1:5">
      <c r="A191" s="108" t="s">
        <v>575</v>
      </c>
      <c r="B191" s="3" t="s">
        <v>576</v>
      </c>
      <c r="C191" s="49">
        <f>IF(res_holding&lt;&gt;"none",TSS_residuals*(1-IF(coag_res=1,coag_TSSrem,htank_TSSrem)),TSS_residuals)</f>
        <v>64958.515540743967</v>
      </c>
      <c r="D191" s="526" t="s">
        <v>141</v>
      </c>
    </row>
    <row r="192" spans="1:5">
      <c r="A192" s="108" t="s">
        <v>577</v>
      </c>
      <c r="B192" s="3" t="s">
        <v>615</v>
      </c>
      <c r="C192" s="57">
        <f>IF((TSS_residuals_dis-POTW_TSS_limit)*res_flow_annual*3.785/1000/453.59&gt;0,(TSS_residuals_dis-POTW_TSS_limit)*res_flow_annual*3.785/1000/453.59,0)</f>
        <v>9793.8657860224739</v>
      </c>
      <c r="D192" s="651" t="s">
        <v>2659</v>
      </c>
    </row>
    <row r="193" spans="1:5">
      <c r="A193" s="108" t="s">
        <v>578</v>
      </c>
      <c r="B193" s="3"/>
      <c r="C193" s="60">
        <f>IF(POTW_rate_type=1,POTW_base_cost_avg_cl,IF(POTW_base_fee=1,POTW_base_cost_typ_cl,0))*12</f>
        <v>206.41019947671711</v>
      </c>
      <c r="D193" s="526" t="s">
        <v>579</v>
      </c>
    </row>
    <row r="194" spans="1:5">
      <c r="A194" s="108" t="s">
        <v>580</v>
      </c>
      <c r="B194" s="3"/>
      <c r="C194" s="60">
        <f>IF(POTW_rate_type=1,POTW_vol_cost_avg_cl,IF(POTW_volume_fee=1,POTW_vol_cost_typ_cl,0))*res_flow_annual/1000</f>
        <v>100.79967186018979</v>
      </c>
      <c r="D194" s="526" t="s">
        <v>579</v>
      </c>
    </row>
    <row r="195" spans="1:5">
      <c r="A195" s="108" t="s">
        <v>581</v>
      </c>
      <c r="B195" s="3"/>
      <c r="C195" s="60">
        <f>IF(POTW_rate_type=1,POTW_TSS_cost_avg_cl,IF(POTW_TSS_fee=1,POTW_TSS_cost_typ_cl,0))*ex_TSS_total</f>
        <v>2605.1495680070029</v>
      </c>
      <c r="D195" s="526" t="s">
        <v>579</v>
      </c>
    </row>
    <row r="196" spans="1:5">
      <c r="A196" s="108" t="s">
        <v>582</v>
      </c>
      <c r="B196" s="3" t="s">
        <v>583</v>
      </c>
      <c r="C196" s="105">
        <f>SUM(C193:C195)</f>
        <v>2912.3594393439098</v>
      </c>
      <c r="D196" s="526" t="s">
        <v>579</v>
      </c>
    </row>
    <row r="198" spans="1:5">
      <c r="A198" s="661" t="s">
        <v>1545</v>
      </c>
      <c r="B198" s="3"/>
    </row>
    <row r="199" spans="1:5">
      <c r="A199" s="108" t="s">
        <v>585</v>
      </c>
      <c r="B199" s="3"/>
      <c r="C199">
        <f>IF(res_s2_opt=4,lhaz_disposal_cost_cl*res_flow_annual,0)</f>
        <v>69124.079602219674</v>
      </c>
      <c r="D199" s="526" t="s">
        <v>579</v>
      </c>
    </row>
    <row r="200" spans="1:5">
      <c r="A200" s="108" t="s">
        <v>1546</v>
      </c>
      <c r="B200" s="3"/>
      <c r="C200" s="376">
        <f>365*24*60/res_stagger_time</f>
        <v>3.7977465748083823</v>
      </c>
      <c r="D200" s="526" t="s">
        <v>1049</v>
      </c>
    </row>
    <row r="201" spans="1:5">
      <c r="A201" s="108" t="s">
        <v>1415</v>
      </c>
      <c r="B201" s="3"/>
      <c r="C201" s="376">
        <f>+IF(res_outcycle_stagger_time=0,0,365*24*60/res_outcycle_stagger_time)</f>
        <v>0</v>
      </c>
      <c r="D201" s="526" t="s">
        <v>1049</v>
      </c>
    </row>
    <row r="202" spans="1:5">
      <c r="A202" s="108" t="s">
        <v>586</v>
      </c>
      <c r="B202" s="3"/>
      <c r="C202" s="376">
        <f>IF(res_vol&gt;max_lhaz_ship,ROUNDUP(res_vol/max_lhaz_ship,0)*C200,C200)+IF(res_outcycle_vol&gt;max_lhaz_ship,ROUNDUP(res_outcycle_vol/max_lhaz_ship,0)*C201,C201)</f>
        <v>3.7977465748083823</v>
      </c>
      <c r="E202" s="6"/>
    </row>
    <row r="203" spans="1:5">
      <c r="A203" s="108" t="s">
        <v>587</v>
      </c>
      <c r="B203" s="3"/>
      <c r="C203" s="7">
        <f>MAX(C202*lhaz_trans_min_cost_cl,res_flow_annual*haz_miles*lhaz_transportation_cost_cl)</f>
        <v>12882.752700728444</v>
      </c>
      <c r="D203" s="526" t="s">
        <v>579</v>
      </c>
    </row>
    <row r="204" spans="1:5">
      <c r="A204" s="108" t="s">
        <v>1547</v>
      </c>
      <c r="B204" s="3" t="s">
        <v>1548</v>
      </c>
      <c r="C204" s="74">
        <f>C199+C203</f>
        <v>82006.832302948111</v>
      </c>
      <c r="D204" s="526" t="s">
        <v>579</v>
      </c>
    </row>
    <row r="205" spans="1:5">
      <c r="B205" s="3"/>
    </row>
    <row r="206" spans="1:5">
      <c r="A206" s="661" t="s">
        <v>584</v>
      </c>
      <c r="B206" s="5"/>
    </row>
    <row r="207" spans="1:5">
      <c r="A207" s="660" t="s">
        <v>3517</v>
      </c>
      <c r="B207" s="1"/>
      <c r="C207" s="865">
        <f>VLOOKUP(current_year_cl,esc_factor_table,2,FALSE)/VLOOKUP(alt_media_disp_year,esc_factor_table,2,FALSE)</f>
        <v>1</v>
      </c>
      <c r="D207" s="1"/>
      <c r="E207" s="657" t="s">
        <v>3518</v>
      </c>
    </row>
    <row r="208" spans="1:5">
      <c r="A208" s="962" t="s">
        <v>3522</v>
      </c>
      <c r="B208" s="963" t="s">
        <v>3523</v>
      </c>
      <c r="C208" s="964">
        <f>C207*alt_media_disp</f>
        <v>2558.1395348837209</v>
      </c>
      <c r="D208" s="965" t="s">
        <v>2172</v>
      </c>
      <c r="E208" s="6" t="s">
        <v>3524</v>
      </c>
    </row>
    <row r="209" spans="1:5">
      <c r="A209" s="962" t="s">
        <v>3529</v>
      </c>
      <c r="B209" s="963" t="s">
        <v>3530</v>
      </c>
      <c r="C209" s="964">
        <f>C207*alt_media_disp_haz</f>
        <v>3488.3720930232557</v>
      </c>
      <c r="D209" s="965" t="s">
        <v>2172</v>
      </c>
      <c r="E209" s="6" t="s">
        <v>3524</v>
      </c>
    </row>
    <row r="210" spans="1:5">
      <c r="A210" s="108" t="s">
        <v>585</v>
      </c>
      <c r="B210" s="3"/>
      <c r="C210" s="80">
        <f>spent_media*disp_freq*CHOOSE(media_haz,incin_cost_per_ton,nonhaz_disposal_cost_cl,haz_disposal_cost_cl,rad_disposal_cost_cl,hazrad_disposal_cost_cl,haz_incin_cost_per_ton)</f>
        <v>90735.047684763063</v>
      </c>
      <c r="D210" s="526" t="s">
        <v>579</v>
      </c>
    </row>
    <row r="211" spans="1:5">
      <c r="A211" s="108" t="s">
        <v>586</v>
      </c>
      <c r="B211" s="3" t="s">
        <v>2984</v>
      </c>
      <c r="C211" s="106">
        <f>CHOOSE(media_haz,disp_freq,disp_freq,IF(spent_media&gt;max_haz_ship,ROUNDUP(spent_media/max_haz_ship,0)*disp_freq,disp_freq),IF(spent_media&gt;max_rad_ship,ROUNDUP(spent_media/max_rad_ship,0)*disp_freq,disp_freq),IF(spent_media&gt;max_hazrad_ship,ROUNDUP(spent_media/max_hazrad_ship,0)*disp_freq,disp_freq),IF(spent_media&gt;max_haz_ship,ROUNDUP(spent_media/max_haz_ship,0)*disp_freq,disp_freq))</f>
        <v>3.7977465748083827</v>
      </c>
      <c r="E211" s="6"/>
    </row>
    <row r="212" spans="1:5">
      <c r="A212" s="966" t="s">
        <v>2933</v>
      </c>
      <c r="B212" s="963"/>
      <c r="C212" s="967">
        <f>CHOOSE(media_haz,0,nonhaz_transportation_cost_cl,haz_transportation_cost_cl,rad_transportation_cost_cl,hazrad_transportation_cost_cl,haz_transportation_cost_cl)</f>
        <v>0.26500000000000001</v>
      </c>
      <c r="D212" s="968" t="s">
        <v>2936</v>
      </c>
      <c r="E212" s="6" t="str">
        <f>IF(media_haz=1,"Included in disposal cost","")</f>
        <v/>
      </c>
    </row>
    <row r="213" spans="1:5">
      <c r="A213" s="108" t="s">
        <v>2934</v>
      </c>
      <c r="B213" s="3"/>
      <c r="C213" s="650">
        <f>CHOOSE(media_haz,0,0,haz_trans_min_cost_cl,rad_trans_min_cost_cl,hazrad_trans_min_cost_cl,haz_trans_min_cost_cl)</f>
        <v>2170.2890000000002</v>
      </c>
      <c r="D213" s="526" t="s">
        <v>2937</v>
      </c>
      <c r="E213" s="6"/>
    </row>
    <row r="214" spans="1:5">
      <c r="A214" s="966" t="s">
        <v>2935</v>
      </c>
      <c r="B214" s="963" t="s">
        <v>2985</v>
      </c>
      <c r="C214" s="969">
        <f>CHOOSE(media_haz,non_haz_miles,non_haz_miles,haz_miles,rad_miles,hazrad_miles,haz_miles)</f>
        <v>200</v>
      </c>
      <c r="D214" s="968" t="s">
        <v>984</v>
      </c>
      <c r="E214" s="6"/>
    </row>
    <row r="215" spans="1:5">
      <c r="A215" s="108" t="s">
        <v>587</v>
      </c>
      <c r="B215" s="3"/>
      <c r="C215" s="80">
        <f>MAX(spent_media*C211*C212*C214,C211*C213)</f>
        <v>8242.2076160943107</v>
      </c>
      <c r="D215" s="526" t="s">
        <v>579</v>
      </c>
      <c r="E215" s="6" t="str">
        <f>IF(media_haz=1,"Included in disposal cost","")</f>
        <v/>
      </c>
    </row>
    <row r="216" spans="1:5">
      <c r="A216" s="660" t="s">
        <v>3437</v>
      </c>
      <c r="B216" s="3"/>
      <c r="C216" s="80">
        <f>CHOOSE(media_haz,0,0,0,VLOOKUP(households*hh_size,rad_annual_fee_cl,2),VLOOKUP(households*hh_size,hazrad_annual_fee_cl,2),0)</f>
        <v>0</v>
      </c>
      <c r="D216" s="526" t="s">
        <v>579</v>
      </c>
      <c r="E216" s="6"/>
    </row>
    <row r="217" spans="1:5">
      <c r="A217" s="108" t="s">
        <v>2205</v>
      </c>
      <c r="B217" s="3" t="s">
        <v>2206</v>
      </c>
      <c r="C217" s="85">
        <f>C215+C210+C216</f>
        <v>98977.255300857374</v>
      </c>
      <c r="D217" s="526" t="s">
        <v>579</v>
      </c>
    </row>
    <row r="219" spans="1:5">
      <c r="A219" s="661" t="s">
        <v>2207</v>
      </c>
      <c r="B219" s="5"/>
    </row>
    <row r="220" spans="1:5">
      <c r="A220" s="108" t="s">
        <v>585</v>
      </c>
      <c r="B220" s="3"/>
      <c r="C220" s="80">
        <f>res_solids*sol_disp_freq*CHOOSE(solids_haz,nonhaz_disposal_cost_cl,haz_disposal_cost_cl,rad_disposal_cost_cl,hazrad_disposal_cost_cl)</f>
        <v>0</v>
      </c>
      <c r="D220" s="526" t="s">
        <v>579</v>
      </c>
    </row>
    <row r="221" spans="1:5">
      <c r="A221" s="108" t="s">
        <v>586</v>
      </c>
      <c r="B221" s="3" t="s">
        <v>2986</v>
      </c>
      <c r="C221" s="106">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c r="E221" s="6"/>
    </row>
    <row r="222" spans="1:5">
      <c r="A222" s="108" t="s">
        <v>2933</v>
      </c>
      <c r="B222" s="3"/>
      <c r="C222" s="650">
        <f>CHOOSE(solids_haz,nonhaz_transportation_cost_cl,haz_transportation_cost_cl,rad_transportation_cost_cl,hazrad_transportation_cost_cl)</f>
        <v>0.26500000000000001</v>
      </c>
      <c r="D222" s="526" t="s">
        <v>2936</v>
      </c>
      <c r="E222" s="6"/>
    </row>
    <row r="223" spans="1:5">
      <c r="A223" s="108" t="s">
        <v>2934</v>
      </c>
      <c r="B223" s="3"/>
      <c r="C223" s="650">
        <f>CHOOSE(solids_haz,0,haz_trans_min_cost_cl,rad_trans_min_cost_cl,hazrad_trans_min_cost_cl)</f>
        <v>2170.2890000000002</v>
      </c>
      <c r="D223" s="526" t="s">
        <v>2937</v>
      </c>
      <c r="E223" s="6"/>
    </row>
    <row r="224" spans="1:5">
      <c r="A224" s="108" t="s">
        <v>2935</v>
      </c>
      <c r="B224" s="3" t="s">
        <v>2987</v>
      </c>
      <c r="C224" s="43">
        <f>CHOOSE(solids_haz,non_haz_miles,haz_miles,rad_miles,hazrad_miles)</f>
        <v>200</v>
      </c>
      <c r="D224" s="526" t="s">
        <v>984</v>
      </c>
      <c r="E224" s="6"/>
    </row>
    <row r="225" spans="1:4">
      <c r="A225" s="108" t="s">
        <v>587</v>
      </c>
      <c r="B225" s="3"/>
      <c r="C225" s="80">
        <f>MAX(C221*C223,res_solids*C221*C224*C222)</f>
        <v>0</v>
      </c>
      <c r="D225" s="526" t="s">
        <v>579</v>
      </c>
    </row>
    <row r="226" spans="1:4">
      <c r="A226" s="660" t="s">
        <v>3437</v>
      </c>
      <c r="B226" s="3"/>
      <c r="C226" s="80">
        <f>CHOOSE(solids_haz,0,0,VLOOKUP(households*hh_size,rad_annual_fee_cl,2),VLOOKUP(households*hh_size,hazrad_annual_fee_cl,2))</f>
        <v>0</v>
      </c>
      <c r="D226" s="526" t="s">
        <v>579</v>
      </c>
    </row>
    <row r="227" spans="1:4">
      <c r="A227" s="108" t="s">
        <v>2208</v>
      </c>
      <c r="B227" s="3" t="s">
        <v>2209</v>
      </c>
      <c r="C227" s="85">
        <f>IF(AND(solids_haz=1,solids_method=2),0,C225+C220+C226)</f>
        <v>0</v>
      </c>
      <c r="D227" s="526" t="s">
        <v>579</v>
      </c>
    </row>
    <row r="229" spans="1:4">
      <c r="A229" s="661" t="s">
        <v>878</v>
      </c>
      <c r="B229" s="470"/>
    </row>
    <row r="230" spans="1:4">
      <c r="A230" s="108" t="s">
        <v>585</v>
      </c>
      <c r="B230" s="470"/>
      <c r="C230" s="471">
        <f>cart_disp_wt*cart_disp_freq*nonhaz_disposal_cost_cl</f>
        <v>50.705242677320506</v>
      </c>
      <c r="D230" s="724" t="s">
        <v>579</v>
      </c>
    </row>
    <row r="231" spans="1:4">
      <c r="A231" s="108" t="s">
        <v>587</v>
      </c>
      <c r="B231" s="470"/>
      <c r="C231" s="471">
        <f>cart_disp_wt*cart_disp_freq*non_haz_miles*nonhaz_transportation_cost_cl</f>
        <v>0.91699200000000003</v>
      </c>
      <c r="D231" s="724" t="s">
        <v>579</v>
      </c>
    </row>
    <row r="232" spans="1:4">
      <c r="A232" s="108" t="s">
        <v>2939</v>
      </c>
      <c r="B232" s="470" t="s">
        <v>879</v>
      </c>
      <c r="C232" s="471">
        <f>SUM(C230:C231)</f>
        <v>51.622234677320506</v>
      </c>
      <c r="D232" s="724" t="s">
        <v>579</v>
      </c>
    </row>
  </sheetData>
  <phoneticPr fontId="0" type="noConversion"/>
  <hyperlinks>
    <hyperlink ref="D7" location="resin_haz_table" display="&lt;-- Click here for list" xr:uid="{5D00AF59-8AC7-432C-AA86-2DEE90ABE9E1}"/>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291"/>
  <sheetViews>
    <sheetView zoomScaleNormal="100" workbookViewId="0">
      <pane ySplit="4" topLeftCell="A259" activePane="bottomLeft" state="frozen"/>
      <selection activeCell="D18" sqref="D18"/>
      <selection pane="bottomLeft" activeCell="C41" sqref="C41"/>
    </sheetView>
  </sheetViews>
  <sheetFormatPr baseColWidth="10" defaultColWidth="8.83203125" defaultRowHeight="13"/>
  <cols>
    <col min="1" max="1" width="75.5" customWidth="1"/>
    <col min="2" max="2" width="21.5" style="5" customWidth="1"/>
    <col min="3" max="3" width="11.6640625" customWidth="1"/>
    <col min="4" max="4" width="25.33203125" style="526" customWidth="1"/>
    <col min="5" max="5" width="14.5" customWidth="1"/>
    <col min="6" max="6" width="12.1640625" customWidth="1"/>
    <col min="7" max="7" width="11" customWidth="1"/>
  </cols>
  <sheetData>
    <row r="1" spans="1:5" s="526" customFormat="1">
      <c r="A1" s="1" t="s">
        <v>2750</v>
      </c>
    </row>
    <row r="2" spans="1:5" s="526" customFormat="1">
      <c r="A2" s="657" t="s">
        <v>2942</v>
      </c>
      <c r="C2" s="654"/>
    </row>
    <row r="3" spans="1:5" s="526" customFormat="1">
      <c r="A3" s="1"/>
      <c r="C3" s="654"/>
    </row>
    <row r="4" spans="1:5" s="526" customFormat="1">
      <c r="A4" s="206" t="s">
        <v>276</v>
      </c>
      <c r="B4" s="206" t="s">
        <v>277</v>
      </c>
      <c r="C4" s="207" t="s">
        <v>278</v>
      </c>
      <c r="D4" s="206" t="s">
        <v>279</v>
      </c>
      <c r="E4" s="206" t="s">
        <v>280</v>
      </c>
    </row>
    <row r="5" spans="1:5" ht="52.5" customHeight="1">
      <c r="A5" t="s">
        <v>281</v>
      </c>
      <c r="B5" s="3" t="s">
        <v>1207</v>
      </c>
      <c r="C5" s="193">
        <v>1</v>
      </c>
      <c r="D5" s="723" t="s">
        <v>1056</v>
      </c>
      <c r="E5" s="6" t="s">
        <v>2943</v>
      </c>
    </row>
    <row r="6" spans="1:5">
      <c r="A6" t="s">
        <v>2873</v>
      </c>
      <c r="B6" s="3" t="s">
        <v>2874</v>
      </c>
      <c r="C6" s="66">
        <v>0.1</v>
      </c>
      <c r="E6" s="6" t="s">
        <v>2875</v>
      </c>
    </row>
    <row r="8" spans="1:5">
      <c r="A8" s="2" t="s">
        <v>1059</v>
      </c>
    </row>
    <row r="9" spans="1:5">
      <c r="A9" s="526" t="s">
        <v>3424</v>
      </c>
      <c r="B9" s="3" t="s">
        <v>3425</v>
      </c>
      <c r="C9" s="866" t="s">
        <v>1064</v>
      </c>
      <c r="D9" s="526" t="s">
        <v>1499</v>
      </c>
      <c r="E9" s="6" t="s">
        <v>3426</v>
      </c>
    </row>
    <row r="10" spans="1:5">
      <c r="A10" s="5" t="s">
        <v>236</v>
      </c>
      <c r="B10" s="3" t="s">
        <v>237</v>
      </c>
      <c r="C10" s="66">
        <v>1</v>
      </c>
      <c r="D10" s="526" t="s">
        <v>64</v>
      </c>
      <c r="E10" s="6" t="s">
        <v>1135</v>
      </c>
    </row>
    <row r="11" spans="1:5">
      <c r="A11" s="5" t="s">
        <v>238</v>
      </c>
      <c r="B11" s="3" t="s">
        <v>239</v>
      </c>
      <c r="C11" s="66">
        <v>0</v>
      </c>
      <c r="D11" s="526" t="s">
        <v>64</v>
      </c>
      <c r="E11" s="6" t="s">
        <v>1136</v>
      </c>
    </row>
    <row r="12" spans="1:5">
      <c r="A12" t="s">
        <v>257</v>
      </c>
      <c r="B12" s="3" t="s">
        <v>258</v>
      </c>
      <c r="C12" s="187">
        <v>4</v>
      </c>
      <c r="D12" s="526" t="s">
        <v>259</v>
      </c>
      <c r="E12" s="6"/>
    </row>
    <row r="13" spans="1:5">
      <c r="A13" t="s">
        <v>1200</v>
      </c>
      <c r="B13" s="3" t="s">
        <v>1201</v>
      </c>
      <c r="C13" s="385">
        <v>0</v>
      </c>
      <c r="E13" s="6" t="s">
        <v>2924</v>
      </c>
    </row>
    <row r="14" spans="1:5">
      <c r="A14" t="s">
        <v>2669</v>
      </c>
      <c r="B14" s="3" t="s">
        <v>1065</v>
      </c>
      <c r="C14" s="777">
        <v>1</v>
      </c>
      <c r="D14" s="526" t="s">
        <v>140</v>
      </c>
      <c r="E14" s="13"/>
    </row>
    <row r="15" spans="1:5">
      <c r="A15" s="660" t="s">
        <v>1057</v>
      </c>
      <c r="B15" s="3" t="s">
        <v>1066</v>
      </c>
      <c r="C15" s="777">
        <v>12</v>
      </c>
      <c r="D15" s="526" t="s">
        <v>140</v>
      </c>
      <c r="E15" s="13"/>
    </row>
    <row r="16" spans="1:5">
      <c r="A16" t="s">
        <v>2860</v>
      </c>
      <c r="B16" s="3" t="s">
        <v>222</v>
      </c>
      <c r="C16" s="66">
        <v>14</v>
      </c>
      <c r="D16" s="526" t="s">
        <v>61</v>
      </c>
      <c r="E16" s="6" t="s">
        <v>6</v>
      </c>
    </row>
    <row r="17" spans="1:5">
      <c r="A17" t="s">
        <v>620</v>
      </c>
      <c r="B17" s="3" t="s">
        <v>1924</v>
      </c>
      <c r="C17" s="187"/>
      <c r="D17" s="526" t="s">
        <v>61</v>
      </c>
      <c r="E17" s="6" t="s">
        <v>1925</v>
      </c>
    </row>
    <row r="18" spans="1:5">
      <c r="A18" t="s">
        <v>224</v>
      </c>
      <c r="B18" s="3" t="s">
        <v>225</v>
      </c>
      <c r="C18" s="66">
        <v>53</v>
      </c>
      <c r="D18" s="526" t="s">
        <v>61</v>
      </c>
      <c r="E18" s="6" t="s">
        <v>7</v>
      </c>
    </row>
    <row r="19" spans="1:5">
      <c r="A19" t="s">
        <v>2563</v>
      </c>
      <c r="B19" s="3" t="s">
        <v>2510</v>
      </c>
      <c r="C19" s="66">
        <v>0.5</v>
      </c>
      <c r="D19" s="526" t="s">
        <v>61</v>
      </c>
      <c r="E19" s="6"/>
    </row>
    <row r="20" spans="1:5">
      <c r="A20" t="s">
        <v>1095</v>
      </c>
      <c r="B20" s="3" t="s">
        <v>1096</v>
      </c>
      <c r="C20" s="66">
        <v>1.5</v>
      </c>
      <c r="D20" s="526" t="s">
        <v>61</v>
      </c>
      <c r="E20" s="6" t="s">
        <v>1097</v>
      </c>
    </row>
    <row r="21" spans="1:5">
      <c r="A21" t="s">
        <v>2564</v>
      </c>
      <c r="B21" s="3" t="s">
        <v>742</v>
      </c>
      <c r="C21" s="66">
        <v>0</v>
      </c>
      <c r="D21" s="526" t="s">
        <v>61</v>
      </c>
      <c r="E21" s="38" t="s">
        <v>1708</v>
      </c>
    </row>
    <row r="22" spans="1:5">
      <c r="A22" t="s">
        <v>2572</v>
      </c>
      <c r="B22" s="3" t="s">
        <v>2573</v>
      </c>
      <c r="C22" s="66">
        <v>2.5</v>
      </c>
      <c r="E22" s="6" t="s">
        <v>89</v>
      </c>
    </row>
    <row r="23" spans="1:5">
      <c r="A23" t="s">
        <v>62</v>
      </c>
      <c r="B23" s="3" t="s">
        <v>66</v>
      </c>
      <c r="C23" s="384">
        <v>0.5</v>
      </c>
      <c r="E23" s="6" t="s">
        <v>1001</v>
      </c>
    </row>
    <row r="24" spans="1:5">
      <c r="A24" t="s">
        <v>771</v>
      </c>
      <c r="B24" s="3" t="s">
        <v>2238</v>
      </c>
      <c r="C24" s="186">
        <v>43</v>
      </c>
      <c r="D24" s="724" t="s">
        <v>4387</v>
      </c>
      <c r="E24" s="38" t="s">
        <v>1636</v>
      </c>
    </row>
    <row r="25" spans="1:5">
      <c r="A25" s="114" t="s">
        <v>78</v>
      </c>
      <c r="B25" s="3" t="s">
        <v>79</v>
      </c>
      <c r="C25" s="186">
        <v>2.4</v>
      </c>
      <c r="D25" s="724" t="s">
        <v>61</v>
      </c>
      <c r="E25" s="38" t="s">
        <v>88</v>
      </c>
    </row>
    <row r="26" spans="1:5">
      <c r="A26" s="114" t="s">
        <v>80</v>
      </c>
      <c r="B26" s="3" t="s">
        <v>81</v>
      </c>
      <c r="C26" s="186">
        <v>6</v>
      </c>
      <c r="D26" s="724" t="s">
        <v>61</v>
      </c>
      <c r="E26" s="79"/>
    </row>
    <row r="27" spans="1:5">
      <c r="A27" t="s">
        <v>82</v>
      </c>
      <c r="B27" s="3" t="s">
        <v>83</v>
      </c>
      <c r="C27" s="186">
        <v>2.8</v>
      </c>
      <c r="D27" s="724"/>
      <c r="E27" s="6" t="s">
        <v>89</v>
      </c>
    </row>
    <row r="28" spans="1:5">
      <c r="A28" t="s">
        <v>84</v>
      </c>
      <c r="B28" s="3" t="s">
        <v>85</v>
      </c>
      <c r="C28" s="186">
        <v>4.5999999999999996</v>
      </c>
      <c r="D28" s="724"/>
      <c r="E28" s="6" t="s">
        <v>89</v>
      </c>
    </row>
    <row r="29" spans="1:5">
      <c r="A29" t="s">
        <v>86</v>
      </c>
      <c r="B29" s="3" t="s">
        <v>87</v>
      </c>
      <c r="C29" s="186">
        <v>4.3</v>
      </c>
      <c r="D29" s="724"/>
      <c r="E29" s="6" t="s">
        <v>89</v>
      </c>
    </row>
    <row r="30" spans="1:5">
      <c r="B30" s="3"/>
      <c r="C30" s="110"/>
      <c r="D30" s="528"/>
      <c r="E30" s="79"/>
    </row>
    <row r="31" spans="1:5">
      <c r="A31" s="2" t="s">
        <v>609</v>
      </c>
      <c r="B31" s="3"/>
      <c r="E31" s="6"/>
    </row>
    <row r="32" spans="1:5">
      <c r="A32" t="s">
        <v>231</v>
      </c>
      <c r="B32" s="3" t="s">
        <v>232</v>
      </c>
      <c r="C32" s="188">
        <v>0.25</v>
      </c>
    </row>
    <row r="33" spans="1:5">
      <c r="A33" t="s">
        <v>1173</v>
      </c>
      <c r="B33" s="3" t="s">
        <v>1172</v>
      </c>
      <c r="C33" s="190">
        <v>0</v>
      </c>
      <c r="D33" s="526" t="s">
        <v>68</v>
      </c>
      <c r="E33" s="6" t="s">
        <v>1762</v>
      </c>
    </row>
    <row r="34" spans="1:5">
      <c r="A34" t="s">
        <v>1165</v>
      </c>
      <c r="B34" s="3" t="s">
        <v>1166</v>
      </c>
      <c r="C34" s="66">
        <v>1</v>
      </c>
      <c r="D34" s="526" t="s">
        <v>1167</v>
      </c>
    </row>
    <row r="35" spans="1:5">
      <c r="A35" t="s">
        <v>498</v>
      </c>
      <c r="B35" s="3" t="s">
        <v>497</v>
      </c>
      <c r="C35" s="626">
        <v>1</v>
      </c>
      <c r="D35" s="526" t="s">
        <v>68</v>
      </c>
    </row>
    <row r="36" spans="1:5">
      <c r="A36" t="s">
        <v>1133</v>
      </c>
      <c r="B36" s="3" t="s">
        <v>1134</v>
      </c>
      <c r="C36" s="66">
        <v>1</v>
      </c>
      <c r="D36" s="526" t="s">
        <v>1167</v>
      </c>
    </row>
    <row r="37" spans="1:5">
      <c r="A37" s="526" t="s">
        <v>3118</v>
      </c>
      <c r="B37" s="3" t="s">
        <v>3119</v>
      </c>
      <c r="C37" s="734">
        <v>0.13</v>
      </c>
      <c r="D37" s="526" t="s">
        <v>1029</v>
      </c>
      <c r="E37" s="657" t="s">
        <v>3120</v>
      </c>
    </row>
    <row r="38" spans="1:5">
      <c r="B38" s="3"/>
      <c r="C38" s="49"/>
      <c r="E38" s="6"/>
    </row>
    <row r="39" spans="1:5">
      <c r="A39" s="2" t="s">
        <v>3223</v>
      </c>
      <c r="B39" s="95"/>
    </row>
    <row r="40" spans="1:5">
      <c r="A40" t="s">
        <v>2863</v>
      </c>
      <c r="B40" s="963" t="s">
        <v>138</v>
      </c>
      <c r="C40" s="970">
        <v>3</v>
      </c>
      <c r="D40" s="968" t="s">
        <v>140</v>
      </c>
      <c r="E40" s="6" t="s">
        <v>745</v>
      </c>
    </row>
    <row r="41" spans="1:5">
      <c r="A41" t="s">
        <v>137</v>
      </c>
      <c r="B41" s="963" t="s">
        <v>139</v>
      </c>
      <c r="C41" s="970">
        <v>12</v>
      </c>
      <c r="D41" s="968" t="s">
        <v>60</v>
      </c>
      <c r="E41" s="971" t="s">
        <v>1130</v>
      </c>
    </row>
    <row r="42" spans="1:5">
      <c r="A42" t="s">
        <v>1420</v>
      </c>
      <c r="B42" s="3" t="s">
        <v>2120</v>
      </c>
      <c r="C42" s="387"/>
      <c r="D42" s="526" t="s">
        <v>268</v>
      </c>
      <c r="E42" s="6" t="s">
        <v>2121</v>
      </c>
    </row>
    <row r="43" spans="1:5">
      <c r="A43" t="s">
        <v>1551</v>
      </c>
      <c r="B43" s="3" t="s">
        <v>1552</v>
      </c>
      <c r="C43" s="785">
        <v>4.4999999999999998E-2</v>
      </c>
      <c r="D43" s="526" t="s">
        <v>1078</v>
      </c>
      <c r="E43" s="6" t="s">
        <v>2122</v>
      </c>
    </row>
    <row r="44" spans="1:5">
      <c r="B44" s="3"/>
      <c r="E44" s="6"/>
    </row>
    <row r="45" spans="1:5">
      <c r="A45" s="2" t="s">
        <v>3224</v>
      </c>
      <c r="B45" s="3"/>
      <c r="E45" s="6" t="s">
        <v>3225</v>
      </c>
    </row>
    <row r="46" spans="1:5">
      <c r="A46" t="s">
        <v>1795</v>
      </c>
      <c r="B46" s="3" t="s">
        <v>1796</v>
      </c>
      <c r="C46" s="734">
        <v>3</v>
      </c>
      <c r="D46" s="526" t="s">
        <v>140</v>
      </c>
      <c r="E46" s="6" t="s">
        <v>1797</v>
      </c>
    </row>
    <row r="47" spans="1:5">
      <c r="A47" s="16" t="s">
        <v>1783</v>
      </c>
      <c r="B47" s="22" t="s">
        <v>1784</v>
      </c>
      <c r="C47" s="758"/>
      <c r="D47" s="651" t="s">
        <v>2677</v>
      </c>
      <c r="E47" s="6" t="s">
        <v>3231</v>
      </c>
    </row>
    <row r="48" spans="1:5">
      <c r="A48" t="s">
        <v>2832</v>
      </c>
      <c r="B48" s="3" t="s">
        <v>2833</v>
      </c>
      <c r="C48" s="734">
        <v>0</v>
      </c>
      <c r="D48" s="526" t="s">
        <v>2834</v>
      </c>
      <c r="E48" s="6" t="s">
        <v>3221</v>
      </c>
    </row>
    <row r="49" spans="1:5">
      <c r="A49" t="s">
        <v>1469</v>
      </c>
      <c r="B49" s="3" t="s">
        <v>1471</v>
      </c>
      <c r="C49" s="66">
        <v>7</v>
      </c>
      <c r="D49" s="526" t="s">
        <v>1470</v>
      </c>
      <c r="E49" s="6" t="s">
        <v>401</v>
      </c>
    </row>
    <row r="50" spans="1:5">
      <c r="A50" t="s">
        <v>2674</v>
      </c>
      <c r="B50" s="3" t="s">
        <v>2675</v>
      </c>
      <c r="C50" s="734">
        <v>45</v>
      </c>
      <c r="D50" s="526" t="s">
        <v>60</v>
      </c>
      <c r="E50" s="6" t="s">
        <v>3231</v>
      </c>
    </row>
    <row r="51" spans="1:5">
      <c r="A51" t="s">
        <v>1786</v>
      </c>
      <c r="B51" s="3" t="s">
        <v>1787</v>
      </c>
      <c r="C51" s="734">
        <v>3.1</v>
      </c>
      <c r="D51" s="526" t="s">
        <v>2862</v>
      </c>
      <c r="E51" s="6"/>
    </row>
    <row r="52" spans="1:5">
      <c r="A52" t="s">
        <v>3220</v>
      </c>
      <c r="B52" s="3" t="s">
        <v>2861</v>
      </c>
      <c r="C52" s="758"/>
      <c r="D52" s="526" t="s">
        <v>2862</v>
      </c>
      <c r="E52" s="6" t="s">
        <v>3231</v>
      </c>
    </row>
    <row r="53" spans="1:5">
      <c r="A53" s="27" t="s">
        <v>1780</v>
      </c>
      <c r="B53" s="22" t="s">
        <v>1781</v>
      </c>
      <c r="C53" s="758"/>
      <c r="D53" s="651" t="s">
        <v>1782</v>
      </c>
      <c r="E53" s="6" t="s">
        <v>3231</v>
      </c>
    </row>
    <row r="54" spans="1:5">
      <c r="A54" t="s">
        <v>1427</v>
      </c>
      <c r="B54" s="3" t="s">
        <v>1428</v>
      </c>
      <c r="C54" s="66">
        <v>72</v>
      </c>
      <c r="D54" s="526" t="s">
        <v>1429</v>
      </c>
      <c r="E54" s="38" t="s">
        <v>1100</v>
      </c>
    </row>
    <row r="55" spans="1:5">
      <c r="A55" t="s">
        <v>1360</v>
      </c>
      <c r="B55" s="3" t="s">
        <v>1430</v>
      </c>
      <c r="C55" s="66">
        <v>10</v>
      </c>
      <c r="D55" s="526" t="s">
        <v>2843</v>
      </c>
      <c r="E55" s="38" t="s">
        <v>1100</v>
      </c>
    </row>
    <row r="56" spans="1:5" ht="12.75" customHeight="1">
      <c r="A56" t="s">
        <v>1785</v>
      </c>
      <c r="B56" s="3" t="s">
        <v>271</v>
      </c>
      <c r="C56" s="66">
        <v>1</v>
      </c>
      <c r="D56" s="526" t="s">
        <v>1358</v>
      </c>
      <c r="E56" s="6"/>
    </row>
    <row r="57" spans="1:5" ht="12.75" customHeight="1">
      <c r="A57" t="s">
        <v>419</v>
      </c>
      <c r="B57" s="3" t="s">
        <v>420</v>
      </c>
      <c r="C57" s="66">
        <v>5</v>
      </c>
      <c r="D57" s="526" t="s">
        <v>2283</v>
      </c>
      <c r="E57" s="6" t="s">
        <v>2363</v>
      </c>
    </row>
    <row r="58" spans="1:5" ht="12.75" customHeight="1">
      <c r="B58" s="3"/>
      <c r="C58" s="523"/>
      <c r="E58" s="6"/>
    </row>
    <row r="59" spans="1:5" ht="12.75" customHeight="1">
      <c r="A59" s="2" t="s">
        <v>2745</v>
      </c>
      <c r="B59" s="3"/>
      <c r="C59" s="49"/>
      <c r="E59" s="6"/>
    </row>
    <row r="60" spans="1:5" ht="12.75" customHeight="1">
      <c r="A60" t="s">
        <v>2746</v>
      </c>
      <c r="B60" s="3" t="s">
        <v>926</v>
      </c>
      <c r="C60" s="191">
        <v>7</v>
      </c>
      <c r="D60" s="526" t="s">
        <v>2748</v>
      </c>
      <c r="E60" s="6" t="s">
        <v>148</v>
      </c>
    </row>
    <row r="61" spans="1:5" ht="12.75" customHeight="1">
      <c r="A61" t="s">
        <v>2749</v>
      </c>
      <c r="B61" s="3" t="s">
        <v>2747</v>
      </c>
      <c r="C61" s="192">
        <v>8.1999999999999993</v>
      </c>
      <c r="D61" s="526" t="s">
        <v>2748</v>
      </c>
      <c r="E61" s="6"/>
    </row>
    <row r="62" spans="1:5" ht="12.75" customHeight="1">
      <c r="A62" t="s">
        <v>1453</v>
      </c>
      <c r="B62" s="3" t="s">
        <v>3014</v>
      </c>
      <c r="C62" s="193">
        <v>25</v>
      </c>
      <c r="D62" s="526" t="s">
        <v>141</v>
      </c>
      <c r="E62" s="6"/>
    </row>
    <row r="63" spans="1:5" ht="12.75" customHeight="1">
      <c r="A63" s="526" t="s">
        <v>3494</v>
      </c>
      <c r="B63" s="3" t="s">
        <v>3015</v>
      </c>
      <c r="C63" s="722">
        <v>200</v>
      </c>
      <c r="D63" s="526" t="s">
        <v>2512</v>
      </c>
      <c r="E63" s="6"/>
    </row>
    <row r="64" spans="1:5" ht="12.75" customHeight="1">
      <c r="A64" t="s">
        <v>3016</v>
      </c>
      <c r="B64" s="3" t="s">
        <v>3017</v>
      </c>
      <c r="C64" s="722">
        <v>10</v>
      </c>
      <c r="D64" s="526" t="s">
        <v>3018</v>
      </c>
      <c r="E64" s="6"/>
    </row>
    <row r="65" spans="1:5" ht="12.75" customHeight="1">
      <c r="A65" t="s">
        <v>1483</v>
      </c>
      <c r="B65" s="3" t="s">
        <v>1484</v>
      </c>
      <c r="C65" s="188">
        <v>0.5</v>
      </c>
      <c r="E65" s="6" t="s">
        <v>3411</v>
      </c>
    </row>
    <row r="66" spans="1:5" ht="12.75" customHeight="1">
      <c r="A66" t="s">
        <v>2522</v>
      </c>
      <c r="B66" s="3" t="s">
        <v>2523</v>
      </c>
      <c r="C66" s="66">
        <v>5</v>
      </c>
      <c r="D66" s="526" t="s">
        <v>1131</v>
      </c>
      <c r="E66" s="6"/>
    </row>
    <row r="67" spans="1:5" ht="12.75" customHeight="1">
      <c r="A67" s="526" t="s">
        <v>3114</v>
      </c>
      <c r="B67" s="3" t="s">
        <v>3115</v>
      </c>
      <c r="C67" s="734">
        <v>0</v>
      </c>
      <c r="D67" s="526" t="s">
        <v>151</v>
      </c>
      <c r="E67" s="6"/>
    </row>
    <row r="68" spans="1:5" ht="12.75" customHeight="1">
      <c r="A68" t="s">
        <v>2524</v>
      </c>
      <c r="B68" s="563" t="s">
        <v>2525</v>
      </c>
      <c r="C68" s="66">
        <v>0.25</v>
      </c>
      <c r="D68" s="526" t="s">
        <v>3111</v>
      </c>
      <c r="E68" s="6"/>
    </row>
    <row r="69" spans="1:5" ht="12.75" customHeight="1">
      <c r="A69" s="526" t="s">
        <v>3112</v>
      </c>
      <c r="B69" s="563" t="s">
        <v>3113</v>
      </c>
      <c r="C69" s="66">
        <f>1/3</f>
        <v>0.33333333333333331</v>
      </c>
      <c r="D69" s="526" t="s">
        <v>1358</v>
      </c>
      <c r="E69" s="6"/>
    </row>
    <row r="70" spans="1:5" ht="12.75" customHeight="1">
      <c r="A70" t="s">
        <v>2566</v>
      </c>
      <c r="B70" s="3" t="s">
        <v>2567</v>
      </c>
      <c r="C70" s="66">
        <v>30</v>
      </c>
      <c r="D70" s="526" t="s">
        <v>268</v>
      </c>
      <c r="E70" s="6" t="s">
        <v>3019</v>
      </c>
    </row>
    <row r="71" spans="1:5" ht="12.75" customHeight="1">
      <c r="B71" s="3"/>
      <c r="C71" s="54"/>
      <c r="E71" s="6"/>
    </row>
    <row r="72" spans="1:5" ht="12.75" customHeight="1">
      <c r="A72" s="2" t="s">
        <v>3126</v>
      </c>
      <c r="B72" s="3"/>
      <c r="C72" s="54"/>
      <c r="E72" s="6"/>
    </row>
    <row r="73" spans="1:5" ht="12.75" customHeight="1">
      <c r="A73" s="526" t="s">
        <v>3127</v>
      </c>
      <c r="B73" s="3" t="s">
        <v>3128</v>
      </c>
      <c r="C73" s="734">
        <v>1</v>
      </c>
      <c r="D73" s="526" t="s">
        <v>151</v>
      </c>
    </row>
    <row r="74" spans="1:5" ht="12.75" customHeight="1">
      <c r="A74" s="526" t="s">
        <v>3129</v>
      </c>
      <c r="B74" s="3" t="s">
        <v>3130</v>
      </c>
      <c r="C74" s="757">
        <v>1.1000000000000001</v>
      </c>
    </row>
    <row r="75" spans="1:5" ht="12.75" customHeight="1">
      <c r="A75" s="526" t="s">
        <v>3131</v>
      </c>
      <c r="B75" s="3" t="s">
        <v>3132</v>
      </c>
      <c r="C75" s="757">
        <v>0.1</v>
      </c>
    </row>
    <row r="76" spans="1:5" ht="12.75" customHeight="1">
      <c r="A76" s="526" t="s">
        <v>3133</v>
      </c>
      <c r="B76" s="3" t="s">
        <v>3134</v>
      </c>
      <c r="C76" s="758">
        <v>6</v>
      </c>
      <c r="D76" s="526" t="s">
        <v>972</v>
      </c>
      <c r="E76" s="657" t="s">
        <v>3135</v>
      </c>
    </row>
    <row r="77" spans="1:5" ht="12.75" customHeight="1">
      <c r="A77" s="526" t="s">
        <v>3136</v>
      </c>
      <c r="B77" s="3" t="s">
        <v>3137</v>
      </c>
      <c r="C77" s="187">
        <v>1</v>
      </c>
      <c r="D77" s="526" t="s">
        <v>3138</v>
      </c>
      <c r="E77" s="657" t="s">
        <v>3139</v>
      </c>
    </row>
    <row r="78" spans="1:5" ht="12.75" customHeight="1">
      <c r="A78" s="526" t="s">
        <v>3140</v>
      </c>
      <c r="B78" s="3" t="s">
        <v>3141</v>
      </c>
      <c r="C78" s="187">
        <v>125</v>
      </c>
      <c r="D78" s="526" t="s">
        <v>3142</v>
      </c>
      <c r="E78" s="657"/>
    </row>
    <row r="79" spans="1:5" ht="12.75" customHeight="1">
      <c r="B79" s="3"/>
      <c r="C79" s="54"/>
      <c r="E79" s="6"/>
    </row>
    <row r="80" spans="1:5" ht="12.75" customHeight="1">
      <c r="A80" s="321" t="s">
        <v>1271</v>
      </c>
      <c r="B80" s="3"/>
      <c r="C80" s="54"/>
      <c r="E80" s="6"/>
    </row>
    <row r="81" spans="1:5" ht="12.75" customHeight="1">
      <c r="A81" t="s">
        <v>1272</v>
      </c>
      <c r="B81" s="3" t="s">
        <v>1273</v>
      </c>
      <c r="C81" s="190">
        <v>1</v>
      </c>
      <c r="D81" s="526" t="s">
        <v>1274</v>
      </c>
      <c r="E81" s="6"/>
    </row>
    <row r="82" spans="1:5" ht="12.75" customHeight="1">
      <c r="A82" s="5" t="s">
        <v>1275</v>
      </c>
      <c r="B82" s="456" t="s">
        <v>1276</v>
      </c>
      <c r="C82" s="457">
        <v>2</v>
      </c>
      <c r="D82" s="526" t="s">
        <v>64</v>
      </c>
      <c r="E82" s="6" t="s">
        <v>1277</v>
      </c>
    </row>
    <row r="83" spans="1:5" ht="12.75" customHeight="1">
      <c r="A83" s="5" t="s">
        <v>1280</v>
      </c>
      <c r="B83" s="456" t="s">
        <v>1281</v>
      </c>
      <c r="C83" s="457">
        <v>1</v>
      </c>
      <c r="E83" s="6"/>
    </row>
    <row r="84" spans="1:5" ht="12.75" customHeight="1">
      <c r="A84" s="5" t="s">
        <v>1282</v>
      </c>
      <c r="B84" s="456" t="s">
        <v>1283</v>
      </c>
      <c r="C84" s="457">
        <v>50</v>
      </c>
      <c r="D84" s="526" t="s">
        <v>51</v>
      </c>
      <c r="E84" s="6"/>
    </row>
    <row r="85" spans="1:5" ht="12.75" customHeight="1">
      <c r="A85" t="s">
        <v>2403</v>
      </c>
      <c r="B85" s="456" t="s">
        <v>2402</v>
      </c>
      <c r="C85" s="457">
        <v>3</v>
      </c>
      <c r="D85" s="526" t="s">
        <v>61</v>
      </c>
      <c r="E85" s="6" t="s">
        <v>2565</v>
      </c>
    </row>
    <row r="86" spans="1:5" ht="12.75" customHeight="1">
      <c r="B86" s="456"/>
      <c r="C86" s="884"/>
      <c r="E86" s="6"/>
    </row>
    <row r="87" spans="1:5" ht="12.75" customHeight="1">
      <c r="A87" s="2" t="s">
        <v>3479</v>
      </c>
      <c r="B87" s="3"/>
      <c r="C87" s="526"/>
      <c r="E87" s="6"/>
    </row>
    <row r="88" spans="1:5" ht="12.75" customHeight="1">
      <c r="A88" s="526" t="s">
        <v>3480</v>
      </c>
      <c r="B88" s="3" t="s">
        <v>3481</v>
      </c>
      <c r="C88" s="499">
        <v>2</v>
      </c>
      <c r="D88" s="526" t="s">
        <v>3482</v>
      </c>
      <c r="E88" s="6"/>
    </row>
    <row r="89" spans="1:5" ht="12.75" customHeight="1">
      <c r="A89" s="526" t="s">
        <v>3483</v>
      </c>
      <c r="B89" s="3" t="s">
        <v>3484</v>
      </c>
      <c r="C89" s="499">
        <v>2</v>
      </c>
      <c r="D89" s="526" t="s">
        <v>3482</v>
      </c>
      <c r="E89" s="6"/>
    </row>
    <row r="90" spans="1:5" ht="12.75" customHeight="1">
      <c r="A90" s="526" t="s">
        <v>3485</v>
      </c>
      <c r="B90" s="3" t="s">
        <v>3486</v>
      </c>
      <c r="C90" s="499">
        <v>2.5</v>
      </c>
      <c r="D90" s="526" t="s">
        <v>3482</v>
      </c>
      <c r="E90" s="6"/>
    </row>
    <row r="91" spans="1:5" ht="12.75" customHeight="1">
      <c r="A91" s="526" t="s">
        <v>3487</v>
      </c>
      <c r="B91" s="3" t="s">
        <v>3488</v>
      </c>
      <c r="C91" s="499">
        <v>2.5</v>
      </c>
      <c r="D91" s="526" t="s">
        <v>3482</v>
      </c>
      <c r="E91" s="6"/>
    </row>
    <row r="92" spans="1:5" ht="12.75" customHeight="1">
      <c r="A92" s="526" t="s">
        <v>3489</v>
      </c>
      <c r="B92" s="3" t="s">
        <v>3490</v>
      </c>
      <c r="C92" s="499">
        <v>1</v>
      </c>
      <c r="D92" s="526" t="s">
        <v>3482</v>
      </c>
      <c r="E92" s="6"/>
    </row>
    <row r="93" spans="1:5" ht="12.75" customHeight="1">
      <c r="B93" s="3"/>
      <c r="C93" s="49"/>
      <c r="E93" s="6"/>
    </row>
    <row r="94" spans="1:5" ht="12.75" customHeight="1">
      <c r="A94" s="2" t="s">
        <v>610</v>
      </c>
      <c r="B94" s="3"/>
      <c r="E94" s="12"/>
    </row>
    <row r="95" spans="1:5" ht="12.75" customHeight="1">
      <c r="A95" t="s">
        <v>3467</v>
      </c>
      <c r="B95" s="3" t="s">
        <v>1749</v>
      </c>
      <c r="C95" s="66">
        <v>2</v>
      </c>
      <c r="D95" s="526" t="s">
        <v>144</v>
      </c>
      <c r="E95" s="12"/>
    </row>
    <row r="96" spans="1:5" ht="12.75" customHeight="1">
      <c r="A96" t="s">
        <v>2744</v>
      </c>
      <c r="B96" s="3" t="s">
        <v>680</v>
      </c>
      <c r="C96" s="66">
        <v>1</v>
      </c>
      <c r="D96" s="526" t="s">
        <v>681</v>
      </c>
      <c r="E96" s="6" t="s">
        <v>682</v>
      </c>
    </row>
    <row r="97" spans="1:5" ht="12.75" customHeight="1">
      <c r="E97" s="12"/>
    </row>
    <row r="98" spans="1:5" ht="12.75" customHeight="1">
      <c r="A98" t="s">
        <v>1750</v>
      </c>
      <c r="B98" s="3" t="s">
        <v>1751</v>
      </c>
      <c r="C98" s="66">
        <v>1</v>
      </c>
      <c r="D98" s="526" t="s">
        <v>945</v>
      </c>
      <c r="E98" s="12"/>
    </row>
    <row r="99" spans="1:5" ht="12.75" customHeight="1">
      <c r="A99" t="s">
        <v>1042</v>
      </c>
      <c r="B99" s="3" t="s">
        <v>1043</v>
      </c>
      <c r="C99" s="66">
        <v>1</v>
      </c>
      <c r="D99" s="526" t="s">
        <v>945</v>
      </c>
      <c r="E99" s="6" t="s">
        <v>1040</v>
      </c>
    </row>
    <row r="100" spans="1:5" ht="12.75" customHeight="1">
      <c r="A100" t="s">
        <v>1363</v>
      </c>
      <c r="B100" s="3" t="s">
        <v>1364</v>
      </c>
      <c r="C100" s="66">
        <v>1</v>
      </c>
      <c r="D100" s="526" t="s">
        <v>945</v>
      </c>
      <c r="E100" s="6" t="s">
        <v>1365</v>
      </c>
    </row>
    <row r="101" spans="1:5" ht="12.75" customHeight="1">
      <c r="A101" s="526" t="s">
        <v>3313</v>
      </c>
      <c r="B101" s="3" t="s">
        <v>3314</v>
      </c>
      <c r="C101" s="499">
        <v>1</v>
      </c>
      <c r="D101" s="526" t="s">
        <v>945</v>
      </c>
      <c r="E101" s="6" t="s">
        <v>3315</v>
      </c>
    </row>
    <row r="102" spans="1:5" ht="12.75" customHeight="1">
      <c r="A102" t="s">
        <v>423</v>
      </c>
      <c r="B102" s="3" t="s">
        <v>424</v>
      </c>
      <c r="C102" s="66">
        <v>2</v>
      </c>
      <c r="D102" s="526" t="s">
        <v>144</v>
      </c>
      <c r="E102" s="6" t="s">
        <v>3453</v>
      </c>
    </row>
    <row r="103" spans="1:5" ht="12.75" customHeight="1">
      <c r="A103" t="s">
        <v>182</v>
      </c>
      <c r="B103" s="3" t="s">
        <v>183</v>
      </c>
      <c r="C103" s="66">
        <v>1</v>
      </c>
      <c r="D103" s="526" t="s">
        <v>144</v>
      </c>
      <c r="E103" s="6"/>
    </row>
    <row r="104" spans="1:5" ht="12.75" customHeight="1">
      <c r="A104" s="72" t="s">
        <v>1137</v>
      </c>
      <c r="B104" s="3" t="s">
        <v>2789</v>
      </c>
      <c r="C104" s="66">
        <v>0</v>
      </c>
      <c r="D104" s="526" t="s">
        <v>144</v>
      </c>
      <c r="E104" s="12"/>
    </row>
    <row r="105" spans="1:5" ht="12.75" customHeight="1">
      <c r="A105" s="72"/>
      <c r="B105" s="3"/>
      <c r="E105" s="12"/>
    </row>
    <row r="106" spans="1:5" ht="12.75" customHeight="1">
      <c r="A106" t="s">
        <v>3466</v>
      </c>
      <c r="B106" s="3" t="s">
        <v>1752</v>
      </c>
      <c r="C106" s="66">
        <v>1</v>
      </c>
      <c r="D106" s="526" t="s">
        <v>64</v>
      </c>
      <c r="E106" s="6" t="s">
        <v>1753</v>
      </c>
    </row>
    <row r="107" spans="1:5" ht="12.75" customHeight="1">
      <c r="A107" t="s">
        <v>2289</v>
      </c>
      <c r="B107" s="3" t="s">
        <v>1754</v>
      </c>
      <c r="C107" s="499">
        <v>0</v>
      </c>
      <c r="D107" s="526" t="s">
        <v>1756</v>
      </c>
      <c r="E107" s="12"/>
    </row>
    <row r="108" spans="1:5" ht="12.75" customHeight="1">
      <c r="A108" t="s">
        <v>2290</v>
      </c>
      <c r="B108" s="3" t="s">
        <v>1437</v>
      </c>
      <c r="C108" s="66">
        <v>1</v>
      </c>
      <c r="D108" s="526" t="s">
        <v>64</v>
      </c>
      <c r="E108" s="6" t="s">
        <v>2291</v>
      </c>
    </row>
    <row r="109" spans="1:5" ht="12.75" customHeight="1">
      <c r="A109" t="s">
        <v>1755</v>
      </c>
      <c r="B109" s="3" t="s">
        <v>145</v>
      </c>
      <c r="C109" s="66">
        <v>0</v>
      </c>
      <c r="D109" s="526" t="s">
        <v>1756</v>
      </c>
      <c r="E109" s="12"/>
    </row>
    <row r="110" spans="1:5" ht="12.75" customHeight="1">
      <c r="A110" s="72" t="s">
        <v>1137</v>
      </c>
      <c r="B110" s="3" t="s">
        <v>2788</v>
      </c>
      <c r="C110" s="66">
        <v>0</v>
      </c>
      <c r="D110" s="526" t="s">
        <v>1756</v>
      </c>
      <c r="E110" s="12"/>
    </row>
    <row r="111" spans="1:5" ht="12.75" customHeight="1">
      <c r="A111" t="s">
        <v>1757</v>
      </c>
      <c r="B111" s="3" t="s">
        <v>1511</v>
      </c>
      <c r="C111" s="66">
        <v>1</v>
      </c>
      <c r="D111" s="526" t="s">
        <v>796</v>
      </c>
      <c r="E111" s="12"/>
    </row>
    <row r="112" spans="1:5" ht="12.75" customHeight="1">
      <c r="A112" t="s">
        <v>1045</v>
      </c>
      <c r="B112" s="3" t="s">
        <v>2826</v>
      </c>
      <c r="C112" s="66">
        <v>1</v>
      </c>
      <c r="D112" s="526" t="s">
        <v>796</v>
      </c>
      <c r="E112" s="6" t="s">
        <v>1044</v>
      </c>
    </row>
    <row r="113" spans="1:5" ht="12.75" customHeight="1">
      <c r="A113" t="s">
        <v>1307</v>
      </c>
      <c r="B113" s="3" t="s">
        <v>1306</v>
      </c>
      <c r="C113" s="66">
        <v>1</v>
      </c>
      <c r="D113" s="526" t="s">
        <v>796</v>
      </c>
      <c r="E113" s="6"/>
    </row>
    <row r="114" spans="1:5" ht="12.75" customHeight="1">
      <c r="A114" t="s">
        <v>797</v>
      </c>
      <c r="B114" s="3" t="s">
        <v>2562</v>
      </c>
      <c r="C114" s="66">
        <v>0</v>
      </c>
      <c r="D114" s="526" t="s">
        <v>64</v>
      </c>
      <c r="E114" s="6"/>
    </row>
    <row r="115" spans="1:5" ht="12.75" customHeight="1">
      <c r="A115" t="s">
        <v>381</v>
      </c>
      <c r="B115" s="3" t="s">
        <v>382</v>
      </c>
      <c r="C115" s="66">
        <v>0</v>
      </c>
      <c r="D115" s="526" t="s">
        <v>64</v>
      </c>
      <c r="E115" s="6"/>
    </row>
    <row r="116" spans="1:5" ht="12.75" customHeight="1">
      <c r="A116" t="s">
        <v>383</v>
      </c>
      <c r="B116" s="3" t="s">
        <v>384</v>
      </c>
      <c r="C116" s="66">
        <v>2</v>
      </c>
      <c r="D116" s="526" t="s">
        <v>64</v>
      </c>
      <c r="E116" s="6"/>
    </row>
    <row r="117" spans="1:5" ht="12.75" customHeight="1">
      <c r="A117" t="s">
        <v>798</v>
      </c>
      <c r="B117" s="3" t="s">
        <v>799</v>
      </c>
      <c r="C117" s="66">
        <v>1</v>
      </c>
      <c r="D117" s="526" t="s">
        <v>64</v>
      </c>
      <c r="E117" s="6" t="s">
        <v>3495</v>
      </c>
    </row>
    <row r="118" spans="1:5" ht="12.75" customHeight="1">
      <c r="A118" s="72" t="s">
        <v>1137</v>
      </c>
      <c r="B118" s="3" t="s">
        <v>1141</v>
      </c>
      <c r="C118" s="66">
        <v>0</v>
      </c>
      <c r="D118" s="526" t="s">
        <v>64</v>
      </c>
      <c r="E118" s="6"/>
    </row>
    <row r="119" spans="1:5" ht="12.75" customHeight="1">
      <c r="A119" t="s">
        <v>2297</v>
      </c>
      <c r="B119" s="3" t="s">
        <v>2298</v>
      </c>
      <c r="C119" s="66">
        <v>0</v>
      </c>
      <c r="D119" s="526" t="s">
        <v>1756</v>
      </c>
      <c r="E119" s="6"/>
    </row>
    <row r="120" spans="1:5" ht="12.75" customHeight="1">
      <c r="A120" s="72" t="s">
        <v>1137</v>
      </c>
      <c r="B120" s="3" t="s">
        <v>1140</v>
      </c>
      <c r="C120" s="66">
        <v>0</v>
      </c>
      <c r="D120" s="526" t="s">
        <v>1756</v>
      </c>
      <c r="E120" s="6"/>
    </row>
    <row r="121" spans="1:5" ht="12.75" customHeight="1">
      <c r="A121" t="s">
        <v>1444</v>
      </c>
      <c r="B121" s="3" t="s">
        <v>2299</v>
      </c>
      <c r="C121" s="66">
        <v>1</v>
      </c>
      <c r="D121" s="526" t="s">
        <v>64</v>
      </c>
      <c r="E121" s="6" t="s">
        <v>2300</v>
      </c>
    </row>
    <row r="122" spans="1:5" ht="12.75" customHeight="1">
      <c r="A122" s="72" t="s">
        <v>1137</v>
      </c>
      <c r="B122" s="3" t="s">
        <v>1139</v>
      </c>
      <c r="C122" s="66">
        <v>0</v>
      </c>
      <c r="D122" s="526" t="s">
        <v>64</v>
      </c>
      <c r="E122" s="6"/>
    </row>
    <row r="123" spans="1:5" ht="12.75" customHeight="1">
      <c r="A123" t="s">
        <v>1445</v>
      </c>
      <c r="B123" s="3" t="s">
        <v>1446</v>
      </c>
      <c r="C123" s="66">
        <v>0</v>
      </c>
      <c r="D123" s="526" t="s">
        <v>1756</v>
      </c>
      <c r="E123" s="6"/>
    </row>
    <row r="124" spans="1:5" ht="12.75" customHeight="1">
      <c r="A124" t="s">
        <v>1758</v>
      </c>
      <c r="B124" s="3" t="s">
        <v>1447</v>
      </c>
      <c r="C124" s="66">
        <v>0</v>
      </c>
      <c r="D124" s="526" t="s">
        <v>64</v>
      </c>
      <c r="E124" s="6"/>
    </row>
    <row r="125" spans="1:5" ht="12.75" customHeight="1">
      <c r="A125" t="s">
        <v>800</v>
      </c>
      <c r="B125" s="3" t="s">
        <v>801</v>
      </c>
      <c r="C125" s="66">
        <v>1</v>
      </c>
      <c r="D125" s="526" t="s">
        <v>1756</v>
      </c>
      <c r="E125" s="6"/>
    </row>
    <row r="126" spans="1:5" ht="12.75" customHeight="1">
      <c r="A126" s="72" t="s">
        <v>1137</v>
      </c>
      <c r="B126" s="3" t="s">
        <v>1138</v>
      </c>
      <c r="C126" s="66">
        <v>0</v>
      </c>
      <c r="D126" s="526" t="s">
        <v>1756</v>
      </c>
      <c r="E126" s="6"/>
    </row>
    <row r="127" spans="1:5" ht="12.75" customHeight="1">
      <c r="A127" t="s">
        <v>1289</v>
      </c>
      <c r="B127" s="456" t="s">
        <v>1290</v>
      </c>
      <c r="C127" s="457">
        <v>1</v>
      </c>
      <c r="D127" s="526" t="s">
        <v>1291</v>
      </c>
      <c r="E127" s="6"/>
    </row>
    <row r="128" spans="1:5" ht="12.75" customHeight="1">
      <c r="A128" t="s">
        <v>802</v>
      </c>
      <c r="B128" s="3" t="s">
        <v>803</v>
      </c>
      <c r="C128" s="66">
        <v>1</v>
      </c>
      <c r="D128" s="526" t="s">
        <v>1756</v>
      </c>
      <c r="E128" s="6"/>
    </row>
    <row r="129" spans="1:5" ht="12.75" customHeight="1">
      <c r="A129" t="s">
        <v>955</v>
      </c>
      <c r="B129" s="3" t="s">
        <v>956</v>
      </c>
      <c r="C129" s="66">
        <v>1</v>
      </c>
      <c r="D129" s="526" t="s">
        <v>64</v>
      </c>
      <c r="E129" s="6"/>
    </row>
    <row r="130" spans="1:5" ht="12.75" customHeight="1">
      <c r="A130" t="s">
        <v>804</v>
      </c>
      <c r="B130" s="3" t="s">
        <v>805</v>
      </c>
      <c r="C130" s="66">
        <v>3</v>
      </c>
      <c r="D130" s="526" t="s">
        <v>64</v>
      </c>
      <c r="E130" s="6" t="s">
        <v>3493</v>
      </c>
    </row>
    <row r="131" spans="1:5" ht="12.75" customHeight="1">
      <c r="A131" t="s">
        <v>806</v>
      </c>
      <c r="B131" s="3" t="s">
        <v>1038</v>
      </c>
      <c r="C131" s="66">
        <v>0</v>
      </c>
      <c r="D131" s="526" t="s">
        <v>64</v>
      </c>
      <c r="E131" s="6" t="s">
        <v>2790</v>
      </c>
    </row>
    <row r="132" spans="1:5" ht="12.75" customHeight="1">
      <c r="B132" s="3"/>
      <c r="E132" s="6"/>
    </row>
    <row r="133" spans="1:5" ht="12.75" customHeight="1">
      <c r="A133" s="2" t="s">
        <v>134</v>
      </c>
      <c r="B133" s="3"/>
      <c r="E133" s="6"/>
    </row>
    <row r="134" spans="1:5" ht="12.75" customHeight="1">
      <c r="A134" s="6" t="s">
        <v>1632</v>
      </c>
      <c r="B134" s="3"/>
      <c r="E134" s="6"/>
    </row>
    <row r="135" spans="1:5" ht="12.75" customHeight="1">
      <c r="A135" s="6" t="s">
        <v>1637</v>
      </c>
      <c r="B135" s="42"/>
      <c r="C135" s="6"/>
      <c r="E135" s="6"/>
    </row>
    <row r="136" spans="1:5" ht="12.75" customHeight="1">
      <c r="A136" s="5" t="s">
        <v>1641</v>
      </c>
      <c r="B136" s="3" t="s">
        <v>977</v>
      </c>
      <c r="C136" s="66">
        <v>1</v>
      </c>
      <c r="D136" s="526" t="s">
        <v>64</v>
      </c>
      <c r="E136" s="6"/>
    </row>
    <row r="137" spans="1:5" ht="12.75" customHeight="1">
      <c r="A137" s="5" t="s">
        <v>1642</v>
      </c>
      <c r="B137" s="3" t="s">
        <v>978</v>
      </c>
      <c r="C137" s="66">
        <v>1</v>
      </c>
      <c r="D137" s="526" t="s">
        <v>64</v>
      </c>
      <c r="E137" s="6"/>
    </row>
    <row r="138" spans="1:5" ht="12.75" customHeight="1">
      <c r="A138" s="5" t="s">
        <v>1638</v>
      </c>
      <c r="B138" s="3" t="s">
        <v>1832</v>
      </c>
      <c r="C138" s="66">
        <v>1</v>
      </c>
      <c r="D138" s="526" t="s">
        <v>64</v>
      </c>
      <c r="E138" s="6"/>
    </row>
    <row r="139" spans="1:5" ht="12.75" customHeight="1">
      <c r="A139" s="5" t="s">
        <v>1639</v>
      </c>
      <c r="B139" s="3" t="s">
        <v>953</v>
      </c>
      <c r="C139" s="66">
        <v>1</v>
      </c>
      <c r="D139" s="526" t="s">
        <v>64</v>
      </c>
      <c r="E139" s="6"/>
    </row>
    <row r="140" spans="1:5" ht="12.75" customHeight="1">
      <c r="A140" s="5" t="s">
        <v>1640</v>
      </c>
      <c r="B140" s="3" t="s">
        <v>1651</v>
      </c>
      <c r="C140" s="66">
        <v>1</v>
      </c>
      <c r="D140" s="526" t="s">
        <v>64</v>
      </c>
      <c r="E140" s="6"/>
    </row>
    <row r="141" spans="1:5" ht="12.75" customHeight="1">
      <c r="A141" s="5"/>
      <c r="B141" s="3"/>
      <c r="C141" s="5"/>
      <c r="E141" s="6"/>
    </row>
    <row r="142" spans="1:5" ht="12.75" customHeight="1">
      <c r="A142" t="s">
        <v>1764</v>
      </c>
      <c r="B142" s="3" t="s">
        <v>1492</v>
      </c>
      <c r="C142" s="187">
        <v>2</v>
      </c>
      <c r="D142" s="526" t="s">
        <v>64</v>
      </c>
      <c r="E142" s="6" t="s">
        <v>1537</v>
      </c>
    </row>
    <row r="143" spans="1:5" ht="12.75" customHeight="1">
      <c r="A143" t="s">
        <v>297</v>
      </c>
      <c r="B143" s="3" t="s">
        <v>1725</v>
      </c>
      <c r="C143" s="187">
        <v>2</v>
      </c>
      <c r="D143" s="526" t="s">
        <v>64</v>
      </c>
      <c r="E143" s="6" t="s">
        <v>1538</v>
      </c>
    </row>
    <row r="144" spans="1:5" ht="12.75" customHeight="1">
      <c r="A144" t="s">
        <v>1765</v>
      </c>
      <c r="B144" s="3" t="s">
        <v>1726</v>
      </c>
      <c r="C144" s="187">
        <v>2</v>
      </c>
      <c r="D144" s="526" t="s">
        <v>64</v>
      </c>
      <c r="E144" s="6" t="s">
        <v>1539</v>
      </c>
    </row>
    <row r="145" spans="1:5" ht="12.75" customHeight="1">
      <c r="A145" t="s">
        <v>2754</v>
      </c>
      <c r="B145" s="3" t="s">
        <v>1727</v>
      </c>
      <c r="C145" s="187">
        <v>1</v>
      </c>
      <c r="D145" s="526" t="s">
        <v>1353</v>
      </c>
      <c r="E145" s="6" t="s">
        <v>1728</v>
      </c>
    </row>
    <row r="146" spans="1:5" ht="12.75" customHeight="1">
      <c r="A146" t="s">
        <v>416</v>
      </c>
      <c r="B146" s="3" t="s">
        <v>417</v>
      </c>
      <c r="C146" s="66">
        <v>1</v>
      </c>
      <c r="D146" s="526" t="s">
        <v>418</v>
      </c>
      <c r="E146" s="6" t="s">
        <v>2364</v>
      </c>
    </row>
    <row r="147" spans="1:5" ht="12.75" customHeight="1">
      <c r="A147" t="s">
        <v>2719</v>
      </c>
      <c r="B147" s="3" t="s">
        <v>2720</v>
      </c>
      <c r="C147" s="66">
        <v>3</v>
      </c>
      <c r="D147" s="526" t="s">
        <v>2721</v>
      </c>
      <c r="E147" s="6" t="s">
        <v>2722</v>
      </c>
    </row>
    <row r="148" spans="1:5" ht="12.75" customHeight="1">
      <c r="A148" t="s">
        <v>2366</v>
      </c>
      <c r="B148" s="3" t="s">
        <v>2367</v>
      </c>
      <c r="C148" s="66">
        <v>4</v>
      </c>
      <c r="D148" s="526" t="s">
        <v>2368</v>
      </c>
      <c r="E148" s="6" t="s">
        <v>2369</v>
      </c>
    </row>
    <row r="149" spans="1:5" ht="12.75" customHeight="1">
      <c r="B149" s="3"/>
      <c r="E149" s="6"/>
    </row>
    <row r="150" spans="1:5">
      <c r="A150" s="2" t="s">
        <v>611</v>
      </c>
    </row>
    <row r="151" spans="1:5">
      <c r="A151" s="526" t="s">
        <v>2908</v>
      </c>
      <c r="B151" s="3" t="s">
        <v>2909</v>
      </c>
      <c r="C151" s="66">
        <v>6</v>
      </c>
      <c r="D151" s="526" t="s">
        <v>61</v>
      </c>
      <c r="E151" s="6" t="s">
        <v>3</v>
      </c>
    </row>
    <row r="152" spans="1:5">
      <c r="A152" s="526" t="s">
        <v>2910</v>
      </c>
      <c r="B152" s="3" t="s">
        <v>2911</v>
      </c>
      <c r="C152" s="66">
        <v>1</v>
      </c>
      <c r="D152" s="526" t="s">
        <v>61</v>
      </c>
      <c r="E152" s="6" t="s">
        <v>2912</v>
      </c>
    </row>
    <row r="153" spans="1:5">
      <c r="A153" t="s">
        <v>1825</v>
      </c>
      <c r="B153" s="3" t="s">
        <v>1826</v>
      </c>
      <c r="C153" s="66">
        <v>4</v>
      </c>
      <c r="D153" s="526" t="s">
        <v>61</v>
      </c>
      <c r="E153" s="6" t="s">
        <v>2565</v>
      </c>
    </row>
    <row r="154" spans="1:5">
      <c r="A154" t="s">
        <v>1827</v>
      </c>
      <c r="B154" s="3" t="s">
        <v>1828</v>
      </c>
      <c r="C154" s="66">
        <v>0</v>
      </c>
      <c r="D154" s="526" t="s">
        <v>61</v>
      </c>
      <c r="E154" s="6" t="s">
        <v>1829</v>
      </c>
    </row>
    <row r="155" spans="1:5">
      <c r="A155" t="s">
        <v>1106</v>
      </c>
      <c r="B155" s="3" t="s">
        <v>1107</v>
      </c>
      <c r="C155" s="66">
        <v>10</v>
      </c>
      <c r="D155" s="526" t="s">
        <v>61</v>
      </c>
    </row>
    <row r="156" spans="1:5">
      <c r="A156" t="s">
        <v>1108</v>
      </c>
      <c r="B156" s="3" t="s">
        <v>1109</v>
      </c>
      <c r="C156" s="66">
        <v>40</v>
      </c>
      <c r="D156" s="526" t="s">
        <v>61</v>
      </c>
    </row>
    <row r="157" spans="1:5">
      <c r="A157" t="s">
        <v>2511</v>
      </c>
      <c r="B157" s="3" t="s">
        <v>4</v>
      </c>
      <c r="C157" s="189">
        <v>6</v>
      </c>
      <c r="D157" s="526" t="s">
        <v>61</v>
      </c>
      <c r="E157" s="6" t="s">
        <v>5</v>
      </c>
    </row>
    <row r="158" spans="1:5">
      <c r="A158" t="s">
        <v>849</v>
      </c>
      <c r="B158" s="3" t="s">
        <v>850</v>
      </c>
      <c r="C158" s="66">
        <v>100</v>
      </c>
      <c r="D158" s="526" t="s">
        <v>851</v>
      </c>
    </row>
    <row r="159" spans="1:5">
      <c r="A159" t="s">
        <v>849</v>
      </c>
      <c r="B159" s="3" t="s">
        <v>2489</v>
      </c>
      <c r="C159" s="66">
        <v>0</v>
      </c>
      <c r="D159" s="526" t="s">
        <v>851</v>
      </c>
      <c r="E159" s="6" t="s">
        <v>2490</v>
      </c>
    </row>
    <row r="160" spans="1:5">
      <c r="A160" t="s">
        <v>2498</v>
      </c>
      <c r="B160" s="3" t="s">
        <v>2499</v>
      </c>
      <c r="C160" s="66">
        <f>6/12</f>
        <v>0.5</v>
      </c>
      <c r="D160" s="526" t="s">
        <v>61</v>
      </c>
      <c r="E160" s="6"/>
    </row>
    <row r="161" spans="1:5">
      <c r="A161" t="s">
        <v>2500</v>
      </c>
      <c r="B161" s="3" t="s">
        <v>2501</v>
      </c>
      <c r="C161" s="66">
        <f>4/12</f>
        <v>0.33333333333333331</v>
      </c>
      <c r="D161" s="526" t="s">
        <v>61</v>
      </c>
    </row>
    <row r="162" spans="1:5" ht="14">
      <c r="A162" s="48" t="s">
        <v>1886</v>
      </c>
      <c r="B162" s="470" t="s">
        <v>1887</v>
      </c>
      <c r="C162" s="511">
        <v>3</v>
      </c>
      <c r="D162" s="526" t="s">
        <v>61</v>
      </c>
      <c r="E162" s="6" t="s">
        <v>1888</v>
      </c>
    </row>
    <row r="163" spans="1:5">
      <c r="A163" t="s">
        <v>2871</v>
      </c>
      <c r="B163" s="3" t="s">
        <v>2872</v>
      </c>
      <c r="C163" s="66">
        <v>10000</v>
      </c>
      <c r="D163" s="526" t="s">
        <v>1348</v>
      </c>
      <c r="E163" s="6"/>
    </row>
    <row r="164" spans="1:5">
      <c r="B164" s="3"/>
    </row>
    <row r="165" spans="1:5">
      <c r="A165" s="2" t="s">
        <v>2836</v>
      </c>
      <c r="D165" s="725"/>
      <c r="E165" s="7"/>
    </row>
    <row r="166" spans="1:5">
      <c r="A166" s="5" t="s">
        <v>1178</v>
      </c>
      <c r="B166" s="3" t="s">
        <v>1179</v>
      </c>
      <c r="C166" s="66">
        <v>0</v>
      </c>
      <c r="D166" s="526" t="s">
        <v>2585</v>
      </c>
      <c r="E166" s="6" t="s">
        <v>2586</v>
      </c>
    </row>
    <row r="167" spans="1:5">
      <c r="A167" s="5" t="s">
        <v>487</v>
      </c>
      <c r="B167" s="3" t="s">
        <v>488</v>
      </c>
      <c r="C167" s="66">
        <v>1</v>
      </c>
      <c r="D167" s="526" t="s">
        <v>489</v>
      </c>
      <c r="E167" s="6"/>
    </row>
    <row r="168" spans="1:5">
      <c r="A168" s="5" t="s">
        <v>1398</v>
      </c>
      <c r="B168" s="563" t="s">
        <v>1399</v>
      </c>
      <c r="C168" s="640">
        <v>90</v>
      </c>
      <c r="D168" s="526" t="s">
        <v>60</v>
      </c>
      <c r="E168" s="6" t="s">
        <v>1400</v>
      </c>
    </row>
    <row r="169" spans="1:5">
      <c r="A169" s="5" t="s">
        <v>490</v>
      </c>
      <c r="B169" s="3" t="s">
        <v>491</v>
      </c>
      <c r="C169" s="66">
        <v>100</v>
      </c>
      <c r="D169" s="526" t="s">
        <v>2512</v>
      </c>
      <c r="E169" s="6"/>
    </row>
    <row r="170" spans="1:5">
      <c r="A170" s="5" t="s">
        <v>1362</v>
      </c>
      <c r="B170" s="3" t="s">
        <v>492</v>
      </c>
      <c r="C170" s="66">
        <v>9.6</v>
      </c>
      <c r="D170" s="526" t="s">
        <v>2862</v>
      </c>
      <c r="E170" s="6"/>
    </row>
    <row r="171" spans="1:5">
      <c r="A171" s="5" t="s">
        <v>493</v>
      </c>
      <c r="B171" s="3" t="s">
        <v>494</v>
      </c>
      <c r="C171" s="66">
        <v>1</v>
      </c>
      <c r="D171" s="526" t="s">
        <v>2451</v>
      </c>
      <c r="E171" s="6"/>
    </row>
    <row r="172" spans="1:5">
      <c r="A172" s="5" t="s">
        <v>495</v>
      </c>
      <c r="B172" s="3" t="s">
        <v>2587</v>
      </c>
      <c r="C172" s="66">
        <v>10</v>
      </c>
      <c r="D172" s="526" t="s">
        <v>2512</v>
      </c>
      <c r="E172" s="6"/>
    </row>
    <row r="173" spans="1:5">
      <c r="A173" s="526" t="s">
        <v>3310</v>
      </c>
      <c r="B173" s="3" t="s">
        <v>2588</v>
      </c>
      <c r="C173" s="499">
        <v>11.85</v>
      </c>
      <c r="D173" s="526" t="s">
        <v>2862</v>
      </c>
      <c r="E173" s="6"/>
    </row>
    <row r="174" spans="1:5">
      <c r="A174" s="526" t="s">
        <v>3311</v>
      </c>
      <c r="B174" s="3" t="s">
        <v>3312</v>
      </c>
      <c r="C174" s="842">
        <v>0.4</v>
      </c>
      <c r="E174" s="6"/>
    </row>
    <row r="175" spans="1:5">
      <c r="A175" s="5" t="s">
        <v>496</v>
      </c>
      <c r="B175" s="3" t="s">
        <v>2765</v>
      </c>
      <c r="C175" s="66">
        <v>0.99</v>
      </c>
      <c r="D175" s="526" t="s">
        <v>2451</v>
      </c>
      <c r="E175" s="6"/>
    </row>
    <row r="176" spans="1:5">
      <c r="A176" s="5" t="s">
        <v>437</v>
      </c>
      <c r="B176" s="3" t="s">
        <v>2452</v>
      </c>
      <c r="C176" s="189">
        <v>25</v>
      </c>
      <c r="D176" s="526" t="s">
        <v>2589</v>
      </c>
      <c r="E176" s="6"/>
    </row>
    <row r="177" spans="1:5">
      <c r="A177" s="5" t="s">
        <v>438</v>
      </c>
      <c r="B177" s="3" t="s">
        <v>2453</v>
      </c>
      <c r="C177" s="188">
        <v>0</v>
      </c>
      <c r="E177" s="6" t="s">
        <v>2130</v>
      </c>
    </row>
    <row r="178" spans="1:5">
      <c r="A178" s="5" t="s">
        <v>439</v>
      </c>
      <c r="B178" s="3" t="s">
        <v>1093</v>
      </c>
      <c r="C178" s="188">
        <v>0.5</v>
      </c>
      <c r="E178" s="6"/>
    </row>
    <row r="179" spans="1:5">
      <c r="A179" s="5" t="s">
        <v>440</v>
      </c>
      <c r="B179" s="3" t="s">
        <v>1094</v>
      </c>
      <c r="C179" s="188">
        <v>0.1</v>
      </c>
      <c r="E179" s="6"/>
    </row>
    <row r="180" spans="1:5">
      <c r="A180" s="5" t="s">
        <v>441</v>
      </c>
      <c r="B180" s="3" t="s">
        <v>839</v>
      </c>
      <c r="C180" s="66">
        <v>2</v>
      </c>
      <c r="E180" s="6" t="s">
        <v>2612</v>
      </c>
    </row>
    <row r="181" spans="1:5">
      <c r="A181" s="5" t="s">
        <v>430</v>
      </c>
      <c r="B181" s="3" t="s">
        <v>431</v>
      </c>
      <c r="C181" s="66">
        <v>1</v>
      </c>
      <c r="E181" s="6" t="s">
        <v>1081</v>
      </c>
    </row>
    <row r="182" spans="1:5">
      <c r="A182" s="5" t="s">
        <v>432</v>
      </c>
      <c r="B182" s="3" t="s">
        <v>433</v>
      </c>
      <c r="C182" s="189">
        <f>3/5</f>
        <v>0.6</v>
      </c>
      <c r="E182" s="6" t="s">
        <v>434</v>
      </c>
    </row>
    <row r="183" spans="1:5">
      <c r="A183" s="5" t="s">
        <v>435</v>
      </c>
      <c r="B183" s="3" t="s">
        <v>436</v>
      </c>
      <c r="C183" s="189">
        <v>3</v>
      </c>
      <c r="D183" s="526" t="s">
        <v>61</v>
      </c>
      <c r="E183" s="6" t="s">
        <v>434</v>
      </c>
    </row>
    <row r="184" spans="1:5">
      <c r="A184" s="5" t="s">
        <v>463</v>
      </c>
      <c r="B184" s="3" t="s">
        <v>464</v>
      </c>
      <c r="C184" s="189">
        <v>4</v>
      </c>
      <c r="D184" s="526" t="s">
        <v>2843</v>
      </c>
      <c r="E184" s="6" t="s">
        <v>465</v>
      </c>
    </row>
    <row r="185" spans="1:5">
      <c r="A185" t="s">
        <v>462</v>
      </c>
      <c r="B185" s="3" t="s">
        <v>461</v>
      </c>
      <c r="C185" s="189">
        <v>1</v>
      </c>
      <c r="D185" s="526" t="s">
        <v>2843</v>
      </c>
      <c r="E185" s="6" t="s">
        <v>434</v>
      </c>
    </row>
    <row r="186" spans="1:5">
      <c r="A186" t="s">
        <v>307</v>
      </c>
      <c r="B186" s="3" t="s">
        <v>308</v>
      </c>
      <c r="C186" s="187">
        <v>0.25</v>
      </c>
      <c r="D186" s="526" t="s">
        <v>309</v>
      </c>
      <c r="E186" s="6"/>
    </row>
    <row r="187" spans="1:5">
      <c r="A187" s="526" t="s">
        <v>3117</v>
      </c>
      <c r="B187" s="563" t="s">
        <v>3116</v>
      </c>
      <c r="C187" s="66">
        <f>1/3</f>
        <v>0.33333333333333331</v>
      </c>
      <c r="D187" s="526" t="s">
        <v>1358</v>
      </c>
      <c r="E187" s="6"/>
    </row>
    <row r="188" spans="1:5">
      <c r="A188" t="s">
        <v>190</v>
      </c>
      <c r="B188" s="3" t="s">
        <v>191</v>
      </c>
      <c r="C188" s="187">
        <v>3</v>
      </c>
      <c r="D188" s="526" t="s">
        <v>192</v>
      </c>
      <c r="E188" s="6"/>
    </row>
    <row r="189" spans="1:5">
      <c r="A189" t="s">
        <v>193</v>
      </c>
      <c r="B189" s="3" t="s">
        <v>194</v>
      </c>
      <c r="C189" s="187">
        <v>4</v>
      </c>
      <c r="D189" s="526" t="s">
        <v>195</v>
      </c>
      <c r="E189" s="6" t="s">
        <v>196</v>
      </c>
    </row>
    <row r="190" spans="1:5">
      <c r="A190" s="5" t="s">
        <v>1540</v>
      </c>
      <c r="B190" s="3" t="s">
        <v>1541</v>
      </c>
      <c r="C190" s="191">
        <v>1</v>
      </c>
      <c r="D190" s="526" t="s">
        <v>1542</v>
      </c>
      <c r="E190" s="6"/>
    </row>
    <row r="191" spans="1:5">
      <c r="A191" t="s">
        <v>1643</v>
      </c>
      <c r="B191" s="3" t="s">
        <v>1644</v>
      </c>
      <c r="C191" s="66">
        <v>2</v>
      </c>
      <c r="D191" s="526" t="s">
        <v>2843</v>
      </c>
      <c r="E191" s="6"/>
    </row>
    <row r="192" spans="1:5">
      <c r="A192" s="5" t="s">
        <v>843</v>
      </c>
      <c r="B192" s="3" t="s">
        <v>844</v>
      </c>
      <c r="C192" s="191">
        <v>1</v>
      </c>
      <c r="D192" s="526" t="s">
        <v>64</v>
      </c>
      <c r="E192" s="6" t="s">
        <v>845</v>
      </c>
    </row>
    <row r="193" spans="1:5">
      <c r="A193" s="526" t="s">
        <v>3491</v>
      </c>
      <c r="B193" s="3" t="s">
        <v>3492</v>
      </c>
      <c r="C193" s="499">
        <v>1</v>
      </c>
      <c r="D193" s="526" t="s">
        <v>3482</v>
      </c>
      <c r="E193" s="6"/>
    </row>
    <row r="194" spans="1:5">
      <c r="A194" s="5" t="s">
        <v>356</v>
      </c>
      <c r="B194" s="3" t="s">
        <v>357</v>
      </c>
      <c r="C194" s="66">
        <v>40</v>
      </c>
      <c r="D194" s="526" t="s">
        <v>2843</v>
      </c>
      <c r="E194" s="6"/>
    </row>
    <row r="195" spans="1:5">
      <c r="A195" t="s">
        <v>673</v>
      </c>
      <c r="B195" s="3" t="s">
        <v>674</v>
      </c>
      <c r="C195" s="66">
        <v>1</v>
      </c>
      <c r="D195" s="526" t="s">
        <v>945</v>
      </c>
      <c r="E195" s="6"/>
    </row>
    <row r="196" spans="1:5">
      <c r="A196" t="s">
        <v>675</v>
      </c>
      <c r="B196" s="3" t="s">
        <v>676</v>
      </c>
      <c r="C196" s="66">
        <v>1</v>
      </c>
      <c r="D196" s="526" t="s">
        <v>144</v>
      </c>
      <c r="E196" s="6"/>
    </row>
    <row r="197" spans="1:5">
      <c r="A197" s="5" t="s">
        <v>2131</v>
      </c>
      <c r="B197" s="3" t="s">
        <v>310</v>
      </c>
      <c r="C197" s="66">
        <v>1</v>
      </c>
      <c r="E197" s="6"/>
    </row>
    <row r="198" spans="1:5">
      <c r="A198" t="s">
        <v>819</v>
      </c>
      <c r="B198" s="3" t="s">
        <v>820</v>
      </c>
      <c r="C198" s="66">
        <v>1</v>
      </c>
      <c r="D198" s="526" t="s">
        <v>64</v>
      </c>
      <c r="E198" s="6"/>
    </row>
    <row r="199" spans="1:5">
      <c r="A199" t="s">
        <v>821</v>
      </c>
      <c r="B199" s="3" t="s">
        <v>822</v>
      </c>
      <c r="C199" s="66">
        <v>1</v>
      </c>
      <c r="D199" s="526" t="s">
        <v>796</v>
      </c>
      <c r="E199" s="6"/>
    </row>
    <row r="200" spans="1:5">
      <c r="A200" s="5" t="s">
        <v>9</v>
      </c>
      <c r="B200" s="3" t="s">
        <v>612</v>
      </c>
      <c r="C200" s="190">
        <v>2</v>
      </c>
      <c r="D200" s="526" t="s">
        <v>141</v>
      </c>
      <c r="E200" s="6" t="s">
        <v>8</v>
      </c>
    </row>
    <row r="201" spans="1:5">
      <c r="A201" s="5" t="s">
        <v>823</v>
      </c>
      <c r="B201" s="3" t="s">
        <v>824</v>
      </c>
      <c r="C201" s="190">
        <v>0.5</v>
      </c>
      <c r="D201" s="526" t="s">
        <v>141</v>
      </c>
      <c r="E201" s="6"/>
    </row>
    <row r="202" spans="1:5">
      <c r="A202" s="5" t="s">
        <v>825</v>
      </c>
      <c r="B202" s="3" t="s">
        <v>826</v>
      </c>
      <c r="C202" s="189">
        <v>1</v>
      </c>
      <c r="D202" s="526" t="s">
        <v>168</v>
      </c>
      <c r="E202" s="6"/>
    </row>
    <row r="203" spans="1:5">
      <c r="A203" s="5" t="s">
        <v>827</v>
      </c>
      <c r="B203" s="3" t="s">
        <v>2878</v>
      </c>
      <c r="C203" s="189">
        <v>1</v>
      </c>
      <c r="D203" s="526" t="s">
        <v>2879</v>
      </c>
    </row>
    <row r="204" spans="1:5">
      <c r="A204" s="5" t="s">
        <v>2880</v>
      </c>
      <c r="B204" s="3" t="s">
        <v>2881</v>
      </c>
      <c r="C204" s="189">
        <v>1</v>
      </c>
      <c r="D204" s="526" t="s">
        <v>2879</v>
      </c>
    </row>
    <row r="205" spans="1:5">
      <c r="A205" s="5" t="s">
        <v>2882</v>
      </c>
      <c r="B205" s="3" t="s">
        <v>2883</v>
      </c>
      <c r="C205" s="189">
        <v>1</v>
      </c>
      <c r="D205" s="526" t="s">
        <v>2879</v>
      </c>
    </row>
    <row r="206" spans="1:5">
      <c r="A206" s="5" t="s">
        <v>858</v>
      </c>
      <c r="B206" s="3" t="s">
        <v>859</v>
      </c>
      <c r="C206" s="189">
        <v>250</v>
      </c>
      <c r="D206" s="526" t="s">
        <v>141</v>
      </c>
      <c r="E206" s="6" t="s">
        <v>979</v>
      </c>
    </row>
    <row r="207" spans="1:5">
      <c r="A207" s="5" t="s">
        <v>2477</v>
      </c>
      <c r="B207" s="3" t="s">
        <v>2478</v>
      </c>
      <c r="C207" s="189">
        <v>1</v>
      </c>
      <c r="D207" s="526" t="s">
        <v>2479</v>
      </c>
      <c r="E207" s="6" t="s">
        <v>2480</v>
      </c>
    </row>
    <row r="208" spans="1:5">
      <c r="A208" s="5" t="s">
        <v>980</v>
      </c>
      <c r="B208" s="3" t="s">
        <v>981</v>
      </c>
      <c r="C208" s="66">
        <v>18</v>
      </c>
      <c r="D208" s="526" t="s">
        <v>2283</v>
      </c>
      <c r="E208" s="6"/>
    </row>
    <row r="209" spans="1:5">
      <c r="A209" s="5" t="s">
        <v>1549</v>
      </c>
      <c r="B209" s="3" t="s">
        <v>1550</v>
      </c>
      <c r="C209" s="191">
        <v>6000</v>
      </c>
      <c r="D209" s="526" t="s">
        <v>1131</v>
      </c>
      <c r="E209" s="6"/>
    </row>
    <row r="210" spans="1:5">
      <c r="A210" s="5" t="s">
        <v>2469</v>
      </c>
      <c r="B210" s="3" t="s">
        <v>2475</v>
      </c>
      <c r="C210" s="66">
        <v>18</v>
      </c>
      <c r="D210" s="526" t="s">
        <v>2283</v>
      </c>
      <c r="E210" s="6"/>
    </row>
    <row r="211" spans="1:5">
      <c r="A211" s="5" t="s">
        <v>2470</v>
      </c>
      <c r="B211" s="3" t="s">
        <v>2471</v>
      </c>
      <c r="C211" s="66">
        <v>18</v>
      </c>
      <c r="D211" s="526" t="s">
        <v>2283</v>
      </c>
      <c r="E211" s="6"/>
    </row>
    <row r="212" spans="1:5">
      <c r="A212" s="5" t="s">
        <v>982</v>
      </c>
      <c r="B212" s="3" t="s">
        <v>983</v>
      </c>
      <c r="C212" s="189">
        <v>10</v>
      </c>
      <c r="D212" s="526" t="s">
        <v>984</v>
      </c>
      <c r="E212" s="6"/>
    </row>
    <row r="213" spans="1:5">
      <c r="A213" s="5" t="s">
        <v>985</v>
      </c>
      <c r="B213" s="3" t="s">
        <v>986</v>
      </c>
      <c r="C213" s="189">
        <v>200</v>
      </c>
      <c r="D213" s="526" t="s">
        <v>984</v>
      </c>
    </row>
    <row r="214" spans="1:5">
      <c r="A214" s="5" t="s">
        <v>2472</v>
      </c>
      <c r="B214" s="3" t="s">
        <v>2476</v>
      </c>
      <c r="C214" s="623">
        <v>700</v>
      </c>
      <c r="D214" s="526" t="s">
        <v>984</v>
      </c>
    </row>
    <row r="215" spans="1:5">
      <c r="A215" s="5" t="s">
        <v>2473</v>
      </c>
      <c r="B215" s="3" t="s">
        <v>2474</v>
      </c>
      <c r="C215" s="623">
        <v>700</v>
      </c>
      <c r="D215" s="526" t="s">
        <v>984</v>
      </c>
    </row>
    <row r="216" spans="1:5">
      <c r="A216" t="s">
        <v>987</v>
      </c>
      <c r="B216" s="3" t="s">
        <v>988</v>
      </c>
      <c r="C216" s="66">
        <v>180</v>
      </c>
      <c r="D216" s="526" t="s">
        <v>989</v>
      </c>
      <c r="E216" s="6" t="s">
        <v>990</v>
      </c>
    </row>
    <row r="217" spans="1:5">
      <c r="A217" t="s">
        <v>991</v>
      </c>
      <c r="B217" s="3" t="s">
        <v>992</v>
      </c>
      <c r="C217" s="66">
        <v>0.7</v>
      </c>
      <c r="E217" s="6" t="s">
        <v>993</v>
      </c>
    </row>
    <row r="218" spans="1:5">
      <c r="A218" t="s">
        <v>994</v>
      </c>
      <c r="B218" s="3" t="s">
        <v>995</v>
      </c>
      <c r="C218" s="66">
        <v>70</v>
      </c>
      <c r="D218" s="526" t="s">
        <v>989</v>
      </c>
      <c r="E218" s="6" t="s">
        <v>990</v>
      </c>
    </row>
    <row r="219" spans="1:5">
      <c r="A219" t="s">
        <v>1076</v>
      </c>
      <c r="B219" s="3" t="s">
        <v>1077</v>
      </c>
      <c r="C219" s="66">
        <v>180</v>
      </c>
      <c r="D219" s="526" t="s">
        <v>268</v>
      </c>
      <c r="E219" s="6" t="s">
        <v>282</v>
      </c>
    </row>
    <row r="220" spans="1:5">
      <c r="A220" t="s">
        <v>283</v>
      </c>
      <c r="B220" s="3" t="s">
        <v>284</v>
      </c>
      <c r="C220" s="66">
        <v>1.1000000000000001</v>
      </c>
      <c r="E220" s="6" t="s">
        <v>285</v>
      </c>
    </row>
    <row r="221" spans="1:5">
      <c r="A221" t="s">
        <v>286</v>
      </c>
      <c r="B221" s="3" t="s">
        <v>287</v>
      </c>
      <c r="C221" s="66">
        <v>5</v>
      </c>
      <c r="D221" s="526" t="s">
        <v>1103</v>
      </c>
    </row>
    <row r="222" spans="1:5">
      <c r="A222" t="s">
        <v>288</v>
      </c>
      <c r="B222" s="3" t="s">
        <v>289</v>
      </c>
      <c r="C222" s="66">
        <v>2</v>
      </c>
      <c r="D222" s="526" t="s">
        <v>290</v>
      </c>
      <c r="E222" s="6" t="s">
        <v>807</v>
      </c>
    </row>
    <row r="223" spans="1:5">
      <c r="A223" t="s">
        <v>808</v>
      </c>
      <c r="B223" s="3" t="s">
        <v>809</v>
      </c>
      <c r="C223" s="66">
        <v>0.5</v>
      </c>
      <c r="D223" s="526" t="s">
        <v>61</v>
      </c>
      <c r="E223" s="6" t="s">
        <v>810</v>
      </c>
    </row>
    <row r="224" spans="1:5">
      <c r="A224" s="5" t="s">
        <v>811</v>
      </c>
      <c r="B224" s="3" t="s">
        <v>812</v>
      </c>
      <c r="C224" s="189">
        <v>4</v>
      </c>
      <c r="D224" s="526" t="s">
        <v>2843</v>
      </c>
      <c r="E224" s="6" t="s">
        <v>813</v>
      </c>
    </row>
    <row r="225" spans="1:8">
      <c r="A225" s="5" t="s">
        <v>1878</v>
      </c>
      <c r="B225" s="3" t="s">
        <v>1879</v>
      </c>
      <c r="C225" s="189">
        <v>1</v>
      </c>
      <c r="D225" s="526" t="s">
        <v>1880</v>
      </c>
      <c r="E225" s="6" t="s">
        <v>2319</v>
      </c>
    </row>
    <row r="226" spans="1:8">
      <c r="A226" s="5" t="s">
        <v>2320</v>
      </c>
      <c r="B226" s="3" t="s">
        <v>2321</v>
      </c>
      <c r="C226" s="189">
        <v>25</v>
      </c>
      <c r="D226" s="526" t="s">
        <v>2589</v>
      </c>
    </row>
    <row r="227" spans="1:8">
      <c r="A227" s="5" t="s">
        <v>2322</v>
      </c>
      <c r="B227" s="3" t="s">
        <v>2323</v>
      </c>
      <c r="C227" s="189">
        <v>35.630000000000003</v>
      </c>
      <c r="D227" s="526" t="s">
        <v>851</v>
      </c>
      <c r="E227" s="6" t="s">
        <v>2324</v>
      </c>
    </row>
    <row r="228" spans="1:8">
      <c r="A228" s="5"/>
      <c r="B228" s="3"/>
      <c r="C228" s="5"/>
      <c r="E228" s="6"/>
    </row>
    <row r="229" spans="1:8">
      <c r="B229" s="3"/>
      <c r="E229" s="229"/>
      <c r="F229" s="229"/>
      <c r="H229" s="6"/>
    </row>
    <row r="230" spans="1:8">
      <c r="A230" s="92" t="s">
        <v>2945</v>
      </c>
    </row>
    <row r="231" spans="1:8" ht="12.75" customHeight="1">
      <c r="A231" s="61" t="s">
        <v>1633</v>
      </c>
      <c r="B231" s="3"/>
      <c r="C231" s="5"/>
      <c r="E231" s="6"/>
    </row>
    <row r="232" spans="1:8" ht="12.75" customHeight="1" thickBot="1">
      <c r="A232" s="61" t="s">
        <v>33</v>
      </c>
    </row>
    <row r="233" spans="1:8" ht="12.75" customHeight="1">
      <c r="A233" s="62" t="s">
        <v>1654</v>
      </c>
      <c r="B233" s="63" t="s">
        <v>1655</v>
      </c>
      <c r="C233" s="63" t="s">
        <v>1656</v>
      </c>
      <c r="D233" s="63" t="s">
        <v>1657</v>
      </c>
      <c r="E233" s="63" t="s">
        <v>1658</v>
      </c>
      <c r="F233" s="64" t="s">
        <v>1659</v>
      </c>
    </row>
    <row r="234" spans="1:8" ht="12.75" customHeight="1">
      <c r="A234" s="65" t="s">
        <v>35</v>
      </c>
      <c r="B234" s="3" t="s">
        <v>36</v>
      </c>
      <c r="C234" s="66">
        <v>1</v>
      </c>
      <c r="D234" s="499">
        <v>1</v>
      </c>
      <c r="E234" s="66">
        <v>0</v>
      </c>
      <c r="F234" s="67">
        <v>0</v>
      </c>
    </row>
    <row r="235" spans="1:8" ht="12.75" customHeight="1">
      <c r="A235" s="65" t="s">
        <v>1443</v>
      </c>
      <c r="B235" s="3" t="s">
        <v>2928</v>
      </c>
      <c r="C235" s="66">
        <v>0</v>
      </c>
      <c r="D235" s="499">
        <v>0</v>
      </c>
      <c r="E235" s="66">
        <v>1</v>
      </c>
      <c r="F235" s="67">
        <v>0</v>
      </c>
    </row>
    <row r="236" spans="1:8">
      <c r="A236" s="65" t="s">
        <v>2376</v>
      </c>
      <c r="B236" s="504" t="s">
        <v>2377</v>
      </c>
      <c r="C236" s="66">
        <v>0</v>
      </c>
      <c r="D236" s="499">
        <v>0</v>
      </c>
      <c r="E236" s="66">
        <v>1</v>
      </c>
      <c r="F236" s="67">
        <v>0</v>
      </c>
      <c r="G236" s="6"/>
    </row>
    <row r="237" spans="1:8">
      <c r="A237" s="65" t="s">
        <v>2378</v>
      </c>
      <c r="B237" s="504" t="s">
        <v>2379</v>
      </c>
      <c r="C237" s="66">
        <v>0</v>
      </c>
      <c r="D237" s="499">
        <v>0</v>
      </c>
      <c r="E237" s="66">
        <v>2</v>
      </c>
      <c r="F237" s="67">
        <v>1</v>
      </c>
      <c r="G237" s="6" t="s">
        <v>2718</v>
      </c>
    </row>
    <row r="238" spans="1:8">
      <c r="A238" s="65" t="s">
        <v>2380</v>
      </c>
      <c r="B238" s="504" t="s">
        <v>2381</v>
      </c>
      <c r="C238" s="66">
        <v>0</v>
      </c>
      <c r="D238" s="499">
        <v>0</v>
      </c>
      <c r="E238" s="66">
        <v>1</v>
      </c>
      <c r="F238" s="67">
        <v>0</v>
      </c>
      <c r="G238" s="6"/>
    </row>
    <row r="239" spans="1:8">
      <c r="A239" s="65" t="s">
        <v>2382</v>
      </c>
      <c r="B239" s="504" t="s">
        <v>2383</v>
      </c>
      <c r="C239" s="66">
        <v>0</v>
      </c>
      <c r="D239" s="499">
        <v>0</v>
      </c>
      <c r="E239" s="66">
        <v>2</v>
      </c>
      <c r="F239" s="67">
        <v>1</v>
      </c>
      <c r="G239" s="6" t="s">
        <v>2718</v>
      </c>
    </row>
    <row r="240" spans="1:8" ht="12.75" customHeight="1">
      <c r="A240" s="65" t="s">
        <v>38</v>
      </c>
      <c r="B240" s="3" t="s">
        <v>39</v>
      </c>
      <c r="C240" s="66">
        <v>1</v>
      </c>
      <c r="D240" s="499">
        <v>0</v>
      </c>
      <c r="E240" s="66">
        <v>0</v>
      </c>
      <c r="F240" s="67">
        <v>0</v>
      </c>
    </row>
    <row r="241" spans="1:7" ht="12.75" customHeight="1">
      <c r="A241" s="65" t="s">
        <v>940</v>
      </c>
      <c r="B241" s="3" t="s">
        <v>954</v>
      </c>
      <c r="C241" s="66">
        <v>0</v>
      </c>
      <c r="D241" s="499">
        <v>0</v>
      </c>
      <c r="E241" s="66">
        <v>1</v>
      </c>
      <c r="F241" s="67">
        <v>0</v>
      </c>
    </row>
    <row r="242" spans="1:7" ht="12.75" customHeight="1">
      <c r="A242" s="65" t="s">
        <v>2294</v>
      </c>
      <c r="B242" s="3" t="s">
        <v>2295</v>
      </c>
      <c r="C242" s="66">
        <v>0</v>
      </c>
      <c r="D242" s="499">
        <v>0</v>
      </c>
      <c r="E242" s="66">
        <v>1</v>
      </c>
      <c r="F242" s="67">
        <v>0</v>
      </c>
    </row>
    <row r="243" spans="1:7" ht="12.75" customHeight="1">
      <c r="A243" s="65" t="s">
        <v>40</v>
      </c>
      <c r="B243" s="3" t="s">
        <v>41</v>
      </c>
      <c r="C243" s="66">
        <v>1</v>
      </c>
      <c r="D243" s="499">
        <v>0</v>
      </c>
      <c r="E243" s="66">
        <v>0</v>
      </c>
      <c r="F243" s="67">
        <v>0</v>
      </c>
    </row>
    <row r="244" spans="1:7" ht="12.75" customHeight="1">
      <c r="A244" s="797" t="s">
        <v>3251</v>
      </c>
      <c r="B244" s="3" t="s">
        <v>42</v>
      </c>
      <c r="C244" s="66">
        <v>3</v>
      </c>
      <c r="D244" s="499">
        <v>1</v>
      </c>
      <c r="E244" s="66">
        <v>0</v>
      </c>
      <c r="F244" s="67">
        <v>0</v>
      </c>
    </row>
    <row r="245" spans="1:7" ht="12.75" customHeight="1">
      <c r="A245" s="65" t="s">
        <v>43</v>
      </c>
      <c r="B245" s="3" t="s">
        <v>44</v>
      </c>
      <c r="C245" s="66">
        <v>0</v>
      </c>
      <c r="D245" s="499">
        <v>0</v>
      </c>
      <c r="E245" s="66">
        <v>1</v>
      </c>
      <c r="F245" s="67">
        <v>0</v>
      </c>
    </row>
    <row r="246" spans="1:7" ht="12.75" customHeight="1">
      <c r="A246" s="65" t="s">
        <v>1441</v>
      </c>
      <c r="B246" s="3" t="s">
        <v>1442</v>
      </c>
      <c r="C246" s="66">
        <v>0</v>
      </c>
      <c r="D246" s="499">
        <v>0</v>
      </c>
      <c r="E246" s="66">
        <v>1</v>
      </c>
      <c r="F246" s="67">
        <v>0</v>
      </c>
    </row>
    <row r="247" spans="1:7" ht="12.75" customHeight="1" thickBot="1">
      <c r="A247" s="68" t="s">
        <v>1422</v>
      </c>
      <c r="B247" s="69" t="s">
        <v>1423</v>
      </c>
      <c r="C247" s="378">
        <v>0</v>
      </c>
      <c r="D247" s="727">
        <v>0</v>
      </c>
      <c r="E247" s="70">
        <v>1</v>
      </c>
      <c r="F247" s="71">
        <v>1</v>
      </c>
    </row>
    <row r="249" spans="1:7" ht="12.75" customHeight="1">
      <c r="A249" s="92" t="s">
        <v>2944</v>
      </c>
      <c r="B249" s="3"/>
      <c r="E249" s="6"/>
    </row>
    <row r="250" spans="1:7" ht="12.75" customHeight="1">
      <c r="A250" s="317" t="s">
        <v>32</v>
      </c>
      <c r="B250" s="3"/>
      <c r="E250" s="6"/>
    </row>
    <row r="251" spans="1:7" ht="12.75" customHeight="1" thickBot="1">
      <c r="A251" s="317" t="s">
        <v>33</v>
      </c>
      <c r="B251" s="3"/>
      <c r="E251" s="6"/>
    </row>
    <row r="252" spans="1:7">
      <c r="A252" s="314" t="s">
        <v>646</v>
      </c>
      <c r="B252" s="63" t="s">
        <v>1655</v>
      </c>
      <c r="C252" s="315" t="s">
        <v>1650</v>
      </c>
      <c r="D252" s="315" t="s">
        <v>647</v>
      </c>
      <c r="E252" s="315" t="s">
        <v>648</v>
      </c>
      <c r="F252" s="316"/>
    </row>
    <row r="253" spans="1:7" ht="12.75" customHeight="1">
      <c r="A253" s="65" t="s">
        <v>644</v>
      </c>
      <c r="B253" s="3" t="s">
        <v>643</v>
      </c>
      <c r="C253" s="66">
        <v>0</v>
      </c>
      <c r="D253" s="499">
        <v>0</v>
      </c>
      <c r="E253" s="66">
        <v>3</v>
      </c>
      <c r="F253" s="318" t="s">
        <v>942</v>
      </c>
      <c r="G253" s="6"/>
    </row>
    <row r="254" spans="1:7" ht="12.75" customHeight="1">
      <c r="A254" s="65" t="s">
        <v>645</v>
      </c>
      <c r="B254" s="3" t="s">
        <v>642</v>
      </c>
      <c r="C254" s="66">
        <v>0</v>
      </c>
      <c r="D254" s="499">
        <v>0</v>
      </c>
      <c r="E254" s="66">
        <v>2</v>
      </c>
      <c r="F254" s="318" t="s">
        <v>942</v>
      </c>
      <c r="G254" s="6"/>
    </row>
    <row r="255" spans="1:7" ht="12.75" customHeight="1">
      <c r="A255" s="65" t="s">
        <v>943</v>
      </c>
      <c r="B255" s="3" t="s">
        <v>944</v>
      </c>
      <c r="C255" s="66">
        <v>0</v>
      </c>
      <c r="D255" s="499">
        <v>0</v>
      </c>
      <c r="E255" s="66">
        <v>2</v>
      </c>
      <c r="F255" s="318" t="s">
        <v>945</v>
      </c>
      <c r="G255" s="12"/>
    </row>
    <row r="256" spans="1:7" ht="12.75" customHeight="1">
      <c r="A256" t="s">
        <v>1285</v>
      </c>
      <c r="B256" s="456" t="s">
        <v>1286</v>
      </c>
      <c r="C256" s="458">
        <v>0</v>
      </c>
      <c r="D256" s="458">
        <v>0</v>
      </c>
      <c r="E256" s="458">
        <v>1</v>
      </c>
      <c r="F256" s="459" t="s">
        <v>1284</v>
      </c>
      <c r="G256" s="12"/>
    </row>
    <row r="257" spans="1:7" ht="12.75" customHeight="1">
      <c r="A257" s="65" t="s">
        <v>946</v>
      </c>
      <c r="B257" s="3" t="s">
        <v>947</v>
      </c>
      <c r="C257" s="66">
        <v>0</v>
      </c>
      <c r="D257" s="499">
        <v>0</v>
      </c>
      <c r="E257" s="66">
        <v>2</v>
      </c>
      <c r="F257" s="318" t="s">
        <v>942</v>
      </c>
      <c r="G257" s="12"/>
    </row>
    <row r="258" spans="1:7" ht="12.75" customHeight="1">
      <c r="A258" s="65" t="s">
        <v>948</v>
      </c>
      <c r="B258" s="3" t="s">
        <v>949</v>
      </c>
      <c r="C258" s="66">
        <v>0</v>
      </c>
      <c r="D258" s="499">
        <v>0</v>
      </c>
      <c r="E258" s="66">
        <v>1</v>
      </c>
      <c r="F258" s="318" t="s">
        <v>945</v>
      </c>
      <c r="G258" s="12"/>
    </row>
    <row r="259" spans="1:7" ht="12.75" customHeight="1">
      <c r="A259" s="65" t="s">
        <v>950</v>
      </c>
      <c r="B259" s="3" t="s">
        <v>951</v>
      </c>
      <c r="C259" s="66">
        <v>0</v>
      </c>
      <c r="D259" s="499">
        <v>0</v>
      </c>
      <c r="E259" s="66">
        <v>1</v>
      </c>
      <c r="F259" s="318" t="s">
        <v>952</v>
      </c>
      <c r="G259" s="6" t="s">
        <v>105</v>
      </c>
    </row>
    <row r="260" spans="1:7" ht="12.75" customHeight="1">
      <c r="A260" s="65" t="s">
        <v>100</v>
      </c>
      <c r="B260" s="3" t="s">
        <v>2822</v>
      </c>
      <c r="C260" s="66">
        <v>0</v>
      </c>
      <c r="D260" s="499">
        <v>0</v>
      </c>
      <c r="E260" s="66">
        <v>1</v>
      </c>
      <c r="F260" s="318" t="s">
        <v>952</v>
      </c>
      <c r="G260" s="6" t="s">
        <v>251</v>
      </c>
    </row>
    <row r="261" spans="1:7" ht="12.75" customHeight="1">
      <c r="A261" s="65" t="s">
        <v>2742</v>
      </c>
      <c r="B261" s="3" t="s">
        <v>2743</v>
      </c>
      <c r="C261" s="66">
        <v>0</v>
      </c>
      <c r="D261" s="499">
        <v>0</v>
      </c>
      <c r="E261" s="66">
        <v>1</v>
      </c>
      <c r="F261" s="318" t="s">
        <v>144</v>
      </c>
      <c r="G261" s="6" t="s">
        <v>101</v>
      </c>
    </row>
    <row r="262" spans="1:7" ht="12.75" customHeight="1">
      <c r="A262" s="65" t="s">
        <v>2449</v>
      </c>
      <c r="B262" s="3" t="s">
        <v>2450</v>
      </c>
      <c r="C262" s="66">
        <v>0</v>
      </c>
      <c r="D262" s="499">
        <v>0</v>
      </c>
      <c r="E262" s="66">
        <v>1</v>
      </c>
      <c r="F262" s="318" t="s">
        <v>957</v>
      </c>
      <c r="G262" s="6"/>
    </row>
    <row r="263" spans="1:7" ht="12.75" customHeight="1">
      <c r="A263" s="65" t="s">
        <v>102</v>
      </c>
      <c r="B263" s="3" t="s">
        <v>103</v>
      </c>
      <c r="C263" s="66">
        <v>0</v>
      </c>
      <c r="D263" s="499">
        <v>0</v>
      </c>
      <c r="E263" s="66">
        <v>1</v>
      </c>
      <c r="F263" s="318" t="s">
        <v>952</v>
      </c>
      <c r="G263" s="6"/>
    </row>
    <row r="264" spans="1:7" ht="12.75" customHeight="1">
      <c r="A264" s="65" t="s">
        <v>104</v>
      </c>
      <c r="B264" s="3" t="s">
        <v>2827</v>
      </c>
      <c r="C264" s="66">
        <v>0</v>
      </c>
      <c r="D264" s="499">
        <v>0</v>
      </c>
      <c r="E264" s="66">
        <v>2</v>
      </c>
      <c r="F264" s="318" t="s">
        <v>942</v>
      </c>
      <c r="G264" s="6"/>
    </row>
    <row r="265" spans="1:7" ht="12.75" customHeight="1">
      <c r="A265" s="65" t="s">
        <v>1039</v>
      </c>
      <c r="B265" s="3" t="s">
        <v>1041</v>
      </c>
      <c r="C265" s="66">
        <v>0</v>
      </c>
      <c r="D265" s="499">
        <v>0</v>
      </c>
      <c r="E265" s="66">
        <v>2</v>
      </c>
      <c r="F265" s="318" t="s">
        <v>945</v>
      </c>
      <c r="G265" s="6" t="s">
        <v>1040</v>
      </c>
    </row>
    <row r="266" spans="1:7">
      <c r="A266" s="65" t="s">
        <v>358</v>
      </c>
      <c r="B266" s="3" t="s">
        <v>359</v>
      </c>
      <c r="C266" s="66">
        <v>0</v>
      </c>
      <c r="D266" s="499">
        <v>0</v>
      </c>
      <c r="E266" s="66">
        <v>1</v>
      </c>
      <c r="F266" s="318" t="s">
        <v>945</v>
      </c>
      <c r="G266" s="6"/>
    </row>
    <row r="267" spans="1:7">
      <c r="A267" s="65" t="s">
        <v>671</v>
      </c>
      <c r="B267" s="3" t="s">
        <v>672</v>
      </c>
      <c r="C267" s="66">
        <v>0</v>
      </c>
      <c r="D267" s="499">
        <v>0</v>
      </c>
      <c r="E267" s="66">
        <v>1</v>
      </c>
      <c r="F267" s="318" t="s">
        <v>952</v>
      </c>
      <c r="G267" s="6"/>
    </row>
    <row r="268" spans="1:7">
      <c r="A268" t="s">
        <v>364</v>
      </c>
      <c r="B268" s="3" t="s">
        <v>1147</v>
      </c>
      <c r="C268" s="66">
        <v>0</v>
      </c>
      <c r="D268" s="499">
        <v>0</v>
      </c>
      <c r="E268" s="66">
        <v>1</v>
      </c>
      <c r="F268" s="318" t="s">
        <v>1148</v>
      </c>
      <c r="G268" s="6"/>
    </row>
    <row r="269" spans="1:7" ht="12.75" customHeight="1">
      <c r="A269" s="65" t="s">
        <v>2251</v>
      </c>
      <c r="B269" s="3" t="s">
        <v>2252</v>
      </c>
      <c r="C269" s="66">
        <v>0</v>
      </c>
      <c r="D269" s="499">
        <v>0</v>
      </c>
      <c r="E269" s="66">
        <v>1</v>
      </c>
      <c r="F269" s="318" t="s">
        <v>144</v>
      </c>
      <c r="G269" s="12"/>
    </row>
    <row r="270" spans="1:7" ht="12.75" customHeight="1">
      <c r="A270" s="65" t="s">
        <v>2142</v>
      </c>
      <c r="B270" s="3" t="s">
        <v>649</v>
      </c>
      <c r="C270" s="66">
        <v>3</v>
      </c>
      <c r="D270" s="499">
        <v>3</v>
      </c>
      <c r="E270" s="66">
        <v>0</v>
      </c>
      <c r="F270" s="318" t="s">
        <v>942</v>
      </c>
      <c r="G270" s="6"/>
    </row>
    <row r="271" spans="1:7" ht="12.75" customHeight="1">
      <c r="A271" s="65" t="s">
        <v>2143</v>
      </c>
      <c r="B271" s="3" t="s">
        <v>650</v>
      </c>
      <c r="C271" s="66">
        <v>2</v>
      </c>
      <c r="D271" s="499">
        <v>2</v>
      </c>
      <c r="E271" s="66">
        <v>0</v>
      </c>
      <c r="F271" s="318" t="s">
        <v>942</v>
      </c>
      <c r="G271" s="6"/>
    </row>
    <row r="272" spans="1:7" ht="12.75" customHeight="1">
      <c r="A272" s="65" t="s">
        <v>2144</v>
      </c>
      <c r="B272" s="3" t="s">
        <v>651</v>
      </c>
      <c r="C272" s="66">
        <v>2</v>
      </c>
      <c r="D272" s="499">
        <v>2</v>
      </c>
      <c r="E272" s="66">
        <v>0</v>
      </c>
      <c r="F272" s="318" t="s">
        <v>945</v>
      </c>
      <c r="G272" s="12"/>
    </row>
    <row r="273" spans="1:7" ht="12.75" customHeight="1">
      <c r="A273" t="s">
        <v>1287</v>
      </c>
      <c r="B273" s="456" t="s">
        <v>1288</v>
      </c>
      <c r="C273" s="458">
        <v>1</v>
      </c>
      <c r="D273" s="458">
        <v>1</v>
      </c>
      <c r="E273" s="458">
        <v>0</v>
      </c>
      <c r="F273" s="459" t="s">
        <v>1284</v>
      </c>
      <c r="G273" s="12"/>
    </row>
    <row r="274" spans="1:7" ht="12.75" customHeight="1">
      <c r="A274" s="65" t="s">
        <v>2145</v>
      </c>
      <c r="B274" s="3" t="s">
        <v>652</v>
      </c>
      <c r="C274" s="66">
        <v>2</v>
      </c>
      <c r="D274" s="499">
        <v>2</v>
      </c>
      <c r="E274" s="66">
        <v>0</v>
      </c>
      <c r="F274" s="318" t="s">
        <v>942</v>
      </c>
      <c r="G274" s="12"/>
    </row>
    <row r="275" spans="1:7" ht="12.75" customHeight="1">
      <c r="A275" s="65" t="s">
        <v>2146</v>
      </c>
      <c r="B275" s="3" t="s">
        <v>2133</v>
      </c>
      <c r="C275" s="66">
        <v>1</v>
      </c>
      <c r="D275" s="499">
        <v>1</v>
      </c>
      <c r="E275" s="66">
        <v>0</v>
      </c>
      <c r="F275" s="318" t="s">
        <v>945</v>
      </c>
      <c r="G275" s="12"/>
    </row>
    <row r="276" spans="1:7" ht="12.75" customHeight="1">
      <c r="A276" s="65" t="s">
        <v>2147</v>
      </c>
      <c r="B276" s="3" t="s">
        <v>2134</v>
      </c>
      <c r="C276" s="66">
        <v>1</v>
      </c>
      <c r="D276" s="499">
        <v>1</v>
      </c>
      <c r="E276" s="66">
        <v>0</v>
      </c>
      <c r="F276" s="318" t="s">
        <v>952</v>
      </c>
      <c r="G276" s="6" t="s">
        <v>105</v>
      </c>
    </row>
    <row r="277" spans="1:7" ht="12.75" customHeight="1">
      <c r="A277" s="65" t="s">
        <v>2148</v>
      </c>
      <c r="B277" s="3" t="s">
        <v>2135</v>
      </c>
      <c r="C277" s="66">
        <v>1</v>
      </c>
      <c r="D277" s="499">
        <v>1</v>
      </c>
      <c r="E277" s="66">
        <v>0</v>
      </c>
      <c r="F277" s="318" t="s">
        <v>952</v>
      </c>
      <c r="G277" s="6" t="s">
        <v>251</v>
      </c>
    </row>
    <row r="278" spans="1:7" ht="12.75" customHeight="1">
      <c r="A278" s="65" t="s">
        <v>34</v>
      </c>
      <c r="B278" s="3" t="s">
        <v>2136</v>
      </c>
      <c r="C278" s="66">
        <v>1</v>
      </c>
      <c r="D278" s="499">
        <v>1</v>
      </c>
      <c r="E278" s="66">
        <v>0</v>
      </c>
      <c r="F278" s="318" t="s">
        <v>144</v>
      </c>
      <c r="G278" s="6" t="s">
        <v>101</v>
      </c>
    </row>
    <row r="279" spans="1:7" ht="12.75" customHeight="1">
      <c r="A279" s="65" t="s">
        <v>2149</v>
      </c>
      <c r="B279" s="3" t="s">
        <v>2137</v>
      </c>
      <c r="C279" s="66">
        <v>1</v>
      </c>
      <c r="D279" s="499">
        <v>1</v>
      </c>
      <c r="E279" s="66">
        <v>0</v>
      </c>
      <c r="F279" s="318" t="s">
        <v>957</v>
      </c>
      <c r="G279" s="6"/>
    </row>
    <row r="280" spans="1:7" ht="12.75" customHeight="1">
      <c r="A280" s="65" t="s">
        <v>2150</v>
      </c>
      <c r="B280" s="3" t="s">
        <v>2138</v>
      </c>
      <c r="C280" s="66">
        <v>1</v>
      </c>
      <c r="D280" s="499">
        <v>1</v>
      </c>
      <c r="E280" s="66">
        <v>0</v>
      </c>
      <c r="F280" s="318" t="s">
        <v>952</v>
      </c>
      <c r="G280" s="6"/>
    </row>
    <row r="281" spans="1:7" ht="12.75" customHeight="1">
      <c r="A281" s="65" t="s">
        <v>2151</v>
      </c>
      <c r="B281" s="3" t="s">
        <v>2139</v>
      </c>
      <c r="C281" s="66">
        <v>2</v>
      </c>
      <c r="D281" s="499">
        <v>2</v>
      </c>
      <c r="E281" s="66">
        <v>0</v>
      </c>
      <c r="F281" s="318" t="s">
        <v>942</v>
      </c>
      <c r="G281" s="6"/>
    </row>
    <row r="282" spans="1:7" ht="12.75" customHeight="1">
      <c r="A282" s="65" t="s">
        <v>2706</v>
      </c>
      <c r="B282" s="3" t="s">
        <v>2140</v>
      </c>
      <c r="C282" s="66">
        <v>2</v>
      </c>
      <c r="D282" s="499">
        <v>2</v>
      </c>
      <c r="E282" s="66">
        <v>0</v>
      </c>
      <c r="F282" s="318" t="s">
        <v>945</v>
      </c>
      <c r="G282" s="6" t="s">
        <v>1040</v>
      </c>
    </row>
    <row r="283" spans="1:7" ht="12.75" customHeight="1">
      <c r="A283" s="65" t="s">
        <v>2528</v>
      </c>
      <c r="B283" s="3" t="s">
        <v>2529</v>
      </c>
      <c r="C283" s="187">
        <v>0</v>
      </c>
      <c r="D283" s="726">
        <v>0</v>
      </c>
      <c r="E283" s="187">
        <v>1</v>
      </c>
      <c r="F283" s="318" t="s">
        <v>952</v>
      </c>
      <c r="G283" s="6"/>
    </row>
    <row r="284" spans="1:7" ht="12.75" customHeight="1">
      <c r="A284" s="65" t="s">
        <v>2530</v>
      </c>
      <c r="B284" s="3" t="s">
        <v>2531</v>
      </c>
      <c r="C284" s="187">
        <v>1</v>
      </c>
      <c r="D284" s="726">
        <v>1</v>
      </c>
      <c r="E284" s="187">
        <v>0</v>
      </c>
      <c r="F284" s="318" t="s">
        <v>952</v>
      </c>
      <c r="G284" s="6"/>
    </row>
    <row r="285" spans="1:7" ht="12.75" customHeight="1">
      <c r="A285" s="65" t="s">
        <v>501</v>
      </c>
      <c r="B285" s="3" t="s">
        <v>499</v>
      </c>
      <c r="C285" s="66">
        <v>0</v>
      </c>
      <c r="D285" s="499">
        <v>0</v>
      </c>
      <c r="E285" s="66">
        <v>2</v>
      </c>
      <c r="F285" s="318" t="s">
        <v>945</v>
      </c>
      <c r="G285" s="6"/>
    </row>
    <row r="286" spans="1:7" ht="12.75" customHeight="1">
      <c r="A286" s="65" t="s">
        <v>502</v>
      </c>
      <c r="B286" s="3" t="s">
        <v>500</v>
      </c>
      <c r="C286" s="66">
        <v>2</v>
      </c>
      <c r="D286" s="499">
        <v>2</v>
      </c>
      <c r="E286" s="66">
        <v>0</v>
      </c>
      <c r="F286" s="318" t="s">
        <v>945</v>
      </c>
      <c r="G286" s="6"/>
    </row>
    <row r="287" spans="1:7" ht="12.75" customHeight="1">
      <c r="A287" s="65" t="s">
        <v>1564</v>
      </c>
      <c r="B287" s="3" t="s">
        <v>1562</v>
      </c>
      <c r="C287" s="66">
        <v>1</v>
      </c>
      <c r="D287" s="499">
        <v>1</v>
      </c>
      <c r="E287" s="66">
        <v>0</v>
      </c>
      <c r="F287" s="318" t="s">
        <v>945</v>
      </c>
      <c r="G287" s="6"/>
    </row>
    <row r="288" spans="1:7" ht="12.75" customHeight="1">
      <c r="A288" s="65" t="s">
        <v>360</v>
      </c>
      <c r="B288" s="3" t="s">
        <v>1563</v>
      </c>
      <c r="C288" s="66">
        <v>1</v>
      </c>
      <c r="D288" s="499">
        <v>1</v>
      </c>
      <c r="E288" s="66">
        <v>0</v>
      </c>
      <c r="F288" s="318" t="s">
        <v>952</v>
      </c>
      <c r="G288" s="6"/>
    </row>
    <row r="289" spans="1:7" ht="12.75" customHeight="1">
      <c r="A289" t="s">
        <v>363</v>
      </c>
      <c r="B289" s="3" t="s">
        <v>362</v>
      </c>
      <c r="C289" s="66">
        <v>1</v>
      </c>
      <c r="D289" s="499">
        <v>1</v>
      </c>
      <c r="E289" s="66">
        <v>0</v>
      </c>
      <c r="F289" s="318" t="s">
        <v>1148</v>
      </c>
      <c r="G289" s="6"/>
    </row>
    <row r="290" spans="1:7" ht="12.75" customHeight="1" thickBot="1">
      <c r="A290" s="68" t="s">
        <v>31</v>
      </c>
      <c r="B290" s="69" t="s">
        <v>2141</v>
      </c>
      <c r="C290" s="70">
        <v>1</v>
      </c>
      <c r="D290" s="727">
        <v>1</v>
      </c>
      <c r="E290" s="70">
        <v>0</v>
      </c>
      <c r="F290" s="319" t="s">
        <v>144</v>
      </c>
      <c r="G290" s="12"/>
    </row>
    <row r="291" spans="1:7" ht="12.75" customHeight="1">
      <c r="B291" s="3"/>
      <c r="F291" s="4"/>
      <c r="G291" s="12"/>
    </row>
  </sheetData>
  <phoneticPr fontId="0" type="noConversion"/>
  <conditionalFormatting sqref="E43">
    <cfRule type="cellIs" dxfId="1768" priority="1" stopIfTrue="1" operator="equal">
      <formula>0</formula>
    </cfRule>
  </conditionalFormatting>
  <dataValidations count="2">
    <dataValidation type="list" allowBlank="1" showInputMessage="1" showErrorMessage="1" sqref="C65" xr:uid="{00000000-0002-0000-0600-000001000000}">
      <formula1>"25%,50%"</formula1>
    </dataValidation>
    <dataValidation type="list" allowBlank="1" showInputMessage="1" showErrorMessage="1" sqref="C9" xr:uid="{00000000-0002-0000-0600-000002000000}">
      <formula1>"Total EBCT,EBCT per vessel"</formula1>
    </dataValidation>
  </dataValidations>
  <pageMargins left="0.75" right="0.75" top="1" bottom="1" header="0.5" footer="0.5"/>
  <pageSetup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F126"/>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60.33203125" customWidth="1"/>
    <col min="2" max="2" width="16.6640625" customWidth="1"/>
    <col min="4" max="4" width="26.5" style="526" customWidth="1"/>
    <col min="5" max="5" width="15" customWidth="1"/>
  </cols>
  <sheetData>
    <row r="1" spans="1:5" s="526" customFormat="1">
      <c r="A1" s="1" t="s">
        <v>2948</v>
      </c>
      <c r="C1" s="654"/>
    </row>
    <row r="2" spans="1:5" s="526" customFormat="1">
      <c r="A2" s="657" t="s">
        <v>2947</v>
      </c>
      <c r="C2" s="654"/>
    </row>
    <row r="3" spans="1:5" s="526" customFormat="1"/>
    <row r="4" spans="1:5" s="526" customFormat="1">
      <c r="A4" s="206" t="s">
        <v>276</v>
      </c>
      <c r="B4" s="206" t="s">
        <v>277</v>
      </c>
      <c r="C4" s="207" t="s">
        <v>278</v>
      </c>
      <c r="D4" s="206" t="s">
        <v>279</v>
      </c>
      <c r="E4" s="206" t="s">
        <v>280</v>
      </c>
    </row>
    <row r="5" spans="1:5">
      <c r="A5" s="2" t="s">
        <v>1347</v>
      </c>
      <c r="B5" s="1"/>
      <c r="C5" s="208"/>
      <c r="D5" s="1"/>
      <c r="E5" s="1"/>
    </row>
    <row r="6" spans="1:5">
      <c r="A6" s="5" t="s">
        <v>1892</v>
      </c>
      <c r="B6" s="3" t="s">
        <v>1893</v>
      </c>
      <c r="C6" s="186">
        <v>1</v>
      </c>
      <c r="D6" s="526" t="s">
        <v>151</v>
      </c>
      <c r="E6" s="1"/>
    </row>
    <row r="7" spans="1:5">
      <c r="A7" s="5"/>
      <c r="B7" s="3"/>
      <c r="C7" s="229"/>
      <c r="E7" s="1"/>
    </row>
    <row r="8" spans="1:5">
      <c r="A8" s="2" t="s">
        <v>2242</v>
      </c>
      <c r="E8" s="6"/>
    </row>
    <row r="9" spans="1:5">
      <c r="A9" s="5" t="s">
        <v>2592</v>
      </c>
      <c r="B9" s="3" t="s">
        <v>2593</v>
      </c>
      <c r="C9" s="186">
        <v>1</v>
      </c>
      <c r="D9" s="526" t="s">
        <v>151</v>
      </c>
      <c r="E9" s="6"/>
    </row>
    <row r="10" spans="1:5" ht="28">
      <c r="A10" s="526" t="s">
        <v>3438</v>
      </c>
      <c r="B10" s="3" t="s">
        <v>883</v>
      </c>
      <c r="C10" s="499">
        <v>1</v>
      </c>
      <c r="D10" s="723" t="s">
        <v>3439</v>
      </c>
      <c r="E10" s="6" t="s">
        <v>3440</v>
      </c>
    </row>
    <row r="11" spans="1:5">
      <c r="A11" s="1"/>
      <c r="E11" s="6"/>
    </row>
    <row r="12" spans="1:5">
      <c r="A12" s="2" t="s">
        <v>2243</v>
      </c>
      <c r="E12" s="6"/>
    </row>
    <row r="13" spans="1:5">
      <c r="A13" s="5" t="s">
        <v>2594</v>
      </c>
      <c r="B13" s="3" t="s">
        <v>2595</v>
      </c>
      <c r="C13" s="186">
        <v>1</v>
      </c>
      <c r="D13" s="526" t="s">
        <v>151</v>
      </c>
      <c r="E13" s="6"/>
    </row>
    <row r="14" spans="1:5">
      <c r="A14" s="5"/>
      <c r="B14" s="3"/>
      <c r="C14" s="229"/>
      <c r="E14" s="6"/>
    </row>
    <row r="15" spans="1:5">
      <c r="A15" s="2" t="s">
        <v>2736</v>
      </c>
      <c r="E15" s="6"/>
    </row>
    <row r="16" spans="1:5">
      <c r="A16" s="5" t="s">
        <v>2597</v>
      </c>
      <c r="B16" s="3" t="s">
        <v>2598</v>
      </c>
      <c r="C16" s="188">
        <v>0</v>
      </c>
      <c r="D16" s="526" t="s">
        <v>2599</v>
      </c>
      <c r="E16" s="221" t="s">
        <v>1824</v>
      </c>
    </row>
    <row r="17" spans="1:5">
      <c r="A17" s="5" t="s">
        <v>2600</v>
      </c>
      <c r="B17" s="3" t="s">
        <v>2601</v>
      </c>
      <c r="C17" s="188">
        <v>0.04</v>
      </c>
      <c r="D17" s="526" t="s">
        <v>2599</v>
      </c>
      <c r="E17" s="6"/>
    </row>
    <row r="18" spans="1:5">
      <c r="A18" s="5" t="s">
        <v>2602</v>
      </c>
      <c r="B18" s="3" t="s">
        <v>2603</v>
      </c>
      <c r="C18" s="188">
        <v>0.02</v>
      </c>
      <c r="D18" s="526" t="s">
        <v>2599</v>
      </c>
      <c r="E18" s="6"/>
    </row>
    <row r="19" spans="1:5">
      <c r="A19" s="5"/>
      <c r="B19" s="3"/>
      <c r="C19" s="54"/>
      <c r="E19" s="6"/>
    </row>
    <row r="20" spans="1:5">
      <c r="A20" s="222" t="s">
        <v>2235</v>
      </c>
      <c r="E20" s="6"/>
    </row>
    <row r="21" spans="1:5">
      <c r="A21" s="5" t="s">
        <v>932</v>
      </c>
      <c r="B21" s="3" t="s">
        <v>931</v>
      </c>
      <c r="C21" s="511">
        <v>1</v>
      </c>
      <c r="D21" s="526" t="s">
        <v>151</v>
      </c>
      <c r="E21" s="6" t="s">
        <v>2554</v>
      </c>
    </row>
    <row r="22" spans="1:5">
      <c r="A22" s="5" t="s">
        <v>545</v>
      </c>
      <c r="B22" s="3" t="s">
        <v>546</v>
      </c>
      <c r="C22" s="511">
        <v>0</v>
      </c>
      <c r="D22" s="526" t="s">
        <v>151</v>
      </c>
      <c r="E22" s="6"/>
    </row>
    <row r="23" spans="1:5">
      <c r="A23" s="5"/>
      <c r="B23" s="3"/>
      <c r="C23" s="54"/>
      <c r="E23" s="6"/>
    </row>
    <row r="24" spans="1:5">
      <c r="A24" s="222" t="s">
        <v>2648</v>
      </c>
      <c r="E24" s="6"/>
    </row>
    <row r="25" spans="1:5">
      <c r="A25" s="223" t="s">
        <v>2604</v>
      </c>
      <c r="B25" s="3" t="s">
        <v>2605</v>
      </c>
      <c r="C25" s="188">
        <v>0</v>
      </c>
      <c r="D25" s="526" t="s">
        <v>2599</v>
      </c>
      <c r="E25" s="6" t="s">
        <v>1833</v>
      </c>
    </row>
    <row r="26" spans="1:5" ht="13.5" customHeight="1">
      <c r="A26" s="5"/>
      <c r="B26" s="3"/>
      <c r="C26" s="54"/>
      <c r="E26" s="6"/>
    </row>
    <row r="27" spans="1:5">
      <c r="A27" s="2" t="s">
        <v>1834</v>
      </c>
      <c r="E27" s="6"/>
    </row>
    <row r="28" spans="1:5">
      <c r="A28" s="5" t="s">
        <v>1002</v>
      </c>
      <c r="B28" s="3" t="s">
        <v>1003</v>
      </c>
      <c r="C28" s="186">
        <v>1</v>
      </c>
      <c r="D28" s="526" t="s">
        <v>151</v>
      </c>
      <c r="E28" s="6"/>
    </row>
    <row r="29" spans="1:5">
      <c r="B29" s="3"/>
      <c r="C29" s="230"/>
      <c r="D29" s="643"/>
      <c r="E29" s="6"/>
    </row>
    <row r="30" spans="1:5">
      <c r="A30" s="2" t="s">
        <v>2239</v>
      </c>
      <c r="E30" s="6"/>
    </row>
    <row r="31" spans="1:5">
      <c r="A31" t="s">
        <v>1012</v>
      </c>
      <c r="B31" s="3" t="s">
        <v>1013</v>
      </c>
      <c r="C31" s="186">
        <v>1</v>
      </c>
      <c r="D31" s="526" t="s">
        <v>151</v>
      </c>
      <c r="E31" s="6"/>
    </row>
    <row r="32" spans="1:5">
      <c r="A32" t="s">
        <v>547</v>
      </c>
      <c r="B32" s="3" t="s">
        <v>548</v>
      </c>
      <c r="C32" s="186">
        <v>0</v>
      </c>
      <c r="D32" s="526" t="s">
        <v>151</v>
      </c>
      <c r="E32" s="6"/>
    </row>
    <row r="33" spans="1:5">
      <c r="A33" t="s">
        <v>167</v>
      </c>
      <c r="B33" s="3" t="s">
        <v>169</v>
      </c>
      <c r="C33" s="188">
        <v>0</v>
      </c>
      <c r="E33" s="6" t="s">
        <v>170</v>
      </c>
    </row>
    <row r="34" spans="1:5">
      <c r="A34" t="s">
        <v>171</v>
      </c>
      <c r="B34" s="3" t="s">
        <v>172</v>
      </c>
      <c r="C34" s="190">
        <v>0</v>
      </c>
      <c r="D34" s="526" t="s">
        <v>151</v>
      </c>
      <c r="E34" s="6" t="s">
        <v>173</v>
      </c>
    </row>
    <row r="35" spans="1:5">
      <c r="A35" t="s">
        <v>174</v>
      </c>
      <c r="B35" s="3" t="s">
        <v>175</v>
      </c>
      <c r="C35" s="190">
        <v>0</v>
      </c>
      <c r="D35" s="526" t="s">
        <v>151</v>
      </c>
      <c r="E35" s="6" t="s">
        <v>176</v>
      </c>
    </row>
    <row r="36" spans="1:5">
      <c r="A36" s="526" t="s">
        <v>1889</v>
      </c>
      <c r="B36" s="551" t="s">
        <v>1890</v>
      </c>
      <c r="C36" s="853">
        <v>1.5</v>
      </c>
      <c r="D36" s="526" t="s">
        <v>601</v>
      </c>
      <c r="E36" s="552" t="s">
        <v>1891</v>
      </c>
    </row>
    <row r="37" spans="1:5">
      <c r="E37" s="6"/>
    </row>
    <row r="38" spans="1:5">
      <c r="A38" s="2" t="s">
        <v>2237</v>
      </c>
      <c r="E38" s="6"/>
    </row>
    <row r="39" spans="1:5">
      <c r="A39" s="5" t="s">
        <v>1006</v>
      </c>
      <c r="B39" s="3" t="s">
        <v>1007</v>
      </c>
      <c r="C39" s="186">
        <v>0</v>
      </c>
      <c r="D39" s="526" t="s">
        <v>151</v>
      </c>
      <c r="E39" s="6" t="s">
        <v>486</v>
      </c>
    </row>
    <row r="40" spans="1:5">
      <c r="A40" s="5" t="s">
        <v>1008</v>
      </c>
      <c r="B40" s="3" t="s">
        <v>1009</v>
      </c>
      <c r="C40" s="186">
        <v>0</v>
      </c>
      <c r="D40" s="526" t="s">
        <v>151</v>
      </c>
      <c r="E40" s="6"/>
    </row>
    <row r="41" spans="1:5">
      <c r="A41" s="5" t="s">
        <v>1010</v>
      </c>
      <c r="B41" s="3" t="s">
        <v>1011</v>
      </c>
      <c r="C41" s="186">
        <v>1</v>
      </c>
      <c r="D41" s="526" t="s">
        <v>151</v>
      </c>
      <c r="E41" s="6"/>
    </row>
    <row r="42" spans="1:5">
      <c r="A42" t="s">
        <v>235</v>
      </c>
      <c r="B42" s="3" t="s">
        <v>1709</v>
      </c>
      <c r="C42" s="66">
        <v>4</v>
      </c>
      <c r="D42" s="526" t="s">
        <v>61</v>
      </c>
      <c r="E42" s="6"/>
    </row>
    <row r="43" spans="1:5">
      <c r="A43" t="s">
        <v>1710</v>
      </c>
      <c r="B43" s="3" t="s">
        <v>1711</v>
      </c>
      <c r="C43" s="66">
        <v>4</v>
      </c>
      <c r="D43" s="526" t="s">
        <v>61</v>
      </c>
      <c r="E43" s="6"/>
    </row>
    <row r="44" spans="1:5">
      <c r="A44" t="s">
        <v>1712</v>
      </c>
      <c r="B44" s="3" t="s">
        <v>1713</v>
      </c>
      <c r="C44" s="66">
        <v>7</v>
      </c>
      <c r="D44" s="526" t="s">
        <v>61</v>
      </c>
      <c r="E44" s="6"/>
    </row>
    <row r="45" spans="1:5">
      <c r="A45" t="s">
        <v>474</v>
      </c>
      <c r="B45" s="3" t="s">
        <v>483</v>
      </c>
      <c r="C45" s="66">
        <v>10</v>
      </c>
      <c r="D45" s="526" t="s">
        <v>61</v>
      </c>
      <c r="E45" s="6"/>
    </row>
    <row r="46" spans="1:5">
      <c r="A46" t="s">
        <v>475</v>
      </c>
      <c r="B46" s="3" t="s">
        <v>476</v>
      </c>
      <c r="C46" s="66">
        <v>25</v>
      </c>
      <c r="D46" s="526" t="s">
        <v>61</v>
      </c>
      <c r="E46" s="6"/>
    </row>
    <row r="47" spans="1:5">
      <c r="A47" t="s">
        <v>477</v>
      </c>
      <c r="B47" s="3" t="s">
        <v>478</v>
      </c>
      <c r="C47" s="66">
        <v>50</v>
      </c>
      <c r="D47" s="526" t="s">
        <v>61</v>
      </c>
      <c r="E47" s="6"/>
    </row>
    <row r="48" spans="1:5">
      <c r="A48" t="s">
        <v>479</v>
      </c>
      <c r="B48" s="3" t="s">
        <v>480</v>
      </c>
      <c r="C48" s="66">
        <v>20</v>
      </c>
      <c r="D48" s="526" t="s">
        <v>61</v>
      </c>
      <c r="E48" s="6" t="s">
        <v>481</v>
      </c>
    </row>
    <row r="49" spans="1:5">
      <c r="A49" t="s">
        <v>1716</v>
      </c>
      <c r="B49" s="3" t="s">
        <v>1717</v>
      </c>
      <c r="C49" s="66">
        <v>2000</v>
      </c>
      <c r="D49" s="526" t="s">
        <v>1067</v>
      </c>
      <c r="E49" s="6" t="s">
        <v>482</v>
      </c>
    </row>
    <row r="50" spans="1:5">
      <c r="A50" t="s">
        <v>2708</v>
      </c>
      <c r="B50" s="3" t="s">
        <v>2709</v>
      </c>
      <c r="C50" s="66">
        <v>4</v>
      </c>
      <c r="E50" s="6"/>
    </row>
    <row r="51" spans="1:5">
      <c r="A51" t="s">
        <v>2710</v>
      </c>
      <c r="B51" s="3" t="s">
        <v>2711</v>
      </c>
      <c r="C51" s="66">
        <v>1000</v>
      </c>
      <c r="D51" s="526" t="s">
        <v>1067</v>
      </c>
      <c r="E51" s="6"/>
    </row>
    <row r="52" spans="1:5">
      <c r="A52" t="s">
        <v>2712</v>
      </c>
      <c r="B52" s="3" t="s">
        <v>2713</v>
      </c>
      <c r="C52" s="66">
        <v>24</v>
      </c>
      <c r="D52" s="526" t="s">
        <v>2714</v>
      </c>
      <c r="E52" s="6"/>
    </row>
    <row r="53" spans="1:5">
      <c r="A53" t="s">
        <v>2715</v>
      </c>
      <c r="B53" s="3" t="s">
        <v>2716</v>
      </c>
      <c r="C53" s="66">
        <v>55.5</v>
      </c>
      <c r="D53" s="526" t="s">
        <v>2717</v>
      </c>
      <c r="E53" s="6" t="s">
        <v>2774</v>
      </c>
    </row>
    <row r="54" spans="1:5">
      <c r="E54" s="6"/>
    </row>
    <row r="55" spans="1:5">
      <c r="A55" s="2" t="s">
        <v>2236</v>
      </c>
      <c r="E55" s="6"/>
    </row>
    <row r="56" spans="1:5">
      <c r="A56" s="5" t="s">
        <v>1004</v>
      </c>
      <c r="B56" s="3" t="s">
        <v>1005</v>
      </c>
      <c r="C56" s="186">
        <v>1</v>
      </c>
      <c r="D56" s="526" t="s">
        <v>151</v>
      </c>
      <c r="E56" s="6"/>
    </row>
    <row r="57" spans="1:5">
      <c r="A57" t="s">
        <v>2775</v>
      </c>
      <c r="B57" s="3" t="s">
        <v>2776</v>
      </c>
      <c r="C57" s="66">
        <v>38</v>
      </c>
      <c r="D57" s="526" t="s">
        <v>972</v>
      </c>
      <c r="E57" s="6" t="s">
        <v>233</v>
      </c>
    </row>
    <row r="58" spans="1:5">
      <c r="A58" t="s">
        <v>2777</v>
      </c>
      <c r="B58" s="3" t="s">
        <v>2778</v>
      </c>
      <c r="C58" s="66">
        <v>36</v>
      </c>
      <c r="D58" s="526" t="s">
        <v>972</v>
      </c>
      <c r="E58" s="6" t="s">
        <v>2779</v>
      </c>
    </row>
    <row r="59" spans="1:5">
      <c r="A59" t="s">
        <v>2780</v>
      </c>
      <c r="B59" s="3" t="s">
        <v>2781</v>
      </c>
      <c r="C59" s="66">
        <v>97</v>
      </c>
      <c r="D59" s="526" t="s">
        <v>2782</v>
      </c>
      <c r="E59" s="6" t="s">
        <v>1614</v>
      </c>
    </row>
    <row r="60" spans="1:5">
      <c r="A60" t="s">
        <v>1615</v>
      </c>
      <c r="B60" s="3" t="s">
        <v>1616</v>
      </c>
      <c r="C60" s="66">
        <v>3</v>
      </c>
      <c r="E60" s="6"/>
    </row>
    <row r="61" spans="1:5">
      <c r="A61" t="s">
        <v>1617</v>
      </c>
      <c r="B61" s="3" t="s">
        <v>1618</v>
      </c>
      <c r="C61" s="66">
        <v>0.46700000000000003</v>
      </c>
      <c r="E61" s="6"/>
    </row>
    <row r="62" spans="1:5">
      <c r="A62" t="s">
        <v>1619</v>
      </c>
      <c r="B62" s="3" t="s">
        <v>1620</v>
      </c>
      <c r="C62" s="66">
        <v>6</v>
      </c>
      <c r="D62" s="526" t="s">
        <v>972</v>
      </c>
      <c r="E62" s="6"/>
    </row>
    <row r="63" spans="1:5">
      <c r="A63" t="s">
        <v>1621</v>
      </c>
      <c r="B63" s="3" t="s">
        <v>1622</v>
      </c>
      <c r="C63" s="188">
        <v>0.25</v>
      </c>
      <c r="D63" s="526" t="s">
        <v>1623</v>
      </c>
      <c r="E63" s="6"/>
    </row>
    <row r="64" spans="1:5">
      <c r="A64" s="81" t="s">
        <v>1624</v>
      </c>
      <c r="B64" s="3" t="s">
        <v>1625</v>
      </c>
      <c r="C64" s="66">
        <f>RADIANS(45)</f>
        <v>0.78539816339744828</v>
      </c>
      <c r="D64" s="526" t="s">
        <v>1626</v>
      </c>
      <c r="E64" s="6"/>
    </row>
    <row r="65" spans="1:5">
      <c r="A65" t="s">
        <v>1627</v>
      </c>
      <c r="B65" s="3" t="s">
        <v>1628</v>
      </c>
      <c r="C65" s="66">
        <v>0</v>
      </c>
      <c r="D65" s="526" t="s">
        <v>61</v>
      </c>
      <c r="E65" s="6" t="s">
        <v>597</v>
      </c>
    </row>
    <row r="66" spans="1:5">
      <c r="A66" t="s">
        <v>598</v>
      </c>
      <c r="B66" s="3" t="s">
        <v>599</v>
      </c>
      <c r="C66" s="66">
        <v>0</v>
      </c>
      <c r="D66" s="526" t="s">
        <v>61</v>
      </c>
      <c r="E66" s="6" t="s">
        <v>600</v>
      </c>
    </row>
    <row r="68" spans="1:5">
      <c r="A68" s="222" t="s">
        <v>2240</v>
      </c>
      <c r="B68" s="3"/>
      <c r="C68" s="49"/>
      <c r="E68" s="6"/>
    </row>
    <row r="69" spans="1:5">
      <c r="A69" s="5" t="s">
        <v>1014</v>
      </c>
      <c r="B69" s="3" t="s">
        <v>1015</v>
      </c>
      <c r="C69" s="188">
        <v>0.1</v>
      </c>
      <c r="D69" s="526" t="s">
        <v>1016</v>
      </c>
      <c r="E69" s="221"/>
    </row>
    <row r="70" spans="1:5">
      <c r="A70" s="5"/>
      <c r="B70" s="3"/>
      <c r="C70" s="54"/>
      <c r="E70" s="221"/>
    </row>
    <row r="71" spans="1:5">
      <c r="A71" s="222" t="s">
        <v>2241</v>
      </c>
      <c r="E71" s="6"/>
    </row>
    <row r="72" spans="1:5">
      <c r="A72" t="s">
        <v>1017</v>
      </c>
      <c r="B72" s="3" t="s">
        <v>1018</v>
      </c>
      <c r="C72" s="188">
        <v>0</v>
      </c>
      <c r="D72" s="526" t="s">
        <v>1016</v>
      </c>
      <c r="E72" s="6" t="s">
        <v>1019</v>
      </c>
    </row>
    <row r="73" spans="1:5">
      <c r="B73" s="3"/>
      <c r="C73" s="54"/>
      <c r="E73" s="6"/>
    </row>
    <row r="74" spans="1:5">
      <c r="A74" s="2" t="s">
        <v>2244</v>
      </c>
      <c r="E74" s="6"/>
    </row>
    <row r="75" spans="1:5">
      <c r="A75" s="5" t="s">
        <v>549</v>
      </c>
      <c r="B75" s="3" t="s">
        <v>550</v>
      </c>
      <c r="C75" s="186">
        <v>0</v>
      </c>
      <c r="D75" s="526" t="s">
        <v>151</v>
      </c>
      <c r="E75" s="6"/>
    </row>
    <row r="76" spans="1:5">
      <c r="A76" s="5" t="s">
        <v>551</v>
      </c>
      <c r="B76" s="3" t="s">
        <v>552</v>
      </c>
      <c r="C76" s="186">
        <v>0</v>
      </c>
      <c r="D76" s="526" t="s">
        <v>151</v>
      </c>
      <c r="E76" s="6"/>
    </row>
    <row r="77" spans="1:5">
      <c r="A77" s="5" t="s">
        <v>553</v>
      </c>
      <c r="B77" s="3" t="s">
        <v>554</v>
      </c>
      <c r="C77" s="186">
        <v>1</v>
      </c>
      <c r="D77" s="526" t="s">
        <v>151</v>
      </c>
      <c r="E77" s="6"/>
    </row>
    <row r="78" spans="1:5">
      <c r="A78" t="s">
        <v>164</v>
      </c>
      <c r="B78" s="3" t="s">
        <v>165</v>
      </c>
      <c r="C78" s="194">
        <v>1.5</v>
      </c>
      <c r="E78" s="6" t="s">
        <v>166</v>
      </c>
    </row>
    <row r="80" spans="1:5">
      <c r="A80" s="2" t="s">
        <v>2245</v>
      </c>
      <c r="E80" s="6"/>
    </row>
    <row r="81" spans="1:5">
      <c r="A81" s="5" t="s">
        <v>1020</v>
      </c>
      <c r="B81" s="3" t="s">
        <v>1021</v>
      </c>
      <c r="C81" s="188">
        <v>0.2</v>
      </c>
      <c r="D81" s="526" t="s">
        <v>2599</v>
      </c>
      <c r="E81" s="221" t="s">
        <v>1022</v>
      </c>
    </row>
    <row r="82" spans="1:5">
      <c r="A82" s="5" t="s">
        <v>1023</v>
      </c>
      <c r="B82" s="3" t="s">
        <v>1024</v>
      </c>
      <c r="C82" s="188">
        <v>0.12</v>
      </c>
      <c r="D82" s="526" t="s">
        <v>2599</v>
      </c>
      <c r="E82" s="6"/>
    </row>
    <row r="83" spans="1:5">
      <c r="A83" s="5" t="s">
        <v>1025</v>
      </c>
      <c r="B83" s="3" t="s">
        <v>1026</v>
      </c>
      <c r="C83" s="188">
        <v>0.08</v>
      </c>
      <c r="D83" s="526" t="s">
        <v>2599</v>
      </c>
      <c r="E83" s="6"/>
    </row>
    <row r="84" spans="1:5">
      <c r="E84" s="6"/>
    </row>
    <row r="85" spans="1:5">
      <c r="A85" s="222" t="s">
        <v>45</v>
      </c>
      <c r="E85" s="6"/>
    </row>
    <row r="86" spans="1:5">
      <c r="A86" s="223" t="s">
        <v>1027</v>
      </c>
      <c r="B86" s="224" t="s">
        <v>1028</v>
      </c>
      <c r="C86" s="225">
        <v>0.1</v>
      </c>
      <c r="D86" s="526" t="s">
        <v>2599</v>
      </c>
      <c r="E86" s="221" t="s">
        <v>2309</v>
      </c>
    </row>
    <row r="87" spans="1:5">
      <c r="A87" s="223"/>
      <c r="B87" s="226"/>
      <c r="C87" s="227"/>
      <c r="E87" s="221"/>
    </row>
    <row r="88" spans="1:5">
      <c r="A88" s="222" t="s">
        <v>1304</v>
      </c>
      <c r="B88" s="226"/>
      <c r="C88" s="227"/>
      <c r="E88" s="221"/>
    </row>
    <row r="89" spans="1:5">
      <c r="A89" s="223" t="s">
        <v>967</v>
      </c>
      <c r="B89" s="224" t="s">
        <v>968</v>
      </c>
      <c r="C89" s="225">
        <v>0.02</v>
      </c>
      <c r="D89" s="526" t="s">
        <v>2599</v>
      </c>
      <c r="E89" s="221" t="s">
        <v>588</v>
      </c>
    </row>
    <row r="90" spans="1:5">
      <c r="A90" s="223"/>
      <c r="B90" s="226"/>
      <c r="C90" s="227"/>
      <c r="E90" s="221"/>
    </row>
    <row r="91" spans="1:5">
      <c r="A91" s="222" t="s">
        <v>1305</v>
      </c>
      <c r="B91" s="226"/>
      <c r="C91" s="227"/>
      <c r="E91" s="221"/>
    </row>
    <row r="92" spans="1:5">
      <c r="A92" s="223" t="s">
        <v>589</v>
      </c>
      <c r="B92" s="224" t="s">
        <v>590</v>
      </c>
      <c r="C92" s="225">
        <v>0</v>
      </c>
      <c r="D92" s="526" t="s">
        <v>2599</v>
      </c>
      <c r="E92" s="221" t="s">
        <v>717</v>
      </c>
    </row>
    <row r="93" spans="1:5">
      <c r="A93" s="5"/>
      <c r="B93" s="226"/>
      <c r="C93" s="227"/>
      <c r="E93" s="221"/>
    </row>
    <row r="94" spans="1:5">
      <c r="A94" s="2" t="s">
        <v>718</v>
      </c>
      <c r="B94" s="226"/>
      <c r="C94" s="227"/>
      <c r="E94" s="221"/>
    </row>
    <row r="95" spans="1:5">
      <c r="A95" s="5" t="s">
        <v>591</v>
      </c>
      <c r="B95" s="224" t="s">
        <v>592</v>
      </c>
      <c r="C95" s="228">
        <v>0.05</v>
      </c>
      <c r="D95" s="526" t="s">
        <v>2599</v>
      </c>
      <c r="E95" s="221" t="s">
        <v>593</v>
      </c>
    </row>
    <row r="96" spans="1:5">
      <c r="A96" s="5" t="s">
        <v>555</v>
      </c>
      <c r="B96" s="224" t="s">
        <v>556</v>
      </c>
      <c r="C96" s="560">
        <v>0</v>
      </c>
      <c r="D96" s="526" t="s">
        <v>2599</v>
      </c>
      <c r="E96" s="221" t="s">
        <v>557</v>
      </c>
    </row>
    <row r="98" spans="1:6">
      <c r="A98" s="321" t="s">
        <v>2555</v>
      </c>
      <c r="B98" s="224"/>
    </row>
    <row r="99" spans="1:6">
      <c r="A99" t="s">
        <v>2556</v>
      </c>
      <c r="B99" s="224" t="s">
        <v>2557</v>
      </c>
      <c r="C99" s="513">
        <v>3.3999999999999998E-3</v>
      </c>
      <c r="E99" s="221" t="s">
        <v>2558</v>
      </c>
    </row>
    <row r="100" spans="1:6">
      <c r="A100" t="s">
        <v>2559</v>
      </c>
      <c r="B100" s="224" t="s">
        <v>2560</v>
      </c>
      <c r="C100" s="512">
        <v>1</v>
      </c>
      <c r="D100" s="526" t="s">
        <v>151</v>
      </c>
      <c r="E100" s="221"/>
    </row>
    <row r="101" spans="1:6">
      <c r="A101" t="s">
        <v>1896</v>
      </c>
      <c r="B101" s="224" t="s">
        <v>1897</v>
      </c>
      <c r="C101" s="512">
        <v>1</v>
      </c>
      <c r="D101" s="526" t="s">
        <v>151</v>
      </c>
      <c r="E101" s="221"/>
    </row>
    <row r="102" spans="1:6">
      <c r="A102" t="s">
        <v>1830</v>
      </c>
      <c r="B102" s="224" t="s">
        <v>1831</v>
      </c>
      <c r="C102" s="512">
        <v>0</v>
      </c>
      <c r="D102" s="526" t="s">
        <v>151</v>
      </c>
    </row>
    <row r="103" spans="1:6">
      <c r="B103" s="224"/>
      <c r="C103" s="716"/>
    </row>
    <row r="104" spans="1:6" ht="14" thickBot="1">
      <c r="A104" s="658" t="s">
        <v>814</v>
      </c>
    </row>
    <row r="105" spans="1:6">
      <c r="A105" s="491"/>
      <c r="B105" s="502"/>
      <c r="C105" s="494" t="s">
        <v>2885</v>
      </c>
      <c r="D105" s="732"/>
      <c r="E105" s="495"/>
    </row>
    <row r="106" spans="1:6">
      <c r="A106" s="492" t="s">
        <v>815</v>
      </c>
      <c r="C106" s="496" t="s">
        <v>1319</v>
      </c>
      <c r="D106" s="729" t="s">
        <v>1320</v>
      </c>
      <c r="E106" s="497" t="s">
        <v>1321</v>
      </c>
    </row>
    <row r="107" spans="1:6">
      <c r="A107" s="493" t="s">
        <v>816</v>
      </c>
      <c r="C107" s="321"/>
      <c r="D107" s="2"/>
      <c r="E107" s="498"/>
    </row>
    <row r="108" spans="1:6">
      <c r="A108" s="65" t="s">
        <v>2315</v>
      </c>
      <c r="B108" s="3" t="s">
        <v>2311</v>
      </c>
      <c r="C108" s="499">
        <v>0</v>
      </c>
      <c r="D108" s="499">
        <v>1</v>
      </c>
      <c r="E108" s="500">
        <v>1</v>
      </c>
      <c r="F108" s="3"/>
    </row>
    <row r="109" spans="1:6">
      <c r="A109" s="65" t="s">
        <v>2316</v>
      </c>
      <c r="C109" s="499">
        <v>1</v>
      </c>
      <c r="D109" s="499">
        <v>1</v>
      </c>
      <c r="E109" s="500">
        <v>1</v>
      </c>
    </row>
    <row r="110" spans="1:6">
      <c r="A110" s="65" t="s">
        <v>2317</v>
      </c>
      <c r="C110" s="499">
        <v>1</v>
      </c>
      <c r="D110" s="499">
        <v>1</v>
      </c>
      <c r="E110" s="500">
        <v>1</v>
      </c>
    </row>
    <row r="111" spans="1:6">
      <c r="A111" s="493" t="s">
        <v>817</v>
      </c>
      <c r="E111" s="501"/>
    </row>
    <row r="112" spans="1:6">
      <c r="A112" s="65" t="s">
        <v>2315</v>
      </c>
      <c r="B112" s="3" t="s">
        <v>2312</v>
      </c>
      <c r="C112" s="66">
        <v>0</v>
      </c>
      <c r="D112" s="499">
        <v>0</v>
      </c>
      <c r="E112" s="67">
        <v>1</v>
      </c>
      <c r="F112" s="3"/>
    </row>
    <row r="113" spans="1:6">
      <c r="A113" s="65" t="s">
        <v>2316</v>
      </c>
      <c r="C113" s="66">
        <v>0</v>
      </c>
      <c r="D113" s="499">
        <v>0</v>
      </c>
      <c r="E113" s="67">
        <v>1</v>
      </c>
    </row>
    <row r="114" spans="1:6" ht="14" thickBot="1">
      <c r="A114" s="68" t="s">
        <v>2317</v>
      </c>
      <c r="B114" s="503"/>
      <c r="C114" s="70">
        <v>1</v>
      </c>
      <c r="D114" s="727">
        <v>1</v>
      </c>
      <c r="E114" s="71">
        <v>1</v>
      </c>
    </row>
    <row r="116" spans="1:6" ht="14" thickBot="1">
      <c r="A116" s="659" t="s">
        <v>818</v>
      </c>
    </row>
    <row r="117" spans="1:6">
      <c r="A117" s="491"/>
      <c r="B117" s="502"/>
      <c r="C117" s="494" t="s">
        <v>2885</v>
      </c>
      <c r="D117" s="732"/>
      <c r="E117" s="495"/>
    </row>
    <row r="118" spans="1:6">
      <c r="A118" s="492" t="s">
        <v>2310</v>
      </c>
      <c r="C118" s="496" t="s">
        <v>1319</v>
      </c>
      <c r="D118" s="729" t="s">
        <v>1320</v>
      </c>
      <c r="E118" s="497" t="s">
        <v>1321</v>
      </c>
    </row>
    <row r="119" spans="1:6">
      <c r="A119" s="493" t="s">
        <v>816</v>
      </c>
      <c r="C119" s="321"/>
      <c r="D119" s="2"/>
      <c r="E119" s="498"/>
    </row>
    <row r="120" spans="1:6">
      <c r="A120" s="65" t="s">
        <v>2315</v>
      </c>
      <c r="B120" s="3" t="s">
        <v>2313</v>
      </c>
      <c r="C120" s="499">
        <v>0</v>
      </c>
      <c r="D120" s="499">
        <v>0</v>
      </c>
      <c r="E120" s="500">
        <v>1</v>
      </c>
      <c r="F120" s="3"/>
    </row>
    <row r="121" spans="1:6">
      <c r="A121" s="65" t="s">
        <v>2316</v>
      </c>
      <c r="C121" s="499">
        <v>0</v>
      </c>
      <c r="D121" s="499">
        <v>1</v>
      </c>
      <c r="E121" s="500">
        <v>1</v>
      </c>
    </row>
    <row r="122" spans="1:6">
      <c r="A122" s="65" t="s">
        <v>2317</v>
      </c>
      <c r="C122" s="499">
        <v>1</v>
      </c>
      <c r="D122" s="499">
        <v>1</v>
      </c>
      <c r="E122" s="500">
        <v>1</v>
      </c>
    </row>
    <row r="123" spans="1:6">
      <c r="A123" s="493" t="s">
        <v>817</v>
      </c>
      <c r="B123" s="6"/>
      <c r="E123" s="501"/>
      <c r="F123" s="6"/>
    </row>
    <row r="124" spans="1:6">
      <c r="A124" s="65" t="s">
        <v>2315</v>
      </c>
      <c r="B124" s="3" t="s">
        <v>2314</v>
      </c>
      <c r="C124" s="66">
        <v>0</v>
      </c>
      <c r="D124" s="499">
        <v>0</v>
      </c>
      <c r="E124" s="67">
        <v>0</v>
      </c>
      <c r="F124" s="3"/>
    </row>
    <row r="125" spans="1:6">
      <c r="A125" s="65" t="s">
        <v>2316</v>
      </c>
      <c r="C125" s="66">
        <v>0</v>
      </c>
      <c r="D125" s="499">
        <v>0</v>
      </c>
      <c r="E125" s="67">
        <v>0</v>
      </c>
    </row>
    <row r="126" spans="1:6" ht="14" thickBot="1">
      <c r="A126" s="68" t="s">
        <v>2317</v>
      </c>
      <c r="B126" s="503"/>
      <c r="C126" s="70">
        <v>0</v>
      </c>
      <c r="D126" s="727">
        <v>0</v>
      </c>
      <c r="E126" s="71">
        <v>0</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E76"/>
  <sheetViews>
    <sheetView zoomScaleNormal="100" workbookViewId="0">
      <pane ySplit="4" topLeftCell="A5" activePane="bottomLeft" state="frozen"/>
      <selection activeCell="D18" sqref="D18"/>
      <selection pane="bottomLeft" activeCell="A39" sqref="A39"/>
    </sheetView>
  </sheetViews>
  <sheetFormatPr baseColWidth="10" defaultColWidth="9.1640625" defaultRowHeight="13"/>
  <cols>
    <col min="1" max="1" width="42.83203125" style="16" customWidth="1"/>
    <col min="2" max="2" width="19.5" style="22" customWidth="1"/>
    <col min="3" max="3" width="12" style="16" bestFit="1" customWidth="1"/>
    <col min="4" max="4" width="17.5" style="651" customWidth="1"/>
    <col min="5" max="16384" width="9.1640625" style="16"/>
  </cols>
  <sheetData>
    <row r="1" spans="1:5" s="526" customFormat="1">
      <c r="A1" s="1" t="s">
        <v>2949</v>
      </c>
      <c r="B1" s="3"/>
    </row>
    <row r="2" spans="1:5">
      <c r="A2" s="6" t="s">
        <v>829</v>
      </c>
    </row>
    <row r="3" spans="1:5">
      <c r="A3" s="6"/>
    </row>
    <row r="4" spans="1:5" s="651" customFormat="1">
      <c r="A4" s="206" t="s">
        <v>2950</v>
      </c>
      <c r="B4" s="206" t="s">
        <v>277</v>
      </c>
      <c r="C4" s="207" t="s">
        <v>278</v>
      </c>
      <c r="D4" s="206" t="s">
        <v>279</v>
      </c>
      <c r="E4" s="206" t="s">
        <v>280</v>
      </c>
    </row>
    <row r="5" spans="1:5">
      <c r="A5" s="2" t="s">
        <v>658</v>
      </c>
    </row>
    <row r="6" spans="1:5">
      <c r="A6" s="660" t="s">
        <v>53</v>
      </c>
      <c r="B6" s="22" t="s">
        <v>1060</v>
      </c>
      <c r="C6" s="16">
        <f>IF(df_units="gpm",(1-bp_pct)*design_flow_I*24*60/1000000,(1-bp_pct)*design_flow_I)</f>
        <v>2.1520000000000001</v>
      </c>
      <c r="D6" s="651" t="s">
        <v>51</v>
      </c>
      <c r="E6" s="792" t="s">
        <v>924</v>
      </c>
    </row>
    <row r="7" spans="1:5">
      <c r="A7" s="660" t="s">
        <v>55</v>
      </c>
      <c r="B7" s="22" t="s">
        <v>1061</v>
      </c>
      <c r="C7" s="16">
        <f>(1-bp_pct)*IF(af_units="gpm",average_flow_I*24*60/1000000,IF(af_units="fraction of design flow",average_flow_I*design_flow,average_flow_I))</f>
        <v>2.1520000000000001</v>
      </c>
      <c r="D7" s="651" t="s">
        <v>51</v>
      </c>
      <c r="E7" s="792" t="s">
        <v>924</v>
      </c>
    </row>
    <row r="8" spans="1:5">
      <c r="A8" s="660" t="s">
        <v>1062</v>
      </c>
      <c r="B8" s="22" t="s">
        <v>1063</v>
      </c>
      <c r="C8" s="18">
        <f>design_flow*1000000/(24*60)</f>
        <v>1494.4444444444443</v>
      </c>
      <c r="D8" s="651" t="s">
        <v>142</v>
      </c>
      <c r="E8" s="6" t="s">
        <v>2876</v>
      </c>
    </row>
    <row r="9" spans="1:5">
      <c r="A9" s="660" t="s">
        <v>2678</v>
      </c>
      <c r="B9" s="22" t="s">
        <v>2504</v>
      </c>
      <c r="C9" s="18">
        <f>average_flow*1000000/(24*60)</f>
        <v>1494.4444444444443</v>
      </c>
      <c r="D9" s="651" t="s">
        <v>142</v>
      </c>
      <c r="E9" s="6" t="s">
        <v>2877</v>
      </c>
    </row>
    <row r="10" spans="1:5">
      <c r="A10" s="660" t="s">
        <v>1202</v>
      </c>
      <c r="B10" s="22" t="s">
        <v>1203</v>
      </c>
      <c r="C10" s="18">
        <f>bp_pct/(1-bp_pct)*design_flow_rate</f>
        <v>0</v>
      </c>
      <c r="D10" s="651" t="s">
        <v>142</v>
      </c>
    </row>
    <row r="11" spans="1:5">
      <c r="A11" s="660" t="s">
        <v>3209</v>
      </c>
      <c r="B11" s="3" t="s">
        <v>3210</v>
      </c>
      <c r="C11" s="776">
        <v>7</v>
      </c>
      <c r="D11" s="730" t="s">
        <v>3211</v>
      </c>
    </row>
    <row r="12" spans="1:5">
      <c r="A12" s="660" t="s">
        <v>1505</v>
      </c>
      <c r="B12" s="3" t="s">
        <v>57</v>
      </c>
      <c r="C12" s="44">
        <f>EBCT_I</f>
        <v>3</v>
      </c>
      <c r="D12" s="526" t="s">
        <v>60</v>
      </c>
    </row>
    <row r="13" spans="1:5">
      <c r="A13" s="660" t="s">
        <v>58</v>
      </c>
      <c r="B13" s="3" t="s">
        <v>63</v>
      </c>
      <c r="C13" s="44">
        <f>num_tanks_I</f>
        <v>2</v>
      </c>
      <c r="D13" s="526" t="s">
        <v>64</v>
      </c>
    </row>
    <row r="14" spans="1:5">
      <c r="A14" s="660" t="s">
        <v>160</v>
      </c>
      <c r="B14" s="3" t="s">
        <v>1058</v>
      </c>
      <c r="C14" s="14">
        <f>IF(tank_geom_I="horizontal",2,1)</f>
        <v>1</v>
      </c>
      <c r="D14" s="526" t="s">
        <v>659</v>
      </c>
    </row>
    <row r="15" spans="1:5">
      <c r="C15" s="18"/>
    </row>
    <row r="16" spans="1:5">
      <c r="A16" s="2" t="s">
        <v>830</v>
      </c>
      <c r="C16" s="18"/>
    </row>
    <row r="17" spans="1:5">
      <c r="A17" s="660" t="s">
        <v>1926</v>
      </c>
      <c r="B17" s="3" t="s">
        <v>1927</v>
      </c>
      <c r="C17" s="112">
        <f>max_vessel_diam_cl</f>
        <v>14</v>
      </c>
      <c r="D17" s="526" t="s">
        <v>61</v>
      </c>
    </row>
    <row r="18" spans="1:5">
      <c r="A18" s="660" t="s">
        <v>961</v>
      </c>
      <c r="B18" s="3" t="s">
        <v>960</v>
      </c>
      <c r="C18" s="112">
        <f>min_vessel_diam_cl</f>
        <v>1.5</v>
      </c>
      <c r="D18" s="651" t="s">
        <v>61</v>
      </c>
    </row>
    <row r="19" spans="1:5">
      <c r="A19" s="660" t="s">
        <v>962</v>
      </c>
      <c r="B19" s="3" t="s">
        <v>223</v>
      </c>
      <c r="C19" s="381">
        <f>IF(max_diam_override&gt;0,max_diam_override,max_diam_std_size)</f>
        <v>14</v>
      </c>
      <c r="D19" s="526" t="s">
        <v>61</v>
      </c>
      <c r="E19" s="6" t="s">
        <v>1928</v>
      </c>
    </row>
    <row r="20" spans="1:5">
      <c r="A20"/>
      <c r="B20" s="3"/>
      <c r="C20" s="112"/>
    </row>
    <row r="21" spans="1:5">
      <c r="A21" s="2" t="s">
        <v>831</v>
      </c>
      <c r="C21" s="18"/>
    </row>
    <row r="22" spans="1:5">
      <c r="A22" s="660" t="s">
        <v>1064</v>
      </c>
      <c r="B22" s="22" t="s">
        <v>1072</v>
      </c>
      <c r="C22" s="16">
        <f>EBCT/Num_tanks</f>
        <v>1.5</v>
      </c>
      <c r="D22" s="651" t="s">
        <v>60</v>
      </c>
    </row>
    <row r="23" spans="1:5">
      <c r="A23" s="660" t="s">
        <v>1068</v>
      </c>
      <c r="B23" s="22" t="s">
        <v>1069</v>
      </c>
      <c r="C23" s="16">
        <f>IF(tank_geom=1,(comm_diam-(2*Vessel_thickness))^2*PI()/4,IF(tank_geom=2,(comm_diam-(2*Vessel_thickness))*comm_height_length,0))</f>
        <v>132.73228961416876</v>
      </c>
      <c r="D23" s="651" t="s">
        <v>1067</v>
      </c>
      <c r="E23" s="20"/>
    </row>
    <row r="24" spans="1:5">
      <c r="A24" s="660" t="s">
        <v>2606</v>
      </c>
      <c r="B24" s="3" t="s">
        <v>2607</v>
      </c>
      <c r="C24" s="16" t="str">
        <f>IF(tank_geom=2,comm_diam-bed_depth-horiz_underdrain,"NA")</f>
        <v>NA</v>
      </c>
      <c r="D24" s="526" t="s">
        <v>2843</v>
      </c>
      <c r="E24" s="20"/>
    </row>
    <row r="25" spans="1:5">
      <c r="A25" s="660" t="s">
        <v>1480</v>
      </c>
      <c r="B25" s="3" t="s">
        <v>1481</v>
      </c>
      <c r="C25" s="37" t="str">
        <f>IF(tank_geom=2,comm_height_length*(comm_diam*comm_diam/2*ASIN(SQRT(distance_above/comm_diam))-(comm_diam/2-distance_above)*SQRT((comm_diam-distance_above)*distance_above)),"NA")</f>
        <v>NA</v>
      </c>
      <c r="D25" s="526" t="s">
        <v>1117</v>
      </c>
      <c r="E25" s="20"/>
    </row>
    <row r="26" spans="1:5">
      <c r="A26" s="660" t="s">
        <v>1070</v>
      </c>
      <c r="B26" s="22" t="s">
        <v>1071</v>
      </c>
      <c r="C26" s="18">
        <f>IF(tank_geom=1,(max_sa*bed_depth*7.48)/EBCT_tank,media_volume*7.48/EBCT_tank)</f>
        <v>1588.5400421023717</v>
      </c>
      <c r="D26" s="651" t="s">
        <v>142</v>
      </c>
      <c r="E26" s="6" t="s">
        <v>1917</v>
      </c>
    </row>
    <row r="27" spans="1:5">
      <c r="A27" s="660" t="s">
        <v>380</v>
      </c>
      <c r="B27" s="22" t="s">
        <v>1073</v>
      </c>
      <c r="C27" s="16">
        <f>ROUNDUP(design_flow_rate/flow_per_vessel,0)</f>
        <v>1</v>
      </c>
      <c r="D27" s="651" t="s">
        <v>1074</v>
      </c>
    </row>
    <row r="28" spans="1:5">
      <c r="A28" s="660" t="s">
        <v>564</v>
      </c>
      <c r="B28" s="22" t="s">
        <v>565</v>
      </c>
      <c r="C28" s="16">
        <f>ROUNDUP(design_flow_rate/flow_per_vessel,0)*Num_tanks</f>
        <v>2</v>
      </c>
      <c r="D28" s="651" t="s">
        <v>64</v>
      </c>
    </row>
    <row r="29" spans="1:5">
      <c r="A29" s="660" t="s">
        <v>256</v>
      </c>
      <c r="B29" s="22" t="s">
        <v>1075</v>
      </c>
      <c r="C29" s="16">
        <f>IF(NRD_I&lt;&gt;"",NRD_I,IF(design_flow&gt;=1,ROUNDUP(num_treat_lines/redund_freq,0),IF(op_num_tanks=1,NRD_small_1,NRD_small)))</f>
        <v>1</v>
      </c>
    </row>
    <row r="30" spans="1:5">
      <c r="A30" s="660" t="s">
        <v>562</v>
      </c>
      <c r="B30" s="22" t="s">
        <v>563</v>
      </c>
      <c r="C30" s="16">
        <f>op_num_tanks+NRD</f>
        <v>3</v>
      </c>
      <c r="D30" s="651" t="s">
        <v>64</v>
      </c>
    </row>
    <row r="32" spans="1:5">
      <c r="A32" s="2" t="s">
        <v>1574</v>
      </c>
    </row>
    <row r="33" spans="1:4">
      <c r="A33" s="660" t="s">
        <v>15</v>
      </c>
      <c r="B33" s="22" t="s">
        <v>1116</v>
      </c>
      <c r="C33" s="17">
        <f>design_flow_rate*EBCT/(7.481)</f>
        <v>599.29599429666257</v>
      </c>
      <c r="D33" s="651" t="s">
        <v>1117</v>
      </c>
    </row>
    <row r="34" spans="1:4">
      <c r="A34" s="660" t="s">
        <v>1918</v>
      </c>
      <c r="B34" s="22" t="s">
        <v>1118</v>
      </c>
      <c r="C34" s="17">
        <f>contact_material/op_num_tanks</f>
        <v>299.64799714833129</v>
      </c>
      <c r="D34" s="651" t="s">
        <v>1117</v>
      </c>
    </row>
    <row r="35" spans="1:4">
      <c r="A35" s="660" t="s">
        <v>16</v>
      </c>
      <c r="B35" s="22" t="s">
        <v>1119</v>
      </c>
      <c r="C35" s="17">
        <f>contact_mat_per_vessel*(1+bed_expansion)</f>
        <v>449.4719957224969</v>
      </c>
      <c r="D35" s="651" t="s">
        <v>1117</v>
      </c>
    </row>
    <row r="36" spans="1:4" ht="13.5" customHeight="1">
      <c r="A36" s="660" t="s">
        <v>17</v>
      </c>
      <c r="B36" s="22" t="s">
        <v>1120</v>
      </c>
      <c r="C36" s="17">
        <f>contact_mat_per_vessel/(bed_depth)</f>
        <v>124.85333214513804</v>
      </c>
      <c r="D36" s="651" t="s">
        <v>1067</v>
      </c>
    </row>
    <row r="37" spans="1:4" ht="13.5" customHeight="1">
      <c r="C37" s="17"/>
    </row>
    <row r="38" spans="1:4" ht="13.5" customHeight="1">
      <c r="A38" s="2" t="s">
        <v>1575</v>
      </c>
      <c r="C38" s="17"/>
    </row>
    <row r="39" spans="1:4" ht="13.5" customHeight="1">
      <c r="A39" s="660" t="s">
        <v>4388</v>
      </c>
      <c r="B39" s="22" t="s">
        <v>220</v>
      </c>
      <c r="C39" s="16">
        <f>IF(tank_geom=1,(comm_diam-(2*Vessel_thickness))^2*PI()/4,IF(tank_geom=2,(comm_diam-(2*Vessel_thickness))*comm_height_length))</f>
        <v>132.73228961416876</v>
      </c>
      <c r="D39" s="651" t="s">
        <v>1067</v>
      </c>
    </row>
    <row r="40" spans="1:4" ht="13.5" customHeight="1">
      <c r="A40" s="660" t="s">
        <v>219</v>
      </c>
      <c r="B40" s="22" t="s">
        <v>221</v>
      </c>
      <c r="C40" s="20">
        <f>(design_flow_rate/num_treat_lines)/comm_SA</f>
        <v>11.259087361399038</v>
      </c>
      <c r="D40" s="651" t="s">
        <v>140</v>
      </c>
    </row>
    <row r="41" spans="1:4" ht="13.5" customHeight="1">
      <c r="A41" s="660" t="s">
        <v>1576</v>
      </c>
      <c r="B41" s="22" t="s">
        <v>1577</v>
      </c>
      <c r="C41" s="18">
        <f>IF(tank_geom=1,comm_SA*bed_depth,comm_vol-underdrain_horiz_void-void_above)</f>
        <v>318.55749507400503</v>
      </c>
      <c r="D41" s="651" t="s">
        <v>1117</v>
      </c>
    </row>
    <row r="42" spans="1:4" ht="13.5" customHeight="1">
      <c r="A42" s="660"/>
      <c r="B42" s="22" t="s">
        <v>1578</v>
      </c>
      <c r="C42" s="18">
        <f>media_volume*7.48</f>
        <v>2382.8100631535576</v>
      </c>
      <c r="D42" s="651" t="s">
        <v>143</v>
      </c>
    </row>
    <row r="43" spans="1:4" ht="13.5" customHeight="1">
      <c r="A43" s="660" t="s">
        <v>1579</v>
      </c>
      <c r="B43" s="3" t="s">
        <v>1580</v>
      </c>
      <c r="C43" s="18">
        <f>media_volume*media_density</f>
        <v>13697.972288182216</v>
      </c>
      <c r="D43" s="526" t="s">
        <v>959</v>
      </c>
    </row>
    <row r="44" spans="1:4" ht="13.5" customHeight="1">
      <c r="A44" s="660" t="s">
        <v>1581</v>
      </c>
      <c r="B44" s="3" t="s">
        <v>1582</v>
      </c>
      <c r="C44" s="18">
        <f>media_per_vessel*final_num_tanks</f>
        <v>41093.916864546649</v>
      </c>
      <c r="D44" s="526" t="s">
        <v>264</v>
      </c>
    </row>
    <row r="45" spans="1:4" ht="13.5" customHeight="1">
      <c r="A45" s="660"/>
      <c r="B45" s="3"/>
      <c r="C45" s="17"/>
      <c r="D45" s="526"/>
    </row>
    <row r="46" spans="1:4" ht="13.5" customHeight="1">
      <c r="A46" s="660" t="s">
        <v>1583</v>
      </c>
      <c r="B46" s="3" t="s">
        <v>1584</v>
      </c>
      <c r="C46" s="18">
        <f>media_volume*(1+bed_expansion)</f>
        <v>477.83624261100755</v>
      </c>
      <c r="D46" s="526" t="s">
        <v>1117</v>
      </c>
    </row>
    <row r="47" spans="1:4" ht="13.5" customHeight="1">
      <c r="A47" s="660"/>
      <c r="B47" s="3"/>
      <c r="C47" s="17"/>
      <c r="D47" s="526"/>
    </row>
    <row r="48" spans="1:4" ht="13.5" customHeight="1">
      <c r="A48" s="660" t="s">
        <v>1585</v>
      </c>
      <c r="B48" s="22" t="s">
        <v>1129</v>
      </c>
      <c r="C48" s="17">
        <f>PI()*comm_diam^2/4*comm_height_length</f>
        <v>796.39373768501264</v>
      </c>
      <c r="D48" s="651" t="s">
        <v>1117</v>
      </c>
    </row>
    <row r="49" spans="1:5" ht="13.5" customHeight="1">
      <c r="A49" s="660" t="s">
        <v>2951</v>
      </c>
      <c r="B49" s="22" t="s">
        <v>2583</v>
      </c>
      <c r="C49" s="17">
        <f>comm_vol*7.48</f>
        <v>5957.0251578838952</v>
      </c>
      <c r="D49" s="651" t="s">
        <v>1131</v>
      </c>
    </row>
    <row r="50" spans="1:5">
      <c r="C50" s="17"/>
      <c r="D50" s="526"/>
    </row>
    <row r="51" spans="1:5">
      <c r="A51" s="2" t="s">
        <v>1586</v>
      </c>
    </row>
    <row r="52" spans="1:5">
      <c r="A52" t="s">
        <v>1587</v>
      </c>
    </row>
    <row r="53" spans="1:5">
      <c r="A53" t="s">
        <v>18</v>
      </c>
      <c r="B53" s="22" t="s">
        <v>1122</v>
      </c>
      <c r="C53" s="16">
        <f>bed_depth*(1+bed_expansion)+free_board</f>
        <v>4.0999999999999996</v>
      </c>
      <c r="D53" s="651" t="s">
        <v>61</v>
      </c>
    </row>
    <row r="54" spans="1:5">
      <c r="A54" s="16" t="s">
        <v>1123</v>
      </c>
      <c r="B54" s="22" t="s">
        <v>1121</v>
      </c>
      <c r="C54" s="16">
        <f>(SA*4/PI())^0.5+(2*Vessel_thickness)</f>
        <v>12.608259189084892</v>
      </c>
      <c r="D54" s="651" t="s">
        <v>61</v>
      </c>
    </row>
    <row r="55" spans="1:5">
      <c r="A55" s="25" t="s">
        <v>1588</v>
      </c>
      <c r="B55" s="22" t="s">
        <v>1589</v>
      </c>
      <c r="C55" s="16">
        <f>VLOOKUP(comm_diam,vessel_size_table_cl,2)</f>
        <v>6</v>
      </c>
      <c r="D55" s="651" t="s">
        <v>61</v>
      </c>
    </row>
    <row r="56" spans="1:5">
      <c r="A56" s="25" t="s">
        <v>1590</v>
      </c>
      <c r="B56" s="22" t="s">
        <v>1591</v>
      </c>
      <c r="C56" s="16">
        <f>VLOOKUP(comm_diam,vessel_size_table_cl,3)</f>
        <v>24</v>
      </c>
      <c r="D56" s="651" t="s">
        <v>61</v>
      </c>
    </row>
    <row r="58" spans="1:5">
      <c r="A58" t="s">
        <v>1592</v>
      </c>
    </row>
    <row r="59" spans="1:5">
      <c r="A59" s="108" t="s">
        <v>1593</v>
      </c>
      <c r="B59" s="3" t="s">
        <v>1594</v>
      </c>
      <c r="C59" s="20">
        <f>comm_height_length*(comm_diam*comm_diam/2*ASIN(SQRT(free_board/comm_diam))-(comm_diam/2-free_board)*SQRT((comm_diam-free_board)*free_board))</f>
        <v>10.079548843889555</v>
      </c>
      <c r="D59" s="526" t="s">
        <v>1117</v>
      </c>
      <c r="E59" s="6" t="s">
        <v>837</v>
      </c>
    </row>
    <row r="60" spans="1:5">
      <c r="A60" s="108" t="s">
        <v>1595</v>
      </c>
      <c r="B60" s="3" t="s">
        <v>1596</v>
      </c>
      <c r="C60" s="20">
        <f>comm_height_length*(comm_diam*comm_diam/2*ASIN(SQRT(horiz_underdrain/comm_diam))-(comm_diam/2-horiz_underdrain)*SQRT((comm_diam-horiz_underdrain)*horiz_underdrain))</f>
        <v>51.116678626935951</v>
      </c>
      <c r="D60" s="526" t="s">
        <v>1117</v>
      </c>
    </row>
    <row r="61" spans="1:5">
      <c r="A61" s="109" t="s">
        <v>1597</v>
      </c>
      <c r="B61" s="3" t="s">
        <v>1598</v>
      </c>
      <c r="C61" s="20">
        <f>freeboard_horiz_void+underdrain_horiz_void</f>
        <v>61.196227470825505</v>
      </c>
      <c r="D61" s="526" t="s">
        <v>1117</v>
      </c>
    </row>
    <row r="62" spans="1:5">
      <c r="A62" s="109"/>
      <c r="B62" s="3"/>
      <c r="D62" s="3"/>
      <c r="E62" s="109"/>
    </row>
    <row r="63" spans="1:5">
      <c r="A63" t="s">
        <v>1599</v>
      </c>
      <c r="B63" s="3"/>
      <c r="D63" s="3"/>
      <c r="E63" s="109"/>
    </row>
    <row r="64" spans="1:5">
      <c r="A64" s="108" t="s">
        <v>1600</v>
      </c>
      <c r="B64" s="3" t="s">
        <v>1601</v>
      </c>
      <c r="C64" s="115">
        <f>(comm_height_length-free_board)*PI()*comm_diam^2/4</f>
        <v>730.0275928779281</v>
      </c>
      <c r="D64" s="526" t="s">
        <v>1117</v>
      </c>
      <c r="E64" s="109"/>
    </row>
    <row r="65" spans="1:5">
      <c r="A65" s="108" t="s">
        <v>1602</v>
      </c>
      <c r="B65" s="3" t="s">
        <v>1603</v>
      </c>
      <c r="C65" s="115">
        <f>comm_vol-horiz_void</f>
        <v>735.1975102141871</v>
      </c>
      <c r="D65" s="526" t="s">
        <v>1117</v>
      </c>
      <c r="E65" s="109"/>
    </row>
    <row r="66" spans="1:5">
      <c r="A66" s="108" t="s">
        <v>1604</v>
      </c>
      <c r="B66" s="3" t="s">
        <v>1605</v>
      </c>
      <c r="C66" s="115">
        <f>CHOOSE(tank_geom,vert_vol_available,horiz_vol_available)</f>
        <v>730.0275928779281</v>
      </c>
      <c r="D66" s="526" t="s">
        <v>1117</v>
      </c>
      <c r="E66" s="6" t="s">
        <v>838</v>
      </c>
    </row>
    <row r="68" spans="1:5">
      <c r="A68" s="464" t="s">
        <v>1271</v>
      </c>
    </row>
    <row r="69" spans="1:5">
      <c r="A69" s="602" t="s">
        <v>1278</v>
      </c>
      <c r="B69" s="456" t="s">
        <v>1279</v>
      </c>
      <c r="C69" s="721">
        <f>VLOOKUP(10^6,cart_cost_cl,1)-0.001</f>
        <v>4.32</v>
      </c>
      <c r="D69" s="526" t="s">
        <v>51</v>
      </c>
    </row>
    <row r="70" spans="1:5">
      <c r="A70" s="108" t="s">
        <v>1299</v>
      </c>
      <c r="B70" s="3" t="s">
        <v>772</v>
      </c>
      <c r="C70" s="16">
        <f>IF(include_cart=0,0,MAX(ROUNDUP(design_flow/cart_per_flow,0),IF(design_flow&gt;=1,min_cart,0)))</f>
        <v>2</v>
      </c>
      <c r="D70" s="651" t="s">
        <v>64</v>
      </c>
    </row>
    <row r="71" spans="1:5">
      <c r="A71" s="108" t="s">
        <v>1280</v>
      </c>
      <c r="B71" s="3" t="s">
        <v>773</v>
      </c>
      <c r="C71" s="16">
        <f>IF(include_cart=0,0,init_NRD_cart+ROUNDDOWN(design_flow/addl_redund_cart_per_flow,0))</f>
        <v>1</v>
      </c>
      <c r="D71" s="651" t="s">
        <v>64</v>
      </c>
    </row>
    <row r="72" spans="1:5">
      <c r="A72" s="108" t="s">
        <v>774</v>
      </c>
      <c r="B72" s="3" t="s">
        <v>775</v>
      </c>
      <c r="C72" s="16">
        <f>active_filters+NRD_filters</f>
        <v>3</v>
      </c>
      <c r="D72" s="651" t="s">
        <v>64</v>
      </c>
    </row>
    <row r="73" spans="1:5">
      <c r="A73" s="108" t="s">
        <v>776</v>
      </c>
      <c r="B73" s="3" t="s">
        <v>777</v>
      </c>
      <c r="C73" s="16">
        <f>IF(include_cart=0,0,design_flow/active_filters)</f>
        <v>1.0760000000000001</v>
      </c>
      <c r="D73" s="651" t="s">
        <v>51</v>
      </c>
    </row>
    <row r="74" spans="1:5">
      <c r="A74" s="108" t="s">
        <v>778</v>
      </c>
      <c r="B74" s="3" t="s">
        <v>779</v>
      </c>
      <c r="C74" s="16">
        <f>IF(include_cart=0,0,VLOOKUP(filter_size,cart_dim_table_cl,5))</f>
        <v>3.5</v>
      </c>
      <c r="D74" s="651" t="s">
        <v>61</v>
      </c>
    </row>
    <row r="75" spans="1:5">
      <c r="A75" s="108" t="s">
        <v>780</v>
      </c>
      <c r="B75" s="3" t="s">
        <v>781</v>
      </c>
      <c r="C75" s="16">
        <f>IF(include_cart=0,0,VLOOKUP(filter_size,cart_dim_table_cl,6))</f>
        <v>3.5</v>
      </c>
      <c r="D75" s="651" t="s">
        <v>61</v>
      </c>
    </row>
    <row r="76" spans="1:5">
      <c r="A76" s="108" t="s">
        <v>782</v>
      </c>
      <c r="B76" s="3" t="s">
        <v>783</v>
      </c>
      <c r="C76" s="16">
        <f>IF(include_cart=0,0,VLOOKUP(filter_size,cart_dim_table_cl,7))</f>
        <v>8</v>
      </c>
      <c r="D76" s="651" t="s">
        <v>784</v>
      </c>
    </row>
  </sheetData>
  <phoneticPr fontId="0" type="noConversion"/>
  <hyperlinks>
    <hyperlink ref="D11" location="contam_list" display="&lt;-- Click here for list" xr:uid="{00000000-0004-0000-0900-000000000000}"/>
  </hyperlinks>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E86"/>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8.33203125" customWidth="1"/>
    <col min="2" max="2" width="25.83203125" customWidth="1"/>
    <col min="3" max="3" width="19" customWidth="1"/>
    <col min="4" max="4" width="10.83203125" style="526" customWidth="1"/>
  </cols>
  <sheetData>
    <row r="1" spans="1:5">
      <c r="A1" s="1" t="s">
        <v>1482</v>
      </c>
    </row>
    <row r="2" spans="1:5" s="526" customFormat="1">
      <c r="B2" s="3"/>
    </row>
    <row r="3" spans="1:5" s="526" customFormat="1">
      <c r="A3" s="206" t="s">
        <v>2950</v>
      </c>
      <c r="B3" s="206" t="s">
        <v>277</v>
      </c>
      <c r="C3" s="207" t="s">
        <v>278</v>
      </c>
      <c r="D3" s="206" t="s">
        <v>279</v>
      </c>
      <c r="E3" s="206" t="s">
        <v>280</v>
      </c>
    </row>
    <row r="4" spans="1:5" s="526" customFormat="1">
      <c r="A4" s="2" t="s">
        <v>3038</v>
      </c>
      <c r="B4"/>
      <c r="C4"/>
      <c r="E4"/>
    </row>
    <row r="5" spans="1:5" s="526" customFormat="1">
      <c r="A5" s="526" t="s">
        <v>3039</v>
      </c>
      <c r="B5" s="3" t="s">
        <v>3040</v>
      </c>
      <c r="C5">
        <f>TDS_I/40000</f>
        <v>5.0000000000000001E-3</v>
      </c>
      <c r="D5" s="526" t="s">
        <v>3087</v>
      </c>
      <c r="E5" s="6" t="s">
        <v>3088</v>
      </c>
    </row>
    <row r="6" spans="1:5" s="526" customFormat="1">
      <c r="A6" s="526" t="s">
        <v>3041</v>
      </c>
      <c r="B6" s="3" t="s">
        <v>3042</v>
      </c>
      <c r="C6">
        <f>t_I-25</f>
        <v>-15</v>
      </c>
      <c r="D6" s="526" t="s">
        <v>3089</v>
      </c>
      <c r="E6" s="6" t="s">
        <v>3090</v>
      </c>
    </row>
    <row r="7" spans="1:5" s="526" customFormat="1">
      <c r="A7" s="526" t="s">
        <v>3043</v>
      </c>
      <c r="B7" s="3" t="s">
        <v>3044</v>
      </c>
      <c r="C7">
        <f>78.54*(1-0.004579*t_minus25+0.0000119*t_minus25^2+0.000000028*t_minus25^3)</f>
        <v>84.137388720000004</v>
      </c>
      <c r="E7" s="6" t="s">
        <v>3091</v>
      </c>
    </row>
    <row r="8" spans="1:5" s="526" customFormat="1">
      <c r="A8" s="526" t="s">
        <v>3045</v>
      </c>
      <c r="B8" s="3" t="s">
        <v>3046</v>
      </c>
      <c r="C8">
        <f>t_I+273</f>
        <v>283</v>
      </c>
      <c r="D8" s="526" t="s">
        <v>3092</v>
      </c>
      <c r="E8" s="6" t="s">
        <v>3093</v>
      </c>
    </row>
    <row r="9" spans="1:5" s="526" customFormat="1">
      <c r="A9" s="526" t="s">
        <v>3047</v>
      </c>
      <c r="B9" s="3" t="s">
        <v>3048</v>
      </c>
      <c r="C9">
        <f>1290000*(SQRT(2)/(D_dielectric*T_K)^1.5)</f>
        <v>0.49652544704237711</v>
      </c>
      <c r="E9" s="6" t="s">
        <v>3094</v>
      </c>
    </row>
    <row r="10" spans="1:5" s="526" customFormat="1">
      <c r="A10" s="526" t="s">
        <v>3049</v>
      </c>
      <c r="B10" s="3" t="s">
        <v>3050</v>
      </c>
      <c r="C10">
        <f>A_slope_lim*1^2*(SQRT(I_ion_str)/(1+SQRT(I_ion_str))-0.3*I_ion_str)</f>
        <v>3.2046190551368897E-2</v>
      </c>
      <c r="E10" s="6" t="s">
        <v>3095</v>
      </c>
    </row>
    <row r="11" spans="1:5" s="526" customFormat="1">
      <c r="A11" s="526" t="s">
        <v>3051</v>
      </c>
      <c r="B11" s="3" t="s">
        <v>3052</v>
      </c>
      <c r="C11">
        <f>A_slope_lim*2^2*(SQRT(I_ion_str)/(1+SQRT(I_ion_str))-0.3*I_ion_str)</f>
        <v>0.12818476220547559</v>
      </c>
      <c r="E11" s="6" t="s">
        <v>3095</v>
      </c>
    </row>
    <row r="12" spans="1:5" s="526" customFormat="1" ht="15">
      <c r="A12" s="526" t="s">
        <v>3053</v>
      </c>
      <c r="B12" s="3" t="s">
        <v>3054</v>
      </c>
      <c r="C12">
        <f>10^-log_gamma_1</f>
        <v>0.92886758932889413</v>
      </c>
      <c r="E12" s="6"/>
    </row>
    <row r="13" spans="1:5" s="526" customFormat="1" ht="15">
      <c r="A13" s="526" t="s">
        <v>3055</v>
      </c>
      <c r="B13" s="3" t="s">
        <v>3056</v>
      </c>
      <c r="C13">
        <f>10^-log_gamma_2</f>
        <v>0.74441520944640127</v>
      </c>
      <c r="E13" s="6"/>
    </row>
    <row r="14" spans="1:5" s="526" customFormat="1" ht="15">
      <c r="A14" s="526" t="s">
        <v>3057</v>
      </c>
      <c r="B14" s="3" t="s">
        <v>3058</v>
      </c>
      <c r="C14" s="376">
        <f>a1_K1+a2_K1/T_K+a3_K1*LOG10(T_K)+a4_K1*T_K+a5_K1/T_K^2</f>
        <v>6.4766411440902338</v>
      </c>
      <c r="E14" s="6"/>
    </row>
    <row r="15" spans="1:5" s="526" customFormat="1" ht="16">
      <c r="A15" s="526" t="s">
        <v>3059</v>
      </c>
      <c r="B15" s="3" t="s">
        <v>3060</v>
      </c>
      <c r="C15" s="376">
        <f>a1_K2+a2_K2/T_K+a3_K2*LOG10(T_K)+a4_K2*T_K+a5_K2/T_K^2</f>
        <v>10.488538243033085</v>
      </c>
      <c r="E15" s="6"/>
    </row>
    <row r="16" spans="1:5" s="526" customFormat="1" ht="15">
      <c r="A16" s="526" t="s">
        <v>3061</v>
      </c>
      <c r="B16" s="3" t="s">
        <v>3062</v>
      </c>
      <c r="C16" s="376">
        <f>a1_Kw+a2_Kw/T_K+a3_Kw*LOG10(T_K)+a4_Kw*T_K+a5_Kw/T_K^2</f>
        <v>14.538566572438164</v>
      </c>
      <c r="E16" s="6"/>
    </row>
    <row r="17" spans="1:5" s="526" customFormat="1" ht="15">
      <c r="A17" s="526" t="s">
        <v>3063</v>
      </c>
      <c r="B17" s="3" t="s">
        <v>3064</v>
      </c>
      <c r="C17">
        <f>10^-pK_1</f>
        <v>3.3370203562126103E-7</v>
      </c>
      <c r="E17" s="6"/>
    </row>
    <row r="18" spans="1:5" s="526" customFormat="1" ht="16">
      <c r="A18" s="526" t="s">
        <v>3065</v>
      </c>
      <c r="B18" s="3" t="s">
        <v>3066</v>
      </c>
      <c r="C18">
        <f>10^-pK_2</f>
        <v>3.2468464988066683E-11</v>
      </c>
      <c r="E18" s="6"/>
    </row>
    <row r="19" spans="1:5" s="526" customFormat="1" ht="15">
      <c r="A19" s="526" t="s">
        <v>3067</v>
      </c>
      <c r="B19" s="3" t="s">
        <v>3068</v>
      </c>
      <c r="C19">
        <f>10^-pK_w</f>
        <v>2.8935662320507785E-15</v>
      </c>
      <c r="E19" s="6"/>
    </row>
    <row r="20" spans="1:5" s="526" customFormat="1" ht="16">
      <c r="A20" s="526" t="s">
        <v>3069</v>
      </c>
      <c r="B20" s="3" t="s">
        <v>3070</v>
      </c>
      <c r="C20">
        <f>gamma_1*10^-pHo/K_1</f>
        <v>0.27835238931030171</v>
      </c>
      <c r="E20" s="6" t="s">
        <v>3096</v>
      </c>
    </row>
    <row r="21" spans="1:5" s="526" customFormat="1" ht="16">
      <c r="A21" s="526" t="s">
        <v>3069</v>
      </c>
      <c r="B21" s="3" t="s">
        <v>3071</v>
      </c>
      <c r="C21">
        <f>(gamma_1*K_2)/(gamma_2*10^-pHo)</f>
        <v>4.0513552678623203E-4</v>
      </c>
      <c r="E21" s="6" t="s">
        <v>3097</v>
      </c>
    </row>
    <row r="22" spans="1:5" s="526" customFormat="1">
      <c r="A22" s="526" t="s">
        <v>3069</v>
      </c>
      <c r="B22" s="3" t="s">
        <v>3072</v>
      </c>
      <c r="C22">
        <f>alk_I/50000</f>
        <v>5.0000000000000001E-4</v>
      </c>
      <c r="D22" s="526" t="s">
        <v>3098</v>
      </c>
      <c r="E22" s="6" t="s">
        <v>3099</v>
      </c>
    </row>
    <row r="23" spans="1:5" s="526" customFormat="1" ht="16">
      <c r="A23" s="526" t="s">
        <v>3069</v>
      </c>
      <c r="B23" s="3" t="s">
        <v>3073</v>
      </c>
      <c r="C23">
        <f>K_w/(gamma_1*10^-pHo)</f>
        <v>3.1151546951286968E-8</v>
      </c>
      <c r="E23" s="6" t="s">
        <v>3100</v>
      </c>
    </row>
    <row r="24" spans="1:5" s="526" customFormat="1" ht="16">
      <c r="A24" s="526" t="s">
        <v>3069</v>
      </c>
      <c r="B24" s="3" t="s">
        <v>3074</v>
      </c>
      <c r="C24">
        <f>10^-pHo/gamma_1</f>
        <v>1.0765797100558745E-7</v>
      </c>
      <c r="E24" s="6" t="s">
        <v>3101</v>
      </c>
    </row>
    <row r="25" spans="1:5" s="526" customFormat="1" ht="16">
      <c r="A25" s="526" t="s">
        <v>3069</v>
      </c>
      <c r="B25" s="3" t="s">
        <v>3075</v>
      </c>
      <c r="C25">
        <f>(2*K_2*gamma_1)/(gamma_2*10^-pHo)</f>
        <v>8.1027105357246406E-4</v>
      </c>
      <c r="E25" s="6" t="s">
        <v>3102</v>
      </c>
    </row>
    <row r="26" spans="1:5" s="526" customFormat="1" ht="15">
      <c r="A26" s="526" t="s">
        <v>3076</v>
      </c>
      <c r="B26" s="3" t="s">
        <v>3077</v>
      </c>
      <c r="C26">
        <f>(1+term1_i+term2_i)*((term3_i-term4_i+term5_i)/(1+term6_i))</f>
        <v>6.3895886571069282E-4</v>
      </c>
      <c r="D26" s="526" t="s">
        <v>3087</v>
      </c>
      <c r="E26" s="6" t="s">
        <v>3103</v>
      </c>
    </row>
    <row r="27" spans="1:5" s="526" customFormat="1" ht="16">
      <c r="A27" s="526" t="s">
        <v>3069</v>
      </c>
      <c r="B27" s="3" t="s">
        <v>3078</v>
      </c>
      <c r="C27">
        <f>(2*K_2*gamma_1)/(gamma_2*10^-pHf)</f>
        <v>1.2841930768552922E-2</v>
      </c>
      <c r="E27" s="6" t="s">
        <v>3102</v>
      </c>
    </row>
    <row r="28" spans="1:5" s="526" customFormat="1" ht="16">
      <c r="A28" s="526" t="s">
        <v>3069</v>
      </c>
      <c r="B28" s="3" t="s">
        <v>3079</v>
      </c>
      <c r="C28">
        <f>(gamma_1*10^-pHf)/K_1</f>
        <v>1.7562848438894489E-2</v>
      </c>
      <c r="E28" s="6" t="s">
        <v>3096</v>
      </c>
    </row>
    <row r="29" spans="1:5" s="526" customFormat="1" ht="16">
      <c r="A29" s="526" t="s">
        <v>3069</v>
      </c>
      <c r="B29" s="3" t="s">
        <v>3080</v>
      </c>
      <c r="C29">
        <f>(gamma_1*K_2)/(gamma_2*10^-pHf)</f>
        <v>6.4209653842764612E-3</v>
      </c>
      <c r="E29" s="6" t="s">
        <v>3097</v>
      </c>
    </row>
    <row r="30" spans="1:5" s="526" customFormat="1" ht="16">
      <c r="A30" s="526" t="s">
        <v>3069</v>
      </c>
      <c r="B30" s="3" t="s">
        <v>3081</v>
      </c>
      <c r="C30">
        <f>K_w/(gamma_1*10^-pHf)</f>
        <v>4.9371874697727459E-7</v>
      </c>
      <c r="E30" s="6" t="s">
        <v>3100</v>
      </c>
    </row>
    <row r="31" spans="1:5" s="526" customFormat="1" ht="16">
      <c r="A31" s="526" t="s">
        <v>3069</v>
      </c>
      <c r="B31" s="3" t="s">
        <v>3082</v>
      </c>
      <c r="C31">
        <f>10^-pHf/gamma_1</f>
        <v>6.7927587497811107E-9</v>
      </c>
      <c r="E31" s="6" t="s">
        <v>3101</v>
      </c>
    </row>
    <row r="32" spans="1:5" s="526" customFormat="1" ht="15">
      <c r="A32" s="526" t="s">
        <v>3083</v>
      </c>
      <c r="B32" s="3" t="s">
        <v>3084</v>
      </c>
      <c r="C32">
        <f>50000*((C_T_i*(1+term1_f))/(1+term2_f+term3_f)+term4_f-term5_f)</f>
        <v>31.624666660523044</v>
      </c>
      <c r="D32" s="526" t="s">
        <v>3104</v>
      </c>
      <c r="E32" s="6" t="s">
        <v>3105</v>
      </c>
    </row>
    <row r="33" spans="1:5" s="526" customFormat="1" ht="15">
      <c r="A33" s="526" t="s">
        <v>3085</v>
      </c>
      <c r="B33" s="3" t="s">
        <v>3086</v>
      </c>
      <c r="C33">
        <f>(alk_f-alk_I)/50000</f>
        <v>1.3249333321046087E-4</v>
      </c>
      <c r="D33" s="526" t="s">
        <v>3087</v>
      </c>
      <c r="E33" s="6" t="s">
        <v>3106</v>
      </c>
    </row>
    <row r="34" spans="1:5" s="526" customFormat="1">
      <c r="A34" s="1"/>
      <c r="B34" s="1"/>
      <c r="C34" s="208"/>
      <c r="D34" s="1"/>
      <c r="E34" s="1"/>
    </row>
    <row r="35" spans="1:5" s="526" customFormat="1">
      <c r="A35" s="2" t="s">
        <v>3108</v>
      </c>
      <c r="B35" s="1"/>
      <c r="C35" s="208"/>
      <c r="D35" s="1"/>
      <c r="E35" s="1"/>
    </row>
    <row r="36" spans="1:5">
      <c r="A36" t="s">
        <v>1454</v>
      </c>
      <c r="B36" s="3" t="s">
        <v>1455</v>
      </c>
      <c r="C36">
        <f>IF(pH_adj="yes",39.997*OH_tot*1000,0)</f>
        <v>0</v>
      </c>
      <c r="D36" s="526" t="s">
        <v>2512</v>
      </c>
      <c r="E36" s="6" t="s">
        <v>3107</v>
      </c>
    </row>
    <row r="37" spans="1:5">
      <c r="A37" t="s">
        <v>1485</v>
      </c>
      <c r="B37" s="3" t="s">
        <v>1486</v>
      </c>
      <c r="C37">
        <f>VLOOKUP(NaOH_pct,NaOH_table_cl,2)</f>
        <v>6.3639999999999999</v>
      </c>
      <c r="D37" s="526" t="s">
        <v>2647</v>
      </c>
    </row>
    <row r="38" spans="1:5">
      <c r="A38" t="s">
        <v>1919</v>
      </c>
      <c r="B38" s="3" t="s">
        <v>1487</v>
      </c>
      <c r="C38" s="49">
        <f>1000000*3.7854*NaOH_tot*2.2*average_flow/1000000</f>
        <v>0</v>
      </c>
      <c r="D38" s="526" t="s">
        <v>264</v>
      </c>
    </row>
    <row r="39" spans="1:5">
      <c r="A39" t="s">
        <v>1920</v>
      </c>
      <c r="B39" s="3" t="s">
        <v>1488</v>
      </c>
      <c r="C39" s="18">
        <f>ROUNDUP(lb_NaOH_day*cstore_days,0)</f>
        <v>0</v>
      </c>
      <c r="D39" s="526" t="s">
        <v>264</v>
      </c>
    </row>
    <row r="40" spans="1:5">
      <c r="A40" t="s">
        <v>1489</v>
      </c>
      <c r="B40" s="3" t="s">
        <v>1490</v>
      </c>
      <c r="C40" s="18">
        <f>lb_NaOH_day/caustic_conc_lb</f>
        <v>0</v>
      </c>
      <c r="D40" s="526" t="s">
        <v>1131</v>
      </c>
    </row>
    <row r="41" spans="1:5">
      <c r="A41" t="s">
        <v>1449</v>
      </c>
      <c r="B41" s="3" t="s">
        <v>1450</v>
      </c>
      <c r="C41" s="18">
        <f>ROUNDUP(lb_NaOH_store/caustic_conc_lb,0)</f>
        <v>0</v>
      </c>
      <c r="D41" s="526" t="s">
        <v>1131</v>
      </c>
    </row>
    <row r="42" spans="1:5">
      <c r="A42" t="s">
        <v>1451</v>
      </c>
      <c r="B42" s="3" t="s">
        <v>1452</v>
      </c>
      <c r="C42" s="20">
        <f>gal_NaOH_day/24*design_flow/average_flow</f>
        <v>0</v>
      </c>
      <c r="D42" s="526" t="s">
        <v>1029</v>
      </c>
    </row>
    <row r="43" spans="1:5">
      <c r="A43" t="s">
        <v>2763</v>
      </c>
      <c r="B43" s="3" t="s">
        <v>2764</v>
      </c>
      <c r="C43" s="20">
        <f>VLOOKUP(NaOH_pct,NaOH_table_cl,4)</f>
        <v>1.5249999999999999</v>
      </c>
    </row>
    <row r="44" spans="1:5">
      <c r="A44" t="s">
        <v>2761</v>
      </c>
      <c r="B44" s="3" t="s">
        <v>2762</v>
      </c>
      <c r="C44" s="17">
        <f>IF(gal_NaOH_store=0,0,ROUNDUP(gal_NaOH_store*NaOH_spgr*8.345,0))</f>
        <v>0</v>
      </c>
      <c r="D44" s="526" t="s">
        <v>264</v>
      </c>
    </row>
    <row r="46" spans="1:5">
      <c r="A46" s="2" t="s">
        <v>1456</v>
      </c>
    </row>
    <row r="47" spans="1:5">
      <c r="A47" t="s">
        <v>1456</v>
      </c>
      <c r="B47" s="3" t="s">
        <v>1457</v>
      </c>
      <c r="C47">
        <f>IF(gal_NaOH_store=0,0,ROUNDUP(gal_NaOH_store/max_chem_tank_size,0))</f>
        <v>0</v>
      </c>
      <c r="D47" s="526" t="s">
        <v>64</v>
      </c>
    </row>
    <row r="48" spans="1:5">
      <c r="A48" s="16" t="s">
        <v>1459</v>
      </c>
      <c r="B48" s="3" t="s">
        <v>1458</v>
      </c>
      <c r="C48" s="49">
        <f>IF(gal_NaOH_store=0,0,ROUNDUP(gal_NaOH_store/NaOH_tanks,0))</f>
        <v>0</v>
      </c>
      <c r="D48" s="526" t="s">
        <v>143</v>
      </c>
    </row>
    <row r="49" spans="1:5">
      <c r="A49" s="76" t="s">
        <v>2532</v>
      </c>
      <c r="B49" s="47" t="s">
        <v>2535</v>
      </c>
      <c r="C49" s="374">
        <f>1000000*3.7854*NaOH_tot*2.2*design_flow/1000000/caustic_conc_lb</f>
        <v>0</v>
      </c>
      <c r="D49" s="526" t="s">
        <v>143</v>
      </c>
    </row>
    <row r="50" spans="1:5">
      <c r="A50" t="s">
        <v>2533</v>
      </c>
      <c r="B50" s="3" t="s">
        <v>2526</v>
      </c>
      <c r="C50" s="72">
        <f>IF(NaOH_day_tank_vol_needed&lt;day_tank_needed,0,ROUNDUP(NaOH_day_tank_vol_needed/max_chem_tank_size,0))</f>
        <v>0</v>
      </c>
      <c r="D50" s="526" t="s">
        <v>64</v>
      </c>
    </row>
    <row r="51" spans="1:5">
      <c r="A51" t="s">
        <v>2534</v>
      </c>
      <c r="B51" s="3" t="s">
        <v>2527</v>
      </c>
      <c r="C51" s="566">
        <f>IF(NaOH_day_tanks=0,0,ROUNDUP(NaOH_day_tank_vol_needed/NaOH_day_tanks,0))</f>
        <v>0</v>
      </c>
      <c r="D51" s="526" t="s">
        <v>143</v>
      </c>
    </row>
    <row r="52" spans="1:5">
      <c r="B52" s="3"/>
      <c r="C52" s="566"/>
    </row>
    <row r="53" spans="1:5" s="16" customFormat="1">
      <c r="A53" s="2" t="s">
        <v>2997</v>
      </c>
      <c r="B53" s="22"/>
      <c r="C53" s="18"/>
      <c r="D53" s="651"/>
    </row>
    <row r="54" spans="1:5" s="16" customFormat="1">
      <c r="A54" t="s">
        <v>2989</v>
      </c>
      <c r="B54" s="22"/>
      <c r="C54" s="720">
        <f>VLOOKUP("Sodium Hydroxide "&amp;TEXT(NaOH_pct,"0%")&amp;" - Large Qty",chem_break_table_cl,2,FALSE)</f>
        <v>25436.999999999996</v>
      </c>
      <c r="D54" s="651" t="s">
        <v>264</v>
      </c>
      <c r="E54" s="6" t="s">
        <v>2990</v>
      </c>
    </row>
    <row r="55" spans="1:5" s="16" customFormat="1">
      <c r="A55" s="16" t="s">
        <v>2991</v>
      </c>
      <c r="B55" s="22"/>
      <c r="C55" s="720">
        <f>VLOOKUP("Sodium Hydroxide "&amp;TEXT(NaOH_pct,"0%")&amp;" - Mid Qty",chem_break_table_cl,2,FALSE)</f>
        <v>5000</v>
      </c>
      <c r="D55" s="651" t="s">
        <v>264</v>
      </c>
      <c r="E55" s="6" t="s">
        <v>2990</v>
      </c>
    </row>
    <row r="56" spans="1:5" s="16" customFormat="1">
      <c r="A56" s="76" t="s">
        <v>2992</v>
      </c>
      <c r="B56" s="22"/>
      <c r="C56" s="720">
        <f>VLOOKUP("Sodium Hydroxide "&amp;TEXT(NaOH_pct,"0%")&amp;" - Small Qty",chem_break_table_cl,2,FALSE)</f>
        <v>0</v>
      </c>
      <c r="D56" s="651" t="s">
        <v>264</v>
      </c>
      <c r="E56" s="6" t="s">
        <v>2990</v>
      </c>
    </row>
    <row r="57" spans="1:5" s="16" customFormat="1">
      <c r="A57" t="s">
        <v>2998</v>
      </c>
      <c r="B57" s="22" t="s">
        <v>2999</v>
      </c>
      <c r="C57" s="18" t="str">
        <f>IF(AND(ISNA(C54),ISNA(C55),ISNA(C56)),"",IF(NaOH_lbs&gt;=C54," - Large Qty",IF(NaOH_lbs&gt;=C55," - Mid Qty"," - Small Qty")))</f>
        <v xml:space="preserve"> - Small Qty</v>
      </c>
      <c r="D57" s="651"/>
      <c r="E57" s="657" t="s">
        <v>2994</v>
      </c>
    </row>
    <row r="58" spans="1:5" s="16" customFormat="1">
      <c r="A58" s="109"/>
      <c r="B58" s="22"/>
      <c r="C58" s="18"/>
      <c r="D58" s="651"/>
      <c r="E58" s="657"/>
    </row>
    <row r="59" spans="1:5">
      <c r="A59" s="2" t="s">
        <v>1341</v>
      </c>
      <c r="B59" s="3"/>
      <c r="C59" s="566"/>
    </row>
    <row r="60" spans="1:5">
      <c r="A60" t="s">
        <v>2536</v>
      </c>
      <c r="B60" s="563" t="s">
        <v>2537</v>
      </c>
      <c r="C60" s="73">
        <f>MAX(VLOOKUP(10^6,port_mix_cost_cl,1)-0.1,VLOOKUP(10^6,mount_mix_cost_cl,1)-0.1,VLOOKUP(10^6,imp_mix_cost_cl,1)-0.1)</f>
        <v>30</v>
      </c>
      <c r="D60" s="526" t="s">
        <v>1358</v>
      </c>
    </row>
    <row r="61" spans="1:5">
      <c r="A61" t="s">
        <v>2538</v>
      </c>
      <c r="B61" s="3" t="s">
        <v>2539</v>
      </c>
      <c r="C61" s="72">
        <f>IF(AND(include_cmix=1,NaOH_tanks&lt;&gt;0),ROUNDUP(NaOH_tank_vol/1000*cmix_hp_per/cmix_hp_max,0),0)</f>
        <v>0</v>
      </c>
      <c r="D61" s="526" t="s">
        <v>64</v>
      </c>
    </row>
    <row r="62" spans="1:5">
      <c r="A62" t="s">
        <v>2540</v>
      </c>
      <c r="B62" s="3" t="s">
        <v>2541</v>
      </c>
      <c r="C62" s="72">
        <f>NaOH_tanks*cmix_per_tank</f>
        <v>0</v>
      </c>
      <c r="D62" s="526" t="s">
        <v>64</v>
      </c>
    </row>
    <row r="63" spans="1:5">
      <c r="A63" t="s">
        <v>2542</v>
      </c>
      <c r="B63" s="3" t="s">
        <v>2543</v>
      </c>
      <c r="C63" s="565">
        <f>IF(cmixers&lt;&gt;0,MAX(min_cmix_hp,NaOH_tank_vol/1000*cmix_hp_per/cmix_per_tank),0)</f>
        <v>0</v>
      </c>
      <c r="D63" s="526" t="s">
        <v>1358</v>
      </c>
    </row>
    <row r="64" spans="1:5">
      <c r="A64" t="s">
        <v>2544</v>
      </c>
      <c r="B64" s="3" t="s">
        <v>2545</v>
      </c>
      <c r="C64" s="72">
        <f>IF(AND(include_cmix=1,NaOH_day_tanks&lt;&gt;0),ROUNDUP(NaOH_day_tank_vol/1000*cmix_hp_per/cmix_hp_max,0),0)</f>
        <v>0</v>
      </c>
      <c r="D64" s="526" t="s">
        <v>64</v>
      </c>
    </row>
    <row r="65" spans="1:5">
      <c r="A65" t="s">
        <v>2546</v>
      </c>
      <c r="B65" s="3" t="s">
        <v>2547</v>
      </c>
      <c r="C65" s="72">
        <f>NaOH_day_tanks*dmix_per_tank</f>
        <v>0</v>
      </c>
      <c r="D65" s="526" t="s">
        <v>64</v>
      </c>
    </row>
    <row r="66" spans="1:5">
      <c r="A66" t="s">
        <v>2548</v>
      </c>
      <c r="B66" s="3" t="s">
        <v>2549</v>
      </c>
      <c r="C66" s="564">
        <f>IF(dmixers&lt;&gt;0,MAX(min_cmix_hp,NaOH_day_tank_vol/1000*cmix_hp_per/dmix_per_tank),0)</f>
        <v>0</v>
      </c>
      <c r="D66" s="526" t="s">
        <v>1358</v>
      </c>
    </row>
    <row r="68" spans="1:5">
      <c r="A68" s="2" t="s">
        <v>3171</v>
      </c>
    </row>
    <row r="69" spans="1:5">
      <c r="A69" s="526" t="s">
        <v>3143</v>
      </c>
      <c r="B69" s="3" t="s">
        <v>3144</v>
      </c>
      <c r="C69">
        <f>MAX(NaOH_tanks*NaOH_tank_vol*sec_cont_pct_of_total,NaOH_tank_vol*sec_cont_pct_of_largest)/7.48</f>
        <v>0</v>
      </c>
      <c r="D69" s="526" t="s">
        <v>1117</v>
      </c>
      <c r="E69" s="657" t="s">
        <v>3159</v>
      </c>
    </row>
    <row r="70" spans="1:5">
      <c r="A70" s="526" t="s">
        <v>3145</v>
      </c>
      <c r="B70" s="3" t="s">
        <v>3146</v>
      </c>
      <c r="C70">
        <f>IF(NaOH_tanks=0,0,NaOH_tank_fp-NaOH_tanks*PI()*(NaOHtank_diam/2)^2)</f>
        <v>0</v>
      </c>
      <c r="D70" s="526" t="s">
        <v>1067</v>
      </c>
      <c r="E70" s="657" t="s">
        <v>3160</v>
      </c>
    </row>
    <row r="71" spans="1:5">
      <c r="A71" s="526" t="s">
        <v>3147</v>
      </c>
      <c r="B71" s="3" t="s">
        <v>3148</v>
      </c>
      <c r="C71">
        <f>IF(NaOH_tanks=0,0,ct_cont_volume/ct_cont_fp+sec_cont_freeboard/12)</f>
        <v>0</v>
      </c>
      <c r="D71" s="526" t="s">
        <v>61</v>
      </c>
    </row>
    <row r="72" spans="1:5">
      <c r="A72" s="526" t="s">
        <v>3149</v>
      </c>
      <c r="B72" s="3" t="s">
        <v>3150</v>
      </c>
      <c r="C72">
        <f>IF(NaOH_tanks=0,0,MIN(sec_cont_max_thick,ct_curb_height))</f>
        <v>0</v>
      </c>
      <c r="D72" s="526" t="s">
        <v>61</v>
      </c>
    </row>
    <row r="73" spans="1:5">
      <c r="A73" s="526" t="s">
        <v>3151</v>
      </c>
      <c r="B73" s="3" t="s">
        <v>3152</v>
      </c>
      <c r="C73">
        <f>IF(NaOH_tanks=0,0,NaOH_tanks*NaOHtank_diam+2*space_NaOHtank+(NaOH_tanks-1)*space_NaOHtank+2*ct_curb_thick)</f>
        <v>0</v>
      </c>
      <c r="D73" s="526" t="s">
        <v>61</v>
      </c>
    </row>
    <row r="74" spans="1:5">
      <c r="A74" s="526" t="s">
        <v>3153</v>
      </c>
      <c r="B74" s="3" t="s">
        <v>3154</v>
      </c>
      <c r="C74">
        <f>IF(NaOH_tanks=0,0,NaOHtank_diam+2*space_NaOHtank)</f>
        <v>0</v>
      </c>
      <c r="D74" s="526" t="s">
        <v>61</v>
      </c>
    </row>
    <row r="75" spans="1:5">
      <c r="A75" s="526" t="s">
        <v>3155</v>
      </c>
      <c r="B75" s="3" t="s">
        <v>3156</v>
      </c>
      <c r="C75">
        <f>IF(NaOH_tanks=0,0,ROUNDUP((ct_curb_len_long*2+ct_curb_len_short*2)*ct_curb_height*ct_curb_thick/27,0))</f>
        <v>0</v>
      </c>
      <c r="D75" s="526" t="s">
        <v>1906</v>
      </c>
      <c r="E75" s="657" t="s">
        <v>3161</v>
      </c>
    </row>
    <row r="76" spans="1:5">
      <c r="A76" s="526" t="s">
        <v>3157</v>
      </c>
      <c r="B76" s="3" t="s">
        <v>3158</v>
      </c>
      <c r="C76">
        <f>IF(NaOH_tanks=0,0,ROUNDUP((NaOH_tank_fp+2*(ct_curb_len_long-2*ct_curb_thick)*ct_curb_height+2*ct_curb_len_short*ct_curb_height)/sec_cont_coating_cvg,0))</f>
        <v>0</v>
      </c>
      <c r="D76" s="526" t="s">
        <v>143</v>
      </c>
      <c r="E76" s="657" t="s">
        <v>3162</v>
      </c>
    </row>
    <row r="77" spans="1:5">
      <c r="D77" s="651"/>
      <c r="E77" s="16"/>
    </row>
    <row r="78" spans="1:5">
      <c r="A78" s="2" t="s">
        <v>3172</v>
      </c>
      <c r="D78" s="651"/>
      <c r="E78" s="16"/>
    </row>
    <row r="79" spans="1:5">
      <c r="A79" s="526" t="s">
        <v>3143</v>
      </c>
      <c r="B79" s="3" t="s">
        <v>3163</v>
      </c>
      <c r="C79">
        <f>MAX(NaOH_day_tanks*NaOH_day_tank_vol*sec_cont_pct_of_total,NaOH_day_tank_vol*sec_cont_pct_of_largest)/7.48</f>
        <v>0</v>
      </c>
      <c r="D79" s="526" t="s">
        <v>1117</v>
      </c>
      <c r="E79" s="657" t="s">
        <v>3159</v>
      </c>
    </row>
    <row r="80" spans="1:5">
      <c r="A80" s="526" t="s">
        <v>3145</v>
      </c>
      <c r="B80" s="3" t="s">
        <v>3164</v>
      </c>
      <c r="C80">
        <f>IF(NaOH_day_tanks=0,0,NaOHday_tank_fp-NaOH_day_tanks*PI()*(NaOHdaytank_diam/2)^2)</f>
        <v>0</v>
      </c>
      <c r="D80" s="526" t="s">
        <v>1067</v>
      </c>
      <c r="E80" s="657" t="s">
        <v>3160</v>
      </c>
    </row>
    <row r="81" spans="1:5">
      <c r="A81" s="526" t="s">
        <v>3147</v>
      </c>
      <c r="B81" s="3" t="s">
        <v>3165</v>
      </c>
      <c r="C81">
        <f>IF(NaOH_day_tanks=0,0,dt_cont_volume/dt_cont_fp+sec_cont_freeboard/12)</f>
        <v>0</v>
      </c>
      <c r="D81" s="526" t="s">
        <v>61</v>
      </c>
    </row>
    <row r="82" spans="1:5">
      <c r="A82" s="526" t="s">
        <v>3149</v>
      </c>
      <c r="B82" s="3" t="s">
        <v>3166</v>
      </c>
      <c r="C82">
        <f>IF(NaOH_day_tanks=0,0,MIN(sec_cont_max_thick,dt_curb_height))</f>
        <v>0</v>
      </c>
      <c r="D82" s="526" t="s">
        <v>61</v>
      </c>
    </row>
    <row r="83" spans="1:5">
      <c r="A83" s="526" t="s">
        <v>3151</v>
      </c>
      <c r="B83" s="3" t="s">
        <v>3167</v>
      </c>
      <c r="C83">
        <f>IF(NaOH_day_tanks=0,0,NaOH_day_tanks*NaOHdaytank_diam+2*space_NaOHdaytank+(NaOH_day_tanks-1)*space_NaOHdaytank+2*dt_curb_thick)</f>
        <v>0</v>
      </c>
      <c r="D83" s="526" t="s">
        <v>61</v>
      </c>
    </row>
    <row r="84" spans="1:5">
      <c r="A84" s="526" t="s">
        <v>3153</v>
      </c>
      <c r="B84" s="3" t="s">
        <v>3168</v>
      </c>
      <c r="C84">
        <f>IF(NaOH_day_tanks=0,0,NaOHdaytank_diam+2*space_NaOHdaytank)</f>
        <v>0</v>
      </c>
      <c r="D84" s="526" t="s">
        <v>61</v>
      </c>
    </row>
    <row r="85" spans="1:5">
      <c r="A85" s="526" t="s">
        <v>3155</v>
      </c>
      <c r="B85" s="3" t="s">
        <v>3169</v>
      </c>
      <c r="C85">
        <f>IF(NaOH_day_tanks=0,0,ROUNDUP((dt_curb_len_long*2+dt_curb_len_short*2)*dt_curb_height*dt_curb_thick/27,0))</f>
        <v>0</v>
      </c>
      <c r="D85" s="526" t="s">
        <v>1906</v>
      </c>
      <c r="E85" s="657" t="s">
        <v>3161</v>
      </c>
    </row>
    <row r="86" spans="1:5">
      <c r="A86" s="526" t="s">
        <v>3157</v>
      </c>
      <c r="B86" s="3" t="s">
        <v>3170</v>
      </c>
      <c r="C86">
        <f>IF(NaOH_day_tanks=0,0,ROUNDUP((NaOHday_tank_fp+2*(dt_curb_len_long-2*dt_curb_thick)*dt_curb_height+2*dt_curb_len_short*dt_curb_height)/sec_cont_coating_cvg,0))</f>
        <v>0</v>
      </c>
      <c r="D86" s="526" t="s">
        <v>143</v>
      </c>
      <c r="E86" s="657" t="s">
        <v>3162</v>
      </c>
    </row>
  </sheetData>
  <phoneticPr fontId="0" type="noConversion"/>
  <pageMargins left="0.75" right="0.75" top="1" bottom="1" header="0.5" footer="0.5"/>
  <pageSetup orientation="portrait" horizontalDpi="4294967293"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E100"/>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51.6640625" style="16" customWidth="1"/>
    <col min="2" max="2" width="24.33203125" style="22" customWidth="1"/>
    <col min="3" max="3" width="12.5" style="16" bestFit="1" customWidth="1"/>
    <col min="4" max="4" width="12" style="651" customWidth="1"/>
    <col min="5" max="16384" width="9.1640625" style="16"/>
  </cols>
  <sheetData>
    <row r="1" spans="1:5" s="526" customFormat="1">
      <c r="A1" s="1" t="s">
        <v>2953</v>
      </c>
      <c r="B1" s="3"/>
    </row>
    <row r="2" spans="1:5" s="526" customFormat="1">
      <c r="B2" s="3"/>
    </row>
    <row r="3" spans="1:5" s="526" customFormat="1">
      <c r="A3" s="206" t="s">
        <v>2950</v>
      </c>
      <c r="B3" s="206" t="s">
        <v>277</v>
      </c>
      <c r="C3" s="207" t="s">
        <v>278</v>
      </c>
      <c r="D3" s="206" t="s">
        <v>279</v>
      </c>
      <c r="E3" s="206" t="s">
        <v>280</v>
      </c>
    </row>
    <row r="4" spans="1:5">
      <c r="A4" s="96" t="s">
        <v>1861</v>
      </c>
    </row>
    <row r="5" spans="1:5">
      <c r="A5" s="16" t="s">
        <v>1763</v>
      </c>
      <c r="B5" s="22" t="s">
        <v>228</v>
      </c>
      <c r="C5" s="56">
        <f>IF(lines_pump_I="",IF(ss_cat2=1,0,MIN(MAX(average_flow_rate+bp_flow_rate*average_flow_rate/design_flow_rate,(design_flow_rate+bp_flow_rate)/2)*(1+pump_safety_factor),max_pump_size)),IF(lines_pump_I=0,0,(design_flow_rate+bp_flow_rate)*(1+pump_safety_factor)/lines_pump_I))</f>
        <v>1868.0555555555554</v>
      </c>
      <c r="D5" s="651" t="s">
        <v>142</v>
      </c>
      <c r="E5" s="15" t="s">
        <v>970</v>
      </c>
    </row>
    <row r="6" spans="1:5" customFormat="1">
      <c r="A6" t="s">
        <v>1168</v>
      </c>
      <c r="B6" s="3" t="s">
        <v>1171</v>
      </c>
      <c r="C6" s="53">
        <f>VLOOKUP(10^6,pump_cost_cl,1)-1</f>
        <v>10000</v>
      </c>
      <c r="D6" s="526" t="s">
        <v>142</v>
      </c>
      <c r="E6" s="6" t="s">
        <v>1779</v>
      </c>
    </row>
    <row r="7" spans="1:5">
      <c r="A7" s="16" t="s">
        <v>226</v>
      </c>
      <c r="B7" s="22" t="s">
        <v>227</v>
      </c>
      <c r="C7" s="16">
        <f>IF(pump_rating=0,0,ROUNDUP((design_flow_rate+bp_flow_rate)*(1+pump_safety_factor)/pump_rating,0))</f>
        <v>1</v>
      </c>
      <c r="D7" s="651" t="s">
        <v>64</v>
      </c>
      <c r="E7" s="15"/>
    </row>
    <row r="8" spans="1:5">
      <c r="A8" s="16" t="s">
        <v>229</v>
      </c>
      <c r="B8" s="22" t="s">
        <v>230</v>
      </c>
      <c r="C8" s="16">
        <f>IF(booster_pumps=0,0,booster_pumps+NRD_pumps)</f>
        <v>1</v>
      </c>
      <c r="D8" s="651" t="s">
        <v>64</v>
      </c>
      <c r="E8" s="15"/>
    </row>
    <row r="9" spans="1:5">
      <c r="A9" s="16" t="s">
        <v>421</v>
      </c>
      <c r="B9" s="22" t="s">
        <v>1431</v>
      </c>
      <c r="C9" s="18">
        <f>MAX(water_flush,rinse_gpm)</f>
        <v>398</v>
      </c>
      <c r="D9" s="651" t="s">
        <v>142</v>
      </c>
      <c r="E9" s="15"/>
    </row>
    <row r="10" spans="1:5">
      <c r="A10" t="s">
        <v>67</v>
      </c>
      <c r="B10" s="3" t="s">
        <v>69</v>
      </c>
      <c r="C10">
        <f>IF(OR(no_backwash=1,max_back_flow=0),0,ROUNDUP(max_back_flow*(1+pump_safety_factor)/max_pump_size,0)+NRD_back_pumps)</f>
        <v>2</v>
      </c>
      <c r="D10" s="526" t="s">
        <v>68</v>
      </c>
      <c r="E10" s="6" t="s">
        <v>969</v>
      </c>
    </row>
    <row r="11" spans="1:5">
      <c r="A11" s="16" t="s">
        <v>1815</v>
      </c>
      <c r="B11" s="22" t="s">
        <v>1816</v>
      </c>
      <c r="C11" s="56">
        <f>IF(backwash_pumps=0,0,max_back_flow*(1+pump_safety_factor)/(backwash_pumps-NRD_back_pumps))</f>
        <v>497.5</v>
      </c>
      <c r="D11" s="651" t="s">
        <v>142</v>
      </c>
      <c r="E11" s="15" t="s">
        <v>970</v>
      </c>
    </row>
    <row r="12" spans="1:5">
      <c r="C12" s="56"/>
      <c r="E12" s="15"/>
    </row>
    <row r="13" spans="1:5">
      <c r="A13" s="96" t="s">
        <v>1143</v>
      </c>
      <c r="C13" s="56"/>
      <c r="E13" s="15"/>
    </row>
    <row r="14" spans="1:5">
      <c r="A14" t="s">
        <v>1776</v>
      </c>
      <c r="B14" s="3" t="s">
        <v>1777</v>
      </c>
      <c r="C14" s="53">
        <f>MAX(VLOOKUP(10^6,ss_empump_cost_cl,1)-0.01,VLOOKUP(10^6,ss_mmpump_cost_cl,1)-0.01,VLOOKUP(10^6,pvc_empump_cost_cl,1)-0.01,VLOOKUP(10^6,pvc_mmpump_cost_cl,1)-0.01)</f>
        <v>132</v>
      </c>
      <c r="D14" s="526" t="s">
        <v>1029</v>
      </c>
      <c r="E14" s="6" t="s">
        <v>1778</v>
      </c>
    </row>
    <row r="15" spans="1:5">
      <c r="A15" s="660" t="s">
        <v>3431</v>
      </c>
      <c r="B15" s="3" t="s">
        <v>3432</v>
      </c>
      <c r="C15" s="53">
        <f>MAX(VLOOKUP(10^6,pvc_empump_cost_cl,1)-0.01,VLOOKUP(10^6,pvc_mmpump_cost_cl,1)-0.01)</f>
        <v>132</v>
      </c>
      <c r="D15" s="526" t="s">
        <v>1029</v>
      </c>
      <c r="E15" s="6" t="s">
        <v>3430</v>
      </c>
    </row>
    <row r="16" spans="1:5">
      <c r="A16" s="16" t="s">
        <v>245</v>
      </c>
      <c r="B16" s="22" t="s">
        <v>247</v>
      </c>
      <c r="C16">
        <f>IF(pH_adj="yes",ROUNDUP(des_NaOH_flow*(1+pump_safety_factor)/max_cm_pump_size,0)+NRD_pH_pumps,0)</f>
        <v>0</v>
      </c>
      <c r="D16" s="526" t="s">
        <v>68</v>
      </c>
      <c r="E16" s="6" t="s">
        <v>969</v>
      </c>
    </row>
    <row r="17" spans="1:5">
      <c r="A17" s="16" t="s">
        <v>246</v>
      </c>
      <c r="B17" s="22" t="s">
        <v>248</v>
      </c>
      <c r="C17" s="366">
        <f>IF(pH_pumps=0,0,MAX(min_chem_flow,des_NaOH_flow*(1+pump_safety_factor)/(pH_pumps-NRD_pH_pumps)))</f>
        <v>0</v>
      </c>
      <c r="D17" s="651" t="s">
        <v>1029</v>
      </c>
      <c r="E17" s="15" t="s">
        <v>970</v>
      </c>
    </row>
    <row r="18" spans="1:5">
      <c r="C18" s="18"/>
      <c r="E18" s="15"/>
    </row>
    <row r="19" spans="1:5">
      <c r="A19" s="96" t="s">
        <v>1862</v>
      </c>
    </row>
    <row r="20" spans="1:5">
      <c r="A20" s="16" t="s">
        <v>3445</v>
      </c>
      <c r="B20" s="22" t="s">
        <v>2851</v>
      </c>
      <c r="C20" s="18">
        <f>in_out_pipe_mult*facil_length</f>
        <v>120</v>
      </c>
      <c r="D20" s="651" t="s">
        <v>136</v>
      </c>
    </row>
    <row r="21" spans="1:5">
      <c r="A21" s="16" t="s">
        <v>97</v>
      </c>
      <c r="B21" s="22" t="s">
        <v>98</v>
      </c>
      <c r="C21" s="18">
        <f>proc_pipe_mult*facil_length</f>
        <v>120</v>
      </c>
      <c r="D21" s="651" t="s">
        <v>136</v>
      </c>
    </row>
    <row r="22" spans="1:5">
      <c r="A22" s="16" t="s">
        <v>99</v>
      </c>
      <c r="B22" s="22" t="s">
        <v>135</v>
      </c>
      <c r="C22" s="16">
        <f>IF(max_back_flow=0,0,back_pipe_mult*facil_length)</f>
        <v>150</v>
      </c>
      <c r="D22" s="651" t="s">
        <v>136</v>
      </c>
    </row>
    <row r="23" spans="1:5">
      <c r="A23" s="16" t="s">
        <v>2866</v>
      </c>
      <c r="B23" s="22" t="s">
        <v>2867</v>
      </c>
      <c r="C23" s="16">
        <f>IF(bp_pct&gt;0,bp_pipe_mult*facil_length,0)</f>
        <v>0</v>
      </c>
      <c r="D23" s="651" t="s">
        <v>136</v>
      </c>
    </row>
    <row r="24" spans="1:5">
      <c r="A24" s="651" t="s">
        <v>925</v>
      </c>
      <c r="B24" s="22" t="s">
        <v>2868</v>
      </c>
      <c r="C24" s="16">
        <f>IF(regen_type=2,0,chem_pipe_mult*facil_length)</f>
        <v>0</v>
      </c>
      <c r="D24" s="651" t="s">
        <v>136</v>
      </c>
    </row>
    <row r="25" spans="1:5">
      <c r="A25" s="16" t="s">
        <v>106</v>
      </c>
      <c r="B25" s="22" t="s">
        <v>107</v>
      </c>
      <c r="C25" s="16">
        <f>IF(NaOH_tot=0,0,chem_pipe_mult*facil_length)</f>
        <v>0</v>
      </c>
      <c r="D25" s="651" t="s">
        <v>136</v>
      </c>
      <c r="E25" s="15" t="s">
        <v>689</v>
      </c>
    </row>
    <row r="26" spans="1:5">
      <c r="A26" s="651" t="s">
        <v>3342</v>
      </c>
      <c r="B26" s="22" t="s">
        <v>3343</v>
      </c>
      <c r="C26">
        <f>IF(coag_day_gal=0,0,chem_pipe_mult*facil_length)</f>
        <v>0</v>
      </c>
      <c r="D26" s="526" t="s">
        <v>136</v>
      </c>
      <c r="E26" s="15" t="s">
        <v>3344</v>
      </c>
    </row>
    <row r="27" spans="1:5">
      <c r="A27" s="27" t="s">
        <v>522</v>
      </c>
      <c r="B27" s="22" t="s">
        <v>523</v>
      </c>
      <c r="C27" s="627">
        <f>IF(polymer_day=0,0,chem_pipe_mult*facil_length)</f>
        <v>0</v>
      </c>
      <c r="D27" s="526" t="s">
        <v>136</v>
      </c>
      <c r="E27" s="15" t="s">
        <v>528</v>
      </c>
    </row>
    <row r="28" spans="1:5">
      <c r="A28" s="16" t="s">
        <v>3446</v>
      </c>
      <c r="B28" s="22" t="s">
        <v>971</v>
      </c>
      <c r="C28" s="18">
        <f>design_flow_rate+bp_flow_rate</f>
        <v>1494.4444444444443</v>
      </c>
      <c r="D28" s="651" t="s">
        <v>142</v>
      </c>
    </row>
    <row r="29" spans="1:5">
      <c r="A29" s="16" t="s">
        <v>3468</v>
      </c>
      <c r="B29" s="22" t="s">
        <v>2850</v>
      </c>
      <c r="C29" s="16">
        <f>VLOOKUP(in_out_pipe_flow,pipe_size_table_cl,2)</f>
        <v>10</v>
      </c>
      <c r="D29" s="651" t="s">
        <v>972</v>
      </c>
    </row>
    <row r="30" spans="1:5">
      <c r="A30" s="16" t="s">
        <v>973</v>
      </c>
      <c r="B30" s="22" t="s">
        <v>974</v>
      </c>
      <c r="C30" s="16">
        <f>VLOOKUP(flow_per_vessel,pipe_size_table_cl,2)</f>
        <v>10</v>
      </c>
      <c r="D30" s="651" t="s">
        <v>972</v>
      </c>
    </row>
    <row r="31" spans="1:5">
      <c r="A31" s="16" t="s">
        <v>1863</v>
      </c>
      <c r="B31" s="22" t="s">
        <v>263</v>
      </c>
      <c r="C31" s="16">
        <f>IF(max_back_flow=0,0,VLOOKUP(max_back_flow,pipe_size_table_cl,2))</f>
        <v>6</v>
      </c>
      <c r="D31" s="651" t="s">
        <v>972</v>
      </c>
    </row>
    <row r="32" spans="1:5">
      <c r="A32" s="16" t="s">
        <v>260</v>
      </c>
      <c r="B32" s="22" t="s">
        <v>1198</v>
      </c>
      <c r="C32" s="16">
        <f>IF(regen_type=2,0,VLOOKUP(regen_flow,pipe_size_table_cl,2))</f>
        <v>0</v>
      </c>
      <c r="D32" s="651" t="s">
        <v>972</v>
      </c>
    </row>
    <row r="33" spans="1:4">
      <c r="A33" s="16" t="s">
        <v>2515</v>
      </c>
      <c r="B33" s="22" t="s">
        <v>1199</v>
      </c>
      <c r="C33" s="16">
        <f>IF(bp_pct&gt;0,VLOOKUP(bp_flow_rate,pipe_size_table_cl,2),0)</f>
        <v>0</v>
      </c>
      <c r="D33" s="651" t="s">
        <v>972</v>
      </c>
    </row>
    <row r="34" spans="1:4">
      <c r="A34" s="16" t="s">
        <v>2373</v>
      </c>
      <c r="B34" s="22" t="s">
        <v>108</v>
      </c>
      <c r="C34" s="18">
        <f>des_NaOH_flow*60</f>
        <v>0</v>
      </c>
      <c r="D34" s="651" t="s">
        <v>142</v>
      </c>
    </row>
    <row r="35" spans="1:4">
      <c r="A35" s="16" t="s">
        <v>2374</v>
      </c>
      <c r="B35" s="22" t="s">
        <v>109</v>
      </c>
      <c r="C35" s="16">
        <f>IF(des_NaOH_flow&gt;0,VLOOKUP(caustic_pipe_flow,pipe_size_table_cl,2),0)</f>
        <v>0</v>
      </c>
      <c r="D35" s="651" t="s">
        <v>972</v>
      </c>
    </row>
    <row r="36" spans="1:4">
      <c r="A36" s="526" t="s">
        <v>3345</v>
      </c>
      <c r="B36" s="22" t="s">
        <v>3346</v>
      </c>
      <c r="C36">
        <f>coag_rate/60</f>
        <v>0</v>
      </c>
      <c r="D36" s="526" t="s">
        <v>142</v>
      </c>
    </row>
    <row r="37" spans="1:4">
      <c r="A37" s="526" t="s">
        <v>3347</v>
      </c>
      <c r="B37" s="3" t="s">
        <v>3348</v>
      </c>
      <c r="C37">
        <f>IF(coag_day_gal=0,0,VLOOKUP(coag_pipe_flow,pipe_size_table_cl,2))</f>
        <v>0</v>
      </c>
      <c r="D37" s="526" t="s">
        <v>972</v>
      </c>
    </row>
    <row r="38" spans="1:4">
      <c r="A38" s="5" t="s">
        <v>524</v>
      </c>
      <c r="B38" s="22" t="s">
        <v>525</v>
      </c>
      <c r="C38" s="98">
        <f>polymer_rate/60</f>
        <v>0</v>
      </c>
      <c r="D38" s="526" t="s">
        <v>142</v>
      </c>
    </row>
    <row r="39" spans="1:4">
      <c r="A39" s="5" t="s">
        <v>526</v>
      </c>
      <c r="B39" s="3" t="s">
        <v>527</v>
      </c>
      <c r="C39" s="73">
        <f>IF(polymer_day=0,0,VLOOKUP(polymer_pipe_flow,pipe_size_table_cl,2))</f>
        <v>0</v>
      </c>
      <c r="D39" s="526" t="s">
        <v>972</v>
      </c>
    </row>
    <row r="40" spans="1:4">
      <c r="B40" s="23"/>
    </row>
    <row r="41" spans="1:4">
      <c r="A41" s="96" t="s">
        <v>1532</v>
      </c>
    </row>
    <row r="42" spans="1:4">
      <c r="A42" t="s">
        <v>2491</v>
      </c>
      <c r="B42" s="22" t="s">
        <v>2492</v>
      </c>
      <c r="C42" s="16">
        <f>ROUNDUP(2*(MAX((2*back_tank_vol/7.48/PI())^(1/3),(4*back_tank_vol/7.48/PI()/(Building_height-ceiling_clearance))^(1/2))),0)/2</f>
        <v>10</v>
      </c>
      <c r="D42" s="651" t="s">
        <v>61</v>
      </c>
    </row>
    <row r="43" spans="1:4">
      <c r="A43" t="s">
        <v>2496</v>
      </c>
      <c r="B43" s="22" t="s">
        <v>2497</v>
      </c>
      <c r="C43" s="16">
        <f>ROUNDUP(2*(MAX((2*mix_tank_vol/7.48/PI())^(1/3),(4*mix_tank_vol/7.48/PI()/(Building_height-ceiling_clearance))^(1/2))),0)/2</f>
        <v>0</v>
      </c>
      <c r="D43" s="651" t="s">
        <v>61</v>
      </c>
    </row>
    <row r="44" spans="1:4">
      <c r="A44" t="s">
        <v>2493</v>
      </c>
      <c r="B44" s="22" t="s">
        <v>2494</v>
      </c>
      <c r="C44" s="16">
        <f>ROUNDUP(VLOOKUP(salt_box_size,saltbox_dim_table_cl,3),0)</f>
        <v>8</v>
      </c>
      <c r="D44" s="651" t="s">
        <v>61</v>
      </c>
    </row>
    <row r="45" spans="1:4">
      <c r="A45" s="5" t="s">
        <v>2551</v>
      </c>
      <c r="B45" s="22" t="s">
        <v>2552</v>
      </c>
      <c r="C45" s="16">
        <f>ROUNDUP(2*(MAX((2*NaOH_tank_vol/7.48/PI())^(1/3),(4*NaOH_tank_vol/7.48/PI()/(Building_height-ceiling_clearance))^(1/2))),0)/2</f>
        <v>0</v>
      </c>
      <c r="D45" s="651" t="s">
        <v>61</v>
      </c>
    </row>
    <row r="46" spans="1:4">
      <c r="A46" s="5" t="s">
        <v>2553</v>
      </c>
      <c r="B46" s="22" t="s">
        <v>1936</v>
      </c>
      <c r="C46" s="16">
        <f>ROUNDUP(2*(MAX((2*NaOH_day_tank_vol/7.48/PI())^(1/3),(4*NaOH_day_tank_vol/7.48/PI()/(Building_height-ceiling_clearance))^(1/2))),0)/2</f>
        <v>0</v>
      </c>
      <c r="D46" s="651" t="s">
        <v>61</v>
      </c>
    </row>
    <row r="47" spans="1:4">
      <c r="A47" s="651" t="s">
        <v>3349</v>
      </c>
      <c r="B47" s="22" t="s">
        <v>3350</v>
      </c>
      <c r="C47">
        <f>ROUNDUP(2*(MAX((2*coag_tank_vol/7.48/PI())^(1/3),(4*coag_tank_vol/7.48/PI()/(Building_height-ceiling_clearance))^(1/2))),0)/2</f>
        <v>0</v>
      </c>
      <c r="D47" s="526" t="s">
        <v>61</v>
      </c>
    </row>
    <row r="48" spans="1:4">
      <c r="A48" s="27" t="s">
        <v>529</v>
      </c>
      <c r="B48" s="22" t="s">
        <v>530</v>
      </c>
      <c r="C48" s="73">
        <f>ROUNDUP(2*(MAX((2*polymer_tank_vol/7.48/PI())^(1/3),(4*polymer_tank_vol/7.48/PI()/(Building_height-ceiling_clearance))^(1/2))),0)/2</f>
        <v>0</v>
      </c>
      <c r="D48" s="651" t="s">
        <v>61</v>
      </c>
    </row>
    <row r="49" spans="1:5">
      <c r="A49" s="5" t="s">
        <v>2550</v>
      </c>
      <c r="B49" s="22" t="s">
        <v>2495</v>
      </c>
      <c r="C49" s="16">
        <f>ROUNDUP(2*(MAX((2*htank_vol/7.48/PI())^(1/3),(4*htank_vol/7.48/PI()/(Building_height-ceiling_clearance))^(1/2))),0)/2</f>
        <v>13.5</v>
      </c>
      <c r="D49" s="651" t="s">
        <v>61</v>
      </c>
    </row>
    <row r="50" spans="1:5" customFormat="1">
      <c r="A50" t="s">
        <v>2222</v>
      </c>
      <c r="B50" s="3" t="s">
        <v>2223</v>
      </c>
      <c r="C50">
        <f>IF(ss_cat2=1,max_space_vessels_pre,max_space_vessels_cust)</f>
        <v>6</v>
      </c>
      <c r="D50" s="526" t="s">
        <v>61</v>
      </c>
      <c r="E50" s="6"/>
    </row>
    <row r="51" spans="1:5">
      <c r="A51" t="s">
        <v>146</v>
      </c>
      <c r="B51" s="3" t="s">
        <v>147</v>
      </c>
      <c r="C51">
        <f>IF(tank_geom=2,max_space_vessels,IF(comm_diam&gt;max_space_vessels,max_space_vessels,comm_diam))</f>
        <v>6</v>
      </c>
      <c r="D51" s="526" t="s">
        <v>61</v>
      </c>
    </row>
    <row r="52" spans="1:5">
      <c r="A52" t="s">
        <v>2175</v>
      </c>
      <c r="B52" s="3" t="s">
        <v>2176</v>
      </c>
      <c r="C52" s="16">
        <f>IF(bt_diam&gt;max_space_vessels,max_space_vessels,bt_diam)</f>
        <v>6</v>
      </c>
      <c r="D52" s="526" t="s">
        <v>61</v>
      </c>
    </row>
    <row r="53" spans="1:5">
      <c r="A53" t="s">
        <v>261</v>
      </c>
      <c r="B53" s="3" t="s">
        <v>2177</v>
      </c>
      <c r="C53" s="16">
        <f>IF(mx_diam&gt;max_space_vessels,max_space_vessels,mx_diam)</f>
        <v>0</v>
      </c>
      <c r="D53" s="526" t="s">
        <v>61</v>
      </c>
    </row>
    <row r="54" spans="1:5">
      <c r="A54" t="s">
        <v>2178</v>
      </c>
      <c r="B54" s="3" t="s">
        <v>2179</v>
      </c>
      <c r="C54" s="16">
        <f>IF(ss_diam&gt;max_space_vessels,max_space_vessels,ss_diam)</f>
        <v>6</v>
      </c>
      <c r="D54" s="526" t="s">
        <v>61</v>
      </c>
    </row>
    <row r="55" spans="1:5">
      <c r="A55" s="5" t="s">
        <v>1937</v>
      </c>
      <c r="B55" s="3" t="s">
        <v>1938</v>
      </c>
      <c r="C55" s="16">
        <f>IF(NaOHtank_diam&gt;max_space_vessels,max_space_vessels,NaOHtank_diam)</f>
        <v>0</v>
      </c>
      <c r="D55" s="526" t="s">
        <v>61</v>
      </c>
    </row>
    <row r="56" spans="1:5">
      <c r="A56" s="5" t="s">
        <v>1939</v>
      </c>
      <c r="B56" s="3" t="s">
        <v>1940</v>
      </c>
      <c r="C56" s="16">
        <f>IF(NaOHdaytank_diam&gt;max_space_vessels,max_space_vessels,NaOHdaytank_diam)</f>
        <v>0</v>
      </c>
      <c r="D56" s="526" t="s">
        <v>61</v>
      </c>
    </row>
    <row r="57" spans="1:5">
      <c r="A57" s="526" t="s">
        <v>3352</v>
      </c>
      <c r="B57" s="3" t="s">
        <v>3353</v>
      </c>
      <c r="C57">
        <f>IF(coag_st_diam&gt;max_space_vessels,max_space_vessels,coag_st_diam)</f>
        <v>0</v>
      </c>
      <c r="D57" s="526" t="s">
        <v>61</v>
      </c>
    </row>
    <row r="58" spans="1:5">
      <c r="A58" s="526" t="s">
        <v>3351</v>
      </c>
      <c r="B58" s="3" t="s">
        <v>531</v>
      </c>
      <c r="C58" s="73">
        <f>IF(polymer_st_diam&gt;max_space_vessels,max_space_vessels,polymer_st_diam)</f>
        <v>0</v>
      </c>
      <c r="D58" s="526" t="s">
        <v>61</v>
      </c>
    </row>
    <row r="59" spans="1:5">
      <c r="A59" t="s">
        <v>2210</v>
      </c>
      <c r="B59" s="3" t="s">
        <v>2211</v>
      </c>
      <c r="C59" s="16">
        <f>IF(ht_diam&gt;max_space_vessels,max_space_vessels,ht_diam)</f>
        <v>6</v>
      </c>
      <c r="D59" s="526" t="s">
        <v>61</v>
      </c>
    </row>
    <row r="60" spans="1:5" customFormat="1">
      <c r="A60" t="s">
        <v>1907</v>
      </c>
      <c r="B60" s="3" t="s">
        <v>1908</v>
      </c>
      <c r="C60">
        <f>IF(ss_cat2=1,space_pumps_pre,space_pumps_cust)</f>
        <v>4</v>
      </c>
      <c r="D60" s="526" t="s">
        <v>61</v>
      </c>
      <c r="E60" s="6"/>
    </row>
    <row r="61" spans="1:5">
      <c r="A61" t="s">
        <v>2791</v>
      </c>
      <c r="B61" s="3"/>
      <c r="C61" s="16">
        <f>IF(tank_geom=1,ROUNDUP(((comm_diam+2*space_vessels)^2+(final_num_tanks-1)*(comm_diam+2*space_vessels)*(comm_diam+space_vessels)),0),IF(tank_geom=2,ROUNDUP((comm_diam+2*space_vessels)*(comm_height_length+2*space_vessels)+(final_num_tanks-1)*(comm_height_length+2*space_vessels)*(comm_diam+space_vessels),0)))</f>
        <v>1575</v>
      </c>
      <c r="D61" s="651" t="s">
        <v>1067</v>
      </c>
    </row>
    <row r="62" spans="1:5">
      <c r="A62" t="s">
        <v>2792</v>
      </c>
      <c r="B62" s="3"/>
      <c r="C62" s="16">
        <f>IF(tank_geom=1,ROUNDUP(((comm_diam+2*space_vessels)^2+(final_num_tanks-1)*(comm_diam+2*space_vessels)*(comm_diam+space_vessels/2)),0),IF(tank_geom=2,ROUNDUP((comm_diam+2*space_vessels)*(comm_height_length+2*space_vessels)+(final_num_tanks-1)*(comm_height_length+2*space_vessels)*(comm_diam+space_vessels/2),0)))</f>
        <v>1425</v>
      </c>
      <c r="D62" s="651" t="s">
        <v>1067</v>
      </c>
      <c r="E62" s="6" t="s">
        <v>2488</v>
      </c>
    </row>
    <row r="63" spans="1:5">
      <c r="A63" s="16" t="s">
        <v>1533</v>
      </c>
      <c r="B63" s="22" t="s">
        <v>1534</v>
      </c>
      <c r="C63" s="18">
        <f>IF(ss_cat2=1,C62,C61)</f>
        <v>1575</v>
      </c>
      <c r="D63" s="651" t="s">
        <v>1067</v>
      </c>
    </row>
    <row r="64" spans="1:5">
      <c r="A64" s="16" t="s">
        <v>1535</v>
      </c>
      <c r="B64" s="22" t="s">
        <v>1536</v>
      </c>
      <c r="C64" s="18">
        <f>IF(back_tanks=0,0,ROUNDUP((bt_diam+2*space_bt)^2+(back_tanks-1)*(bt_diam+2*space_bt)*(bt_diam+space_bt),0))</f>
        <v>484</v>
      </c>
      <c r="D64" s="651" t="s">
        <v>1067</v>
      </c>
    </row>
    <row r="65" spans="1:5">
      <c r="A65" s="5" t="s">
        <v>1175</v>
      </c>
      <c r="B65" s="23"/>
      <c r="C65" s="18">
        <f>IF(total_booster_pumps=0,0,ROUNDUP((VLOOKUP(pump_rating,pump_dim_table_cl,3)+space_pumps)*(VLOOKUP(pump_rating,pump_dim_table_cl,4)+2*space_pumps)+(total_booster_pumps-1)*(VLOOKUP(pump_rating,pump_dim_table_cl,3)+space_pumps)*(VLOOKUP(pump_rating,pump_dim_table_cl,4)+space_pumps),0))</f>
        <v>117</v>
      </c>
      <c r="D65" s="651" t="s">
        <v>1067</v>
      </c>
    </row>
    <row r="66" spans="1:5">
      <c r="A66" s="5" t="s">
        <v>1176</v>
      </c>
      <c r="B66" s="3"/>
      <c r="C66" s="49">
        <f>IF(backwash_pumps=0,0,ROUNDUP((VLOOKUP(back_pump_rating,pump_dim_table_cl,3)+space_pumps)*(VLOOKUP(back_pump_rating,pump_dim_table_cl,4)+2*space_pumps)+(backwash_pumps-1)*(VLOOKUP(back_pump_rating,pump_dim_table_cl,3)+space_pumps)*(VLOOKUP(back_pump_rating,pump_dim_table_cl,4)+space_pumps),0))</f>
        <v>152</v>
      </c>
      <c r="D66" s="651" t="s">
        <v>1067</v>
      </c>
    </row>
    <row r="67" spans="1:5">
      <c r="A67" s="5" t="s">
        <v>2212</v>
      </c>
      <c r="B67" s="3"/>
      <c r="C67" s="49">
        <f>IF(res_pumps=0,0,ROUNDUP((VLOOKUP(res_pump_rating,pump_dim_table_cl,3)+space_pumps)*(VLOOKUP(res_pump_rating,pump_dim_table_cl,4)+2*space_pumps)+(res_pumps-1)*(VLOOKUP(res_pump_rating,pump_dim_table_cl,3)+space_pumps)*(VLOOKUP(res_pump_rating,pump_dim_table_cl,4)+space_pumps),0))</f>
        <v>111</v>
      </c>
      <c r="D67" s="651" t="s">
        <v>1067</v>
      </c>
    </row>
    <row r="68" spans="1:5">
      <c r="A68" s="5" t="s">
        <v>2793</v>
      </c>
      <c r="B68" s="3"/>
      <c r="C68" s="49">
        <f>IF(res_transfer_method=1,ROUNDUP(IF(res_transfer_rate&lt;40000,99.152*res_transfer_rate^0.0434,0.8761*res_transfer_rate^0.49),0),0)</f>
        <v>0</v>
      </c>
      <c r="D68" s="651" t="s">
        <v>1067</v>
      </c>
      <c r="E68" s="6" t="s">
        <v>2794</v>
      </c>
    </row>
    <row r="69" spans="1:5">
      <c r="A69" s="16" t="s">
        <v>1177</v>
      </c>
      <c r="B69" s="22" t="s">
        <v>1902</v>
      </c>
      <c r="C69" s="18">
        <f>SUM(C65:C68)</f>
        <v>380</v>
      </c>
      <c r="D69" s="651" t="s">
        <v>1067</v>
      </c>
    </row>
    <row r="70" spans="1:5">
      <c r="A70" s="16" t="s">
        <v>2613</v>
      </c>
      <c r="B70" s="22" t="s">
        <v>2614</v>
      </c>
      <c r="C70" s="18">
        <f>IF(mix_tanks=0,0,ROUNDUP((mx_diam+2*space_st)^2+(mix_tanks-1)*(mx_diam+2*space_st)*(mx_diam+space_st),0))</f>
        <v>0</v>
      </c>
      <c r="D70" s="651" t="s">
        <v>1067</v>
      </c>
    </row>
    <row r="71" spans="1:5">
      <c r="A71" s="16" t="s">
        <v>2615</v>
      </c>
      <c r="B71" s="22" t="s">
        <v>2616</v>
      </c>
      <c r="C71" s="18">
        <f>IF(num_salt_box=0,0,ROUNDUP((VLOOKUP(salt_box_size,saltbox_dim_table_cl,3)+2*space_ss)^2+(num_salt_box-1)*(VLOOKUP(salt_box_size,saltbox_dim_table_cl,3)+2*space_ss)*(VLOOKUP(salt_box_size,saltbox_dim_table_cl,3)+space_ss),0))</f>
        <v>0</v>
      </c>
      <c r="D71" s="651" t="s">
        <v>1067</v>
      </c>
    </row>
    <row r="72" spans="1:5">
      <c r="A72" s="651" t="s">
        <v>3410</v>
      </c>
      <c r="B72" s="22" t="s">
        <v>1142</v>
      </c>
      <c r="C72" s="18">
        <f>IF(regen_type=2,0,IF(brine_method=1,ROUNDUP(salt_store/salt_density/storage_height,0),ROUNDUP((salt_store*add_salt_store/cstore_days)/salt_density/storage_height,0)))</f>
        <v>0</v>
      </c>
      <c r="D72" s="651" t="s">
        <v>1067</v>
      </c>
      <c r="E72" s="15"/>
    </row>
    <row r="73" spans="1:5">
      <c r="A73" s="27" t="s">
        <v>1941</v>
      </c>
      <c r="B73" s="22" t="s">
        <v>1942</v>
      </c>
      <c r="C73" s="18">
        <f>IF(NaOH_tanks=0,0,ROUNDUP((NaOHtank_diam+2*space_NaOHtank)^2+(NaOH_tanks-1)*(NaOHtank_diam+2*space_NaOHtank)*(NaOHtank_diam+space_NaOHtank),0))</f>
        <v>0</v>
      </c>
      <c r="D73" s="651" t="s">
        <v>1067</v>
      </c>
      <c r="E73" s="39"/>
    </row>
    <row r="74" spans="1:5">
      <c r="A74" s="27" t="s">
        <v>1943</v>
      </c>
      <c r="B74" s="22" t="s">
        <v>1944</v>
      </c>
      <c r="C74" s="18">
        <f>IF(NaOH_tanks=0,0,ROUNDUP((NaOHdaytank_diam+2*space_NaOHdaytank)^2+(NaOH_day_tanks-1)*(NaOHdaytank_diam+2*space_NaOHdaytank)*(NaOHdaytank_diam+space_NaOHdaytank),0))</f>
        <v>0</v>
      </c>
      <c r="D74" s="651" t="s">
        <v>1067</v>
      </c>
      <c r="E74" s="39"/>
    </row>
    <row r="75" spans="1:5">
      <c r="A75" s="651" t="s">
        <v>3354</v>
      </c>
      <c r="B75" s="107" t="s">
        <v>3355</v>
      </c>
      <c r="C75" s="49">
        <f>IF(coag_tanks=0,0,ROUNDUP((coag_st_diam+2*space_coag_st)^2+(coag_tanks-1)*(coag_st_diam+2*space_coag_st)*(coag_st_diam+space_coag_st),0))</f>
        <v>0</v>
      </c>
      <c r="D75" s="651" t="s">
        <v>1067</v>
      </c>
      <c r="E75" s="39"/>
    </row>
    <row r="76" spans="1:5">
      <c r="A76" s="27" t="s">
        <v>532</v>
      </c>
      <c r="B76" s="107" t="s">
        <v>533</v>
      </c>
      <c r="C76" s="49">
        <f>IF(polymer_tanks=0,0,ROUNDUP((polymer_st_diam+2*space_polymer_st)^2+(polymer_tanks-1)*(polymer_st_diam+2*space_polymer_st)*(polymer_st_diam+space_polymer_st),0))</f>
        <v>0</v>
      </c>
      <c r="D76" s="651" t="s">
        <v>1067</v>
      </c>
      <c r="E76" s="39"/>
    </row>
    <row r="77" spans="1:5">
      <c r="A77" s="16" t="s">
        <v>2166</v>
      </c>
      <c r="B77" s="107" t="s">
        <v>2167</v>
      </c>
      <c r="C77" s="49">
        <f>IF(OR(res_holding&lt;&gt;"tanks",htanks=0),0,ROUNDUP((ht_diam+2*space_ht)^2+(htanks-1)*(ht_diam+2*space_ht)*(ht_diam+space_ht),0))</f>
        <v>651</v>
      </c>
      <c r="D77" s="651" t="s">
        <v>1067</v>
      </c>
      <c r="E77" s="39"/>
    </row>
    <row r="78" spans="1:5">
      <c r="A78" s="27" t="s">
        <v>472</v>
      </c>
      <c r="B78" s="107" t="s">
        <v>471</v>
      </c>
      <c r="C78" s="49">
        <f>IF(res_holding&lt;&gt;"basins",0,ROUNDUP(hbasins*hbasin_length*hbasin_width*2,0))</f>
        <v>0</v>
      </c>
      <c r="D78" s="651" t="s">
        <v>1067</v>
      </c>
      <c r="E78" s="39"/>
    </row>
    <row r="79" spans="1:5">
      <c r="A79" s="16" t="s">
        <v>882</v>
      </c>
      <c r="B79" s="107" t="s">
        <v>2401</v>
      </c>
      <c r="C79" s="49">
        <f>IF(include_cart=0,0,(filter_len+2*space_other_equip)*(filter_wid+2*space_other_equip)+(num_filters-1)*(filter_len+2*space_other_equip)*(filter_wid+space_other_equip))</f>
        <v>213.75</v>
      </c>
      <c r="D79" s="651" t="s">
        <v>1067</v>
      </c>
      <c r="E79" s="39"/>
    </row>
    <row r="80" spans="1:5">
      <c r="A80" t="s">
        <v>1867</v>
      </c>
      <c r="B80" s="3" t="s">
        <v>608</v>
      </c>
      <c r="C80" s="56">
        <f>VLOOKUP(design_flow,labor_table_cl,3)*IF(ss_cat2=1,space_office_small,space_office)</f>
        <v>160</v>
      </c>
      <c r="D80" s="651" t="s">
        <v>1067</v>
      </c>
      <c r="E80" s="33"/>
    </row>
    <row r="81" spans="1:5">
      <c r="A81" s="16" t="s">
        <v>733</v>
      </c>
      <c r="B81" s="22" t="s">
        <v>731</v>
      </c>
      <c r="C81" s="39">
        <f>SUM(C69:C80,back_tank_fp,vessel_fp)</f>
        <v>3463.75</v>
      </c>
      <c r="D81" s="651" t="s">
        <v>1067</v>
      </c>
      <c r="E81" s="33"/>
    </row>
    <row r="82" spans="1:5">
      <c r="A82" s="16" t="s">
        <v>1811</v>
      </c>
      <c r="B82" s="22" t="s">
        <v>1812</v>
      </c>
      <c r="C82" s="18">
        <f>ROUNDUP(IF(fp_required&lt;add_2nd_building,fp_required,vessel_fp),-1)</f>
        <v>3470</v>
      </c>
      <c r="D82" s="651" t="s">
        <v>1067</v>
      </c>
      <c r="E82" s="6" t="s">
        <v>1164</v>
      </c>
    </row>
    <row r="83" spans="1:5">
      <c r="A83" s="16" t="s">
        <v>1813</v>
      </c>
      <c r="B83" s="22" t="s">
        <v>1814</v>
      </c>
      <c r="C83" s="18">
        <f>ROUNDUP(IF(fp_required&lt;add_2nd_building,0,SUM(back_tank_fp,C69:C80)),-1)</f>
        <v>0</v>
      </c>
      <c r="D83" s="651" t="s">
        <v>1067</v>
      </c>
      <c r="E83" s="6" t="s">
        <v>848</v>
      </c>
    </row>
    <row r="84" spans="1:5">
      <c r="A84" s="16" t="s">
        <v>732</v>
      </c>
      <c r="B84" s="22" t="s">
        <v>1903</v>
      </c>
      <c r="C84" s="39">
        <f>build1_fp+build2_fp</f>
        <v>3470</v>
      </c>
      <c r="D84" s="651" t="s">
        <v>1067</v>
      </c>
      <c r="E84" s="6"/>
    </row>
    <row r="85" spans="1:5">
      <c r="A85" s="16" t="s">
        <v>1904</v>
      </c>
      <c r="B85" s="22" t="s">
        <v>1905</v>
      </c>
      <c r="C85" s="49">
        <f>ROUNDUP((fp_required-office_fp)*IF(ss_cat2=1,pad_thick_small,pad_thick)/27,0)</f>
        <v>62</v>
      </c>
      <c r="D85" s="651" t="s">
        <v>1906</v>
      </c>
      <c r="E85" s="15"/>
    </row>
    <row r="86" spans="1:5">
      <c r="A86" s="16" t="s">
        <v>2848</v>
      </c>
      <c r="B86" s="22" t="s">
        <v>2849</v>
      </c>
      <c r="C86" s="16">
        <f>ROUNDUP(total_fp^0.5,-1)</f>
        <v>60</v>
      </c>
      <c r="D86" s="651" t="s">
        <v>61</v>
      </c>
    </row>
    <row r="87" spans="1:5">
      <c r="A87" s="16" t="s">
        <v>2168</v>
      </c>
      <c r="B87" s="22" t="s">
        <v>2169</v>
      </c>
      <c r="C87" s="18">
        <f>IF(ep_cells=0,0,ROUNDUP((ep_cell_side+2*non_fire_buffer)^2+(ep_cells-1)*(ep_cell_side+2*non_fire_buffer)*(ep_cell_side+non_fire_buffer),0))</f>
        <v>0</v>
      </c>
      <c r="D87" s="651" t="s">
        <v>1067</v>
      </c>
    </row>
    <row r="88" spans="1:5">
      <c r="A88" s="16" t="s">
        <v>1101</v>
      </c>
      <c r="B88" s="22" t="s">
        <v>1102</v>
      </c>
      <c r="C88" s="40">
        <f>ROUNDUP(((build1_fp)^0.5+(2*non_fire_buffer))*((build1_fp)^0.5+(non_fire_buffer+fire_buffer))+IF(build2_fp=0,0,((build2_fp)^0.5+(2*non_fire_buffer))*((build2_fp)^0.5+(non_fire_buffer+fire_buffer)))+ep_fp+solids_pad_area,-2)/43560</f>
        <v>0.19742883379247014</v>
      </c>
      <c r="D88" s="651" t="s">
        <v>1103</v>
      </c>
    </row>
    <row r="90" spans="1:5">
      <c r="A90" s="5" t="s">
        <v>2844</v>
      </c>
      <c r="B90" s="3" t="s">
        <v>2845</v>
      </c>
      <c r="C90" s="7">
        <f>VLOOKUP(design_flow,land_cost_cl,3)</f>
        <v>31219.845835377939</v>
      </c>
      <c r="D90" s="643" t="s">
        <v>2846</v>
      </c>
    </row>
    <row r="91" spans="1:5">
      <c r="C91" s="31"/>
    </row>
    <row r="95" spans="1:5">
      <c r="B95" s="16"/>
      <c r="E95" s="33"/>
    </row>
    <row r="96" spans="1:5">
      <c r="B96" s="16"/>
      <c r="E96" s="33"/>
    </row>
    <row r="97" spans="2:5">
      <c r="B97" s="23"/>
      <c r="C97" s="39"/>
      <c r="E97" s="15"/>
    </row>
    <row r="98" spans="2:5">
      <c r="B98" s="23"/>
      <c r="C98" s="39"/>
      <c r="E98" s="15"/>
    </row>
    <row r="99" spans="2:5">
      <c r="B99" s="23"/>
    </row>
    <row r="100" spans="2:5">
      <c r="B100" s="23"/>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L78"/>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44.5" customWidth="1"/>
    <col min="2" max="2" width="17.5" bestFit="1" customWidth="1"/>
    <col min="4" max="4" width="29" style="526" customWidth="1"/>
  </cols>
  <sheetData>
    <row r="1" spans="1:12" s="526" customFormat="1">
      <c r="A1" s="1" t="s">
        <v>2954</v>
      </c>
    </row>
    <row r="2" spans="1:12" s="526" customFormat="1"/>
    <row r="3" spans="1:12" s="526" customFormat="1">
      <c r="A3" s="206" t="s">
        <v>2950</v>
      </c>
      <c r="B3" s="206" t="s">
        <v>277</v>
      </c>
      <c r="C3" s="207" t="s">
        <v>278</v>
      </c>
      <c r="D3" s="206" t="s">
        <v>279</v>
      </c>
      <c r="E3" s="206" t="s">
        <v>280</v>
      </c>
    </row>
    <row r="4" spans="1:12">
      <c r="A4" s="2" t="s">
        <v>658</v>
      </c>
    </row>
    <row r="5" spans="1:12">
      <c r="A5" s="5" t="s">
        <v>158</v>
      </c>
      <c r="B5" s="3" t="s">
        <v>163</v>
      </c>
      <c r="C5" t="str">
        <f>IF(component_level_I="high cost",2,IF(component_level_I="mid cost",1,""))</f>
        <v/>
      </c>
      <c r="D5" s="526" t="s">
        <v>918</v>
      </c>
    </row>
    <row r="6" spans="1:12" ht="42">
      <c r="A6" t="s">
        <v>2197</v>
      </c>
      <c r="B6" s="3" t="s">
        <v>719</v>
      </c>
      <c r="C6">
        <f>IF(manual_I="manual",1,IF(manual_I="semi-automated",2,IF(manual_I="fully automated",3,IF(component_level="",1,IF(component_level=2,3,CHOOSE(ss_cat2,3,3,3))))))</f>
        <v>1</v>
      </c>
      <c r="D6" s="723" t="s">
        <v>919</v>
      </c>
      <c r="E6" s="6" t="s">
        <v>2955</v>
      </c>
    </row>
    <row r="8" spans="1:12" s="16" customFormat="1">
      <c r="A8" s="2" t="s">
        <v>610</v>
      </c>
      <c r="B8" s="22"/>
      <c r="D8" s="651"/>
      <c r="E8"/>
      <c r="F8"/>
      <c r="G8"/>
      <c r="H8"/>
      <c r="I8"/>
      <c r="J8"/>
      <c r="K8"/>
      <c r="L8"/>
    </row>
    <row r="9" spans="1:12" s="16" customFormat="1">
      <c r="A9" s="5" t="s">
        <v>3454</v>
      </c>
      <c r="B9" s="3" t="s">
        <v>2194</v>
      </c>
      <c r="C9" s="16">
        <f>in_out_pipe_diam</f>
        <v>10</v>
      </c>
      <c r="D9" s="526" t="s">
        <v>972</v>
      </c>
      <c r="F9"/>
      <c r="G9" s="4"/>
      <c r="H9" s="4"/>
    </row>
    <row r="10" spans="1:12" s="16" customFormat="1">
      <c r="A10" s="16" t="s">
        <v>1354</v>
      </c>
      <c r="B10" s="22" t="s">
        <v>269</v>
      </c>
      <c r="C10" s="16">
        <f>proc_pipe_diam</f>
        <v>10</v>
      </c>
      <c r="D10" s="526" t="s">
        <v>972</v>
      </c>
      <c r="F10" s="4"/>
      <c r="G10" s="4"/>
      <c r="H10" s="4"/>
    </row>
    <row r="11" spans="1:12">
      <c r="A11" t="s">
        <v>2195</v>
      </c>
      <c r="B11" s="3" t="s">
        <v>270</v>
      </c>
      <c r="C11" s="16">
        <f>back_pipe_diam</f>
        <v>6</v>
      </c>
      <c r="D11" s="526" t="s">
        <v>972</v>
      </c>
      <c r="E11" s="16"/>
      <c r="F11" s="4"/>
      <c r="G11" s="4"/>
      <c r="H11" s="4"/>
      <c r="I11" s="16"/>
      <c r="J11" s="16"/>
      <c r="K11" s="16"/>
      <c r="L11" s="16"/>
    </row>
    <row r="12" spans="1:12" s="16" customFormat="1">
      <c r="A12" s="16" t="s">
        <v>1607</v>
      </c>
      <c r="B12" s="22" t="s">
        <v>1204</v>
      </c>
      <c r="C12" s="16">
        <f>brine_pipe_diam</f>
        <v>0</v>
      </c>
      <c r="D12" s="526" t="s">
        <v>972</v>
      </c>
      <c r="E12"/>
      <c r="F12" s="4"/>
      <c r="G12" s="4"/>
      <c r="H12" s="4"/>
      <c r="I12"/>
      <c r="J12"/>
      <c r="K12"/>
      <c r="L12"/>
    </row>
    <row r="13" spans="1:12" s="16" customFormat="1">
      <c r="A13" s="16" t="s">
        <v>1608</v>
      </c>
      <c r="B13" s="22" t="s">
        <v>1609</v>
      </c>
      <c r="C13" s="16">
        <f>caustic_pipe_diam</f>
        <v>0</v>
      </c>
      <c r="D13" s="526" t="s">
        <v>972</v>
      </c>
      <c r="F13" s="4"/>
      <c r="G13" s="4"/>
      <c r="H13" s="4"/>
    </row>
    <row r="14" spans="1:12" s="16" customFormat="1">
      <c r="A14" s="16" t="s">
        <v>1350</v>
      </c>
      <c r="B14" s="22" t="s">
        <v>2823</v>
      </c>
      <c r="C14" s="16">
        <f>bp_pipe_diam</f>
        <v>0</v>
      </c>
      <c r="D14" s="526" t="s">
        <v>972</v>
      </c>
      <c r="F14" s="4"/>
      <c r="G14" s="4"/>
      <c r="H14" s="4"/>
    </row>
    <row r="15" spans="1:12" s="16" customFormat="1">
      <c r="A15" s="651" t="s">
        <v>3365</v>
      </c>
      <c r="B15" s="22" t="s">
        <v>3366</v>
      </c>
      <c r="C15">
        <f>coag_pipe_diam</f>
        <v>0</v>
      </c>
      <c r="D15" s="526" t="s">
        <v>972</v>
      </c>
      <c r="F15" s="4"/>
      <c r="G15" s="4"/>
      <c r="H15" s="4"/>
    </row>
    <row r="16" spans="1:12" s="16" customFormat="1">
      <c r="A16" s="16" t="s">
        <v>534</v>
      </c>
      <c r="B16" s="22" t="s">
        <v>535</v>
      </c>
      <c r="C16" s="73">
        <f>polymer_pipe_diam</f>
        <v>0</v>
      </c>
      <c r="D16" s="526" t="s">
        <v>972</v>
      </c>
      <c r="F16" s="4"/>
      <c r="G16" s="4"/>
      <c r="H16" s="4"/>
    </row>
    <row r="17" spans="1:12" s="16" customFormat="1">
      <c r="B17" s="22"/>
      <c r="D17" s="526"/>
      <c r="F17" s="4"/>
      <c r="G17" s="4"/>
      <c r="H17" s="4"/>
    </row>
    <row r="18" spans="1:12">
      <c r="A18" t="s">
        <v>641</v>
      </c>
      <c r="B18" s="3" t="s">
        <v>941</v>
      </c>
      <c r="C18">
        <f>VLOOKUP(IF(Num_tanks=1,"proc_mov_vessel_par","proc_mov_vessel_ser"),valve_table,manual+1,FALSE)</f>
        <v>0</v>
      </c>
      <c r="D18" s="526" t="s">
        <v>942</v>
      </c>
      <c r="E18" s="6" t="s">
        <v>1553</v>
      </c>
      <c r="F18" s="16"/>
      <c r="G18" s="16"/>
      <c r="H18" s="16"/>
      <c r="I18" s="16"/>
      <c r="J18" s="16"/>
      <c r="K18" s="16"/>
      <c r="L18" s="16"/>
    </row>
    <row r="19" spans="1:12">
      <c r="A19" t="s">
        <v>1766</v>
      </c>
      <c r="B19" s="3" t="s">
        <v>1767</v>
      </c>
      <c r="C19">
        <f>final_num_tanks*proc_MOV_vessel+total_booster_pumps*VLOOKUP("proc_MOV_pump",valve_table,manual+1,FALSE)+num_filters*VLOOKUP("proc_MOV_filter",valve_table,manual+1,FALSE)</f>
        <v>0</v>
      </c>
      <c r="D19" s="526" t="s">
        <v>144</v>
      </c>
      <c r="E19" s="16"/>
      <c r="F19" s="16"/>
      <c r="G19" s="16"/>
      <c r="H19" s="16"/>
      <c r="I19" s="16"/>
      <c r="J19" s="16"/>
      <c r="K19" s="16"/>
      <c r="L19" s="16"/>
    </row>
    <row r="20" spans="1:12">
      <c r="A20" t="s">
        <v>1768</v>
      </c>
      <c r="B20" s="3" t="s">
        <v>1769</v>
      </c>
      <c r="C20">
        <f>IF(back_pipe_length=0,0,final_num_tanks*VLOOKUP("back_MOV_vessel",valve_table,manual+1,FALSE)+backwash_pumps*VLOOKUP("back_MOV_pump",valve_table,manual+1,FALSE)+back_tanks*VLOOKUP("back_MOV_tank",valve_table,manual+1,FALSE)+IF(brine_method=1,mix_tanks,num_salt_box)*VLOOKUP("back_MOV_brine",valve_table,manual+1,FALSE)+VLOOKUP("back_MOV_add",valve_table,manual+1,FALSE)+VLOOKUP("back_MOV_eductor",valve_table,manual+1,FALSE)*eductors)</f>
        <v>0</v>
      </c>
      <c r="D20" s="526" t="s">
        <v>144</v>
      </c>
    </row>
    <row r="21" spans="1:12">
      <c r="A21" t="s">
        <v>1610</v>
      </c>
      <c r="B21" s="3" t="s">
        <v>2824</v>
      </c>
      <c r="C21" s="72">
        <f>IF(brine_pipe_length=0,0,IF(brine_method=1,mix_tanks,num_salt_box)*VLOOKUP("brine_MOV_tank",valve_table,manual+1,FALSE)+VLOOKUP("brine_MOV_vessel",valve_table,manual+1,FALSE)*final_num_tanks)</f>
        <v>0</v>
      </c>
      <c r="D21" s="526" t="s">
        <v>144</v>
      </c>
    </row>
    <row r="22" spans="1:12">
      <c r="A22" t="s">
        <v>1612</v>
      </c>
      <c r="B22" s="3" t="s">
        <v>1611</v>
      </c>
      <c r="C22" s="72">
        <f>IF(caustic_pipe_length=0,0,pH_pumps*VLOOKUP("caustic_MOV_pump",valve_table,manual+1,FALSE)+VLOOKUP("chem_MOV_day",valve_table,manual+1,FALSE)*NaOH_day_tanks)</f>
        <v>0</v>
      </c>
      <c r="D22" s="526" t="s">
        <v>144</v>
      </c>
      <c r="E22" s="6" t="s">
        <v>1040</v>
      </c>
      <c r="F22" s="3"/>
    </row>
    <row r="23" spans="1:12">
      <c r="A23" t="s">
        <v>365</v>
      </c>
      <c r="B23" s="3" t="s">
        <v>2252</v>
      </c>
      <c r="C23" s="72">
        <f>IF(bp_pipe_length=0,0,VLOOKUP("tot_bp_movs",valve_table,manual+1,FALSE))</f>
        <v>0</v>
      </c>
      <c r="D23" s="526" t="s">
        <v>144</v>
      </c>
      <c r="E23" s="6"/>
      <c r="F23" s="3"/>
    </row>
    <row r="24" spans="1:12">
      <c r="A24" s="526" t="s">
        <v>3367</v>
      </c>
      <c r="B24" s="3" t="s">
        <v>3368</v>
      </c>
      <c r="C24">
        <f>IF(coag_day_gal=0,0,(cm_pumps_coag)*VLOOKUP("chem_MOV_pump",valve_table,manual+1,FALSE))</f>
        <v>0</v>
      </c>
      <c r="D24" s="526" t="s">
        <v>144</v>
      </c>
      <c r="E24" s="6"/>
      <c r="F24" s="3"/>
    </row>
    <row r="25" spans="1:12">
      <c r="A25" s="5" t="s">
        <v>536</v>
      </c>
      <c r="B25" s="3" t="s">
        <v>537</v>
      </c>
      <c r="C25" s="73">
        <f>IF(polymer_day=0,0,(cm_pumps_polymer)*VLOOKUP("chem_MOV_pump",valve_table,manual+1,FALSE))</f>
        <v>0</v>
      </c>
      <c r="D25" s="526" t="s">
        <v>144</v>
      </c>
      <c r="E25" s="6"/>
      <c r="F25" s="3"/>
    </row>
    <row r="26" spans="1:12">
      <c r="A26" t="s">
        <v>1424</v>
      </c>
      <c r="B26" s="3" t="s">
        <v>1631</v>
      </c>
      <c r="C26" s="72">
        <f>tot_bp_MOVs+tot_caustic_MOVs+tot_brine_MOVs+tot_back_MOVs+tot_proc_MOVs+tot_coag_MOVs+tot_polymer_MOVs</f>
        <v>0</v>
      </c>
      <c r="D26" s="526" t="s">
        <v>144</v>
      </c>
      <c r="E26" s="6"/>
      <c r="F26" s="3"/>
    </row>
    <row r="27" spans="1:12">
      <c r="B27" s="3"/>
      <c r="C27" s="72"/>
      <c r="E27" s="6"/>
      <c r="F27" s="3"/>
    </row>
    <row r="28" spans="1:12">
      <c r="A28" t="s">
        <v>1554</v>
      </c>
      <c r="B28" s="3" t="s">
        <v>1561</v>
      </c>
      <c r="C28" s="72">
        <f>VLOOKUP(IF(Num_tanks=1,"proc_man_vessel_par","proc_man_vessel_ser"),valve_table,manual+1,FALSE)</f>
        <v>2</v>
      </c>
      <c r="D28" s="526" t="s">
        <v>942</v>
      </c>
      <c r="E28" s="6" t="s">
        <v>1553</v>
      </c>
      <c r="F28" s="3"/>
    </row>
    <row r="29" spans="1:12">
      <c r="A29" s="5" t="s">
        <v>683</v>
      </c>
      <c r="B29" s="3" t="s">
        <v>684</v>
      </c>
      <c r="C29" s="5">
        <f>(proc_man_vessel_cont+proc_man_vessel)*final_num_tanks+total_booster_pumps*VLOOKUP("proc_man_pump",valve_table,manual+1,FALSE)+num_filters*VLOOKUP("proc_man_filter",valve_table,manual+1,FALSE)</f>
        <v>14</v>
      </c>
      <c r="D29" s="526" t="s">
        <v>144</v>
      </c>
    </row>
    <row r="30" spans="1:12">
      <c r="A30" t="s">
        <v>1555</v>
      </c>
      <c r="B30" s="3" t="s">
        <v>1558</v>
      </c>
      <c r="C30">
        <f>IF(back_pipe_length=0,0,final_num_tanks*VLOOKUP("back_man_vessel",valve_table,manual+1,FALSE)+backwash_pumps*VLOOKUP("back_man_pump",valve_table,manual+1,FALSE)+back_tanks*VLOOKUP("back_man_tank",valve_table,manual+1,FALSE)+IF(brine_method=1,mix_tanks,num_salt_box)*VLOOKUP("back_man_brine",valve_table,manual+1,FALSE)+VLOOKUP("back_man_add",valve_table,manual+1,FALSE)+VLOOKUP("back_man_eductor",valve_table,manual+1,FALSE)*eductors)</f>
        <v>10</v>
      </c>
      <c r="D30" s="526" t="s">
        <v>144</v>
      </c>
      <c r="E30" s="72"/>
      <c r="F30" s="3"/>
    </row>
    <row r="31" spans="1:12">
      <c r="A31" t="s">
        <v>1556</v>
      </c>
      <c r="B31" s="3" t="s">
        <v>1559</v>
      </c>
      <c r="C31" s="72">
        <f>IF(brine_pipe_length=0,0,IF(brine_method=1,mix_tanks,num_salt_box)*VLOOKUP("brine_man_tank",valve_table,manual+1,FALSE)+VLOOKUP("brine_man_vessel",valve_table,manual+1,FALSE)*final_num_tanks)</f>
        <v>0</v>
      </c>
      <c r="D31" s="526" t="s">
        <v>144</v>
      </c>
      <c r="E31" s="72"/>
      <c r="F31" s="3"/>
    </row>
    <row r="32" spans="1:12">
      <c r="A32" t="s">
        <v>1557</v>
      </c>
      <c r="B32" s="3" t="s">
        <v>1560</v>
      </c>
      <c r="C32" s="72">
        <f>IF(caustic_pipe_length=0,0,pH_pumps*VLOOKUP("caustic_man_pump",valve_table,manual+1,FALSE)+VLOOKUP("chem_man_day",valve_table,manual+1,FALSE)*NaOH_day_tanks)</f>
        <v>0</v>
      </c>
      <c r="D32" s="526" t="s">
        <v>144</v>
      </c>
      <c r="E32" s="6" t="s">
        <v>1040</v>
      </c>
      <c r="F32" s="3"/>
    </row>
    <row r="33" spans="1:6">
      <c r="A33" t="s">
        <v>366</v>
      </c>
      <c r="B33" s="3" t="s">
        <v>2141</v>
      </c>
      <c r="C33" s="72">
        <f>IF(bp_pipe_length=0,0,VLOOKUP("tot_bp_man",valve_table,manual+1,FALSE))</f>
        <v>0</v>
      </c>
      <c r="D33" s="526" t="s">
        <v>144</v>
      </c>
      <c r="E33" s="6"/>
      <c r="F33" s="3"/>
    </row>
    <row r="34" spans="1:6">
      <c r="A34" s="526" t="s">
        <v>3369</v>
      </c>
      <c r="B34" s="3" t="s">
        <v>3370</v>
      </c>
      <c r="C34">
        <f>IF(coag_day_gal=0,0,(cm_pumps_coag)*VLOOKUP("chem_man_pump",valve_table,manual+1,FALSE))</f>
        <v>0</v>
      </c>
      <c r="D34" s="526" t="s">
        <v>144</v>
      </c>
      <c r="E34" s="6"/>
      <c r="F34" s="3"/>
    </row>
    <row r="35" spans="1:6">
      <c r="A35" s="5" t="s">
        <v>538</v>
      </c>
      <c r="B35" s="3" t="s">
        <v>539</v>
      </c>
      <c r="C35" s="73">
        <f>IF(polymer_day=0,0,(cm_pumps_polymer)*VLOOKUP("chem_man_pump",valve_table,manual+1,FALSE))</f>
        <v>0</v>
      </c>
      <c r="D35" s="526" t="s">
        <v>144</v>
      </c>
      <c r="E35" s="6"/>
      <c r="F35" s="3"/>
    </row>
    <row r="36" spans="1:6">
      <c r="B36" s="3"/>
      <c r="C36" s="72"/>
      <c r="E36" s="6"/>
      <c r="F36" s="3"/>
    </row>
    <row r="37" spans="1:6">
      <c r="A37" s="526" t="s">
        <v>3373</v>
      </c>
      <c r="B37" s="3" t="s">
        <v>1770</v>
      </c>
      <c r="C37">
        <f>back_chv_pump*backwash_pumps</f>
        <v>2</v>
      </c>
      <c r="D37" s="526" t="s">
        <v>144</v>
      </c>
      <c r="F37" s="3"/>
    </row>
    <row r="38" spans="1:6">
      <c r="A38" s="526" t="s">
        <v>3374</v>
      </c>
      <c r="B38" s="3" t="s">
        <v>1613</v>
      </c>
      <c r="C38">
        <f>caustic_chv_pump*pH_pumps</f>
        <v>0</v>
      </c>
      <c r="D38" s="526" t="s">
        <v>144</v>
      </c>
      <c r="E38" s="6" t="s">
        <v>1040</v>
      </c>
    </row>
    <row r="39" spans="1:6">
      <c r="A39" s="526" t="s">
        <v>3371</v>
      </c>
      <c r="B39" s="3" t="s">
        <v>3372</v>
      </c>
      <c r="C39">
        <f>coag_chv_pump*cm_pumps_coag</f>
        <v>0</v>
      </c>
      <c r="D39" s="526" t="s">
        <v>144</v>
      </c>
      <c r="E39" s="6"/>
    </row>
    <row r="40" spans="1:6">
      <c r="A40" s="526" t="s">
        <v>3375</v>
      </c>
      <c r="B40" s="3" t="s">
        <v>1366</v>
      </c>
      <c r="C40">
        <f>polymer_chv_pump*cm_pumps_polymer</f>
        <v>0</v>
      </c>
      <c r="D40" s="526" t="s">
        <v>144</v>
      </c>
      <c r="E40" s="6"/>
    </row>
    <row r="41" spans="1:6">
      <c r="B41" s="3"/>
    </row>
    <row r="42" spans="1:6">
      <c r="A42" t="s">
        <v>1771</v>
      </c>
      <c r="B42" s="3" t="s">
        <v>1772</v>
      </c>
      <c r="C42" s="16">
        <f>in_out_pipe_diam</f>
        <v>10</v>
      </c>
      <c r="D42" s="526" t="s">
        <v>972</v>
      </c>
      <c r="F42" s="72"/>
    </row>
    <row r="43" spans="1:6">
      <c r="A43" t="s">
        <v>1773</v>
      </c>
      <c r="B43" s="3" t="s">
        <v>1774</v>
      </c>
      <c r="C43">
        <f>proc_pipe_diam</f>
        <v>10</v>
      </c>
      <c r="D43" s="526" t="s">
        <v>972</v>
      </c>
      <c r="F43" s="72"/>
    </row>
    <row r="44" spans="1:6">
      <c r="A44" t="s">
        <v>1510</v>
      </c>
      <c r="B44" s="3" t="s">
        <v>1342</v>
      </c>
      <c r="C44" s="16">
        <f>back_pipe_diam</f>
        <v>6</v>
      </c>
      <c r="D44" s="526" t="s">
        <v>972</v>
      </c>
    </row>
    <row r="45" spans="1:6">
      <c r="A45" t="s">
        <v>90</v>
      </c>
      <c r="B45" s="3" t="s">
        <v>91</v>
      </c>
      <c r="C45" s="16">
        <f>fm_proc*final_num_tanks</f>
        <v>0</v>
      </c>
      <c r="D45" s="526" t="s">
        <v>64</v>
      </c>
    </row>
    <row r="46" spans="1:6">
      <c r="A46" t="s">
        <v>1436</v>
      </c>
      <c r="B46" s="3" t="s">
        <v>1180</v>
      </c>
      <c r="C46">
        <f>IF(max_back_flow=0,0,fm_back)</f>
        <v>1</v>
      </c>
      <c r="D46" s="526" t="s">
        <v>64</v>
      </c>
    </row>
    <row r="47" spans="1:6">
      <c r="B47" s="3"/>
    </row>
    <row r="48" spans="1:6">
      <c r="A48" t="s">
        <v>1181</v>
      </c>
      <c r="B48" s="3" t="s">
        <v>1182</v>
      </c>
      <c r="C48" s="16">
        <f>final_num_tanks*IF(ss_cat2=1,level_switch_small,level_switch)</f>
        <v>0</v>
      </c>
      <c r="D48" s="526" t="s">
        <v>64</v>
      </c>
    </row>
    <row r="49" spans="1:6">
      <c r="A49" t="s">
        <v>217</v>
      </c>
      <c r="B49" s="3" t="s">
        <v>1361</v>
      </c>
      <c r="C49" s="16">
        <f>back_tanks*alarm_back</f>
        <v>1</v>
      </c>
      <c r="D49" s="526" t="s">
        <v>64</v>
      </c>
    </row>
    <row r="50" spans="1:6">
      <c r="A50" t="s">
        <v>216</v>
      </c>
      <c r="B50" s="3" t="s">
        <v>2825</v>
      </c>
      <c r="C50">
        <f>alarm_brine*mix_tanks</f>
        <v>0</v>
      </c>
      <c r="D50" s="526" t="s">
        <v>64</v>
      </c>
    </row>
    <row r="51" spans="1:6">
      <c r="A51" t="s">
        <v>1668</v>
      </c>
      <c r="B51" s="3" t="s">
        <v>218</v>
      </c>
      <c r="C51">
        <f>alarm_caustic*(NaOH_tanks+NaOH_day_tanks)</f>
        <v>0</v>
      </c>
      <c r="D51" s="526" t="s">
        <v>64</v>
      </c>
    </row>
    <row r="52" spans="1:6">
      <c r="A52" t="s">
        <v>2292</v>
      </c>
      <c r="B52" s="3" t="s">
        <v>2293</v>
      </c>
      <c r="C52">
        <f>IF(pH_adj="yes",pH_corr,pH_nocorr)</f>
        <v>0</v>
      </c>
      <c r="D52" s="526" t="s">
        <v>64</v>
      </c>
    </row>
    <row r="53" spans="1:6">
      <c r="A53" t="s">
        <v>1448</v>
      </c>
      <c r="B53" s="3" t="s">
        <v>996</v>
      </c>
      <c r="C53" s="16">
        <f>IF(ss_cat2=1,turb_tank_small*final_num_tanks+add_turb_small,turb_tank*final_num_tanks+add_turb)</f>
        <v>1</v>
      </c>
      <c r="D53" s="526" t="s">
        <v>64</v>
      </c>
    </row>
    <row r="54" spans="1:6">
      <c r="A54" t="s">
        <v>998</v>
      </c>
      <c r="B54" s="3" t="s">
        <v>997</v>
      </c>
      <c r="C54" s="16">
        <f>cond_tank*final_num_tanks+add_cond</f>
        <v>0</v>
      </c>
      <c r="D54" s="526" t="s">
        <v>64</v>
      </c>
    </row>
    <row r="55" spans="1:6">
      <c r="A55" t="s">
        <v>0</v>
      </c>
      <c r="B55" s="3" t="s">
        <v>1</v>
      </c>
      <c r="C55" s="16">
        <f>IF(ss_cat2=1,head_tank_small,head_tank)*final_num_tanks+headloss_cart*num_filters</f>
        <v>6</v>
      </c>
      <c r="D55" s="526" t="s">
        <v>64</v>
      </c>
    </row>
    <row r="56" spans="1:6">
      <c r="A56" t="s">
        <v>1512</v>
      </c>
      <c r="B56" s="3" t="s">
        <v>1345</v>
      </c>
      <c r="C56" s="16">
        <f>ports_tank*final_num_tanks+add_ports+IF(bp_pct&gt;0,ports_bp,0)</f>
        <v>6</v>
      </c>
      <c r="D56" s="526" t="s">
        <v>64</v>
      </c>
    </row>
    <row r="57" spans="1:6">
      <c r="A57" t="s">
        <v>1634</v>
      </c>
      <c r="B57" s="3" t="s">
        <v>2</v>
      </c>
      <c r="C57" s="73">
        <f>IF(manual=2,0,S_booster_pump*total_booster_pumps+S_back_pump*backwash_pumps+S_res_pump*(res_pumps+cm_pumps_coag+cm_pumps_polymer)+S_eductor*eductors+S_mixer*(mixers+hmixers)+S_cm_pump*pH_pumps+S_mixer*(dmixers+cmixers+hmixers+coag_cmixers+polymer_cmixers))</f>
        <v>5</v>
      </c>
      <c r="D57" s="526" t="s">
        <v>64</v>
      </c>
    </row>
    <row r="58" spans="1:6">
      <c r="B58" s="3"/>
      <c r="C58" s="73"/>
      <c r="E58" s="73"/>
    </row>
    <row r="59" spans="1:6">
      <c r="A59" s="2" t="s">
        <v>134</v>
      </c>
      <c r="C59" s="5"/>
      <c r="E59" s="6"/>
      <c r="F59" s="73"/>
    </row>
    <row r="60" spans="1:6">
      <c r="A60" t="s">
        <v>3465</v>
      </c>
      <c r="B60" s="3" t="s">
        <v>2467</v>
      </c>
      <c r="C60" t="str">
        <f>IF(OUTPUT!L247=1,"flow_op",IF(OUTPUT!L248=1,"flow_prop",IF(OUTPUT!L249=1,"flow_ven","flow_mag")))</f>
        <v>flow_prop</v>
      </c>
      <c r="E60" s="6" t="s">
        <v>911</v>
      </c>
    </row>
    <row r="61" spans="1:6">
      <c r="A61" t="s">
        <v>912</v>
      </c>
      <c r="B61" s="3" t="s">
        <v>913</v>
      </c>
      <c r="C61" t="str">
        <f>IF(OUTPUT!L252=1,"flow_op",IF(OUTPUT!L253=1,"flow_prop",IF(OUTPUT!L254=1,"flow_ven","flow_mag")))</f>
        <v>flow_mag</v>
      </c>
    </row>
    <row r="62" spans="1:6">
      <c r="A62" t="s">
        <v>914</v>
      </c>
      <c r="B62" s="3" t="s">
        <v>915</v>
      </c>
      <c r="C62" t="str">
        <f>IF(OUTPUT!L257=1,"flow_op",IF(OUTPUT!L258=1,"flow_prop",IF(OUTPUT!L259=1,"flow_ven","flow_mag")))</f>
        <v>flow_prop</v>
      </c>
    </row>
    <row r="63" spans="1:6">
      <c r="A63" t="s">
        <v>916</v>
      </c>
      <c r="B63" s="3" t="s">
        <v>917</v>
      </c>
      <c r="C63" t="str">
        <f>IF(OUTPUT!L262=1,"flow_op",IF(OUTPUT!L263=1,"flow_prop",IF(OUTPUT!L264=1,"flow_ven","flow_mag")))</f>
        <v>flow_prop</v>
      </c>
    </row>
    <row r="64" spans="1:6">
      <c r="A64" t="s">
        <v>1737</v>
      </c>
      <c r="B64" s="3" t="s">
        <v>1738</v>
      </c>
      <c r="C64" s="5">
        <f>VLOOKUP(fm_lkp_io,port_table,2,FALSE)*tot_fm_in+VLOOKUP(fm_lkp_proc,port_table,2,FALSE)*tot_fm_proc+VLOOKUP(fm_lkp_back,port_table,2,FALSE)*tot_fm_back+VLOOKUP(fm_lkp_res,port_table,2,FALSE)*tot_fm_res+VLOOKUP("alarm",port_table,2,FALSE)*(tot_level_switch+tot_back_alarm+tot_brine_alarm+tot_caustic_alarm+tot_res_alarm)+VLOOKUP("orp",port_table,2,FALSE)*ORP_sensor+VLOOKUP("ph",port_table,2,FALSE)*pH_controls+VLOOKUP("temp",port_table,2,FALSE)*IF(ss_cat2=1,temp_meters_small,temp_meters)+VLOOKUP("cond",port_table,2,FALSE)*tot_cond_meters+VLOOKUP("turb",port_table,2,FALSE)*tot_turb_meters+VLOOKUP("head",port_table,2,FALSE)*tot_head_sens+VLOOKUP("port",port_table,2,FALSE)*ports+VLOOKUP("switch",port_table,2,FALSE)*tot_switches+VLOOKUP("valve",port_table,2,FALSE)*tot_MOVs</f>
        <v>29</v>
      </c>
      <c r="D64" s="526" t="s">
        <v>64</v>
      </c>
      <c r="E64" s="526"/>
    </row>
    <row r="65" spans="1:12" s="16" customFormat="1">
      <c r="A65" t="s">
        <v>1739</v>
      </c>
      <c r="B65" s="3" t="s">
        <v>1740</v>
      </c>
      <c r="C65" s="5">
        <f>IF(manual=2,0,VLOOKUP(fm_lkp_io,port_table,3,FALSE)*tot_fm_in+VLOOKUP(fm_lkp_proc,port_table,3,FALSE)*tot_fm_proc+VLOOKUP(fm_lkp_back,port_table,3,FALSE)*tot_fm_back+VLOOKUP(fm_lkp_res,port_table,3,FALSE)*tot_fm_res+VLOOKUP("alarm",port_table,3,FALSE)*(tot_level_switch+tot_back_alarm+tot_brine_alarm+tot_caustic_alarm+tot_res_alarm)+VLOOKUP("orp",port_table,3,FALSE)*ORP_sensor+VLOOKUP("ph",port_table,3,FALSE)*pH_controls+VLOOKUP("temp",port_table,3,FALSE)*IF(ss_cat2=1,temp_meters_small,temp_meters)+VLOOKUP("cond",port_table,3,FALSE)*tot_cond_meters+VLOOKUP("turb",port_table,3,FALSE)*tot_turb_meters+VLOOKUP("head",port_table,3,FALSE)*tot_head_sens+VLOOKUP("port",port_table,3,FALSE)*ports+VLOOKUP("switch",port_table,3,FALSE)*tot_switches+VLOOKUP("valve",port_table,3,FALSE)*tot_MOVs)</f>
        <v>7</v>
      </c>
      <c r="D65" s="526" t="s">
        <v>64</v>
      </c>
      <c r="E65" s="6"/>
      <c r="F65"/>
      <c r="G65"/>
      <c r="H65"/>
      <c r="I65"/>
      <c r="J65"/>
      <c r="K65"/>
      <c r="L65"/>
    </row>
    <row r="66" spans="1:12">
      <c r="A66" t="s">
        <v>1741</v>
      </c>
      <c r="B66" s="3" t="s">
        <v>1742</v>
      </c>
      <c r="C66" s="5">
        <f>VLOOKUP(fm_lkp_io,port_table,4,FALSE)*tot_fm_in+VLOOKUP(fm_lkp_proc,port_table,4,FALSE)*tot_fm_proc+VLOOKUP(fm_lkp_back,port_table,4,FALSE)*tot_fm_back+VLOOKUP(fm_lkp_res,port_table,4,FALSE)*tot_fm_res+VLOOKUP("alarm",port_table,4,FALSE)*(tot_level_switch+tot_back_alarm+tot_brine_alarm+tot_caustic_alarm+tot_res_alarm)+VLOOKUP("orp",port_table,4,FALSE)*ORP_sensor+VLOOKUP("ph",port_table,4,FALSE)*pH_controls+VLOOKUP("temp",port_table,4,FALSE)*IF(ss_cat2=1,temp_meters_small,temp_meters)+VLOOKUP("cond",port_table,4,FALSE)*tot_cond_meters+VLOOKUP("turb",port_table,4,FALSE)*tot_turb_meters+VLOOKUP("head",port_table,4,FALSE)*tot_head_sens+VLOOKUP("port",port_table,4,FALSE)*ports+VLOOKUP("switch",port_table,4,FALSE)*tot_switches+VLOOKUP("valve",port_table,4,FALSE)*tot_MOVs</f>
        <v>5</v>
      </c>
      <c r="D66" s="526" t="s">
        <v>64</v>
      </c>
      <c r="E66" s="16"/>
      <c r="F66" s="16"/>
      <c r="G66" s="16"/>
      <c r="H66" s="16"/>
      <c r="I66" s="16"/>
      <c r="J66" s="16"/>
      <c r="K66" s="16"/>
      <c r="L66" s="16"/>
    </row>
    <row r="67" spans="1:12">
      <c r="A67" t="s">
        <v>1743</v>
      </c>
      <c r="B67" s="3" t="s">
        <v>1744</v>
      </c>
      <c r="C67" s="5">
        <f>IF(manual=2,0,VLOOKUP(fm_lkp_io,port_table,5,FALSE)*tot_fm_in+VLOOKUP(fm_lkp_proc,port_table,5,FALSE)*tot_fm_proc+VLOOKUP(fm_lkp_back,port_table,5,FALSE)*tot_fm_back+VLOOKUP(fm_lkp_res,port_table,5,FALSE)*tot_fm_res+VLOOKUP("alarm",port_table,5,FALSE)*(tot_level_switch+tot_back_alarm+tot_brine_alarm+tot_caustic_alarm+tot_res_alarm)+VLOOKUP("orp",port_table,5,FALSE)*ORP_sensor+VLOOKUP("ph",port_table,5,FALSE)*pH_controls+VLOOKUP("temp",port_table,5,FALSE)*IF(ss_cat2=1,temp_meters_small,temp_meters)+VLOOKUP("cond",port_table,5,FALSE)*tot_cond_meters+VLOOKUP("turb",port_table,5,FALSE)*tot_turb_meters+VLOOKUP("head",port_table,5,FALSE)*tot_head_sens+VLOOKUP("port",port_table,5,FALSE)*ports+VLOOKUP("switch",port_table,5,FALSE)*tot_switches+VLOOKUP("valve",port_table,5,FALSE)*tot_MOVs)</f>
        <v>0</v>
      </c>
      <c r="D67" s="526" t="s">
        <v>64</v>
      </c>
    </row>
    <row r="68" spans="1:12">
      <c r="B68" s="3"/>
    </row>
    <row r="69" spans="1:12">
      <c r="A69" s="5" t="s">
        <v>1729</v>
      </c>
      <c r="B69" s="3" t="s">
        <v>1730</v>
      </c>
      <c r="C69">
        <f>ROUNDUP(discrete_outputs/32,0)</f>
        <v>1</v>
      </c>
      <c r="D69" s="526" t="s">
        <v>64</v>
      </c>
    </row>
    <row r="70" spans="1:12">
      <c r="A70" s="5" t="s">
        <v>1731</v>
      </c>
      <c r="B70" s="3" t="s">
        <v>1732</v>
      </c>
      <c r="C70">
        <f>ROUNDUP(discrete_inputs/32,0)</f>
        <v>1</v>
      </c>
      <c r="D70" s="526" t="s">
        <v>64</v>
      </c>
    </row>
    <row r="71" spans="1:12">
      <c r="A71" s="5" t="s">
        <v>1733</v>
      </c>
      <c r="B71" s="3" t="s">
        <v>1734</v>
      </c>
      <c r="C71">
        <f>ROUNDUP((analog_inputs + analog_outputs)/12,0)</f>
        <v>1</v>
      </c>
      <c r="D71" s="526" t="s">
        <v>64</v>
      </c>
    </row>
    <row r="72" spans="1:12">
      <c r="A72" s="5" t="s">
        <v>1735</v>
      </c>
      <c r="B72" s="3" t="s">
        <v>1736</v>
      </c>
      <c r="C72">
        <f>plc_cpu + plc_ethernet + plc_discrete_input + plc_discrete_output +  plc_combination_analog</f>
        <v>7</v>
      </c>
      <c r="D72" s="526" t="s">
        <v>64</v>
      </c>
    </row>
    <row r="73" spans="1:12">
      <c r="A73" s="5" t="s">
        <v>633</v>
      </c>
      <c r="B73" s="3" t="s">
        <v>634</v>
      </c>
      <c r="C73">
        <f>IF(plc_slots&lt;=9,0,ROUNDUP((plc_slots-9)/8,0))</f>
        <v>0</v>
      </c>
      <c r="D73" s="526" t="s">
        <v>64</v>
      </c>
    </row>
    <row r="74" spans="1:12">
      <c r="A74" s="5" t="s">
        <v>635</v>
      </c>
      <c r="B74" s="3" t="s">
        <v>636</v>
      </c>
      <c r="C74">
        <f>1+plc_expansions</f>
        <v>1</v>
      </c>
      <c r="D74" s="526" t="s">
        <v>64</v>
      </c>
    </row>
    <row r="75" spans="1:12">
      <c r="A75" s="5" t="s">
        <v>637</v>
      </c>
      <c r="B75" s="3" t="s">
        <v>638</v>
      </c>
      <c r="C75">
        <f>plc_expansions</f>
        <v>0</v>
      </c>
      <c r="D75" s="526" t="s">
        <v>64</v>
      </c>
    </row>
    <row r="76" spans="1:12">
      <c r="A76" t="s">
        <v>291</v>
      </c>
      <c r="B76" s="3" t="s">
        <v>292</v>
      </c>
      <c r="C76">
        <f>plc_expansions</f>
        <v>0</v>
      </c>
      <c r="D76" s="526" t="s">
        <v>64</v>
      </c>
    </row>
    <row r="77" spans="1:12">
      <c r="A77" t="s">
        <v>1745</v>
      </c>
      <c r="B77" s="3" t="s">
        <v>1746</v>
      </c>
      <c r="C77">
        <f>ROUNDUP(Operator_LOE/2080/shifts_day/workstation_ratio,0)</f>
        <v>1</v>
      </c>
      <c r="D77" s="526" t="s">
        <v>64</v>
      </c>
    </row>
    <row r="78" spans="1:12">
      <c r="A78" t="s">
        <v>1747</v>
      </c>
      <c r="B78" s="3" t="s">
        <v>1748</v>
      </c>
      <c r="C78">
        <f>ROUNDUP(workstations/printer_ratio,0)</f>
        <v>1</v>
      </c>
      <c r="D78" s="526" t="s">
        <v>64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E86"/>
  <sheetViews>
    <sheetView zoomScaleNormal="100" workbookViewId="0">
      <pane ySplit="3" topLeftCell="A4" activePane="bottomLeft" state="frozen"/>
      <selection activeCell="D18" sqref="D18"/>
      <selection pane="bottomLeft" activeCell="C32" sqref="C32"/>
    </sheetView>
  </sheetViews>
  <sheetFormatPr baseColWidth="10" defaultColWidth="9.1640625" defaultRowHeight="13"/>
  <cols>
    <col min="1" max="1" width="57.33203125" style="16" customWidth="1"/>
    <col min="2" max="2" width="25.5" style="22" customWidth="1"/>
    <col min="3" max="3" width="14.1640625" style="27" customWidth="1"/>
    <col min="4" max="4" width="22.83203125" style="16" customWidth="1"/>
    <col min="5" max="16384" width="9.1640625" style="16"/>
  </cols>
  <sheetData>
    <row r="1" spans="1:5" customFormat="1">
      <c r="A1" s="1" t="s">
        <v>2957</v>
      </c>
      <c r="B1" s="3"/>
      <c r="C1" s="526"/>
      <c r="D1" s="526"/>
    </row>
    <row r="2" spans="1:5" customFormat="1">
      <c r="B2" s="3"/>
      <c r="C2" s="526"/>
      <c r="D2" s="526"/>
    </row>
    <row r="3" spans="1:5" customFormat="1">
      <c r="A3" s="206" t="s">
        <v>2950</v>
      </c>
      <c r="B3" s="206" t="s">
        <v>277</v>
      </c>
      <c r="C3" s="207" t="s">
        <v>278</v>
      </c>
      <c r="D3" s="206" t="s">
        <v>279</v>
      </c>
      <c r="E3" s="206" t="s">
        <v>280</v>
      </c>
    </row>
    <row r="4" spans="1:5" s="2" customFormat="1">
      <c r="A4" s="2" t="s">
        <v>1699</v>
      </c>
    </row>
    <row r="5" spans="1:5" s="2" customFormat="1">
      <c r="A5" s="660" t="s">
        <v>3253</v>
      </c>
      <c r="B5" s="3" t="s">
        <v>3254</v>
      </c>
      <c r="C5" s="526">
        <f>IF(regen_days&lt;=7,1,IF(AND(add_backwash_freq&lt;=7,NOT(ISBLANK(add_backwash_freq))),1,0))</f>
        <v>0</v>
      </c>
      <c r="D5" s="526" t="s">
        <v>3255</v>
      </c>
      <c r="E5" s="657" t="s">
        <v>3256</v>
      </c>
    </row>
    <row r="6" spans="1:5" s="2" customFormat="1"/>
    <row r="7" spans="1:5">
      <c r="A7" s="661" t="s">
        <v>2307</v>
      </c>
      <c r="E7" s="6"/>
    </row>
    <row r="8" spans="1:5">
      <c r="A8" s="108" t="s">
        <v>624</v>
      </c>
      <c r="B8" s="22" t="s">
        <v>726</v>
      </c>
      <c r="C8" s="36">
        <f>IF(booster_pumps=0,0,OUTPUT!J197*booster_pump_maintenance)</f>
        <v>294.19399557293565</v>
      </c>
      <c r="D8" s="24" t="s">
        <v>177</v>
      </c>
    </row>
    <row r="9" spans="1:5">
      <c r="A9" s="108" t="s">
        <v>625</v>
      </c>
      <c r="B9" s="22" t="s">
        <v>626</v>
      </c>
      <c r="C9" s="804">
        <f>IF(backwash_pumps=0,0,IF(include_back_maint=0,0,OUTPUT!J198*booster_pump_maintenance))</f>
        <v>0</v>
      </c>
      <c r="D9" s="24" t="s">
        <v>177</v>
      </c>
    </row>
    <row r="10" spans="1:5">
      <c r="A10" s="108" t="s">
        <v>958</v>
      </c>
      <c r="B10" s="22" t="s">
        <v>2306</v>
      </c>
      <c r="C10" s="36">
        <f>IF(regen_freq/60/24&lt;=7,IF(ISNUMBER(OUTPUT!J196),OUTPUT!J196*booster_pump_maintenance,0),0)</f>
        <v>0</v>
      </c>
      <c r="D10" s="24" t="s">
        <v>177</v>
      </c>
    </row>
    <row r="11" spans="1:5">
      <c r="A11"/>
      <c r="B11" s="23"/>
      <c r="C11" s="34"/>
    </row>
    <row r="12" spans="1:5">
      <c r="A12" s="661" t="s">
        <v>1468</v>
      </c>
      <c r="B12" s="23"/>
      <c r="C12" s="34"/>
    </row>
    <row r="13" spans="1:5">
      <c r="A13" s="108" t="s">
        <v>2509</v>
      </c>
      <c r="B13" s="22" t="s">
        <v>49</v>
      </c>
      <c r="C13" s="18">
        <f>365*salt_store/cstore_days</f>
        <v>0</v>
      </c>
      <c r="D13" s="16" t="s">
        <v>264</v>
      </c>
    </row>
    <row r="14" spans="1:5">
      <c r="A14" s="108" t="s">
        <v>678</v>
      </c>
      <c r="B14" s="22" t="s">
        <v>679</v>
      </c>
      <c r="C14" s="18">
        <f>365*NaOH_lbs/cstore_days</f>
        <v>0</v>
      </c>
      <c r="D14" s="16" t="s">
        <v>264</v>
      </c>
    </row>
    <row r="15" spans="1:5" ht="12.75" customHeight="1">
      <c r="A15" s="660"/>
      <c r="C15" s="18"/>
      <c r="E15" s="15"/>
    </row>
    <row r="16" spans="1:5">
      <c r="A16" s="108" t="s">
        <v>888</v>
      </c>
      <c r="B16" s="22" t="s">
        <v>1079</v>
      </c>
      <c r="C16" s="18">
        <f>IF(OR(regen_type=1,add_backwash_freq&lt;&gt;0),media_volume*op_num_tanks*resin_loss_annual,0)</f>
        <v>0</v>
      </c>
      <c r="D16" s="16" t="s">
        <v>1099</v>
      </c>
      <c r="E16" s="6" t="s">
        <v>2122</v>
      </c>
    </row>
    <row r="17" spans="1:5">
      <c r="A17" s="108" t="s">
        <v>887</v>
      </c>
      <c r="B17" s="22" t="s">
        <v>1472</v>
      </c>
      <c r="C17" s="34">
        <f>spent_media_yr*2000/media_density</f>
        <v>1209.8006357968409</v>
      </c>
      <c r="D17" s="16" t="s">
        <v>1099</v>
      </c>
      <c r="E17" s="15" t="str">
        <f>IF(regen_type=2,"Total annual replacement","Averaged over media life and reduced by one year's attrition loss to avoid double counting (no attrition replacement needed in the year you completely replace the bed)")</f>
        <v>Total annual replacement</v>
      </c>
    </row>
    <row r="18" spans="1:5">
      <c r="A18"/>
      <c r="B18" s="23"/>
      <c r="C18" s="34"/>
    </row>
    <row r="19" spans="1:5">
      <c r="A19" s="661" t="s">
        <v>785</v>
      </c>
      <c r="B19" s="23"/>
      <c r="C19" s="34"/>
    </row>
    <row r="20" spans="1:5">
      <c r="A20" s="108" t="s">
        <v>720</v>
      </c>
      <c r="B20" s="465" t="s">
        <v>786</v>
      </c>
      <c r="C20" s="57">
        <f>active_filters*hrs_filter</f>
        <v>24</v>
      </c>
      <c r="D20" t="s">
        <v>722</v>
      </c>
      <c r="E20" s="6" t="s">
        <v>787</v>
      </c>
    </row>
    <row r="21" spans="1:5">
      <c r="A21" s="108" t="s">
        <v>788</v>
      </c>
      <c r="B21" s="465" t="s">
        <v>789</v>
      </c>
      <c r="C21" s="466">
        <f>active_filters*filter_elements*12/cart_life</f>
        <v>38.4</v>
      </c>
      <c r="D21" s="72" t="s">
        <v>790</v>
      </c>
      <c r="E21" s="6" t="s">
        <v>791</v>
      </c>
    </row>
    <row r="22" spans="1:5">
      <c r="A22"/>
      <c r="B22" s="23"/>
      <c r="C22" s="34"/>
    </row>
    <row r="23" spans="1:5">
      <c r="A23" s="661" t="s">
        <v>1724</v>
      </c>
      <c r="B23" s="23"/>
      <c r="C23" s="34"/>
    </row>
    <row r="24" spans="1:5">
      <c r="A24" s="108" t="s">
        <v>318</v>
      </c>
      <c r="B24" s="22" t="s">
        <v>1145</v>
      </c>
      <c r="C24">
        <f>tot_fm_in+tot_fm_proc+tot_level_switch+tot_turb_meters+tot_head_sens+pH_controls+IF(ss_cat2=1,temp_meters_small,temp_meters)+ORP_sensor+tot_cond_meters</f>
        <v>9</v>
      </c>
    </row>
    <row r="25" spans="1:5">
      <c r="A25" s="108" t="s">
        <v>319</v>
      </c>
      <c r="B25" s="22" t="s">
        <v>320</v>
      </c>
      <c r="C25">
        <f>tot_fm_in+tot_fm_proc+tot_level_switch+tot_turb_meters+tot_head_sens+pH_controls+IF(ss_cat2=1,temp_meters_small,temp_meters)+ORP_sensor+tot_cond_meters+tot_fm_back+tot_fm_res</f>
        <v>11</v>
      </c>
    </row>
    <row r="26" spans="1:5">
      <c r="A26" s="108" t="s">
        <v>321</v>
      </c>
      <c r="B26" s="22" t="s">
        <v>252</v>
      </c>
      <c r="C26">
        <f>booster_pumps+MAX(0,pH_pumps-NRD_pH_pumps)</f>
        <v>1</v>
      </c>
    </row>
    <row r="27" spans="1:5">
      <c r="A27" s="108" t="s">
        <v>322</v>
      </c>
      <c r="B27" s="22" t="s">
        <v>323</v>
      </c>
      <c r="C27">
        <f>booster_pumps+res_pumps+IF(include_back_maint=1,backwash_pumps,0)</f>
        <v>3</v>
      </c>
    </row>
    <row r="28" spans="1:5">
      <c r="A28" s="108" t="s">
        <v>1144</v>
      </c>
      <c r="B28" s="22" t="s">
        <v>1146</v>
      </c>
      <c r="C28">
        <f>tot_proc_MOVs+tot_proc_man+tot_bp_MOVs+tot_bp_man</f>
        <v>14</v>
      </c>
      <c r="E28" s="6" t="s">
        <v>324</v>
      </c>
    </row>
    <row r="29" spans="1:5">
      <c r="A29" s="108" t="s">
        <v>325</v>
      </c>
      <c r="B29" s="22" t="s">
        <v>326</v>
      </c>
      <c r="C29">
        <f>NaOH_tanks+mix_tanks+num_salt_box+polymer_tanks+coag_tanks</f>
        <v>0</v>
      </c>
      <c r="E29" s="6"/>
    </row>
    <row r="30" spans="1:5">
      <c r="A30" s="108" t="s">
        <v>253</v>
      </c>
      <c r="B30" s="22" t="s">
        <v>254</v>
      </c>
      <c r="C30">
        <f>365/regen_days*final_num_tanks</f>
        <v>11.393239724425149</v>
      </c>
      <c r="D30"/>
      <c r="E30" s="15" t="s">
        <v>1417</v>
      </c>
    </row>
    <row r="31" spans="1:5">
      <c r="A31" s="108" t="s">
        <v>1414</v>
      </c>
      <c r="B31" s="22" t="s">
        <v>621</v>
      </c>
      <c r="C31">
        <f>IF(add_backwash_freq&lt;&gt;0,365/add_backwash_freq*final_num_tanks,0)</f>
        <v>0</v>
      </c>
      <c r="D31"/>
    </row>
    <row r="32" spans="1:5">
      <c r="A32" s="108" t="s">
        <v>892</v>
      </c>
      <c r="B32" s="22" t="s">
        <v>893</v>
      </c>
      <c r="C32" s="49">
        <f>spent_media_yr*2000/media_density+resin_loss_vol_annual+resin_yr</f>
        <v>2419.6012715936818</v>
      </c>
      <c r="D32" s="16" t="s">
        <v>1099</v>
      </c>
      <c r="E32" s="6" t="s">
        <v>894</v>
      </c>
    </row>
    <row r="33" spans="1:5">
      <c r="A33" s="108"/>
      <c r="B33" s="23"/>
      <c r="C33" s="34"/>
    </row>
    <row r="34" spans="1:5">
      <c r="A34" s="108" t="s">
        <v>327</v>
      </c>
      <c r="B34" s="23"/>
      <c r="C34" s="516">
        <f>IF(manual=1,tot_inst*uloe_inst*365/60,uloe_inst_auto*365/60)</f>
        <v>273.75</v>
      </c>
      <c r="D34" s="16" t="s">
        <v>1359</v>
      </c>
      <c r="E34" s="521" t="s">
        <v>2756</v>
      </c>
    </row>
    <row r="35" spans="1:5" customFormat="1">
      <c r="A35" s="108" t="s">
        <v>332</v>
      </c>
      <c r="B35" s="5"/>
      <c r="C35" s="517">
        <f>tot_inst_maint*uloe_inst_maint*12/60</f>
        <v>22</v>
      </c>
      <c r="D35" t="s">
        <v>1359</v>
      </c>
      <c r="E35" s="521" t="s">
        <v>2757</v>
      </c>
    </row>
    <row r="36" spans="1:5">
      <c r="A36" s="108" t="s">
        <v>329</v>
      </c>
      <c r="B36" s="23"/>
      <c r="C36" s="516">
        <f>IF(OR(manual=1,manual=2,),tot_pumps*uloe_pump*365/60,0)</f>
        <v>30.416666666666668</v>
      </c>
      <c r="D36" s="16" t="s">
        <v>1359</v>
      </c>
      <c r="E36" s="521" t="s">
        <v>2758</v>
      </c>
    </row>
    <row r="37" spans="1:5" customFormat="1">
      <c r="A37" s="108" t="s">
        <v>330</v>
      </c>
      <c r="B37" s="5"/>
      <c r="C37" s="517">
        <f>tot_pumps_maint*uloe_pump_maint</f>
        <v>90.75</v>
      </c>
      <c r="D37" t="s">
        <v>1359</v>
      </c>
      <c r="E37" s="6" t="s">
        <v>2759</v>
      </c>
    </row>
    <row r="38" spans="1:5">
      <c r="A38" s="108" t="s">
        <v>331</v>
      </c>
      <c r="B38" s="23"/>
      <c r="C38" s="516">
        <f>IF(OR(manual=1,manual=2,),tot_valves*uloe_valve*52/60,0)</f>
        <v>60.666666666666664</v>
      </c>
      <c r="D38" s="16" t="s">
        <v>1359</v>
      </c>
      <c r="E38" s="6" t="s">
        <v>324</v>
      </c>
    </row>
    <row r="39" spans="1:5" customFormat="1">
      <c r="A39" s="108" t="s">
        <v>328</v>
      </c>
      <c r="B39" s="5"/>
      <c r="C39" s="517">
        <f>tot_valves*uloe_valve_maint/60</f>
        <v>1.1666666666666667</v>
      </c>
      <c r="D39" t="s">
        <v>1359</v>
      </c>
      <c r="E39" s="6"/>
    </row>
    <row r="40" spans="1:5">
      <c r="A40" s="108" t="s">
        <v>334</v>
      </c>
      <c r="B40" s="23"/>
      <c r="C40" s="516">
        <f>total_fp/100*uloe_fp*365/60</f>
        <v>211.0916666666667</v>
      </c>
      <c r="D40" s="16" t="s">
        <v>1359</v>
      </c>
    </row>
    <row r="41" spans="1:5" customFormat="1">
      <c r="A41" s="108" t="s">
        <v>333</v>
      </c>
      <c r="B41" s="5"/>
      <c r="C41" s="517">
        <f>tot_chem*uloe_chem_maint*12/60</f>
        <v>0</v>
      </c>
      <c r="D41" t="s">
        <v>1359</v>
      </c>
      <c r="E41" s="6"/>
    </row>
    <row r="42" spans="1:5">
      <c r="A42" s="108" t="s">
        <v>1416</v>
      </c>
      <c r="B42" s="23"/>
      <c r="C42" s="516">
        <f>IF(OR(manual=1,manual=2),regen_yr*regeneration_downtime/60+backwash_yr*backwash_time/60,(regen_yr+backwash_yr)*uloe_autoregen/60)</f>
        <v>10.823577738203891</v>
      </c>
      <c r="D42" s="16" t="s">
        <v>1359</v>
      </c>
    </row>
    <row r="43" spans="1:5">
      <c r="A43" s="108" t="s">
        <v>1916</v>
      </c>
      <c r="B43" s="23"/>
      <c r="C43" s="516">
        <f>media_changes_cf*uloe_throwaway</f>
        <v>35.84594476435084</v>
      </c>
      <c r="D43" s="16" t="s">
        <v>1359</v>
      </c>
    </row>
    <row r="44" spans="1:5">
      <c r="A44" s="108" t="s">
        <v>899</v>
      </c>
      <c r="B44" s="5"/>
      <c r="C44" s="517">
        <f>IF(OR(res_s2_opt=3,res_transfer_method=3),res_solids*2000/ht_solids_density*sol_disp_freq*uloe_throwaway,sol_disp_freq*transfer_time)</f>
        <v>0</v>
      </c>
      <c r="D44" t="s">
        <v>1359</v>
      </c>
    </row>
    <row r="45" spans="1:5">
      <c r="A45" s="108" t="s">
        <v>1508</v>
      </c>
      <c r="B45" s="3" t="s">
        <v>2838</v>
      </c>
      <c r="C45" s="518">
        <f>SUM(C34:C44)</f>
        <v>736.51118916922144</v>
      </c>
      <c r="D45" s="16" t="s">
        <v>1359</v>
      </c>
      <c r="E45" s="6"/>
    </row>
    <row r="46" spans="1:5">
      <c r="A46" s="108"/>
      <c r="B46" s="3"/>
      <c r="C46" s="518"/>
      <c r="E46" s="6"/>
    </row>
    <row r="47" spans="1:5">
      <c r="A47" s="108" t="s">
        <v>1509</v>
      </c>
      <c r="B47" s="3" t="s">
        <v>413</v>
      </c>
      <c r="C47" s="518">
        <f>General_Oper_Labor+cart_labor</f>
        <v>760.51118916922144</v>
      </c>
      <c r="D47" s="16" t="s">
        <v>1359</v>
      </c>
      <c r="E47" s="6" t="s">
        <v>3498</v>
      </c>
    </row>
    <row r="48" spans="1:5">
      <c r="A48" s="108" t="s">
        <v>1476</v>
      </c>
      <c r="B48" s="3" t="s">
        <v>411</v>
      </c>
      <c r="C48" s="34">
        <f>Operator_LOE*Manager_percent</f>
        <v>76.05111891692215</v>
      </c>
      <c r="D48" s="16" t="s">
        <v>1359</v>
      </c>
      <c r="E48" s="6" t="s">
        <v>2839</v>
      </c>
    </row>
    <row r="49" spans="1:5">
      <c r="A49" s="108" t="s">
        <v>2304</v>
      </c>
      <c r="B49" s="3" t="s">
        <v>412</v>
      </c>
      <c r="C49" s="34">
        <f>Operator_LOE*Clerical_percent</f>
        <v>76.05111891692215</v>
      </c>
      <c r="D49" s="16" t="s">
        <v>1359</v>
      </c>
      <c r="E49" s="6" t="s">
        <v>2839</v>
      </c>
    </row>
    <row r="50" spans="1:5">
      <c r="B50" s="16"/>
      <c r="C50" s="16"/>
    </row>
    <row r="51" spans="1:5">
      <c r="A51" s="661" t="s">
        <v>3197</v>
      </c>
      <c r="B51" s="3"/>
      <c r="C51" s="16"/>
    </row>
    <row r="52" spans="1:5">
      <c r="A52" s="660" t="s">
        <v>3196</v>
      </c>
      <c r="B52" s="3"/>
      <c r="C52" s="507">
        <f>IF(include_buildings=0,0,building_matl_rate_cl*total_fp)</f>
        <v>0</v>
      </c>
      <c r="D52" s="72" t="s">
        <v>177</v>
      </c>
      <c r="E52" s="6" t="s">
        <v>2731</v>
      </c>
    </row>
    <row r="53" spans="1:5">
      <c r="A53" s="108" t="s">
        <v>2726</v>
      </c>
      <c r="B53" s="3"/>
      <c r="C53" s="507">
        <f>build1_need_heat*heating_matl_rate_cl*build1_fp</f>
        <v>515.55660205173115</v>
      </c>
      <c r="D53" s="72" t="s">
        <v>177</v>
      </c>
      <c r="E53"/>
    </row>
    <row r="54" spans="1:5">
      <c r="A54" s="108" t="s">
        <v>2727</v>
      </c>
      <c r="B54" s="3"/>
      <c r="C54" s="507">
        <f>build1_need_cool*cooling_matl_rate_cl*build1_fp</f>
        <v>0</v>
      </c>
      <c r="D54" s="72" t="s">
        <v>177</v>
      </c>
      <c r="E54"/>
    </row>
    <row r="55" spans="1:5">
      <c r="A55" s="108" t="s">
        <v>2728</v>
      </c>
      <c r="B55" s="3"/>
      <c r="C55" s="507">
        <f>build2_need_heat*heating_matl_rate_cl*build2_fp</f>
        <v>0</v>
      </c>
      <c r="D55" s="72" t="s">
        <v>177</v>
      </c>
      <c r="E55"/>
    </row>
    <row r="56" spans="1:5">
      <c r="A56" s="108" t="s">
        <v>2729</v>
      </c>
      <c r="B56" s="3"/>
      <c r="C56" s="507">
        <f>build2_need_cool*cooling_matl_rate_cl*build2_fp</f>
        <v>0</v>
      </c>
      <c r="D56" s="72" t="s">
        <v>177</v>
      </c>
      <c r="E56"/>
    </row>
    <row r="57" spans="1:5">
      <c r="A57" s="660" t="s">
        <v>3198</v>
      </c>
      <c r="B57" s="3" t="s">
        <v>2730</v>
      </c>
      <c r="C57" s="507">
        <f>SUM(C52:C56)</f>
        <v>515.55660205173115</v>
      </c>
      <c r="D57"/>
      <c r="E57" s="6" t="s">
        <v>2732</v>
      </c>
    </row>
    <row r="58" spans="1:5">
      <c r="A58"/>
      <c r="B58" s="3"/>
      <c r="C58" s="16"/>
    </row>
    <row r="59" spans="1:5">
      <c r="A59" s="2" t="s">
        <v>735</v>
      </c>
      <c r="B59" s="23"/>
      <c r="C59" s="34"/>
    </row>
    <row r="60" spans="1:5">
      <c r="A60" s="661" t="s">
        <v>2958</v>
      </c>
      <c r="B60" s="23"/>
      <c r="C60" s="34"/>
      <c r="E60" s="6" t="s">
        <v>1478</v>
      </c>
    </row>
    <row r="61" spans="1:5">
      <c r="A61" s="108" t="s">
        <v>402</v>
      </c>
      <c r="B61" s="22" t="s">
        <v>2929</v>
      </c>
      <c r="C61" s="58">
        <f>IF(booster_pumps=0,0,(average_flow_rate/IF(bp_pct&gt;0,bp_pct,1))*booster_pump_head/booster_pumps/booster_pump_efficiency/14.7*33.9*8.34/550/60)</f>
        <v>29.033072218786504</v>
      </c>
      <c r="D61" t="s">
        <v>1358</v>
      </c>
    </row>
    <row r="62" spans="1:5">
      <c r="A62" s="602" t="s">
        <v>2734</v>
      </c>
      <c r="B62" s="3"/>
      <c r="C62" s="58">
        <f>pump_hp*0.7457/1000*24*365</f>
        <v>189.65366671309013</v>
      </c>
      <c r="D62" t="s">
        <v>179</v>
      </c>
    </row>
    <row r="63" spans="1:5">
      <c r="A63" s="602" t="s">
        <v>2735</v>
      </c>
      <c r="B63" s="22" t="s">
        <v>736</v>
      </c>
      <c r="C63" s="59">
        <f>C62*booster_pumps</f>
        <v>189.65366671309013</v>
      </c>
      <c r="D63" s="16" t="s">
        <v>179</v>
      </c>
    </row>
    <row r="64" spans="1:5">
      <c r="A64" s="21"/>
      <c r="C64" s="35"/>
    </row>
    <row r="65" spans="1:5">
      <c r="A65" s="661" t="s">
        <v>627</v>
      </c>
      <c r="C65" s="59"/>
    </row>
    <row r="66" spans="1:5">
      <c r="A66" s="108" t="s">
        <v>628</v>
      </c>
      <c r="B66" s="22" t="s">
        <v>2930</v>
      </c>
      <c r="C66" s="72">
        <f>water_flush*backwash_pump_head/booster_pump_efficiency/14.7*33.9*8.34/550/60</f>
        <v>4.5464625454545455</v>
      </c>
      <c r="D66" t="s">
        <v>1358</v>
      </c>
    </row>
    <row r="67" spans="1:5">
      <c r="A67" s="602" t="s">
        <v>629</v>
      </c>
      <c r="B67" s="3" t="s">
        <v>2927</v>
      </c>
      <c r="C67" s="72">
        <f>(regen_yr+backwash_yr)*backwash_time/60</f>
        <v>2.2786479448850296</v>
      </c>
      <c r="D67" t="s">
        <v>630</v>
      </c>
    </row>
    <row r="68" spans="1:5">
      <c r="A68" s="602" t="s">
        <v>631</v>
      </c>
      <c r="B68" s="22" t="s">
        <v>632</v>
      </c>
      <c r="C68" s="566">
        <f>back_pump_hp*0.7457/1000*back_pump_op_hours</f>
        <v>7.7252935653690747E-3</v>
      </c>
      <c r="D68" s="16" t="s">
        <v>179</v>
      </c>
    </row>
    <row r="69" spans="1:5">
      <c r="A69" s="21"/>
      <c r="C69" s="35"/>
    </row>
    <row r="70" spans="1:5">
      <c r="A70" s="661" t="s">
        <v>2923</v>
      </c>
      <c r="C70" s="34"/>
    </row>
    <row r="71" spans="1:5">
      <c r="A71" s="108" t="s">
        <v>120</v>
      </c>
      <c r="B71" s="3" t="s">
        <v>121</v>
      </c>
      <c r="C71" s="515">
        <f>IF(OR(build1_fp&lt;500,component_level=""),lighting_power_low,CHOOSE(component_level,lighting_power_mid,lighting_power_high))*24*365/1000</f>
        <v>2.6279999999999997</v>
      </c>
      <c r="D71" t="s">
        <v>1493</v>
      </c>
    </row>
    <row r="72" spans="1:5">
      <c r="A72" s="602" t="s">
        <v>122</v>
      </c>
      <c r="B72" s="3" t="s">
        <v>123</v>
      </c>
      <c r="C72" s="515">
        <f>IF(OR(build2_fp&lt;500,component_level=""),lighting_power_low,CHOOSE(component_level,lighting_power_mid,lighting_power_high))*24*365/1000</f>
        <v>2.6279999999999997</v>
      </c>
      <c r="D72" t="s">
        <v>1493</v>
      </c>
    </row>
    <row r="73" spans="1:5">
      <c r="A73" s="602" t="s">
        <v>2164</v>
      </c>
      <c r="B73" s="3" t="s">
        <v>2165</v>
      </c>
      <c r="C73" s="515">
        <f>IF(include_buildings=0,0,MIN(1,Operator_LOE/(24*365))*(build1_fp*lighting_energy_1+build2_fp*lighting_energy_2)/1000)</f>
        <v>0</v>
      </c>
      <c r="D73" t="s">
        <v>179</v>
      </c>
    </row>
    <row r="74" spans="1:5">
      <c r="A74" s="5"/>
      <c r="B74" s="3"/>
      <c r="C74" s="75"/>
      <c r="D74"/>
      <c r="E74" s="6"/>
    </row>
    <row r="75" spans="1:5">
      <c r="A75" s="661" t="s">
        <v>2097</v>
      </c>
      <c r="B75" s="3"/>
      <c r="C75"/>
      <c r="D75"/>
    </row>
    <row r="76" spans="1:5">
      <c r="A76" s="108" t="s">
        <v>2098</v>
      </c>
      <c r="B76" s="3"/>
      <c r="C76"/>
      <c r="D76"/>
    </row>
    <row r="77" spans="1:5">
      <c r="A77" s="602" t="s">
        <v>854</v>
      </c>
      <c r="B77" s="3" t="s">
        <v>1759</v>
      </c>
      <c r="C77" s="603">
        <f t="shared" ref="C77:C82" si="0">IF(build1_heat=A77,VLOOKUP(A77,build1_heat_options, 7,FALSE),0)+IF(build2_heat=A77,VLOOKUP(A77,build2_heat_options, 7,FALSE),0)</f>
        <v>0</v>
      </c>
      <c r="D77" t="s">
        <v>179</v>
      </c>
    </row>
    <row r="78" spans="1:5">
      <c r="A78" s="602" t="s">
        <v>856</v>
      </c>
      <c r="B78" s="3" t="s">
        <v>1761</v>
      </c>
      <c r="C78" s="603">
        <f t="shared" si="0"/>
        <v>0</v>
      </c>
      <c r="D78" t="s">
        <v>857</v>
      </c>
    </row>
    <row r="79" spans="1:5">
      <c r="A79" s="602" t="s">
        <v>2739</v>
      </c>
      <c r="B79" s="3" t="s">
        <v>1864</v>
      </c>
      <c r="C79" s="603">
        <f t="shared" si="0"/>
        <v>6225.1476079782524</v>
      </c>
      <c r="D79" t="s">
        <v>857</v>
      </c>
    </row>
    <row r="80" spans="1:5">
      <c r="A80" s="602" t="s">
        <v>12</v>
      </c>
      <c r="B80" s="3" t="s">
        <v>1865</v>
      </c>
      <c r="C80" s="603">
        <f t="shared" si="0"/>
        <v>0</v>
      </c>
      <c r="D80" t="s">
        <v>2740</v>
      </c>
    </row>
    <row r="81" spans="1:4">
      <c r="A81" s="602" t="s">
        <v>13</v>
      </c>
      <c r="B81" s="3" t="s">
        <v>1866</v>
      </c>
      <c r="C81" s="603">
        <f t="shared" si="0"/>
        <v>0</v>
      </c>
      <c r="D81" t="s">
        <v>2740</v>
      </c>
    </row>
    <row r="82" spans="1:4">
      <c r="A82" s="602" t="s">
        <v>855</v>
      </c>
      <c r="B82" s="3" t="s">
        <v>1760</v>
      </c>
      <c r="C82" s="603">
        <f t="shared" si="0"/>
        <v>0</v>
      </c>
      <c r="D82" t="s">
        <v>179</v>
      </c>
    </row>
    <row r="83" spans="1:4">
      <c r="A83" s="5"/>
      <c r="B83" s="3"/>
      <c r="C83" s="603"/>
      <c r="D83"/>
    </row>
    <row r="84" spans="1:4">
      <c r="A84" s="5" t="s">
        <v>2099</v>
      </c>
      <c r="B84" s="3"/>
      <c r="C84" s="603"/>
      <c r="D84"/>
    </row>
    <row r="85" spans="1:4">
      <c r="A85" s="602" t="s">
        <v>1968</v>
      </c>
      <c r="B85" s="3" t="s">
        <v>409</v>
      </c>
      <c r="C85" s="603">
        <f>IF(build1_cool=A85,VLOOKUP(A85,build1_cool_options, 7,FALSE),0)+IF(build2_cool=A85,VLOOKUP(A85,build2_cool_options, 7,FALSE),0)</f>
        <v>0</v>
      </c>
      <c r="D85" t="s">
        <v>179</v>
      </c>
    </row>
    <row r="86" spans="1:4">
      <c r="A86" s="602" t="s">
        <v>855</v>
      </c>
      <c r="B86" s="3" t="s">
        <v>410</v>
      </c>
      <c r="C86" s="603">
        <f>IF(build1_cool=A86,VLOOKUP(A86,build1_cool_options, 7,FALSE),0)+IF(build2_cool=A86,VLOOKUP(A86,build2_cool_options, 7,FALSE),0)</f>
        <v>0</v>
      </c>
      <c r="D86" t="s">
        <v>179</v>
      </c>
    </row>
  </sheetData>
  <phoneticPr fontId="0" type="noConversion"/>
  <conditionalFormatting sqref="E16">
    <cfRule type="cellIs" dxfId="1767" priority="1" stopIfTrue="1" operator="equal">
      <formula>0</formula>
    </cfRule>
  </conditionalFormatting>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135"/>
  <sheetViews>
    <sheetView zoomScaleNormal="100" workbookViewId="0">
      <pane ySplit="3" topLeftCell="A4" activePane="bottomLeft" state="frozen"/>
      <selection activeCell="D18" sqref="D18"/>
      <selection pane="bottomLeft"/>
    </sheetView>
  </sheetViews>
  <sheetFormatPr baseColWidth="10" defaultColWidth="9.1640625" defaultRowHeight="13"/>
  <cols>
    <col min="1" max="1" width="35.5" style="576" customWidth="1"/>
    <col min="2" max="2" width="25.6640625" style="578" bestFit="1" customWidth="1"/>
    <col min="3" max="3" width="19.83203125" style="576" customWidth="1"/>
    <col min="4" max="4" width="16.5" style="644" customWidth="1"/>
    <col min="5" max="5" width="13.33203125" style="577" customWidth="1"/>
    <col min="6" max="12" width="13.33203125" style="576" customWidth="1"/>
    <col min="13" max="16384" width="9.1640625" style="576"/>
  </cols>
  <sheetData>
    <row r="1" spans="1:5" s="644" customFormat="1">
      <c r="A1" s="595" t="s">
        <v>2959</v>
      </c>
      <c r="B1" s="578"/>
      <c r="E1" s="577"/>
    </row>
    <row r="2" spans="1:5" s="644" customFormat="1">
      <c r="A2" s="595"/>
      <c r="B2" s="578"/>
      <c r="E2" s="577"/>
    </row>
    <row r="3" spans="1:5" s="644" customFormat="1">
      <c r="A3" s="206" t="s">
        <v>2950</v>
      </c>
      <c r="B3" s="206" t="s">
        <v>277</v>
      </c>
      <c r="C3" s="207" t="s">
        <v>278</v>
      </c>
      <c r="D3" s="206" t="s">
        <v>279</v>
      </c>
      <c r="E3" s="206" t="s">
        <v>280</v>
      </c>
    </row>
    <row r="4" spans="1:5">
      <c r="A4" s="581" t="s">
        <v>2052</v>
      </c>
      <c r="E4" s="577" t="s">
        <v>1528</v>
      </c>
    </row>
    <row r="5" spans="1:5">
      <c r="A5" s="576" t="s">
        <v>1529</v>
      </c>
      <c r="B5" s="578" t="s">
        <v>1530</v>
      </c>
      <c r="C5" s="586">
        <f>IF(design_flow&lt;1,1,IF(design_flow&lt;10,2,3))</f>
        <v>2</v>
      </c>
      <c r="D5" s="644" t="s">
        <v>1531</v>
      </c>
    </row>
    <row r="6" spans="1:5">
      <c r="A6" s="576" t="s">
        <v>1934</v>
      </c>
      <c r="B6" s="578" t="s">
        <v>1935</v>
      </c>
      <c r="C6">
        <f>IF(tank_geom=1,comm_height_length,comm_diam)+Top_bottom_Vessel_space</f>
        <v>12</v>
      </c>
      <c r="D6" s="644" t="s">
        <v>2843</v>
      </c>
    </row>
    <row r="7" spans="1:5">
      <c r="A7" s="576" t="s">
        <v>2218</v>
      </c>
      <c r="B7" s="578" t="s">
        <v>2219</v>
      </c>
      <c r="C7" s="594">
        <f>build1_fp^0.5</f>
        <v>58.906705900092561</v>
      </c>
      <c r="D7" s="644" t="s">
        <v>2843</v>
      </c>
    </row>
    <row r="8" spans="1:5">
      <c r="A8" s="576" t="s">
        <v>2220</v>
      </c>
      <c r="B8" s="578" t="s">
        <v>2221</v>
      </c>
      <c r="C8" s="594">
        <f>build2_fp^0.5</f>
        <v>0</v>
      </c>
      <c r="D8" s="644" t="s">
        <v>2843</v>
      </c>
    </row>
    <row r="9" spans="1:5">
      <c r="A9" s="766" t="s">
        <v>3185</v>
      </c>
      <c r="B9" s="767" t="s">
        <v>3191</v>
      </c>
      <c r="C9" s="654">
        <f>IF(include_HVAC_I="no",0,IF(include_HVAC_I="yes",1,2))</f>
        <v>2</v>
      </c>
      <c r="D9" s="526" t="s">
        <v>3192</v>
      </c>
    </row>
    <row r="10" spans="1:5">
      <c r="C10" s="586"/>
    </row>
    <row r="11" spans="1:5">
      <c r="A11" s="581" t="s">
        <v>2051</v>
      </c>
    </row>
    <row r="12" spans="1:5">
      <c r="A12" s="576" t="s">
        <v>1494</v>
      </c>
      <c r="B12" s="578" t="s">
        <v>1495</v>
      </c>
      <c r="C12" s="597">
        <f>IF(build2_fp=0,(air_changes_contactor*(vessel_fp+back_tank_fp+htank_fp)+air_changes_pump*pump_fp++air_changes_chem_storage*(store_fp+mix_tank_fp+saltbox_fp+NaOH_tank_fp+NaOHday_tank_fp+polymer_fp+coag_fp)+air_changes_office*office_fp)/build1_fp,air_changes_contactor)</f>
        <v>4.6253602305475505</v>
      </c>
      <c r="D12" s="645" t="s">
        <v>2666</v>
      </c>
    </row>
    <row r="13" spans="1:5">
      <c r="A13" s="576" t="s">
        <v>1496</v>
      </c>
      <c r="B13" s="578" t="s">
        <v>2213</v>
      </c>
      <c r="C13" s="597">
        <f>IF(build2_fp=0,0,(air_changes_contactor*(back_tank_fp+htank_fp)+air_changes_pump*pump_fp+air_changes_chem_storage*(store_fp+mix_tank_fp+saltbox_fp+NaOH_tank_fp+NaOHday_tank_fp+polymer_fp+coag_fp)+air_changes_office*office_fp)/build2_fp)</f>
        <v>0</v>
      </c>
      <c r="D13" s="645" t="s">
        <v>2666</v>
      </c>
    </row>
    <row r="14" spans="1:5">
      <c r="A14" s="576" t="s">
        <v>2214</v>
      </c>
      <c r="C14" s="594">
        <f>CHOOSE(ss_cat2,fan_days_build1_small,fan_days_build1_medium,fan_days_build1_large)*24*0.746*fan_pressure_drop*build1_fp*Building_height*air_changes_build1/33000</f>
        <v>3134.827636363636</v>
      </c>
      <c r="D14" s="644" t="s">
        <v>178</v>
      </c>
    </row>
    <row r="15" spans="1:5">
      <c r="A15" s="576" t="s">
        <v>2215</v>
      </c>
      <c r="C15" s="594">
        <f>CHOOSE(ss_cat2,fan_days_build2_small,fan_days_build2_medium,fan_days_build2_large)*24*0.746*fan_pressure_drop*build2_fp*Building_height*air_changes_build2/33000</f>
        <v>0</v>
      </c>
      <c r="D15" s="644" t="s">
        <v>178</v>
      </c>
    </row>
    <row r="16" spans="1:5">
      <c r="A16" s="576" t="s">
        <v>2216</v>
      </c>
      <c r="B16" s="578" t="s">
        <v>2217</v>
      </c>
      <c r="C16" s="594">
        <f>IF(include_HVAC=0,0,SUM(C14:C15)/1000)</f>
        <v>3.134827636363636</v>
      </c>
      <c r="D16" s="644" t="s">
        <v>179</v>
      </c>
    </row>
    <row r="17" spans="1:5">
      <c r="C17" s="594"/>
    </row>
    <row r="18" spans="1:5">
      <c r="A18" s="576" t="s">
        <v>2180</v>
      </c>
      <c r="B18" s="578" t="s">
        <v>2181</v>
      </c>
      <c r="C18" s="590">
        <f>build1_fp*Building_height*air_changes_build1/60</f>
        <v>3210</v>
      </c>
      <c r="D18" s="644" t="s">
        <v>1127</v>
      </c>
    </row>
    <row r="19" spans="1:5">
      <c r="A19" s="576" t="s">
        <v>2182</v>
      </c>
      <c r="B19" s="578" t="s">
        <v>1432</v>
      </c>
      <c r="C19" s="590">
        <f>build2_fp*Building_height*air_changes_build2/60</f>
        <v>0</v>
      </c>
      <c r="D19" s="644" t="s">
        <v>1127</v>
      </c>
    </row>
    <row r="20" spans="1:5">
      <c r="C20" s="594"/>
    </row>
    <row r="21" spans="1:5">
      <c r="A21" s="581" t="s">
        <v>2050</v>
      </c>
      <c r="C21" s="594"/>
    </row>
    <row r="22" spans="1:5">
      <c r="A22" s="576" t="s">
        <v>149</v>
      </c>
      <c r="B22" s="578" t="s">
        <v>150</v>
      </c>
      <c r="C22" s="598">
        <f>IF(include_HVAC=0,0,IF(include_HVAC=1,1,VLOOKUP(IF(component_level_I="","low cost",component_level_I),IF(build1_fp&lt;500,heating_table_shed,heating_table),ss_cat2+2,FALSE)))</f>
        <v>1</v>
      </c>
      <c r="D22" s="644" t="s">
        <v>2198</v>
      </c>
      <c r="E22" s="577" t="s">
        <v>3193</v>
      </c>
    </row>
    <row r="23" spans="1:5">
      <c r="A23" s="576" t="s">
        <v>152</v>
      </c>
      <c r="B23" s="578" t="s">
        <v>153</v>
      </c>
      <c r="C23" s="598">
        <f>IF(include_HVAC=0,0,IF(include_HVAC=1,1,VLOOKUP(IF(component_level_I="","low cost",component_level_I),IF(build1_fp&lt;500,cooling_table_shed,cooling_table),ss_cat2+2,FALSE)))</f>
        <v>0</v>
      </c>
      <c r="D23" s="644" t="s">
        <v>2198</v>
      </c>
    </row>
    <row r="24" spans="1:5">
      <c r="A24" s="576" t="s">
        <v>154</v>
      </c>
      <c r="B24" s="578" t="s">
        <v>155</v>
      </c>
      <c r="C24" s="598">
        <f>IF(build2_fp=0,0,IF(include_HVAC=0,0,IF(include_HVAC=1,1,VLOOKUP(IF(component_level_I="","low cost",component_level_I),IF(build2_fp&lt;500,heating_table_shed,heating_table),ss_cat2+2,FALSE))))</f>
        <v>0</v>
      </c>
      <c r="D24" s="644" t="s">
        <v>2198</v>
      </c>
    </row>
    <row r="25" spans="1:5">
      <c r="A25" s="576" t="s">
        <v>156</v>
      </c>
      <c r="B25" s="578" t="s">
        <v>157</v>
      </c>
      <c r="C25" s="598">
        <f>IF(build2_fp=0,0,IF(include_HVAC=0,0,IF(include_HVAC=1,1,VLOOKUP(IF(component_level_I="","low cost",component_level_I),IF(build2_fp&lt;500,cooling_table_shed,cooling_table),ss_cat2+2,FALSE))))</f>
        <v>0</v>
      </c>
      <c r="D25" s="644" t="s">
        <v>2198</v>
      </c>
    </row>
    <row r="27" spans="1:5">
      <c r="A27" s="581" t="s">
        <v>2049</v>
      </c>
      <c r="C27" s="594"/>
    </row>
    <row r="28" spans="1:5" ht="13.5" customHeight="1">
      <c r="A28" s="576" t="s">
        <v>1433</v>
      </c>
      <c r="B28" s="599"/>
      <c r="C28" s="594">
        <f>4*build1_side*Building_height*heat_DD*24/R_wall</f>
        <v>11563433.49355289</v>
      </c>
      <c r="D28" s="644" t="s">
        <v>1128</v>
      </c>
    </row>
    <row r="29" spans="1:5">
      <c r="A29" s="576" t="s">
        <v>1434</v>
      </c>
      <c r="B29" s="600"/>
      <c r="C29" s="594">
        <f>build1_fp*heat_DD*24/R_ceiling</f>
        <v>7240261.224489796</v>
      </c>
      <c r="D29" s="644" t="s">
        <v>1128</v>
      </c>
    </row>
    <row r="30" spans="1:5">
      <c r="A30" s="576" t="s">
        <v>1435</v>
      </c>
      <c r="C30" s="590">
        <f>build1_cfm*heat_viload</f>
        <v>541459590</v>
      </c>
      <c r="D30" s="644" t="s">
        <v>1128</v>
      </c>
    </row>
    <row r="31" spans="1:5">
      <c r="A31" s="576" t="s">
        <v>2048</v>
      </c>
      <c r="B31" s="578" t="s">
        <v>2047</v>
      </c>
      <c r="C31" s="590">
        <f>SUM(C28:C30)</f>
        <v>560263284.71804273</v>
      </c>
      <c r="D31" s="644" t="s">
        <v>1128</v>
      </c>
    </row>
    <row r="32" spans="1:5">
      <c r="A32" s="576" t="s">
        <v>2046</v>
      </c>
      <c r="B32" s="578" t="s">
        <v>2045</v>
      </c>
      <c r="C32" s="590">
        <f>build1_heat_loss_yr/365.25/24/1000</f>
        <v>63.913219794437907</v>
      </c>
      <c r="D32" s="644" t="s">
        <v>2038</v>
      </c>
      <c r="E32" s="577" t="s">
        <v>3583</v>
      </c>
    </row>
    <row r="33" spans="1:5">
      <c r="A33" s="576" t="s">
        <v>2044</v>
      </c>
      <c r="B33" s="578" t="s">
        <v>2043</v>
      </c>
      <c r="C33" s="590">
        <f>ROUNDUP(build1_heat_mbh/max_heat_cl,0)</f>
        <v>1</v>
      </c>
    </row>
    <row r="34" spans="1:5">
      <c r="C34" s="590"/>
    </row>
    <row r="35" spans="1:5">
      <c r="A35" s="576" t="s">
        <v>1438</v>
      </c>
      <c r="B35" s="599"/>
      <c r="C35" s="594">
        <f>4*build2_side*Building_height*heat_DD*24/R_wall</f>
        <v>0</v>
      </c>
      <c r="D35" s="644" t="s">
        <v>1128</v>
      </c>
    </row>
    <row r="36" spans="1:5">
      <c r="A36" s="576" t="s">
        <v>1439</v>
      </c>
      <c r="B36" s="600"/>
      <c r="C36" s="594">
        <f>build2_fp*heat_DD*24/R_ceiling</f>
        <v>0</v>
      </c>
      <c r="D36" s="644" t="s">
        <v>1128</v>
      </c>
    </row>
    <row r="37" spans="1:5">
      <c r="A37" s="576" t="s">
        <v>1440</v>
      </c>
      <c r="C37" s="590">
        <f>build2_cfm*heat_viload</f>
        <v>0</v>
      </c>
      <c r="D37" s="644" t="s">
        <v>1128</v>
      </c>
    </row>
    <row r="38" spans="1:5">
      <c r="A38" s="576" t="s">
        <v>2042</v>
      </c>
      <c r="B38" s="578" t="s">
        <v>2041</v>
      </c>
      <c r="C38" s="590">
        <f>SUM(C35:C37)</f>
        <v>0</v>
      </c>
      <c r="D38" s="644" t="s">
        <v>1128</v>
      </c>
    </row>
    <row r="39" spans="1:5">
      <c r="A39" s="576" t="s">
        <v>2040</v>
      </c>
      <c r="B39" s="578" t="s">
        <v>2039</v>
      </c>
      <c r="C39" s="590">
        <f>build2_heat_loss_yr/365.25/24/1000</f>
        <v>0</v>
      </c>
      <c r="D39" s="644" t="s">
        <v>2038</v>
      </c>
      <c r="E39" s="577" t="s">
        <v>3583</v>
      </c>
    </row>
    <row r="40" spans="1:5">
      <c r="A40" s="576" t="s">
        <v>2037</v>
      </c>
      <c r="B40" s="578" t="s">
        <v>2036</v>
      </c>
      <c r="C40" s="590">
        <f>ROUNDUP(build2_heat_mbh/max_heat_cl,0)</f>
        <v>0</v>
      </c>
    </row>
    <row r="42" spans="1:5">
      <c r="A42" s="581" t="s">
        <v>2035</v>
      </c>
      <c r="C42" s="594"/>
    </row>
    <row r="43" spans="1:5">
      <c r="A43" s="576" t="s">
        <v>2053</v>
      </c>
      <c r="B43" s="578" t="s">
        <v>2055</v>
      </c>
      <c r="C43" s="593">
        <f>booster_pumps*pump_hp*(1-booster_pump_efficiency)*0.7457</f>
        <v>5.4124904883872746</v>
      </c>
      <c r="D43" s="644" t="s">
        <v>601</v>
      </c>
    </row>
    <row r="44" spans="1:5">
      <c r="A44" s="576" t="s">
        <v>2054</v>
      </c>
      <c r="B44" s="578" t="s">
        <v>2056</v>
      </c>
      <c r="C44" s="591">
        <f>eloss_pumps*3415</f>
        <v>18483.655017842542</v>
      </c>
      <c r="D44" s="644" t="s">
        <v>2275</v>
      </c>
    </row>
    <row r="45" spans="1:5">
      <c r="A45" s="576" t="s">
        <v>2057</v>
      </c>
      <c r="B45" s="578" t="s">
        <v>2059</v>
      </c>
      <c r="C45" s="593">
        <f>back_pump_hp*(1-booster_pump_efficiency)*0.7457</f>
        <v>0.8475742800363637</v>
      </c>
      <c r="D45" s="644" t="s">
        <v>601</v>
      </c>
    </row>
    <row r="46" spans="1:5">
      <c r="A46" s="576" t="s">
        <v>2058</v>
      </c>
      <c r="B46" s="578" t="s">
        <v>2060</v>
      </c>
      <c r="C46" s="591">
        <f>eloss_bw_pumps*3415</f>
        <v>2894.4661663241823</v>
      </c>
      <c r="D46" s="644" t="s">
        <v>2275</v>
      </c>
    </row>
    <row r="47" spans="1:5">
      <c r="A47" s="581"/>
      <c r="C47" s="594"/>
    </row>
    <row r="48" spans="1:5">
      <c r="A48" s="576" t="s">
        <v>403</v>
      </c>
      <c r="B48" s="599"/>
      <c r="C48" s="601">
        <f>4*build1_side*Building_height*cool_DD*24/R_wall</f>
        <v>3840905.7261449154</v>
      </c>
      <c r="D48" s="644" t="s">
        <v>1128</v>
      </c>
    </row>
    <row r="49" spans="1:12">
      <c r="A49" s="576" t="s">
        <v>404</v>
      </c>
      <c r="B49" s="600"/>
      <c r="C49" s="601">
        <f>build1_fp*cool_DD*24/R_ceiling</f>
        <v>2404922.448979592</v>
      </c>
      <c r="D49" s="644" t="s">
        <v>1128</v>
      </c>
    </row>
    <row r="50" spans="1:12">
      <c r="A50" s="576" t="s">
        <v>405</v>
      </c>
      <c r="C50" s="591">
        <f>build1_cfm*cool_viload</f>
        <v>166184910</v>
      </c>
      <c r="D50" s="644" t="s">
        <v>1128</v>
      </c>
    </row>
    <row r="51" spans="1:12">
      <c r="A51" s="576" t="s">
        <v>2034</v>
      </c>
      <c r="B51" s="578" t="s">
        <v>2033</v>
      </c>
      <c r="C51" s="591">
        <f>SUM(C48:C50)</f>
        <v>172430738.1751245</v>
      </c>
      <c r="D51" s="644" t="s">
        <v>1128</v>
      </c>
    </row>
    <row r="52" spans="1:12">
      <c r="A52" s="576" t="s">
        <v>2032</v>
      </c>
      <c r="B52" s="578" t="s">
        <v>2031</v>
      </c>
      <c r="C52" s="591">
        <f>build1_cooling_loss_yr/365.25/24</f>
        <v>19670.401343272246</v>
      </c>
      <c r="D52" s="644" t="s">
        <v>2275</v>
      </c>
    </row>
    <row r="53" spans="1:12">
      <c r="C53" s="590"/>
    </row>
    <row r="54" spans="1:12" s="577" customFormat="1">
      <c r="A54" s="576" t="s">
        <v>2030</v>
      </c>
      <c r="B54" s="578" t="s">
        <v>2029</v>
      </c>
      <c r="C54" s="591">
        <f>build1_cooling_loss_hr+IF(fp_required&lt;add_2nd_building,waste_heat_pumps+waste_heat_bw_pumps,0)</f>
        <v>41048.522527438967</v>
      </c>
      <c r="D54" s="644" t="s">
        <v>2275</v>
      </c>
      <c r="F54" s="576"/>
      <c r="G54" s="576"/>
      <c r="H54" s="576"/>
      <c r="I54" s="576"/>
      <c r="J54" s="576"/>
      <c r="K54" s="576"/>
      <c r="L54" s="576"/>
    </row>
    <row r="55" spans="1:12" s="577" customFormat="1">
      <c r="A55" s="576" t="s">
        <v>2028</v>
      </c>
      <c r="B55" s="578" t="s">
        <v>2027</v>
      </c>
      <c r="C55" s="591">
        <f>IF(fp_required&lt;add_2nd_building,(build1_cooling_loss_hr+waste_heat_pumps)*365.25*24+waste_heat_bw_pumps*back_pump_op_hours,build1_cooling_loss_hr*365.25*24)</f>
        <v>334465053.53091365</v>
      </c>
      <c r="D55" s="644" t="s">
        <v>1128</v>
      </c>
      <c r="F55" s="576"/>
      <c r="G55" s="576"/>
      <c r="H55" s="576"/>
      <c r="I55" s="576"/>
      <c r="J55" s="576"/>
      <c r="K55" s="576"/>
      <c r="L55" s="576"/>
    </row>
    <row r="56" spans="1:12" s="577" customFormat="1">
      <c r="A56" s="576" t="s">
        <v>2026</v>
      </c>
      <c r="B56" s="578" t="s">
        <v>2025</v>
      </c>
      <c r="C56" s="593">
        <f>build1_cooling_req/12000</f>
        <v>3.4207102106199141</v>
      </c>
      <c r="D56" s="644" t="s">
        <v>2283</v>
      </c>
      <c r="E56" s="577" t="s">
        <v>3584</v>
      </c>
      <c r="F56" s="576"/>
      <c r="G56" s="576"/>
      <c r="H56" s="576"/>
      <c r="I56" s="576"/>
      <c r="J56" s="576"/>
      <c r="K56" s="576"/>
      <c r="L56" s="576"/>
    </row>
    <row r="57" spans="1:12" s="577" customFormat="1">
      <c r="A57" s="576" t="s">
        <v>2024</v>
      </c>
      <c r="B57" s="578" t="s">
        <v>2023</v>
      </c>
      <c r="C57" s="590">
        <f>ROUNDUP(build1_cooling_tons/max_cool_cl,0)</f>
        <v>1</v>
      </c>
      <c r="D57" s="644"/>
      <c r="F57" s="576"/>
      <c r="G57" s="576"/>
      <c r="H57" s="576"/>
      <c r="I57" s="576"/>
      <c r="J57" s="576"/>
      <c r="K57" s="576"/>
      <c r="L57" s="576"/>
    </row>
    <row r="58" spans="1:12" s="577" customFormat="1">
      <c r="A58" s="576"/>
      <c r="B58" s="578"/>
      <c r="C58" s="590"/>
      <c r="D58" s="644"/>
      <c r="F58" s="576"/>
      <c r="G58" s="576"/>
      <c r="H58" s="576"/>
      <c r="I58" s="576"/>
      <c r="J58" s="576"/>
      <c r="K58" s="576"/>
      <c r="L58" s="576"/>
    </row>
    <row r="59" spans="1:12" s="577" customFormat="1">
      <c r="A59" s="576" t="s">
        <v>406</v>
      </c>
      <c r="B59" s="599"/>
      <c r="C59" s="594">
        <f>4*build2_side*Building_height*cool_DD*24/R_wall</f>
        <v>0</v>
      </c>
      <c r="D59" s="644" t="s">
        <v>1128</v>
      </c>
      <c r="F59" s="576"/>
      <c r="G59" s="576"/>
      <c r="H59" s="576"/>
      <c r="I59" s="576"/>
      <c r="J59" s="576"/>
      <c r="K59" s="576"/>
      <c r="L59" s="576"/>
    </row>
    <row r="60" spans="1:12" s="577" customFormat="1">
      <c r="A60" s="576" t="s">
        <v>407</v>
      </c>
      <c r="B60" s="600"/>
      <c r="C60" s="594">
        <f>build2_fp*cool_DD*24/R_ceiling</f>
        <v>0</v>
      </c>
      <c r="D60" s="644" t="s">
        <v>1128</v>
      </c>
      <c r="F60" s="576"/>
      <c r="G60" s="576"/>
      <c r="H60" s="576"/>
      <c r="I60" s="576"/>
      <c r="J60" s="576"/>
      <c r="K60" s="576"/>
      <c r="L60" s="576"/>
    </row>
    <row r="61" spans="1:12" s="577" customFormat="1">
      <c r="A61" s="576" t="s">
        <v>408</v>
      </c>
      <c r="B61" s="578"/>
      <c r="C61" s="590">
        <f>build2_cfm*cool_viload</f>
        <v>0</v>
      </c>
      <c r="D61" s="644" t="s">
        <v>1128</v>
      </c>
      <c r="F61" s="576"/>
      <c r="G61" s="576"/>
      <c r="H61" s="576"/>
      <c r="I61" s="576"/>
      <c r="J61" s="576"/>
      <c r="K61" s="576"/>
      <c r="L61" s="576"/>
    </row>
    <row r="62" spans="1:12" s="577" customFormat="1">
      <c r="A62" s="576" t="s">
        <v>2022</v>
      </c>
      <c r="B62" s="578" t="s">
        <v>2021</v>
      </c>
      <c r="C62" s="590">
        <f>SUM(C59:C61)</f>
        <v>0</v>
      </c>
      <c r="D62" s="644" t="s">
        <v>1128</v>
      </c>
      <c r="F62" s="576"/>
      <c r="G62" s="576"/>
      <c r="H62" s="576"/>
      <c r="I62" s="576"/>
      <c r="J62" s="576"/>
      <c r="K62" s="576"/>
      <c r="L62" s="576"/>
    </row>
    <row r="63" spans="1:12" s="577" customFormat="1">
      <c r="A63" s="576" t="s">
        <v>2020</v>
      </c>
      <c r="B63" s="578" t="s">
        <v>2019</v>
      </c>
      <c r="C63" s="590">
        <f>build2_cooling_loss_yr/365.25/24</f>
        <v>0</v>
      </c>
      <c r="D63" s="644" t="s">
        <v>2275</v>
      </c>
      <c r="F63" s="576"/>
      <c r="G63" s="576"/>
      <c r="H63" s="576"/>
      <c r="I63" s="576"/>
      <c r="J63" s="576"/>
      <c r="K63" s="576"/>
      <c r="L63" s="576"/>
    </row>
    <row r="64" spans="1:12" s="577" customFormat="1">
      <c r="A64" s="576"/>
      <c r="B64" s="578"/>
      <c r="C64" s="590"/>
      <c r="D64" s="644"/>
      <c r="F64" s="576"/>
      <c r="G64" s="576"/>
      <c r="H64" s="576"/>
      <c r="I64" s="576"/>
      <c r="J64" s="576"/>
      <c r="K64" s="576"/>
      <c r="L64" s="576"/>
    </row>
    <row r="65" spans="1:12">
      <c r="A65" s="576" t="s">
        <v>2018</v>
      </c>
      <c r="B65" s="578" t="s">
        <v>2017</v>
      </c>
      <c r="C65" s="591">
        <f>build2_cooling_loss_hr+IF(fp_required&lt;add_2nd_building,0,waste_heat_pumps+waste_heat_bw_pumps)</f>
        <v>0</v>
      </c>
      <c r="D65" s="644" t="s">
        <v>2275</v>
      </c>
    </row>
    <row r="66" spans="1:12">
      <c r="A66" s="576" t="s">
        <v>2016</v>
      </c>
      <c r="B66" s="578" t="s">
        <v>2015</v>
      </c>
      <c r="C66" s="591">
        <f>IF(fp_required&lt;add_2nd_building,0,(build1_cooling_loss_hr+waste_heat_pumps)*365.25*24+waste_heat_bw_pumps*back_pump_op_hours)</f>
        <v>0</v>
      </c>
      <c r="D66" s="644" t="s">
        <v>1128</v>
      </c>
    </row>
    <row r="67" spans="1:12">
      <c r="A67" s="576" t="s">
        <v>2014</v>
      </c>
      <c r="B67" s="578" t="s">
        <v>2013</v>
      </c>
      <c r="C67" s="593">
        <f>build2_cooling_req/12000</f>
        <v>0</v>
      </c>
      <c r="D67" s="644" t="s">
        <v>2283</v>
      </c>
      <c r="E67" s="577" t="s">
        <v>3584</v>
      </c>
    </row>
    <row r="68" spans="1:12">
      <c r="A68" s="576" t="s">
        <v>2012</v>
      </c>
      <c r="B68" s="578" t="s">
        <v>2011</v>
      </c>
      <c r="C68" s="590">
        <f>ROUNDUP(build2_cooling_tons/max_cool_cl,0)</f>
        <v>0</v>
      </c>
    </row>
    <row r="70" spans="1:12">
      <c r="A70" s="581" t="s">
        <v>2010</v>
      </c>
      <c r="F70" s="577"/>
    </row>
    <row r="71" spans="1:12">
      <c r="C71" s="592"/>
    </row>
    <row r="72" spans="1:12">
      <c r="A72" s="576" t="s">
        <v>2009</v>
      </c>
      <c r="B72" s="578" t="s">
        <v>2008</v>
      </c>
      <c r="C72" s="592">
        <f>MAX(build1_heat_zones, build1_cool_zones)</f>
        <v>1</v>
      </c>
    </row>
    <row r="73" spans="1:12">
      <c r="A73" s="576" t="s">
        <v>2007</v>
      </c>
      <c r="B73" s="578" t="s">
        <v>2006</v>
      </c>
      <c r="C73" s="592">
        <f>MAX(build2_heat_zones, build2_cool_zones)</f>
        <v>0</v>
      </c>
    </row>
    <row r="74" spans="1:12">
      <c r="C74" s="592"/>
    </row>
    <row r="75" spans="1:12">
      <c r="A75" s="576" t="s">
        <v>2005</v>
      </c>
      <c r="B75" s="578" t="s">
        <v>2004</v>
      </c>
      <c r="C75" s="591" t="b">
        <f>AND(build1_heat_mbh&lt;=hp_max_heat_cl,build1_cooling_tons&lt;=hp_max_cool_cl)</f>
        <v>1</v>
      </c>
      <c r="E75" s="577" t="s">
        <v>2003</v>
      </c>
    </row>
    <row r="76" spans="1:12">
      <c r="A76" s="576" t="s">
        <v>2002</v>
      </c>
      <c r="B76" s="578" t="s">
        <v>2001</v>
      </c>
      <c r="C76" s="591" t="b">
        <f>AND(build2_heat_mbh&lt;=hp_max_heat_cl,build2_cooling_tons&lt;=hp_max_cool_cl)</f>
        <v>1</v>
      </c>
    </row>
    <row r="77" spans="1:12">
      <c r="C77" s="591"/>
    </row>
    <row r="78" spans="1:12">
      <c r="A78" s="578" t="s">
        <v>1110</v>
      </c>
      <c r="B78" s="578" t="s">
        <v>2000</v>
      </c>
      <c r="F78" s="577"/>
    </row>
    <row r="79" spans="1:12">
      <c r="A79" s="581" t="s">
        <v>1991</v>
      </c>
      <c r="B79" s="581" t="s">
        <v>1998</v>
      </c>
      <c r="C79" s="581" t="s">
        <v>1997</v>
      </c>
      <c r="D79" s="581" t="s">
        <v>1988</v>
      </c>
      <c r="E79" s="581" t="s">
        <v>1987</v>
      </c>
      <c r="F79" s="581" t="s">
        <v>1986</v>
      </c>
      <c r="G79" s="581" t="s">
        <v>1985</v>
      </c>
      <c r="H79" s="581"/>
      <c r="I79" s="581" t="s">
        <v>1984</v>
      </c>
      <c r="J79" s="581"/>
      <c r="K79" s="581" t="s">
        <v>1983</v>
      </c>
      <c r="L79" s="581" t="s">
        <v>1982</v>
      </c>
    </row>
    <row r="80" spans="1:12">
      <c r="A80" s="576" t="s">
        <v>854</v>
      </c>
      <c r="B80" s="586">
        <f>build1_heat_mbh/build1_zones</f>
        <v>63.913219794437907</v>
      </c>
      <c r="C80" s="586">
        <f>IF(curve=1,B80,VLOOKUP(B80,hvac_elec_cost_cl,2))</f>
        <v>63.913219794437907</v>
      </c>
      <c r="D80" s="646">
        <f>IF(curve=1,hvac_elec_eq_1,VLOOKUP(B80,hvac_elec_cost_cl,3))</f>
        <v>28042.750531622205</v>
      </c>
      <c r="E80" s="586">
        <f>VLOOKUP(B80,hvac_elec_cost_cl,IF(ss_cat="large",4,5))</f>
        <v>25</v>
      </c>
      <c r="F80" s="585">
        <f>IF(D80="contact vendor","n/a",-PMT(Discount_rate,E80,D80)*build1_zones)</f>
        <v>2406.3629274085974</v>
      </c>
      <c r="G80" s="584">
        <f>build1_heat_loss_yr/3412000/resist_eff</f>
        <v>167.55487377025946</v>
      </c>
      <c r="H80" s="576" t="s">
        <v>179</v>
      </c>
      <c r="I80" s="583">
        <f>energy_cost_cl</f>
        <v>0.106</v>
      </c>
      <c r="J80" s="582" t="s">
        <v>46</v>
      </c>
      <c r="K80" s="579">
        <f>I80*G80*1000</f>
        <v>17760.816619647503</v>
      </c>
      <c r="L80" s="580">
        <f t="shared" ref="L80:L85" si="0">IF(OR(F80="n/a",K80="n/a"),"n/a",F80+K80)</f>
        <v>20167.179547056101</v>
      </c>
    </row>
    <row r="81" spans="1:12">
      <c r="A81" s="576" t="s">
        <v>855</v>
      </c>
      <c r="B81" s="1005" t="s">
        <v>1996</v>
      </c>
      <c r="C81" s="1005"/>
      <c r="D81" s="1005"/>
      <c r="E81" s="1005"/>
      <c r="F81" s="586" t="s">
        <v>1995</v>
      </c>
      <c r="G81" s="584">
        <f>IF(hp_ok_1,build1_heat_loss_yr/3412000/COP,"n/a")</f>
        <v>49.758720089349779</v>
      </c>
      <c r="H81" s="576" t="s">
        <v>179</v>
      </c>
      <c r="I81" s="583">
        <f>energy_cost_cl</f>
        <v>0.106</v>
      </c>
      <c r="J81" s="582" t="s">
        <v>46</v>
      </c>
      <c r="K81" s="579">
        <f>IF(G81="n/a","n/a",I81*G81*1000)</f>
        <v>5274.4243294710768</v>
      </c>
      <c r="L81" s="580" t="str">
        <f t="shared" si="0"/>
        <v>n/a</v>
      </c>
    </row>
    <row r="82" spans="1:12">
      <c r="A82" s="576" t="s">
        <v>856</v>
      </c>
      <c r="B82" s="586">
        <f>build1_heat_mbh/build1_zones</f>
        <v>63.913219794437907</v>
      </c>
      <c r="C82" s="586">
        <f>IF(curve=1,B82,VLOOKUP(B82,hvac_gas_non_cost_cl,2))</f>
        <v>63.913219794437907</v>
      </c>
      <c r="D82" s="646">
        <f>IF(curve=1,hvac_gas_non_eq_1,VLOOKUP(B82,hvac_gas_non_cost_cl,3))</f>
        <v>20055.27367186885</v>
      </c>
      <c r="E82" s="586">
        <f>VLOOKUP(B82,hvac_gas_non_cost_cl,IF(ss_cat="large",4,5))</f>
        <v>25</v>
      </c>
      <c r="F82" s="585">
        <f>IF(D82="contact vendor","n/a",-PMT(Discount_rate,E82,D82)*build1_zones)</f>
        <v>1720.9534067850639</v>
      </c>
      <c r="G82" s="590">
        <f>build1_heat_loss_yr/100000/gas_non_eff</f>
        <v>6591.3327613887377</v>
      </c>
      <c r="H82" s="576" t="s">
        <v>857</v>
      </c>
      <c r="I82" s="589">
        <f>gas_cost_cl</f>
        <v>1.7879</v>
      </c>
      <c r="J82" s="588" t="s">
        <v>2738</v>
      </c>
      <c r="K82" s="579">
        <f>I82*G82</f>
        <v>11784.643844086924</v>
      </c>
      <c r="L82" s="580">
        <f t="shared" si="0"/>
        <v>13505.597250871988</v>
      </c>
    </row>
    <row r="83" spans="1:12">
      <c r="A83" s="576" t="s">
        <v>2739</v>
      </c>
      <c r="B83" s="586">
        <f>build1_heat_mbh/build1_zones</f>
        <v>63.913219794437907</v>
      </c>
      <c r="C83" s="586">
        <f>IF(curve=1,B83,VLOOKUP(B83,hvac_gas_cost_cl,2))</f>
        <v>63.913219794437907</v>
      </c>
      <c r="D83" s="646">
        <f>IF(curve=1,hvac_gas_eq_1,VLOOKUP(B83,hvac_gas_cost_cl,3))</f>
        <v>20055.27367186885</v>
      </c>
      <c r="E83" s="586">
        <f>VLOOKUP(B83,hvac_gas_cost_cl,IF(ss_cat="large",4,5))</f>
        <v>25</v>
      </c>
      <c r="F83" s="585">
        <f>IF(D83="contact vendor","n/a",-PMT(Discount_rate,E83,D83)*build1_zones)</f>
        <v>1720.9534067850639</v>
      </c>
      <c r="G83" s="590">
        <f>build1_heat_loss_yr/100000/gas_eff</f>
        <v>6225.1476079782524</v>
      </c>
      <c r="H83" s="576" t="s">
        <v>857</v>
      </c>
      <c r="I83" s="589">
        <f>gas_cost_cl</f>
        <v>1.7879</v>
      </c>
      <c r="J83" s="588" t="s">
        <v>2738</v>
      </c>
      <c r="K83" s="579">
        <f>I83*G83</f>
        <v>11129.941408304318</v>
      </c>
      <c r="L83" s="580">
        <f t="shared" si="0"/>
        <v>12850.894815089381</v>
      </c>
    </row>
    <row r="84" spans="1:12">
      <c r="A84" s="576" t="s">
        <v>12</v>
      </c>
      <c r="B84" s="586">
        <f>build1_heat_mbh/build1_zones</f>
        <v>63.913219794437907</v>
      </c>
      <c r="C84" s="586">
        <f>IF(curve=1,B84,VLOOKUP(B84,hvac_oil_std_cost_cl,2))</f>
        <v>63.913219794437907</v>
      </c>
      <c r="D84" s="646">
        <f>IF(curve=1,hvac_oil_std_eq_1,VLOOKUP(B84,hvac_oil_std_cost_cl,3))</f>
        <v>22923.873568235111</v>
      </c>
      <c r="E84" s="586">
        <f>VLOOKUP(B84,hvac_oil_std_cost_cl,IF(ss_cat="large",4,5))</f>
        <v>25</v>
      </c>
      <c r="F84" s="585">
        <f>IF(D84="contact vendor","n/a",-PMT(Discount_rate,E84,D84)*build1_zones)</f>
        <v>1967.1094475914003</v>
      </c>
      <c r="G84" s="590">
        <f>build1_heat_loss_yr/diesel_heat_content/diesel_non_eff</f>
        <v>4915.4525769261518</v>
      </c>
      <c r="H84" s="576" t="s">
        <v>2740</v>
      </c>
      <c r="I84" s="589">
        <f>diesel_cost_cl</f>
        <v>3.8295007720020586</v>
      </c>
      <c r="J84" s="588" t="s">
        <v>2741</v>
      </c>
      <c r="K84" s="579">
        <f>I84*G84</f>
        <v>18823.729438078208</v>
      </c>
      <c r="L84" s="580">
        <f t="shared" si="0"/>
        <v>20790.838885669607</v>
      </c>
    </row>
    <row r="85" spans="1:12">
      <c r="A85" s="576" t="s">
        <v>13</v>
      </c>
      <c r="B85" s="586">
        <f>build1_heat_mbh/build1_zones</f>
        <v>63.913219794437907</v>
      </c>
      <c r="C85" s="586">
        <f>IF(curve=1,B85,VLOOKUP(B85,hvac_oil_mid_cost_cl,2))</f>
        <v>63.913219794437907</v>
      </c>
      <c r="D85" s="646">
        <f>IF(curve=1,hvac_oil_mid_eq_1,VLOOKUP(B85,hvac_oil_mid_cost_cl,3))</f>
        <v>22923.873568235111</v>
      </c>
      <c r="E85" s="586">
        <f>VLOOKUP(B85,hvac_oil_mid_cost_cl,IF(ss_cat="large",4,5))</f>
        <v>25</v>
      </c>
      <c r="F85" s="585">
        <f>IF(D85="contact vendor","n/a",-PMT(Discount_rate,E85,D85)*build1_zones)</f>
        <v>1967.1094475914003</v>
      </c>
      <c r="G85" s="590">
        <f>build1_heat_loss_yr/diesel_heat_content/diesel_eff</f>
        <v>4478.5234589771599</v>
      </c>
      <c r="H85" s="576" t="s">
        <v>2740</v>
      </c>
      <c r="I85" s="589">
        <f>diesel_cost_cl</f>
        <v>3.8295007720020586</v>
      </c>
      <c r="J85" s="588" t="s">
        <v>2741</v>
      </c>
      <c r="K85" s="579">
        <f>I85*G85</f>
        <v>17150.509043582362</v>
      </c>
      <c r="L85" s="580">
        <f t="shared" si="0"/>
        <v>19117.618491173762</v>
      </c>
    </row>
    <row r="86" spans="1:12">
      <c r="F86" s="577"/>
    </row>
    <row r="87" spans="1:12">
      <c r="A87" s="578" t="s">
        <v>1111</v>
      </c>
      <c r="B87" s="578" t="s">
        <v>1999</v>
      </c>
      <c r="F87" s="577"/>
    </row>
    <row r="88" spans="1:12">
      <c r="A88" s="581" t="s">
        <v>1991</v>
      </c>
      <c r="B88" s="581" t="s">
        <v>1998</v>
      </c>
      <c r="C88" s="581" t="s">
        <v>1997</v>
      </c>
      <c r="D88" s="581" t="s">
        <v>1988</v>
      </c>
      <c r="E88" s="581" t="s">
        <v>1987</v>
      </c>
      <c r="F88" s="581" t="s">
        <v>1986</v>
      </c>
      <c r="G88" s="581" t="s">
        <v>1985</v>
      </c>
      <c r="H88" s="581"/>
      <c r="I88" s="581" t="s">
        <v>1984</v>
      </c>
      <c r="J88" s="581"/>
      <c r="K88" s="581" t="s">
        <v>1983</v>
      </c>
      <c r="L88" s="581" t="s">
        <v>1982</v>
      </c>
    </row>
    <row r="89" spans="1:12">
      <c r="A89" s="576" t="s">
        <v>854</v>
      </c>
      <c r="B89" s="586" t="e">
        <f>build2_heat_mbh/build2_zones</f>
        <v>#DIV/0!</v>
      </c>
      <c r="C89" s="586" t="e">
        <f>IF(curve=1,B89,VLOOKUP(B89,hvac_elec_cost_cl,2))</f>
        <v>#DIV/0!</v>
      </c>
      <c r="D89" s="646">
        <f>IF(curve=1,hvac_elec_eq_2,VLOOKUP(B89,hvac_elec_cost_cl,3))</f>
        <v>0</v>
      </c>
      <c r="E89" s="586" t="e">
        <f>VLOOKUP(B89,hvac_elec_cost_cl,IF(ss_cat="large",4,5))</f>
        <v>#DIV/0!</v>
      </c>
      <c r="F89" s="585" t="e">
        <f>IF(D89="contact vendor","n/a",-PMT(Discount_rate,E89,D89)*build2_zones)</f>
        <v>#DIV/0!</v>
      </c>
      <c r="G89" s="584">
        <f>build2_heat_loss_yr/3412000/resist_eff</f>
        <v>0</v>
      </c>
      <c r="H89" s="576" t="s">
        <v>179</v>
      </c>
      <c r="I89" s="583">
        <f>energy_cost_cl</f>
        <v>0.106</v>
      </c>
      <c r="J89" s="582" t="s">
        <v>46</v>
      </c>
      <c r="K89" s="579">
        <f>I89*G89*1000</f>
        <v>0</v>
      </c>
      <c r="L89" s="580" t="e">
        <f>IF(F89="n/a","n/a",F89+K89)</f>
        <v>#DIV/0!</v>
      </c>
    </row>
    <row r="90" spans="1:12">
      <c r="A90" s="576" t="s">
        <v>855</v>
      </c>
      <c r="B90" s="1005" t="s">
        <v>1996</v>
      </c>
      <c r="C90" s="1005"/>
      <c r="D90" s="1005"/>
      <c r="E90" s="1005"/>
      <c r="F90" s="586" t="s">
        <v>1995</v>
      </c>
      <c r="G90" s="584">
        <f>IF(hp_ok_2,build2_heat_loss_yr/3412000/COP,"n/a")</f>
        <v>0</v>
      </c>
      <c r="H90" s="576" t="s">
        <v>179</v>
      </c>
      <c r="I90" s="583">
        <f>energy_cost_cl</f>
        <v>0.106</v>
      </c>
      <c r="J90" s="582" t="s">
        <v>46</v>
      </c>
      <c r="K90" s="579">
        <f>IF(G90="n/a","n/a",I90*G90*1000)</f>
        <v>0</v>
      </c>
      <c r="L90" s="580" t="str">
        <f>IF(OR(F90="n/a",K90="n/a"),"n/a",F90+K90)</f>
        <v>n/a</v>
      </c>
    </row>
    <row r="91" spans="1:12">
      <c r="A91" s="576" t="s">
        <v>856</v>
      </c>
      <c r="B91" s="586" t="e">
        <f>build2_heat_mbh/build2_zones</f>
        <v>#DIV/0!</v>
      </c>
      <c r="C91" s="586" t="e">
        <f>IF(curve=1,B91,VLOOKUP(B91,hvac_gas_non_cost_cl,2))</f>
        <v>#DIV/0!</v>
      </c>
      <c r="D91" s="646">
        <f>IF(curve=1,hvac_gas_non_eq_2,VLOOKUP(B91,hvac_gas_non_cost_cl,3))</f>
        <v>0</v>
      </c>
      <c r="E91" s="586" t="e">
        <f>VLOOKUP(B91,hvac_gas_non_cost_cl,IF(ss_cat="large",4,5))</f>
        <v>#DIV/0!</v>
      </c>
      <c r="F91" s="585" t="e">
        <f>IF(D91="contact vendor","n/a",-PMT(Discount_rate,E91,D91)*build2_zones)</f>
        <v>#DIV/0!</v>
      </c>
      <c r="G91" s="590">
        <f>build2_heat_loss_yr/100000/gas_non_eff</f>
        <v>0</v>
      </c>
      <c r="H91" s="576" t="s">
        <v>857</v>
      </c>
      <c r="I91" s="589">
        <f>gas_cost_cl</f>
        <v>1.7879</v>
      </c>
      <c r="J91" s="588" t="s">
        <v>2738</v>
      </c>
      <c r="K91" s="579">
        <f>I91*G91</f>
        <v>0</v>
      </c>
      <c r="L91" s="580" t="e">
        <f>IF(F91="n/a","n/a",F91+K91)</f>
        <v>#DIV/0!</v>
      </c>
    </row>
    <row r="92" spans="1:12">
      <c r="A92" s="576" t="s">
        <v>2739</v>
      </c>
      <c r="B92" s="586" t="e">
        <f>build2_heat_mbh/build2_zones</f>
        <v>#DIV/0!</v>
      </c>
      <c r="C92" s="586" t="e">
        <f>IF(curve=1,B92,VLOOKUP(B92,hvac_gas_cost_cl,2))</f>
        <v>#DIV/0!</v>
      </c>
      <c r="D92" s="646">
        <f>IF(curve=1,hvac_gas_eq_2,VLOOKUP(B92,hvac_gas_cost_cl,3))</f>
        <v>0</v>
      </c>
      <c r="E92" s="586" t="e">
        <f>VLOOKUP(B92,hvac_gas_cost_cl,IF(ss_cat="large",4,5))</f>
        <v>#DIV/0!</v>
      </c>
      <c r="F92" s="585" t="e">
        <f>IF(D92="contact vendor","n/a",-PMT(Discount_rate,E92,D92)*build2_zones)</f>
        <v>#DIV/0!</v>
      </c>
      <c r="G92" s="590">
        <f>build2_heat_loss_yr/100000/gas_eff</f>
        <v>0</v>
      </c>
      <c r="H92" s="576" t="s">
        <v>857</v>
      </c>
      <c r="I92" s="589">
        <f>gas_cost_cl</f>
        <v>1.7879</v>
      </c>
      <c r="J92" s="588" t="s">
        <v>2738</v>
      </c>
      <c r="K92" s="579">
        <f>I92*G92</f>
        <v>0</v>
      </c>
      <c r="L92" s="580" t="e">
        <f>IF(F92="n/a","n/a",F92+K92)</f>
        <v>#DIV/0!</v>
      </c>
    </row>
    <row r="93" spans="1:12">
      <c r="A93" s="576" t="s">
        <v>12</v>
      </c>
      <c r="B93" s="586" t="e">
        <f>build2_heat_mbh/build2_zones</f>
        <v>#DIV/0!</v>
      </c>
      <c r="C93" s="586" t="e">
        <f>IF(curve=1,B93,VLOOKUP(B93,hvac_oil_std_cost_cl,2))</f>
        <v>#DIV/0!</v>
      </c>
      <c r="D93" s="646">
        <f>IF(curve=1,hvac_oil_std_eq_2,VLOOKUP(B93,hvac_oil_std_cost_cl,3))</f>
        <v>0</v>
      </c>
      <c r="E93" s="586" t="e">
        <f>VLOOKUP(B93,hvac_oil_std_cost_cl,IF(ss_cat="large",4,5))</f>
        <v>#DIV/0!</v>
      </c>
      <c r="F93" s="585" t="e">
        <f>IF(D93="contact vendor","n/a",-PMT(Discount_rate,E93,D93)*build2_zones)</f>
        <v>#DIV/0!</v>
      </c>
      <c r="G93" s="590">
        <f>build2_heat_loss_yr/diesel_heat_content/diesel_non_eff</f>
        <v>0</v>
      </c>
      <c r="H93" s="576" t="s">
        <v>2740</v>
      </c>
      <c r="I93" s="589">
        <f>diesel_cost_cl</f>
        <v>3.8295007720020586</v>
      </c>
      <c r="J93" s="588" t="s">
        <v>2741</v>
      </c>
      <c r="K93" s="579">
        <f>I93*G93</f>
        <v>0</v>
      </c>
      <c r="L93" s="580" t="e">
        <f>IF(F93="n/a","n/a",F93+K93)</f>
        <v>#DIV/0!</v>
      </c>
    </row>
    <row r="94" spans="1:12">
      <c r="A94" s="576" t="s">
        <v>13</v>
      </c>
      <c r="B94" s="586" t="e">
        <f>build2_heat_mbh/build2_zones</f>
        <v>#DIV/0!</v>
      </c>
      <c r="C94" s="586" t="e">
        <f>IF(curve=1,B94,VLOOKUP(B94,hvac_oil_mid_cost_cl,2))</f>
        <v>#DIV/0!</v>
      </c>
      <c r="D94" s="646">
        <f>IF(curve=1,hvac_oil_mid_eq_2,VLOOKUP(B94,hvac_oil_mid_cost_cl,3))</f>
        <v>0</v>
      </c>
      <c r="E94" s="586" t="e">
        <f>VLOOKUP(B94,hvac_oil_mid_cost_cl,IF(ss_cat="large",4,5))</f>
        <v>#DIV/0!</v>
      </c>
      <c r="F94" s="585" t="e">
        <f>IF(D94="contact vendor","n/a",-PMT(Discount_rate,E94,D94)*build2_zones)</f>
        <v>#DIV/0!</v>
      </c>
      <c r="G94" s="590">
        <f>build2_heat_loss_yr/diesel_heat_content/diesel_eff</f>
        <v>0</v>
      </c>
      <c r="H94" s="576" t="s">
        <v>2740</v>
      </c>
      <c r="I94" s="589">
        <f>diesel_cost_cl</f>
        <v>3.8295007720020586</v>
      </c>
      <c r="J94" s="588" t="s">
        <v>2741</v>
      </c>
      <c r="K94" s="579">
        <f>I94*G94</f>
        <v>0</v>
      </c>
      <c r="L94" s="580" t="e">
        <f>IF(F94="n/a","n/a",F94+K94)</f>
        <v>#DIV/0!</v>
      </c>
    </row>
    <row r="96" spans="1:12">
      <c r="A96" s="581" t="s">
        <v>1994</v>
      </c>
      <c r="F96" s="577"/>
    </row>
    <row r="97" spans="1:12">
      <c r="A97" s="578" t="s">
        <v>1110</v>
      </c>
      <c r="B97" s="578" t="s">
        <v>1993</v>
      </c>
      <c r="F97" s="577"/>
    </row>
    <row r="98" spans="1:12">
      <c r="A98" s="581" t="s">
        <v>1991</v>
      </c>
      <c r="B98" s="581" t="s">
        <v>1990</v>
      </c>
      <c r="C98" s="581" t="s">
        <v>1989</v>
      </c>
      <c r="D98" s="581" t="s">
        <v>1988</v>
      </c>
      <c r="E98" s="581" t="s">
        <v>1987</v>
      </c>
      <c r="F98" s="581" t="s">
        <v>1986</v>
      </c>
      <c r="G98" s="581" t="s">
        <v>1985</v>
      </c>
      <c r="H98" s="581"/>
      <c r="I98" s="581" t="s">
        <v>1984</v>
      </c>
      <c r="J98" s="581"/>
      <c r="K98" s="581" t="s">
        <v>1983</v>
      </c>
      <c r="L98" s="581" t="s">
        <v>1982</v>
      </c>
    </row>
    <row r="99" spans="1:12">
      <c r="A99" s="576" t="s">
        <v>1968</v>
      </c>
      <c r="B99" s="587">
        <f>build1_cooling_tons/build1_zones</f>
        <v>3.4207102106199141</v>
      </c>
      <c r="C99" s="587">
        <f>IF(curve=1,B99,VLOOKUP(B99,hvac_ac_cost_cl,2))</f>
        <v>3.4207102106199141</v>
      </c>
      <c r="D99" s="646">
        <f>IF(curve=1,hvac_ac_eq_1,VLOOKUP(B99,hvac_ac_cost_cl,3))</f>
        <v>9846.7536373311304</v>
      </c>
      <c r="E99" s="586">
        <f>VLOOKUP(B99,hvac_ac_cost_cl,IF(ss_cat="large",4,5))</f>
        <v>25</v>
      </c>
      <c r="F99" s="585">
        <f>IF(D99="contact vendor","n/a",-PMT(Discount_rate,E99,D99)*build1_zones)</f>
        <v>844.95502256385475</v>
      </c>
      <c r="G99" s="584">
        <f>build1_cooling_yr/EER/10^6</f>
        <v>28.344496061941832</v>
      </c>
      <c r="H99" s="576" t="s">
        <v>179</v>
      </c>
      <c r="I99" s="583">
        <f>energy_cost_cl</f>
        <v>0.106</v>
      </c>
      <c r="J99" s="582" t="s">
        <v>46</v>
      </c>
      <c r="K99" s="579">
        <f>I99*G99*1000</f>
        <v>3004.5165825658341</v>
      </c>
      <c r="L99" s="580">
        <f>IF(F99="n/a","n/a",F99+K99)</f>
        <v>3849.4716051296891</v>
      </c>
    </row>
    <row r="100" spans="1:12">
      <c r="A100" s="576" t="s">
        <v>855</v>
      </c>
      <c r="B100" s="587">
        <f>build1_cooling_tons/build1_zones</f>
        <v>3.4207102106199141</v>
      </c>
      <c r="C100" s="587">
        <f>IF(hp_ok_1,IF(curve=1,B100,VLOOKUP(B100,hvac_hp_cost_cl,2)),"n/a")</f>
        <v>3.4207102106199141</v>
      </c>
      <c r="D100" s="646">
        <f>IF(C100="n/a","n/a",IF(curve=1,hvac_hp_eq_1,VLOOKUP(B100,hvac_hp_cost_cl,3)))</f>
        <v>6813.4291959534476</v>
      </c>
      <c r="E100" s="586">
        <f>IF(C100="n/a","n/a",VLOOKUP(B100,hvac_hp_cost_cl,IF(ss_cat="large",4,5)))</f>
        <v>25</v>
      </c>
      <c r="F100" s="585">
        <f>IF(OR(D100="contact vendor",D100="n/a"),"n/a",-PMT(Discount_rate,E100,D100)*build1_zones)</f>
        <v>584.66388335114914</v>
      </c>
      <c r="G100" s="584">
        <f>IF(C100="n/a","n/a",build1_cooling_yr/hp_EER/10^6)</f>
        <v>28.344496061941832</v>
      </c>
      <c r="H100" s="576" t="s">
        <v>179</v>
      </c>
      <c r="I100" s="583">
        <f>energy_cost_cl</f>
        <v>0.106</v>
      </c>
      <c r="J100" s="582" t="s">
        <v>46</v>
      </c>
      <c r="K100" s="579">
        <f>IF(C100="n/a","n/a",I100*G100*1000)</f>
        <v>3004.5165825658341</v>
      </c>
      <c r="L100" s="580">
        <f>IF(F100="n/a","n/a",F100+K100)</f>
        <v>3589.1804659169834</v>
      </c>
    </row>
    <row r="102" spans="1:12">
      <c r="A102" s="578" t="s">
        <v>1111</v>
      </c>
      <c r="B102" s="578" t="s">
        <v>1992</v>
      </c>
    </row>
    <row r="103" spans="1:12">
      <c r="A103" s="581" t="s">
        <v>1991</v>
      </c>
      <c r="B103" s="581" t="s">
        <v>1990</v>
      </c>
      <c r="C103" s="581" t="s">
        <v>1989</v>
      </c>
      <c r="D103" s="581" t="s">
        <v>1988</v>
      </c>
      <c r="E103" s="581" t="s">
        <v>1987</v>
      </c>
      <c r="F103" s="581" t="s">
        <v>1986</v>
      </c>
      <c r="G103" s="581" t="s">
        <v>1985</v>
      </c>
      <c r="H103" s="581"/>
      <c r="I103" s="581" t="s">
        <v>1984</v>
      </c>
      <c r="J103" s="581"/>
      <c r="K103" s="581" t="s">
        <v>1983</v>
      </c>
      <c r="L103" s="581" t="s">
        <v>1982</v>
      </c>
    </row>
    <row r="104" spans="1:12">
      <c r="A104" s="576" t="s">
        <v>1968</v>
      </c>
      <c r="B104" s="587" t="e">
        <f>build2_cooling_tons/build2_zones</f>
        <v>#DIV/0!</v>
      </c>
      <c r="C104" s="587" t="e">
        <f>IF(curve=1,B104,VLOOKUP(B104,hvac_ac_cost_cl,2))</f>
        <v>#DIV/0!</v>
      </c>
      <c r="D104" s="646">
        <f>IF(curve=1,hvac_ac_eq_2,VLOOKUP(B104,hvac_ac_cost_cl,3))</f>
        <v>0</v>
      </c>
      <c r="E104" s="586" t="e">
        <f>VLOOKUP(B104,hvac_ac_cost_cl,IF(ss_cat="large",4,5))</f>
        <v>#DIV/0!</v>
      </c>
      <c r="F104" s="585" t="e">
        <f>IF(D104="contact vendor","n/a",-PMT(Discount_rate,E104,D104)*build2_zones)</f>
        <v>#DIV/0!</v>
      </c>
      <c r="G104" s="584">
        <f>build2_cooling_yr/EER/10^6</f>
        <v>0</v>
      </c>
      <c r="H104" s="576" t="s">
        <v>179</v>
      </c>
      <c r="I104" s="583">
        <f>energy_cost_cl</f>
        <v>0.106</v>
      </c>
      <c r="J104" s="582" t="s">
        <v>46</v>
      </c>
      <c r="K104" s="579">
        <f>I104*G104*1000</f>
        <v>0</v>
      </c>
      <c r="L104" s="580" t="e">
        <f>IF(F104="n/a","n/a",F104+K104)</f>
        <v>#DIV/0!</v>
      </c>
    </row>
    <row r="105" spans="1:12">
      <c r="A105" s="576" t="s">
        <v>855</v>
      </c>
      <c r="B105" s="587" t="e">
        <f>build2_cooling_tons/build2_zones</f>
        <v>#DIV/0!</v>
      </c>
      <c r="C105" s="587" t="e">
        <f>IF(hp_ok_2,IF(curve=1,B105,VLOOKUP(B105,hvac_hp_cost_cl,2)),"n/a")</f>
        <v>#DIV/0!</v>
      </c>
      <c r="D105" s="646" t="e">
        <f>IF(C105="n/a","n/a",IF(curve=1,hvac_hp_eq_2,VLOOKUP(B105,hvac_hp_cost_cl,3)))</f>
        <v>#DIV/0!</v>
      </c>
      <c r="E105" s="586" t="e">
        <f>IF(C105="n/a","n/a",VLOOKUP(B105,hvac_hp_cost_cl,IF(ss_cat="large",4,5)))</f>
        <v>#DIV/0!</v>
      </c>
      <c r="F105" s="585" t="e">
        <f>IF(OR(D105="contact vendor",D105="n/a"),"n/a",-PMT(Discount_rate,E105,D105)*build2_zones)</f>
        <v>#DIV/0!</v>
      </c>
      <c r="G105" s="584" t="e">
        <f>IF(C105="n/a","n/a",build2_cooling_yr/hp_EER/10^6)</f>
        <v>#DIV/0!</v>
      </c>
      <c r="H105" s="576" t="s">
        <v>179</v>
      </c>
      <c r="I105" s="583">
        <f>energy_cost_cl</f>
        <v>0.106</v>
      </c>
      <c r="J105" s="582" t="s">
        <v>46</v>
      </c>
      <c r="K105" s="579" t="e">
        <f>IF(C105="n/a","n/a",I105*G105*1000)</f>
        <v>#DIV/0!</v>
      </c>
      <c r="L105" s="580" t="e">
        <f>IF(F105="n/a","n/a",F105+K105)</f>
        <v>#DIV/0!</v>
      </c>
    </row>
    <row r="108" spans="1:12">
      <c r="A108" s="581" t="s">
        <v>1981</v>
      </c>
      <c r="E108" s="577" t="s">
        <v>1980</v>
      </c>
    </row>
    <row r="110" spans="1:12">
      <c r="A110" s="578" t="s">
        <v>1979</v>
      </c>
      <c r="E110" s="576"/>
    </row>
    <row r="111" spans="1:12">
      <c r="A111" s="581" t="s">
        <v>1972</v>
      </c>
      <c r="B111" s="581" t="s">
        <v>1970</v>
      </c>
      <c r="C111" s="581" t="s">
        <v>1971</v>
      </c>
      <c r="D111" s="581" t="s">
        <v>1970</v>
      </c>
      <c r="E111" s="581" t="s">
        <v>1969</v>
      </c>
    </row>
    <row r="112" spans="1:12">
      <c r="A112" s="576" t="s">
        <v>854</v>
      </c>
      <c r="B112" s="579">
        <f>IF(build1_need_heat,VLOOKUP(A112,build1_heat_options,12,FALSE),0)</f>
        <v>20167.179547056101</v>
      </c>
      <c r="C112" s="576" t="s">
        <v>1968</v>
      </c>
      <c r="D112" s="647">
        <f>IF(build1_need_cool,VLOOKUP(C112,build1_cool_options,12,FALSE),0)</f>
        <v>0</v>
      </c>
      <c r="E112" s="579">
        <f t="shared" ref="E112:E117" si="1">IF(OR(B112="n/a",D112="n/a"),"n/a",ROUND(B112+D112,0))</f>
        <v>20167</v>
      </c>
    </row>
    <row r="113" spans="1:5">
      <c r="A113" s="576" t="s">
        <v>856</v>
      </c>
      <c r="B113" s="579">
        <f>IF(build1_need_heat,VLOOKUP(A113,build1_heat_options,12,FALSE),0)</f>
        <v>13505.597250871988</v>
      </c>
      <c r="C113" s="576" t="s">
        <v>1968</v>
      </c>
      <c r="D113" s="647">
        <f>IF(build1_need_cool,VLOOKUP(C113,build1_cool_options,12,FALSE),0)</f>
        <v>0</v>
      </c>
      <c r="E113" s="579">
        <f t="shared" si="1"/>
        <v>13506</v>
      </c>
    </row>
    <row r="114" spans="1:5">
      <c r="A114" s="576" t="s">
        <v>2739</v>
      </c>
      <c r="B114" s="579">
        <f>IF(build1_need_heat,VLOOKUP(A114,build1_heat_options,12,FALSE),0)</f>
        <v>12850.894815089381</v>
      </c>
      <c r="C114" s="576" t="s">
        <v>1968</v>
      </c>
      <c r="D114" s="647">
        <f>IF(build1_need_cool,VLOOKUP(C114,build1_cool_options,12,FALSE),0)</f>
        <v>0</v>
      </c>
      <c r="E114" s="579">
        <f t="shared" si="1"/>
        <v>12851</v>
      </c>
    </row>
    <row r="115" spans="1:5">
      <c r="A115" s="576" t="s">
        <v>12</v>
      </c>
      <c r="B115" s="579">
        <f>IF(build1_need_heat,VLOOKUP(A115,build1_heat_options,12,FALSE),0)</f>
        <v>20790.838885669607</v>
      </c>
      <c r="C115" s="576" t="s">
        <v>1968</v>
      </c>
      <c r="D115" s="647">
        <f>IF(build1_need_cool,VLOOKUP(C115,build1_cool_options,12,FALSE),0)</f>
        <v>0</v>
      </c>
      <c r="E115" s="579">
        <f t="shared" si="1"/>
        <v>20791</v>
      </c>
    </row>
    <row r="116" spans="1:5">
      <c r="A116" s="576" t="s">
        <v>13</v>
      </c>
      <c r="B116" s="579">
        <f>IF(build1_need_heat,VLOOKUP(A116,build1_heat_options,12,FALSE),0)</f>
        <v>19117.618491173762</v>
      </c>
      <c r="C116" s="576" t="s">
        <v>1968</v>
      </c>
      <c r="D116" s="647">
        <f>IF(build1_need_cool,VLOOKUP(C116,build1_cool_options,12,FALSE),0)</f>
        <v>0</v>
      </c>
      <c r="E116" s="579">
        <f t="shared" si="1"/>
        <v>19118</v>
      </c>
    </row>
    <row r="117" spans="1:5">
      <c r="A117" s="576" t="s">
        <v>855</v>
      </c>
      <c r="B117" s="580" t="str">
        <f>IF(AND(build1_need_heat, build1_need_cool),K81,"n/a")</f>
        <v>n/a</v>
      </c>
      <c r="C117" s="576" t="s">
        <v>855</v>
      </c>
      <c r="D117" s="647">
        <f>IF(AND(build1_need_heat,build1_need_cool),VLOOKUP(C117,build1_cool_options,12,FALSE),0)</f>
        <v>0</v>
      </c>
      <c r="E117" s="579" t="str">
        <f t="shared" si="1"/>
        <v>n/a</v>
      </c>
    </row>
    <row r="118" spans="1:5">
      <c r="B118" s="576"/>
      <c r="D118" s="647"/>
      <c r="E118" s="579"/>
    </row>
    <row r="119" spans="1:5">
      <c r="A119" s="576" t="s">
        <v>1967</v>
      </c>
      <c r="B119" s="578" t="s">
        <v>1978</v>
      </c>
      <c r="C119" s="576">
        <f>MATCH(MIN(E112:E117),E112:E117,0)</f>
        <v>3</v>
      </c>
      <c r="D119" s="647"/>
      <c r="E119" s="579"/>
    </row>
    <row r="120" spans="1:5">
      <c r="A120" s="576" t="s">
        <v>1977</v>
      </c>
      <c r="B120" s="578" t="s">
        <v>1976</v>
      </c>
      <c r="C120" s="576" t="str">
        <f>IF(build1_need_heat,INDEX(A112:A117,build1_row),"n/a")</f>
        <v>Natural gas condensing furnace</v>
      </c>
      <c r="D120" s="647"/>
      <c r="E120" s="579"/>
    </row>
    <row r="121" spans="1:5">
      <c r="A121" s="576" t="s">
        <v>1975</v>
      </c>
      <c r="B121" s="578" t="s">
        <v>1974</v>
      </c>
      <c r="C121" s="576" t="str">
        <f>IF(build1_need_cool,INDEX(C112:C117,build1_row),"n/a")</f>
        <v>n/a</v>
      </c>
      <c r="D121" s="647"/>
      <c r="E121" s="579"/>
    </row>
    <row r="122" spans="1:5">
      <c r="B122" s="576"/>
      <c r="D122" s="647"/>
      <c r="E122" s="579"/>
    </row>
    <row r="124" spans="1:5">
      <c r="A124" s="578" t="s">
        <v>1973</v>
      </c>
      <c r="E124" s="576"/>
    </row>
    <row r="125" spans="1:5">
      <c r="A125" s="581" t="s">
        <v>1972</v>
      </c>
      <c r="B125" s="581" t="s">
        <v>1970</v>
      </c>
      <c r="C125" s="581" t="s">
        <v>1971</v>
      </c>
      <c r="D125" s="581" t="s">
        <v>1970</v>
      </c>
      <c r="E125" s="581" t="s">
        <v>1969</v>
      </c>
    </row>
    <row r="126" spans="1:5">
      <c r="A126" s="576" t="s">
        <v>854</v>
      </c>
      <c r="B126" s="579">
        <f>IF(build2_need_heat,VLOOKUP(A126,build2_heat_options,12,FALSE),0)</f>
        <v>0</v>
      </c>
      <c r="C126" s="576" t="s">
        <v>1968</v>
      </c>
      <c r="D126" s="647">
        <f>IF(build2_need_cool,VLOOKUP(C126,build2_cool_options,12,FALSE),0)</f>
        <v>0</v>
      </c>
      <c r="E126" s="579">
        <f t="shared" ref="E126:E131" si="2">IF(OR(B126="n/a",D126="n/a"),"n/a",ROUND(B126+D126,0))</f>
        <v>0</v>
      </c>
    </row>
    <row r="127" spans="1:5">
      <c r="A127" s="576" t="s">
        <v>856</v>
      </c>
      <c r="B127" s="579">
        <f>IF(build2_need_heat,VLOOKUP(A127,build2_heat_options,12,FALSE),0)</f>
        <v>0</v>
      </c>
      <c r="C127" s="576" t="s">
        <v>1968</v>
      </c>
      <c r="D127" s="647">
        <f>IF(build2_need_cool,VLOOKUP(C127,build2_cool_options,12,FALSE),0)</f>
        <v>0</v>
      </c>
      <c r="E127" s="579">
        <f t="shared" si="2"/>
        <v>0</v>
      </c>
    </row>
    <row r="128" spans="1:5">
      <c r="A128" s="576" t="s">
        <v>2739</v>
      </c>
      <c r="B128" s="579">
        <f>IF(build2_need_heat,VLOOKUP(A128,build2_heat_options,12,FALSE),0)</f>
        <v>0</v>
      </c>
      <c r="C128" s="576" t="s">
        <v>1968</v>
      </c>
      <c r="D128" s="647">
        <f>IF(build2_need_cool,VLOOKUP(C128,build2_cool_options,12,FALSE),0)</f>
        <v>0</v>
      </c>
      <c r="E128" s="579">
        <f t="shared" si="2"/>
        <v>0</v>
      </c>
    </row>
    <row r="129" spans="1:5">
      <c r="A129" s="576" t="s">
        <v>12</v>
      </c>
      <c r="B129" s="579">
        <f>IF(build2_need_heat,VLOOKUP(A129,build2_heat_options,12,FALSE),0)</f>
        <v>0</v>
      </c>
      <c r="C129" s="576" t="s">
        <v>1968</v>
      </c>
      <c r="D129" s="647">
        <f>IF(build2_need_cool,VLOOKUP(C129,build2_cool_options,12,FALSE),0)</f>
        <v>0</v>
      </c>
      <c r="E129" s="579">
        <f t="shared" si="2"/>
        <v>0</v>
      </c>
    </row>
    <row r="130" spans="1:5">
      <c r="A130" s="576" t="s">
        <v>13</v>
      </c>
      <c r="B130" s="579">
        <f>IF(build2_need_heat,VLOOKUP(A130,build2_heat_options,12,FALSE),0)</f>
        <v>0</v>
      </c>
      <c r="C130" s="576" t="s">
        <v>1968</v>
      </c>
      <c r="D130" s="647">
        <f>IF(build2_need_cool,VLOOKUP(C130,build2_cool_options,12,FALSE),0)</f>
        <v>0</v>
      </c>
      <c r="E130" s="579">
        <f t="shared" si="2"/>
        <v>0</v>
      </c>
    </row>
    <row r="131" spans="1:5">
      <c r="A131" s="576" t="s">
        <v>855</v>
      </c>
      <c r="B131" s="580" t="str">
        <f>IF(AND(build2_need_heat, build2_need_cool),K90,"n/a")</f>
        <v>n/a</v>
      </c>
      <c r="C131" s="576" t="s">
        <v>855</v>
      </c>
      <c r="D131" s="647">
        <f>IF(AND(build1_need_heat,build2_need_cool),VLOOKUP(C131,build2_cool_options,12,FALSE),0)</f>
        <v>0</v>
      </c>
      <c r="E131" s="579" t="str">
        <f t="shared" si="2"/>
        <v>n/a</v>
      </c>
    </row>
    <row r="132" spans="1:5">
      <c r="B132" s="576"/>
      <c r="D132" s="647"/>
      <c r="E132" s="579"/>
    </row>
    <row r="133" spans="1:5">
      <c r="A133" s="576" t="s">
        <v>1967</v>
      </c>
      <c r="B133" s="578" t="s">
        <v>1966</v>
      </c>
      <c r="C133" s="576">
        <f>MATCH(MIN(E126:E131),E126:E131,0)</f>
        <v>1</v>
      </c>
      <c r="D133" s="647"/>
      <c r="E133" s="579"/>
    </row>
    <row r="134" spans="1:5">
      <c r="A134" s="576" t="s">
        <v>1965</v>
      </c>
      <c r="B134" s="578" t="s">
        <v>1964</v>
      </c>
      <c r="C134" s="576" t="str">
        <f>IF(build2_need_heat,INDEX(A126:A131,build2_row),"n/a")</f>
        <v>n/a</v>
      </c>
      <c r="D134" s="647"/>
      <c r="E134" s="579"/>
    </row>
    <row r="135" spans="1:5">
      <c r="A135" s="576" t="s">
        <v>1963</v>
      </c>
      <c r="B135" s="578" t="s">
        <v>1962</v>
      </c>
      <c r="C135" s="576" t="str">
        <f>IF(build2_need_cool,INDEX(C126:C131,build2_row),"n/a")</f>
        <v>n/a</v>
      </c>
      <c r="D135" s="647"/>
      <c r="E135" s="579"/>
    </row>
  </sheetData>
  <mergeCells count="2">
    <mergeCell ref="B81:E81"/>
    <mergeCell ref="B90:E90"/>
  </mergeCells>
  <phoneticPr fontId="53"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7"/>
  <sheetViews>
    <sheetView zoomScaleNormal="100" workbookViewId="0">
      <pane ySplit="3" topLeftCell="A4" activePane="bottomLeft" state="frozen"/>
      <selection activeCell="D18" sqref="D18"/>
      <selection pane="bottomLeft"/>
    </sheetView>
  </sheetViews>
  <sheetFormatPr baseColWidth="10" defaultColWidth="8.83203125" defaultRowHeight="13"/>
  <cols>
    <col min="1" max="1" width="36.6640625" customWidth="1"/>
    <col min="2" max="2" width="22.6640625" customWidth="1"/>
    <col min="3" max="3" width="13.6640625" customWidth="1"/>
    <col min="4" max="4" width="13.1640625" customWidth="1"/>
  </cols>
  <sheetData>
    <row r="1" spans="1:5">
      <c r="A1" s="1" t="s">
        <v>2960</v>
      </c>
    </row>
    <row r="3" spans="1:5">
      <c r="A3" s="206" t="s">
        <v>2950</v>
      </c>
      <c r="B3" s="206" t="s">
        <v>277</v>
      </c>
      <c r="C3" s="207" t="s">
        <v>278</v>
      </c>
      <c r="D3" s="206" t="s">
        <v>279</v>
      </c>
      <c r="E3" s="206" t="s">
        <v>280</v>
      </c>
    </row>
    <row r="4" spans="1:5">
      <c r="A4" s="2" t="s">
        <v>3194</v>
      </c>
      <c r="B4" s="1"/>
      <c r="C4" s="208"/>
      <c r="D4" s="1"/>
      <c r="E4" s="1"/>
    </row>
    <row r="5" spans="1:5">
      <c r="A5" s="724" t="s">
        <v>3182</v>
      </c>
      <c r="B5" s="3" t="s">
        <v>2591</v>
      </c>
      <c r="C5" s="654">
        <f>IF(include_buildings_I="no",0,1)</f>
        <v>0</v>
      </c>
      <c r="D5" s="526" t="s">
        <v>3195</v>
      </c>
      <c r="E5" s="1"/>
    </row>
    <row r="6" spans="1:5">
      <c r="A6" s="724" t="s">
        <v>3188</v>
      </c>
      <c r="B6" s="3" t="s">
        <v>2596</v>
      </c>
      <c r="C6" s="654">
        <f>IF(include_land_I="no",0,1)</f>
        <v>0</v>
      </c>
      <c r="D6" s="526" t="s">
        <v>3195</v>
      </c>
      <c r="E6" s="1"/>
    </row>
    <row r="7" spans="1:5">
      <c r="A7" s="1"/>
      <c r="B7" s="1"/>
      <c r="C7" s="208"/>
      <c r="D7" s="1"/>
      <c r="E7" s="1"/>
    </row>
    <row r="8" spans="1:5">
      <c r="A8" s="2" t="s">
        <v>2239</v>
      </c>
    </row>
    <row r="9" spans="1:5">
      <c r="A9" s="108" t="s">
        <v>1723</v>
      </c>
      <c r="C9" s="49">
        <f>pump_energy*design_flow/average_flow/365/24*1000</f>
        <v>21.649961953549099</v>
      </c>
      <c r="D9" t="s">
        <v>601</v>
      </c>
    </row>
    <row r="10" spans="1:5">
      <c r="A10" s="108" t="s">
        <v>2164</v>
      </c>
      <c r="C10" s="49">
        <f>IF(include_buildings=0,0,(build1_fp*lighting_energy_1+build2_fp*lighting_energy_2)/365/24)</f>
        <v>0</v>
      </c>
      <c r="D10" t="s">
        <v>601</v>
      </c>
    </row>
    <row r="11" spans="1:5">
      <c r="A11" s="108" t="s">
        <v>2214</v>
      </c>
      <c r="B11" s="3"/>
      <c r="C11" s="75">
        <f>IF(include_HVAC=0,0,0.746*fan_pressure_drop*build1_fp*Building_height*air_changes_build1/33000)</f>
        <v>1.0884818181818183</v>
      </c>
      <c r="D11" t="s">
        <v>601</v>
      </c>
    </row>
    <row r="12" spans="1:5">
      <c r="A12" s="108" t="s">
        <v>2215</v>
      </c>
      <c r="B12" s="3"/>
      <c r="C12" s="75">
        <f>IF(include_HVAC=0,0,0.746*fan_pressure_drop*build2_fp*Building_height*air_changes_build2/33000)</f>
        <v>0</v>
      </c>
      <c r="D12" t="s">
        <v>601</v>
      </c>
    </row>
    <row r="13" spans="1:5">
      <c r="A13" s="108" t="s">
        <v>602</v>
      </c>
      <c r="B13" s="3" t="s">
        <v>603</v>
      </c>
      <c r="C13" s="82">
        <f>SUM(C9:C12)</f>
        <v>22.738443771730918</v>
      </c>
      <c r="D13" t="s">
        <v>601</v>
      </c>
    </row>
    <row r="14" spans="1:5">
      <c r="A14" s="108"/>
      <c r="B14" s="3"/>
      <c r="C14" s="82"/>
    </row>
    <row r="15" spans="1:5">
      <c r="A15" s="108" t="s">
        <v>2100</v>
      </c>
      <c r="B15" s="3" t="s">
        <v>2101</v>
      </c>
      <c r="C15" s="72" t="b">
        <f>IF(build1_need_heat=1,VLOOKUP(build1_heat,build1_heat_options,8,FALSE)="MWh/yr",FALSE)</f>
        <v>0</v>
      </c>
    </row>
    <row r="16" spans="1:5">
      <c r="A16" s="108" t="s">
        <v>2102</v>
      </c>
      <c r="B16" s="3" t="s">
        <v>2103</v>
      </c>
      <c r="C16" s="604">
        <f>IF(build1_elec_heat,VLOOKUP(build1_heat,build1_heat_options,7,FALSE),0)*365.25*24/1000</f>
        <v>0</v>
      </c>
      <c r="D16" t="s">
        <v>601</v>
      </c>
    </row>
    <row r="17" spans="1:4">
      <c r="A17" s="108" t="s">
        <v>2104</v>
      </c>
      <c r="B17" s="3" t="s">
        <v>2105</v>
      </c>
      <c r="C17" s="72" t="b">
        <f>IF(build2_need_heat,(VLOOKUP(build2_heat,build2_heat_options,8,FALSE)="MWh/yr"),FALSE)</f>
        <v>0</v>
      </c>
    </row>
    <row r="18" spans="1:4">
      <c r="A18" s="108" t="s">
        <v>2106</v>
      </c>
      <c r="B18" s="3" t="s">
        <v>2107</v>
      </c>
      <c r="C18" s="604">
        <f>IF(build2_elec_heat,VLOOKUP(build2_heat,build2_heat_options,7,FALSE),0)*365.25*24/1000</f>
        <v>0</v>
      </c>
      <c r="D18" t="s">
        <v>601</v>
      </c>
    </row>
    <row r="19" spans="1:4">
      <c r="A19" s="108" t="s">
        <v>604</v>
      </c>
      <c r="B19" s="3" t="s">
        <v>605</v>
      </c>
      <c r="C19" s="604">
        <f>build1_elec_heat_power+build2_elec_heat_power</f>
        <v>0</v>
      </c>
      <c r="D19" t="s">
        <v>601</v>
      </c>
    </row>
    <row r="20" spans="1:4">
      <c r="A20" s="108"/>
    </row>
    <row r="21" spans="1:4">
      <c r="A21" s="108" t="s">
        <v>2108</v>
      </c>
      <c r="B21" s="3" t="s">
        <v>2109</v>
      </c>
      <c r="C21" s="72" t="b">
        <f>IF(build1_need_cool,(VLOOKUP(build1_cool,build1_cool_options,8,FALSE)="MWh/yr"),FALSE)</f>
        <v>0</v>
      </c>
    </row>
    <row r="22" spans="1:4">
      <c r="A22" s="108" t="s">
        <v>2110</v>
      </c>
      <c r="B22" s="3" t="s">
        <v>2111</v>
      </c>
      <c r="C22" s="604">
        <f>IF(build1_elec_cool,VLOOKUP(build1_cool,build1_cool_options,7,FALSE),0)*365.25*24/1000</f>
        <v>0</v>
      </c>
      <c r="D22" t="s">
        <v>601</v>
      </c>
    </row>
    <row r="23" spans="1:4">
      <c r="A23" s="108" t="s">
        <v>2112</v>
      </c>
      <c r="B23" s="3" t="s">
        <v>2113</v>
      </c>
      <c r="C23" s="72" t="b">
        <f>IF(build2_need_cool,(VLOOKUP(build2_cool,build2_cool_options,8,FALSE)="MWh/yr"),FALSE)</f>
        <v>0</v>
      </c>
    </row>
    <row r="24" spans="1:4">
      <c r="A24" s="108" t="s">
        <v>2114</v>
      </c>
      <c r="B24" s="3" t="s">
        <v>2115</v>
      </c>
      <c r="C24" s="604">
        <f>IF(build2_elec_cool,VLOOKUP(build2_cool,build2_cool_options,7,FALSE),0)*365.25*24/1000</f>
        <v>0</v>
      </c>
      <c r="D24" t="s">
        <v>601</v>
      </c>
    </row>
    <row r="25" spans="1:4">
      <c r="A25" s="108" t="s">
        <v>1835</v>
      </c>
      <c r="B25" s="3" t="s">
        <v>1836</v>
      </c>
      <c r="C25" s="604">
        <f>build1_elec_cool_power+build2_elec_cool_power</f>
        <v>0</v>
      </c>
      <c r="D25" t="s">
        <v>601</v>
      </c>
    </row>
    <row r="26" spans="1:4">
      <c r="A26" s="108"/>
    </row>
    <row r="27" spans="1:4">
      <c r="A27" s="108" t="s">
        <v>1837</v>
      </c>
      <c r="B27" s="3" t="s">
        <v>1838</v>
      </c>
      <c r="C27" s="49">
        <f>ROUNDUP(2*MAX(min_standby,(IF(AND(need_heat=1,need_cool=1),MAX(std_heat,std_cool),need_heat*std_heat+need_cool*std_cool)+std_base)*(1+std_safety_factor)),0)/2</f>
        <v>23</v>
      </c>
      <c r="D27" t="s">
        <v>601</v>
      </c>
    </row>
    <row r="28" spans="1:4">
      <c r="A28" s="108" t="s">
        <v>1839</v>
      </c>
      <c r="B28" s="3" t="s">
        <v>1840</v>
      </c>
      <c r="C28" s="7">
        <f>VLOOKUP(std_power,std_gen_cost_cl,3)*std_power</f>
        <v>15180</v>
      </c>
    </row>
    <row r="30" spans="1:4">
      <c r="A30" s="2" t="s">
        <v>234</v>
      </c>
    </row>
    <row r="31" spans="1:4">
      <c r="A31" s="108" t="s">
        <v>1841</v>
      </c>
      <c r="B31" s="3" t="s">
        <v>1842</v>
      </c>
      <c r="C31" s="49">
        <f>total_fp+ep_fp+solids_pad_area</f>
        <v>3470</v>
      </c>
      <c r="D31" t="s">
        <v>1067</v>
      </c>
    </row>
    <row r="32" spans="1:4">
      <c r="A32" s="108" t="s">
        <v>484</v>
      </c>
      <c r="B32" s="3" t="s">
        <v>485</v>
      </c>
      <c r="C32" s="49">
        <f>IF(res_holding="basins",hbasin_depth,0)</f>
        <v>0</v>
      </c>
      <c r="D32" t="s">
        <v>61</v>
      </c>
    </row>
    <row r="33" spans="1:4">
      <c r="A33" s="108" t="s">
        <v>1714</v>
      </c>
      <c r="B33" s="3" t="s">
        <v>1715</v>
      </c>
      <c r="C33">
        <f>IF(max_excav_depth=0,bore_depth_nobasin,IF(max_excav_depth&gt;deep_bore_need,bore_depth_max,bore_depth_min))</f>
        <v>10</v>
      </c>
      <c r="D33" s="5" t="s">
        <v>61</v>
      </c>
    </row>
    <row r="34" spans="1:4">
      <c r="A34" s="108" t="s">
        <v>1843</v>
      </c>
      <c r="B34" s="3" t="s">
        <v>1844</v>
      </c>
      <c r="C34" s="49">
        <f>IF(OR(max_excav_depth&gt;0,tech_fp&gt;bore_need),0,ROUNDUP(tech_fp/hole_per_sf,0))</f>
        <v>0</v>
      </c>
    </row>
    <row r="35" spans="1:4">
      <c r="A35" s="108" t="s">
        <v>1845</v>
      </c>
      <c r="B35" s="3" t="s">
        <v>1846</v>
      </c>
      <c r="C35" s="49">
        <f>IF(AND(max_excav_depth=0,tech_fp&lt;bore_need),0,IF(ROUNDUP(tech_fp/hole_per_sf,0)&lt;min_holes,min_holes,ROUNDUP(tech_fp/hole_per_sf,0)))</f>
        <v>4</v>
      </c>
    </row>
    <row r="36" spans="1:4">
      <c r="B36" s="3"/>
      <c r="C36" s="49"/>
    </row>
    <row r="37" spans="1:4">
      <c r="A37" s="661" t="s">
        <v>1847</v>
      </c>
      <c r="B37" s="3"/>
      <c r="C37" s="49"/>
    </row>
    <row r="38" spans="1:4">
      <c r="A38" s="108" t="s">
        <v>1848</v>
      </c>
      <c r="C38" s="7">
        <f>IF(num_pits&gt;0,1,ROUNDUP(num_holes/hole_per_job,0))*VLOOKUP(0,stake_out_cost_cl,3)</f>
        <v>1475</v>
      </c>
    </row>
    <row r="39" spans="1:4">
      <c r="A39" s="108" t="s">
        <v>1849</v>
      </c>
      <c r="C39" s="7">
        <f>ROUNDUP(num_holes/hole_per_job,0)*VLOOKUP(0,bore_draw_cost_cl,3)</f>
        <v>425</v>
      </c>
    </row>
    <row r="40" spans="1:4">
      <c r="A40" s="108" t="s">
        <v>1850</v>
      </c>
      <c r="C40" s="7">
        <f>IF(num_pits&gt;0,1,ROUNDUP(num_holes/hole_per_job,0))*VLOOKUP(0,bore_report_cost_cl,3)</f>
        <v>970</v>
      </c>
    </row>
    <row r="41" spans="1:4">
      <c r="A41" s="108" t="s">
        <v>1851</v>
      </c>
      <c r="C41" s="7">
        <f>IF(num_pits&gt;0,0,1)*VLOOKUP(0,bore_mob_cost_cl,3)</f>
        <v>660</v>
      </c>
    </row>
    <row r="42" spans="1:4">
      <c r="A42" s="108" t="s">
        <v>1852</v>
      </c>
      <c r="C42" s="7">
        <f>ROUNDUP(bore_depth*num_holes/hole_per_day,0)*VLOOKUP(0,bore_rig_cost_cl,3)</f>
        <v>2650</v>
      </c>
    </row>
    <row r="43" spans="1:4">
      <c r="A43" s="108" t="s">
        <v>1853</v>
      </c>
      <c r="C43" s="7">
        <f>num_holes*bore_depth*VLOOKUP(0,bore_cost_cl,3)</f>
        <v>2560</v>
      </c>
    </row>
    <row r="44" spans="1:4">
      <c r="A44" s="108" t="s">
        <v>1854</v>
      </c>
      <c r="C44" s="7">
        <f>pit_width*pit_length*pit_depth/27*num_pits*VLOOKUP(0,pit_cost_cl,3)</f>
        <v>0</v>
      </c>
    </row>
    <row r="45" spans="1:4">
      <c r="A45" s="108" t="s">
        <v>1855</v>
      </c>
      <c r="B45" s="3" t="s">
        <v>1856</v>
      </c>
      <c r="C45" s="7">
        <f>SUM(C38:C44)</f>
        <v>8740</v>
      </c>
    </row>
    <row r="46" spans="1:4">
      <c r="A46" s="108"/>
    </row>
    <row r="47" spans="1:4">
      <c r="A47" s="108" t="s">
        <v>1857</v>
      </c>
      <c r="B47" s="3" t="s">
        <v>1858</v>
      </c>
      <c r="C47" s="7">
        <f>(tech_fp-ep_fp)*sitework_sf_cl</f>
        <v>52713.494505494506</v>
      </c>
    </row>
    <row r="49" spans="1:5">
      <c r="A49" s="2" t="s">
        <v>2236</v>
      </c>
    </row>
    <row r="50" spans="1:5">
      <c r="A50" s="108" t="s">
        <v>2795</v>
      </c>
      <c r="B50" s="3" t="s">
        <v>2796</v>
      </c>
      <c r="C50">
        <f>SUMPRODUCT(OUTPUT!G105:G109,OUTPUT!L105:L109)</f>
        <v>10</v>
      </c>
      <c r="D50" t="s">
        <v>1331</v>
      </c>
      <c r="E50" s="6" t="s">
        <v>3455</v>
      </c>
    </row>
    <row r="51" spans="1:5">
      <c r="A51" s="108" t="s">
        <v>2797</v>
      </c>
      <c r="B51" s="3" t="s">
        <v>2798</v>
      </c>
      <c r="C51">
        <f>MAX(frost,min_trench_depth)</f>
        <v>38</v>
      </c>
      <c r="D51" t="s">
        <v>972</v>
      </c>
    </row>
    <row r="52" spans="1:5">
      <c r="A52" s="108" t="s">
        <v>2799</v>
      </c>
      <c r="B52" s="3" t="s">
        <v>1185</v>
      </c>
      <c r="C52" s="49">
        <f>VLOOKUP(yard_pipe_diam,thrust_block_table_cl,2)*2.2</f>
        <v>17189.503372607793</v>
      </c>
      <c r="D52" t="s">
        <v>264</v>
      </c>
    </row>
    <row r="53" spans="1:5">
      <c r="A53" s="108" t="s">
        <v>1186</v>
      </c>
      <c r="B53" s="3" t="s">
        <v>1187</v>
      </c>
      <c r="C53">
        <f>1.5*thrust_force/(soil_dens*(trench_depth/12+yard_pipe_diam/12)*Coeff_Kp*Reduction)</f>
        <v>47.433451545861359</v>
      </c>
      <c r="D53" t="s">
        <v>851</v>
      </c>
    </row>
    <row r="54" spans="1:5">
      <c r="A54" s="108" t="s">
        <v>1188</v>
      </c>
      <c r="B54" s="3"/>
      <c r="C54">
        <f>bearing_area/C55</f>
        <v>9.739964224355381</v>
      </c>
      <c r="D54" t="s">
        <v>2843</v>
      </c>
    </row>
    <row r="55" spans="1:5">
      <c r="A55" s="108" t="s">
        <v>1189</v>
      </c>
      <c r="B55" s="3"/>
      <c r="C55">
        <f>(bearing_area/2)^0.5</f>
        <v>4.8699821121776905</v>
      </c>
      <c r="D55" t="s">
        <v>2843</v>
      </c>
    </row>
    <row r="56" spans="1:5">
      <c r="A56" s="108" t="s">
        <v>1190</v>
      </c>
      <c r="B56" s="3"/>
      <c r="C56">
        <f>MAX(0.5,yard_pipe_diam/12)</f>
        <v>0.83333333333333337</v>
      </c>
      <c r="D56" t="s">
        <v>2843</v>
      </c>
      <c r="E56" s="6" t="s">
        <v>1191</v>
      </c>
    </row>
    <row r="57" spans="1:5">
      <c r="A57" s="108" t="s">
        <v>1192</v>
      </c>
      <c r="B57" s="3"/>
      <c r="C57">
        <f>C54/2</f>
        <v>4.8699821121776905</v>
      </c>
      <c r="D57" t="s">
        <v>2843</v>
      </c>
    </row>
    <row r="58" spans="1:5">
      <c r="A58" s="108" t="s">
        <v>1193</v>
      </c>
      <c r="B58" s="3" t="s">
        <v>1194</v>
      </c>
      <c r="C58">
        <f>(C57+(yard_pipe_diam/12)/2)*(C54+C56)/2*C55/27</f>
        <v>5.0410907934552354</v>
      </c>
      <c r="D58" t="s">
        <v>1349</v>
      </c>
    </row>
    <row r="59" spans="1:5">
      <c r="A59" s="108" t="s">
        <v>1195</v>
      </c>
      <c r="B59" s="3" t="s">
        <v>1196</v>
      </c>
      <c r="C59" s="83">
        <f>(yard_pipe_diam/12+2)*(bedding_depth/12+yard_pipe_diam/12+trench_depth/12)+(bedding_depth/12+yard_pipe_diam/12+trench_depth/12)^2*TAN(trench_angle)</f>
        <v>33</v>
      </c>
      <c r="D59" t="s">
        <v>851</v>
      </c>
    </row>
    <row r="60" spans="1:5">
      <c r="A60" s="108" t="s">
        <v>1197</v>
      </c>
      <c r="B60" s="3"/>
      <c r="C60" s="9">
        <f>trench_area*yard_in/27</f>
        <v>0</v>
      </c>
      <c r="D60" t="s">
        <v>1349</v>
      </c>
    </row>
    <row r="61" spans="1:5">
      <c r="A61" s="108" t="s">
        <v>3464</v>
      </c>
      <c r="B61" s="3"/>
      <c r="C61" s="83">
        <f>((2*non_fire_buffer)+2*(build1_fp^0.5)/4)*trench_area/27</f>
        <v>60.442986938945459</v>
      </c>
      <c r="D61" t="s">
        <v>1349</v>
      </c>
    </row>
    <row r="62" spans="1:5">
      <c r="A62" s="108" t="s">
        <v>1860</v>
      </c>
      <c r="B62" s="3"/>
      <c r="C62" s="83">
        <f>IF(build2_fp=0,0,((2*non_fire_buffer)+2*(build2_fp^0.5)/4)*trench_area/27)</f>
        <v>0</v>
      </c>
      <c r="D62" t="s">
        <v>1349</v>
      </c>
    </row>
    <row r="63" spans="1:5">
      <c r="A63" s="108" t="s">
        <v>1718</v>
      </c>
      <c r="C63" s="9">
        <f>trench_area*yard_out/27</f>
        <v>0</v>
      </c>
      <c r="D63" t="s">
        <v>1349</v>
      </c>
    </row>
    <row r="64" spans="1:5">
      <c r="A64" s="108" t="s">
        <v>1719</v>
      </c>
      <c r="B64" s="3" t="s">
        <v>1720</v>
      </c>
      <c r="C64" s="9">
        <f>SUM(C60:C63)+block_vol</f>
        <v>65.484077732400692</v>
      </c>
      <c r="D64" t="s">
        <v>1349</v>
      </c>
    </row>
    <row r="65" spans="1:5">
      <c r="A65" s="108" t="s">
        <v>1721</v>
      </c>
      <c r="B65" s="3" t="s">
        <v>1722</v>
      </c>
      <c r="C65" s="9">
        <f>yard_in+yard_out+2*((2*non_fire_buffer)+2*(build1_fp^0.5)/4+IF(build2_fp=0,0,((2*non_fire_buffer)+2*(build2_fp^0.5)/4))+2*(trench_depth+yard_pipe_diam)/12)</f>
        <v>114.90670590009256</v>
      </c>
      <c r="D65" t="s">
        <v>1330</v>
      </c>
    </row>
    <row r="66" spans="1:5">
      <c r="A66" s="108" t="s">
        <v>2193</v>
      </c>
      <c r="B66" s="3"/>
      <c r="C66" s="84">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851</v>
      </c>
    </row>
    <row r="67" spans="1:5">
      <c r="A67" s="108" t="s">
        <v>1800</v>
      </c>
      <c r="B67" s="3" t="s">
        <v>1801</v>
      </c>
      <c r="C67">
        <f>C66*yard_pipe_length/2/27</f>
        <v>5.1113295473541243</v>
      </c>
      <c r="D67" t="s">
        <v>1349</v>
      </c>
    </row>
    <row r="69" spans="1:5">
      <c r="A69" s="661" t="s">
        <v>1847</v>
      </c>
    </row>
    <row r="70" spans="1:5">
      <c r="A70" s="108" t="s">
        <v>1802</v>
      </c>
      <c r="C70" s="80">
        <f>VLOOKUP(0,bedding_cost_cl,3)*bedding_vol</f>
        <v>231.79879497250954</v>
      </c>
    </row>
    <row r="71" spans="1:5">
      <c r="A71" s="108" t="s">
        <v>1803</v>
      </c>
      <c r="C71" s="80">
        <f>trench_vol*VLOOKUP(0,excavate_cost_cl,3)</f>
        <v>2022.1483203765331</v>
      </c>
    </row>
    <row r="72" spans="1:5">
      <c r="A72" s="108" t="s">
        <v>1804</v>
      </c>
      <c r="C72" s="80">
        <f>trench_vol*VLOOKUP(0,backfill_cost_cl,3)</f>
        <v>1221.2780497092729</v>
      </c>
    </row>
    <row r="73" spans="1:5">
      <c r="A73" s="108" t="s">
        <v>1805</v>
      </c>
      <c r="C73" s="80">
        <f>block_vol*VLOOKUP(0,conc_basin_cost_cl,3)</f>
        <v>3728.4189242229577</v>
      </c>
    </row>
    <row r="74" spans="1:5">
      <c r="A74" s="108" t="s">
        <v>1806</v>
      </c>
      <c r="C74" s="80">
        <f>yard_pipe_length*SUMPRODUCT(OUTPUT!I105:I109,OUTPUT!L105:L109)</f>
        <v>2200.2556971127819</v>
      </c>
      <c r="E74" s="6" t="s">
        <v>3455</v>
      </c>
    </row>
    <row r="75" spans="1:5">
      <c r="A75" s="108" t="s">
        <v>1807</v>
      </c>
      <c r="B75" s="3" t="s">
        <v>1808</v>
      </c>
      <c r="C75" s="85">
        <f>SUM(C70:C74)</f>
        <v>9403.8997863940549</v>
      </c>
    </row>
    <row r="77" spans="1:5">
      <c r="A77" s="2" t="s">
        <v>2242</v>
      </c>
    </row>
    <row r="78" spans="1:5">
      <c r="A78" s="108" t="s">
        <v>2649</v>
      </c>
      <c r="C78" s="7">
        <f>SUMPRODUCT(OUTPUT!K304:K316,OUTPUT!L304:L316)</f>
        <v>25</v>
      </c>
      <c r="E78" s="6" t="s">
        <v>2650</v>
      </c>
    </row>
    <row r="79" spans="1:5">
      <c r="A79" s="108" t="s">
        <v>2651</v>
      </c>
      <c r="C79" s="7">
        <f>SUMPRODUCT(OUTPUT!K318:K330,OUTPUT!L318:L330)</f>
        <v>0</v>
      </c>
      <c r="E79" s="6" t="s">
        <v>2650</v>
      </c>
    </row>
    <row r="80" spans="1:5">
      <c r="A80" s="108" t="s">
        <v>884</v>
      </c>
      <c r="C80" s="7">
        <f>VLOOKUP(design_flow,UBC_mult_table_cl,3)*(BPCost_UBC97(C78)+BPCost_UBC97(C79))</f>
        <v>37.6</v>
      </c>
      <c r="E80" s="6" t="s">
        <v>3441</v>
      </c>
    </row>
    <row r="81" spans="1:5">
      <c r="A81" s="108" t="s">
        <v>885</v>
      </c>
      <c r="C81" s="7">
        <f>IF(res_s2_opt=1,VLOOKUP(res_flow_annual/365,NPDES_permit_cost_cl,2),0)</f>
        <v>0</v>
      </c>
      <c r="E81" s="6" t="s">
        <v>834</v>
      </c>
    </row>
    <row r="82" spans="1:5">
      <c r="A82" s="660" t="s">
        <v>3442</v>
      </c>
      <c r="C82" s="7">
        <f>IF(res_s2_opt=2,pretreat_permit_cost_cl,0)</f>
        <v>0</v>
      </c>
      <c r="E82" s="6" t="s">
        <v>3443</v>
      </c>
    </row>
    <row r="83" spans="1:5">
      <c r="A83" s="108" t="s">
        <v>835</v>
      </c>
      <c r="C83" s="7">
        <f>VLOOKUP(land_required,SW_permit_cost_cl,2)</f>
        <v>0</v>
      </c>
      <c r="E83" s="6" t="s">
        <v>836</v>
      </c>
    </row>
    <row r="84" spans="1:5">
      <c r="A84" s="108" t="s">
        <v>792</v>
      </c>
      <c r="C84" s="80">
        <v>0</v>
      </c>
      <c r="E84" s="6" t="s">
        <v>3232</v>
      </c>
    </row>
    <row r="85" spans="1:5">
      <c r="A85" s="660" t="s">
        <v>793</v>
      </c>
      <c r="B85" s="526"/>
      <c r="C85" s="851">
        <f>CHOOSE(include_NEPA,IF(res_s2_opt=1,NEPA_SW_cost_cl,0),IF(res_s2_opt=1,NEPA_SW_cost_cl,VLOOKUP(land_required,NEPA_cost_cl,2)),0)</f>
        <v>0</v>
      </c>
      <c r="D85" s="526"/>
      <c r="E85" s="657" t="s">
        <v>3444</v>
      </c>
    </row>
    <row r="86" spans="1:5">
      <c r="A86" s="108" t="s">
        <v>794</v>
      </c>
      <c r="B86" s="3" t="s">
        <v>795</v>
      </c>
      <c r="C86" s="74">
        <f>SUM(C80:C85)</f>
        <v>37.6</v>
      </c>
    </row>
    <row r="88" spans="1:5">
      <c r="A88" s="2" t="s">
        <v>1898</v>
      </c>
    </row>
    <row r="89" spans="1:5">
      <c r="A89" s="108" t="s">
        <v>2556</v>
      </c>
      <c r="C89" s="74">
        <f>br_ins_pct*direct_cost</f>
        <v>2191.3045137770573</v>
      </c>
    </row>
    <row r="90" spans="1:5">
      <c r="A90" s="108" t="s">
        <v>1899</v>
      </c>
      <c r="C90" s="74">
        <f>include_bond*(VLOOKUP(direct_cost,performance_bond_table_cl,3)+VLOOKUP(direct_cost,performance_bond_table_cl,4)*(direct_cost-VLOOKUP(direct_cost,performance_bond_table_cl,5)))</f>
        <v>9945.0132758148757</v>
      </c>
      <c r="E90" s="6" t="s">
        <v>2483</v>
      </c>
    </row>
    <row r="91" spans="1:5">
      <c r="A91" s="108" t="s">
        <v>1900</v>
      </c>
      <c r="C91" s="514">
        <f>VLOOKUP(direct_cost,construction_mgt_table_cl,3)</f>
        <v>0.06</v>
      </c>
      <c r="E91" s="6" t="s">
        <v>2276</v>
      </c>
    </row>
    <row r="92" spans="1:5">
      <c r="A92" s="108" t="s">
        <v>1901</v>
      </c>
      <c r="C92" s="74">
        <f>IF(ss_cat2=1,include_cm_pre,include_cm)*C91*direct_cost</f>
        <v>38670.079654889247</v>
      </c>
    </row>
    <row r="93" spans="1:5">
      <c r="A93" s="108" t="s">
        <v>2481</v>
      </c>
      <c r="B93" s="3" t="s">
        <v>2482</v>
      </c>
      <c r="C93" s="74">
        <f>SUM(C89:C90,C92)</f>
        <v>50806.397444481176</v>
      </c>
    </row>
    <row r="95" spans="1:5">
      <c r="A95" s="2" t="s">
        <v>3473</v>
      </c>
    </row>
    <row r="96" spans="1:5">
      <c r="A96" s="660" t="s">
        <v>3474</v>
      </c>
      <c r="B96" s="3" t="s">
        <v>3475</v>
      </c>
      <c r="C96" s="857">
        <f>Annualized_Capital_Cost/Annualized_Cost</f>
        <v>0.1641421276624174</v>
      </c>
    </row>
    <row r="97" spans="1:3">
      <c r="A97" s="660" t="s">
        <v>3476</v>
      </c>
      <c r="B97" s="3" t="s">
        <v>3477</v>
      </c>
      <c r="C97" s="857">
        <f>OM_cost/Annualized_Cost</f>
        <v>0.83585787233758257</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Z14"/>
  <sheetViews>
    <sheetView zoomScaleNormal="100" workbookViewId="0">
      <pane xSplit="5" ySplit="11" topLeftCell="F12" activePane="bottomRight" state="frozen"/>
      <selection pane="topRight" activeCell="F1" sqref="F1"/>
      <selection pane="bottomLeft" activeCell="A12" sqref="A12"/>
      <selection pane="bottomRight" activeCell="J21" sqref="J21"/>
    </sheetView>
  </sheetViews>
  <sheetFormatPr baseColWidth="10" defaultColWidth="9.6640625" defaultRowHeight="13"/>
  <cols>
    <col min="1" max="1" width="19.6640625" style="832" customWidth="1"/>
    <col min="2" max="2" width="9.6640625" style="833"/>
    <col min="3" max="4" width="12.6640625" style="833" customWidth="1"/>
    <col min="5" max="5" width="12.6640625" style="834" customWidth="1"/>
    <col min="6" max="11" width="12.6640625" style="835" customWidth="1"/>
    <col min="12" max="13" width="9.6640625" style="836"/>
    <col min="14" max="14" width="9.6640625" style="837"/>
    <col min="15" max="15" width="9.6640625" style="838"/>
    <col min="16" max="16" width="9.6640625" style="836"/>
    <col min="17" max="17" width="9.6640625" style="837"/>
    <col min="18" max="18" width="9.6640625" style="838"/>
    <col min="19" max="19" width="9.6640625" style="836"/>
    <col min="20" max="20" width="9.6640625" style="837"/>
    <col min="21" max="21" width="9.6640625" style="838"/>
    <col min="22" max="22" width="9.6640625" style="836"/>
    <col min="23" max="23" width="9.6640625" style="837"/>
    <col min="24" max="24" width="9.6640625" style="838"/>
    <col min="25" max="25" width="9.6640625" style="836"/>
    <col min="26" max="26" width="9.6640625" style="837"/>
    <col min="27" max="27" width="9.6640625" style="838"/>
    <col min="28" max="28" width="9.6640625" style="836"/>
    <col min="29" max="29" width="9.6640625" style="837"/>
    <col min="30" max="30" width="9.6640625" style="838"/>
    <col min="31" max="31" width="9.6640625" style="836"/>
    <col min="32" max="32" width="9.6640625" style="837"/>
    <col min="33" max="33" width="9.6640625" style="838"/>
    <col min="34" max="34" width="9.6640625" style="836"/>
    <col min="35" max="35" width="9.6640625" style="837"/>
    <col min="36" max="36" width="9.6640625" style="838"/>
    <col min="37" max="37" width="9.6640625" style="836"/>
    <col min="38" max="38" width="9.6640625" style="837"/>
    <col min="39" max="39" width="9.6640625" style="838"/>
    <col min="40" max="40" width="9.6640625" style="836"/>
    <col min="41" max="41" width="9.6640625" style="837"/>
    <col min="42" max="42" width="9.6640625" style="838"/>
    <col min="43" max="43" width="9.6640625" style="836"/>
    <col min="44" max="44" width="9.6640625" style="837"/>
    <col min="45" max="45" width="9.6640625" style="838"/>
    <col min="46" max="46" width="9.6640625" style="836"/>
    <col min="47" max="47" width="9.6640625" style="837"/>
    <col min="48" max="48" width="9.6640625" style="838"/>
    <col min="49" max="49" width="9.6640625" style="836"/>
    <col min="50" max="50" width="9.6640625" style="837"/>
    <col min="51" max="51" width="9.6640625" style="838"/>
    <col min="52" max="52" width="9.6640625" style="836"/>
    <col min="53" max="53" width="9.6640625" style="837"/>
    <col min="54" max="54" width="9.6640625" style="838"/>
    <col min="55" max="55" width="9.6640625" style="836"/>
    <col min="56" max="56" width="9.6640625" style="837"/>
    <col min="57" max="57" width="9.6640625" style="838"/>
    <col min="58" max="58" width="9.6640625" style="836"/>
    <col min="59" max="59" width="9.6640625" style="837"/>
    <col min="60" max="60" width="9.6640625" style="838"/>
    <col min="61" max="61" width="9.6640625" style="836"/>
    <col min="62" max="62" width="9.6640625" style="837"/>
    <col min="63" max="63" width="9.6640625" style="838"/>
    <col min="64" max="64" width="9.6640625" style="836"/>
    <col min="65" max="65" width="9.6640625" style="837"/>
    <col min="66" max="66" width="9.6640625" style="838"/>
    <col min="67" max="67" width="9.6640625" style="836"/>
    <col min="68" max="68" width="9.6640625" style="837"/>
    <col min="69" max="69" width="9.6640625" style="838"/>
    <col min="70" max="70" width="9.6640625" style="836"/>
    <col min="71" max="71" width="9.6640625" style="837"/>
    <col min="72" max="72" width="9.6640625" style="838"/>
    <col min="73" max="73" width="9.6640625" style="836"/>
    <col min="74" max="74" width="9.6640625" style="837"/>
    <col min="75" max="75" width="9.6640625" style="838"/>
    <col min="76" max="76" width="9.6640625" style="836"/>
    <col min="77" max="77" width="9.6640625" style="837"/>
    <col min="78" max="78" width="9.6640625" style="839"/>
    <col min="79" max="16384" width="9.6640625" style="806"/>
  </cols>
  <sheetData>
    <row r="1" spans="1:78">
      <c r="A1" s="805" t="s">
        <v>3258</v>
      </c>
      <c r="B1" s="806"/>
      <c r="C1" s="806"/>
      <c r="D1" s="806"/>
      <c r="E1" s="806"/>
      <c r="F1" s="806"/>
      <c r="G1" s="806"/>
      <c r="H1" s="806"/>
      <c r="I1" s="806"/>
      <c r="J1" s="806"/>
      <c r="K1" s="806"/>
      <c r="L1" s="806"/>
      <c r="M1" s="806"/>
      <c r="N1" s="806"/>
      <c r="O1" s="806"/>
      <c r="P1" s="806"/>
      <c r="Q1" s="806"/>
      <c r="R1" s="806"/>
      <c r="S1" s="806"/>
      <c r="T1" s="806"/>
      <c r="U1" s="806"/>
      <c r="V1" s="806"/>
      <c r="W1" s="806"/>
      <c r="X1" s="806"/>
      <c r="Y1" s="806"/>
      <c r="Z1" s="806"/>
      <c r="AA1" s="806"/>
      <c r="AB1" s="806"/>
      <c r="AC1" s="806"/>
      <c r="AD1" s="806"/>
      <c r="AE1" s="806"/>
      <c r="AF1" s="806"/>
      <c r="AG1" s="806"/>
      <c r="AH1" s="806"/>
      <c r="AI1" s="806"/>
      <c r="AJ1" s="806"/>
      <c r="AK1" s="806"/>
      <c r="AL1" s="806"/>
      <c r="AM1" s="806"/>
      <c r="AN1" s="806"/>
      <c r="AO1" s="806"/>
      <c r="AP1" s="806"/>
      <c r="AQ1" s="806"/>
      <c r="AR1" s="806"/>
      <c r="AS1" s="806"/>
      <c r="AT1" s="806"/>
      <c r="AU1" s="806"/>
      <c r="AV1" s="806"/>
      <c r="AW1" s="806"/>
      <c r="AX1" s="806"/>
      <c r="AY1" s="806"/>
      <c r="AZ1" s="806"/>
      <c r="BA1" s="806"/>
      <c r="BB1" s="806"/>
      <c r="BC1" s="806"/>
      <c r="BD1" s="806"/>
      <c r="BE1" s="806"/>
      <c r="BF1" s="806"/>
      <c r="BG1" s="806"/>
      <c r="BH1" s="806"/>
      <c r="BI1" s="806"/>
      <c r="BJ1" s="806"/>
      <c r="BK1" s="806"/>
      <c r="BL1" s="806"/>
      <c r="BM1" s="806"/>
      <c r="BN1" s="806"/>
      <c r="BO1" s="806"/>
      <c r="BP1" s="806"/>
      <c r="BQ1" s="806"/>
      <c r="BR1" s="806"/>
      <c r="BS1" s="806"/>
      <c r="BT1" s="806"/>
      <c r="BU1" s="806"/>
      <c r="BV1" s="806"/>
      <c r="BW1" s="806"/>
      <c r="BX1" s="806"/>
      <c r="BY1" s="806"/>
      <c r="BZ1" s="806"/>
    </row>
    <row r="2" spans="1:78">
      <c r="A2" s="807" t="s">
        <v>3259</v>
      </c>
      <c r="B2" s="806"/>
      <c r="C2" s="806"/>
      <c r="D2" s="806"/>
      <c r="E2" s="806"/>
      <c r="F2" s="806"/>
      <c r="G2" s="806"/>
      <c r="H2" s="806"/>
      <c r="I2" s="806"/>
      <c r="J2" s="806"/>
      <c r="K2" s="806"/>
      <c r="L2" s="806"/>
      <c r="M2" s="806"/>
      <c r="N2" s="806"/>
      <c r="O2" s="806"/>
      <c r="P2" s="806"/>
      <c r="Q2" s="806"/>
      <c r="R2" s="806"/>
      <c r="S2" s="806"/>
      <c r="T2" s="806"/>
      <c r="U2" s="806"/>
      <c r="V2" s="806"/>
      <c r="W2" s="806"/>
      <c r="X2" s="806"/>
      <c r="Y2" s="806"/>
      <c r="Z2" s="806"/>
      <c r="AA2" s="806"/>
      <c r="AB2" s="806"/>
      <c r="AC2" s="806"/>
      <c r="AD2" s="806"/>
      <c r="AE2" s="806"/>
      <c r="AF2" s="806"/>
      <c r="AG2" s="806"/>
      <c r="AH2" s="806"/>
      <c r="AI2" s="806"/>
      <c r="AJ2" s="806"/>
      <c r="AK2" s="806"/>
      <c r="AL2" s="806"/>
      <c r="AM2" s="806"/>
      <c r="AN2" s="806"/>
      <c r="AO2" s="806"/>
      <c r="AP2" s="806"/>
      <c r="AQ2" s="806"/>
      <c r="AR2" s="806"/>
      <c r="AS2" s="806"/>
      <c r="AT2" s="806"/>
      <c r="AU2" s="806"/>
      <c r="AV2" s="806"/>
      <c r="AW2" s="806"/>
      <c r="AX2" s="806"/>
      <c r="AY2" s="806"/>
      <c r="AZ2" s="806"/>
      <c r="BA2" s="806"/>
      <c r="BB2" s="806"/>
      <c r="BC2" s="806"/>
      <c r="BD2" s="806"/>
      <c r="BE2" s="806"/>
      <c r="BF2" s="806"/>
      <c r="BG2" s="806"/>
      <c r="BH2" s="806"/>
      <c r="BI2" s="806"/>
      <c r="BJ2" s="806"/>
      <c r="BK2" s="806"/>
      <c r="BL2" s="806"/>
      <c r="BM2" s="806"/>
      <c r="BN2" s="806"/>
      <c r="BO2" s="806"/>
      <c r="BP2" s="806"/>
      <c r="BQ2" s="806"/>
      <c r="BR2" s="806"/>
      <c r="BS2" s="806"/>
      <c r="BT2" s="806"/>
      <c r="BU2" s="806"/>
      <c r="BV2" s="806"/>
      <c r="BW2" s="806"/>
      <c r="BX2" s="806"/>
      <c r="BY2" s="806"/>
      <c r="BZ2" s="806"/>
    </row>
    <row r="3" spans="1:78">
      <c r="A3" s="807" t="s">
        <v>3260</v>
      </c>
      <c r="B3" s="806"/>
      <c r="C3" s="806"/>
      <c r="D3" s="806"/>
      <c r="E3" s="806"/>
      <c r="F3" s="806"/>
      <c r="G3" s="806"/>
      <c r="H3" s="806"/>
      <c r="I3" s="806"/>
      <c r="J3" s="806"/>
      <c r="K3" s="806"/>
      <c r="L3" s="806"/>
      <c r="M3" s="806"/>
      <c r="N3" s="806"/>
      <c r="O3" s="806"/>
      <c r="P3" s="806"/>
      <c r="Q3" s="806"/>
      <c r="R3" s="806"/>
      <c r="S3" s="806"/>
      <c r="T3" s="806"/>
      <c r="U3" s="806"/>
      <c r="V3" s="806"/>
      <c r="W3" s="806"/>
      <c r="X3" s="806"/>
      <c r="Y3" s="806"/>
      <c r="Z3" s="806"/>
      <c r="AA3" s="806"/>
      <c r="AB3" s="806"/>
      <c r="AC3" s="806"/>
      <c r="AD3" s="806"/>
      <c r="AE3" s="806"/>
      <c r="AF3" s="806"/>
      <c r="AG3" s="806"/>
      <c r="AH3" s="806"/>
      <c r="AI3" s="806"/>
      <c r="AJ3" s="806"/>
      <c r="AK3" s="806"/>
      <c r="AL3" s="806"/>
      <c r="AM3" s="806"/>
      <c r="AN3" s="806"/>
      <c r="AO3" s="806"/>
      <c r="AP3" s="806"/>
      <c r="AQ3" s="806"/>
      <c r="AR3" s="806"/>
      <c r="AS3" s="806"/>
      <c r="AT3" s="806"/>
      <c r="AU3" s="806"/>
      <c r="AV3" s="806"/>
      <c r="AW3" s="806"/>
      <c r="AX3" s="806"/>
      <c r="AY3" s="806"/>
      <c r="AZ3" s="806"/>
      <c r="BA3" s="806"/>
      <c r="BB3" s="806"/>
      <c r="BC3" s="806"/>
      <c r="BD3" s="806"/>
      <c r="BE3" s="806"/>
      <c r="BF3" s="806"/>
      <c r="BG3" s="806"/>
      <c r="BH3" s="806"/>
      <c r="BI3" s="806"/>
      <c r="BJ3" s="806"/>
      <c r="BK3" s="806"/>
      <c r="BL3" s="806"/>
      <c r="BM3" s="806"/>
      <c r="BN3" s="806"/>
      <c r="BO3" s="806"/>
      <c r="BP3" s="806"/>
      <c r="BQ3" s="806"/>
      <c r="BR3" s="806"/>
      <c r="BS3" s="806"/>
      <c r="BT3" s="806"/>
      <c r="BU3" s="806"/>
      <c r="BV3" s="806"/>
      <c r="BW3" s="806"/>
      <c r="BX3" s="806"/>
      <c r="BY3" s="806"/>
      <c r="BZ3" s="806"/>
    </row>
    <row r="4" spans="1:78">
      <c r="A4" s="807" t="s">
        <v>3261</v>
      </c>
      <c r="B4" s="806"/>
      <c r="C4" s="806"/>
      <c r="D4" s="806"/>
      <c r="E4" s="806"/>
      <c r="F4" s="806"/>
      <c r="G4" s="806"/>
      <c r="H4" s="806"/>
      <c r="I4" s="806"/>
      <c r="J4" s="806"/>
      <c r="K4" s="806"/>
      <c r="L4" s="806"/>
      <c r="M4" s="806"/>
      <c r="N4" s="806"/>
      <c r="O4" s="806"/>
      <c r="P4" s="806"/>
      <c r="Q4" s="806"/>
      <c r="R4" s="806"/>
      <c r="S4" s="806"/>
      <c r="T4" s="806"/>
      <c r="U4" s="806"/>
      <c r="V4" s="806"/>
      <c r="W4" s="806"/>
      <c r="X4" s="806"/>
      <c r="Y4" s="806"/>
      <c r="Z4" s="806"/>
      <c r="AA4" s="806"/>
      <c r="AB4" s="806"/>
      <c r="AC4" s="806"/>
      <c r="AD4" s="806"/>
      <c r="AE4" s="806"/>
      <c r="AF4" s="806"/>
      <c r="AG4" s="806"/>
      <c r="AH4" s="806"/>
      <c r="AI4" s="806"/>
      <c r="AJ4" s="806"/>
      <c r="AK4" s="806"/>
      <c r="AL4" s="806"/>
      <c r="AM4" s="806"/>
      <c r="AN4" s="806"/>
      <c r="AO4" s="806"/>
      <c r="AP4" s="806"/>
      <c r="AQ4" s="806"/>
      <c r="AR4" s="806"/>
      <c r="AS4" s="806"/>
      <c r="AT4" s="806"/>
      <c r="AU4" s="806"/>
      <c r="AV4" s="806"/>
      <c r="AW4" s="806"/>
      <c r="AX4" s="806"/>
      <c r="AY4" s="806"/>
      <c r="AZ4" s="806"/>
      <c r="BA4" s="806"/>
      <c r="BB4" s="806"/>
      <c r="BC4" s="806"/>
      <c r="BD4" s="806"/>
      <c r="BE4" s="806"/>
      <c r="BF4" s="806"/>
      <c r="BG4" s="806"/>
      <c r="BH4" s="806"/>
      <c r="BI4" s="806"/>
      <c r="BJ4" s="806"/>
      <c r="BK4" s="806"/>
      <c r="BL4" s="806"/>
      <c r="BM4" s="806"/>
      <c r="BN4" s="806"/>
      <c r="BO4" s="806"/>
      <c r="BP4" s="806"/>
      <c r="BQ4" s="806"/>
      <c r="BR4" s="806"/>
      <c r="BS4" s="806"/>
      <c r="BT4" s="806"/>
      <c r="BU4" s="806"/>
      <c r="BV4" s="806"/>
      <c r="BW4" s="806"/>
      <c r="BX4" s="806"/>
      <c r="BY4" s="806"/>
      <c r="BZ4" s="806"/>
    </row>
    <row r="5" spans="1:78">
      <c r="A5" s="807" t="s">
        <v>3262</v>
      </c>
      <c r="B5" s="806"/>
      <c r="C5" s="806"/>
      <c r="D5" s="806"/>
      <c r="E5" s="806"/>
      <c r="F5" s="806"/>
      <c r="G5" s="806"/>
      <c r="H5" s="806"/>
      <c r="I5" s="806"/>
      <c r="J5" s="806"/>
      <c r="K5" s="806"/>
      <c r="L5" s="806"/>
      <c r="M5" s="806"/>
      <c r="N5" s="806"/>
      <c r="O5" s="806"/>
      <c r="P5" s="806"/>
      <c r="Q5" s="806"/>
      <c r="R5" s="806"/>
      <c r="S5" s="806"/>
      <c r="T5" s="806"/>
      <c r="U5" s="806"/>
      <c r="V5" s="806"/>
      <c r="W5" s="806"/>
      <c r="X5" s="806"/>
      <c r="Y5" s="806"/>
      <c r="Z5" s="806"/>
      <c r="AA5" s="806"/>
      <c r="AB5" s="806"/>
      <c r="AC5" s="806"/>
      <c r="AD5" s="806"/>
      <c r="AE5" s="806"/>
      <c r="AF5" s="806"/>
      <c r="AG5" s="806"/>
      <c r="AH5" s="806"/>
      <c r="AI5" s="806"/>
      <c r="AJ5" s="806"/>
      <c r="AK5" s="806"/>
      <c r="AL5" s="806"/>
      <c r="AM5" s="806"/>
      <c r="AN5" s="806"/>
      <c r="AO5" s="806"/>
      <c r="AP5" s="806"/>
      <c r="AQ5" s="806"/>
      <c r="AR5" s="806"/>
      <c r="AS5" s="806"/>
      <c r="AT5" s="806"/>
      <c r="AU5" s="806"/>
      <c r="AV5" s="806"/>
      <c r="AW5" s="806"/>
      <c r="AX5" s="806"/>
      <c r="AY5" s="806"/>
      <c r="AZ5" s="806"/>
      <c r="BA5" s="806"/>
      <c r="BB5" s="806"/>
      <c r="BC5" s="806"/>
      <c r="BD5" s="806"/>
      <c r="BE5" s="806"/>
      <c r="BF5" s="806"/>
      <c r="BG5" s="806"/>
      <c r="BH5" s="806"/>
      <c r="BI5" s="806"/>
      <c r="BJ5" s="806"/>
      <c r="BK5" s="806"/>
      <c r="BL5" s="806"/>
      <c r="BM5" s="806"/>
      <c r="BN5" s="806"/>
      <c r="BO5" s="806"/>
      <c r="BP5" s="806"/>
      <c r="BQ5" s="806"/>
      <c r="BR5" s="806"/>
      <c r="BS5" s="806"/>
      <c r="BT5" s="806"/>
      <c r="BU5" s="806"/>
      <c r="BV5" s="806"/>
      <c r="BW5" s="806"/>
      <c r="BX5" s="806"/>
      <c r="BY5" s="806"/>
      <c r="BZ5" s="806"/>
    </row>
    <row r="6" spans="1:78">
      <c r="A6" s="807" t="s">
        <v>3263</v>
      </c>
      <c r="B6" s="806"/>
      <c r="C6" s="806"/>
      <c r="D6" s="806"/>
      <c r="E6" s="806"/>
      <c r="F6" s="806"/>
      <c r="G6" s="806"/>
      <c r="H6" s="806"/>
      <c r="I6" s="806"/>
      <c r="J6" s="806"/>
      <c r="K6" s="806"/>
      <c r="L6" s="806"/>
      <c r="M6" s="806"/>
      <c r="N6" s="806"/>
      <c r="O6" s="806"/>
      <c r="P6" s="806"/>
      <c r="Q6" s="806"/>
      <c r="R6" s="806"/>
      <c r="S6" s="806"/>
      <c r="T6" s="806"/>
      <c r="U6" s="806"/>
      <c r="V6" s="806"/>
      <c r="W6" s="806"/>
      <c r="X6" s="806"/>
      <c r="Y6" s="806"/>
      <c r="Z6" s="806"/>
      <c r="AA6" s="806"/>
      <c r="AB6" s="806"/>
      <c r="AC6" s="806"/>
      <c r="AD6" s="806"/>
      <c r="AE6" s="806"/>
      <c r="AF6" s="806"/>
      <c r="AG6" s="806"/>
      <c r="AH6" s="806"/>
      <c r="AI6" s="806"/>
      <c r="AJ6" s="806"/>
      <c r="AK6" s="806"/>
      <c r="AL6" s="806"/>
      <c r="AM6" s="806"/>
      <c r="AN6" s="806"/>
      <c r="AO6" s="806"/>
      <c r="AP6" s="806"/>
      <c r="AQ6" s="806"/>
      <c r="AR6" s="806"/>
      <c r="AS6" s="806"/>
      <c r="AT6" s="806"/>
      <c r="AU6" s="806"/>
      <c r="AV6" s="806"/>
      <c r="AW6" s="806"/>
      <c r="AX6" s="806"/>
      <c r="AY6" s="806"/>
      <c r="AZ6" s="806"/>
      <c r="BA6" s="806"/>
      <c r="BB6" s="806"/>
      <c r="BC6" s="806"/>
      <c r="BD6" s="806"/>
      <c r="BE6" s="806"/>
      <c r="BF6" s="806"/>
      <c r="BG6" s="806"/>
      <c r="BH6" s="806"/>
      <c r="BI6" s="806"/>
      <c r="BJ6" s="806"/>
      <c r="BK6" s="806"/>
      <c r="BL6" s="806"/>
      <c r="BM6" s="806"/>
      <c r="BN6" s="806"/>
      <c r="BO6" s="806"/>
      <c r="BP6" s="806"/>
      <c r="BQ6" s="806"/>
      <c r="BR6" s="806"/>
      <c r="BS6" s="806"/>
      <c r="BT6" s="806"/>
      <c r="BU6" s="806"/>
      <c r="BV6" s="806"/>
      <c r="BW6" s="806"/>
      <c r="BX6" s="806"/>
      <c r="BY6" s="806"/>
      <c r="BZ6" s="806"/>
    </row>
    <row r="7" spans="1:78">
      <c r="A7" s="807" t="s">
        <v>3264</v>
      </c>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c r="AE7" s="806"/>
      <c r="AF7" s="806"/>
      <c r="AG7" s="806"/>
      <c r="AH7" s="806"/>
      <c r="AI7" s="806"/>
      <c r="AJ7" s="806"/>
      <c r="AK7" s="806"/>
      <c r="AL7" s="806"/>
      <c r="AM7" s="806"/>
      <c r="AN7" s="806"/>
      <c r="AO7" s="806"/>
      <c r="AP7" s="806"/>
      <c r="AQ7" s="806"/>
      <c r="AR7" s="806"/>
      <c r="AS7" s="806"/>
      <c r="AT7" s="806"/>
      <c r="AU7" s="806"/>
      <c r="AV7" s="806"/>
      <c r="AW7" s="806"/>
      <c r="AX7" s="806"/>
      <c r="AY7" s="806"/>
      <c r="AZ7" s="806"/>
      <c r="BA7" s="806"/>
      <c r="BB7" s="806"/>
      <c r="BC7" s="806"/>
      <c r="BD7" s="806"/>
      <c r="BE7" s="806"/>
      <c r="BF7" s="806"/>
      <c r="BG7" s="806"/>
      <c r="BH7" s="806"/>
      <c r="BI7" s="806"/>
      <c r="BJ7" s="806"/>
      <c r="BK7" s="806"/>
      <c r="BL7" s="806"/>
      <c r="BM7" s="806"/>
      <c r="BN7" s="806"/>
      <c r="BO7" s="806"/>
      <c r="BP7" s="806"/>
      <c r="BQ7" s="806"/>
      <c r="BR7" s="806"/>
      <c r="BS7" s="806"/>
      <c r="BT7" s="806"/>
      <c r="BU7" s="806"/>
      <c r="BV7" s="806"/>
      <c r="BW7" s="806"/>
      <c r="BX7" s="806"/>
      <c r="BY7" s="806"/>
      <c r="BZ7" s="806"/>
    </row>
    <row r="8" spans="1:78">
      <c r="A8" s="807" t="s">
        <v>3265</v>
      </c>
      <c r="B8" s="806"/>
      <c r="C8" s="806"/>
      <c r="D8" s="806"/>
      <c r="E8" s="806"/>
      <c r="F8" s="806"/>
      <c r="G8" s="806"/>
      <c r="H8" s="806"/>
      <c r="I8" s="806"/>
      <c r="J8" s="806"/>
      <c r="K8" s="806"/>
      <c r="L8" s="806"/>
      <c r="M8" s="806"/>
      <c r="N8" s="806"/>
      <c r="O8" s="806"/>
      <c r="P8" s="806"/>
      <c r="Q8" s="806"/>
      <c r="R8" s="806"/>
      <c r="S8" s="806"/>
      <c r="T8" s="806"/>
      <c r="U8" s="806"/>
      <c r="V8" s="806"/>
      <c r="W8" s="806"/>
      <c r="X8" s="806"/>
      <c r="Y8" s="806"/>
      <c r="Z8" s="806"/>
      <c r="AA8" s="806"/>
      <c r="AB8" s="806"/>
      <c r="AC8" s="806"/>
      <c r="AD8" s="806"/>
      <c r="AE8" s="806"/>
      <c r="AF8" s="806"/>
      <c r="AG8" s="806"/>
      <c r="AH8" s="806"/>
      <c r="AI8" s="806"/>
      <c r="AJ8" s="806"/>
      <c r="AK8" s="806"/>
      <c r="AL8" s="806"/>
      <c r="AM8" s="806"/>
      <c r="AN8" s="806"/>
      <c r="AO8" s="806"/>
      <c r="AP8" s="806"/>
      <c r="AQ8" s="806"/>
      <c r="AR8" s="806"/>
      <c r="AS8" s="806"/>
      <c r="AT8" s="806"/>
      <c r="AU8" s="806"/>
      <c r="AV8" s="806"/>
      <c r="AW8" s="806"/>
      <c r="AX8" s="806"/>
      <c r="AY8" s="806"/>
      <c r="AZ8" s="806"/>
      <c r="BA8" s="806"/>
      <c r="BB8" s="806"/>
      <c r="BC8" s="806"/>
      <c r="BD8" s="806"/>
      <c r="BE8" s="806"/>
      <c r="BF8" s="806"/>
      <c r="BG8" s="806"/>
      <c r="BH8" s="806"/>
      <c r="BI8" s="806"/>
      <c r="BJ8" s="806"/>
      <c r="BK8" s="806"/>
      <c r="BL8" s="806"/>
      <c r="BM8" s="806"/>
      <c r="BN8" s="806"/>
      <c r="BO8" s="806"/>
      <c r="BP8" s="806"/>
      <c r="BQ8" s="806"/>
      <c r="BR8" s="806"/>
      <c r="BS8" s="806"/>
      <c r="BT8" s="806"/>
      <c r="BU8" s="806"/>
      <c r="BV8" s="806"/>
      <c r="BW8" s="806"/>
      <c r="BX8" s="806"/>
      <c r="BY8" s="806"/>
      <c r="BZ8" s="806"/>
    </row>
    <row r="9" spans="1:78" s="808" customFormat="1" ht="14.5" customHeight="1">
      <c r="A9" s="1009" t="s">
        <v>3266</v>
      </c>
      <c r="B9" s="1011" t="s">
        <v>3267</v>
      </c>
      <c r="C9" s="1011" t="s">
        <v>3268</v>
      </c>
      <c r="D9" s="1011" t="s">
        <v>3269</v>
      </c>
      <c r="E9" s="1014" t="s">
        <v>3270</v>
      </c>
      <c r="F9" s="1006" t="s">
        <v>3271</v>
      </c>
      <c r="G9" s="1007"/>
      <c r="H9" s="1007"/>
      <c r="I9" s="1007"/>
      <c r="J9" s="1007"/>
      <c r="K9" s="1008"/>
      <c r="L9" s="1019" t="s">
        <v>3272</v>
      </c>
      <c r="M9" s="1020"/>
      <c r="N9" s="1020"/>
      <c r="O9" s="1020"/>
      <c r="P9" s="1020"/>
      <c r="Q9" s="1020"/>
      <c r="R9" s="1020"/>
      <c r="S9" s="1020"/>
      <c r="T9" s="1020"/>
      <c r="U9" s="1020"/>
      <c r="V9" s="1020"/>
      <c r="W9" s="1020"/>
      <c r="X9" s="1020"/>
      <c r="Y9" s="1020"/>
      <c r="Z9" s="1020"/>
      <c r="AA9" s="1020"/>
      <c r="AB9" s="1020"/>
      <c r="AC9" s="1020"/>
      <c r="AD9" s="1020"/>
      <c r="AE9" s="1020"/>
      <c r="AF9" s="1020"/>
      <c r="AG9" s="1020"/>
      <c r="AH9" s="1020"/>
      <c r="AI9" s="1020"/>
      <c r="AJ9" s="1020"/>
      <c r="AK9" s="1020"/>
      <c r="AL9" s="1020"/>
      <c r="AM9" s="1020"/>
      <c r="AN9" s="1020"/>
      <c r="AO9" s="1021"/>
      <c r="AP9" s="1022" t="s">
        <v>3273</v>
      </c>
      <c r="AQ9" s="1023"/>
      <c r="AR9" s="1023"/>
      <c r="AS9" s="1023"/>
      <c r="AT9" s="1023"/>
      <c r="AU9" s="1023"/>
      <c r="AV9" s="1023"/>
      <c r="AW9" s="1023"/>
      <c r="AX9" s="1023"/>
      <c r="AY9" s="1023"/>
      <c r="AZ9" s="1023"/>
      <c r="BA9" s="1023"/>
      <c r="BB9" s="1023"/>
      <c r="BC9" s="1023"/>
      <c r="BD9" s="1023"/>
      <c r="BE9" s="1023"/>
      <c r="BF9" s="1023"/>
      <c r="BG9" s="1023"/>
      <c r="BH9" s="1024" t="s">
        <v>3274</v>
      </c>
      <c r="BI9" s="1025"/>
      <c r="BJ9" s="1025"/>
      <c r="BK9" s="1025"/>
      <c r="BL9" s="1025"/>
      <c r="BM9" s="1025"/>
      <c r="BN9" s="1025"/>
      <c r="BO9" s="1025"/>
      <c r="BP9" s="1025"/>
      <c r="BQ9" s="1025"/>
      <c r="BR9" s="1025"/>
      <c r="BS9" s="1025"/>
      <c r="BT9" s="1025"/>
      <c r="BU9" s="1025"/>
      <c r="BV9" s="1025"/>
      <c r="BW9" s="1025"/>
      <c r="BX9" s="1025"/>
      <c r="BY9" s="1026"/>
      <c r="BZ9" s="1027" t="s">
        <v>3275</v>
      </c>
    </row>
    <row r="10" spans="1:78" s="809" customFormat="1">
      <c r="A10" s="1010"/>
      <c r="B10" s="1012"/>
      <c r="C10" s="1012"/>
      <c r="D10" s="1012"/>
      <c r="E10" s="1015"/>
      <c r="F10" s="1016" t="s">
        <v>3276</v>
      </c>
      <c r="G10" s="1017"/>
      <c r="H10" s="1018"/>
      <c r="I10" s="1016" t="s">
        <v>3277</v>
      </c>
      <c r="J10" s="1017"/>
      <c r="K10" s="1018"/>
      <c r="L10" s="1017" t="s">
        <v>3278</v>
      </c>
      <c r="M10" s="1017"/>
      <c r="N10" s="1018"/>
      <c r="O10" s="1016" t="s">
        <v>3279</v>
      </c>
      <c r="P10" s="1017"/>
      <c r="Q10" s="1018"/>
      <c r="R10" s="1016" t="s">
        <v>3280</v>
      </c>
      <c r="S10" s="1017"/>
      <c r="T10" s="1018"/>
      <c r="U10" s="1016" t="s">
        <v>3281</v>
      </c>
      <c r="V10" s="1017"/>
      <c r="W10" s="1018"/>
      <c r="X10" s="1016" t="s">
        <v>3282</v>
      </c>
      <c r="Y10" s="1017"/>
      <c r="Z10" s="1018"/>
      <c r="AA10" s="1016" t="s">
        <v>3283</v>
      </c>
      <c r="AB10" s="1017"/>
      <c r="AC10" s="1018"/>
      <c r="AD10" s="1016" t="s">
        <v>3284</v>
      </c>
      <c r="AE10" s="1017"/>
      <c r="AF10" s="1018"/>
      <c r="AG10" s="1016" t="s">
        <v>3285</v>
      </c>
      <c r="AH10" s="1017"/>
      <c r="AI10" s="1018"/>
      <c r="AJ10" s="1016" t="s">
        <v>3286</v>
      </c>
      <c r="AK10" s="1017"/>
      <c r="AL10" s="1018"/>
      <c r="AM10" s="1016" t="s">
        <v>3287</v>
      </c>
      <c r="AN10" s="1017"/>
      <c r="AO10" s="1018"/>
      <c r="AP10" s="1016" t="s">
        <v>3288</v>
      </c>
      <c r="AQ10" s="1017"/>
      <c r="AR10" s="1018"/>
      <c r="AS10" s="1016" t="s">
        <v>3289</v>
      </c>
      <c r="AT10" s="1017"/>
      <c r="AU10" s="1018"/>
      <c r="AV10" s="1016" t="s">
        <v>3290</v>
      </c>
      <c r="AW10" s="1017"/>
      <c r="AX10" s="1018"/>
      <c r="AY10" s="1016" t="s">
        <v>3291</v>
      </c>
      <c r="AZ10" s="1017"/>
      <c r="BA10" s="1018"/>
      <c r="BB10" s="1016" t="s">
        <v>3292</v>
      </c>
      <c r="BC10" s="1017"/>
      <c r="BD10" s="1018"/>
      <c r="BE10" s="1016" t="s">
        <v>3293</v>
      </c>
      <c r="BF10" s="1017"/>
      <c r="BG10" s="1018"/>
      <c r="BH10" s="1016" t="s">
        <v>3205</v>
      </c>
      <c r="BI10" s="1017"/>
      <c r="BJ10" s="1018"/>
      <c r="BK10" s="1016" t="s">
        <v>3294</v>
      </c>
      <c r="BL10" s="1017"/>
      <c r="BM10" s="1018"/>
      <c r="BN10" s="1016" t="s">
        <v>3295</v>
      </c>
      <c r="BO10" s="1017"/>
      <c r="BP10" s="1018"/>
      <c r="BQ10" s="1016" t="s">
        <v>3296</v>
      </c>
      <c r="BR10" s="1017"/>
      <c r="BS10" s="1018"/>
      <c r="BT10" s="1016" t="s">
        <v>3297</v>
      </c>
      <c r="BU10" s="1017"/>
      <c r="BV10" s="1018"/>
      <c r="BW10" s="1016" t="s">
        <v>3298</v>
      </c>
      <c r="BX10" s="1017"/>
      <c r="BY10" s="1018"/>
      <c r="BZ10" s="1028"/>
    </row>
    <row r="11" spans="1:78" s="814" customFormat="1" ht="28">
      <c r="A11" s="1010"/>
      <c r="B11" s="1012"/>
      <c r="C11" s="1013"/>
      <c r="D11" s="1012"/>
      <c r="E11" s="1015"/>
      <c r="F11" s="810" t="s">
        <v>3299</v>
      </c>
      <c r="G11" s="811" t="s">
        <v>3300</v>
      </c>
      <c r="H11" s="812" t="s">
        <v>3301</v>
      </c>
      <c r="I11" s="810" t="s">
        <v>3299</v>
      </c>
      <c r="J11" s="811" t="s">
        <v>3300</v>
      </c>
      <c r="K11" s="812" t="s">
        <v>3301</v>
      </c>
      <c r="L11" s="813" t="s">
        <v>3299</v>
      </c>
      <c r="M11" s="811" t="s">
        <v>3300</v>
      </c>
      <c r="N11" s="812" t="s">
        <v>3301</v>
      </c>
      <c r="O11" s="810" t="s">
        <v>3299</v>
      </c>
      <c r="P11" s="811" t="s">
        <v>3300</v>
      </c>
      <c r="Q11" s="812" t="s">
        <v>3301</v>
      </c>
      <c r="R11" s="810" t="s">
        <v>3299</v>
      </c>
      <c r="S11" s="811" t="s">
        <v>3300</v>
      </c>
      <c r="T11" s="812" t="s">
        <v>3301</v>
      </c>
      <c r="U11" s="810" t="s">
        <v>3299</v>
      </c>
      <c r="V11" s="811" t="s">
        <v>3300</v>
      </c>
      <c r="W11" s="812" t="s">
        <v>3301</v>
      </c>
      <c r="X11" s="810" t="s">
        <v>3299</v>
      </c>
      <c r="Y11" s="811" t="s">
        <v>3300</v>
      </c>
      <c r="Z11" s="812" t="s">
        <v>3301</v>
      </c>
      <c r="AA11" s="810" t="s">
        <v>3299</v>
      </c>
      <c r="AB11" s="811" t="s">
        <v>3300</v>
      </c>
      <c r="AC11" s="812" t="s">
        <v>3301</v>
      </c>
      <c r="AD11" s="810" t="s">
        <v>3299</v>
      </c>
      <c r="AE11" s="811" t="s">
        <v>3300</v>
      </c>
      <c r="AF11" s="812" t="s">
        <v>3301</v>
      </c>
      <c r="AG11" s="810" t="s">
        <v>3299</v>
      </c>
      <c r="AH11" s="811" t="s">
        <v>3300</v>
      </c>
      <c r="AI11" s="812" t="s">
        <v>3301</v>
      </c>
      <c r="AJ11" s="810" t="s">
        <v>3299</v>
      </c>
      <c r="AK11" s="811" t="s">
        <v>3300</v>
      </c>
      <c r="AL11" s="812" t="s">
        <v>3301</v>
      </c>
      <c r="AM11" s="810" t="s">
        <v>3299</v>
      </c>
      <c r="AN11" s="811" t="s">
        <v>3300</v>
      </c>
      <c r="AO11" s="812" t="s">
        <v>3301</v>
      </c>
      <c r="AP11" s="810" t="s">
        <v>3299</v>
      </c>
      <c r="AQ11" s="811" t="s">
        <v>3300</v>
      </c>
      <c r="AR11" s="812" t="s">
        <v>3301</v>
      </c>
      <c r="AS11" s="810" t="s">
        <v>3299</v>
      </c>
      <c r="AT11" s="811" t="s">
        <v>3300</v>
      </c>
      <c r="AU11" s="812" t="s">
        <v>3301</v>
      </c>
      <c r="AV11" s="810" t="s">
        <v>3299</v>
      </c>
      <c r="AW11" s="811" t="s">
        <v>3300</v>
      </c>
      <c r="AX11" s="812" t="s">
        <v>3301</v>
      </c>
      <c r="AY11" s="810" t="s">
        <v>3299</v>
      </c>
      <c r="AZ11" s="811" t="s">
        <v>3300</v>
      </c>
      <c r="BA11" s="812" t="s">
        <v>3301</v>
      </c>
      <c r="BB11" s="810" t="s">
        <v>3299</v>
      </c>
      <c r="BC11" s="811" t="s">
        <v>3300</v>
      </c>
      <c r="BD11" s="812" t="s">
        <v>3301</v>
      </c>
      <c r="BE11" s="810" t="s">
        <v>3299</v>
      </c>
      <c r="BF11" s="811" t="s">
        <v>3300</v>
      </c>
      <c r="BG11" s="812" t="s">
        <v>3301</v>
      </c>
      <c r="BH11" s="810" t="s">
        <v>3299</v>
      </c>
      <c r="BI11" s="811" t="s">
        <v>3300</v>
      </c>
      <c r="BJ11" s="812" t="s">
        <v>3301</v>
      </c>
      <c r="BK11" s="810" t="s">
        <v>3299</v>
      </c>
      <c r="BL11" s="811" t="s">
        <v>3300</v>
      </c>
      <c r="BM11" s="812" t="s">
        <v>3301</v>
      </c>
      <c r="BN11" s="810" t="s">
        <v>3299</v>
      </c>
      <c r="BO11" s="811" t="s">
        <v>3300</v>
      </c>
      <c r="BP11" s="812" t="s">
        <v>3301</v>
      </c>
      <c r="BQ11" s="810" t="s">
        <v>3299</v>
      </c>
      <c r="BR11" s="811" t="s">
        <v>3300</v>
      </c>
      <c r="BS11" s="812" t="s">
        <v>3301</v>
      </c>
      <c r="BT11" s="810" t="s">
        <v>3299</v>
      </c>
      <c r="BU11" s="811" t="s">
        <v>3300</v>
      </c>
      <c r="BV11" s="812" t="s">
        <v>3301</v>
      </c>
      <c r="BW11" s="810" t="s">
        <v>3299</v>
      </c>
      <c r="BX11" s="811" t="s">
        <v>3300</v>
      </c>
      <c r="BY11" s="812" t="s">
        <v>3301</v>
      </c>
      <c r="BZ11" s="1028"/>
    </row>
    <row r="12" spans="1:78" s="821" customFormat="1">
      <c r="A12" s="815" t="s">
        <v>3302</v>
      </c>
      <c r="B12" s="816">
        <v>2</v>
      </c>
      <c r="C12" s="816">
        <v>6</v>
      </c>
      <c r="D12" s="816">
        <v>180</v>
      </c>
      <c r="E12" s="817">
        <v>1.36</v>
      </c>
      <c r="F12" s="818">
        <v>87</v>
      </c>
      <c r="G12" s="816" t="s">
        <v>2902</v>
      </c>
      <c r="H12" s="819" t="s">
        <v>2902</v>
      </c>
      <c r="I12" s="818">
        <v>93</v>
      </c>
      <c r="J12" s="816" t="s">
        <v>2902</v>
      </c>
      <c r="K12" s="819" t="s">
        <v>2902</v>
      </c>
      <c r="L12" s="816"/>
      <c r="M12" s="816"/>
      <c r="N12" s="819"/>
      <c r="O12" s="818"/>
      <c r="P12" s="816"/>
      <c r="Q12" s="819"/>
      <c r="R12" s="818"/>
      <c r="S12" s="816"/>
      <c r="T12" s="819"/>
      <c r="U12" s="818"/>
      <c r="V12" s="816"/>
      <c r="W12" s="819"/>
      <c r="X12" s="818"/>
      <c r="Y12" s="816"/>
      <c r="Z12" s="819"/>
      <c r="AA12" s="818"/>
      <c r="AB12" s="816"/>
      <c r="AC12" s="819"/>
      <c r="AD12" s="818"/>
      <c r="AE12" s="816"/>
      <c r="AF12" s="819"/>
      <c r="AG12" s="818"/>
      <c r="AH12" s="816"/>
      <c r="AI12" s="819"/>
      <c r="AJ12" s="818"/>
      <c r="AK12" s="816"/>
      <c r="AL12" s="819"/>
      <c r="AM12" s="818"/>
      <c r="AN12" s="816"/>
      <c r="AO12" s="819"/>
      <c r="AP12" s="818"/>
      <c r="AQ12" s="816"/>
      <c r="AR12" s="819"/>
      <c r="AS12" s="818"/>
      <c r="AT12" s="816"/>
      <c r="AU12" s="819"/>
      <c r="AV12" s="818"/>
      <c r="AW12" s="816"/>
      <c r="AX12" s="819"/>
      <c r="AY12" s="818"/>
      <c r="AZ12" s="816"/>
      <c r="BA12" s="819"/>
      <c r="BB12" s="818"/>
      <c r="BC12" s="816"/>
      <c r="BD12" s="819"/>
      <c r="BE12" s="818"/>
      <c r="BF12" s="816"/>
      <c r="BG12" s="819"/>
      <c r="BH12" s="818"/>
      <c r="BI12" s="816"/>
      <c r="BJ12" s="819"/>
      <c r="BK12" s="818"/>
      <c r="BL12" s="816"/>
      <c r="BM12" s="819"/>
      <c r="BN12" s="818"/>
      <c r="BO12" s="816"/>
      <c r="BP12" s="819"/>
      <c r="BQ12" s="818"/>
      <c r="BR12" s="816"/>
      <c r="BS12" s="819"/>
      <c r="BT12" s="818"/>
      <c r="BU12" s="816"/>
      <c r="BV12" s="819"/>
      <c r="BW12" s="818"/>
      <c r="BX12" s="816"/>
      <c r="BY12" s="819"/>
      <c r="BZ12" s="839" t="s">
        <v>3427</v>
      </c>
    </row>
    <row r="13" spans="1:78" s="829" customFormat="1">
      <c r="A13" s="822" t="s">
        <v>3303</v>
      </c>
      <c r="B13" s="823">
        <v>2</v>
      </c>
      <c r="C13" s="823">
        <v>3</v>
      </c>
      <c r="D13" s="823" t="s">
        <v>3304</v>
      </c>
      <c r="E13" s="824">
        <v>2.4</v>
      </c>
      <c r="F13" s="825">
        <v>11.98</v>
      </c>
      <c r="G13" s="823" t="s">
        <v>2902</v>
      </c>
      <c r="H13" s="826" t="s">
        <v>2902</v>
      </c>
      <c r="I13" s="825">
        <v>14.56</v>
      </c>
      <c r="J13" s="823" t="s">
        <v>2902</v>
      </c>
      <c r="K13" s="826" t="s">
        <v>2902</v>
      </c>
      <c r="L13" s="823">
        <v>11.72</v>
      </c>
      <c r="M13" s="823">
        <v>337</v>
      </c>
      <c r="N13" s="826">
        <v>3369</v>
      </c>
      <c r="O13" s="825">
        <v>25.61</v>
      </c>
      <c r="P13" s="823">
        <v>422</v>
      </c>
      <c r="Q13" s="826">
        <v>4219</v>
      </c>
      <c r="R13" s="825">
        <v>27.65</v>
      </c>
      <c r="S13" s="823">
        <v>33435</v>
      </c>
      <c r="T13" s="826">
        <v>34596</v>
      </c>
      <c r="U13" s="825">
        <v>18.8</v>
      </c>
      <c r="V13" s="823" t="s">
        <v>2902</v>
      </c>
      <c r="W13" s="826" t="s">
        <v>2902</v>
      </c>
      <c r="X13" s="825">
        <v>2.56</v>
      </c>
      <c r="Y13" s="823" t="s">
        <v>2902</v>
      </c>
      <c r="Z13" s="826" t="s">
        <v>2902</v>
      </c>
      <c r="AA13" s="825">
        <v>1.45</v>
      </c>
      <c r="AB13" s="823" t="s">
        <v>2902</v>
      </c>
      <c r="AC13" s="826" t="s">
        <v>2902</v>
      </c>
      <c r="AD13" s="825" t="s">
        <v>3305</v>
      </c>
      <c r="AE13" s="823" t="s">
        <v>3305</v>
      </c>
      <c r="AF13" s="826" t="s">
        <v>3305</v>
      </c>
      <c r="AG13" s="825" t="s">
        <v>3305</v>
      </c>
      <c r="AH13" s="823" t="s">
        <v>3305</v>
      </c>
      <c r="AI13" s="826" t="s">
        <v>3305</v>
      </c>
      <c r="AJ13" s="825" t="s">
        <v>3305</v>
      </c>
      <c r="AK13" s="823" t="s">
        <v>3305</v>
      </c>
      <c r="AL13" s="826" t="s">
        <v>3305</v>
      </c>
      <c r="AM13" s="825" t="s">
        <v>3305</v>
      </c>
      <c r="AN13" s="823" t="s">
        <v>3305</v>
      </c>
      <c r="AO13" s="826" t="s">
        <v>3305</v>
      </c>
      <c r="AP13" s="825">
        <v>4.08</v>
      </c>
      <c r="AQ13" s="823" t="s">
        <v>2902</v>
      </c>
      <c r="AR13" s="826" t="s">
        <v>2902</v>
      </c>
      <c r="AS13" s="827">
        <v>0.44</v>
      </c>
      <c r="AT13" s="823" t="s">
        <v>2902</v>
      </c>
      <c r="AU13" s="826" t="s">
        <v>2902</v>
      </c>
      <c r="AV13" s="825">
        <v>6.3</v>
      </c>
      <c r="AW13" s="823" t="s">
        <v>2902</v>
      </c>
      <c r="AX13" s="826" t="s">
        <v>2902</v>
      </c>
      <c r="AY13" s="825" t="s">
        <v>3305</v>
      </c>
      <c r="AZ13" s="823" t="s">
        <v>3305</v>
      </c>
      <c r="BA13" s="826" t="s">
        <v>3305</v>
      </c>
      <c r="BB13" s="825" t="s">
        <v>3305</v>
      </c>
      <c r="BC13" s="823" t="s">
        <v>3305</v>
      </c>
      <c r="BD13" s="826" t="s">
        <v>3305</v>
      </c>
      <c r="BE13" s="825" t="s">
        <v>3305</v>
      </c>
      <c r="BF13" s="823" t="s">
        <v>3305</v>
      </c>
      <c r="BG13" s="826" t="s">
        <v>3305</v>
      </c>
      <c r="BH13" s="825">
        <v>19.87</v>
      </c>
      <c r="BI13" s="823">
        <v>46908</v>
      </c>
      <c r="BJ13" s="826">
        <v>47693</v>
      </c>
      <c r="BK13" s="825"/>
      <c r="BL13" s="823"/>
      <c r="BM13" s="826"/>
      <c r="BN13" s="825"/>
      <c r="BO13" s="823"/>
      <c r="BP13" s="826"/>
      <c r="BQ13" s="825" t="s">
        <v>3305</v>
      </c>
      <c r="BR13" s="823" t="s">
        <v>3305</v>
      </c>
      <c r="BS13" s="826" t="s">
        <v>3305</v>
      </c>
      <c r="BT13" s="825" t="s">
        <v>3305</v>
      </c>
      <c r="BU13" s="823" t="s">
        <v>3305</v>
      </c>
      <c r="BV13" s="826" t="s">
        <v>3305</v>
      </c>
      <c r="BW13" s="825" t="s">
        <v>3305</v>
      </c>
      <c r="BX13" s="823" t="s">
        <v>3305</v>
      </c>
      <c r="BY13" s="826" t="s">
        <v>3305</v>
      </c>
      <c r="BZ13" s="828" t="s">
        <v>3306</v>
      </c>
    </row>
    <row r="14" spans="1:78" s="821" customFormat="1">
      <c r="A14" s="815" t="s">
        <v>3307</v>
      </c>
      <c r="B14" s="816">
        <v>1</v>
      </c>
      <c r="C14" s="841">
        <v>1.5</v>
      </c>
      <c r="D14" s="816" t="s">
        <v>3304</v>
      </c>
      <c r="E14" s="830">
        <v>2.4</v>
      </c>
      <c r="F14" s="818">
        <v>11.98</v>
      </c>
      <c r="G14" s="816">
        <v>149407</v>
      </c>
      <c r="H14" s="819">
        <v>164739</v>
      </c>
      <c r="I14" s="818">
        <v>14.56</v>
      </c>
      <c r="J14" s="816" t="s">
        <v>2902</v>
      </c>
      <c r="K14" s="819" t="s">
        <v>2902</v>
      </c>
      <c r="L14" s="816">
        <v>11.72</v>
      </c>
      <c r="M14" s="816">
        <v>133</v>
      </c>
      <c r="N14" s="819">
        <v>1327</v>
      </c>
      <c r="O14" s="818">
        <v>25.61</v>
      </c>
      <c r="P14" s="816">
        <v>124</v>
      </c>
      <c r="Q14" s="819">
        <v>1238</v>
      </c>
      <c r="R14" s="818">
        <v>27.65</v>
      </c>
      <c r="S14" s="816">
        <v>1030</v>
      </c>
      <c r="T14" s="819">
        <v>10296</v>
      </c>
      <c r="U14" s="818">
        <v>18.8</v>
      </c>
      <c r="V14" s="816">
        <v>53997</v>
      </c>
      <c r="W14" s="819">
        <v>62106</v>
      </c>
      <c r="X14" s="818">
        <v>2.56</v>
      </c>
      <c r="Y14" s="816" t="s">
        <v>2902</v>
      </c>
      <c r="Z14" s="819" t="s">
        <v>2902</v>
      </c>
      <c r="AA14" s="818">
        <v>1.45</v>
      </c>
      <c r="AB14" s="816" t="s">
        <v>2902</v>
      </c>
      <c r="AC14" s="819" t="s">
        <v>2902</v>
      </c>
      <c r="AD14" s="818" t="s">
        <v>3305</v>
      </c>
      <c r="AE14" s="816" t="s">
        <v>3305</v>
      </c>
      <c r="AF14" s="819" t="s">
        <v>3305</v>
      </c>
      <c r="AG14" s="818" t="s">
        <v>3305</v>
      </c>
      <c r="AH14" s="816" t="s">
        <v>3305</v>
      </c>
      <c r="AI14" s="819" t="s">
        <v>3305</v>
      </c>
      <c r="AJ14" s="818" t="s">
        <v>3305</v>
      </c>
      <c r="AK14" s="816" t="s">
        <v>3305</v>
      </c>
      <c r="AL14" s="819" t="s">
        <v>3305</v>
      </c>
      <c r="AM14" s="818" t="s">
        <v>3305</v>
      </c>
      <c r="AN14" s="816" t="s">
        <v>3305</v>
      </c>
      <c r="AO14" s="819" t="s">
        <v>3305</v>
      </c>
      <c r="AP14" s="818">
        <v>4.08</v>
      </c>
      <c r="AQ14" s="816" t="s">
        <v>2902</v>
      </c>
      <c r="AR14" s="819" t="s">
        <v>2902</v>
      </c>
      <c r="AS14" s="831">
        <v>0.44</v>
      </c>
      <c r="AT14" s="816" t="s">
        <v>2902</v>
      </c>
      <c r="AU14" s="819" t="s">
        <v>2902</v>
      </c>
      <c r="AV14" s="818">
        <v>6.3</v>
      </c>
      <c r="AW14" s="816" t="s">
        <v>2902</v>
      </c>
      <c r="AX14" s="819" t="s">
        <v>2902</v>
      </c>
      <c r="AY14" s="818" t="s">
        <v>3305</v>
      </c>
      <c r="AZ14" s="816" t="s">
        <v>3305</v>
      </c>
      <c r="BA14" s="819" t="s">
        <v>3305</v>
      </c>
      <c r="BB14" s="818" t="s">
        <v>3305</v>
      </c>
      <c r="BC14" s="816" t="s">
        <v>3305</v>
      </c>
      <c r="BD14" s="819" t="s">
        <v>3305</v>
      </c>
      <c r="BE14" s="818" t="s">
        <v>3305</v>
      </c>
      <c r="BF14" s="816" t="s">
        <v>3305</v>
      </c>
      <c r="BG14" s="819" t="s">
        <v>3305</v>
      </c>
      <c r="BH14" s="818">
        <v>19.87</v>
      </c>
      <c r="BI14" s="816">
        <v>626</v>
      </c>
      <c r="BJ14" s="819">
        <v>6256</v>
      </c>
      <c r="BK14" s="818"/>
      <c r="BL14" s="816"/>
      <c r="BM14" s="819"/>
      <c r="BN14" s="818"/>
      <c r="BO14" s="816"/>
      <c r="BP14" s="819"/>
      <c r="BQ14" s="818" t="s">
        <v>3305</v>
      </c>
      <c r="BR14" s="816" t="s">
        <v>3305</v>
      </c>
      <c r="BS14" s="819" t="s">
        <v>3305</v>
      </c>
      <c r="BT14" s="818" t="s">
        <v>3305</v>
      </c>
      <c r="BU14" s="816" t="s">
        <v>3305</v>
      </c>
      <c r="BV14" s="819" t="s">
        <v>3305</v>
      </c>
      <c r="BW14" s="818" t="s">
        <v>3305</v>
      </c>
      <c r="BX14" s="816" t="s">
        <v>3305</v>
      </c>
      <c r="BY14" s="819" t="s">
        <v>3305</v>
      </c>
      <c r="BZ14" s="820" t="s">
        <v>3308</v>
      </c>
    </row>
  </sheetData>
  <mergeCells count="34">
    <mergeCell ref="BH10:BJ10"/>
    <mergeCell ref="BK10:BM10"/>
    <mergeCell ref="BN10:BP10"/>
    <mergeCell ref="BQ10:BS10"/>
    <mergeCell ref="BT10:BV10"/>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L10:N10"/>
    <mergeCell ref="O10:Q10"/>
    <mergeCell ref="R10:T10"/>
    <mergeCell ref="AM10:AO10"/>
    <mergeCell ref="L9:AO9"/>
    <mergeCell ref="F9:K9"/>
    <mergeCell ref="A9:A11"/>
    <mergeCell ref="B9:B11"/>
    <mergeCell ref="C9:C11"/>
    <mergeCell ref="D9:D11"/>
    <mergeCell ref="E9:E11"/>
    <mergeCell ref="F10:H10"/>
    <mergeCell ref="I10:K10"/>
  </mergeCells>
  <phoneticPr fontId="84"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J70"/>
  <sheetViews>
    <sheetView zoomScaleNormal="100" workbookViewId="0">
      <pane ySplit="7" topLeftCell="A8" activePane="bottomLeft" state="frozen"/>
      <selection activeCell="D18" sqref="D18"/>
      <selection pane="bottomLeft"/>
    </sheetView>
  </sheetViews>
  <sheetFormatPr baseColWidth="10" defaultColWidth="8.83203125" defaultRowHeight="13"/>
  <cols>
    <col min="1" max="1" width="13.6640625" customWidth="1"/>
    <col min="2" max="2" width="9.5" bestFit="1" customWidth="1"/>
    <col min="3" max="4" width="10" customWidth="1"/>
    <col min="5" max="5" width="10.5" customWidth="1"/>
    <col min="6" max="6" width="10" customWidth="1"/>
    <col min="7" max="8" width="14.6640625" customWidth="1"/>
    <col min="9" max="9" width="13.33203125" customWidth="1"/>
    <col min="18" max="18" width="14.6640625" customWidth="1"/>
    <col min="19" max="19" width="10.33203125" customWidth="1"/>
    <col min="20" max="20" width="12.83203125" customWidth="1"/>
    <col min="21" max="21" width="14.33203125" customWidth="1"/>
    <col min="23" max="23" width="11.33203125" customWidth="1"/>
    <col min="25" max="26" width="9.5" customWidth="1"/>
    <col min="27" max="27" width="10.33203125" customWidth="1"/>
    <col min="28" max="28" width="11.5" customWidth="1"/>
    <col min="29" max="29" width="10.33203125" customWidth="1"/>
    <col min="31" max="31" width="10.5" customWidth="1"/>
    <col min="32" max="32" width="36.1640625" customWidth="1"/>
  </cols>
  <sheetData>
    <row r="1" spans="1:36">
      <c r="A1" s="1" t="s">
        <v>2884</v>
      </c>
    </row>
    <row r="2" spans="1:36" s="526" customFormat="1">
      <c r="A2" s="6" t="s">
        <v>2870</v>
      </c>
      <c r="B2" s="1"/>
      <c r="U2" s="654"/>
      <c r="W2" s="655"/>
      <c r="X2" s="655"/>
      <c r="Y2" s="655"/>
      <c r="Z2" s="655"/>
      <c r="AA2" s="655"/>
      <c r="AB2" s="655"/>
      <c r="AC2" s="655"/>
      <c r="AD2" s="655"/>
      <c r="AE2" s="655"/>
      <c r="AF2" s="655"/>
      <c r="AG2" s="655"/>
      <c r="AH2" s="655"/>
      <c r="AI2" s="655"/>
      <c r="AJ2" s="655"/>
    </row>
    <row r="4" spans="1:36">
      <c r="D4" s="6"/>
      <c r="G4" s="9"/>
      <c r="H4" s="9"/>
      <c r="I4" s="9"/>
      <c r="J4" s="9"/>
      <c r="K4" s="9"/>
      <c r="L4" s="9"/>
      <c r="P4" s="374"/>
      <c r="Q4" s="9"/>
      <c r="R4" s="9"/>
      <c r="S4" s="9"/>
      <c r="T4" s="9"/>
      <c r="U4" s="9"/>
      <c r="W4" s="9"/>
      <c r="X4" s="9"/>
    </row>
    <row r="5" spans="1:36" ht="13.5" customHeight="1">
      <c r="G5" s="9"/>
      <c r="H5" s="9"/>
      <c r="I5" s="9"/>
      <c r="J5" s="9"/>
      <c r="K5" s="9"/>
      <c r="L5" s="9"/>
      <c r="P5" s="374"/>
      <c r="Q5" s="9"/>
      <c r="R5" s="9"/>
      <c r="S5" s="9"/>
      <c r="T5" s="9"/>
      <c r="U5" s="9"/>
      <c r="W5" s="9"/>
      <c r="X5" s="9"/>
    </row>
    <row r="6" spans="1:36">
      <c r="A6" s="1030" t="s">
        <v>2940</v>
      </c>
      <c r="B6" s="1031"/>
      <c r="C6" s="1035" t="s">
        <v>2885</v>
      </c>
      <c r="D6" s="1030"/>
      <c r="E6" s="1030"/>
      <c r="F6" s="1031"/>
      <c r="G6" s="1035" t="s">
        <v>3219</v>
      </c>
      <c r="H6" s="1030"/>
      <c r="I6" s="1030"/>
      <c r="J6" s="1035" t="s">
        <v>2886</v>
      </c>
      <c r="K6" s="1030"/>
      <c r="L6" s="1030"/>
      <c r="M6" s="1030"/>
      <c r="N6" s="1030"/>
      <c r="O6" s="1030"/>
      <c r="P6" s="1030"/>
      <c r="Q6" s="1035" t="s">
        <v>677</v>
      </c>
      <c r="R6" s="1030"/>
      <c r="S6" s="1030"/>
      <c r="T6" s="1030"/>
      <c r="U6" s="1031"/>
      <c r="V6" s="1032" t="s">
        <v>2887</v>
      </c>
      <c r="W6" s="1033"/>
      <c r="X6" s="1033"/>
      <c r="Y6" s="1033"/>
      <c r="Z6" s="1033"/>
      <c r="AA6" s="1033"/>
      <c r="AB6" s="1033"/>
      <c r="AC6" s="1033"/>
      <c r="AD6" s="1033"/>
      <c r="AE6" s="1034"/>
      <c r="AF6" s="1"/>
    </row>
    <row r="7" spans="1:36" s="48" customFormat="1" ht="56">
      <c r="A7" s="778" t="s">
        <v>3212</v>
      </c>
      <c r="B7" s="86" t="s">
        <v>1351</v>
      </c>
      <c r="C7" s="367" t="s">
        <v>162</v>
      </c>
      <c r="D7" s="87" t="s">
        <v>920</v>
      </c>
      <c r="E7" s="87" t="str">
        <f>IF(COUNTIF(F9:F64,"=1")&gt;0,"Average flow (mgd)","")</f>
        <v/>
      </c>
      <c r="F7" s="368" t="s">
        <v>161</v>
      </c>
      <c r="G7" s="367" t="s">
        <v>37</v>
      </c>
      <c r="H7" s="778" t="s">
        <v>3421</v>
      </c>
      <c r="I7" s="778" t="s">
        <v>3422</v>
      </c>
      <c r="J7" s="367" t="s">
        <v>1303</v>
      </c>
      <c r="K7" s="87" t="s">
        <v>57</v>
      </c>
      <c r="L7" s="778" t="s">
        <v>3413</v>
      </c>
      <c r="M7" s="87" t="s">
        <v>59</v>
      </c>
      <c r="N7" s="87" t="s">
        <v>160</v>
      </c>
      <c r="O7" s="87" t="s">
        <v>1356</v>
      </c>
      <c r="P7" s="87" t="s">
        <v>1352</v>
      </c>
      <c r="Q7" s="367" t="s">
        <v>159</v>
      </c>
      <c r="R7" s="87" t="s">
        <v>2174</v>
      </c>
      <c r="S7" s="87" t="s">
        <v>1155</v>
      </c>
      <c r="T7" s="87" t="s">
        <v>1151</v>
      </c>
      <c r="U7" s="368" t="s">
        <v>2173</v>
      </c>
      <c r="V7" s="367" t="s">
        <v>1302</v>
      </c>
      <c r="W7" s="87" t="s">
        <v>1817</v>
      </c>
      <c r="X7" s="87" t="s">
        <v>1301</v>
      </c>
      <c r="Y7" s="87" t="s">
        <v>1894</v>
      </c>
      <c r="Z7" s="87" t="s">
        <v>1895</v>
      </c>
      <c r="AA7" s="87" t="s">
        <v>1170</v>
      </c>
      <c r="AB7" s="87" t="s">
        <v>158</v>
      </c>
      <c r="AC7" s="48" t="s">
        <v>3182</v>
      </c>
      <c r="AD7" s="87" t="s">
        <v>3185</v>
      </c>
      <c r="AE7" s="368" t="s">
        <v>3188</v>
      </c>
      <c r="AG7" s="1029" t="s">
        <v>2941</v>
      </c>
      <c r="AH7" s="1029"/>
      <c r="AI7" s="1029"/>
      <c r="AJ7" s="1029"/>
    </row>
    <row r="8" spans="1:36">
      <c r="B8" s="8"/>
      <c r="C8" s="3" t="s">
        <v>52</v>
      </c>
      <c r="D8" s="3" t="s">
        <v>921</v>
      </c>
      <c r="E8" s="3" t="s">
        <v>56</v>
      </c>
      <c r="F8" s="3" t="s">
        <v>54</v>
      </c>
      <c r="G8" s="3" t="s">
        <v>3012</v>
      </c>
      <c r="H8" s="3" t="s">
        <v>2676</v>
      </c>
      <c r="I8" s="3" t="s">
        <v>3423</v>
      </c>
      <c r="J8" s="3" t="s">
        <v>1502</v>
      </c>
      <c r="K8" s="3" t="s">
        <v>1503</v>
      </c>
      <c r="L8" s="3" t="s">
        <v>3414</v>
      </c>
      <c r="M8" s="3" t="s">
        <v>65</v>
      </c>
      <c r="N8" s="3" t="s">
        <v>595</v>
      </c>
      <c r="O8" s="3" t="s">
        <v>740</v>
      </c>
      <c r="P8" s="3" t="s">
        <v>741</v>
      </c>
      <c r="Q8" s="3" t="s">
        <v>2199</v>
      </c>
      <c r="R8" s="3" t="s">
        <v>2201</v>
      </c>
      <c r="S8" s="3" t="s">
        <v>2200</v>
      </c>
      <c r="T8" s="3" t="s">
        <v>2202</v>
      </c>
      <c r="U8" s="3" t="s">
        <v>2203</v>
      </c>
      <c r="V8" s="3" t="s">
        <v>1032</v>
      </c>
      <c r="W8" s="782" t="s">
        <v>1033</v>
      </c>
      <c r="X8" s="782" t="s">
        <v>3013</v>
      </c>
      <c r="Y8" s="782" t="s">
        <v>1034</v>
      </c>
      <c r="Z8" s="782" t="s">
        <v>1881</v>
      </c>
      <c r="AA8" s="782" t="s">
        <v>2196</v>
      </c>
      <c r="AB8" s="782" t="s">
        <v>1035</v>
      </c>
      <c r="AC8" s="782" t="s">
        <v>3183</v>
      </c>
      <c r="AD8" s="782" t="s">
        <v>3186</v>
      </c>
      <c r="AE8" s="782" t="s">
        <v>3189</v>
      </c>
      <c r="AG8" s="847" t="s">
        <v>3416</v>
      </c>
      <c r="AH8" s="847" t="s">
        <v>3417</v>
      </c>
      <c r="AI8" s="847" t="s">
        <v>3418</v>
      </c>
      <c r="AJ8" s="847" t="s">
        <v>3419</v>
      </c>
    </row>
    <row r="9" spans="1:36">
      <c r="A9" s="369">
        <v>1</v>
      </c>
      <c r="B9" s="370">
        <v>1</v>
      </c>
      <c r="C9" s="369">
        <v>0.03</v>
      </c>
      <c r="D9" s="373" t="s">
        <v>51</v>
      </c>
      <c r="E9" s="373">
        <v>7.0000000000000001E-3</v>
      </c>
      <c r="F9" s="370" t="s">
        <v>51</v>
      </c>
      <c r="G9" s="369" t="s">
        <v>1501</v>
      </c>
      <c r="H9" s="373">
        <v>240000</v>
      </c>
      <c r="I9" s="373" t="s">
        <v>2677</v>
      </c>
      <c r="J9" s="369">
        <v>2</v>
      </c>
      <c r="K9" s="373">
        <v>6</v>
      </c>
      <c r="L9" s="526" t="s">
        <v>2901</v>
      </c>
      <c r="M9" s="376"/>
      <c r="N9" s="526"/>
      <c r="O9" s="5"/>
      <c r="P9" s="268"/>
      <c r="Q9" s="373"/>
      <c r="R9" s="373" t="s">
        <v>1912</v>
      </c>
      <c r="S9" s="373" t="s">
        <v>922</v>
      </c>
      <c r="T9" s="373" t="s">
        <v>3527</v>
      </c>
      <c r="U9" s="370"/>
      <c r="V9" s="369">
        <v>0</v>
      </c>
      <c r="AA9" t="s">
        <v>1300</v>
      </c>
      <c r="AF9" s="781" t="str">
        <f>VLOOKUP(A9,contam_lookup,2,FALSE)</f>
        <v>Perfluorooctane Sulfonate (PFOS)</v>
      </c>
      <c r="AG9" t="b">
        <f>IF(L9="yes",AI9,AJ9)</f>
        <v>0</v>
      </c>
      <c r="AH9" t="b">
        <f t="array" ref="AH9">AND(C9:F9=inp_used_minimal,A9=inp_used_usersel)</f>
        <v>0</v>
      </c>
      <c r="AI9" t="b">
        <f t="array" ref="AI9">AND(A9=inp_used_usersel,C9:K9=inp_used_nonvessel1,Q9:AE9=inp_used_nonvessel2,inp_used_vessels=inp_autosize)</f>
        <v>0</v>
      </c>
      <c r="AJ9" t="b">
        <f t="array" ref="AJ9">AND(C9:AE9=inp_used,A9=inp_used_usersel)</f>
        <v>0</v>
      </c>
    </row>
    <row r="10" spans="1:36">
      <c r="A10" s="114">
        <v>1</v>
      </c>
      <c r="B10" s="268">
        <v>2</v>
      </c>
      <c r="C10" s="114">
        <v>0.124</v>
      </c>
      <c r="D10" t="s">
        <v>51</v>
      </c>
      <c r="E10">
        <v>3.5000000000000003E-2</v>
      </c>
      <c r="F10" s="268" t="s">
        <v>51</v>
      </c>
      <c r="G10" s="114" t="s">
        <v>1501</v>
      </c>
      <c r="H10">
        <v>240000</v>
      </c>
      <c r="I10" t="s">
        <v>2677</v>
      </c>
      <c r="J10" s="114">
        <v>2</v>
      </c>
      <c r="K10">
        <v>6</v>
      </c>
      <c r="L10" t="s">
        <v>2901</v>
      </c>
      <c r="M10" s="376"/>
      <c r="O10" s="5"/>
      <c r="P10" s="268"/>
      <c r="R10" t="s">
        <v>1912</v>
      </c>
      <c r="S10" t="s">
        <v>922</v>
      </c>
      <c r="T10" t="s">
        <v>3527</v>
      </c>
      <c r="U10" s="268"/>
      <c r="V10" s="114">
        <v>0</v>
      </c>
      <c r="AA10" t="s">
        <v>1300</v>
      </c>
      <c r="AF10" s="114"/>
      <c r="AG10" t="b">
        <f t="shared" ref="AG10:AG64" si="0">IF(L10="yes",AI10,AJ10)</f>
        <v>0</v>
      </c>
      <c r="AH10" t="b">
        <f t="array" ref="AH10">AND(C10:F10=inp_used_minimal,A10=inp_used_usersel)</f>
        <v>0</v>
      </c>
      <c r="AI10" t="b">
        <f t="array" ref="AI10">AND(A10=inp_used_usersel,C10:K10=inp_used_nonvessel1,Q10:AE10=inp_used_nonvessel2,inp_used_vessels=inp_autosize)</f>
        <v>0</v>
      </c>
      <c r="AJ10" t="b">
        <f t="array" ref="AJ10">AND(C10:AE10=inp_used,A10=inp_used_usersel)</f>
        <v>0</v>
      </c>
    </row>
    <row r="11" spans="1:36">
      <c r="A11" s="114">
        <v>1</v>
      </c>
      <c r="B11" s="268">
        <v>3</v>
      </c>
      <c r="C11" s="114">
        <v>0.30499999999999999</v>
      </c>
      <c r="D11" t="s">
        <v>51</v>
      </c>
      <c r="E11">
        <v>9.4E-2</v>
      </c>
      <c r="F11" s="268" t="s">
        <v>51</v>
      </c>
      <c r="G11" s="114" t="s">
        <v>1501</v>
      </c>
      <c r="H11">
        <v>240000</v>
      </c>
      <c r="I11" t="s">
        <v>2677</v>
      </c>
      <c r="J11" s="114">
        <v>2</v>
      </c>
      <c r="K11">
        <v>6</v>
      </c>
      <c r="L11" t="s">
        <v>2901</v>
      </c>
      <c r="M11" s="376"/>
      <c r="O11" s="5"/>
      <c r="P11" s="268"/>
      <c r="R11" t="s">
        <v>1912</v>
      </c>
      <c r="S11" t="s">
        <v>922</v>
      </c>
      <c r="T11" t="s">
        <v>3527</v>
      </c>
      <c r="U11" s="268"/>
      <c r="V11" s="114">
        <v>0</v>
      </c>
      <c r="AA11" t="s">
        <v>1300</v>
      </c>
      <c r="AF11" s="781"/>
      <c r="AG11" t="b">
        <f t="shared" si="0"/>
        <v>0</v>
      </c>
      <c r="AH11" t="b">
        <f t="array" ref="AH11">AND(C11:F11=inp_used_minimal,A11=inp_used_usersel)</f>
        <v>0</v>
      </c>
      <c r="AI11" t="b">
        <f t="array" ref="AI11">AND(A11=inp_used_usersel,C11:K11=inp_used_nonvessel1,Q11:AE11=inp_used_nonvessel2,inp_used_vessels=inp_autosize)</f>
        <v>0</v>
      </c>
      <c r="AJ11" t="b">
        <f t="array" ref="AJ11">AND(C11:AE11=inp_used,A11=inp_used_usersel)</f>
        <v>0</v>
      </c>
    </row>
    <row r="12" spans="1:36">
      <c r="A12" s="114">
        <v>1</v>
      </c>
      <c r="B12" s="268">
        <v>4</v>
      </c>
      <c r="C12" s="114">
        <v>0.74</v>
      </c>
      <c r="D12" t="s">
        <v>51</v>
      </c>
      <c r="E12">
        <v>0.251</v>
      </c>
      <c r="F12" s="268" t="s">
        <v>51</v>
      </c>
      <c r="G12" s="114" t="s">
        <v>1501</v>
      </c>
      <c r="H12">
        <v>240000</v>
      </c>
      <c r="I12" t="s">
        <v>2677</v>
      </c>
      <c r="J12" s="114">
        <v>2</v>
      </c>
      <c r="K12">
        <v>6</v>
      </c>
      <c r="L12" t="s">
        <v>2901</v>
      </c>
      <c r="M12" s="376"/>
      <c r="P12" s="268"/>
      <c r="R12" t="s">
        <v>1912</v>
      </c>
      <c r="S12" t="s">
        <v>922</v>
      </c>
      <c r="T12" t="s">
        <v>3527</v>
      </c>
      <c r="U12" s="268"/>
      <c r="V12" s="114">
        <v>0</v>
      </c>
      <c r="AA12" t="s">
        <v>1300</v>
      </c>
      <c r="AF12" s="114"/>
      <c r="AG12" t="b">
        <f t="shared" si="0"/>
        <v>0</v>
      </c>
      <c r="AH12" t="b">
        <f t="array" ref="AH12">AND(C12:F12=inp_used_minimal,A12=inp_used_usersel)</f>
        <v>0</v>
      </c>
      <c r="AI12" t="b">
        <f t="array" ref="AI12">AND(A12=inp_used_usersel,C12:K12=inp_used_nonvessel1,Q12:AE12=inp_used_nonvessel2,inp_used_vessels=inp_autosize)</f>
        <v>0</v>
      </c>
      <c r="AJ12" t="b">
        <f t="array" ref="AJ12">AND(C12:AE12=inp_used,A12=inp_used_usersel)</f>
        <v>0</v>
      </c>
    </row>
    <row r="13" spans="1:36">
      <c r="A13" s="114">
        <v>1</v>
      </c>
      <c r="B13" s="268">
        <v>5</v>
      </c>
      <c r="C13" s="114">
        <v>2.1520000000000001</v>
      </c>
      <c r="D13" t="s">
        <v>51</v>
      </c>
      <c r="E13">
        <v>0.81899999999999995</v>
      </c>
      <c r="F13" s="268" t="s">
        <v>51</v>
      </c>
      <c r="G13" s="114" t="s">
        <v>1501</v>
      </c>
      <c r="H13">
        <v>240000</v>
      </c>
      <c r="I13" t="s">
        <v>2677</v>
      </c>
      <c r="J13" s="114">
        <v>2</v>
      </c>
      <c r="K13">
        <v>6</v>
      </c>
      <c r="L13" t="s">
        <v>2901</v>
      </c>
      <c r="M13" s="376"/>
      <c r="P13" s="268"/>
      <c r="R13" t="s">
        <v>1912</v>
      </c>
      <c r="S13" t="s">
        <v>922</v>
      </c>
      <c r="T13" t="s">
        <v>3527</v>
      </c>
      <c r="U13" s="268"/>
      <c r="V13" s="114">
        <v>0</v>
      </c>
      <c r="AA13" t="s">
        <v>1300</v>
      </c>
      <c r="AF13" s="114"/>
      <c r="AG13" t="b">
        <f t="shared" si="0"/>
        <v>0</v>
      </c>
      <c r="AH13" t="b">
        <f t="array" ref="AH13">AND(C13:F13=inp_used_minimal,A13=inp_used_usersel)</f>
        <v>0</v>
      </c>
      <c r="AI13" t="b">
        <f t="array" ref="AI13">AND(A13=inp_used_usersel,C13:K13=inp_used_nonvessel1,Q13:AE13=inp_used_nonvessel2,inp_used_vessels=inp_autosize)</f>
        <v>0</v>
      </c>
      <c r="AJ13" t="b">
        <f t="array" ref="AJ13">AND(C13:AE13=inp_used,A13=inp_used_usersel)</f>
        <v>0</v>
      </c>
    </row>
    <row r="14" spans="1:36">
      <c r="A14" s="114">
        <v>1</v>
      </c>
      <c r="B14" s="268">
        <v>6</v>
      </c>
      <c r="C14" s="114">
        <v>7.3650000000000002</v>
      </c>
      <c r="D14" t="s">
        <v>51</v>
      </c>
      <c r="E14">
        <v>3.2</v>
      </c>
      <c r="F14" s="268" t="s">
        <v>51</v>
      </c>
      <c r="G14" s="114" t="s">
        <v>1501</v>
      </c>
      <c r="H14">
        <v>240000</v>
      </c>
      <c r="I14" t="s">
        <v>2677</v>
      </c>
      <c r="J14" s="114">
        <v>2</v>
      </c>
      <c r="K14">
        <v>6</v>
      </c>
      <c r="L14" t="s">
        <v>2901</v>
      </c>
      <c r="M14" s="376"/>
      <c r="P14" s="268"/>
      <c r="R14" t="s">
        <v>1912</v>
      </c>
      <c r="S14" t="s">
        <v>922</v>
      </c>
      <c r="T14" t="s">
        <v>3527</v>
      </c>
      <c r="U14" s="268"/>
      <c r="V14" s="114">
        <v>0</v>
      </c>
      <c r="AA14" t="s">
        <v>1300</v>
      </c>
      <c r="AF14" s="114"/>
      <c r="AG14" t="b">
        <f t="shared" si="0"/>
        <v>0</v>
      </c>
      <c r="AH14" t="b">
        <f t="array" ref="AH14">AND(C14:F14=inp_used_minimal,A14=inp_used_usersel)</f>
        <v>0</v>
      </c>
      <c r="AI14" t="b">
        <f t="array" ref="AI14">AND(A14=inp_used_usersel,C14:K14=inp_used_nonvessel1,Q14:AE14=inp_used_nonvessel2,inp_used_vessels=inp_autosize)</f>
        <v>0</v>
      </c>
      <c r="AJ14" t="b">
        <f t="array" ref="AJ14">AND(C14:AE14=inp_used,A14=inp_used_usersel)</f>
        <v>0</v>
      </c>
    </row>
    <row r="15" spans="1:36">
      <c r="A15" s="114">
        <v>1</v>
      </c>
      <c r="B15" s="268">
        <v>7</v>
      </c>
      <c r="C15" s="114">
        <v>22.614000000000001</v>
      </c>
      <c r="D15" t="s">
        <v>51</v>
      </c>
      <c r="E15">
        <v>11.066000000000001</v>
      </c>
      <c r="F15" s="268" t="s">
        <v>51</v>
      </c>
      <c r="G15" s="114" t="s">
        <v>1501</v>
      </c>
      <c r="H15">
        <v>240000</v>
      </c>
      <c r="I15" t="s">
        <v>2677</v>
      </c>
      <c r="J15" s="114">
        <v>2</v>
      </c>
      <c r="K15">
        <v>6</v>
      </c>
      <c r="L15" t="s">
        <v>2901</v>
      </c>
      <c r="M15" s="376"/>
      <c r="P15" s="268"/>
      <c r="R15" t="s">
        <v>1912</v>
      </c>
      <c r="S15" t="s">
        <v>922</v>
      </c>
      <c r="T15" t="s">
        <v>3527</v>
      </c>
      <c r="U15" s="268"/>
      <c r="V15" s="114">
        <v>0</v>
      </c>
      <c r="AA15" t="s">
        <v>1300</v>
      </c>
      <c r="AF15" s="114"/>
      <c r="AG15" t="b">
        <f t="shared" si="0"/>
        <v>0</v>
      </c>
      <c r="AH15" t="b">
        <f t="array" ref="AH15">AND(C15:F15=inp_used_minimal,A15=inp_used_usersel)</f>
        <v>0</v>
      </c>
      <c r="AI15" t="b">
        <f t="array" ref="AI15">AND(A15=inp_used_usersel,C15:K15=inp_used_nonvessel1,Q15:AE15=inp_used_nonvessel2,inp_used_vessels=inp_autosize)</f>
        <v>0</v>
      </c>
      <c r="AJ15" t="b">
        <f t="array" ref="AJ15">AND(C15:AE15=inp_used,A15=inp_used_usersel)</f>
        <v>0</v>
      </c>
    </row>
    <row r="16" spans="1:36" s="320" customFormat="1">
      <c r="A16" s="371">
        <v>1</v>
      </c>
      <c r="B16" s="372">
        <v>8</v>
      </c>
      <c r="C16" s="371">
        <v>75.072000000000003</v>
      </c>
      <c r="D16" s="320" t="s">
        <v>51</v>
      </c>
      <c r="E16" s="320">
        <v>37.536000000000001</v>
      </c>
      <c r="F16" s="372" t="s">
        <v>51</v>
      </c>
      <c r="G16" s="371" t="s">
        <v>1501</v>
      </c>
      <c r="H16" s="320">
        <v>240000</v>
      </c>
      <c r="I16" s="320" t="s">
        <v>2677</v>
      </c>
      <c r="J16" s="371">
        <v>2</v>
      </c>
      <c r="K16" s="320">
        <v>6</v>
      </c>
      <c r="L16" s="320" t="s">
        <v>2901</v>
      </c>
      <c r="M16" s="619"/>
      <c r="P16" s="372"/>
      <c r="R16" s="320" t="s">
        <v>1912</v>
      </c>
      <c r="S16" s="320" t="s">
        <v>922</v>
      </c>
      <c r="T16" s="320" t="s">
        <v>3527</v>
      </c>
      <c r="U16" s="372"/>
      <c r="V16" s="371">
        <v>0</v>
      </c>
      <c r="AA16" s="320" t="s">
        <v>1300</v>
      </c>
      <c r="AF16" s="371"/>
      <c r="AG16" s="320" t="b">
        <f t="shared" si="0"/>
        <v>0</v>
      </c>
      <c r="AH16" s="320" t="b">
        <f t="array" ref="AH16">AND(C16:F16=inp_used_minimal,A16=inp_used_usersel)</f>
        <v>0</v>
      </c>
      <c r="AI16" s="320" t="b">
        <f t="array" ref="AI16">AND(A16=inp_used_usersel,C16:K16=inp_used_nonvessel1,Q16:AE16=inp_used_nonvessel2,inp_used_vessels=inp_autosize)</f>
        <v>0</v>
      </c>
      <c r="AJ16" s="320" t="b">
        <f t="array" ref="AJ16">AND(C16:AE16=inp_used,A16=inp_used_usersel)</f>
        <v>0</v>
      </c>
    </row>
    <row r="17" spans="1:36">
      <c r="A17" s="114">
        <v>2</v>
      </c>
      <c r="B17" s="268">
        <v>1</v>
      </c>
      <c r="C17" s="114">
        <v>0.03</v>
      </c>
      <c r="D17" t="s">
        <v>51</v>
      </c>
      <c r="E17">
        <v>7.0000000000000001E-3</v>
      </c>
      <c r="F17" s="268" t="s">
        <v>51</v>
      </c>
      <c r="G17" s="114" t="s">
        <v>1501</v>
      </c>
      <c r="H17">
        <v>240000</v>
      </c>
      <c r="I17" t="s">
        <v>2677</v>
      </c>
      <c r="J17" s="114">
        <v>2</v>
      </c>
      <c r="K17">
        <v>6</v>
      </c>
      <c r="L17" t="s">
        <v>2901</v>
      </c>
      <c r="M17" s="376"/>
      <c r="O17" s="5"/>
      <c r="P17" s="268"/>
      <c r="R17" t="s">
        <v>1912</v>
      </c>
      <c r="S17" t="s">
        <v>922</v>
      </c>
      <c r="T17" t="s">
        <v>3527</v>
      </c>
      <c r="U17" s="268"/>
      <c r="V17" s="114">
        <v>0</v>
      </c>
      <c r="AA17" t="s">
        <v>1300</v>
      </c>
      <c r="AF17" s="781" t="str">
        <f>VLOOKUP(A17,contam_lookup,2,FALSE)</f>
        <v>Perfluorohexane Sulfonate (PFHxS)</v>
      </c>
      <c r="AG17" t="b">
        <f t="shared" si="0"/>
        <v>0</v>
      </c>
      <c r="AH17" t="b">
        <f t="array" ref="AH17">AND(C17:F17=inp_used_minimal,A17=inp_used_usersel)</f>
        <v>0</v>
      </c>
      <c r="AI17" t="b">
        <f t="array" ref="AI17">AND(A17=inp_used_usersel,C17:K17=inp_used_nonvessel1,Q17:AE17=inp_used_nonvessel2,inp_used_vessels=inp_autosize)</f>
        <v>0</v>
      </c>
      <c r="AJ17" t="b">
        <f t="array" ref="AJ17">AND(C17:AE17=inp_used,A17=inp_used_usersel)</f>
        <v>0</v>
      </c>
    </row>
    <row r="18" spans="1:36">
      <c r="A18" s="114">
        <v>2</v>
      </c>
      <c r="B18" s="268">
        <v>2</v>
      </c>
      <c r="C18" s="114">
        <v>0.124</v>
      </c>
      <c r="D18" t="s">
        <v>51</v>
      </c>
      <c r="E18">
        <v>3.5000000000000003E-2</v>
      </c>
      <c r="F18" s="268" t="s">
        <v>51</v>
      </c>
      <c r="G18" s="114" t="s">
        <v>1501</v>
      </c>
      <c r="H18">
        <v>240000</v>
      </c>
      <c r="I18" t="s">
        <v>2677</v>
      </c>
      <c r="J18" s="114">
        <v>2</v>
      </c>
      <c r="K18">
        <v>6</v>
      </c>
      <c r="L18" t="s">
        <v>2901</v>
      </c>
      <c r="M18" s="376"/>
      <c r="O18" s="5"/>
      <c r="P18" s="268"/>
      <c r="R18" t="s">
        <v>1912</v>
      </c>
      <c r="S18" t="s">
        <v>922</v>
      </c>
      <c r="T18" t="s">
        <v>3527</v>
      </c>
      <c r="U18" s="268"/>
      <c r="V18" s="114">
        <v>0</v>
      </c>
      <c r="AA18" t="s">
        <v>1300</v>
      </c>
      <c r="AF18" s="114"/>
      <c r="AG18" t="b">
        <f t="shared" si="0"/>
        <v>0</v>
      </c>
      <c r="AH18" t="b">
        <f t="array" ref="AH18">AND(C18:F18=inp_used_minimal,A18=inp_used_usersel)</f>
        <v>0</v>
      </c>
      <c r="AI18" t="b">
        <f t="array" ref="AI18">AND(A18=inp_used_usersel,C18:K18=inp_used_nonvessel1,Q18:AE18=inp_used_nonvessel2,inp_used_vessels=inp_autosize)</f>
        <v>0</v>
      </c>
      <c r="AJ18" t="b">
        <f t="array" ref="AJ18">AND(C18:AE18=inp_used,A18=inp_used_usersel)</f>
        <v>0</v>
      </c>
    </row>
    <row r="19" spans="1:36">
      <c r="A19" s="114">
        <v>2</v>
      </c>
      <c r="B19" s="268">
        <v>3</v>
      </c>
      <c r="C19" s="114">
        <v>0.30499999999999999</v>
      </c>
      <c r="D19" t="s">
        <v>51</v>
      </c>
      <c r="E19">
        <v>9.4E-2</v>
      </c>
      <c r="F19" s="268" t="s">
        <v>51</v>
      </c>
      <c r="G19" s="114" t="s">
        <v>1501</v>
      </c>
      <c r="H19">
        <v>240000</v>
      </c>
      <c r="I19" t="s">
        <v>2677</v>
      </c>
      <c r="J19" s="114">
        <v>2</v>
      </c>
      <c r="K19">
        <v>6</v>
      </c>
      <c r="L19" t="s">
        <v>2901</v>
      </c>
      <c r="M19" s="376"/>
      <c r="O19" s="5"/>
      <c r="P19" s="268"/>
      <c r="R19" t="s">
        <v>1912</v>
      </c>
      <c r="S19" t="s">
        <v>922</v>
      </c>
      <c r="T19" t="s">
        <v>3527</v>
      </c>
      <c r="U19" s="268"/>
      <c r="V19" s="114">
        <v>0</v>
      </c>
      <c r="AA19" t="s">
        <v>1300</v>
      </c>
      <c r="AF19" s="114"/>
      <c r="AG19" t="b">
        <f t="shared" si="0"/>
        <v>0</v>
      </c>
      <c r="AH19" t="b">
        <f t="array" ref="AH19">AND(C19:F19=inp_used_minimal,A19=inp_used_usersel)</f>
        <v>0</v>
      </c>
      <c r="AI19" t="b">
        <f t="array" ref="AI19">AND(A19=inp_used_usersel,C19:K19=inp_used_nonvessel1,Q19:AE19=inp_used_nonvessel2,inp_used_vessels=inp_autosize)</f>
        <v>0</v>
      </c>
      <c r="AJ19" t="b">
        <f t="array" ref="AJ19">AND(C19:AE19=inp_used,A19=inp_used_usersel)</f>
        <v>0</v>
      </c>
    </row>
    <row r="20" spans="1:36">
      <c r="A20" s="114">
        <v>2</v>
      </c>
      <c r="B20" s="268">
        <v>4</v>
      </c>
      <c r="C20" s="114">
        <v>0.74</v>
      </c>
      <c r="D20" t="s">
        <v>51</v>
      </c>
      <c r="E20">
        <v>0.251</v>
      </c>
      <c r="F20" s="268" t="s">
        <v>51</v>
      </c>
      <c r="G20" s="114" t="s">
        <v>1501</v>
      </c>
      <c r="H20">
        <v>240000</v>
      </c>
      <c r="I20" t="s">
        <v>2677</v>
      </c>
      <c r="J20" s="114">
        <v>2</v>
      </c>
      <c r="K20">
        <v>6</v>
      </c>
      <c r="L20" t="s">
        <v>2901</v>
      </c>
      <c r="M20" s="376"/>
      <c r="P20" s="268"/>
      <c r="R20" t="s">
        <v>1912</v>
      </c>
      <c r="S20" t="s">
        <v>922</v>
      </c>
      <c r="T20" t="s">
        <v>3527</v>
      </c>
      <c r="U20" s="268"/>
      <c r="V20" s="114">
        <v>0</v>
      </c>
      <c r="AA20" t="s">
        <v>1300</v>
      </c>
      <c r="AF20" s="114"/>
      <c r="AG20" t="b">
        <f t="shared" si="0"/>
        <v>0</v>
      </c>
      <c r="AH20" t="b">
        <f t="array" ref="AH20">AND(C20:F20=inp_used_minimal,A20=inp_used_usersel)</f>
        <v>0</v>
      </c>
      <c r="AI20" t="b">
        <f t="array" ref="AI20">AND(A20=inp_used_usersel,C20:K20=inp_used_nonvessel1,Q20:AE20=inp_used_nonvessel2,inp_used_vessels=inp_autosize)</f>
        <v>0</v>
      </c>
      <c r="AJ20" t="b">
        <f t="array" ref="AJ20">AND(C20:AE20=inp_used,A20=inp_used_usersel)</f>
        <v>0</v>
      </c>
    </row>
    <row r="21" spans="1:36">
      <c r="A21" s="114">
        <v>2</v>
      </c>
      <c r="B21" s="268">
        <v>5</v>
      </c>
      <c r="C21" s="114">
        <v>2.1520000000000001</v>
      </c>
      <c r="D21" t="s">
        <v>51</v>
      </c>
      <c r="E21">
        <v>0.81899999999999995</v>
      </c>
      <c r="F21" s="268" t="s">
        <v>51</v>
      </c>
      <c r="G21" s="114" t="s">
        <v>1501</v>
      </c>
      <c r="H21">
        <v>240000</v>
      </c>
      <c r="I21" t="s">
        <v>2677</v>
      </c>
      <c r="J21" s="114">
        <v>2</v>
      </c>
      <c r="K21">
        <v>6</v>
      </c>
      <c r="L21" t="s">
        <v>2901</v>
      </c>
      <c r="M21" s="376"/>
      <c r="P21" s="268"/>
      <c r="R21" t="s">
        <v>1912</v>
      </c>
      <c r="S21" t="s">
        <v>922</v>
      </c>
      <c r="T21" t="s">
        <v>3527</v>
      </c>
      <c r="U21" s="268"/>
      <c r="V21" s="114">
        <v>0</v>
      </c>
      <c r="AA21" t="s">
        <v>1300</v>
      </c>
      <c r="AF21" s="114"/>
      <c r="AG21" t="b">
        <f t="shared" si="0"/>
        <v>0</v>
      </c>
      <c r="AH21" t="b">
        <f t="array" ref="AH21">AND(C21:F21=inp_used_minimal,A21=inp_used_usersel)</f>
        <v>0</v>
      </c>
      <c r="AI21" t="b">
        <f t="array" ref="AI21">AND(A21=inp_used_usersel,C21:K21=inp_used_nonvessel1,Q21:AE21=inp_used_nonvessel2,inp_used_vessels=inp_autosize)</f>
        <v>0</v>
      </c>
      <c r="AJ21" t="b">
        <f t="array" ref="AJ21">AND(C21:AE21=inp_used,A21=inp_used_usersel)</f>
        <v>0</v>
      </c>
    </row>
    <row r="22" spans="1:36">
      <c r="A22" s="114">
        <v>2</v>
      </c>
      <c r="B22" s="268">
        <v>6</v>
      </c>
      <c r="C22" s="114">
        <v>7.3650000000000002</v>
      </c>
      <c r="D22" t="s">
        <v>51</v>
      </c>
      <c r="E22">
        <v>3.2</v>
      </c>
      <c r="F22" s="268" t="s">
        <v>51</v>
      </c>
      <c r="G22" s="114" t="s">
        <v>1501</v>
      </c>
      <c r="H22">
        <v>240000</v>
      </c>
      <c r="I22" t="s">
        <v>2677</v>
      </c>
      <c r="J22" s="114">
        <v>2</v>
      </c>
      <c r="K22">
        <v>6</v>
      </c>
      <c r="L22" t="s">
        <v>2901</v>
      </c>
      <c r="M22" s="376"/>
      <c r="P22" s="268"/>
      <c r="R22" t="s">
        <v>1912</v>
      </c>
      <c r="S22" t="s">
        <v>922</v>
      </c>
      <c r="T22" t="s">
        <v>3527</v>
      </c>
      <c r="U22" s="268"/>
      <c r="V22" s="114">
        <v>0</v>
      </c>
      <c r="AA22" t="s">
        <v>1300</v>
      </c>
      <c r="AF22" s="114"/>
      <c r="AG22" t="b">
        <f t="shared" si="0"/>
        <v>0</v>
      </c>
      <c r="AH22" t="b">
        <f t="array" ref="AH22">AND(C22:F22=inp_used_minimal,A22=inp_used_usersel)</f>
        <v>0</v>
      </c>
      <c r="AI22" t="b">
        <f t="array" ref="AI22">AND(A22=inp_used_usersel,C22:K22=inp_used_nonvessel1,Q22:AE22=inp_used_nonvessel2,inp_used_vessels=inp_autosize)</f>
        <v>0</v>
      </c>
      <c r="AJ22" t="b">
        <f t="array" ref="AJ22">AND(C22:AE22=inp_used,A22=inp_used_usersel)</f>
        <v>0</v>
      </c>
    </row>
    <row r="23" spans="1:36">
      <c r="A23" s="114">
        <v>2</v>
      </c>
      <c r="B23" s="268">
        <v>7</v>
      </c>
      <c r="C23" s="114">
        <v>22.614000000000001</v>
      </c>
      <c r="D23" t="s">
        <v>51</v>
      </c>
      <c r="E23">
        <v>11.066000000000001</v>
      </c>
      <c r="F23" s="268" t="s">
        <v>51</v>
      </c>
      <c r="G23" s="114" t="s">
        <v>1501</v>
      </c>
      <c r="H23">
        <v>240000</v>
      </c>
      <c r="I23" t="s">
        <v>2677</v>
      </c>
      <c r="J23" s="114">
        <v>2</v>
      </c>
      <c r="K23">
        <v>6</v>
      </c>
      <c r="L23" t="s">
        <v>2901</v>
      </c>
      <c r="M23" s="376"/>
      <c r="P23" s="268"/>
      <c r="R23" t="s">
        <v>1912</v>
      </c>
      <c r="S23" t="s">
        <v>922</v>
      </c>
      <c r="T23" t="s">
        <v>3527</v>
      </c>
      <c r="U23" s="268"/>
      <c r="V23" s="114">
        <v>0</v>
      </c>
      <c r="AA23" t="s">
        <v>1300</v>
      </c>
      <c r="AF23" s="114"/>
      <c r="AG23" t="b">
        <f t="shared" si="0"/>
        <v>0</v>
      </c>
      <c r="AH23" t="b">
        <f t="array" ref="AH23">AND(C23:F23=inp_used_minimal,A23=inp_used_usersel)</f>
        <v>0</v>
      </c>
      <c r="AI23" t="b">
        <f t="array" ref="AI23">AND(A23=inp_used_usersel,C23:K23=inp_used_nonvessel1,Q23:AE23=inp_used_nonvessel2,inp_used_vessels=inp_autosize)</f>
        <v>0</v>
      </c>
      <c r="AJ23" t="b">
        <f t="array" ref="AJ23">AND(C23:AE23=inp_used,A23=inp_used_usersel)</f>
        <v>0</v>
      </c>
    </row>
    <row r="24" spans="1:36" s="320" customFormat="1">
      <c r="A24" s="371">
        <v>2</v>
      </c>
      <c r="B24" s="372">
        <v>8</v>
      </c>
      <c r="C24" s="371">
        <v>75.072000000000003</v>
      </c>
      <c r="D24" s="320" t="s">
        <v>51</v>
      </c>
      <c r="E24" s="320">
        <v>37.536000000000001</v>
      </c>
      <c r="F24" s="372" t="s">
        <v>51</v>
      </c>
      <c r="G24" s="371" t="s">
        <v>1501</v>
      </c>
      <c r="H24" s="320">
        <v>240000</v>
      </c>
      <c r="I24" s="320" t="s">
        <v>2677</v>
      </c>
      <c r="J24" s="371">
        <v>2</v>
      </c>
      <c r="K24" s="320">
        <v>6</v>
      </c>
      <c r="L24" s="320" t="s">
        <v>2901</v>
      </c>
      <c r="M24" s="619"/>
      <c r="P24" s="372"/>
      <c r="R24" s="320" t="s">
        <v>1912</v>
      </c>
      <c r="S24" s="320" t="s">
        <v>922</v>
      </c>
      <c r="T24" s="320" t="s">
        <v>3527</v>
      </c>
      <c r="U24" s="372"/>
      <c r="V24" s="371">
        <v>0</v>
      </c>
      <c r="AA24" s="320" t="s">
        <v>1300</v>
      </c>
      <c r="AF24" s="371"/>
      <c r="AG24" s="320" t="b">
        <f t="shared" si="0"/>
        <v>0</v>
      </c>
      <c r="AH24" s="320" t="b">
        <f t="array" ref="AH24">AND(C24:F24=inp_used_minimal,A24=inp_used_usersel)</f>
        <v>0</v>
      </c>
      <c r="AI24" s="320" t="b">
        <f t="array" ref="AI24">AND(A24=inp_used_usersel,C24:K24=inp_used_nonvessel1,Q24:AE24=inp_used_nonvessel2,inp_used_vessels=inp_autosize)</f>
        <v>0</v>
      </c>
      <c r="AJ24" s="320" t="b">
        <f t="array" ref="AJ24">AND(C24:AE24=inp_used,A24=inp_used_usersel)</f>
        <v>0</v>
      </c>
    </row>
    <row r="25" spans="1:36">
      <c r="A25" s="114">
        <v>3</v>
      </c>
      <c r="B25" s="268">
        <v>1</v>
      </c>
      <c r="C25" s="114">
        <v>0.03</v>
      </c>
      <c r="D25" t="s">
        <v>51</v>
      </c>
      <c r="E25">
        <v>7.0000000000000001E-3</v>
      </c>
      <c r="F25" s="268" t="s">
        <v>51</v>
      </c>
      <c r="G25" s="114" t="s">
        <v>1501</v>
      </c>
      <c r="H25">
        <v>240000</v>
      </c>
      <c r="I25" t="s">
        <v>2677</v>
      </c>
      <c r="J25" s="114">
        <v>2</v>
      </c>
      <c r="K25">
        <v>6</v>
      </c>
      <c r="L25" t="s">
        <v>2901</v>
      </c>
      <c r="M25" s="376"/>
      <c r="O25" s="5"/>
      <c r="P25" s="268"/>
      <c r="R25" t="s">
        <v>1912</v>
      </c>
      <c r="S25" t="s">
        <v>922</v>
      </c>
      <c r="T25" t="s">
        <v>3527</v>
      </c>
      <c r="U25" s="268"/>
      <c r="V25" s="114">
        <v>0</v>
      </c>
      <c r="AA25" t="s">
        <v>1300</v>
      </c>
      <c r="AF25" s="781" t="str">
        <f>VLOOKUP(A25,contam_lookup,2,FALSE)</f>
        <v>Perfluorobutane Sulfonate (PFBS)</v>
      </c>
      <c r="AG25" t="b">
        <f t="shared" si="0"/>
        <v>0</v>
      </c>
      <c r="AH25" t="b">
        <f t="array" ref="AH25">AND(C25:F25=inp_used_minimal,A25=inp_used_usersel)</f>
        <v>0</v>
      </c>
      <c r="AI25" t="b">
        <f t="array" ref="AI25">AND(A25=inp_used_usersel,C25:K25=inp_used_nonvessel1,Q25:AE25=inp_used_nonvessel2,inp_used_vessels=inp_autosize)</f>
        <v>0</v>
      </c>
      <c r="AJ25" t="b">
        <f t="array" ref="AJ25">AND(C25:AE25=inp_used,A25=inp_used_usersel)</f>
        <v>0</v>
      </c>
    </row>
    <row r="26" spans="1:36">
      <c r="A26" s="114">
        <v>3</v>
      </c>
      <c r="B26" s="268">
        <v>2</v>
      </c>
      <c r="C26" s="114">
        <v>0.124</v>
      </c>
      <c r="D26" t="s">
        <v>51</v>
      </c>
      <c r="E26">
        <v>3.5000000000000003E-2</v>
      </c>
      <c r="F26" s="268" t="s">
        <v>51</v>
      </c>
      <c r="G26" s="114" t="s">
        <v>1501</v>
      </c>
      <c r="H26">
        <v>240000</v>
      </c>
      <c r="I26" t="s">
        <v>2677</v>
      </c>
      <c r="J26" s="114">
        <v>2</v>
      </c>
      <c r="K26">
        <v>6</v>
      </c>
      <c r="L26" t="s">
        <v>2901</v>
      </c>
      <c r="M26" s="376"/>
      <c r="O26" s="5"/>
      <c r="P26" s="268"/>
      <c r="R26" t="s">
        <v>1912</v>
      </c>
      <c r="S26" t="s">
        <v>922</v>
      </c>
      <c r="T26" t="s">
        <v>3527</v>
      </c>
      <c r="U26" s="268"/>
      <c r="V26" s="114">
        <v>0</v>
      </c>
      <c r="AA26" t="s">
        <v>1300</v>
      </c>
      <c r="AF26" s="114"/>
      <c r="AG26" t="b">
        <f t="shared" si="0"/>
        <v>0</v>
      </c>
      <c r="AH26" t="b">
        <f t="array" ref="AH26">AND(C26:F26=inp_used_minimal,A26=inp_used_usersel)</f>
        <v>0</v>
      </c>
      <c r="AI26" t="b">
        <f t="array" ref="AI26">AND(A26=inp_used_usersel,C26:K26=inp_used_nonvessel1,Q26:AE26=inp_used_nonvessel2,inp_used_vessels=inp_autosize)</f>
        <v>0</v>
      </c>
      <c r="AJ26" t="b">
        <f t="array" ref="AJ26">AND(C26:AE26=inp_used,A26=inp_used_usersel)</f>
        <v>0</v>
      </c>
    </row>
    <row r="27" spans="1:36">
      <c r="A27" s="114">
        <v>3</v>
      </c>
      <c r="B27" s="268">
        <v>3</v>
      </c>
      <c r="C27" s="114">
        <v>0.30499999999999999</v>
      </c>
      <c r="D27" t="s">
        <v>51</v>
      </c>
      <c r="E27">
        <v>9.4E-2</v>
      </c>
      <c r="F27" s="268" t="s">
        <v>51</v>
      </c>
      <c r="G27" s="114" t="s">
        <v>1501</v>
      </c>
      <c r="H27">
        <v>240000</v>
      </c>
      <c r="I27" t="s">
        <v>2677</v>
      </c>
      <c r="J27" s="114">
        <v>2</v>
      </c>
      <c r="K27">
        <v>6</v>
      </c>
      <c r="L27" t="s">
        <v>2901</v>
      </c>
      <c r="M27" s="376"/>
      <c r="O27" s="5"/>
      <c r="P27" s="268"/>
      <c r="R27" t="s">
        <v>1912</v>
      </c>
      <c r="S27" t="s">
        <v>922</v>
      </c>
      <c r="T27" t="s">
        <v>3527</v>
      </c>
      <c r="U27" s="268"/>
      <c r="V27" s="114">
        <v>0</v>
      </c>
      <c r="AA27" t="s">
        <v>1300</v>
      </c>
      <c r="AF27" s="114"/>
      <c r="AG27" t="b">
        <f t="shared" si="0"/>
        <v>0</v>
      </c>
      <c r="AH27" t="b">
        <f t="array" ref="AH27">AND(C27:F27=inp_used_minimal,A27=inp_used_usersel)</f>
        <v>0</v>
      </c>
      <c r="AI27" t="b">
        <f t="array" ref="AI27">AND(A27=inp_used_usersel,C27:K27=inp_used_nonvessel1,Q27:AE27=inp_used_nonvessel2,inp_used_vessels=inp_autosize)</f>
        <v>0</v>
      </c>
      <c r="AJ27" t="b">
        <f t="array" ref="AJ27">AND(C27:AE27=inp_used,A27=inp_used_usersel)</f>
        <v>0</v>
      </c>
    </row>
    <row r="28" spans="1:36">
      <c r="A28" s="114">
        <v>3</v>
      </c>
      <c r="B28" s="268">
        <v>4</v>
      </c>
      <c r="C28" s="114">
        <v>0.74</v>
      </c>
      <c r="D28" t="s">
        <v>51</v>
      </c>
      <c r="E28">
        <v>0.251</v>
      </c>
      <c r="F28" s="268" t="s">
        <v>51</v>
      </c>
      <c r="G28" s="114" t="s">
        <v>1501</v>
      </c>
      <c r="H28">
        <v>240000</v>
      </c>
      <c r="I28" t="s">
        <v>2677</v>
      </c>
      <c r="J28" s="114">
        <v>2</v>
      </c>
      <c r="K28">
        <v>6</v>
      </c>
      <c r="L28" t="s">
        <v>2901</v>
      </c>
      <c r="M28" s="376"/>
      <c r="P28" s="268"/>
      <c r="R28" t="s">
        <v>1912</v>
      </c>
      <c r="S28" t="s">
        <v>922</v>
      </c>
      <c r="T28" t="s">
        <v>3527</v>
      </c>
      <c r="U28" s="268"/>
      <c r="V28" s="114">
        <v>0</v>
      </c>
      <c r="AA28" t="s">
        <v>1300</v>
      </c>
      <c r="AF28" s="114"/>
      <c r="AG28" t="b">
        <f t="shared" si="0"/>
        <v>0</v>
      </c>
      <c r="AH28" t="b">
        <f t="array" ref="AH28">AND(C28:F28=inp_used_minimal,A28=inp_used_usersel)</f>
        <v>0</v>
      </c>
      <c r="AI28" t="b">
        <f t="array" ref="AI28">AND(A28=inp_used_usersel,C28:K28=inp_used_nonvessel1,Q28:AE28=inp_used_nonvessel2,inp_used_vessels=inp_autosize)</f>
        <v>0</v>
      </c>
      <c r="AJ28" t="b">
        <f t="array" ref="AJ28">AND(C28:AE28=inp_used,A28=inp_used_usersel)</f>
        <v>0</v>
      </c>
    </row>
    <row r="29" spans="1:36">
      <c r="A29" s="114">
        <v>3</v>
      </c>
      <c r="B29" s="268">
        <v>5</v>
      </c>
      <c r="C29" s="114">
        <v>2.1520000000000001</v>
      </c>
      <c r="D29" t="s">
        <v>51</v>
      </c>
      <c r="E29">
        <v>0.81899999999999995</v>
      </c>
      <c r="F29" s="268" t="s">
        <v>51</v>
      </c>
      <c r="G29" s="114" t="s">
        <v>1501</v>
      </c>
      <c r="H29">
        <v>240000</v>
      </c>
      <c r="I29" t="s">
        <v>2677</v>
      </c>
      <c r="J29" s="114">
        <v>2</v>
      </c>
      <c r="K29">
        <v>6</v>
      </c>
      <c r="L29" t="s">
        <v>2901</v>
      </c>
      <c r="M29" s="376"/>
      <c r="P29" s="268"/>
      <c r="R29" t="s">
        <v>1912</v>
      </c>
      <c r="S29" t="s">
        <v>922</v>
      </c>
      <c r="T29" t="s">
        <v>3527</v>
      </c>
      <c r="U29" s="268"/>
      <c r="V29" s="114">
        <v>0</v>
      </c>
      <c r="AA29" t="s">
        <v>1300</v>
      </c>
      <c r="AF29" s="114"/>
      <c r="AG29" t="b">
        <f t="shared" si="0"/>
        <v>0</v>
      </c>
      <c r="AH29" t="b">
        <f t="array" ref="AH29">AND(C29:F29=inp_used_minimal,A29=inp_used_usersel)</f>
        <v>0</v>
      </c>
      <c r="AI29" t="b">
        <f t="array" ref="AI29">AND(A29=inp_used_usersel,C29:K29=inp_used_nonvessel1,Q29:AE29=inp_used_nonvessel2,inp_used_vessels=inp_autosize)</f>
        <v>0</v>
      </c>
      <c r="AJ29" t="b">
        <f t="array" ref="AJ29">AND(C29:AE29=inp_used,A29=inp_used_usersel)</f>
        <v>0</v>
      </c>
    </row>
    <row r="30" spans="1:36">
      <c r="A30" s="114">
        <v>3</v>
      </c>
      <c r="B30" s="268">
        <v>6</v>
      </c>
      <c r="C30" s="114">
        <v>7.3650000000000002</v>
      </c>
      <c r="D30" t="s">
        <v>51</v>
      </c>
      <c r="E30">
        <v>3.2</v>
      </c>
      <c r="F30" s="268" t="s">
        <v>51</v>
      </c>
      <c r="G30" s="114" t="s">
        <v>1501</v>
      </c>
      <c r="H30">
        <v>240000</v>
      </c>
      <c r="I30" t="s">
        <v>2677</v>
      </c>
      <c r="J30" s="114">
        <v>2</v>
      </c>
      <c r="K30">
        <v>6</v>
      </c>
      <c r="L30" t="s">
        <v>2901</v>
      </c>
      <c r="M30" s="376"/>
      <c r="P30" s="268"/>
      <c r="R30" t="s">
        <v>1912</v>
      </c>
      <c r="S30" t="s">
        <v>922</v>
      </c>
      <c r="T30" t="s">
        <v>3527</v>
      </c>
      <c r="U30" s="268"/>
      <c r="V30" s="114">
        <v>0</v>
      </c>
      <c r="AA30" t="s">
        <v>1300</v>
      </c>
      <c r="AF30" s="114"/>
      <c r="AG30" t="b">
        <f t="shared" si="0"/>
        <v>0</v>
      </c>
      <c r="AH30" t="b">
        <f t="array" ref="AH30">AND(C30:F30=inp_used_minimal,A30=inp_used_usersel)</f>
        <v>0</v>
      </c>
      <c r="AI30" t="b">
        <f t="array" ref="AI30">AND(A30=inp_used_usersel,C30:K30=inp_used_nonvessel1,Q30:AE30=inp_used_nonvessel2,inp_used_vessels=inp_autosize)</f>
        <v>0</v>
      </c>
      <c r="AJ30" t="b">
        <f t="array" ref="AJ30">AND(C30:AE30=inp_used,A30=inp_used_usersel)</f>
        <v>0</v>
      </c>
    </row>
    <row r="31" spans="1:36">
      <c r="A31" s="114">
        <v>3</v>
      </c>
      <c r="B31" s="268">
        <v>7</v>
      </c>
      <c r="C31" s="114">
        <v>22.614000000000001</v>
      </c>
      <c r="D31" t="s">
        <v>51</v>
      </c>
      <c r="E31">
        <v>11.066000000000001</v>
      </c>
      <c r="F31" s="268" t="s">
        <v>51</v>
      </c>
      <c r="G31" s="114" t="s">
        <v>1501</v>
      </c>
      <c r="H31">
        <v>240000</v>
      </c>
      <c r="I31" t="s">
        <v>2677</v>
      </c>
      <c r="J31" s="114">
        <v>2</v>
      </c>
      <c r="K31">
        <v>6</v>
      </c>
      <c r="L31" t="s">
        <v>2901</v>
      </c>
      <c r="M31" s="376"/>
      <c r="P31" s="268"/>
      <c r="R31" t="s">
        <v>1912</v>
      </c>
      <c r="S31" t="s">
        <v>922</v>
      </c>
      <c r="T31" t="s">
        <v>3527</v>
      </c>
      <c r="U31" s="268"/>
      <c r="V31" s="114">
        <v>0</v>
      </c>
      <c r="AA31" t="s">
        <v>1300</v>
      </c>
      <c r="AF31" s="114"/>
      <c r="AG31" t="b">
        <f t="shared" si="0"/>
        <v>0</v>
      </c>
      <c r="AH31" t="b">
        <f t="array" ref="AH31">AND(C31:F31=inp_used_minimal,A31=inp_used_usersel)</f>
        <v>0</v>
      </c>
      <c r="AI31" t="b">
        <f t="array" ref="AI31">AND(A31=inp_used_usersel,C31:K31=inp_used_nonvessel1,Q31:AE31=inp_used_nonvessel2,inp_used_vessels=inp_autosize)</f>
        <v>0</v>
      </c>
      <c r="AJ31" t="b">
        <f t="array" ref="AJ31">AND(C31:AE31=inp_used,A31=inp_used_usersel)</f>
        <v>0</v>
      </c>
    </row>
    <row r="32" spans="1:36" s="320" customFormat="1">
      <c r="A32" s="371">
        <v>3</v>
      </c>
      <c r="B32" s="372">
        <v>8</v>
      </c>
      <c r="C32" s="371">
        <v>75.072000000000003</v>
      </c>
      <c r="D32" s="320" t="s">
        <v>51</v>
      </c>
      <c r="E32" s="320">
        <v>37.536000000000001</v>
      </c>
      <c r="F32" s="372" t="s">
        <v>51</v>
      </c>
      <c r="G32" s="371" t="s">
        <v>1501</v>
      </c>
      <c r="H32" s="320">
        <v>240000</v>
      </c>
      <c r="I32" s="320" t="s">
        <v>2677</v>
      </c>
      <c r="J32" s="371">
        <v>2</v>
      </c>
      <c r="K32" s="320">
        <v>6</v>
      </c>
      <c r="L32" s="320" t="s">
        <v>2901</v>
      </c>
      <c r="M32" s="619"/>
      <c r="P32" s="372"/>
      <c r="R32" s="320" t="s">
        <v>1912</v>
      </c>
      <c r="S32" s="320" t="s">
        <v>922</v>
      </c>
      <c r="T32" s="320" t="s">
        <v>3527</v>
      </c>
      <c r="U32" s="372"/>
      <c r="V32" s="371">
        <v>0</v>
      </c>
      <c r="AA32" s="320" t="s">
        <v>1300</v>
      </c>
      <c r="AF32" s="371"/>
      <c r="AG32" s="320" t="b">
        <f t="shared" si="0"/>
        <v>0</v>
      </c>
      <c r="AH32" s="320" t="b">
        <f t="array" ref="AH32">AND(C32:F32=inp_used_minimal,A32=inp_used_usersel)</f>
        <v>0</v>
      </c>
      <c r="AI32" s="320" t="b">
        <f t="array" ref="AI32">AND(A32=inp_used_usersel,C32:K32=inp_used_nonvessel1,Q32:AE32=inp_used_nonvessel2,inp_used_vessels=inp_autosize)</f>
        <v>0</v>
      </c>
      <c r="AJ32" s="320" t="b">
        <f t="array" ref="AJ32">AND(C32:AE32=inp_used,A32=inp_used_usersel)</f>
        <v>0</v>
      </c>
    </row>
    <row r="33" spans="1:36">
      <c r="A33" s="114">
        <v>4</v>
      </c>
      <c r="B33" s="268">
        <v>1</v>
      </c>
      <c r="C33" s="114">
        <v>0.03</v>
      </c>
      <c r="D33" t="s">
        <v>51</v>
      </c>
      <c r="E33">
        <v>7.0000000000000001E-3</v>
      </c>
      <c r="F33" s="268" t="s">
        <v>51</v>
      </c>
      <c r="G33" s="114" t="s">
        <v>1501</v>
      </c>
      <c r="H33">
        <v>200000</v>
      </c>
      <c r="I33" t="s">
        <v>2677</v>
      </c>
      <c r="J33" s="114">
        <v>2</v>
      </c>
      <c r="K33">
        <v>6</v>
      </c>
      <c r="L33" t="s">
        <v>2901</v>
      </c>
      <c r="M33" s="376"/>
      <c r="O33" s="5"/>
      <c r="P33" s="268"/>
      <c r="R33" t="s">
        <v>1912</v>
      </c>
      <c r="S33" t="s">
        <v>922</v>
      </c>
      <c r="T33" t="s">
        <v>3527</v>
      </c>
      <c r="U33" s="268"/>
      <c r="V33" s="114">
        <v>0</v>
      </c>
      <c r="AA33" t="s">
        <v>1300</v>
      </c>
      <c r="AF33" s="781" t="str">
        <f>VLOOKUP(A33,contam_lookup,2,FALSE)</f>
        <v>Perfluorooctanoic Acid (PFOA)</v>
      </c>
      <c r="AG33" t="b">
        <f t="shared" si="0"/>
        <v>0</v>
      </c>
      <c r="AH33" t="b">
        <f t="array" ref="AH33">AND(C33:F33=inp_used_minimal,A33=inp_used_usersel)</f>
        <v>0</v>
      </c>
      <c r="AI33" t="b">
        <f t="array" ref="AI33">AND(A33=inp_used_usersel,C33:K33=inp_used_nonvessel1,Q33:AE33=inp_used_nonvessel2,inp_used_vessels=inp_autosize)</f>
        <v>0</v>
      </c>
      <c r="AJ33" t="b">
        <f t="array" ref="AJ33">AND(C33:AE33=inp_used,A33=inp_used_usersel)</f>
        <v>0</v>
      </c>
    </row>
    <row r="34" spans="1:36">
      <c r="A34" s="114">
        <v>4</v>
      </c>
      <c r="B34" s="268">
        <v>2</v>
      </c>
      <c r="C34" s="114">
        <v>0.124</v>
      </c>
      <c r="D34" t="s">
        <v>51</v>
      </c>
      <c r="E34">
        <v>3.5000000000000003E-2</v>
      </c>
      <c r="F34" s="268" t="s">
        <v>51</v>
      </c>
      <c r="G34" s="114" t="s">
        <v>1501</v>
      </c>
      <c r="H34">
        <v>200000</v>
      </c>
      <c r="I34" t="s">
        <v>2677</v>
      </c>
      <c r="J34" s="114">
        <v>2</v>
      </c>
      <c r="K34">
        <v>6</v>
      </c>
      <c r="L34" t="s">
        <v>2901</v>
      </c>
      <c r="M34" s="376"/>
      <c r="O34" s="5"/>
      <c r="P34" s="268"/>
      <c r="R34" t="s">
        <v>1912</v>
      </c>
      <c r="S34" t="s">
        <v>922</v>
      </c>
      <c r="T34" t="s">
        <v>3527</v>
      </c>
      <c r="U34" s="268"/>
      <c r="V34" s="114">
        <v>0</v>
      </c>
      <c r="AA34" t="s">
        <v>1300</v>
      </c>
      <c r="AF34" s="114"/>
      <c r="AG34" t="b">
        <f t="shared" si="0"/>
        <v>0</v>
      </c>
      <c r="AH34" t="b">
        <f t="array" ref="AH34">AND(C34:F34=inp_used_minimal,A34=inp_used_usersel)</f>
        <v>0</v>
      </c>
      <c r="AI34" t="b">
        <f t="array" ref="AI34">AND(A34=inp_used_usersel,C34:K34=inp_used_nonvessel1,Q34:AE34=inp_used_nonvessel2,inp_used_vessels=inp_autosize)</f>
        <v>0</v>
      </c>
      <c r="AJ34" t="b">
        <f t="array" ref="AJ34">AND(C34:AE34=inp_used,A34=inp_used_usersel)</f>
        <v>0</v>
      </c>
    </row>
    <row r="35" spans="1:36">
      <c r="A35" s="114">
        <v>4</v>
      </c>
      <c r="B35" s="268">
        <v>3</v>
      </c>
      <c r="C35" s="114">
        <v>0.30499999999999999</v>
      </c>
      <c r="D35" t="s">
        <v>51</v>
      </c>
      <c r="E35">
        <v>9.4E-2</v>
      </c>
      <c r="F35" s="268" t="s">
        <v>51</v>
      </c>
      <c r="G35" s="114" t="s">
        <v>1501</v>
      </c>
      <c r="H35">
        <v>200000</v>
      </c>
      <c r="I35" t="s">
        <v>2677</v>
      </c>
      <c r="J35" s="114">
        <v>2</v>
      </c>
      <c r="K35">
        <v>6</v>
      </c>
      <c r="L35" t="s">
        <v>2901</v>
      </c>
      <c r="M35" s="376"/>
      <c r="O35" s="5"/>
      <c r="P35" s="268"/>
      <c r="R35" t="s">
        <v>1912</v>
      </c>
      <c r="S35" t="s">
        <v>922</v>
      </c>
      <c r="T35" t="s">
        <v>3527</v>
      </c>
      <c r="U35" s="268"/>
      <c r="V35" s="114">
        <v>0</v>
      </c>
      <c r="AA35" t="s">
        <v>1300</v>
      </c>
      <c r="AF35" s="114"/>
      <c r="AG35" t="b">
        <f t="shared" si="0"/>
        <v>0</v>
      </c>
      <c r="AH35" t="b">
        <f t="array" ref="AH35">AND(C35:F35=inp_used_minimal,A35=inp_used_usersel)</f>
        <v>0</v>
      </c>
      <c r="AI35" t="b">
        <f t="array" ref="AI35">AND(A35=inp_used_usersel,C35:K35=inp_used_nonvessel1,Q35:AE35=inp_used_nonvessel2,inp_used_vessels=inp_autosize)</f>
        <v>0</v>
      </c>
      <c r="AJ35" t="b">
        <f t="array" ref="AJ35">AND(C35:AE35=inp_used,A35=inp_used_usersel)</f>
        <v>0</v>
      </c>
    </row>
    <row r="36" spans="1:36">
      <c r="A36" s="114">
        <v>4</v>
      </c>
      <c r="B36" s="268">
        <v>4</v>
      </c>
      <c r="C36" s="114">
        <v>0.74</v>
      </c>
      <c r="D36" t="s">
        <v>51</v>
      </c>
      <c r="E36">
        <v>0.251</v>
      </c>
      <c r="F36" s="268" t="s">
        <v>51</v>
      </c>
      <c r="G36" s="114" t="s">
        <v>1501</v>
      </c>
      <c r="H36">
        <v>200000</v>
      </c>
      <c r="I36" t="s">
        <v>2677</v>
      </c>
      <c r="J36" s="114">
        <v>2</v>
      </c>
      <c r="K36">
        <v>6</v>
      </c>
      <c r="L36" t="s">
        <v>2901</v>
      </c>
      <c r="M36" s="376"/>
      <c r="P36" s="268"/>
      <c r="R36" t="s">
        <v>1912</v>
      </c>
      <c r="S36" t="s">
        <v>922</v>
      </c>
      <c r="T36" t="s">
        <v>3527</v>
      </c>
      <c r="U36" s="268"/>
      <c r="V36" s="114">
        <v>0</v>
      </c>
      <c r="AA36" t="s">
        <v>1300</v>
      </c>
      <c r="AF36" s="114"/>
      <c r="AG36" t="b">
        <f t="shared" si="0"/>
        <v>0</v>
      </c>
      <c r="AH36" t="b">
        <f t="array" ref="AH36">AND(C36:F36=inp_used_minimal,A36=inp_used_usersel)</f>
        <v>0</v>
      </c>
      <c r="AI36" t="b">
        <f t="array" ref="AI36">AND(A36=inp_used_usersel,C36:K36=inp_used_nonvessel1,Q36:AE36=inp_used_nonvessel2,inp_used_vessels=inp_autosize)</f>
        <v>0</v>
      </c>
      <c r="AJ36" t="b">
        <f t="array" ref="AJ36">AND(C36:AE36=inp_used,A36=inp_used_usersel)</f>
        <v>0</v>
      </c>
    </row>
    <row r="37" spans="1:36">
      <c r="A37" s="114">
        <v>4</v>
      </c>
      <c r="B37" s="268">
        <v>5</v>
      </c>
      <c r="C37" s="114">
        <v>2.1520000000000001</v>
      </c>
      <c r="D37" t="s">
        <v>51</v>
      </c>
      <c r="E37">
        <v>0.81899999999999995</v>
      </c>
      <c r="F37" s="268" t="s">
        <v>51</v>
      </c>
      <c r="G37" s="114" t="s">
        <v>1501</v>
      </c>
      <c r="H37">
        <v>200000</v>
      </c>
      <c r="I37" t="s">
        <v>2677</v>
      </c>
      <c r="J37" s="114">
        <v>2</v>
      </c>
      <c r="K37">
        <v>6</v>
      </c>
      <c r="L37" t="s">
        <v>2901</v>
      </c>
      <c r="M37" s="376"/>
      <c r="P37" s="268"/>
      <c r="R37" t="s">
        <v>1912</v>
      </c>
      <c r="S37" t="s">
        <v>922</v>
      </c>
      <c r="T37" t="s">
        <v>3527</v>
      </c>
      <c r="U37" s="268"/>
      <c r="V37" s="114">
        <v>0</v>
      </c>
      <c r="AA37" t="s">
        <v>1300</v>
      </c>
      <c r="AF37" s="114"/>
      <c r="AG37" t="b">
        <f t="shared" si="0"/>
        <v>0</v>
      </c>
      <c r="AH37" t="b">
        <f t="array" ref="AH37">AND(C37:F37=inp_used_minimal,A37=inp_used_usersel)</f>
        <v>0</v>
      </c>
      <c r="AI37" t="b">
        <f t="array" ref="AI37">AND(A37=inp_used_usersel,C37:K37=inp_used_nonvessel1,Q37:AE37=inp_used_nonvessel2,inp_used_vessels=inp_autosize)</f>
        <v>0</v>
      </c>
      <c r="AJ37" t="b">
        <f t="array" ref="AJ37">AND(C37:AE37=inp_used,A37=inp_used_usersel)</f>
        <v>0</v>
      </c>
    </row>
    <row r="38" spans="1:36">
      <c r="A38" s="114">
        <v>4</v>
      </c>
      <c r="B38" s="268">
        <v>6</v>
      </c>
      <c r="C38" s="114">
        <v>7.3650000000000002</v>
      </c>
      <c r="D38" t="s">
        <v>51</v>
      </c>
      <c r="E38">
        <v>3.2</v>
      </c>
      <c r="F38" s="268" t="s">
        <v>51</v>
      </c>
      <c r="G38" s="114" t="s">
        <v>1501</v>
      </c>
      <c r="H38">
        <v>200000</v>
      </c>
      <c r="I38" t="s">
        <v>2677</v>
      </c>
      <c r="J38" s="114">
        <v>2</v>
      </c>
      <c r="K38">
        <v>6</v>
      </c>
      <c r="L38" t="s">
        <v>2901</v>
      </c>
      <c r="M38" s="376"/>
      <c r="P38" s="268"/>
      <c r="R38" t="s">
        <v>1912</v>
      </c>
      <c r="S38" t="s">
        <v>922</v>
      </c>
      <c r="T38" t="s">
        <v>3527</v>
      </c>
      <c r="U38" s="268"/>
      <c r="V38" s="114">
        <v>0</v>
      </c>
      <c r="AA38" t="s">
        <v>1300</v>
      </c>
      <c r="AF38" s="114"/>
      <c r="AG38" t="b">
        <f t="shared" si="0"/>
        <v>0</v>
      </c>
      <c r="AH38" t="b">
        <f t="array" ref="AH38">AND(C38:F38=inp_used_minimal,A38=inp_used_usersel)</f>
        <v>0</v>
      </c>
      <c r="AI38" t="b">
        <f t="array" ref="AI38">AND(A38=inp_used_usersel,C38:K38=inp_used_nonvessel1,Q38:AE38=inp_used_nonvessel2,inp_used_vessels=inp_autosize)</f>
        <v>0</v>
      </c>
      <c r="AJ38" t="b">
        <f t="array" ref="AJ38">AND(C38:AE38=inp_used,A38=inp_used_usersel)</f>
        <v>0</v>
      </c>
    </row>
    <row r="39" spans="1:36">
      <c r="A39" s="114">
        <v>4</v>
      </c>
      <c r="B39" s="268">
        <v>7</v>
      </c>
      <c r="C39" s="114">
        <v>22.614000000000001</v>
      </c>
      <c r="D39" t="s">
        <v>51</v>
      </c>
      <c r="E39">
        <v>11.066000000000001</v>
      </c>
      <c r="F39" s="268" t="s">
        <v>51</v>
      </c>
      <c r="G39" s="114" t="s">
        <v>1501</v>
      </c>
      <c r="H39">
        <v>200000</v>
      </c>
      <c r="I39" t="s">
        <v>2677</v>
      </c>
      <c r="J39" s="114">
        <v>2</v>
      </c>
      <c r="K39">
        <v>6</v>
      </c>
      <c r="L39" t="s">
        <v>2901</v>
      </c>
      <c r="M39" s="376"/>
      <c r="P39" s="268"/>
      <c r="R39" t="s">
        <v>1912</v>
      </c>
      <c r="S39" t="s">
        <v>922</v>
      </c>
      <c r="T39" t="s">
        <v>3527</v>
      </c>
      <c r="U39" s="268"/>
      <c r="V39" s="114">
        <v>0</v>
      </c>
      <c r="AA39" t="s">
        <v>1300</v>
      </c>
      <c r="AF39" s="114"/>
      <c r="AG39" t="b">
        <f t="shared" si="0"/>
        <v>0</v>
      </c>
      <c r="AH39" t="b">
        <f t="array" ref="AH39">AND(C39:F39=inp_used_minimal,A39=inp_used_usersel)</f>
        <v>0</v>
      </c>
      <c r="AI39" t="b">
        <f t="array" ref="AI39">AND(A39=inp_used_usersel,C39:K39=inp_used_nonvessel1,Q39:AE39=inp_used_nonvessel2,inp_used_vessels=inp_autosize)</f>
        <v>0</v>
      </c>
      <c r="AJ39" t="b">
        <f t="array" ref="AJ39">AND(C39:AE39=inp_used,A39=inp_used_usersel)</f>
        <v>0</v>
      </c>
    </row>
    <row r="40" spans="1:36" s="320" customFormat="1">
      <c r="A40" s="371">
        <v>4</v>
      </c>
      <c r="B40" s="372">
        <v>8</v>
      </c>
      <c r="C40" s="371">
        <v>75.072000000000003</v>
      </c>
      <c r="D40" s="320" t="s">
        <v>51</v>
      </c>
      <c r="E40" s="320">
        <v>37.536000000000001</v>
      </c>
      <c r="F40" s="372" t="s">
        <v>51</v>
      </c>
      <c r="G40" s="371" t="s">
        <v>1501</v>
      </c>
      <c r="H40" s="320">
        <v>200000</v>
      </c>
      <c r="I40" s="320" t="s">
        <v>2677</v>
      </c>
      <c r="J40" s="371">
        <v>2</v>
      </c>
      <c r="K40" s="320">
        <v>6</v>
      </c>
      <c r="L40" s="320" t="s">
        <v>2901</v>
      </c>
      <c r="M40" s="619"/>
      <c r="P40" s="372"/>
      <c r="R40" s="320" t="s">
        <v>1912</v>
      </c>
      <c r="S40" s="320" t="s">
        <v>922</v>
      </c>
      <c r="T40" s="320" t="s">
        <v>3527</v>
      </c>
      <c r="U40" s="372"/>
      <c r="V40" s="371">
        <v>0</v>
      </c>
      <c r="AA40" s="320" t="s">
        <v>1300</v>
      </c>
      <c r="AF40" s="371"/>
      <c r="AG40" s="320" t="b">
        <f t="shared" si="0"/>
        <v>0</v>
      </c>
      <c r="AH40" s="320" t="b">
        <f t="array" ref="AH40">AND(C40:F40=inp_used_minimal,A40=inp_used_usersel)</f>
        <v>0</v>
      </c>
      <c r="AI40" s="320" t="b">
        <f t="array" ref="AI40">AND(A40=inp_used_usersel,C40:K40=inp_used_nonvessel1,Q40:AE40=inp_used_nonvessel2,inp_used_vessels=inp_autosize)</f>
        <v>0</v>
      </c>
      <c r="AJ40" s="320" t="b">
        <f t="array" ref="AJ40">AND(C40:AE40=inp_used,A40=inp_used_usersel)</f>
        <v>0</v>
      </c>
    </row>
    <row r="41" spans="1:36">
      <c r="A41" s="114">
        <v>5</v>
      </c>
      <c r="B41" s="268">
        <v>1</v>
      </c>
      <c r="C41" s="114">
        <v>0.03</v>
      </c>
      <c r="D41" t="s">
        <v>51</v>
      </c>
      <c r="E41">
        <v>7.0000000000000001E-3</v>
      </c>
      <c r="F41" s="268" t="s">
        <v>51</v>
      </c>
      <c r="G41" s="114" t="s">
        <v>1501</v>
      </c>
      <c r="H41">
        <v>120000</v>
      </c>
      <c r="I41" t="s">
        <v>2677</v>
      </c>
      <c r="J41" s="114">
        <v>2</v>
      </c>
      <c r="K41">
        <v>6</v>
      </c>
      <c r="L41" t="s">
        <v>2901</v>
      </c>
      <c r="M41" s="376"/>
      <c r="O41" s="5"/>
      <c r="P41" s="268"/>
      <c r="R41" t="s">
        <v>1912</v>
      </c>
      <c r="S41" t="s">
        <v>922</v>
      </c>
      <c r="T41" t="s">
        <v>3527</v>
      </c>
      <c r="U41" s="268"/>
      <c r="V41" s="114">
        <v>0</v>
      </c>
      <c r="AA41" t="s">
        <v>1300</v>
      </c>
      <c r="AF41" s="781" t="str">
        <f>VLOOKUP(A41,contam_lookup,2,FALSE)</f>
        <v>Perfluoroheptanoic Acid (PFHpA)</v>
      </c>
      <c r="AG41" t="b">
        <f t="shared" si="0"/>
        <v>0</v>
      </c>
      <c r="AH41" t="b">
        <f t="array" ref="AH41">AND(C41:F41=inp_used_minimal,A41=inp_used_usersel)</f>
        <v>0</v>
      </c>
      <c r="AI41" t="b">
        <f t="array" ref="AI41">AND(A41=inp_used_usersel,C41:K41=inp_used_nonvessel1,Q41:AE41=inp_used_nonvessel2,inp_used_vessels=inp_autosize)</f>
        <v>0</v>
      </c>
      <c r="AJ41" t="b">
        <f t="array" ref="AJ41">AND(C41:AE41=inp_used,A41=inp_used_usersel)</f>
        <v>0</v>
      </c>
    </row>
    <row r="42" spans="1:36">
      <c r="A42" s="114">
        <v>5</v>
      </c>
      <c r="B42" s="268">
        <v>2</v>
      </c>
      <c r="C42" s="114">
        <v>0.124</v>
      </c>
      <c r="D42" t="s">
        <v>51</v>
      </c>
      <c r="E42">
        <v>3.5000000000000003E-2</v>
      </c>
      <c r="F42" s="268" t="s">
        <v>51</v>
      </c>
      <c r="G42" s="114" t="s">
        <v>1501</v>
      </c>
      <c r="H42">
        <v>120000</v>
      </c>
      <c r="I42" t="s">
        <v>2677</v>
      </c>
      <c r="J42" s="114">
        <v>2</v>
      </c>
      <c r="K42">
        <v>6</v>
      </c>
      <c r="L42" t="s">
        <v>2901</v>
      </c>
      <c r="M42" s="376"/>
      <c r="O42" s="5"/>
      <c r="P42" s="268"/>
      <c r="R42" t="s">
        <v>1912</v>
      </c>
      <c r="S42" t="s">
        <v>922</v>
      </c>
      <c r="T42" t="s">
        <v>3527</v>
      </c>
      <c r="U42" s="268"/>
      <c r="V42" s="114">
        <v>0</v>
      </c>
      <c r="AA42" t="s">
        <v>1300</v>
      </c>
      <c r="AF42" s="114"/>
      <c r="AG42" t="b">
        <f t="shared" si="0"/>
        <v>0</v>
      </c>
      <c r="AH42" t="b">
        <f t="array" ref="AH42">AND(C42:F42=inp_used_minimal,A42=inp_used_usersel)</f>
        <v>0</v>
      </c>
      <c r="AI42" t="b">
        <f t="array" ref="AI42">AND(A42=inp_used_usersel,C42:K42=inp_used_nonvessel1,Q42:AE42=inp_used_nonvessel2,inp_used_vessels=inp_autosize)</f>
        <v>0</v>
      </c>
      <c r="AJ42" t="b">
        <f t="array" ref="AJ42">AND(C42:AE42=inp_used,A42=inp_used_usersel)</f>
        <v>0</v>
      </c>
    </row>
    <row r="43" spans="1:36">
      <c r="A43" s="114">
        <v>5</v>
      </c>
      <c r="B43" s="268">
        <v>3</v>
      </c>
      <c r="C43" s="114">
        <v>0.30499999999999999</v>
      </c>
      <c r="D43" t="s">
        <v>51</v>
      </c>
      <c r="E43">
        <v>9.4E-2</v>
      </c>
      <c r="F43" s="268" t="s">
        <v>51</v>
      </c>
      <c r="G43" s="114" t="s">
        <v>1501</v>
      </c>
      <c r="H43">
        <v>120000</v>
      </c>
      <c r="I43" t="s">
        <v>2677</v>
      </c>
      <c r="J43" s="114">
        <v>2</v>
      </c>
      <c r="K43">
        <v>6</v>
      </c>
      <c r="L43" t="s">
        <v>2901</v>
      </c>
      <c r="M43" s="376"/>
      <c r="O43" s="5"/>
      <c r="P43" s="268"/>
      <c r="R43" t="s">
        <v>1912</v>
      </c>
      <c r="S43" t="s">
        <v>922</v>
      </c>
      <c r="T43" t="s">
        <v>3527</v>
      </c>
      <c r="U43" s="268"/>
      <c r="V43" s="114">
        <v>0</v>
      </c>
      <c r="AA43" t="s">
        <v>1300</v>
      </c>
      <c r="AF43" s="114"/>
      <c r="AG43" t="b">
        <f t="shared" si="0"/>
        <v>0</v>
      </c>
      <c r="AH43" t="b">
        <f t="array" ref="AH43">AND(C43:F43=inp_used_minimal,A43=inp_used_usersel)</f>
        <v>0</v>
      </c>
      <c r="AI43" t="b">
        <f t="array" ref="AI43">AND(A43=inp_used_usersel,C43:K43=inp_used_nonvessel1,Q43:AE43=inp_used_nonvessel2,inp_used_vessels=inp_autosize)</f>
        <v>0</v>
      </c>
      <c r="AJ43" t="b">
        <f t="array" ref="AJ43">AND(C43:AE43=inp_used,A43=inp_used_usersel)</f>
        <v>0</v>
      </c>
    </row>
    <row r="44" spans="1:36">
      <c r="A44" s="114">
        <v>5</v>
      </c>
      <c r="B44" s="268">
        <v>4</v>
      </c>
      <c r="C44" s="114">
        <v>0.74</v>
      </c>
      <c r="D44" t="s">
        <v>51</v>
      </c>
      <c r="E44">
        <v>0.251</v>
      </c>
      <c r="F44" s="268" t="s">
        <v>51</v>
      </c>
      <c r="G44" s="114" t="s">
        <v>1501</v>
      </c>
      <c r="H44">
        <v>120000</v>
      </c>
      <c r="I44" t="s">
        <v>2677</v>
      </c>
      <c r="J44" s="114">
        <v>2</v>
      </c>
      <c r="K44">
        <v>6</v>
      </c>
      <c r="L44" t="s">
        <v>2901</v>
      </c>
      <c r="M44" s="376"/>
      <c r="P44" s="268"/>
      <c r="R44" t="s">
        <v>1912</v>
      </c>
      <c r="S44" t="s">
        <v>922</v>
      </c>
      <c r="T44" t="s">
        <v>3527</v>
      </c>
      <c r="U44" s="268"/>
      <c r="V44" s="114">
        <v>0</v>
      </c>
      <c r="AA44" t="s">
        <v>1300</v>
      </c>
      <c r="AF44" s="114"/>
      <c r="AG44" t="b">
        <f t="shared" si="0"/>
        <v>0</v>
      </c>
      <c r="AH44" t="b">
        <f t="array" ref="AH44">AND(C44:F44=inp_used_minimal,A44=inp_used_usersel)</f>
        <v>0</v>
      </c>
      <c r="AI44" t="b">
        <f t="array" ref="AI44">AND(A44=inp_used_usersel,C44:K44=inp_used_nonvessel1,Q44:AE44=inp_used_nonvessel2,inp_used_vessels=inp_autosize)</f>
        <v>0</v>
      </c>
      <c r="AJ44" t="b">
        <f t="array" ref="AJ44">AND(C44:AE44=inp_used,A44=inp_used_usersel)</f>
        <v>0</v>
      </c>
    </row>
    <row r="45" spans="1:36">
      <c r="A45" s="114">
        <v>5</v>
      </c>
      <c r="B45" s="268">
        <v>5</v>
      </c>
      <c r="C45" s="114">
        <v>2.1520000000000001</v>
      </c>
      <c r="D45" t="s">
        <v>51</v>
      </c>
      <c r="E45">
        <v>0.81899999999999995</v>
      </c>
      <c r="F45" s="268" t="s">
        <v>51</v>
      </c>
      <c r="G45" s="114" t="s">
        <v>1501</v>
      </c>
      <c r="H45">
        <v>120000</v>
      </c>
      <c r="I45" t="s">
        <v>2677</v>
      </c>
      <c r="J45" s="114">
        <v>2</v>
      </c>
      <c r="K45">
        <v>6</v>
      </c>
      <c r="L45" t="s">
        <v>2901</v>
      </c>
      <c r="M45" s="376"/>
      <c r="P45" s="268"/>
      <c r="R45" t="s">
        <v>1912</v>
      </c>
      <c r="S45" t="s">
        <v>922</v>
      </c>
      <c r="T45" t="s">
        <v>3527</v>
      </c>
      <c r="U45" s="268"/>
      <c r="V45" s="114">
        <v>0</v>
      </c>
      <c r="AA45" t="s">
        <v>1300</v>
      </c>
      <c r="AF45" s="114"/>
      <c r="AG45" t="b">
        <f t="shared" si="0"/>
        <v>0</v>
      </c>
      <c r="AH45" t="b">
        <f t="array" ref="AH45">AND(C45:F45=inp_used_minimal,A45=inp_used_usersel)</f>
        <v>0</v>
      </c>
      <c r="AI45" t="b">
        <f t="array" ref="AI45">AND(A45=inp_used_usersel,C45:K45=inp_used_nonvessel1,Q45:AE45=inp_used_nonvessel2,inp_used_vessels=inp_autosize)</f>
        <v>0</v>
      </c>
      <c r="AJ45" t="b">
        <f t="array" ref="AJ45">AND(C45:AE45=inp_used,A45=inp_used_usersel)</f>
        <v>0</v>
      </c>
    </row>
    <row r="46" spans="1:36">
      <c r="A46" s="114">
        <v>5</v>
      </c>
      <c r="B46" s="268">
        <v>6</v>
      </c>
      <c r="C46" s="114">
        <v>7.3650000000000002</v>
      </c>
      <c r="D46" t="s">
        <v>51</v>
      </c>
      <c r="E46">
        <v>3.2</v>
      </c>
      <c r="F46" s="268" t="s">
        <v>51</v>
      </c>
      <c r="G46" s="114" t="s">
        <v>1501</v>
      </c>
      <c r="H46">
        <v>120000</v>
      </c>
      <c r="I46" t="s">
        <v>2677</v>
      </c>
      <c r="J46" s="114">
        <v>2</v>
      </c>
      <c r="K46">
        <v>6</v>
      </c>
      <c r="L46" t="s">
        <v>2901</v>
      </c>
      <c r="M46" s="376"/>
      <c r="P46" s="268"/>
      <c r="R46" t="s">
        <v>1912</v>
      </c>
      <c r="S46" t="s">
        <v>922</v>
      </c>
      <c r="T46" t="s">
        <v>3527</v>
      </c>
      <c r="U46" s="268"/>
      <c r="V46" s="114">
        <v>0</v>
      </c>
      <c r="AA46" t="s">
        <v>1300</v>
      </c>
      <c r="AF46" s="114"/>
      <c r="AG46" t="b">
        <f t="shared" si="0"/>
        <v>0</v>
      </c>
      <c r="AH46" t="b">
        <f t="array" ref="AH46">AND(C46:F46=inp_used_minimal,A46=inp_used_usersel)</f>
        <v>0</v>
      </c>
      <c r="AI46" t="b">
        <f t="array" ref="AI46">AND(A46=inp_used_usersel,C46:K46=inp_used_nonvessel1,Q46:AE46=inp_used_nonvessel2,inp_used_vessels=inp_autosize)</f>
        <v>0</v>
      </c>
      <c r="AJ46" t="b">
        <f t="array" ref="AJ46">AND(C46:AE46=inp_used,A46=inp_used_usersel)</f>
        <v>0</v>
      </c>
    </row>
    <row r="47" spans="1:36">
      <c r="A47" s="114">
        <v>5</v>
      </c>
      <c r="B47" s="268">
        <v>7</v>
      </c>
      <c r="C47" s="114">
        <v>22.614000000000001</v>
      </c>
      <c r="D47" t="s">
        <v>51</v>
      </c>
      <c r="E47">
        <v>11.066000000000001</v>
      </c>
      <c r="F47" s="268" t="s">
        <v>51</v>
      </c>
      <c r="G47" s="114" t="s">
        <v>1501</v>
      </c>
      <c r="H47">
        <v>120000</v>
      </c>
      <c r="I47" t="s">
        <v>2677</v>
      </c>
      <c r="J47" s="114">
        <v>2</v>
      </c>
      <c r="K47">
        <v>6</v>
      </c>
      <c r="L47" t="s">
        <v>2901</v>
      </c>
      <c r="M47" s="376"/>
      <c r="P47" s="268"/>
      <c r="R47" t="s">
        <v>1912</v>
      </c>
      <c r="S47" t="s">
        <v>922</v>
      </c>
      <c r="T47" t="s">
        <v>3527</v>
      </c>
      <c r="U47" s="268"/>
      <c r="V47" s="114">
        <v>0</v>
      </c>
      <c r="AA47" t="s">
        <v>1300</v>
      </c>
      <c r="AF47" s="114"/>
      <c r="AG47" t="b">
        <f t="shared" si="0"/>
        <v>0</v>
      </c>
      <c r="AH47" t="b">
        <f t="array" ref="AH47">AND(C47:F47=inp_used_minimal,A47=inp_used_usersel)</f>
        <v>0</v>
      </c>
      <c r="AI47" t="b">
        <f t="array" ref="AI47">AND(A47=inp_used_usersel,C47:K47=inp_used_nonvessel1,Q47:AE47=inp_used_nonvessel2,inp_used_vessels=inp_autosize)</f>
        <v>0</v>
      </c>
      <c r="AJ47" t="b">
        <f t="array" ref="AJ47">AND(C47:AE47=inp_used,A47=inp_used_usersel)</f>
        <v>0</v>
      </c>
    </row>
    <row r="48" spans="1:36" s="320" customFormat="1">
      <c r="A48" s="371">
        <v>5</v>
      </c>
      <c r="B48" s="372">
        <v>8</v>
      </c>
      <c r="C48" s="371">
        <v>75.072000000000003</v>
      </c>
      <c r="D48" s="320" t="s">
        <v>51</v>
      </c>
      <c r="E48" s="320">
        <v>37.536000000000001</v>
      </c>
      <c r="F48" s="372" t="s">
        <v>51</v>
      </c>
      <c r="G48" s="371" t="s">
        <v>1501</v>
      </c>
      <c r="H48" s="320">
        <v>120000</v>
      </c>
      <c r="I48" s="320" t="s">
        <v>2677</v>
      </c>
      <c r="J48" s="371">
        <v>2</v>
      </c>
      <c r="K48" s="320">
        <v>6</v>
      </c>
      <c r="L48" s="320" t="s">
        <v>2901</v>
      </c>
      <c r="M48" s="619"/>
      <c r="P48" s="372"/>
      <c r="R48" s="320" t="s">
        <v>1912</v>
      </c>
      <c r="S48" s="320" t="s">
        <v>922</v>
      </c>
      <c r="T48" s="320" t="s">
        <v>3527</v>
      </c>
      <c r="U48" s="372"/>
      <c r="V48" s="371">
        <v>0</v>
      </c>
      <c r="AA48" s="320" t="s">
        <v>1300</v>
      </c>
      <c r="AF48" s="371"/>
      <c r="AG48" s="320" t="b">
        <f t="shared" si="0"/>
        <v>0</v>
      </c>
      <c r="AH48" s="320" t="b">
        <f t="array" ref="AH48">AND(C48:F48=inp_used_minimal,A48=inp_used_usersel)</f>
        <v>0</v>
      </c>
      <c r="AI48" s="320" t="b">
        <f t="array" ref="AI48">AND(A48=inp_used_usersel,C48:K48=inp_used_nonvessel1,Q48:AE48=inp_used_nonvessel2,inp_used_vessels=inp_autosize)</f>
        <v>0</v>
      </c>
      <c r="AJ48" s="320" t="b">
        <f t="array" ref="AJ48">AND(C48:AE48=inp_used,A48=inp_used_usersel)</f>
        <v>0</v>
      </c>
    </row>
    <row r="49" spans="1:36">
      <c r="A49" s="114">
        <v>6</v>
      </c>
      <c r="B49" s="268">
        <v>1</v>
      </c>
      <c r="C49" s="114">
        <v>0.03</v>
      </c>
      <c r="D49" t="s">
        <v>51</v>
      </c>
      <c r="E49">
        <v>7.0000000000000001E-3</v>
      </c>
      <c r="F49" s="268" t="s">
        <v>51</v>
      </c>
      <c r="G49" s="114" t="s">
        <v>1501</v>
      </c>
      <c r="H49">
        <v>20000</v>
      </c>
      <c r="I49" t="s">
        <v>2677</v>
      </c>
      <c r="J49" s="114">
        <v>2</v>
      </c>
      <c r="K49">
        <v>6</v>
      </c>
      <c r="L49" s="526" t="s">
        <v>2901</v>
      </c>
      <c r="M49" s="376"/>
      <c r="O49" s="5"/>
      <c r="P49" s="268"/>
      <c r="R49" s="526" t="s">
        <v>1912</v>
      </c>
      <c r="S49" s="526" t="s">
        <v>922</v>
      </c>
      <c r="T49" t="s">
        <v>3527</v>
      </c>
      <c r="U49" s="268"/>
      <c r="V49" s="114"/>
      <c r="AA49" s="526" t="s">
        <v>1300</v>
      </c>
      <c r="AF49" s="781" t="str">
        <f>VLOOKUP(A49,contam_lookup,2,FALSE)</f>
        <v>Perfluorohexanoic Acid (PFHxA)</v>
      </c>
      <c r="AG49" t="b">
        <f t="shared" ref="AG49:AG56" si="1">IF(L49="yes",AI49,AJ49)</f>
        <v>0</v>
      </c>
      <c r="AH49" t="b">
        <f t="array" ref="AH49">AND(C49:F49=inp_used_minimal,A49=inp_used_usersel)</f>
        <v>0</v>
      </c>
      <c r="AI49" t="b">
        <f t="array" ref="AI49">AND(A49=inp_used_usersel,C49:K49=inp_used_nonvessel1,Q49:AE49=inp_used_nonvessel2,inp_used_vessels=inp_autosize)</f>
        <v>0</v>
      </c>
      <c r="AJ49" t="b">
        <f t="array" ref="AJ49">AND(C49:AE49=inp_used,A49=inp_used_usersel)</f>
        <v>0</v>
      </c>
    </row>
    <row r="50" spans="1:36">
      <c r="A50" s="114">
        <v>6</v>
      </c>
      <c r="B50" s="268">
        <v>2</v>
      </c>
      <c r="C50" s="114">
        <v>0.124</v>
      </c>
      <c r="D50" t="s">
        <v>51</v>
      </c>
      <c r="E50">
        <v>3.5000000000000003E-2</v>
      </c>
      <c r="F50" s="268" t="s">
        <v>51</v>
      </c>
      <c r="G50" s="114" t="s">
        <v>1501</v>
      </c>
      <c r="H50">
        <v>20000</v>
      </c>
      <c r="I50" t="s">
        <v>2677</v>
      </c>
      <c r="J50" s="114">
        <v>2</v>
      </c>
      <c r="K50">
        <v>6</v>
      </c>
      <c r="L50" s="526" t="s">
        <v>2901</v>
      </c>
      <c r="M50" s="376"/>
      <c r="O50" s="5"/>
      <c r="P50" s="268"/>
      <c r="R50" s="526" t="s">
        <v>1912</v>
      </c>
      <c r="S50" s="526" t="s">
        <v>922</v>
      </c>
      <c r="T50" t="s">
        <v>3527</v>
      </c>
      <c r="U50" s="268"/>
      <c r="V50" s="114"/>
      <c r="AA50" s="526" t="s">
        <v>1300</v>
      </c>
      <c r="AF50" s="114"/>
      <c r="AG50" t="b">
        <f t="shared" si="1"/>
        <v>0</v>
      </c>
      <c r="AH50" t="b">
        <f t="array" ref="AH50">AND(C50:F50=inp_used_minimal,A50=inp_used_usersel)</f>
        <v>0</v>
      </c>
      <c r="AI50" t="b">
        <f t="array" ref="AI50">AND(A50=inp_used_usersel,C50:K50=inp_used_nonvessel1,Q50:AE50=inp_used_nonvessel2,inp_used_vessels=inp_autosize)</f>
        <v>0</v>
      </c>
      <c r="AJ50" t="b">
        <f t="array" ref="AJ50">AND(C50:AE50=inp_used,A50=inp_used_usersel)</f>
        <v>0</v>
      </c>
    </row>
    <row r="51" spans="1:36">
      <c r="A51" s="114">
        <v>6</v>
      </c>
      <c r="B51" s="268">
        <v>3</v>
      </c>
      <c r="C51" s="114">
        <v>0.30499999999999999</v>
      </c>
      <c r="D51" t="s">
        <v>51</v>
      </c>
      <c r="E51">
        <v>9.4E-2</v>
      </c>
      <c r="F51" s="268" t="s">
        <v>51</v>
      </c>
      <c r="G51" s="114" t="s">
        <v>1501</v>
      </c>
      <c r="H51">
        <v>20000</v>
      </c>
      <c r="I51" t="s">
        <v>2677</v>
      </c>
      <c r="J51" s="114">
        <v>2</v>
      </c>
      <c r="K51">
        <v>6</v>
      </c>
      <c r="L51" s="526" t="s">
        <v>2901</v>
      </c>
      <c r="M51" s="376"/>
      <c r="O51" s="5"/>
      <c r="P51" s="268"/>
      <c r="R51" s="526" t="s">
        <v>1912</v>
      </c>
      <c r="S51" s="526" t="s">
        <v>922</v>
      </c>
      <c r="T51" t="s">
        <v>3527</v>
      </c>
      <c r="U51" s="268"/>
      <c r="V51" s="114"/>
      <c r="AA51" s="526" t="s">
        <v>1300</v>
      </c>
      <c r="AF51" s="114"/>
      <c r="AG51" t="b">
        <f t="shared" si="1"/>
        <v>0</v>
      </c>
      <c r="AH51" t="b">
        <f t="array" ref="AH51">AND(C51:F51=inp_used_minimal,A51=inp_used_usersel)</f>
        <v>0</v>
      </c>
      <c r="AI51" t="b">
        <f t="array" ref="AI51">AND(A51=inp_used_usersel,C51:K51=inp_used_nonvessel1,Q51:AE51=inp_used_nonvessel2,inp_used_vessels=inp_autosize)</f>
        <v>0</v>
      </c>
      <c r="AJ51" t="b">
        <f t="array" ref="AJ51">AND(C51:AE51=inp_used,A51=inp_used_usersel)</f>
        <v>0</v>
      </c>
    </row>
    <row r="52" spans="1:36">
      <c r="A52" s="114">
        <v>6</v>
      </c>
      <c r="B52" s="268">
        <v>4</v>
      </c>
      <c r="C52" s="114">
        <v>0.74</v>
      </c>
      <c r="D52" t="s">
        <v>51</v>
      </c>
      <c r="E52">
        <v>0.251</v>
      </c>
      <c r="F52" s="268" t="s">
        <v>51</v>
      </c>
      <c r="G52" s="114" t="s">
        <v>1501</v>
      </c>
      <c r="H52">
        <v>20000</v>
      </c>
      <c r="I52" t="s">
        <v>2677</v>
      </c>
      <c r="J52" s="114">
        <v>2</v>
      </c>
      <c r="K52">
        <v>6</v>
      </c>
      <c r="L52" s="526" t="s">
        <v>2901</v>
      </c>
      <c r="M52" s="376"/>
      <c r="P52" s="268"/>
      <c r="R52" s="526" t="s">
        <v>1912</v>
      </c>
      <c r="S52" s="526" t="s">
        <v>922</v>
      </c>
      <c r="T52" t="s">
        <v>3527</v>
      </c>
      <c r="U52" s="268"/>
      <c r="V52" s="114"/>
      <c r="AA52" s="526" t="s">
        <v>1300</v>
      </c>
      <c r="AF52" s="114"/>
      <c r="AG52" t="b">
        <f t="shared" si="1"/>
        <v>0</v>
      </c>
      <c r="AH52" t="b">
        <f t="array" ref="AH52">AND(C52:F52=inp_used_minimal,A52=inp_used_usersel)</f>
        <v>0</v>
      </c>
      <c r="AI52" t="b">
        <f t="array" ref="AI52">AND(A52=inp_used_usersel,C52:K52=inp_used_nonvessel1,Q52:AE52=inp_used_nonvessel2,inp_used_vessels=inp_autosize)</f>
        <v>0</v>
      </c>
      <c r="AJ52" t="b">
        <f t="array" ref="AJ52">AND(C52:AE52=inp_used,A52=inp_used_usersel)</f>
        <v>0</v>
      </c>
    </row>
    <row r="53" spans="1:36">
      <c r="A53" s="114">
        <v>6</v>
      </c>
      <c r="B53" s="268">
        <v>5</v>
      </c>
      <c r="C53" s="114">
        <v>2.1520000000000001</v>
      </c>
      <c r="D53" t="s">
        <v>51</v>
      </c>
      <c r="E53">
        <v>0.81899999999999995</v>
      </c>
      <c r="F53" s="268" t="s">
        <v>51</v>
      </c>
      <c r="G53" s="114" t="s">
        <v>1501</v>
      </c>
      <c r="H53">
        <v>20000</v>
      </c>
      <c r="I53" t="s">
        <v>2677</v>
      </c>
      <c r="J53" s="114">
        <v>2</v>
      </c>
      <c r="K53">
        <v>6</v>
      </c>
      <c r="L53" s="526" t="s">
        <v>2901</v>
      </c>
      <c r="M53" s="376"/>
      <c r="P53" s="268"/>
      <c r="R53" s="526" t="s">
        <v>1912</v>
      </c>
      <c r="S53" s="526" t="s">
        <v>922</v>
      </c>
      <c r="T53" t="s">
        <v>3527</v>
      </c>
      <c r="U53" s="268"/>
      <c r="V53" s="114"/>
      <c r="AA53" s="526" t="s">
        <v>1300</v>
      </c>
      <c r="AF53" s="114"/>
      <c r="AG53" t="b">
        <f t="shared" si="1"/>
        <v>0</v>
      </c>
      <c r="AH53" t="b">
        <f t="array" ref="AH53">AND(C53:F53=inp_used_minimal,A53=inp_used_usersel)</f>
        <v>0</v>
      </c>
      <c r="AI53" t="b">
        <f t="array" ref="AI53">AND(A53=inp_used_usersel,C53:K53=inp_used_nonvessel1,Q53:AE53=inp_used_nonvessel2,inp_used_vessels=inp_autosize)</f>
        <v>0</v>
      </c>
      <c r="AJ53" t="b">
        <f t="array" ref="AJ53">AND(C53:AE53=inp_used,A53=inp_used_usersel)</f>
        <v>0</v>
      </c>
    </row>
    <row r="54" spans="1:36">
      <c r="A54" s="114">
        <v>6</v>
      </c>
      <c r="B54" s="268">
        <v>6</v>
      </c>
      <c r="C54" s="114">
        <v>7.3650000000000002</v>
      </c>
      <c r="D54" t="s">
        <v>51</v>
      </c>
      <c r="E54">
        <v>3.2</v>
      </c>
      <c r="F54" s="268" t="s">
        <v>51</v>
      </c>
      <c r="G54" s="114" t="s">
        <v>1501</v>
      </c>
      <c r="H54">
        <v>20000</v>
      </c>
      <c r="I54" t="s">
        <v>2677</v>
      </c>
      <c r="J54" s="114">
        <v>2</v>
      </c>
      <c r="K54">
        <v>6</v>
      </c>
      <c r="L54" s="526" t="s">
        <v>2901</v>
      </c>
      <c r="M54" s="376"/>
      <c r="P54" s="268"/>
      <c r="R54" s="526" t="s">
        <v>1912</v>
      </c>
      <c r="S54" s="526" t="s">
        <v>922</v>
      </c>
      <c r="T54" t="s">
        <v>3527</v>
      </c>
      <c r="U54" s="268"/>
      <c r="V54" s="114"/>
      <c r="AA54" s="526" t="s">
        <v>1300</v>
      </c>
      <c r="AF54" s="114"/>
      <c r="AG54" t="b">
        <f t="shared" si="1"/>
        <v>0</v>
      </c>
      <c r="AH54" t="b">
        <f t="array" ref="AH54">AND(C54:F54=inp_used_minimal,A54=inp_used_usersel)</f>
        <v>0</v>
      </c>
      <c r="AI54" t="b">
        <f t="array" ref="AI54">AND(A54=inp_used_usersel,C54:K54=inp_used_nonvessel1,Q54:AE54=inp_used_nonvessel2,inp_used_vessels=inp_autosize)</f>
        <v>0</v>
      </c>
      <c r="AJ54" t="b">
        <f t="array" ref="AJ54">AND(C54:AE54=inp_used,A54=inp_used_usersel)</f>
        <v>0</v>
      </c>
    </row>
    <row r="55" spans="1:36">
      <c r="A55" s="114">
        <v>6</v>
      </c>
      <c r="B55" s="268">
        <v>7</v>
      </c>
      <c r="C55" s="114">
        <v>22.614000000000001</v>
      </c>
      <c r="D55" t="s">
        <v>51</v>
      </c>
      <c r="E55">
        <v>11.066000000000001</v>
      </c>
      <c r="F55" s="268" t="s">
        <v>51</v>
      </c>
      <c r="G55" s="114" t="s">
        <v>1501</v>
      </c>
      <c r="H55">
        <v>20000</v>
      </c>
      <c r="I55" t="s">
        <v>2677</v>
      </c>
      <c r="J55" s="114">
        <v>2</v>
      </c>
      <c r="K55">
        <v>6</v>
      </c>
      <c r="L55" s="526" t="s">
        <v>2901</v>
      </c>
      <c r="M55" s="376"/>
      <c r="P55" s="268"/>
      <c r="R55" s="526" t="s">
        <v>1912</v>
      </c>
      <c r="S55" s="526" t="s">
        <v>922</v>
      </c>
      <c r="T55" t="s">
        <v>3527</v>
      </c>
      <c r="U55" s="268"/>
      <c r="V55" s="114"/>
      <c r="AA55" s="526" t="s">
        <v>1300</v>
      </c>
      <c r="AF55" s="114"/>
      <c r="AG55" t="b">
        <f t="shared" si="1"/>
        <v>0</v>
      </c>
      <c r="AH55" t="b">
        <f t="array" ref="AH55">AND(C55:F55=inp_used_minimal,A55=inp_used_usersel)</f>
        <v>0</v>
      </c>
      <c r="AI55" t="b">
        <f t="array" ref="AI55">AND(A55=inp_used_usersel,C55:K55=inp_used_nonvessel1,Q55:AE55=inp_used_nonvessel2,inp_used_vessels=inp_autosize)</f>
        <v>0</v>
      </c>
      <c r="AJ55" t="b">
        <f t="array" ref="AJ55">AND(C55:AE55=inp_used,A55=inp_used_usersel)</f>
        <v>0</v>
      </c>
    </row>
    <row r="56" spans="1:36">
      <c r="A56" s="371">
        <v>6</v>
      </c>
      <c r="B56" s="372">
        <v>8</v>
      </c>
      <c r="C56" s="371">
        <v>75.072000000000003</v>
      </c>
      <c r="D56" s="320" t="s">
        <v>51</v>
      </c>
      <c r="E56" s="320">
        <v>37.536000000000001</v>
      </c>
      <c r="F56" s="372" t="s">
        <v>51</v>
      </c>
      <c r="G56" s="371" t="s">
        <v>1501</v>
      </c>
      <c r="H56" s="320">
        <v>20000</v>
      </c>
      <c r="I56" s="372" t="s">
        <v>2677</v>
      </c>
      <c r="J56" s="371">
        <v>2</v>
      </c>
      <c r="K56" s="320">
        <v>6</v>
      </c>
      <c r="L56" s="847" t="s">
        <v>2901</v>
      </c>
      <c r="M56" s="619"/>
      <c r="N56" s="320"/>
      <c r="O56" s="320"/>
      <c r="P56" s="372"/>
      <c r="Q56" s="320"/>
      <c r="R56" s="847" t="s">
        <v>1912</v>
      </c>
      <c r="S56" s="847" t="s">
        <v>922</v>
      </c>
      <c r="T56" s="320" t="s">
        <v>3527</v>
      </c>
      <c r="U56" s="372"/>
      <c r="V56" s="371"/>
      <c r="W56" s="320"/>
      <c r="X56" s="320"/>
      <c r="Y56" s="320"/>
      <c r="Z56" s="320"/>
      <c r="AA56" s="847" t="s">
        <v>1300</v>
      </c>
      <c r="AB56" s="320"/>
      <c r="AC56" s="320"/>
      <c r="AD56" s="320"/>
      <c r="AE56" s="320"/>
      <c r="AF56" s="371"/>
      <c r="AG56" s="320" t="b">
        <f t="shared" si="1"/>
        <v>0</v>
      </c>
      <c r="AH56" s="320" t="b">
        <f t="array" ref="AH56">AND(C56:F56=inp_used_minimal,A56=inp_used_usersel)</f>
        <v>0</v>
      </c>
      <c r="AI56" s="320" t="b">
        <f t="array" ref="AI56">AND(A56=inp_used_usersel,C56:K56=inp_used_nonvessel1,Q56:AE56=inp_used_nonvessel2,inp_used_vessels=inp_autosize)</f>
        <v>0</v>
      </c>
      <c r="AJ56" s="320" t="b">
        <f t="array" ref="AJ56">AND(C56:AE56=inp_used,A56=inp_used_usersel)</f>
        <v>0</v>
      </c>
    </row>
    <row r="57" spans="1:36">
      <c r="A57" s="885">
        <v>7</v>
      </c>
      <c r="B57" s="268">
        <v>1</v>
      </c>
      <c r="C57" s="885">
        <v>0.03</v>
      </c>
      <c r="D57" t="s">
        <v>51</v>
      </c>
      <c r="E57">
        <v>7.0000000000000001E-3</v>
      </c>
      <c r="F57" s="268" t="s">
        <v>51</v>
      </c>
      <c r="G57" s="885"/>
      <c r="J57" s="885"/>
      <c r="M57" s="376"/>
      <c r="O57" s="526"/>
      <c r="P57" s="268"/>
      <c r="U57" s="268"/>
      <c r="V57" s="885"/>
      <c r="AF57" s="781" t="str">
        <f>VLOOKUP(A57,contam_lookup,2,FALSE)</f>
        <v>Other</v>
      </c>
      <c r="AG57" t="b">
        <f t="shared" si="0"/>
        <v>0</v>
      </c>
      <c r="AH57" t="b">
        <f t="array" ref="AH57">AND(C57:F57=inp_used_minimal,A57=inp_used_usersel)</f>
        <v>0</v>
      </c>
      <c r="AI57" t="b">
        <f t="array" ref="AI57">AND(A57=inp_used_usersel,C57:K57=inp_used_nonvessel1,Q57:AE57=inp_used_nonvessel2,inp_used_vessels=inp_autosize)</f>
        <v>0</v>
      </c>
      <c r="AJ57" t="b">
        <f t="array" ref="AJ57">AND(C57:AE57=inp_used,A57=inp_used_usersel)</f>
        <v>0</v>
      </c>
    </row>
    <row r="58" spans="1:36">
      <c r="A58" s="885">
        <v>7</v>
      </c>
      <c r="B58" s="268">
        <v>2</v>
      </c>
      <c r="C58" s="885">
        <v>0.124</v>
      </c>
      <c r="D58" t="s">
        <v>51</v>
      </c>
      <c r="E58">
        <v>3.5000000000000003E-2</v>
      </c>
      <c r="F58" s="268" t="s">
        <v>51</v>
      </c>
      <c r="G58" s="885"/>
      <c r="J58" s="885"/>
      <c r="M58" s="376"/>
      <c r="O58" s="526"/>
      <c r="P58" s="268"/>
      <c r="U58" s="268"/>
      <c r="V58" s="885"/>
      <c r="AF58" s="114"/>
      <c r="AG58" t="b">
        <f t="shared" si="0"/>
        <v>0</v>
      </c>
      <c r="AH58" t="b">
        <f t="array" ref="AH58">AND(C58:F58=inp_used_minimal,A58=inp_used_usersel)</f>
        <v>0</v>
      </c>
      <c r="AI58" t="b">
        <f t="array" ref="AI58">AND(A58=inp_used_usersel,C58:K58=inp_used_nonvessel1,Q58:AE58=inp_used_nonvessel2,inp_used_vessels=inp_autosize)</f>
        <v>0</v>
      </c>
      <c r="AJ58" t="b">
        <f t="array" ref="AJ58">AND(C58:AE58=inp_used,A58=inp_used_usersel)</f>
        <v>0</v>
      </c>
    </row>
    <row r="59" spans="1:36">
      <c r="A59" s="885">
        <v>7</v>
      </c>
      <c r="B59" s="268">
        <v>3</v>
      </c>
      <c r="C59" s="885">
        <v>0.30499999999999999</v>
      </c>
      <c r="D59" t="s">
        <v>51</v>
      </c>
      <c r="E59">
        <v>9.4E-2</v>
      </c>
      <c r="F59" s="268" t="s">
        <v>51</v>
      </c>
      <c r="G59" s="885"/>
      <c r="J59" s="885"/>
      <c r="M59" s="886"/>
      <c r="P59" s="268"/>
      <c r="U59" s="268"/>
      <c r="V59" s="885"/>
      <c r="AF59" s="114"/>
      <c r="AG59" t="b">
        <f t="shared" si="0"/>
        <v>0</v>
      </c>
      <c r="AH59" t="b">
        <f t="array" ref="AH59">AND(C59:F59=inp_used_minimal,A59=inp_used_usersel)</f>
        <v>0</v>
      </c>
      <c r="AI59" t="b">
        <f t="array" ref="AI59">AND(A59=inp_used_usersel,C59:K59=inp_used_nonvessel1,Q59:AE59=inp_used_nonvessel2,inp_used_vessels=inp_autosize)</f>
        <v>0</v>
      </c>
      <c r="AJ59" t="b">
        <f t="array" ref="AJ59">AND(C59:AE59=inp_used,A59=inp_used_usersel)</f>
        <v>0</v>
      </c>
    </row>
    <row r="60" spans="1:36">
      <c r="A60" s="885">
        <v>7</v>
      </c>
      <c r="B60" s="268">
        <v>4</v>
      </c>
      <c r="C60" s="885">
        <v>0.74</v>
      </c>
      <c r="D60" t="s">
        <v>51</v>
      </c>
      <c r="E60">
        <v>0.251</v>
      </c>
      <c r="F60" s="268" t="s">
        <v>51</v>
      </c>
      <c r="G60" s="885"/>
      <c r="J60" s="885"/>
      <c r="M60" s="886"/>
      <c r="P60" s="268"/>
      <c r="U60" s="268"/>
      <c r="V60" s="885"/>
      <c r="AF60" s="114"/>
      <c r="AG60" t="b">
        <f t="shared" si="0"/>
        <v>0</v>
      </c>
      <c r="AH60" t="b">
        <f t="array" ref="AH60">AND(C60:F60=inp_used_minimal,A60=inp_used_usersel)</f>
        <v>0</v>
      </c>
      <c r="AI60" t="b">
        <f t="array" ref="AI60">AND(A60=inp_used_usersel,C60:K60=inp_used_nonvessel1,Q60:AE60=inp_used_nonvessel2,inp_used_vessels=inp_autosize)</f>
        <v>0</v>
      </c>
      <c r="AJ60" t="b">
        <f t="array" ref="AJ60">AND(C60:AE60=inp_used,A60=inp_used_usersel)</f>
        <v>0</v>
      </c>
    </row>
    <row r="61" spans="1:36">
      <c r="A61" s="885">
        <v>7</v>
      </c>
      <c r="B61" s="268">
        <v>5</v>
      </c>
      <c r="C61" s="885">
        <v>2.1520000000000001</v>
      </c>
      <c r="D61" t="s">
        <v>51</v>
      </c>
      <c r="E61">
        <v>0.81899999999999995</v>
      </c>
      <c r="F61" s="268" t="s">
        <v>51</v>
      </c>
      <c r="G61" s="885"/>
      <c r="J61" s="885"/>
      <c r="M61" s="886"/>
      <c r="O61" s="44"/>
      <c r="P61" s="268"/>
      <c r="U61" s="268"/>
      <c r="V61" s="885"/>
      <c r="AF61" s="114"/>
      <c r="AG61" t="b">
        <f t="shared" si="0"/>
        <v>0</v>
      </c>
      <c r="AH61" t="b">
        <f t="array" ref="AH61">AND(C61:F61=inp_used_minimal,A61=inp_used_usersel)</f>
        <v>0</v>
      </c>
      <c r="AI61" t="b">
        <f t="array" ref="AI61">AND(A61=inp_used_usersel,C61:K61=inp_used_nonvessel1,Q61:AE61=inp_used_nonvessel2,inp_used_vessels=inp_autosize)</f>
        <v>0</v>
      </c>
      <c r="AJ61" t="b">
        <f t="array" ref="AJ61">AND(C61:AE61=inp_used,A61=inp_used_usersel)</f>
        <v>0</v>
      </c>
    </row>
    <row r="62" spans="1:36">
      <c r="A62" s="885">
        <v>7</v>
      </c>
      <c r="B62" s="268">
        <v>6</v>
      </c>
      <c r="C62" s="885">
        <v>7.3650000000000002</v>
      </c>
      <c r="D62" t="s">
        <v>51</v>
      </c>
      <c r="E62">
        <v>3.2</v>
      </c>
      <c r="F62" s="268" t="s">
        <v>51</v>
      </c>
      <c r="G62" s="885"/>
      <c r="J62" s="885"/>
      <c r="M62" s="886"/>
      <c r="O62" s="44"/>
      <c r="P62" s="268"/>
      <c r="U62" s="268"/>
      <c r="V62" s="885"/>
      <c r="AF62" s="114"/>
      <c r="AG62" t="b">
        <f t="shared" si="0"/>
        <v>0</v>
      </c>
      <c r="AH62" t="b">
        <f t="array" ref="AH62">AND(C62:F62=inp_used_minimal,A62=inp_used_usersel)</f>
        <v>0</v>
      </c>
      <c r="AI62" t="b">
        <f t="array" ref="AI62">AND(A62=inp_used_usersel,C62:K62=inp_used_nonvessel1,Q62:AE62=inp_used_nonvessel2,inp_used_vessels=inp_autosize)</f>
        <v>0</v>
      </c>
      <c r="AJ62" t="b">
        <f t="array" ref="AJ62">AND(C62:AE62=inp_used,A62=inp_used_usersel)</f>
        <v>0</v>
      </c>
    </row>
    <row r="63" spans="1:36">
      <c r="A63" s="885">
        <v>7</v>
      </c>
      <c r="B63" s="268">
        <v>7</v>
      </c>
      <c r="C63" s="885">
        <v>22.614000000000001</v>
      </c>
      <c r="D63" t="s">
        <v>51</v>
      </c>
      <c r="E63">
        <v>11.066000000000001</v>
      </c>
      <c r="F63" s="268" t="s">
        <v>51</v>
      </c>
      <c r="G63" s="885"/>
      <c r="J63" s="885"/>
      <c r="M63" s="376"/>
      <c r="O63" s="44"/>
      <c r="P63" s="268"/>
      <c r="U63" s="268"/>
      <c r="V63" s="885"/>
      <c r="AF63" s="114"/>
      <c r="AG63" t="b">
        <f t="shared" si="0"/>
        <v>0</v>
      </c>
      <c r="AH63" t="b">
        <f t="array" ref="AH63">AND(C63:F63=inp_used_minimal,A63=inp_used_usersel)</f>
        <v>0</v>
      </c>
      <c r="AI63" t="b">
        <f t="array" ref="AI63">AND(A63=inp_used_usersel,C63:K63=inp_used_nonvessel1,Q63:AE63=inp_used_nonvessel2,inp_used_vessels=inp_autosize)</f>
        <v>0</v>
      </c>
      <c r="AJ63" t="b">
        <f t="array" ref="AJ63">AND(C63:AE63=inp_used,A63=inp_used_usersel)</f>
        <v>0</v>
      </c>
    </row>
    <row r="64" spans="1:36">
      <c r="A64" s="371">
        <v>7</v>
      </c>
      <c r="B64" s="372">
        <v>8</v>
      </c>
      <c r="C64" s="371">
        <v>75.072000000000003</v>
      </c>
      <c r="D64" s="320" t="s">
        <v>51</v>
      </c>
      <c r="E64" s="320">
        <v>37.536000000000001</v>
      </c>
      <c r="F64" s="372" t="s">
        <v>51</v>
      </c>
      <c r="G64" s="371"/>
      <c r="H64" s="320"/>
      <c r="I64" s="320"/>
      <c r="J64" s="371"/>
      <c r="K64" s="320"/>
      <c r="L64" s="320"/>
      <c r="M64" s="619"/>
      <c r="N64" s="320"/>
      <c r="O64" s="620"/>
      <c r="P64" s="372"/>
      <c r="Q64" s="320"/>
      <c r="R64" s="320"/>
      <c r="S64" s="320"/>
      <c r="T64" s="320"/>
      <c r="U64" s="372"/>
      <c r="V64" s="371"/>
      <c r="W64" s="320"/>
      <c r="X64" s="320"/>
      <c r="Y64" s="320"/>
      <c r="Z64" s="320"/>
      <c r="AA64" s="320"/>
      <c r="AB64" s="320"/>
      <c r="AC64" s="320"/>
      <c r="AD64" s="320"/>
      <c r="AE64" s="372"/>
      <c r="AF64" s="114"/>
      <c r="AG64" t="b">
        <f t="shared" si="0"/>
        <v>0</v>
      </c>
      <c r="AH64" t="b">
        <f t="array" ref="AH64">AND(C64:F64=inp_used_minimal,A64=inp_used_usersel)</f>
        <v>0</v>
      </c>
      <c r="AI64" t="b">
        <f t="array" ref="AI64">AND(A64=inp_used_usersel,C64:K64=inp_used_nonvessel1,Q64:AE64=inp_used_nonvessel2,inp_used_vessels=inp_autosize)</f>
        <v>0</v>
      </c>
      <c r="AJ64" t="b">
        <f t="array" ref="AJ64">AND(C64:AE64=inp_used,A64=inp_used_usersel)</f>
        <v>0</v>
      </c>
    </row>
    <row r="66" spans="1:33" s="1" customFormat="1">
      <c r="A66" s="375">
        <f>IF(LEN(contam_type)=0,"",contam_type)</f>
        <v>7</v>
      </c>
      <c r="B66" s="375" t="s">
        <v>2888</v>
      </c>
      <c r="C66" s="375">
        <f>IF(LEN(design_flow_I)=0,"",design_flow_I)</f>
        <v>2.1520000000000001</v>
      </c>
      <c r="D66" s="375" t="str">
        <f>IF(LEN(df_units)=0,"",df_units)</f>
        <v>MGD</v>
      </c>
      <c r="E66" s="375">
        <f>IF(LEN(average_flow_I)=0,"",average_flow_I)</f>
        <v>2.1520000000000001</v>
      </c>
      <c r="F66" s="375" t="str">
        <f>IF(LEN(af_units)=0,"",af_units)</f>
        <v>MGD</v>
      </c>
      <c r="G66" s="375" t="str">
        <f>IF(LEN(throwaway_I)=0,"",throwaway_I)</f>
        <v>throwaway</v>
      </c>
      <c r="H66" s="375">
        <f>IF(LEN(BV_regen)=0,"",BV_regen)</f>
        <v>86800</v>
      </c>
      <c r="I66" s="375" t="str">
        <f>IF(LEN(BV_units)=0,"",BV_units)</f>
        <v>bed volumes</v>
      </c>
      <c r="J66" s="375">
        <f>IF(LEN(num_tanks_I)=0,"",num_tanks_I)</f>
        <v>2</v>
      </c>
      <c r="K66" s="375">
        <f>IF(LEN(EBCT_I)=0,"",EBCT_I)</f>
        <v>3</v>
      </c>
      <c r="L66" s="375" t="str">
        <f>IF(LEN(use_autosize)=0,"",use_autosize)</f>
        <v/>
      </c>
      <c r="M66" s="375">
        <f>IF(LEN(bed_depth)=0,"",bed_depth)</f>
        <v>2.4</v>
      </c>
      <c r="N66" s="375" t="str">
        <f>IF(LEN(tank_geom_I)=0,"",tank_geom_I)</f>
        <v>upright</v>
      </c>
      <c r="O66" s="375">
        <f>IF(LEN(comm_height_length)=0,"",comm_height_length)</f>
        <v>6</v>
      </c>
      <c r="P66" s="375">
        <f>IF(LEN(comm_diam)=0,"",comm_diam)</f>
        <v>13</v>
      </c>
      <c r="Q66" s="375" t="str">
        <f>IF(LEN(brine_method_I)=0,"",brine_method_I)</f>
        <v/>
      </c>
      <c r="R66" s="375" t="str">
        <f>IF(LEN(res_s1_opt_I)=0,"",res_s1_opt_I)</f>
        <v>no holding tank</v>
      </c>
      <c r="S66" s="375" t="str">
        <f>IF(LEN(res_s2_opt_I)=0,"",res_s2_opt_I)</f>
        <v>hazardous waste disposal</v>
      </c>
      <c r="T66" s="375" t="str">
        <f>IF(LEN(media_haz_I)=0,"",media_haz_I)</f>
        <v>incineration (hazardous)</v>
      </c>
      <c r="U66" s="375" t="str">
        <f>IF(LEN(solids_haz_I)=0,"",solids_haz_I)</f>
        <v>hazardous</v>
      </c>
      <c r="V66" s="375" t="str">
        <f>IF(LEN(lines_pump_I)=0,"",lines_pump_I)</f>
        <v/>
      </c>
      <c r="W66" s="375" t="str">
        <f>IF(LEN(NRD_I)=0,"",NRD_I)</f>
        <v/>
      </c>
      <c r="X66" s="375" t="str">
        <f>IF(LEN(pH_adj)=0,"",pH_adj)</f>
        <v/>
      </c>
      <c r="Y66" s="375" t="str">
        <f>IF(LEN(no_backwash_I)=0,"",no_backwash_I)</f>
        <v>new pumps</v>
      </c>
      <c r="Z66" s="375" t="str">
        <f>IF(LEN(no_back_tank_I)=0,"",no_back_tank_I)</f>
        <v>new storage</v>
      </c>
      <c r="AA66" s="375" t="str">
        <f>IF(LEN(manual_I)=0,"",manual_I)</f>
        <v/>
      </c>
      <c r="AB66" s="375" t="str">
        <f>IF(LEN(component_level_I)=0,"",component_level_I)</f>
        <v/>
      </c>
      <c r="AC66" s="375" t="str">
        <f>IF(LEN(include_buildings_I)=0,"",include_buildings_I)</f>
        <v>no</v>
      </c>
      <c r="AD66" s="375" t="str">
        <f>IF(LEN(include_HVAC_I)=0,"",include_HVAC_I)</f>
        <v/>
      </c>
      <c r="AE66" s="375" t="str">
        <f>IF(LEN(include_land_I)=0,"",include_land_I)</f>
        <v>no</v>
      </c>
      <c r="AF66" t="s">
        <v>2889</v>
      </c>
    </row>
    <row r="67" spans="1:33" s="1" customFormat="1">
      <c r="A67" s="375"/>
      <c r="B67" s="375"/>
      <c r="C67" s="375">
        <v>2.1520000000000001</v>
      </c>
      <c r="D67" s="375" t="s">
        <v>51</v>
      </c>
      <c r="E67" s="375">
        <v>2.1520000000000001</v>
      </c>
      <c r="F67" s="375" t="s">
        <v>51</v>
      </c>
      <c r="G67" s="375" t="s">
        <v>1501</v>
      </c>
      <c r="H67" s="375">
        <v>86800</v>
      </c>
      <c r="I67" s="375" t="s">
        <v>2677</v>
      </c>
      <c r="J67" s="375">
        <v>2</v>
      </c>
      <c r="K67" s="375">
        <v>3</v>
      </c>
      <c r="L67" s="375"/>
      <c r="M67" s="375">
        <v>2.4</v>
      </c>
      <c r="N67" s="375" t="s">
        <v>3535</v>
      </c>
      <c r="O67" s="375">
        <v>6</v>
      </c>
      <c r="P67" s="375">
        <v>13</v>
      </c>
      <c r="Q67" s="375"/>
      <c r="R67" s="375" t="s">
        <v>1912</v>
      </c>
      <c r="S67" s="375" t="s">
        <v>1543</v>
      </c>
      <c r="T67" s="375" t="s">
        <v>3528</v>
      </c>
      <c r="U67" s="375" t="s">
        <v>4385</v>
      </c>
      <c r="V67" s="375"/>
      <c r="W67" s="375"/>
      <c r="X67" s="375"/>
      <c r="Y67" s="375" t="s">
        <v>2891</v>
      </c>
      <c r="Z67" s="375" t="s">
        <v>2896</v>
      </c>
      <c r="AA67" s="375"/>
      <c r="AB67" s="375"/>
      <c r="AC67" s="375" t="s">
        <v>2902</v>
      </c>
      <c r="AD67" s="375"/>
      <c r="AE67" s="375" t="s">
        <v>2902</v>
      </c>
      <c r="AF67" t="s">
        <v>2890</v>
      </c>
      <c r="AG67" s="5" t="b">
        <f t="array" ref="AG67">AND(C67:AE67=inp_used)</f>
        <v>1</v>
      </c>
    </row>
    <row r="69" spans="1:33">
      <c r="M69" s="3" t="s">
        <v>3415</v>
      </c>
    </row>
    <row r="70" spans="1:33">
      <c r="M70" s="852">
        <f>IFERROR(comp_bed_depth,"")</f>
        <v>2.4</v>
      </c>
      <c r="N70" s="852" t="str">
        <f>IFERROR(comp_tank_geom,"")</f>
        <v>upright</v>
      </c>
      <c r="O70" s="852">
        <f>IF(N70="upright",IFERROR(comp_vert_height,""),IFERROR(comp_horiz_length,""))</f>
        <v>6</v>
      </c>
      <c r="P70" s="852">
        <f>IF(N70="upright",IFERROR(comp_vert_diam,""),IFERROR(comp_horiz_diam,""))</f>
        <v>13</v>
      </c>
    </row>
  </sheetData>
  <mergeCells count="7">
    <mergeCell ref="AG7:AJ7"/>
    <mergeCell ref="A6:B6"/>
    <mergeCell ref="V6:AE6"/>
    <mergeCell ref="C6:F6"/>
    <mergeCell ref="G6:I6"/>
    <mergeCell ref="J6:P6"/>
    <mergeCell ref="Q6:U6"/>
  </mergeCells>
  <phoneticPr fontId="0" type="noConversion"/>
  <conditionalFormatting sqref="A8">
    <cfRule type="expression" dxfId="1766" priority="11758" stopIfTrue="1">
      <formula>NOT(ISBLANK($A$8))</formula>
    </cfRule>
  </conditionalFormatting>
  <conditionalFormatting sqref="B8">
    <cfRule type="expression" dxfId="1765" priority="11759" stopIfTrue="1">
      <formula>NOT(ISBLANK($B$8))</formula>
    </cfRule>
  </conditionalFormatting>
  <conditionalFormatting sqref="C8">
    <cfRule type="cellIs" dxfId="1764" priority="11760" stopIfTrue="1" operator="notEqual">
      <formula>"design_flow_I"</formula>
    </cfRule>
  </conditionalFormatting>
  <conditionalFormatting sqref="D8">
    <cfRule type="cellIs" dxfId="1763" priority="11761" stopIfTrue="1" operator="notEqual">
      <formula>"df_units"</formula>
    </cfRule>
  </conditionalFormatting>
  <conditionalFormatting sqref="E8">
    <cfRule type="cellIs" dxfId="1762" priority="11762" stopIfTrue="1" operator="notEqual">
      <formula>"average_flow_I"</formula>
    </cfRule>
  </conditionalFormatting>
  <conditionalFormatting sqref="F8">
    <cfRule type="cellIs" dxfId="1761" priority="11763" stopIfTrue="1" operator="notEqual">
      <formula>"af_units"</formula>
    </cfRule>
  </conditionalFormatting>
  <conditionalFormatting sqref="G8">
    <cfRule type="cellIs" dxfId="1760" priority="11764" stopIfTrue="1" operator="notEqual">
      <formula>"throwaway_I"</formula>
    </cfRule>
  </conditionalFormatting>
  <conditionalFormatting sqref="H8">
    <cfRule type="cellIs" dxfId="1759" priority="11765" stopIfTrue="1" operator="notEqual">
      <formula>"BV_regen"</formula>
    </cfRule>
  </conditionalFormatting>
  <conditionalFormatting sqref="I8">
    <cfRule type="cellIs" dxfId="1758" priority="11766" stopIfTrue="1" operator="notEqual">
      <formula>"BV_units"</formula>
    </cfRule>
  </conditionalFormatting>
  <conditionalFormatting sqref="J8">
    <cfRule type="cellIs" dxfId="1757" priority="11767" stopIfTrue="1" operator="notEqual">
      <formula>"num_tanks_I"</formula>
    </cfRule>
  </conditionalFormatting>
  <conditionalFormatting sqref="K8">
    <cfRule type="cellIs" dxfId="1756" priority="11768" stopIfTrue="1" operator="notEqual">
      <formula>"EBCT_I"</formula>
    </cfRule>
  </conditionalFormatting>
  <conditionalFormatting sqref="L8">
    <cfRule type="cellIs" dxfId="1755" priority="11769" stopIfTrue="1" operator="notEqual">
      <formula>"use_autosize"</formula>
    </cfRule>
  </conditionalFormatting>
  <conditionalFormatting sqref="M8">
    <cfRule type="cellIs" dxfId="1754" priority="11770" stopIfTrue="1" operator="notEqual">
      <formula>"bed_depth"</formula>
    </cfRule>
  </conditionalFormatting>
  <conditionalFormatting sqref="N8">
    <cfRule type="cellIs" dxfId="1753" priority="11771" stopIfTrue="1" operator="notEqual">
      <formula>"tank_geom_I"</formula>
    </cfRule>
  </conditionalFormatting>
  <conditionalFormatting sqref="O8">
    <cfRule type="cellIs" dxfId="1752" priority="11772" stopIfTrue="1" operator="notEqual">
      <formula>"comm_height_length"</formula>
    </cfRule>
  </conditionalFormatting>
  <conditionalFormatting sqref="P8">
    <cfRule type="cellIs" dxfId="1751" priority="11773" stopIfTrue="1" operator="notEqual">
      <formula>"comm_diam"</formula>
    </cfRule>
  </conditionalFormatting>
  <conditionalFormatting sqref="Q8">
    <cfRule type="cellIs" dxfId="1750" priority="11774" stopIfTrue="1" operator="notEqual">
      <formula>"brine_method_I"</formula>
    </cfRule>
  </conditionalFormatting>
  <conditionalFormatting sqref="R8">
    <cfRule type="cellIs" dxfId="1749" priority="11775" stopIfTrue="1" operator="notEqual">
      <formula>"res_s1_opt_I"</formula>
    </cfRule>
  </conditionalFormatting>
  <conditionalFormatting sqref="S8">
    <cfRule type="cellIs" dxfId="1748" priority="11776" stopIfTrue="1" operator="notEqual">
      <formula>"res_s2_opt_I"</formula>
    </cfRule>
  </conditionalFormatting>
  <conditionalFormatting sqref="T8">
    <cfRule type="cellIs" dxfId="1747" priority="11777" stopIfTrue="1" operator="notEqual">
      <formula>"media_haz_I"</formula>
    </cfRule>
  </conditionalFormatting>
  <conditionalFormatting sqref="U8">
    <cfRule type="cellIs" dxfId="1746" priority="11778" stopIfTrue="1" operator="notEqual">
      <formula>"solids_haz_I"</formula>
    </cfRule>
  </conditionalFormatting>
  <conditionalFormatting sqref="V8">
    <cfRule type="cellIs" dxfId="1745" priority="11779" stopIfTrue="1" operator="notEqual">
      <formula>"lines_pump_I"</formula>
    </cfRule>
  </conditionalFormatting>
  <conditionalFormatting sqref="W8">
    <cfRule type="cellIs" dxfId="1744" priority="11780" stopIfTrue="1" operator="notEqual">
      <formula>"NRD_I"</formula>
    </cfRule>
  </conditionalFormatting>
  <conditionalFormatting sqref="X8">
    <cfRule type="cellIs" dxfId="1743" priority="11781" stopIfTrue="1" operator="notEqual">
      <formula>"pH_adj"</formula>
    </cfRule>
  </conditionalFormatting>
  <conditionalFormatting sqref="Y8">
    <cfRule type="cellIs" dxfId="1742" priority="11782" stopIfTrue="1" operator="notEqual">
      <formula>"no_backwash_I"</formula>
    </cfRule>
  </conditionalFormatting>
  <conditionalFormatting sqref="Z8">
    <cfRule type="cellIs" dxfId="1741" priority="11783" stopIfTrue="1" operator="notEqual">
      <formula>"no_back_tank_I"</formula>
    </cfRule>
  </conditionalFormatting>
  <conditionalFormatting sqref="AA8">
    <cfRule type="cellIs" dxfId="1740" priority="11784" stopIfTrue="1" operator="notEqual">
      <formula>"manual_I"</formula>
    </cfRule>
  </conditionalFormatting>
  <conditionalFormatting sqref="AB8">
    <cfRule type="cellIs" dxfId="1739" priority="11785" stopIfTrue="1" operator="notEqual">
      <formula>"component_level_I"</formula>
    </cfRule>
  </conditionalFormatting>
  <conditionalFormatting sqref="AC8">
    <cfRule type="cellIs" dxfId="1738" priority="11786" stopIfTrue="1" operator="notEqual">
      <formula>"include_buildings_I"</formula>
    </cfRule>
  </conditionalFormatting>
  <conditionalFormatting sqref="AD8">
    <cfRule type="cellIs" dxfId="1737" priority="11787" stopIfTrue="1" operator="notEqual">
      <formula>"include_HVAC_I"</formula>
    </cfRule>
  </conditionalFormatting>
  <conditionalFormatting sqref="AE8">
    <cfRule type="cellIs" dxfId="1736" priority="11788" stopIfTrue="1" operator="notEqual">
      <formula>"include_land_I"</formula>
    </cfRule>
  </conditionalFormatting>
  <conditionalFormatting sqref="A9">
    <cfRule type="cellIs" dxfId="1735" priority="11789" stopIfTrue="1" operator="notEqual">
      <formula>1</formula>
    </cfRule>
  </conditionalFormatting>
  <conditionalFormatting sqref="B9">
    <cfRule type="cellIs" dxfId="1734" priority="11790" stopIfTrue="1" operator="notEqual">
      <formula>1</formula>
    </cfRule>
  </conditionalFormatting>
  <conditionalFormatting sqref="C9">
    <cfRule type="cellIs" dxfId="1733" priority="11791" stopIfTrue="1" operator="notEqual">
      <formula>0.03</formula>
    </cfRule>
  </conditionalFormatting>
  <conditionalFormatting sqref="D9">
    <cfRule type="cellIs" dxfId="1732" priority="11792" stopIfTrue="1" operator="notEqual">
      <formula>"MGD"</formula>
    </cfRule>
  </conditionalFormatting>
  <conditionalFormatting sqref="E9">
    <cfRule type="cellIs" dxfId="1731" priority="11793" stopIfTrue="1" operator="notEqual">
      <formula>0.007</formula>
    </cfRule>
  </conditionalFormatting>
  <conditionalFormatting sqref="F9">
    <cfRule type="cellIs" dxfId="1730" priority="11794" stopIfTrue="1" operator="notEqual">
      <formula>"MGD"</formula>
    </cfRule>
  </conditionalFormatting>
  <conditionalFormatting sqref="G9">
    <cfRule type="cellIs" dxfId="1729" priority="11795" stopIfTrue="1" operator="notEqual">
      <formula>"throwaway"</formula>
    </cfRule>
  </conditionalFormatting>
  <conditionalFormatting sqref="H9">
    <cfRule type="cellIs" dxfId="1728" priority="11796" stopIfTrue="1" operator="notEqual">
      <formula>240000</formula>
    </cfRule>
  </conditionalFormatting>
  <conditionalFormatting sqref="I9">
    <cfRule type="cellIs" dxfId="1727" priority="11797" stopIfTrue="1" operator="notEqual">
      <formula>"bed volumes"</formula>
    </cfRule>
  </conditionalFormatting>
  <conditionalFormatting sqref="J9">
    <cfRule type="cellIs" dxfId="1726" priority="11798" stopIfTrue="1" operator="notEqual">
      <formula>2</formula>
    </cfRule>
  </conditionalFormatting>
  <conditionalFormatting sqref="K9">
    <cfRule type="cellIs" dxfId="1725" priority="11799" stopIfTrue="1" operator="notEqual">
      <formula>6</formula>
    </cfRule>
  </conditionalFormatting>
  <conditionalFormatting sqref="L9">
    <cfRule type="cellIs" dxfId="1724" priority="11800" stopIfTrue="1" operator="notEqual">
      <formula>"yes"</formula>
    </cfRule>
  </conditionalFormatting>
  <conditionalFormatting sqref="M9">
    <cfRule type="expression" dxfId="1723" priority="11801" stopIfTrue="1">
      <formula>NOT(ISBLANK($M$9))</formula>
    </cfRule>
  </conditionalFormatting>
  <conditionalFormatting sqref="N9">
    <cfRule type="expression" dxfId="1722" priority="11802" stopIfTrue="1">
      <formula>NOT(ISBLANK($N$9))</formula>
    </cfRule>
  </conditionalFormatting>
  <conditionalFormatting sqref="O9">
    <cfRule type="expression" dxfId="1721" priority="11803" stopIfTrue="1">
      <formula>NOT(ISBLANK($O$9))</formula>
    </cfRule>
  </conditionalFormatting>
  <conditionalFormatting sqref="P9">
    <cfRule type="expression" dxfId="1720" priority="11804" stopIfTrue="1">
      <formula>NOT(ISBLANK($P$9))</formula>
    </cfRule>
  </conditionalFormatting>
  <conditionalFormatting sqref="Q9">
    <cfRule type="expression" dxfId="1719" priority="11805" stopIfTrue="1">
      <formula>NOT(ISBLANK($Q$9))</formula>
    </cfRule>
  </conditionalFormatting>
  <conditionalFormatting sqref="R9">
    <cfRule type="cellIs" dxfId="1718" priority="11806" stopIfTrue="1" operator="notEqual">
      <formula>"no holding tank"</formula>
    </cfRule>
  </conditionalFormatting>
  <conditionalFormatting sqref="S9">
    <cfRule type="cellIs" dxfId="1717" priority="11807" stopIfTrue="1" operator="notEqual">
      <formula>"POTW"</formula>
    </cfRule>
  </conditionalFormatting>
  <conditionalFormatting sqref="T9">
    <cfRule type="cellIs" dxfId="1716" priority="11808" stopIfTrue="1" operator="notEqual">
      <formula>"incineration (non-hazardous)"</formula>
    </cfRule>
  </conditionalFormatting>
  <conditionalFormatting sqref="U9">
    <cfRule type="expression" dxfId="1715" priority="11809" stopIfTrue="1">
      <formula>NOT(ISBLANK($U$9))</formula>
    </cfRule>
  </conditionalFormatting>
  <conditionalFormatting sqref="V9">
    <cfRule type="cellIs" dxfId="1714" priority="11810" stopIfTrue="1" operator="notEqual">
      <formula>0</formula>
    </cfRule>
  </conditionalFormatting>
  <conditionalFormatting sqref="W9">
    <cfRule type="expression" dxfId="1713" priority="11811" stopIfTrue="1">
      <formula>NOT(ISBLANK($W$9))</formula>
    </cfRule>
  </conditionalFormatting>
  <conditionalFormatting sqref="X9">
    <cfRule type="expression" dxfId="1712" priority="11812" stopIfTrue="1">
      <formula>NOT(ISBLANK($X$9))</formula>
    </cfRule>
  </conditionalFormatting>
  <conditionalFormatting sqref="Y9">
    <cfRule type="expression" dxfId="1711" priority="11813" stopIfTrue="1">
      <formula>NOT(ISBLANK($Y$9))</formula>
    </cfRule>
  </conditionalFormatting>
  <conditionalFormatting sqref="Z9">
    <cfRule type="expression" dxfId="1710" priority="11814" stopIfTrue="1">
      <formula>NOT(ISBLANK($Z$9))</formula>
    </cfRule>
  </conditionalFormatting>
  <conditionalFormatting sqref="AA9">
    <cfRule type="cellIs" dxfId="1709" priority="11815" stopIfTrue="1" operator="notEqual">
      <formula>"fully automated"</formula>
    </cfRule>
  </conditionalFormatting>
  <conditionalFormatting sqref="AB9">
    <cfRule type="expression" dxfId="1708" priority="11816" stopIfTrue="1">
      <formula>NOT(ISBLANK($AB$9))</formula>
    </cfRule>
  </conditionalFormatting>
  <conditionalFormatting sqref="AC9">
    <cfRule type="expression" dxfId="1707" priority="11817" stopIfTrue="1">
      <formula>NOT(ISBLANK($AC$9))</formula>
    </cfRule>
  </conditionalFormatting>
  <conditionalFormatting sqref="AD9">
    <cfRule type="expression" dxfId="1706" priority="11818" stopIfTrue="1">
      <formula>NOT(ISBLANK($AD$9))</formula>
    </cfRule>
  </conditionalFormatting>
  <conditionalFormatting sqref="AE9">
    <cfRule type="expression" dxfId="1705" priority="11819" stopIfTrue="1">
      <formula>NOT(ISBLANK($AE$9))</formula>
    </cfRule>
  </conditionalFormatting>
  <conditionalFormatting sqref="A10">
    <cfRule type="cellIs" dxfId="1704" priority="11820" stopIfTrue="1" operator="notEqual">
      <formula>1</formula>
    </cfRule>
  </conditionalFormatting>
  <conditionalFormatting sqref="B10">
    <cfRule type="cellIs" dxfId="1703" priority="11821" stopIfTrue="1" operator="notEqual">
      <formula>2</formula>
    </cfRule>
  </conditionalFormatting>
  <conditionalFormatting sqref="C10">
    <cfRule type="cellIs" dxfId="1702" priority="11822" stopIfTrue="1" operator="notEqual">
      <formula>0.124</formula>
    </cfRule>
  </conditionalFormatting>
  <conditionalFormatting sqref="D10">
    <cfRule type="cellIs" dxfId="1701" priority="11823" stopIfTrue="1" operator="notEqual">
      <formula>"MGD"</formula>
    </cfRule>
  </conditionalFormatting>
  <conditionalFormatting sqref="E10">
    <cfRule type="cellIs" dxfId="1700" priority="11824" stopIfTrue="1" operator="notEqual">
      <formula>0.035</formula>
    </cfRule>
  </conditionalFormatting>
  <conditionalFormatting sqref="F10">
    <cfRule type="cellIs" dxfId="1699" priority="11825" stopIfTrue="1" operator="notEqual">
      <formula>"MGD"</formula>
    </cfRule>
  </conditionalFormatting>
  <conditionalFormatting sqref="G10">
    <cfRule type="cellIs" dxfId="1698" priority="11826" stopIfTrue="1" operator="notEqual">
      <formula>"throwaway"</formula>
    </cfRule>
  </conditionalFormatting>
  <conditionalFormatting sqref="H10">
    <cfRule type="cellIs" dxfId="1697" priority="11827" stopIfTrue="1" operator="notEqual">
      <formula>240000</formula>
    </cfRule>
  </conditionalFormatting>
  <conditionalFormatting sqref="I10">
    <cfRule type="cellIs" dxfId="1696" priority="11828" stopIfTrue="1" operator="notEqual">
      <formula>"bed volumes"</formula>
    </cfRule>
  </conditionalFormatting>
  <conditionalFormatting sqref="J10">
    <cfRule type="cellIs" dxfId="1695" priority="11829" stopIfTrue="1" operator="notEqual">
      <formula>2</formula>
    </cfRule>
  </conditionalFormatting>
  <conditionalFormatting sqref="K10">
    <cfRule type="cellIs" dxfId="1694" priority="11830" stopIfTrue="1" operator="notEqual">
      <formula>6</formula>
    </cfRule>
  </conditionalFormatting>
  <conditionalFormatting sqref="L10">
    <cfRule type="cellIs" dxfId="1693" priority="11831" stopIfTrue="1" operator="notEqual">
      <formula>"yes"</formula>
    </cfRule>
  </conditionalFormatting>
  <conditionalFormatting sqref="M10">
    <cfRule type="expression" dxfId="1692" priority="11832" stopIfTrue="1">
      <formula>NOT(ISBLANK($M$10))</formula>
    </cfRule>
  </conditionalFormatting>
  <conditionalFormatting sqref="N10">
    <cfRule type="expression" dxfId="1691" priority="11833" stopIfTrue="1">
      <formula>NOT(ISBLANK($N$10))</formula>
    </cfRule>
  </conditionalFormatting>
  <conditionalFormatting sqref="O10">
    <cfRule type="expression" dxfId="1690" priority="11834" stopIfTrue="1">
      <formula>NOT(ISBLANK($O$10))</formula>
    </cfRule>
  </conditionalFormatting>
  <conditionalFormatting sqref="P10">
    <cfRule type="expression" dxfId="1689" priority="11835" stopIfTrue="1">
      <formula>NOT(ISBLANK($P$10))</formula>
    </cfRule>
  </conditionalFormatting>
  <conditionalFormatting sqref="Q10">
    <cfRule type="expression" dxfId="1688" priority="11836" stopIfTrue="1">
      <formula>NOT(ISBLANK($Q$10))</formula>
    </cfRule>
  </conditionalFormatting>
  <conditionalFormatting sqref="R10">
    <cfRule type="cellIs" dxfId="1687" priority="11837" stopIfTrue="1" operator="notEqual">
      <formula>"no holding tank"</formula>
    </cfRule>
  </conditionalFormatting>
  <conditionalFormatting sqref="S10">
    <cfRule type="cellIs" dxfId="1686" priority="11838" stopIfTrue="1" operator="notEqual">
      <formula>"POTW"</formula>
    </cfRule>
  </conditionalFormatting>
  <conditionalFormatting sqref="T10">
    <cfRule type="cellIs" dxfId="1685" priority="11839" stopIfTrue="1" operator="notEqual">
      <formula>"incineration (non-hazardous)"</formula>
    </cfRule>
  </conditionalFormatting>
  <conditionalFormatting sqref="U10">
    <cfRule type="expression" dxfId="1684" priority="11840" stopIfTrue="1">
      <formula>NOT(ISBLANK($U$10))</formula>
    </cfRule>
  </conditionalFormatting>
  <conditionalFormatting sqref="V10">
    <cfRule type="cellIs" dxfId="1683" priority="11841" stopIfTrue="1" operator="notEqual">
      <formula>0</formula>
    </cfRule>
  </conditionalFormatting>
  <conditionalFormatting sqref="W10">
    <cfRule type="expression" dxfId="1682" priority="11842" stopIfTrue="1">
      <formula>NOT(ISBLANK($W$10))</formula>
    </cfRule>
  </conditionalFormatting>
  <conditionalFormatting sqref="X10">
    <cfRule type="expression" dxfId="1681" priority="11843" stopIfTrue="1">
      <formula>NOT(ISBLANK($X$10))</formula>
    </cfRule>
  </conditionalFormatting>
  <conditionalFormatting sqref="Y10">
    <cfRule type="expression" dxfId="1680" priority="11844" stopIfTrue="1">
      <formula>NOT(ISBLANK($Y$10))</formula>
    </cfRule>
  </conditionalFormatting>
  <conditionalFormatting sqref="Z10">
    <cfRule type="expression" dxfId="1679" priority="11845" stopIfTrue="1">
      <formula>NOT(ISBLANK($Z$10))</formula>
    </cfRule>
  </conditionalFormatting>
  <conditionalFormatting sqref="AA10">
    <cfRule type="cellIs" dxfId="1678" priority="11846" stopIfTrue="1" operator="notEqual">
      <formula>"fully automated"</formula>
    </cfRule>
  </conditionalFormatting>
  <conditionalFormatting sqref="AB10">
    <cfRule type="expression" dxfId="1677" priority="11847" stopIfTrue="1">
      <formula>NOT(ISBLANK($AB$10))</formula>
    </cfRule>
  </conditionalFormatting>
  <conditionalFormatting sqref="AC10">
    <cfRule type="expression" dxfId="1676" priority="11848" stopIfTrue="1">
      <formula>NOT(ISBLANK($AC$10))</formula>
    </cfRule>
  </conditionalFormatting>
  <conditionalFormatting sqref="AD10">
    <cfRule type="expression" dxfId="1675" priority="11849" stopIfTrue="1">
      <formula>NOT(ISBLANK($AD$10))</formula>
    </cfRule>
  </conditionalFormatting>
  <conditionalFormatting sqref="AE10">
    <cfRule type="expression" dxfId="1674" priority="11850" stopIfTrue="1">
      <formula>NOT(ISBLANK($AE$10))</formula>
    </cfRule>
  </conditionalFormatting>
  <conditionalFormatting sqref="A11">
    <cfRule type="cellIs" dxfId="1673" priority="11851" stopIfTrue="1" operator="notEqual">
      <formula>1</formula>
    </cfRule>
  </conditionalFormatting>
  <conditionalFormatting sqref="B11">
    <cfRule type="cellIs" dxfId="1672" priority="11852" stopIfTrue="1" operator="notEqual">
      <formula>3</formula>
    </cfRule>
  </conditionalFormatting>
  <conditionalFormatting sqref="C11">
    <cfRule type="cellIs" dxfId="1671" priority="11853" stopIfTrue="1" operator="notEqual">
      <formula>0.305</formula>
    </cfRule>
  </conditionalFormatting>
  <conditionalFormatting sqref="D11">
    <cfRule type="cellIs" dxfId="1670" priority="11854" stopIfTrue="1" operator="notEqual">
      <formula>"MGD"</formula>
    </cfRule>
  </conditionalFormatting>
  <conditionalFormatting sqref="E11">
    <cfRule type="cellIs" dxfId="1669" priority="11855" stopIfTrue="1" operator="notEqual">
      <formula>0.094</formula>
    </cfRule>
  </conditionalFormatting>
  <conditionalFormatting sqref="F11">
    <cfRule type="cellIs" dxfId="1668" priority="11856" stopIfTrue="1" operator="notEqual">
      <formula>"MGD"</formula>
    </cfRule>
  </conditionalFormatting>
  <conditionalFormatting sqref="G11">
    <cfRule type="cellIs" dxfId="1667" priority="11857" stopIfTrue="1" operator="notEqual">
      <formula>"throwaway"</formula>
    </cfRule>
  </conditionalFormatting>
  <conditionalFormatting sqref="H11">
    <cfRule type="cellIs" dxfId="1666" priority="11858" stopIfTrue="1" operator="notEqual">
      <formula>240000</formula>
    </cfRule>
  </conditionalFormatting>
  <conditionalFormatting sqref="I11">
    <cfRule type="cellIs" dxfId="1665" priority="11859" stopIfTrue="1" operator="notEqual">
      <formula>"bed volumes"</formula>
    </cfRule>
  </conditionalFormatting>
  <conditionalFormatting sqref="J11">
    <cfRule type="cellIs" dxfId="1664" priority="11860" stopIfTrue="1" operator="notEqual">
      <formula>2</formula>
    </cfRule>
  </conditionalFormatting>
  <conditionalFormatting sqref="K11">
    <cfRule type="cellIs" dxfId="1663" priority="11861" stopIfTrue="1" operator="notEqual">
      <formula>6</formula>
    </cfRule>
  </conditionalFormatting>
  <conditionalFormatting sqref="L11">
    <cfRule type="cellIs" dxfId="1662" priority="11862" stopIfTrue="1" operator="notEqual">
      <formula>"yes"</formula>
    </cfRule>
  </conditionalFormatting>
  <conditionalFormatting sqref="M11">
    <cfRule type="expression" dxfId="1661" priority="11863" stopIfTrue="1">
      <formula>NOT(ISBLANK($M$11))</formula>
    </cfRule>
  </conditionalFormatting>
  <conditionalFormatting sqref="N11">
    <cfRule type="expression" dxfId="1660" priority="11864" stopIfTrue="1">
      <formula>NOT(ISBLANK($N$11))</formula>
    </cfRule>
  </conditionalFormatting>
  <conditionalFormatting sqref="O11">
    <cfRule type="expression" dxfId="1659" priority="11865" stopIfTrue="1">
      <formula>NOT(ISBLANK($O$11))</formula>
    </cfRule>
  </conditionalFormatting>
  <conditionalFormatting sqref="P11">
    <cfRule type="expression" dxfId="1658" priority="11866" stopIfTrue="1">
      <formula>NOT(ISBLANK($P$11))</formula>
    </cfRule>
  </conditionalFormatting>
  <conditionalFormatting sqref="Q11">
    <cfRule type="expression" dxfId="1657" priority="11867" stopIfTrue="1">
      <formula>NOT(ISBLANK($Q$11))</formula>
    </cfRule>
  </conditionalFormatting>
  <conditionalFormatting sqref="R11">
    <cfRule type="cellIs" dxfId="1656" priority="11868" stopIfTrue="1" operator="notEqual">
      <formula>"no holding tank"</formula>
    </cfRule>
  </conditionalFormatting>
  <conditionalFormatting sqref="S11">
    <cfRule type="cellIs" dxfId="1655" priority="11869" stopIfTrue="1" operator="notEqual">
      <formula>"POTW"</formula>
    </cfRule>
  </conditionalFormatting>
  <conditionalFormatting sqref="T11">
    <cfRule type="cellIs" dxfId="1654" priority="11870" stopIfTrue="1" operator="notEqual">
      <formula>"incineration (non-hazardous)"</formula>
    </cfRule>
  </conditionalFormatting>
  <conditionalFormatting sqref="U11">
    <cfRule type="expression" dxfId="1653" priority="11871" stopIfTrue="1">
      <formula>NOT(ISBLANK($U$11))</formula>
    </cfRule>
  </conditionalFormatting>
  <conditionalFormatting sqref="V11">
    <cfRule type="cellIs" dxfId="1652" priority="11872" stopIfTrue="1" operator="notEqual">
      <formula>0</formula>
    </cfRule>
  </conditionalFormatting>
  <conditionalFormatting sqref="W11">
    <cfRule type="expression" dxfId="1651" priority="11873" stopIfTrue="1">
      <formula>NOT(ISBLANK($W$11))</formula>
    </cfRule>
  </conditionalFormatting>
  <conditionalFormatting sqref="X11">
    <cfRule type="expression" dxfId="1650" priority="11874" stopIfTrue="1">
      <formula>NOT(ISBLANK($X$11))</formula>
    </cfRule>
  </conditionalFormatting>
  <conditionalFormatting sqref="Y11">
    <cfRule type="expression" dxfId="1649" priority="11875" stopIfTrue="1">
      <formula>NOT(ISBLANK($Y$11))</formula>
    </cfRule>
  </conditionalFormatting>
  <conditionalFormatting sqref="Z11">
    <cfRule type="expression" dxfId="1648" priority="11876" stopIfTrue="1">
      <formula>NOT(ISBLANK($Z$11))</formula>
    </cfRule>
  </conditionalFormatting>
  <conditionalFormatting sqref="AA11">
    <cfRule type="cellIs" dxfId="1647" priority="11877" stopIfTrue="1" operator="notEqual">
      <formula>"fully automated"</formula>
    </cfRule>
  </conditionalFormatting>
  <conditionalFormatting sqref="AB11">
    <cfRule type="expression" dxfId="1646" priority="11878" stopIfTrue="1">
      <formula>NOT(ISBLANK($AB$11))</formula>
    </cfRule>
  </conditionalFormatting>
  <conditionalFormatting sqref="AC11">
    <cfRule type="expression" dxfId="1645" priority="11879" stopIfTrue="1">
      <formula>NOT(ISBLANK($AC$11))</formula>
    </cfRule>
  </conditionalFormatting>
  <conditionalFormatting sqref="AD11">
    <cfRule type="expression" dxfId="1644" priority="11880" stopIfTrue="1">
      <formula>NOT(ISBLANK($AD$11))</formula>
    </cfRule>
  </conditionalFormatting>
  <conditionalFormatting sqref="AE11">
    <cfRule type="expression" dxfId="1643" priority="11881" stopIfTrue="1">
      <formula>NOT(ISBLANK($AE$11))</formula>
    </cfRule>
  </conditionalFormatting>
  <conditionalFormatting sqref="A12">
    <cfRule type="cellIs" dxfId="1642" priority="11882" stopIfTrue="1" operator="notEqual">
      <formula>1</formula>
    </cfRule>
  </conditionalFormatting>
  <conditionalFormatting sqref="B12">
    <cfRule type="cellIs" dxfId="1641" priority="11883" stopIfTrue="1" operator="notEqual">
      <formula>4</formula>
    </cfRule>
  </conditionalFormatting>
  <conditionalFormatting sqref="C12">
    <cfRule type="cellIs" dxfId="1640" priority="11884" stopIfTrue="1" operator="notEqual">
      <formula>0.74</formula>
    </cfRule>
  </conditionalFormatting>
  <conditionalFormatting sqref="D12">
    <cfRule type="cellIs" dxfId="1639" priority="11885" stopIfTrue="1" operator="notEqual">
      <formula>"MGD"</formula>
    </cfRule>
  </conditionalFormatting>
  <conditionalFormatting sqref="E12">
    <cfRule type="cellIs" dxfId="1638" priority="11886" stopIfTrue="1" operator="notEqual">
      <formula>0.251</formula>
    </cfRule>
  </conditionalFormatting>
  <conditionalFormatting sqref="F12">
    <cfRule type="cellIs" dxfId="1637" priority="11887" stopIfTrue="1" operator="notEqual">
      <formula>"MGD"</formula>
    </cfRule>
  </conditionalFormatting>
  <conditionalFormatting sqref="G12">
    <cfRule type="cellIs" dxfId="1636" priority="11888" stopIfTrue="1" operator="notEqual">
      <formula>"throwaway"</formula>
    </cfRule>
  </conditionalFormatting>
  <conditionalFormatting sqref="H12">
    <cfRule type="cellIs" dxfId="1635" priority="11889" stopIfTrue="1" operator="notEqual">
      <formula>240000</formula>
    </cfRule>
  </conditionalFormatting>
  <conditionalFormatting sqref="I12">
    <cfRule type="cellIs" dxfId="1634" priority="11890" stopIfTrue="1" operator="notEqual">
      <formula>"bed volumes"</formula>
    </cfRule>
  </conditionalFormatting>
  <conditionalFormatting sqref="J12">
    <cfRule type="cellIs" dxfId="1633" priority="11891" stopIfTrue="1" operator="notEqual">
      <formula>2</formula>
    </cfRule>
  </conditionalFormatting>
  <conditionalFormatting sqref="K12">
    <cfRule type="cellIs" dxfId="1632" priority="11892" stopIfTrue="1" operator="notEqual">
      <formula>6</formula>
    </cfRule>
  </conditionalFormatting>
  <conditionalFormatting sqref="L12">
    <cfRule type="cellIs" dxfId="1631" priority="11893" stopIfTrue="1" operator="notEqual">
      <formula>"yes"</formula>
    </cfRule>
  </conditionalFormatting>
  <conditionalFormatting sqref="M12">
    <cfRule type="expression" dxfId="1630" priority="11894" stopIfTrue="1">
      <formula>NOT(ISBLANK($M$12))</formula>
    </cfRule>
  </conditionalFormatting>
  <conditionalFormatting sqref="N12">
    <cfRule type="expression" dxfId="1629" priority="11895" stopIfTrue="1">
      <formula>NOT(ISBLANK($N$12))</formula>
    </cfRule>
  </conditionalFormatting>
  <conditionalFormatting sqref="O12">
    <cfRule type="expression" dxfId="1628" priority="11896" stopIfTrue="1">
      <formula>NOT(ISBLANK($O$12))</formula>
    </cfRule>
  </conditionalFormatting>
  <conditionalFormatting sqref="P12">
    <cfRule type="expression" dxfId="1627" priority="11897" stopIfTrue="1">
      <formula>NOT(ISBLANK($P$12))</formula>
    </cfRule>
  </conditionalFormatting>
  <conditionalFormatting sqref="Q12">
    <cfRule type="expression" dxfId="1626" priority="11898" stopIfTrue="1">
      <formula>NOT(ISBLANK($Q$12))</formula>
    </cfRule>
  </conditionalFormatting>
  <conditionalFormatting sqref="R12">
    <cfRule type="cellIs" dxfId="1625" priority="11899" stopIfTrue="1" operator="notEqual">
      <formula>"no holding tank"</formula>
    </cfRule>
  </conditionalFormatting>
  <conditionalFormatting sqref="S12">
    <cfRule type="cellIs" dxfId="1624" priority="11900" stopIfTrue="1" operator="notEqual">
      <formula>"POTW"</formula>
    </cfRule>
  </conditionalFormatting>
  <conditionalFormatting sqref="T12">
    <cfRule type="cellIs" dxfId="1623" priority="11901" stopIfTrue="1" operator="notEqual">
      <formula>"incineration (non-hazardous)"</formula>
    </cfRule>
  </conditionalFormatting>
  <conditionalFormatting sqref="U12">
    <cfRule type="expression" dxfId="1622" priority="11902" stopIfTrue="1">
      <formula>NOT(ISBLANK($U$12))</formula>
    </cfRule>
  </conditionalFormatting>
  <conditionalFormatting sqref="V12">
    <cfRule type="cellIs" dxfId="1621" priority="11903" stopIfTrue="1" operator="notEqual">
      <formula>0</formula>
    </cfRule>
  </conditionalFormatting>
  <conditionalFormatting sqref="W12">
    <cfRule type="expression" dxfId="1620" priority="11904" stopIfTrue="1">
      <formula>NOT(ISBLANK($W$12))</formula>
    </cfRule>
  </conditionalFormatting>
  <conditionalFormatting sqref="X12">
    <cfRule type="expression" dxfId="1619" priority="11905" stopIfTrue="1">
      <formula>NOT(ISBLANK($X$12))</formula>
    </cfRule>
  </conditionalFormatting>
  <conditionalFormatting sqref="Y12">
    <cfRule type="expression" dxfId="1618" priority="11906" stopIfTrue="1">
      <formula>NOT(ISBLANK($Y$12))</formula>
    </cfRule>
  </conditionalFormatting>
  <conditionalFormatting sqref="Z12">
    <cfRule type="expression" dxfId="1617" priority="11907" stopIfTrue="1">
      <formula>NOT(ISBLANK($Z$12))</formula>
    </cfRule>
  </conditionalFormatting>
  <conditionalFormatting sqref="AA12">
    <cfRule type="cellIs" dxfId="1616" priority="11908" stopIfTrue="1" operator="notEqual">
      <formula>"fully automated"</formula>
    </cfRule>
  </conditionalFormatting>
  <conditionalFormatting sqref="AB12">
    <cfRule type="expression" dxfId="1615" priority="11909" stopIfTrue="1">
      <formula>NOT(ISBLANK($AB$12))</formula>
    </cfRule>
  </conditionalFormatting>
  <conditionalFormatting sqref="AC12">
    <cfRule type="expression" dxfId="1614" priority="11910" stopIfTrue="1">
      <formula>NOT(ISBLANK($AC$12))</formula>
    </cfRule>
  </conditionalFormatting>
  <conditionalFormatting sqref="AD12">
    <cfRule type="expression" dxfId="1613" priority="11911" stopIfTrue="1">
      <formula>NOT(ISBLANK($AD$12))</formula>
    </cfRule>
  </conditionalFormatting>
  <conditionalFormatting sqref="AE12">
    <cfRule type="expression" dxfId="1612" priority="11912" stopIfTrue="1">
      <formula>NOT(ISBLANK($AE$12))</formula>
    </cfRule>
  </conditionalFormatting>
  <conditionalFormatting sqref="A13">
    <cfRule type="cellIs" dxfId="1611" priority="11913" stopIfTrue="1" operator="notEqual">
      <formula>1</formula>
    </cfRule>
  </conditionalFormatting>
  <conditionalFormatting sqref="B13">
    <cfRule type="cellIs" dxfId="1610" priority="11914" stopIfTrue="1" operator="notEqual">
      <formula>5</formula>
    </cfRule>
  </conditionalFormatting>
  <conditionalFormatting sqref="C13">
    <cfRule type="cellIs" dxfId="1609" priority="11915" stopIfTrue="1" operator="notEqual">
      <formula>2.152</formula>
    </cfRule>
  </conditionalFormatting>
  <conditionalFormatting sqref="D13">
    <cfRule type="cellIs" dxfId="1608" priority="11916" stopIfTrue="1" operator="notEqual">
      <formula>"MGD"</formula>
    </cfRule>
  </conditionalFormatting>
  <conditionalFormatting sqref="E13">
    <cfRule type="cellIs" dxfId="1607" priority="11917" stopIfTrue="1" operator="notEqual">
      <formula>0.819</formula>
    </cfRule>
  </conditionalFormatting>
  <conditionalFormatting sqref="F13">
    <cfRule type="cellIs" dxfId="1606" priority="11918" stopIfTrue="1" operator="notEqual">
      <formula>"MGD"</formula>
    </cfRule>
  </conditionalFormatting>
  <conditionalFormatting sqref="G13">
    <cfRule type="cellIs" dxfId="1605" priority="11919" stopIfTrue="1" operator="notEqual">
      <formula>"throwaway"</formula>
    </cfRule>
  </conditionalFormatting>
  <conditionalFormatting sqref="H13">
    <cfRule type="cellIs" dxfId="1604" priority="11920" stopIfTrue="1" operator="notEqual">
      <formula>240000</formula>
    </cfRule>
  </conditionalFormatting>
  <conditionalFormatting sqref="I13">
    <cfRule type="cellIs" dxfId="1603" priority="11921" stopIfTrue="1" operator="notEqual">
      <formula>"bed volumes"</formula>
    </cfRule>
  </conditionalFormatting>
  <conditionalFormatting sqref="J13">
    <cfRule type="cellIs" dxfId="1602" priority="11922" stopIfTrue="1" operator="notEqual">
      <formula>2</formula>
    </cfRule>
  </conditionalFormatting>
  <conditionalFormatting sqref="K13">
    <cfRule type="cellIs" dxfId="1601" priority="11923" stopIfTrue="1" operator="notEqual">
      <formula>6</formula>
    </cfRule>
  </conditionalFormatting>
  <conditionalFormatting sqref="L13">
    <cfRule type="cellIs" dxfId="1600" priority="11924" stopIfTrue="1" operator="notEqual">
      <formula>"yes"</formula>
    </cfRule>
  </conditionalFormatting>
  <conditionalFormatting sqref="M13">
    <cfRule type="expression" dxfId="1599" priority="11925" stopIfTrue="1">
      <formula>NOT(ISBLANK($M$13))</formula>
    </cfRule>
  </conditionalFormatting>
  <conditionalFormatting sqref="N13">
    <cfRule type="expression" dxfId="1598" priority="11926" stopIfTrue="1">
      <formula>NOT(ISBLANK($N$13))</formula>
    </cfRule>
  </conditionalFormatting>
  <conditionalFormatting sqref="O13">
    <cfRule type="expression" dxfId="1597" priority="11927" stopIfTrue="1">
      <formula>NOT(ISBLANK($O$13))</formula>
    </cfRule>
  </conditionalFormatting>
  <conditionalFormatting sqref="P13">
    <cfRule type="expression" dxfId="1596" priority="11928" stopIfTrue="1">
      <formula>NOT(ISBLANK($P$13))</formula>
    </cfRule>
  </conditionalFormatting>
  <conditionalFormatting sqref="Q13">
    <cfRule type="expression" dxfId="1595" priority="11929" stopIfTrue="1">
      <formula>NOT(ISBLANK($Q$13))</formula>
    </cfRule>
  </conditionalFormatting>
  <conditionalFormatting sqref="R13">
    <cfRule type="cellIs" dxfId="1594" priority="11930" stopIfTrue="1" operator="notEqual">
      <formula>"no holding tank"</formula>
    </cfRule>
  </conditionalFormatting>
  <conditionalFormatting sqref="S13">
    <cfRule type="cellIs" dxfId="1593" priority="11931" stopIfTrue="1" operator="notEqual">
      <formula>"POTW"</formula>
    </cfRule>
  </conditionalFormatting>
  <conditionalFormatting sqref="T13">
    <cfRule type="cellIs" dxfId="1592" priority="11932" stopIfTrue="1" operator="notEqual">
      <formula>"incineration (non-hazardous)"</formula>
    </cfRule>
  </conditionalFormatting>
  <conditionalFormatting sqref="U13">
    <cfRule type="expression" dxfId="1591" priority="11933" stopIfTrue="1">
      <formula>NOT(ISBLANK($U$13))</formula>
    </cfRule>
  </conditionalFormatting>
  <conditionalFormatting sqref="V13">
    <cfRule type="cellIs" dxfId="1590" priority="11934" stopIfTrue="1" operator="notEqual">
      <formula>0</formula>
    </cfRule>
  </conditionalFormatting>
  <conditionalFormatting sqref="W13">
    <cfRule type="expression" dxfId="1589" priority="11935" stopIfTrue="1">
      <formula>NOT(ISBLANK($W$13))</formula>
    </cfRule>
  </conditionalFormatting>
  <conditionalFormatting sqref="X13">
    <cfRule type="expression" dxfId="1588" priority="11936" stopIfTrue="1">
      <formula>NOT(ISBLANK($X$13))</formula>
    </cfRule>
  </conditionalFormatting>
  <conditionalFormatting sqref="Y13">
    <cfRule type="expression" dxfId="1587" priority="11937" stopIfTrue="1">
      <formula>NOT(ISBLANK($Y$13))</formula>
    </cfRule>
  </conditionalFormatting>
  <conditionalFormatting sqref="Z13">
    <cfRule type="expression" dxfId="1586" priority="11938" stopIfTrue="1">
      <formula>NOT(ISBLANK($Z$13))</formula>
    </cfRule>
  </conditionalFormatting>
  <conditionalFormatting sqref="AA13">
    <cfRule type="cellIs" dxfId="1585" priority="11939" stopIfTrue="1" operator="notEqual">
      <formula>"fully automated"</formula>
    </cfRule>
  </conditionalFormatting>
  <conditionalFormatting sqref="AB13">
    <cfRule type="expression" dxfId="1584" priority="11940" stopIfTrue="1">
      <formula>NOT(ISBLANK($AB$13))</formula>
    </cfRule>
  </conditionalFormatting>
  <conditionalFormatting sqref="AC13">
    <cfRule type="expression" dxfId="1583" priority="11941" stopIfTrue="1">
      <formula>NOT(ISBLANK($AC$13))</formula>
    </cfRule>
  </conditionalFormatting>
  <conditionalFormatting sqref="AD13">
    <cfRule type="expression" dxfId="1582" priority="11942" stopIfTrue="1">
      <formula>NOT(ISBLANK($AD$13))</formula>
    </cfRule>
  </conditionalFormatting>
  <conditionalFormatting sqref="AE13">
    <cfRule type="expression" dxfId="1581" priority="11943" stopIfTrue="1">
      <formula>NOT(ISBLANK($AE$13))</formula>
    </cfRule>
  </conditionalFormatting>
  <conditionalFormatting sqref="A14">
    <cfRule type="cellIs" dxfId="1580" priority="11944" stopIfTrue="1" operator="notEqual">
      <formula>1</formula>
    </cfRule>
  </conditionalFormatting>
  <conditionalFormatting sqref="B14">
    <cfRule type="cellIs" dxfId="1579" priority="11945" stopIfTrue="1" operator="notEqual">
      <formula>6</formula>
    </cfRule>
  </conditionalFormatting>
  <conditionalFormatting sqref="C14">
    <cfRule type="cellIs" dxfId="1578" priority="11946" stopIfTrue="1" operator="notEqual">
      <formula>7.365</formula>
    </cfRule>
  </conditionalFormatting>
  <conditionalFormatting sqref="D14">
    <cfRule type="cellIs" dxfId="1577" priority="11947" stopIfTrue="1" operator="notEqual">
      <formula>"MGD"</formula>
    </cfRule>
  </conditionalFormatting>
  <conditionalFormatting sqref="E14">
    <cfRule type="cellIs" dxfId="1576" priority="11948" stopIfTrue="1" operator="notEqual">
      <formula>3.2</formula>
    </cfRule>
  </conditionalFormatting>
  <conditionalFormatting sqref="F14">
    <cfRule type="cellIs" dxfId="1575" priority="11949" stopIfTrue="1" operator="notEqual">
      <formula>"MGD"</formula>
    </cfRule>
  </conditionalFormatting>
  <conditionalFormatting sqref="G14">
    <cfRule type="cellIs" dxfId="1574" priority="11950" stopIfTrue="1" operator="notEqual">
      <formula>"throwaway"</formula>
    </cfRule>
  </conditionalFormatting>
  <conditionalFormatting sqref="H14">
    <cfRule type="cellIs" dxfId="1573" priority="11951" stopIfTrue="1" operator="notEqual">
      <formula>240000</formula>
    </cfRule>
  </conditionalFormatting>
  <conditionalFormatting sqref="I14">
    <cfRule type="cellIs" dxfId="1572" priority="11952" stopIfTrue="1" operator="notEqual">
      <formula>"bed volumes"</formula>
    </cfRule>
  </conditionalFormatting>
  <conditionalFormatting sqref="J14">
    <cfRule type="cellIs" dxfId="1571" priority="11953" stopIfTrue="1" operator="notEqual">
      <formula>2</formula>
    </cfRule>
  </conditionalFormatting>
  <conditionalFormatting sqref="K14">
    <cfRule type="cellIs" dxfId="1570" priority="11954" stopIfTrue="1" operator="notEqual">
      <formula>6</formula>
    </cfRule>
  </conditionalFormatting>
  <conditionalFormatting sqref="L14">
    <cfRule type="cellIs" dxfId="1569" priority="11955" stopIfTrue="1" operator="notEqual">
      <formula>"yes"</formula>
    </cfRule>
  </conditionalFormatting>
  <conditionalFormatting sqref="M14">
    <cfRule type="expression" dxfId="1568" priority="11956" stopIfTrue="1">
      <formula>NOT(ISBLANK($M$14))</formula>
    </cfRule>
  </conditionalFormatting>
  <conditionalFormatting sqref="N14">
    <cfRule type="expression" dxfId="1567" priority="11957" stopIfTrue="1">
      <formula>NOT(ISBLANK($N$14))</formula>
    </cfRule>
  </conditionalFormatting>
  <conditionalFormatting sqref="O14">
    <cfRule type="expression" dxfId="1566" priority="11958" stopIfTrue="1">
      <formula>NOT(ISBLANK($O$14))</formula>
    </cfRule>
  </conditionalFormatting>
  <conditionalFormatting sqref="P14">
    <cfRule type="expression" dxfId="1565" priority="11959" stopIfTrue="1">
      <formula>NOT(ISBLANK($P$14))</formula>
    </cfRule>
  </conditionalFormatting>
  <conditionalFormatting sqref="Q14">
    <cfRule type="expression" dxfId="1564" priority="11960" stopIfTrue="1">
      <formula>NOT(ISBLANK($Q$14))</formula>
    </cfRule>
  </conditionalFormatting>
  <conditionalFormatting sqref="R14">
    <cfRule type="cellIs" dxfId="1563" priority="11961" stopIfTrue="1" operator="notEqual">
      <formula>"no holding tank"</formula>
    </cfRule>
  </conditionalFormatting>
  <conditionalFormatting sqref="S14">
    <cfRule type="cellIs" dxfId="1562" priority="11962" stopIfTrue="1" operator="notEqual">
      <formula>"POTW"</formula>
    </cfRule>
  </conditionalFormatting>
  <conditionalFormatting sqref="T14">
    <cfRule type="cellIs" dxfId="1561" priority="11963" stopIfTrue="1" operator="notEqual">
      <formula>"incineration (non-hazardous)"</formula>
    </cfRule>
  </conditionalFormatting>
  <conditionalFormatting sqref="U14">
    <cfRule type="expression" dxfId="1560" priority="11964" stopIfTrue="1">
      <formula>NOT(ISBLANK($U$14))</formula>
    </cfRule>
  </conditionalFormatting>
  <conditionalFormatting sqref="V14">
    <cfRule type="cellIs" dxfId="1559" priority="11965" stopIfTrue="1" operator="notEqual">
      <formula>0</formula>
    </cfRule>
  </conditionalFormatting>
  <conditionalFormatting sqref="W14">
    <cfRule type="expression" dxfId="1558" priority="11966" stopIfTrue="1">
      <formula>NOT(ISBLANK($W$14))</formula>
    </cfRule>
  </conditionalFormatting>
  <conditionalFormatting sqref="X14">
    <cfRule type="expression" dxfId="1557" priority="11967" stopIfTrue="1">
      <formula>NOT(ISBLANK($X$14))</formula>
    </cfRule>
  </conditionalFormatting>
  <conditionalFormatting sqref="Y14">
    <cfRule type="expression" dxfId="1556" priority="11968" stopIfTrue="1">
      <formula>NOT(ISBLANK($Y$14))</formula>
    </cfRule>
  </conditionalFormatting>
  <conditionalFormatting sqref="Z14">
    <cfRule type="expression" dxfId="1555" priority="11969" stopIfTrue="1">
      <formula>NOT(ISBLANK($Z$14))</formula>
    </cfRule>
  </conditionalFormatting>
  <conditionalFormatting sqref="AA14">
    <cfRule type="cellIs" dxfId="1554" priority="11970" stopIfTrue="1" operator="notEqual">
      <formula>"fully automated"</formula>
    </cfRule>
  </conditionalFormatting>
  <conditionalFormatting sqref="AB14">
    <cfRule type="expression" dxfId="1553" priority="11971" stopIfTrue="1">
      <formula>NOT(ISBLANK($AB$14))</formula>
    </cfRule>
  </conditionalFormatting>
  <conditionalFormatting sqref="AC14">
    <cfRule type="expression" dxfId="1552" priority="11972" stopIfTrue="1">
      <formula>NOT(ISBLANK($AC$14))</formula>
    </cfRule>
  </conditionalFormatting>
  <conditionalFormatting sqref="AD14">
    <cfRule type="expression" dxfId="1551" priority="11973" stopIfTrue="1">
      <formula>NOT(ISBLANK($AD$14))</formula>
    </cfRule>
  </conditionalFormatting>
  <conditionalFormatting sqref="AE14">
    <cfRule type="expression" dxfId="1550" priority="11974" stopIfTrue="1">
      <formula>NOT(ISBLANK($AE$14))</formula>
    </cfRule>
  </conditionalFormatting>
  <conditionalFormatting sqref="A15">
    <cfRule type="cellIs" dxfId="1549" priority="11975" stopIfTrue="1" operator="notEqual">
      <formula>1</formula>
    </cfRule>
  </conditionalFormatting>
  <conditionalFormatting sqref="B15">
    <cfRule type="cellIs" dxfId="1548" priority="11976" stopIfTrue="1" operator="notEqual">
      <formula>7</formula>
    </cfRule>
  </conditionalFormatting>
  <conditionalFormatting sqref="C15">
    <cfRule type="cellIs" dxfId="1547" priority="11977" stopIfTrue="1" operator="notEqual">
      <formula>22.614</formula>
    </cfRule>
  </conditionalFormatting>
  <conditionalFormatting sqref="D15">
    <cfRule type="cellIs" dxfId="1546" priority="11978" stopIfTrue="1" operator="notEqual">
      <formula>"MGD"</formula>
    </cfRule>
  </conditionalFormatting>
  <conditionalFormatting sqref="E15">
    <cfRule type="cellIs" dxfId="1545" priority="11979" stopIfTrue="1" operator="notEqual">
      <formula>11.066</formula>
    </cfRule>
  </conditionalFormatting>
  <conditionalFormatting sqref="F15">
    <cfRule type="cellIs" dxfId="1544" priority="11980" stopIfTrue="1" operator="notEqual">
      <formula>"MGD"</formula>
    </cfRule>
  </conditionalFormatting>
  <conditionalFormatting sqref="G15">
    <cfRule type="cellIs" dxfId="1543" priority="11981" stopIfTrue="1" operator="notEqual">
      <formula>"throwaway"</formula>
    </cfRule>
  </conditionalFormatting>
  <conditionalFormatting sqref="H15">
    <cfRule type="cellIs" dxfId="1542" priority="11982" stopIfTrue="1" operator="notEqual">
      <formula>240000</formula>
    </cfRule>
  </conditionalFormatting>
  <conditionalFormatting sqref="I15">
    <cfRule type="cellIs" dxfId="1541" priority="11983" stopIfTrue="1" operator="notEqual">
      <formula>"bed volumes"</formula>
    </cfRule>
  </conditionalFormatting>
  <conditionalFormatting sqref="J15">
    <cfRule type="cellIs" dxfId="1540" priority="11984" stopIfTrue="1" operator="notEqual">
      <formula>2</formula>
    </cfRule>
  </conditionalFormatting>
  <conditionalFormatting sqref="K15">
    <cfRule type="cellIs" dxfId="1539" priority="11985" stopIfTrue="1" operator="notEqual">
      <formula>6</formula>
    </cfRule>
  </conditionalFormatting>
  <conditionalFormatting sqref="L15">
    <cfRule type="cellIs" dxfId="1538" priority="11986" stopIfTrue="1" operator="notEqual">
      <formula>"yes"</formula>
    </cfRule>
  </conditionalFormatting>
  <conditionalFormatting sqref="M15">
    <cfRule type="expression" dxfId="1537" priority="11987" stopIfTrue="1">
      <formula>NOT(ISBLANK($M$15))</formula>
    </cfRule>
  </conditionalFormatting>
  <conditionalFormatting sqref="N15">
    <cfRule type="expression" dxfId="1536" priority="11988" stopIfTrue="1">
      <formula>NOT(ISBLANK($N$15))</formula>
    </cfRule>
  </conditionalFormatting>
  <conditionalFormatting sqref="O15">
    <cfRule type="expression" dxfId="1535" priority="11989" stopIfTrue="1">
      <formula>NOT(ISBLANK($O$15))</formula>
    </cfRule>
  </conditionalFormatting>
  <conditionalFormatting sqref="P15">
    <cfRule type="expression" dxfId="1534" priority="11990" stopIfTrue="1">
      <formula>NOT(ISBLANK($P$15))</formula>
    </cfRule>
  </conditionalFormatting>
  <conditionalFormatting sqref="Q15">
    <cfRule type="expression" dxfId="1533" priority="11991" stopIfTrue="1">
      <formula>NOT(ISBLANK($Q$15))</formula>
    </cfRule>
  </conditionalFormatting>
  <conditionalFormatting sqref="R15">
    <cfRule type="cellIs" dxfId="1532" priority="11992" stopIfTrue="1" operator="notEqual">
      <formula>"no holding tank"</formula>
    </cfRule>
  </conditionalFormatting>
  <conditionalFormatting sqref="S15">
    <cfRule type="cellIs" dxfId="1531" priority="11993" stopIfTrue="1" operator="notEqual">
      <formula>"POTW"</formula>
    </cfRule>
  </conditionalFormatting>
  <conditionalFormatting sqref="T15">
    <cfRule type="cellIs" dxfId="1530" priority="11994" stopIfTrue="1" operator="notEqual">
      <formula>"incineration (non-hazardous)"</formula>
    </cfRule>
  </conditionalFormatting>
  <conditionalFormatting sqref="U15">
    <cfRule type="expression" dxfId="1529" priority="11995" stopIfTrue="1">
      <formula>NOT(ISBLANK($U$15))</formula>
    </cfRule>
  </conditionalFormatting>
  <conditionalFormatting sqref="V15">
    <cfRule type="cellIs" dxfId="1528" priority="11996" stopIfTrue="1" operator="notEqual">
      <formula>0</formula>
    </cfRule>
  </conditionalFormatting>
  <conditionalFormatting sqref="W15">
    <cfRule type="expression" dxfId="1527" priority="11997" stopIfTrue="1">
      <formula>NOT(ISBLANK($W$15))</formula>
    </cfRule>
  </conditionalFormatting>
  <conditionalFormatting sqref="X15">
    <cfRule type="expression" dxfId="1526" priority="11998" stopIfTrue="1">
      <formula>NOT(ISBLANK($X$15))</formula>
    </cfRule>
  </conditionalFormatting>
  <conditionalFormatting sqref="Y15">
    <cfRule type="expression" dxfId="1525" priority="11999" stopIfTrue="1">
      <formula>NOT(ISBLANK($Y$15))</formula>
    </cfRule>
  </conditionalFormatting>
  <conditionalFormatting sqref="Z15">
    <cfRule type="expression" dxfId="1524" priority="12000" stopIfTrue="1">
      <formula>NOT(ISBLANK($Z$15))</formula>
    </cfRule>
  </conditionalFormatting>
  <conditionalFormatting sqref="AA15">
    <cfRule type="cellIs" dxfId="1523" priority="12001" stopIfTrue="1" operator="notEqual">
      <formula>"fully automated"</formula>
    </cfRule>
  </conditionalFormatting>
  <conditionalFormatting sqref="AB15">
    <cfRule type="expression" dxfId="1522" priority="12002" stopIfTrue="1">
      <formula>NOT(ISBLANK($AB$15))</formula>
    </cfRule>
  </conditionalFormatting>
  <conditionalFormatting sqref="AC15">
    <cfRule type="expression" dxfId="1521" priority="12003" stopIfTrue="1">
      <formula>NOT(ISBLANK($AC$15))</formula>
    </cfRule>
  </conditionalFormatting>
  <conditionalFormatting sqref="AD15">
    <cfRule type="expression" dxfId="1520" priority="12004" stopIfTrue="1">
      <formula>NOT(ISBLANK($AD$15))</formula>
    </cfRule>
  </conditionalFormatting>
  <conditionalFormatting sqref="AE15">
    <cfRule type="expression" dxfId="1519" priority="12005" stopIfTrue="1">
      <formula>NOT(ISBLANK($AE$15))</formula>
    </cfRule>
  </conditionalFormatting>
  <conditionalFormatting sqref="A16">
    <cfRule type="cellIs" dxfId="1518" priority="12006" stopIfTrue="1" operator="notEqual">
      <formula>1</formula>
    </cfRule>
  </conditionalFormatting>
  <conditionalFormatting sqref="B16">
    <cfRule type="cellIs" dxfId="1517" priority="12007" stopIfTrue="1" operator="notEqual">
      <formula>8</formula>
    </cfRule>
  </conditionalFormatting>
  <conditionalFormatting sqref="C16">
    <cfRule type="cellIs" dxfId="1516" priority="12008" stopIfTrue="1" operator="notEqual">
      <formula>75.072</formula>
    </cfRule>
  </conditionalFormatting>
  <conditionalFormatting sqref="D16">
    <cfRule type="cellIs" dxfId="1515" priority="12009" stopIfTrue="1" operator="notEqual">
      <formula>"MGD"</formula>
    </cfRule>
  </conditionalFormatting>
  <conditionalFormatting sqref="E16">
    <cfRule type="cellIs" dxfId="1514" priority="12010" stopIfTrue="1" operator="notEqual">
      <formula>37.536</formula>
    </cfRule>
  </conditionalFormatting>
  <conditionalFormatting sqref="F16">
    <cfRule type="cellIs" dxfId="1513" priority="12011" stopIfTrue="1" operator="notEqual">
      <formula>"MGD"</formula>
    </cfRule>
  </conditionalFormatting>
  <conditionalFormatting sqref="G16">
    <cfRule type="cellIs" dxfId="1512" priority="12012" stopIfTrue="1" operator="notEqual">
      <formula>"throwaway"</formula>
    </cfRule>
  </conditionalFormatting>
  <conditionalFormatting sqref="H16">
    <cfRule type="cellIs" dxfId="1511" priority="12013" stopIfTrue="1" operator="notEqual">
      <formula>240000</formula>
    </cfRule>
  </conditionalFormatting>
  <conditionalFormatting sqref="I16">
    <cfRule type="cellIs" dxfId="1510" priority="12014" stopIfTrue="1" operator="notEqual">
      <formula>"bed volumes"</formula>
    </cfRule>
  </conditionalFormatting>
  <conditionalFormatting sqref="J16">
    <cfRule type="cellIs" dxfId="1509" priority="12015" stopIfTrue="1" operator="notEqual">
      <formula>2</formula>
    </cfRule>
  </conditionalFormatting>
  <conditionalFormatting sqref="K16">
    <cfRule type="cellIs" dxfId="1508" priority="12016" stopIfTrue="1" operator="notEqual">
      <formula>6</formula>
    </cfRule>
  </conditionalFormatting>
  <conditionalFormatting sqref="L16">
    <cfRule type="cellIs" dxfId="1507" priority="12017" stopIfTrue="1" operator="notEqual">
      <formula>"yes"</formula>
    </cfRule>
  </conditionalFormatting>
  <conditionalFormatting sqref="M16">
    <cfRule type="expression" dxfId="1506" priority="12018" stopIfTrue="1">
      <formula>NOT(ISBLANK($M$16))</formula>
    </cfRule>
  </conditionalFormatting>
  <conditionalFormatting sqref="N16">
    <cfRule type="expression" dxfId="1505" priority="12019" stopIfTrue="1">
      <formula>NOT(ISBLANK($N$16))</formula>
    </cfRule>
  </conditionalFormatting>
  <conditionalFormatting sqref="O16">
    <cfRule type="expression" dxfId="1504" priority="12020" stopIfTrue="1">
      <formula>NOT(ISBLANK($O$16))</formula>
    </cfRule>
  </conditionalFormatting>
  <conditionalFormatting sqref="P16">
    <cfRule type="expression" dxfId="1503" priority="12021" stopIfTrue="1">
      <formula>NOT(ISBLANK($P$16))</formula>
    </cfRule>
  </conditionalFormatting>
  <conditionalFormatting sqref="Q16">
    <cfRule type="expression" dxfId="1502" priority="12022" stopIfTrue="1">
      <formula>NOT(ISBLANK($Q$16))</formula>
    </cfRule>
  </conditionalFormatting>
  <conditionalFormatting sqref="R16">
    <cfRule type="cellIs" dxfId="1501" priority="12023" stopIfTrue="1" operator="notEqual">
      <formula>"no holding tank"</formula>
    </cfRule>
  </conditionalFormatting>
  <conditionalFormatting sqref="S16">
    <cfRule type="cellIs" dxfId="1500" priority="12024" stopIfTrue="1" operator="notEqual">
      <formula>"POTW"</formula>
    </cfRule>
  </conditionalFormatting>
  <conditionalFormatting sqref="T16">
    <cfRule type="cellIs" dxfId="1499" priority="12025" stopIfTrue="1" operator="notEqual">
      <formula>"incineration (non-hazardous)"</formula>
    </cfRule>
  </conditionalFormatting>
  <conditionalFormatting sqref="U16">
    <cfRule type="expression" dxfId="1498" priority="12026" stopIfTrue="1">
      <formula>NOT(ISBLANK($U$16))</formula>
    </cfRule>
  </conditionalFormatting>
  <conditionalFormatting sqref="V16">
    <cfRule type="cellIs" dxfId="1497" priority="12027" stopIfTrue="1" operator="notEqual">
      <formula>0</formula>
    </cfRule>
  </conditionalFormatting>
  <conditionalFormatting sqref="W16">
    <cfRule type="expression" dxfId="1496" priority="12028" stopIfTrue="1">
      <formula>NOT(ISBLANK($W$16))</formula>
    </cfRule>
  </conditionalFormatting>
  <conditionalFormatting sqref="X16">
    <cfRule type="expression" dxfId="1495" priority="12029" stopIfTrue="1">
      <formula>NOT(ISBLANK($X$16))</formula>
    </cfRule>
  </conditionalFormatting>
  <conditionalFormatting sqref="Y16">
    <cfRule type="expression" dxfId="1494" priority="12030" stopIfTrue="1">
      <formula>NOT(ISBLANK($Y$16))</formula>
    </cfRule>
  </conditionalFormatting>
  <conditionalFormatting sqref="Z16">
    <cfRule type="expression" dxfId="1493" priority="12031" stopIfTrue="1">
      <formula>NOT(ISBLANK($Z$16))</formula>
    </cfRule>
  </conditionalFormatting>
  <conditionalFormatting sqref="AA16">
    <cfRule type="cellIs" dxfId="1492" priority="12032" stopIfTrue="1" operator="notEqual">
      <formula>"fully automated"</formula>
    </cfRule>
  </conditionalFormatting>
  <conditionalFormatting sqref="AB16">
    <cfRule type="expression" dxfId="1491" priority="12033" stopIfTrue="1">
      <formula>NOT(ISBLANK($AB$16))</formula>
    </cfRule>
  </conditionalFormatting>
  <conditionalFormatting sqref="AC16">
    <cfRule type="expression" dxfId="1490" priority="12034" stopIfTrue="1">
      <formula>NOT(ISBLANK($AC$16))</formula>
    </cfRule>
  </conditionalFormatting>
  <conditionalFormatting sqref="AD16">
    <cfRule type="expression" dxfId="1489" priority="12035" stopIfTrue="1">
      <formula>NOT(ISBLANK($AD$16))</formula>
    </cfRule>
  </conditionalFormatting>
  <conditionalFormatting sqref="AE16">
    <cfRule type="expression" dxfId="1488" priority="12036" stopIfTrue="1">
      <formula>NOT(ISBLANK($AE$16))</formula>
    </cfRule>
  </conditionalFormatting>
  <conditionalFormatting sqref="A17">
    <cfRule type="cellIs" dxfId="1487" priority="12037" stopIfTrue="1" operator="notEqual">
      <formula>2</formula>
    </cfRule>
  </conditionalFormatting>
  <conditionalFormatting sqref="B17">
    <cfRule type="cellIs" dxfId="1486" priority="12038" stopIfTrue="1" operator="notEqual">
      <formula>1</formula>
    </cfRule>
  </conditionalFormatting>
  <conditionalFormatting sqref="C17">
    <cfRule type="cellIs" dxfId="1485" priority="12039" stopIfTrue="1" operator="notEqual">
      <formula>0.03</formula>
    </cfRule>
  </conditionalFormatting>
  <conditionalFormatting sqref="D17">
    <cfRule type="cellIs" dxfId="1484" priority="12040" stopIfTrue="1" operator="notEqual">
      <formula>"MGD"</formula>
    </cfRule>
  </conditionalFormatting>
  <conditionalFormatting sqref="E17">
    <cfRule type="cellIs" dxfId="1483" priority="12041" stopIfTrue="1" operator="notEqual">
      <formula>0.007</formula>
    </cfRule>
  </conditionalFormatting>
  <conditionalFormatting sqref="F17">
    <cfRule type="cellIs" dxfId="1482" priority="12042" stopIfTrue="1" operator="notEqual">
      <formula>"MGD"</formula>
    </cfRule>
  </conditionalFormatting>
  <conditionalFormatting sqref="G17">
    <cfRule type="cellIs" dxfId="1481" priority="12043" stopIfTrue="1" operator="notEqual">
      <formula>"throwaway"</formula>
    </cfRule>
  </conditionalFormatting>
  <conditionalFormatting sqref="H17">
    <cfRule type="cellIs" dxfId="1480" priority="12044" stopIfTrue="1" operator="notEqual">
      <formula>240000</formula>
    </cfRule>
  </conditionalFormatting>
  <conditionalFormatting sqref="I17">
    <cfRule type="cellIs" dxfId="1479" priority="12045" stopIfTrue="1" operator="notEqual">
      <formula>"bed volumes"</formula>
    </cfRule>
  </conditionalFormatting>
  <conditionalFormatting sqref="J17">
    <cfRule type="cellIs" dxfId="1478" priority="12046" stopIfTrue="1" operator="notEqual">
      <formula>2</formula>
    </cfRule>
  </conditionalFormatting>
  <conditionalFormatting sqref="K17">
    <cfRule type="cellIs" dxfId="1477" priority="12047" stopIfTrue="1" operator="notEqual">
      <formula>6</formula>
    </cfRule>
  </conditionalFormatting>
  <conditionalFormatting sqref="L17">
    <cfRule type="cellIs" dxfId="1476" priority="12048" stopIfTrue="1" operator="notEqual">
      <formula>"yes"</formula>
    </cfRule>
  </conditionalFormatting>
  <conditionalFormatting sqref="M17">
    <cfRule type="expression" dxfId="1475" priority="12049" stopIfTrue="1">
      <formula>NOT(ISBLANK($M$17))</formula>
    </cfRule>
  </conditionalFormatting>
  <conditionalFormatting sqref="N17">
    <cfRule type="expression" dxfId="1474" priority="12050" stopIfTrue="1">
      <formula>NOT(ISBLANK($N$17))</formula>
    </cfRule>
  </conditionalFormatting>
  <conditionalFormatting sqref="O17">
    <cfRule type="expression" dxfId="1473" priority="12051" stopIfTrue="1">
      <formula>NOT(ISBLANK($O$17))</formula>
    </cfRule>
  </conditionalFormatting>
  <conditionalFormatting sqref="P17">
    <cfRule type="expression" dxfId="1472" priority="12052" stopIfTrue="1">
      <formula>NOT(ISBLANK($P$17))</formula>
    </cfRule>
  </conditionalFormatting>
  <conditionalFormatting sqref="Q17">
    <cfRule type="expression" dxfId="1471" priority="12053" stopIfTrue="1">
      <formula>NOT(ISBLANK($Q$17))</formula>
    </cfRule>
  </conditionalFormatting>
  <conditionalFormatting sqref="R17">
    <cfRule type="cellIs" dxfId="1470" priority="12054" stopIfTrue="1" operator="notEqual">
      <formula>"no holding tank"</formula>
    </cfRule>
  </conditionalFormatting>
  <conditionalFormatting sqref="S17">
    <cfRule type="cellIs" dxfId="1469" priority="12055" stopIfTrue="1" operator="notEqual">
      <formula>"POTW"</formula>
    </cfRule>
  </conditionalFormatting>
  <conditionalFormatting sqref="T17">
    <cfRule type="cellIs" dxfId="1468" priority="12056" stopIfTrue="1" operator="notEqual">
      <formula>"incineration (non-hazardous)"</formula>
    </cfRule>
  </conditionalFormatting>
  <conditionalFormatting sqref="U17">
    <cfRule type="expression" dxfId="1467" priority="12057" stopIfTrue="1">
      <formula>NOT(ISBLANK($U$17))</formula>
    </cfRule>
  </conditionalFormatting>
  <conditionalFormatting sqref="V17">
    <cfRule type="cellIs" dxfId="1466" priority="12058" stopIfTrue="1" operator="notEqual">
      <formula>0</formula>
    </cfRule>
  </conditionalFormatting>
  <conditionalFormatting sqref="W17">
    <cfRule type="expression" dxfId="1465" priority="12059" stopIfTrue="1">
      <formula>NOT(ISBLANK($W$17))</formula>
    </cfRule>
  </conditionalFormatting>
  <conditionalFormatting sqref="X17">
    <cfRule type="expression" dxfId="1464" priority="12060" stopIfTrue="1">
      <formula>NOT(ISBLANK($X$17))</formula>
    </cfRule>
  </conditionalFormatting>
  <conditionalFormatting sqref="Y17">
    <cfRule type="expression" dxfId="1463" priority="12061" stopIfTrue="1">
      <formula>NOT(ISBLANK($Y$17))</formula>
    </cfRule>
  </conditionalFormatting>
  <conditionalFormatting sqref="Z17">
    <cfRule type="expression" dxfId="1462" priority="12062" stopIfTrue="1">
      <formula>NOT(ISBLANK($Z$17))</formula>
    </cfRule>
  </conditionalFormatting>
  <conditionalFormatting sqref="AA17">
    <cfRule type="cellIs" dxfId="1461" priority="12063" stopIfTrue="1" operator="notEqual">
      <formula>"fully automated"</formula>
    </cfRule>
  </conditionalFormatting>
  <conditionalFormatting sqref="AB17">
    <cfRule type="expression" dxfId="1460" priority="12064" stopIfTrue="1">
      <formula>NOT(ISBLANK($AB$17))</formula>
    </cfRule>
  </conditionalFormatting>
  <conditionalFormatting sqref="AC17">
    <cfRule type="expression" dxfId="1459" priority="12065" stopIfTrue="1">
      <formula>NOT(ISBLANK($AC$17))</formula>
    </cfRule>
  </conditionalFormatting>
  <conditionalFormatting sqref="AD17">
    <cfRule type="expression" dxfId="1458" priority="12066" stopIfTrue="1">
      <formula>NOT(ISBLANK($AD$17))</formula>
    </cfRule>
  </conditionalFormatting>
  <conditionalFormatting sqref="AE17">
    <cfRule type="expression" dxfId="1457" priority="12067" stopIfTrue="1">
      <formula>NOT(ISBLANK($AE$17))</formula>
    </cfRule>
  </conditionalFormatting>
  <conditionalFormatting sqref="A18">
    <cfRule type="cellIs" dxfId="1456" priority="12068" stopIfTrue="1" operator="notEqual">
      <formula>2</formula>
    </cfRule>
  </conditionalFormatting>
  <conditionalFormatting sqref="B18">
    <cfRule type="cellIs" dxfId="1455" priority="12069" stopIfTrue="1" operator="notEqual">
      <formula>2</formula>
    </cfRule>
  </conditionalFormatting>
  <conditionalFormatting sqref="C18">
    <cfRule type="cellIs" dxfId="1454" priority="12070" stopIfTrue="1" operator="notEqual">
      <formula>0.124</formula>
    </cfRule>
  </conditionalFormatting>
  <conditionalFormatting sqref="D18">
    <cfRule type="cellIs" dxfId="1453" priority="12071" stopIfTrue="1" operator="notEqual">
      <formula>"MGD"</formula>
    </cfRule>
  </conditionalFormatting>
  <conditionalFormatting sqref="E18">
    <cfRule type="cellIs" dxfId="1452" priority="12072" stopIfTrue="1" operator="notEqual">
      <formula>0.035</formula>
    </cfRule>
  </conditionalFormatting>
  <conditionalFormatting sqref="F18">
    <cfRule type="cellIs" dxfId="1451" priority="12073" stopIfTrue="1" operator="notEqual">
      <formula>"MGD"</formula>
    </cfRule>
  </conditionalFormatting>
  <conditionalFormatting sqref="G18">
    <cfRule type="cellIs" dxfId="1450" priority="12074" stopIfTrue="1" operator="notEqual">
      <formula>"throwaway"</formula>
    </cfRule>
  </conditionalFormatting>
  <conditionalFormatting sqref="H18">
    <cfRule type="cellIs" dxfId="1449" priority="12075" stopIfTrue="1" operator="notEqual">
      <formula>240000</formula>
    </cfRule>
  </conditionalFormatting>
  <conditionalFormatting sqref="I18">
    <cfRule type="cellIs" dxfId="1448" priority="12076" stopIfTrue="1" operator="notEqual">
      <formula>"bed volumes"</formula>
    </cfRule>
  </conditionalFormatting>
  <conditionalFormatting sqref="J18">
    <cfRule type="cellIs" dxfId="1447" priority="12077" stopIfTrue="1" operator="notEqual">
      <formula>2</formula>
    </cfRule>
  </conditionalFormatting>
  <conditionalFormatting sqref="K18">
    <cfRule type="cellIs" dxfId="1446" priority="12078" stopIfTrue="1" operator="notEqual">
      <formula>6</formula>
    </cfRule>
  </conditionalFormatting>
  <conditionalFormatting sqref="L18">
    <cfRule type="cellIs" dxfId="1445" priority="12079" stopIfTrue="1" operator="notEqual">
      <formula>"yes"</formula>
    </cfRule>
  </conditionalFormatting>
  <conditionalFormatting sqref="M18">
    <cfRule type="expression" dxfId="1444" priority="12080" stopIfTrue="1">
      <formula>NOT(ISBLANK($M$18))</formula>
    </cfRule>
  </conditionalFormatting>
  <conditionalFormatting sqref="N18">
    <cfRule type="expression" dxfId="1443" priority="12081" stopIfTrue="1">
      <formula>NOT(ISBLANK($N$18))</formula>
    </cfRule>
  </conditionalFormatting>
  <conditionalFormatting sqref="O18">
    <cfRule type="expression" dxfId="1442" priority="12082" stopIfTrue="1">
      <formula>NOT(ISBLANK($O$18))</formula>
    </cfRule>
  </conditionalFormatting>
  <conditionalFormatting sqref="P18">
    <cfRule type="expression" dxfId="1441" priority="12083" stopIfTrue="1">
      <formula>NOT(ISBLANK($P$18))</formula>
    </cfRule>
  </conditionalFormatting>
  <conditionalFormatting sqref="Q18">
    <cfRule type="expression" dxfId="1440" priority="12084" stopIfTrue="1">
      <formula>NOT(ISBLANK($Q$18))</formula>
    </cfRule>
  </conditionalFormatting>
  <conditionalFormatting sqref="R18">
    <cfRule type="cellIs" dxfId="1439" priority="12085" stopIfTrue="1" operator="notEqual">
      <formula>"no holding tank"</formula>
    </cfRule>
  </conditionalFormatting>
  <conditionalFormatting sqref="S18">
    <cfRule type="cellIs" dxfId="1438" priority="12086" stopIfTrue="1" operator="notEqual">
      <formula>"POTW"</formula>
    </cfRule>
  </conditionalFormatting>
  <conditionalFormatting sqref="T18">
    <cfRule type="cellIs" dxfId="1437" priority="12087" stopIfTrue="1" operator="notEqual">
      <formula>"incineration (non-hazardous)"</formula>
    </cfRule>
  </conditionalFormatting>
  <conditionalFormatting sqref="U18">
    <cfRule type="expression" dxfId="1436" priority="12088" stopIfTrue="1">
      <formula>NOT(ISBLANK($U$18))</formula>
    </cfRule>
  </conditionalFormatting>
  <conditionalFormatting sqref="V18">
    <cfRule type="cellIs" dxfId="1435" priority="12089" stopIfTrue="1" operator="notEqual">
      <formula>0</formula>
    </cfRule>
  </conditionalFormatting>
  <conditionalFormatting sqref="W18">
    <cfRule type="expression" dxfId="1434" priority="12090" stopIfTrue="1">
      <formula>NOT(ISBLANK($W$18))</formula>
    </cfRule>
  </conditionalFormatting>
  <conditionalFormatting sqref="X18">
    <cfRule type="expression" dxfId="1433" priority="12091" stopIfTrue="1">
      <formula>NOT(ISBLANK($X$18))</formula>
    </cfRule>
  </conditionalFormatting>
  <conditionalFormatting sqref="Y18">
    <cfRule type="expression" dxfId="1432" priority="12092" stopIfTrue="1">
      <formula>NOT(ISBLANK($Y$18))</formula>
    </cfRule>
  </conditionalFormatting>
  <conditionalFormatting sqref="Z18">
    <cfRule type="expression" dxfId="1431" priority="12093" stopIfTrue="1">
      <formula>NOT(ISBLANK($Z$18))</formula>
    </cfRule>
  </conditionalFormatting>
  <conditionalFormatting sqref="AA18">
    <cfRule type="cellIs" dxfId="1430" priority="12094" stopIfTrue="1" operator="notEqual">
      <formula>"fully automated"</formula>
    </cfRule>
  </conditionalFormatting>
  <conditionalFormatting sqref="AB18">
    <cfRule type="expression" dxfId="1429" priority="12095" stopIfTrue="1">
      <formula>NOT(ISBLANK($AB$18))</formula>
    </cfRule>
  </conditionalFormatting>
  <conditionalFormatting sqref="AC18">
    <cfRule type="expression" dxfId="1428" priority="12096" stopIfTrue="1">
      <formula>NOT(ISBLANK($AC$18))</formula>
    </cfRule>
  </conditionalFormatting>
  <conditionalFormatting sqref="AD18">
    <cfRule type="expression" dxfId="1427" priority="12097" stopIfTrue="1">
      <formula>NOT(ISBLANK($AD$18))</formula>
    </cfRule>
  </conditionalFormatting>
  <conditionalFormatting sqref="AE18">
    <cfRule type="expression" dxfId="1426" priority="12098" stopIfTrue="1">
      <formula>NOT(ISBLANK($AE$18))</formula>
    </cfRule>
  </conditionalFormatting>
  <conditionalFormatting sqref="A19">
    <cfRule type="cellIs" dxfId="1425" priority="12099" stopIfTrue="1" operator="notEqual">
      <formula>2</formula>
    </cfRule>
  </conditionalFormatting>
  <conditionalFormatting sqref="B19">
    <cfRule type="cellIs" dxfId="1424" priority="12100" stopIfTrue="1" operator="notEqual">
      <formula>3</formula>
    </cfRule>
  </conditionalFormatting>
  <conditionalFormatting sqref="C19">
    <cfRule type="cellIs" dxfId="1423" priority="12101" stopIfTrue="1" operator="notEqual">
      <formula>0.305</formula>
    </cfRule>
  </conditionalFormatting>
  <conditionalFormatting sqref="D19">
    <cfRule type="cellIs" dxfId="1422" priority="12102" stopIfTrue="1" operator="notEqual">
      <formula>"MGD"</formula>
    </cfRule>
  </conditionalFormatting>
  <conditionalFormatting sqref="E19">
    <cfRule type="cellIs" dxfId="1421" priority="12103" stopIfTrue="1" operator="notEqual">
      <formula>0.094</formula>
    </cfRule>
  </conditionalFormatting>
  <conditionalFormatting sqref="F19">
    <cfRule type="cellIs" dxfId="1420" priority="12104" stopIfTrue="1" operator="notEqual">
      <formula>"MGD"</formula>
    </cfRule>
  </conditionalFormatting>
  <conditionalFormatting sqref="G19">
    <cfRule type="cellIs" dxfId="1419" priority="12105" stopIfTrue="1" operator="notEqual">
      <formula>"throwaway"</formula>
    </cfRule>
  </conditionalFormatting>
  <conditionalFormatting sqref="H19">
    <cfRule type="cellIs" dxfId="1418" priority="12106" stopIfTrue="1" operator="notEqual">
      <formula>240000</formula>
    </cfRule>
  </conditionalFormatting>
  <conditionalFormatting sqref="I19">
    <cfRule type="cellIs" dxfId="1417" priority="12107" stopIfTrue="1" operator="notEqual">
      <formula>"bed volumes"</formula>
    </cfRule>
  </conditionalFormatting>
  <conditionalFormatting sqref="J19">
    <cfRule type="cellIs" dxfId="1416" priority="12108" stopIfTrue="1" operator="notEqual">
      <formula>2</formula>
    </cfRule>
  </conditionalFormatting>
  <conditionalFormatting sqref="K19">
    <cfRule type="cellIs" dxfId="1415" priority="12109" stopIfTrue="1" operator="notEqual">
      <formula>6</formula>
    </cfRule>
  </conditionalFormatting>
  <conditionalFormatting sqref="L19">
    <cfRule type="cellIs" dxfId="1414" priority="12110" stopIfTrue="1" operator="notEqual">
      <formula>"yes"</formula>
    </cfRule>
  </conditionalFormatting>
  <conditionalFormatting sqref="M19">
    <cfRule type="expression" dxfId="1413" priority="12111" stopIfTrue="1">
      <formula>NOT(ISBLANK($M$19))</formula>
    </cfRule>
  </conditionalFormatting>
  <conditionalFormatting sqref="N19">
    <cfRule type="expression" dxfId="1412" priority="12112" stopIfTrue="1">
      <formula>NOT(ISBLANK($N$19))</formula>
    </cfRule>
  </conditionalFormatting>
  <conditionalFormatting sqref="O19">
    <cfRule type="expression" dxfId="1411" priority="12113" stopIfTrue="1">
      <formula>NOT(ISBLANK($O$19))</formula>
    </cfRule>
  </conditionalFormatting>
  <conditionalFormatting sqref="P19">
    <cfRule type="expression" dxfId="1410" priority="12114" stopIfTrue="1">
      <formula>NOT(ISBLANK($P$19))</formula>
    </cfRule>
  </conditionalFormatting>
  <conditionalFormatting sqref="Q19">
    <cfRule type="expression" dxfId="1409" priority="12115" stopIfTrue="1">
      <formula>NOT(ISBLANK($Q$19))</formula>
    </cfRule>
  </conditionalFormatting>
  <conditionalFormatting sqref="R19">
    <cfRule type="cellIs" dxfId="1408" priority="12116" stopIfTrue="1" operator="notEqual">
      <formula>"no holding tank"</formula>
    </cfRule>
  </conditionalFormatting>
  <conditionalFormatting sqref="S19">
    <cfRule type="cellIs" dxfId="1407" priority="12117" stopIfTrue="1" operator="notEqual">
      <formula>"POTW"</formula>
    </cfRule>
  </conditionalFormatting>
  <conditionalFormatting sqref="T19">
    <cfRule type="cellIs" dxfId="1406" priority="12118" stopIfTrue="1" operator="notEqual">
      <formula>"incineration (non-hazardous)"</formula>
    </cfRule>
  </conditionalFormatting>
  <conditionalFormatting sqref="U19">
    <cfRule type="expression" dxfId="1405" priority="12119" stopIfTrue="1">
      <formula>NOT(ISBLANK($U$19))</formula>
    </cfRule>
  </conditionalFormatting>
  <conditionalFormatting sqref="V19">
    <cfRule type="cellIs" dxfId="1404" priority="12120" stopIfTrue="1" operator="notEqual">
      <formula>0</formula>
    </cfRule>
  </conditionalFormatting>
  <conditionalFormatting sqref="W19">
    <cfRule type="expression" dxfId="1403" priority="12121" stopIfTrue="1">
      <formula>NOT(ISBLANK($W$19))</formula>
    </cfRule>
  </conditionalFormatting>
  <conditionalFormatting sqref="X19">
    <cfRule type="expression" dxfId="1402" priority="12122" stopIfTrue="1">
      <formula>NOT(ISBLANK($X$19))</formula>
    </cfRule>
  </conditionalFormatting>
  <conditionalFormatting sqref="Y19">
    <cfRule type="expression" dxfId="1401" priority="12123" stopIfTrue="1">
      <formula>NOT(ISBLANK($Y$19))</formula>
    </cfRule>
  </conditionalFormatting>
  <conditionalFormatting sqref="Z19">
    <cfRule type="expression" dxfId="1400" priority="12124" stopIfTrue="1">
      <formula>NOT(ISBLANK($Z$19))</formula>
    </cfRule>
  </conditionalFormatting>
  <conditionalFormatting sqref="AA19">
    <cfRule type="cellIs" dxfId="1399" priority="12125" stopIfTrue="1" operator="notEqual">
      <formula>"fully automated"</formula>
    </cfRule>
  </conditionalFormatting>
  <conditionalFormatting sqref="AB19">
    <cfRule type="expression" dxfId="1398" priority="12126" stopIfTrue="1">
      <formula>NOT(ISBLANK($AB$19))</formula>
    </cfRule>
  </conditionalFormatting>
  <conditionalFormatting sqref="AC19">
    <cfRule type="expression" dxfId="1397" priority="12127" stopIfTrue="1">
      <formula>NOT(ISBLANK($AC$19))</formula>
    </cfRule>
  </conditionalFormatting>
  <conditionalFormatting sqref="AD19">
    <cfRule type="expression" dxfId="1396" priority="12128" stopIfTrue="1">
      <formula>NOT(ISBLANK($AD$19))</formula>
    </cfRule>
  </conditionalFormatting>
  <conditionalFormatting sqref="AE19">
    <cfRule type="expression" dxfId="1395" priority="12129" stopIfTrue="1">
      <formula>NOT(ISBLANK($AE$19))</formula>
    </cfRule>
  </conditionalFormatting>
  <conditionalFormatting sqref="A20">
    <cfRule type="cellIs" dxfId="1394" priority="12130" stopIfTrue="1" operator="notEqual">
      <formula>2</formula>
    </cfRule>
  </conditionalFormatting>
  <conditionalFormatting sqref="B20">
    <cfRule type="cellIs" dxfId="1393" priority="12131" stopIfTrue="1" operator="notEqual">
      <formula>4</formula>
    </cfRule>
  </conditionalFormatting>
  <conditionalFormatting sqref="C20">
    <cfRule type="cellIs" dxfId="1392" priority="12132" stopIfTrue="1" operator="notEqual">
      <formula>0.74</formula>
    </cfRule>
  </conditionalFormatting>
  <conditionalFormatting sqref="D20">
    <cfRule type="cellIs" dxfId="1391" priority="12133" stopIfTrue="1" operator="notEqual">
      <formula>"MGD"</formula>
    </cfRule>
  </conditionalFormatting>
  <conditionalFormatting sqref="E20">
    <cfRule type="cellIs" dxfId="1390" priority="12134" stopIfTrue="1" operator="notEqual">
      <formula>0.251</formula>
    </cfRule>
  </conditionalFormatting>
  <conditionalFormatting sqref="F20">
    <cfRule type="cellIs" dxfId="1389" priority="12135" stopIfTrue="1" operator="notEqual">
      <formula>"MGD"</formula>
    </cfRule>
  </conditionalFormatting>
  <conditionalFormatting sqref="G20">
    <cfRule type="cellIs" dxfId="1388" priority="12136" stopIfTrue="1" operator="notEqual">
      <formula>"throwaway"</formula>
    </cfRule>
  </conditionalFormatting>
  <conditionalFormatting sqref="H20">
    <cfRule type="cellIs" dxfId="1387" priority="12137" stopIfTrue="1" operator="notEqual">
      <formula>240000</formula>
    </cfRule>
  </conditionalFormatting>
  <conditionalFormatting sqref="I20">
    <cfRule type="cellIs" dxfId="1386" priority="12138" stopIfTrue="1" operator="notEqual">
      <formula>"bed volumes"</formula>
    </cfRule>
  </conditionalFormatting>
  <conditionalFormatting sqref="J20">
    <cfRule type="cellIs" dxfId="1385" priority="12139" stopIfTrue="1" operator="notEqual">
      <formula>2</formula>
    </cfRule>
  </conditionalFormatting>
  <conditionalFormatting sqref="K20">
    <cfRule type="cellIs" dxfId="1384" priority="12140" stopIfTrue="1" operator="notEqual">
      <formula>6</formula>
    </cfRule>
  </conditionalFormatting>
  <conditionalFormatting sqref="L20">
    <cfRule type="cellIs" dxfId="1383" priority="12141" stopIfTrue="1" operator="notEqual">
      <formula>"yes"</formula>
    </cfRule>
  </conditionalFormatting>
  <conditionalFormatting sqref="M20">
    <cfRule type="expression" dxfId="1382" priority="12142" stopIfTrue="1">
      <formula>NOT(ISBLANK($M$20))</formula>
    </cfRule>
  </conditionalFormatting>
  <conditionalFormatting sqref="N20">
    <cfRule type="expression" dxfId="1381" priority="12143" stopIfTrue="1">
      <formula>NOT(ISBLANK($N$20))</formula>
    </cfRule>
  </conditionalFormatting>
  <conditionalFormatting sqref="O20">
    <cfRule type="expression" dxfId="1380" priority="12144" stopIfTrue="1">
      <formula>NOT(ISBLANK($O$20))</formula>
    </cfRule>
  </conditionalFormatting>
  <conditionalFormatting sqref="P20">
    <cfRule type="expression" dxfId="1379" priority="12145" stopIfTrue="1">
      <formula>NOT(ISBLANK($P$20))</formula>
    </cfRule>
  </conditionalFormatting>
  <conditionalFormatting sqref="Q20">
    <cfRule type="expression" dxfId="1378" priority="12146" stopIfTrue="1">
      <formula>NOT(ISBLANK($Q$20))</formula>
    </cfRule>
  </conditionalFormatting>
  <conditionalFormatting sqref="R20">
    <cfRule type="cellIs" dxfId="1377" priority="12147" stopIfTrue="1" operator="notEqual">
      <formula>"no holding tank"</formula>
    </cfRule>
  </conditionalFormatting>
  <conditionalFormatting sqref="S20">
    <cfRule type="cellIs" dxfId="1376" priority="12148" stopIfTrue="1" operator="notEqual">
      <formula>"POTW"</formula>
    </cfRule>
  </conditionalFormatting>
  <conditionalFormatting sqref="T20">
    <cfRule type="cellIs" dxfId="1375" priority="12149" stopIfTrue="1" operator="notEqual">
      <formula>"incineration (non-hazardous)"</formula>
    </cfRule>
  </conditionalFormatting>
  <conditionalFormatting sqref="U20">
    <cfRule type="expression" dxfId="1374" priority="12150" stopIfTrue="1">
      <formula>NOT(ISBLANK($U$20))</formula>
    </cfRule>
  </conditionalFormatting>
  <conditionalFormatting sqref="V20">
    <cfRule type="cellIs" dxfId="1373" priority="12151" stopIfTrue="1" operator="notEqual">
      <formula>0</formula>
    </cfRule>
  </conditionalFormatting>
  <conditionalFormatting sqref="W20">
    <cfRule type="expression" dxfId="1372" priority="12152" stopIfTrue="1">
      <formula>NOT(ISBLANK($W$20))</formula>
    </cfRule>
  </conditionalFormatting>
  <conditionalFormatting sqref="X20">
    <cfRule type="expression" dxfId="1371" priority="12153" stopIfTrue="1">
      <formula>NOT(ISBLANK($X$20))</formula>
    </cfRule>
  </conditionalFormatting>
  <conditionalFormatting sqref="Y20">
    <cfRule type="expression" dxfId="1370" priority="12154" stopIfTrue="1">
      <formula>NOT(ISBLANK($Y$20))</formula>
    </cfRule>
  </conditionalFormatting>
  <conditionalFormatting sqref="Z20">
    <cfRule type="expression" dxfId="1369" priority="12155" stopIfTrue="1">
      <formula>NOT(ISBLANK($Z$20))</formula>
    </cfRule>
  </conditionalFormatting>
  <conditionalFormatting sqref="AA20">
    <cfRule type="cellIs" dxfId="1368" priority="12156" stopIfTrue="1" operator="notEqual">
      <formula>"fully automated"</formula>
    </cfRule>
  </conditionalFormatting>
  <conditionalFormatting sqref="AB20">
    <cfRule type="expression" dxfId="1367" priority="12157" stopIfTrue="1">
      <formula>NOT(ISBLANK($AB$20))</formula>
    </cfRule>
  </conditionalFormatting>
  <conditionalFormatting sqref="AC20">
    <cfRule type="expression" dxfId="1366" priority="12158" stopIfTrue="1">
      <formula>NOT(ISBLANK($AC$20))</formula>
    </cfRule>
  </conditionalFormatting>
  <conditionalFormatting sqref="AD20">
    <cfRule type="expression" dxfId="1365" priority="12159" stopIfTrue="1">
      <formula>NOT(ISBLANK($AD$20))</formula>
    </cfRule>
  </conditionalFormatting>
  <conditionalFormatting sqref="AE20">
    <cfRule type="expression" dxfId="1364" priority="12160" stopIfTrue="1">
      <formula>NOT(ISBLANK($AE$20))</formula>
    </cfRule>
  </conditionalFormatting>
  <conditionalFormatting sqref="A21">
    <cfRule type="cellIs" dxfId="1363" priority="12161" stopIfTrue="1" operator="notEqual">
      <formula>2</formula>
    </cfRule>
  </conditionalFormatting>
  <conditionalFormatting sqref="B21">
    <cfRule type="cellIs" dxfId="1362" priority="12162" stopIfTrue="1" operator="notEqual">
      <formula>5</formula>
    </cfRule>
  </conditionalFormatting>
  <conditionalFormatting sqref="C21">
    <cfRule type="cellIs" dxfId="1361" priority="12163" stopIfTrue="1" operator="notEqual">
      <formula>2.152</formula>
    </cfRule>
  </conditionalFormatting>
  <conditionalFormatting sqref="D21">
    <cfRule type="cellIs" dxfId="1360" priority="12164" stopIfTrue="1" operator="notEqual">
      <formula>"MGD"</formula>
    </cfRule>
  </conditionalFormatting>
  <conditionalFormatting sqref="E21">
    <cfRule type="cellIs" dxfId="1359" priority="12165" stopIfTrue="1" operator="notEqual">
      <formula>0.819</formula>
    </cfRule>
  </conditionalFormatting>
  <conditionalFormatting sqref="F21">
    <cfRule type="cellIs" dxfId="1358" priority="12166" stopIfTrue="1" operator="notEqual">
      <formula>"MGD"</formula>
    </cfRule>
  </conditionalFormatting>
  <conditionalFormatting sqref="G21">
    <cfRule type="cellIs" dxfId="1357" priority="12167" stopIfTrue="1" operator="notEqual">
      <formula>"throwaway"</formula>
    </cfRule>
  </conditionalFormatting>
  <conditionalFormatting sqref="H21">
    <cfRule type="cellIs" dxfId="1356" priority="12168" stopIfTrue="1" operator="notEqual">
      <formula>240000</formula>
    </cfRule>
  </conditionalFormatting>
  <conditionalFormatting sqref="I21">
    <cfRule type="cellIs" dxfId="1355" priority="12169" stopIfTrue="1" operator="notEqual">
      <formula>"bed volumes"</formula>
    </cfRule>
  </conditionalFormatting>
  <conditionalFormatting sqref="J21">
    <cfRule type="cellIs" dxfId="1354" priority="12170" stopIfTrue="1" operator="notEqual">
      <formula>2</formula>
    </cfRule>
  </conditionalFormatting>
  <conditionalFormatting sqref="K21">
    <cfRule type="cellIs" dxfId="1353" priority="12171" stopIfTrue="1" operator="notEqual">
      <formula>6</formula>
    </cfRule>
  </conditionalFormatting>
  <conditionalFormatting sqref="L21">
    <cfRule type="cellIs" dxfId="1352" priority="12172" stopIfTrue="1" operator="notEqual">
      <formula>"yes"</formula>
    </cfRule>
  </conditionalFormatting>
  <conditionalFormatting sqref="M21">
    <cfRule type="expression" dxfId="1351" priority="12173" stopIfTrue="1">
      <formula>NOT(ISBLANK($M$21))</formula>
    </cfRule>
  </conditionalFormatting>
  <conditionalFormatting sqref="N21">
    <cfRule type="expression" dxfId="1350" priority="12174" stopIfTrue="1">
      <formula>NOT(ISBLANK($N$21))</formula>
    </cfRule>
  </conditionalFormatting>
  <conditionalFormatting sqref="O21">
    <cfRule type="expression" dxfId="1349" priority="12175" stopIfTrue="1">
      <formula>NOT(ISBLANK($O$21))</formula>
    </cfRule>
  </conditionalFormatting>
  <conditionalFormatting sqref="P21">
    <cfRule type="expression" dxfId="1348" priority="12176" stopIfTrue="1">
      <formula>NOT(ISBLANK($P$21))</formula>
    </cfRule>
  </conditionalFormatting>
  <conditionalFormatting sqref="Q21">
    <cfRule type="expression" dxfId="1347" priority="12177" stopIfTrue="1">
      <formula>NOT(ISBLANK($Q$21))</formula>
    </cfRule>
  </conditionalFormatting>
  <conditionalFormatting sqref="R21">
    <cfRule type="cellIs" dxfId="1346" priority="12178" stopIfTrue="1" operator="notEqual">
      <formula>"no holding tank"</formula>
    </cfRule>
  </conditionalFormatting>
  <conditionalFormatting sqref="S21">
    <cfRule type="cellIs" dxfId="1345" priority="12179" stopIfTrue="1" operator="notEqual">
      <formula>"POTW"</formula>
    </cfRule>
  </conditionalFormatting>
  <conditionalFormatting sqref="T21">
    <cfRule type="cellIs" dxfId="1344" priority="12180" stopIfTrue="1" operator="notEqual">
      <formula>"incineration (non-hazardous)"</formula>
    </cfRule>
  </conditionalFormatting>
  <conditionalFormatting sqref="U21">
    <cfRule type="expression" dxfId="1343" priority="12181" stopIfTrue="1">
      <formula>NOT(ISBLANK($U$21))</formula>
    </cfRule>
  </conditionalFormatting>
  <conditionalFormatting sqref="V21">
    <cfRule type="cellIs" dxfId="1342" priority="12182" stopIfTrue="1" operator="notEqual">
      <formula>0</formula>
    </cfRule>
  </conditionalFormatting>
  <conditionalFormatting sqref="W21">
    <cfRule type="expression" dxfId="1341" priority="12183" stopIfTrue="1">
      <formula>NOT(ISBLANK($W$21))</formula>
    </cfRule>
  </conditionalFormatting>
  <conditionalFormatting sqref="X21">
    <cfRule type="expression" dxfId="1340" priority="12184" stopIfTrue="1">
      <formula>NOT(ISBLANK($X$21))</formula>
    </cfRule>
  </conditionalFormatting>
  <conditionalFormatting sqref="Y21">
    <cfRule type="expression" dxfId="1339" priority="12185" stopIfTrue="1">
      <formula>NOT(ISBLANK($Y$21))</formula>
    </cfRule>
  </conditionalFormatting>
  <conditionalFormatting sqref="Z21">
    <cfRule type="expression" dxfId="1338" priority="12186" stopIfTrue="1">
      <formula>NOT(ISBLANK($Z$21))</formula>
    </cfRule>
  </conditionalFormatting>
  <conditionalFormatting sqref="AA21">
    <cfRule type="cellIs" dxfId="1337" priority="12187" stopIfTrue="1" operator="notEqual">
      <formula>"fully automated"</formula>
    </cfRule>
  </conditionalFormatting>
  <conditionalFormatting sqref="AB21">
    <cfRule type="expression" dxfId="1336" priority="12188" stopIfTrue="1">
      <formula>NOT(ISBLANK($AB$21))</formula>
    </cfRule>
  </conditionalFormatting>
  <conditionalFormatting sqref="AC21">
    <cfRule type="expression" dxfId="1335" priority="12189" stopIfTrue="1">
      <formula>NOT(ISBLANK($AC$21))</formula>
    </cfRule>
  </conditionalFormatting>
  <conditionalFormatting sqref="AD21">
    <cfRule type="expression" dxfId="1334" priority="12190" stopIfTrue="1">
      <formula>NOT(ISBLANK($AD$21))</formula>
    </cfRule>
  </conditionalFormatting>
  <conditionalFormatting sqref="AE21">
    <cfRule type="expression" dxfId="1333" priority="12191" stopIfTrue="1">
      <formula>NOT(ISBLANK($AE$21))</formula>
    </cfRule>
  </conditionalFormatting>
  <conditionalFormatting sqref="A22">
    <cfRule type="cellIs" dxfId="1332" priority="12192" stopIfTrue="1" operator="notEqual">
      <formula>2</formula>
    </cfRule>
  </conditionalFormatting>
  <conditionalFormatting sqref="B22">
    <cfRule type="cellIs" dxfId="1331" priority="12193" stopIfTrue="1" operator="notEqual">
      <formula>6</formula>
    </cfRule>
  </conditionalFormatting>
  <conditionalFormatting sqref="C22">
    <cfRule type="cellIs" dxfId="1330" priority="12194" stopIfTrue="1" operator="notEqual">
      <formula>7.365</formula>
    </cfRule>
  </conditionalFormatting>
  <conditionalFormatting sqref="D22">
    <cfRule type="cellIs" dxfId="1329" priority="12195" stopIfTrue="1" operator="notEqual">
      <formula>"MGD"</formula>
    </cfRule>
  </conditionalFormatting>
  <conditionalFormatting sqref="E22">
    <cfRule type="cellIs" dxfId="1328" priority="12196" stopIfTrue="1" operator="notEqual">
      <formula>3.2</formula>
    </cfRule>
  </conditionalFormatting>
  <conditionalFormatting sqref="F22">
    <cfRule type="cellIs" dxfId="1327" priority="12197" stopIfTrue="1" operator="notEqual">
      <formula>"MGD"</formula>
    </cfRule>
  </conditionalFormatting>
  <conditionalFormatting sqref="G22">
    <cfRule type="cellIs" dxfId="1326" priority="12198" stopIfTrue="1" operator="notEqual">
      <formula>"throwaway"</formula>
    </cfRule>
  </conditionalFormatting>
  <conditionalFormatting sqref="H22">
    <cfRule type="cellIs" dxfId="1325" priority="12199" stopIfTrue="1" operator="notEqual">
      <formula>240000</formula>
    </cfRule>
  </conditionalFormatting>
  <conditionalFormatting sqref="I22">
    <cfRule type="cellIs" dxfId="1324" priority="12200" stopIfTrue="1" operator="notEqual">
      <formula>"bed volumes"</formula>
    </cfRule>
  </conditionalFormatting>
  <conditionalFormatting sqref="J22">
    <cfRule type="cellIs" dxfId="1323" priority="12201" stopIfTrue="1" operator="notEqual">
      <formula>2</formula>
    </cfRule>
  </conditionalFormatting>
  <conditionalFormatting sqref="K22">
    <cfRule type="cellIs" dxfId="1322" priority="12202" stopIfTrue="1" operator="notEqual">
      <formula>6</formula>
    </cfRule>
  </conditionalFormatting>
  <conditionalFormatting sqref="L22">
    <cfRule type="cellIs" dxfId="1321" priority="12203" stopIfTrue="1" operator="notEqual">
      <formula>"yes"</formula>
    </cfRule>
  </conditionalFormatting>
  <conditionalFormatting sqref="M22">
    <cfRule type="expression" dxfId="1320" priority="12204" stopIfTrue="1">
      <formula>NOT(ISBLANK($M$22))</formula>
    </cfRule>
  </conditionalFormatting>
  <conditionalFormatting sqref="N22">
    <cfRule type="expression" dxfId="1319" priority="12205" stopIfTrue="1">
      <formula>NOT(ISBLANK($N$22))</formula>
    </cfRule>
  </conditionalFormatting>
  <conditionalFormatting sqref="O22">
    <cfRule type="expression" dxfId="1318" priority="12206" stopIfTrue="1">
      <formula>NOT(ISBLANK($O$22))</formula>
    </cfRule>
  </conditionalFormatting>
  <conditionalFormatting sqref="P22">
    <cfRule type="expression" dxfId="1317" priority="12207" stopIfTrue="1">
      <formula>NOT(ISBLANK($P$22))</formula>
    </cfRule>
  </conditionalFormatting>
  <conditionalFormatting sqref="Q22">
    <cfRule type="expression" dxfId="1316" priority="12208" stopIfTrue="1">
      <formula>NOT(ISBLANK($Q$22))</formula>
    </cfRule>
  </conditionalFormatting>
  <conditionalFormatting sqref="R22">
    <cfRule type="cellIs" dxfId="1315" priority="12209" stopIfTrue="1" operator="notEqual">
      <formula>"no holding tank"</formula>
    </cfRule>
  </conditionalFormatting>
  <conditionalFormatting sqref="S22">
    <cfRule type="cellIs" dxfId="1314" priority="12210" stopIfTrue="1" operator="notEqual">
      <formula>"POTW"</formula>
    </cfRule>
  </conditionalFormatting>
  <conditionalFormatting sqref="T22">
    <cfRule type="cellIs" dxfId="1313" priority="12211" stopIfTrue="1" operator="notEqual">
      <formula>"incineration (non-hazardous)"</formula>
    </cfRule>
  </conditionalFormatting>
  <conditionalFormatting sqref="U22">
    <cfRule type="expression" dxfId="1312" priority="12212" stopIfTrue="1">
      <formula>NOT(ISBLANK($U$22))</formula>
    </cfRule>
  </conditionalFormatting>
  <conditionalFormatting sqref="V22">
    <cfRule type="cellIs" dxfId="1311" priority="12213" stopIfTrue="1" operator="notEqual">
      <formula>0</formula>
    </cfRule>
  </conditionalFormatting>
  <conditionalFormatting sqref="W22">
    <cfRule type="expression" dxfId="1310" priority="12214" stopIfTrue="1">
      <formula>NOT(ISBLANK($W$22))</formula>
    </cfRule>
  </conditionalFormatting>
  <conditionalFormatting sqref="X22">
    <cfRule type="expression" dxfId="1309" priority="12215" stopIfTrue="1">
      <formula>NOT(ISBLANK($X$22))</formula>
    </cfRule>
  </conditionalFormatting>
  <conditionalFormatting sqref="Y22">
    <cfRule type="expression" dxfId="1308" priority="12216" stopIfTrue="1">
      <formula>NOT(ISBLANK($Y$22))</formula>
    </cfRule>
  </conditionalFormatting>
  <conditionalFormatting sqref="Z22">
    <cfRule type="expression" dxfId="1307" priority="12217" stopIfTrue="1">
      <formula>NOT(ISBLANK($Z$22))</formula>
    </cfRule>
  </conditionalFormatting>
  <conditionalFormatting sqref="AA22">
    <cfRule type="cellIs" dxfId="1306" priority="12218" stopIfTrue="1" operator="notEqual">
      <formula>"fully automated"</formula>
    </cfRule>
  </conditionalFormatting>
  <conditionalFormatting sqref="AB22">
    <cfRule type="expression" dxfId="1305" priority="12219" stopIfTrue="1">
      <formula>NOT(ISBLANK($AB$22))</formula>
    </cfRule>
  </conditionalFormatting>
  <conditionalFormatting sqref="AC22">
    <cfRule type="expression" dxfId="1304" priority="12220" stopIfTrue="1">
      <formula>NOT(ISBLANK($AC$22))</formula>
    </cfRule>
  </conditionalFormatting>
  <conditionalFormatting sqref="AD22">
    <cfRule type="expression" dxfId="1303" priority="12221" stopIfTrue="1">
      <formula>NOT(ISBLANK($AD$22))</formula>
    </cfRule>
  </conditionalFormatting>
  <conditionalFormatting sqref="AE22">
    <cfRule type="expression" dxfId="1302" priority="12222" stopIfTrue="1">
      <formula>NOT(ISBLANK($AE$22))</formula>
    </cfRule>
  </conditionalFormatting>
  <conditionalFormatting sqref="A23">
    <cfRule type="cellIs" dxfId="1301" priority="12223" stopIfTrue="1" operator="notEqual">
      <formula>2</formula>
    </cfRule>
  </conditionalFormatting>
  <conditionalFormatting sqref="B23">
    <cfRule type="cellIs" dxfId="1300" priority="12224" stopIfTrue="1" operator="notEqual">
      <formula>7</formula>
    </cfRule>
  </conditionalFormatting>
  <conditionalFormatting sqref="C23">
    <cfRule type="cellIs" dxfId="1299" priority="12225" stopIfTrue="1" operator="notEqual">
      <formula>22.614</formula>
    </cfRule>
  </conditionalFormatting>
  <conditionalFormatting sqref="D23">
    <cfRule type="cellIs" dxfId="1298" priority="12226" stopIfTrue="1" operator="notEqual">
      <formula>"MGD"</formula>
    </cfRule>
  </conditionalFormatting>
  <conditionalFormatting sqref="E23">
    <cfRule type="cellIs" dxfId="1297" priority="12227" stopIfTrue="1" operator="notEqual">
      <formula>11.066</formula>
    </cfRule>
  </conditionalFormatting>
  <conditionalFormatting sqref="F23">
    <cfRule type="cellIs" dxfId="1296" priority="12228" stopIfTrue="1" operator="notEqual">
      <formula>"MGD"</formula>
    </cfRule>
  </conditionalFormatting>
  <conditionalFormatting sqref="G23">
    <cfRule type="cellIs" dxfId="1295" priority="12229" stopIfTrue="1" operator="notEqual">
      <formula>"throwaway"</formula>
    </cfRule>
  </conditionalFormatting>
  <conditionalFormatting sqref="H23">
    <cfRule type="cellIs" dxfId="1294" priority="12230" stopIfTrue="1" operator="notEqual">
      <formula>240000</formula>
    </cfRule>
  </conditionalFormatting>
  <conditionalFormatting sqref="I23">
    <cfRule type="cellIs" dxfId="1293" priority="12231" stopIfTrue="1" operator="notEqual">
      <formula>"bed volumes"</formula>
    </cfRule>
  </conditionalFormatting>
  <conditionalFormatting sqref="J23">
    <cfRule type="cellIs" dxfId="1292" priority="12232" stopIfTrue="1" operator="notEqual">
      <formula>2</formula>
    </cfRule>
  </conditionalFormatting>
  <conditionalFormatting sqref="K23">
    <cfRule type="cellIs" dxfId="1291" priority="12233" stopIfTrue="1" operator="notEqual">
      <formula>6</formula>
    </cfRule>
  </conditionalFormatting>
  <conditionalFormatting sqref="L23">
    <cfRule type="cellIs" dxfId="1290" priority="12234" stopIfTrue="1" operator="notEqual">
      <formula>"yes"</formula>
    </cfRule>
  </conditionalFormatting>
  <conditionalFormatting sqref="M23">
    <cfRule type="expression" dxfId="1289" priority="12235" stopIfTrue="1">
      <formula>NOT(ISBLANK($M$23))</formula>
    </cfRule>
  </conditionalFormatting>
  <conditionalFormatting sqref="N23">
    <cfRule type="expression" dxfId="1288" priority="12236" stopIfTrue="1">
      <formula>NOT(ISBLANK($N$23))</formula>
    </cfRule>
  </conditionalFormatting>
  <conditionalFormatting sqref="O23">
    <cfRule type="expression" dxfId="1287" priority="12237" stopIfTrue="1">
      <formula>NOT(ISBLANK($O$23))</formula>
    </cfRule>
  </conditionalFormatting>
  <conditionalFormatting sqref="P23">
    <cfRule type="expression" dxfId="1286" priority="12238" stopIfTrue="1">
      <formula>NOT(ISBLANK($P$23))</formula>
    </cfRule>
  </conditionalFormatting>
  <conditionalFormatting sqref="Q23">
    <cfRule type="expression" dxfId="1285" priority="12239" stopIfTrue="1">
      <formula>NOT(ISBLANK($Q$23))</formula>
    </cfRule>
  </conditionalFormatting>
  <conditionalFormatting sqref="R23">
    <cfRule type="cellIs" dxfId="1284" priority="12240" stopIfTrue="1" operator="notEqual">
      <formula>"no holding tank"</formula>
    </cfRule>
  </conditionalFormatting>
  <conditionalFormatting sqref="S23">
    <cfRule type="cellIs" dxfId="1283" priority="12241" stopIfTrue="1" operator="notEqual">
      <formula>"POTW"</formula>
    </cfRule>
  </conditionalFormatting>
  <conditionalFormatting sqref="T23">
    <cfRule type="cellIs" dxfId="1282" priority="12242" stopIfTrue="1" operator="notEqual">
      <formula>"incineration (non-hazardous)"</formula>
    </cfRule>
  </conditionalFormatting>
  <conditionalFormatting sqref="U23">
    <cfRule type="expression" dxfId="1281" priority="12243" stopIfTrue="1">
      <formula>NOT(ISBLANK($U$23))</formula>
    </cfRule>
  </conditionalFormatting>
  <conditionalFormatting sqref="V23">
    <cfRule type="cellIs" dxfId="1280" priority="12244" stopIfTrue="1" operator="notEqual">
      <formula>0</formula>
    </cfRule>
  </conditionalFormatting>
  <conditionalFormatting sqref="W23">
    <cfRule type="expression" dxfId="1279" priority="12245" stopIfTrue="1">
      <formula>NOT(ISBLANK($W$23))</formula>
    </cfRule>
  </conditionalFormatting>
  <conditionalFormatting sqref="X23">
    <cfRule type="expression" dxfId="1278" priority="12246" stopIfTrue="1">
      <formula>NOT(ISBLANK($X$23))</formula>
    </cfRule>
  </conditionalFormatting>
  <conditionalFormatting sqref="Y23">
    <cfRule type="expression" dxfId="1277" priority="12247" stopIfTrue="1">
      <formula>NOT(ISBLANK($Y$23))</formula>
    </cfRule>
  </conditionalFormatting>
  <conditionalFormatting sqref="Z23">
    <cfRule type="expression" dxfId="1276" priority="12248" stopIfTrue="1">
      <formula>NOT(ISBLANK($Z$23))</formula>
    </cfRule>
  </conditionalFormatting>
  <conditionalFormatting sqref="AA23">
    <cfRule type="cellIs" dxfId="1275" priority="12249" stopIfTrue="1" operator="notEqual">
      <formula>"fully automated"</formula>
    </cfRule>
  </conditionalFormatting>
  <conditionalFormatting sqref="AB23">
    <cfRule type="expression" dxfId="1274" priority="12250" stopIfTrue="1">
      <formula>NOT(ISBLANK($AB$23))</formula>
    </cfRule>
  </conditionalFormatting>
  <conditionalFormatting sqref="AC23">
    <cfRule type="expression" dxfId="1273" priority="12251" stopIfTrue="1">
      <formula>NOT(ISBLANK($AC$23))</formula>
    </cfRule>
  </conditionalFormatting>
  <conditionalFormatting sqref="AD23">
    <cfRule type="expression" dxfId="1272" priority="12252" stopIfTrue="1">
      <formula>NOT(ISBLANK($AD$23))</formula>
    </cfRule>
  </conditionalFormatting>
  <conditionalFormatting sqref="AE23">
    <cfRule type="expression" dxfId="1271" priority="12253" stopIfTrue="1">
      <formula>NOT(ISBLANK($AE$23))</formula>
    </cfRule>
  </conditionalFormatting>
  <conditionalFormatting sqref="A24">
    <cfRule type="cellIs" dxfId="1270" priority="12254" stopIfTrue="1" operator="notEqual">
      <formula>2</formula>
    </cfRule>
  </conditionalFormatting>
  <conditionalFormatting sqref="B24">
    <cfRule type="cellIs" dxfId="1269" priority="12255" stopIfTrue="1" operator="notEqual">
      <formula>8</formula>
    </cfRule>
  </conditionalFormatting>
  <conditionalFormatting sqref="C24">
    <cfRule type="cellIs" dxfId="1268" priority="12256" stopIfTrue="1" operator="notEqual">
      <formula>75.072</formula>
    </cfRule>
  </conditionalFormatting>
  <conditionalFormatting sqref="D24">
    <cfRule type="cellIs" dxfId="1267" priority="12257" stopIfTrue="1" operator="notEqual">
      <formula>"MGD"</formula>
    </cfRule>
  </conditionalFormatting>
  <conditionalFormatting sqref="E24">
    <cfRule type="cellIs" dxfId="1266" priority="12258" stopIfTrue="1" operator="notEqual">
      <formula>37.536</formula>
    </cfRule>
  </conditionalFormatting>
  <conditionalFormatting sqref="F24">
    <cfRule type="cellIs" dxfId="1265" priority="12259" stopIfTrue="1" operator="notEqual">
      <formula>"MGD"</formula>
    </cfRule>
  </conditionalFormatting>
  <conditionalFormatting sqref="G24">
    <cfRule type="cellIs" dxfId="1264" priority="12260" stopIfTrue="1" operator="notEqual">
      <formula>"throwaway"</formula>
    </cfRule>
  </conditionalFormatting>
  <conditionalFormatting sqref="H24">
    <cfRule type="cellIs" dxfId="1263" priority="12261" stopIfTrue="1" operator="notEqual">
      <formula>240000</formula>
    </cfRule>
  </conditionalFormatting>
  <conditionalFormatting sqref="I24">
    <cfRule type="cellIs" dxfId="1262" priority="12262" stopIfTrue="1" operator="notEqual">
      <formula>"bed volumes"</formula>
    </cfRule>
  </conditionalFormatting>
  <conditionalFormatting sqref="J24">
    <cfRule type="cellIs" dxfId="1261" priority="12263" stopIfTrue="1" operator="notEqual">
      <formula>2</formula>
    </cfRule>
  </conditionalFormatting>
  <conditionalFormatting sqref="K24">
    <cfRule type="cellIs" dxfId="1260" priority="12264" stopIfTrue="1" operator="notEqual">
      <formula>6</formula>
    </cfRule>
  </conditionalFormatting>
  <conditionalFormatting sqref="L24">
    <cfRule type="cellIs" dxfId="1259" priority="12265" stopIfTrue="1" operator="notEqual">
      <formula>"yes"</formula>
    </cfRule>
  </conditionalFormatting>
  <conditionalFormatting sqref="M24">
    <cfRule type="expression" dxfId="1258" priority="12266" stopIfTrue="1">
      <formula>NOT(ISBLANK($M$24))</formula>
    </cfRule>
  </conditionalFormatting>
  <conditionalFormatting sqref="N24">
    <cfRule type="expression" dxfId="1257" priority="12267" stopIfTrue="1">
      <formula>NOT(ISBLANK($N$24))</formula>
    </cfRule>
  </conditionalFormatting>
  <conditionalFormatting sqref="O24">
    <cfRule type="expression" dxfId="1256" priority="12268" stopIfTrue="1">
      <formula>NOT(ISBLANK($O$24))</formula>
    </cfRule>
  </conditionalFormatting>
  <conditionalFormatting sqref="P24">
    <cfRule type="expression" dxfId="1255" priority="12269" stopIfTrue="1">
      <formula>NOT(ISBLANK($P$24))</formula>
    </cfRule>
  </conditionalFormatting>
  <conditionalFormatting sqref="Q24">
    <cfRule type="expression" dxfId="1254" priority="12270" stopIfTrue="1">
      <formula>NOT(ISBLANK($Q$24))</formula>
    </cfRule>
  </conditionalFormatting>
  <conditionalFormatting sqref="R24">
    <cfRule type="cellIs" dxfId="1253" priority="12271" stopIfTrue="1" operator="notEqual">
      <formula>"no holding tank"</formula>
    </cfRule>
  </conditionalFormatting>
  <conditionalFormatting sqref="S24">
    <cfRule type="cellIs" dxfId="1252" priority="12272" stopIfTrue="1" operator="notEqual">
      <formula>"POTW"</formula>
    </cfRule>
  </conditionalFormatting>
  <conditionalFormatting sqref="T24">
    <cfRule type="cellIs" dxfId="1251" priority="12273" stopIfTrue="1" operator="notEqual">
      <formula>"incineration (non-hazardous)"</formula>
    </cfRule>
  </conditionalFormatting>
  <conditionalFormatting sqref="U24">
    <cfRule type="expression" dxfId="1250" priority="12274" stopIfTrue="1">
      <formula>NOT(ISBLANK($U$24))</formula>
    </cfRule>
  </conditionalFormatting>
  <conditionalFormatting sqref="V24">
    <cfRule type="cellIs" dxfId="1249" priority="12275" stopIfTrue="1" operator="notEqual">
      <formula>0</formula>
    </cfRule>
  </conditionalFormatting>
  <conditionalFormatting sqref="W24">
    <cfRule type="expression" dxfId="1248" priority="12276" stopIfTrue="1">
      <formula>NOT(ISBLANK($W$24))</formula>
    </cfRule>
  </conditionalFormatting>
  <conditionalFormatting sqref="X24">
    <cfRule type="expression" dxfId="1247" priority="12277" stopIfTrue="1">
      <formula>NOT(ISBLANK($X$24))</formula>
    </cfRule>
  </conditionalFormatting>
  <conditionalFormatting sqref="Y24">
    <cfRule type="expression" dxfId="1246" priority="12278" stopIfTrue="1">
      <formula>NOT(ISBLANK($Y$24))</formula>
    </cfRule>
  </conditionalFormatting>
  <conditionalFormatting sqref="Z24">
    <cfRule type="expression" dxfId="1245" priority="12279" stopIfTrue="1">
      <formula>NOT(ISBLANK($Z$24))</formula>
    </cfRule>
  </conditionalFormatting>
  <conditionalFormatting sqref="AA24">
    <cfRule type="cellIs" dxfId="1244" priority="12280" stopIfTrue="1" operator="notEqual">
      <formula>"fully automated"</formula>
    </cfRule>
  </conditionalFormatting>
  <conditionalFormatting sqref="AB24">
    <cfRule type="expression" dxfId="1243" priority="12281" stopIfTrue="1">
      <formula>NOT(ISBLANK($AB$24))</formula>
    </cfRule>
  </conditionalFormatting>
  <conditionalFormatting sqref="AC24">
    <cfRule type="expression" dxfId="1242" priority="12282" stopIfTrue="1">
      <formula>NOT(ISBLANK($AC$24))</formula>
    </cfRule>
  </conditionalFormatting>
  <conditionalFormatting sqref="AD24">
    <cfRule type="expression" dxfId="1241" priority="12283" stopIfTrue="1">
      <formula>NOT(ISBLANK($AD$24))</formula>
    </cfRule>
  </conditionalFormatting>
  <conditionalFormatting sqref="AE24">
    <cfRule type="expression" dxfId="1240" priority="12284" stopIfTrue="1">
      <formula>NOT(ISBLANK($AE$24))</formula>
    </cfRule>
  </conditionalFormatting>
  <conditionalFormatting sqref="A25">
    <cfRule type="cellIs" dxfId="1239" priority="12285" stopIfTrue="1" operator="notEqual">
      <formula>3</formula>
    </cfRule>
  </conditionalFormatting>
  <conditionalFormatting sqref="B25">
    <cfRule type="cellIs" dxfId="1238" priority="12286" stopIfTrue="1" operator="notEqual">
      <formula>1</formula>
    </cfRule>
  </conditionalFormatting>
  <conditionalFormatting sqref="C25">
    <cfRule type="cellIs" dxfId="1237" priority="12287" stopIfTrue="1" operator="notEqual">
      <formula>0.03</formula>
    </cfRule>
  </conditionalFormatting>
  <conditionalFormatting sqref="D25">
    <cfRule type="cellIs" dxfId="1236" priority="12288" stopIfTrue="1" operator="notEqual">
      <formula>"MGD"</formula>
    </cfRule>
  </conditionalFormatting>
  <conditionalFormatting sqref="E25">
    <cfRule type="cellIs" dxfId="1235" priority="12289" stopIfTrue="1" operator="notEqual">
      <formula>0.007</formula>
    </cfRule>
  </conditionalFormatting>
  <conditionalFormatting sqref="F25">
    <cfRule type="cellIs" dxfId="1234" priority="12290" stopIfTrue="1" operator="notEqual">
      <formula>"MGD"</formula>
    </cfRule>
  </conditionalFormatting>
  <conditionalFormatting sqref="G25">
    <cfRule type="cellIs" dxfId="1233" priority="12291" stopIfTrue="1" operator="notEqual">
      <formula>"throwaway"</formula>
    </cfRule>
  </conditionalFormatting>
  <conditionalFormatting sqref="H25">
    <cfRule type="cellIs" dxfId="1232" priority="12292" stopIfTrue="1" operator="notEqual">
      <formula>240000</formula>
    </cfRule>
  </conditionalFormatting>
  <conditionalFormatting sqref="I25">
    <cfRule type="cellIs" dxfId="1231" priority="12293" stopIfTrue="1" operator="notEqual">
      <formula>"bed volumes"</formula>
    </cfRule>
  </conditionalFormatting>
  <conditionalFormatting sqref="J25">
    <cfRule type="cellIs" dxfId="1230" priority="12294" stopIfTrue="1" operator="notEqual">
      <formula>2</formula>
    </cfRule>
  </conditionalFormatting>
  <conditionalFormatting sqref="K25">
    <cfRule type="cellIs" dxfId="1229" priority="12295" stopIfTrue="1" operator="notEqual">
      <formula>6</formula>
    </cfRule>
  </conditionalFormatting>
  <conditionalFormatting sqref="L25">
    <cfRule type="cellIs" dxfId="1228" priority="12296" stopIfTrue="1" operator="notEqual">
      <formula>"yes"</formula>
    </cfRule>
  </conditionalFormatting>
  <conditionalFormatting sqref="M25">
    <cfRule type="expression" dxfId="1227" priority="12297" stopIfTrue="1">
      <formula>NOT(ISBLANK($M$25))</formula>
    </cfRule>
  </conditionalFormatting>
  <conditionalFormatting sqref="N25">
    <cfRule type="expression" dxfId="1226" priority="12298" stopIfTrue="1">
      <formula>NOT(ISBLANK($N$25))</formula>
    </cfRule>
  </conditionalFormatting>
  <conditionalFormatting sqref="O25">
    <cfRule type="expression" dxfId="1225" priority="12299" stopIfTrue="1">
      <formula>NOT(ISBLANK($O$25))</formula>
    </cfRule>
  </conditionalFormatting>
  <conditionalFormatting sqref="P25">
    <cfRule type="expression" dxfId="1224" priority="12300" stopIfTrue="1">
      <formula>NOT(ISBLANK($P$25))</formula>
    </cfRule>
  </conditionalFormatting>
  <conditionalFormatting sqref="Q25">
    <cfRule type="expression" dxfId="1223" priority="12301" stopIfTrue="1">
      <formula>NOT(ISBLANK($Q$25))</formula>
    </cfRule>
  </conditionalFormatting>
  <conditionalFormatting sqref="R25">
    <cfRule type="cellIs" dxfId="1222" priority="12302" stopIfTrue="1" operator="notEqual">
      <formula>"no holding tank"</formula>
    </cfRule>
  </conditionalFormatting>
  <conditionalFormatting sqref="S25">
    <cfRule type="cellIs" dxfId="1221" priority="12303" stopIfTrue="1" operator="notEqual">
      <formula>"POTW"</formula>
    </cfRule>
  </conditionalFormatting>
  <conditionalFormatting sqref="T25">
    <cfRule type="cellIs" dxfId="1220" priority="12304" stopIfTrue="1" operator="notEqual">
      <formula>"incineration (non-hazardous)"</formula>
    </cfRule>
  </conditionalFormatting>
  <conditionalFormatting sqref="U25">
    <cfRule type="expression" dxfId="1219" priority="12305" stopIfTrue="1">
      <formula>NOT(ISBLANK($U$25))</formula>
    </cfRule>
  </conditionalFormatting>
  <conditionalFormatting sqref="V25">
    <cfRule type="cellIs" dxfId="1218" priority="12306" stopIfTrue="1" operator="notEqual">
      <formula>0</formula>
    </cfRule>
  </conditionalFormatting>
  <conditionalFormatting sqref="W25">
    <cfRule type="expression" dxfId="1217" priority="12307" stopIfTrue="1">
      <formula>NOT(ISBLANK($W$25))</formula>
    </cfRule>
  </conditionalFormatting>
  <conditionalFormatting sqref="X25">
    <cfRule type="expression" dxfId="1216" priority="12308" stopIfTrue="1">
      <formula>NOT(ISBLANK($X$25))</formula>
    </cfRule>
  </conditionalFormatting>
  <conditionalFormatting sqref="Y25">
    <cfRule type="expression" dxfId="1215" priority="12309" stopIfTrue="1">
      <formula>NOT(ISBLANK($Y$25))</formula>
    </cfRule>
  </conditionalFormatting>
  <conditionalFormatting sqref="Z25">
    <cfRule type="expression" dxfId="1214" priority="12310" stopIfTrue="1">
      <formula>NOT(ISBLANK($Z$25))</formula>
    </cfRule>
  </conditionalFormatting>
  <conditionalFormatting sqref="AA25">
    <cfRule type="cellIs" dxfId="1213" priority="12311" stopIfTrue="1" operator="notEqual">
      <formula>"fully automated"</formula>
    </cfRule>
  </conditionalFormatting>
  <conditionalFormatting sqref="AB25">
    <cfRule type="expression" dxfId="1212" priority="12312" stopIfTrue="1">
      <formula>NOT(ISBLANK($AB$25))</formula>
    </cfRule>
  </conditionalFormatting>
  <conditionalFormatting sqref="AC25">
    <cfRule type="expression" dxfId="1211" priority="12313" stopIfTrue="1">
      <formula>NOT(ISBLANK($AC$25))</formula>
    </cfRule>
  </conditionalFormatting>
  <conditionalFormatting sqref="AD25">
    <cfRule type="expression" dxfId="1210" priority="12314" stopIfTrue="1">
      <formula>NOT(ISBLANK($AD$25))</formula>
    </cfRule>
  </conditionalFormatting>
  <conditionalFormatting sqref="AE25">
    <cfRule type="expression" dxfId="1209" priority="12315" stopIfTrue="1">
      <formula>NOT(ISBLANK($AE$25))</formula>
    </cfRule>
  </conditionalFormatting>
  <conditionalFormatting sqref="A26">
    <cfRule type="cellIs" dxfId="1208" priority="12316" stopIfTrue="1" operator="notEqual">
      <formula>3</formula>
    </cfRule>
  </conditionalFormatting>
  <conditionalFormatting sqref="B26">
    <cfRule type="cellIs" dxfId="1207" priority="12317" stopIfTrue="1" operator="notEqual">
      <formula>2</formula>
    </cfRule>
  </conditionalFormatting>
  <conditionalFormatting sqref="C26">
    <cfRule type="cellIs" dxfId="1206" priority="12318" stopIfTrue="1" operator="notEqual">
      <formula>0.124</formula>
    </cfRule>
  </conditionalFormatting>
  <conditionalFormatting sqref="D26">
    <cfRule type="cellIs" dxfId="1205" priority="12319" stopIfTrue="1" operator="notEqual">
      <formula>"MGD"</formula>
    </cfRule>
  </conditionalFormatting>
  <conditionalFormatting sqref="E26">
    <cfRule type="cellIs" dxfId="1204" priority="12320" stopIfTrue="1" operator="notEqual">
      <formula>0.035</formula>
    </cfRule>
  </conditionalFormatting>
  <conditionalFormatting sqref="F26">
    <cfRule type="cellIs" dxfId="1203" priority="12321" stopIfTrue="1" operator="notEqual">
      <formula>"MGD"</formula>
    </cfRule>
  </conditionalFormatting>
  <conditionalFormatting sqref="G26">
    <cfRule type="cellIs" dxfId="1202" priority="12322" stopIfTrue="1" operator="notEqual">
      <formula>"throwaway"</formula>
    </cfRule>
  </conditionalFormatting>
  <conditionalFormatting sqref="H26">
    <cfRule type="cellIs" dxfId="1201" priority="12323" stopIfTrue="1" operator="notEqual">
      <formula>240000</formula>
    </cfRule>
  </conditionalFormatting>
  <conditionalFormatting sqref="I26">
    <cfRule type="cellIs" dxfId="1200" priority="12324" stopIfTrue="1" operator="notEqual">
      <formula>"bed volumes"</formula>
    </cfRule>
  </conditionalFormatting>
  <conditionalFormatting sqref="J26">
    <cfRule type="cellIs" dxfId="1199" priority="12325" stopIfTrue="1" operator="notEqual">
      <formula>2</formula>
    </cfRule>
  </conditionalFormatting>
  <conditionalFormatting sqref="K26">
    <cfRule type="cellIs" dxfId="1198" priority="12326" stopIfTrue="1" operator="notEqual">
      <formula>6</formula>
    </cfRule>
  </conditionalFormatting>
  <conditionalFormatting sqref="L26">
    <cfRule type="cellIs" dxfId="1197" priority="12327" stopIfTrue="1" operator="notEqual">
      <formula>"yes"</formula>
    </cfRule>
  </conditionalFormatting>
  <conditionalFormatting sqref="M26">
    <cfRule type="expression" dxfId="1196" priority="12328" stopIfTrue="1">
      <formula>NOT(ISBLANK($M$26))</formula>
    </cfRule>
  </conditionalFormatting>
  <conditionalFormatting sqref="N26">
    <cfRule type="expression" dxfId="1195" priority="12329" stopIfTrue="1">
      <formula>NOT(ISBLANK($N$26))</formula>
    </cfRule>
  </conditionalFormatting>
  <conditionalFormatting sqref="O26">
    <cfRule type="expression" dxfId="1194" priority="12330" stopIfTrue="1">
      <formula>NOT(ISBLANK($O$26))</formula>
    </cfRule>
  </conditionalFormatting>
  <conditionalFormatting sqref="P26">
    <cfRule type="expression" dxfId="1193" priority="12331" stopIfTrue="1">
      <formula>NOT(ISBLANK($P$26))</formula>
    </cfRule>
  </conditionalFormatting>
  <conditionalFormatting sqref="Q26">
    <cfRule type="expression" dxfId="1192" priority="12332" stopIfTrue="1">
      <formula>NOT(ISBLANK($Q$26))</formula>
    </cfRule>
  </conditionalFormatting>
  <conditionalFormatting sqref="R26">
    <cfRule type="cellIs" dxfId="1191" priority="12333" stopIfTrue="1" operator="notEqual">
      <formula>"no holding tank"</formula>
    </cfRule>
  </conditionalFormatting>
  <conditionalFormatting sqref="S26">
    <cfRule type="cellIs" dxfId="1190" priority="12334" stopIfTrue="1" operator="notEqual">
      <formula>"POTW"</formula>
    </cfRule>
  </conditionalFormatting>
  <conditionalFormatting sqref="T26">
    <cfRule type="cellIs" dxfId="1189" priority="12335" stopIfTrue="1" operator="notEqual">
      <formula>"incineration (non-hazardous)"</formula>
    </cfRule>
  </conditionalFormatting>
  <conditionalFormatting sqref="U26">
    <cfRule type="expression" dxfId="1188" priority="12336" stopIfTrue="1">
      <formula>NOT(ISBLANK($U$26))</formula>
    </cfRule>
  </conditionalFormatting>
  <conditionalFormatting sqref="V26">
    <cfRule type="cellIs" dxfId="1187" priority="12337" stopIfTrue="1" operator="notEqual">
      <formula>0</formula>
    </cfRule>
  </conditionalFormatting>
  <conditionalFormatting sqref="W26">
    <cfRule type="expression" dxfId="1186" priority="12338" stopIfTrue="1">
      <formula>NOT(ISBLANK($W$26))</formula>
    </cfRule>
  </conditionalFormatting>
  <conditionalFormatting sqref="X26">
    <cfRule type="expression" dxfId="1185" priority="12339" stopIfTrue="1">
      <formula>NOT(ISBLANK($X$26))</formula>
    </cfRule>
  </conditionalFormatting>
  <conditionalFormatting sqref="Y26">
    <cfRule type="expression" dxfId="1184" priority="12340" stopIfTrue="1">
      <formula>NOT(ISBLANK($Y$26))</formula>
    </cfRule>
  </conditionalFormatting>
  <conditionalFormatting sqref="Z26">
    <cfRule type="expression" dxfId="1183" priority="12341" stopIfTrue="1">
      <formula>NOT(ISBLANK($Z$26))</formula>
    </cfRule>
  </conditionalFormatting>
  <conditionalFormatting sqref="AA26">
    <cfRule type="cellIs" dxfId="1182" priority="12342" stopIfTrue="1" operator="notEqual">
      <formula>"fully automated"</formula>
    </cfRule>
  </conditionalFormatting>
  <conditionalFormatting sqref="AB26">
    <cfRule type="expression" dxfId="1181" priority="12343" stopIfTrue="1">
      <formula>NOT(ISBLANK($AB$26))</formula>
    </cfRule>
  </conditionalFormatting>
  <conditionalFormatting sqref="AC26">
    <cfRule type="expression" dxfId="1180" priority="12344" stopIfTrue="1">
      <formula>NOT(ISBLANK($AC$26))</formula>
    </cfRule>
  </conditionalFormatting>
  <conditionalFormatting sqref="AD26">
    <cfRule type="expression" dxfId="1179" priority="12345" stopIfTrue="1">
      <formula>NOT(ISBLANK($AD$26))</formula>
    </cfRule>
  </conditionalFormatting>
  <conditionalFormatting sqref="AE26">
    <cfRule type="expression" dxfId="1178" priority="12346" stopIfTrue="1">
      <formula>NOT(ISBLANK($AE$26))</formula>
    </cfRule>
  </conditionalFormatting>
  <conditionalFormatting sqref="A27">
    <cfRule type="cellIs" dxfId="1177" priority="12347" stopIfTrue="1" operator="notEqual">
      <formula>3</formula>
    </cfRule>
  </conditionalFormatting>
  <conditionalFormatting sqref="B27">
    <cfRule type="cellIs" dxfId="1176" priority="12348" stopIfTrue="1" operator="notEqual">
      <formula>3</formula>
    </cfRule>
  </conditionalFormatting>
  <conditionalFormatting sqref="C27">
    <cfRule type="cellIs" dxfId="1175" priority="12349" stopIfTrue="1" operator="notEqual">
      <formula>0.305</formula>
    </cfRule>
  </conditionalFormatting>
  <conditionalFormatting sqref="D27">
    <cfRule type="cellIs" dxfId="1174" priority="12350" stopIfTrue="1" operator="notEqual">
      <formula>"MGD"</formula>
    </cfRule>
  </conditionalFormatting>
  <conditionalFormatting sqref="E27">
    <cfRule type="cellIs" dxfId="1173" priority="12351" stopIfTrue="1" operator="notEqual">
      <formula>0.094</formula>
    </cfRule>
  </conditionalFormatting>
  <conditionalFormatting sqref="F27">
    <cfRule type="cellIs" dxfId="1172" priority="12352" stopIfTrue="1" operator="notEqual">
      <formula>"MGD"</formula>
    </cfRule>
  </conditionalFormatting>
  <conditionalFormatting sqref="G27">
    <cfRule type="cellIs" dxfId="1171" priority="12353" stopIfTrue="1" operator="notEqual">
      <formula>"throwaway"</formula>
    </cfRule>
  </conditionalFormatting>
  <conditionalFormatting sqref="H27">
    <cfRule type="cellIs" dxfId="1170" priority="12354" stopIfTrue="1" operator="notEqual">
      <formula>240000</formula>
    </cfRule>
  </conditionalFormatting>
  <conditionalFormatting sqref="I27">
    <cfRule type="cellIs" dxfId="1169" priority="12355" stopIfTrue="1" operator="notEqual">
      <formula>"bed volumes"</formula>
    </cfRule>
  </conditionalFormatting>
  <conditionalFormatting sqref="J27">
    <cfRule type="cellIs" dxfId="1168" priority="12356" stopIfTrue="1" operator="notEqual">
      <formula>2</formula>
    </cfRule>
  </conditionalFormatting>
  <conditionalFormatting sqref="K27">
    <cfRule type="cellIs" dxfId="1167" priority="12357" stopIfTrue="1" operator="notEqual">
      <formula>6</formula>
    </cfRule>
  </conditionalFormatting>
  <conditionalFormatting sqref="L27">
    <cfRule type="cellIs" dxfId="1166" priority="12358" stopIfTrue="1" operator="notEqual">
      <formula>"yes"</formula>
    </cfRule>
  </conditionalFormatting>
  <conditionalFormatting sqref="M27">
    <cfRule type="expression" dxfId="1165" priority="12359" stopIfTrue="1">
      <formula>NOT(ISBLANK($M$27))</formula>
    </cfRule>
  </conditionalFormatting>
  <conditionalFormatting sqref="N27">
    <cfRule type="expression" dxfId="1164" priority="12360" stopIfTrue="1">
      <formula>NOT(ISBLANK($N$27))</formula>
    </cfRule>
  </conditionalFormatting>
  <conditionalFormatting sqref="O27">
    <cfRule type="expression" dxfId="1163" priority="12361" stopIfTrue="1">
      <formula>NOT(ISBLANK($O$27))</formula>
    </cfRule>
  </conditionalFormatting>
  <conditionalFormatting sqref="P27">
    <cfRule type="expression" dxfId="1162" priority="12362" stopIfTrue="1">
      <formula>NOT(ISBLANK($P$27))</formula>
    </cfRule>
  </conditionalFormatting>
  <conditionalFormatting sqref="Q27">
    <cfRule type="expression" dxfId="1161" priority="12363" stopIfTrue="1">
      <formula>NOT(ISBLANK($Q$27))</formula>
    </cfRule>
  </conditionalFormatting>
  <conditionalFormatting sqref="R27">
    <cfRule type="cellIs" dxfId="1160" priority="12364" stopIfTrue="1" operator="notEqual">
      <formula>"no holding tank"</formula>
    </cfRule>
  </conditionalFormatting>
  <conditionalFormatting sqref="S27">
    <cfRule type="cellIs" dxfId="1159" priority="12365" stopIfTrue="1" operator="notEqual">
      <formula>"POTW"</formula>
    </cfRule>
  </conditionalFormatting>
  <conditionalFormatting sqref="T27">
    <cfRule type="cellIs" dxfId="1158" priority="12366" stopIfTrue="1" operator="notEqual">
      <formula>"incineration (non-hazardous)"</formula>
    </cfRule>
  </conditionalFormatting>
  <conditionalFormatting sqref="U27">
    <cfRule type="expression" dxfId="1157" priority="12367" stopIfTrue="1">
      <formula>NOT(ISBLANK($U$27))</formula>
    </cfRule>
  </conditionalFormatting>
  <conditionalFormatting sqref="V27">
    <cfRule type="cellIs" dxfId="1156" priority="12368" stopIfTrue="1" operator="notEqual">
      <formula>0</formula>
    </cfRule>
  </conditionalFormatting>
  <conditionalFormatting sqref="W27">
    <cfRule type="expression" dxfId="1155" priority="12369" stopIfTrue="1">
      <formula>NOT(ISBLANK($W$27))</formula>
    </cfRule>
  </conditionalFormatting>
  <conditionalFormatting sqref="X27">
    <cfRule type="expression" dxfId="1154" priority="12370" stopIfTrue="1">
      <formula>NOT(ISBLANK($X$27))</formula>
    </cfRule>
  </conditionalFormatting>
  <conditionalFormatting sqref="Y27">
    <cfRule type="expression" dxfId="1153" priority="12371" stopIfTrue="1">
      <formula>NOT(ISBLANK($Y$27))</formula>
    </cfRule>
  </conditionalFormatting>
  <conditionalFormatting sqref="Z27">
    <cfRule type="expression" dxfId="1152" priority="12372" stopIfTrue="1">
      <formula>NOT(ISBLANK($Z$27))</formula>
    </cfRule>
  </conditionalFormatting>
  <conditionalFormatting sqref="AA27">
    <cfRule type="cellIs" dxfId="1151" priority="12373" stopIfTrue="1" operator="notEqual">
      <formula>"fully automated"</formula>
    </cfRule>
  </conditionalFormatting>
  <conditionalFormatting sqref="AB27">
    <cfRule type="expression" dxfId="1150" priority="12374" stopIfTrue="1">
      <formula>NOT(ISBLANK($AB$27))</formula>
    </cfRule>
  </conditionalFormatting>
  <conditionalFormatting sqref="AC27">
    <cfRule type="expression" dxfId="1149" priority="12375" stopIfTrue="1">
      <formula>NOT(ISBLANK($AC$27))</formula>
    </cfRule>
  </conditionalFormatting>
  <conditionalFormatting sqref="AD27">
    <cfRule type="expression" dxfId="1148" priority="12376" stopIfTrue="1">
      <formula>NOT(ISBLANK($AD$27))</formula>
    </cfRule>
  </conditionalFormatting>
  <conditionalFormatting sqref="AE27">
    <cfRule type="expression" dxfId="1147" priority="12377" stopIfTrue="1">
      <formula>NOT(ISBLANK($AE$27))</formula>
    </cfRule>
  </conditionalFormatting>
  <conditionalFormatting sqref="A28">
    <cfRule type="cellIs" dxfId="1146" priority="12378" stopIfTrue="1" operator="notEqual">
      <formula>3</formula>
    </cfRule>
  </conditionalFormatting>
  <conditionalFormatting sqref="B28">
    <cfRule type="cellIs" dxfId="1145" priority="12379" stopIfTrue="1" operator="notEqual">
      <formula>4</formula>
    </cfRule>
  </conditionalFormatting>
  <conditionalFormatting sqref="C28">
    <cfRule type="cellIs" dxfId="1144" priority="12380" stopIfTrue="1" operator="notEqual">
      <formula>0.74</formula>
    </cfRule>
  </conditionalFormatting>
  <conditionalFormatting sqref="D28">
    <cfRule type="cellIs" dxfId="1143" priority="12381" stopIfTrue="1" operator="notEqual">
      <formula>"MGD"</formula>
    </cfRule>
  </conditionalFormatting>
  <conditionalFormatting sqref="E28">
    <cfRule type="cellIs" dxfId="1142" priority="12382" stopIfTrue="1" operator="notEqual">
      <formula>0.251</formula>
    </cfRule>
  </conditionalFormatting>
  <conditionalFormatting sqref="F28">
    <cfRule type="cellIs" dxfId="1141" priority="12383" stopIfTrue="1" operator="notEqual">
      <formula>"MGD"</formula>
    </cfRule>
  </conditionalFormatting>
  <conditionalFormatting sqref="G28">
    <cfRule type="cellIs" dxfId="1140" priority="12384" stopIfTrue="1" operator="notEqual">
      <formula>"throwaway"</formula>
    </cfRule>
  </conditionalFormatting>
  <conditionalFormatting sqref="H28">
    <cfRule type="cellIs" dxfId="1139" priority="12385" stopIfTrue="1" operator="notEqual">
      <formula>240000</formula>
    </cfRule>
  </conditionalFormatting>
  <conditionalFormatting sqref="I28">
    <cfRule type="cellIs" dxfId="1138" priority="12386" stopIfTrue="1" operator="notEqual">
      <formula>"bed volumes"</formula>
    </cfRule>
  </conditionalFormatting>
  <conditionalFormatting sqref="J28">
    <cfRule type="cellIs" dxfId="1137" priority="12387" stopIfTrue="1" operator="notEqual">
      <formula>2</formula>
    </cfRule>
  </conditionalFormatting>
  <conditionalFormatting sqref="K28">
    <cfRule type="cellIs" dxfId="1136" priority="12388" stopIfTrue="1" operator="notEqual">
      <formula>6</formula>
    </cfRule>
  </conditionalFormatting>
  <conditionalFormatting sqref="L28">
    <cfRule type="cellIs" dxfId="1135" priority="12389" stopIfTrue="1" operator="notEqual">
      <formula>"yes"</formula>
    </cfRule>
  </conditionalFormatting>
  <conditionalFormatting sqref="M28">
    <cfRule type="expression" dxfId="1134" priority="12390" stopIfTrue="1">
      <formula>NOT(ISBLANK($M$28))</formula>
    </cfRule>
  </conditionalFormatting>
  <conditionalFormatting sqref="N28">
    <cfRule type="expression" dxfId="1133" priority="12391" stopIfTrue="1">
      <formula>NOT(ISBLANK($N$28))</formula>
    </cfRule>
  </conditionalFormatting>
  <conditionalFormatting sqref="O28">
    <cfRule type="expression" dxfId="1132" priority="12392" stopIfTrue="1">
      <formula>NOT(ISBLANK($O$28))</formula>
    </cfRule>
  </conditionalFormatting>
  <conditionalFormatting sqref="P28">
    <cfRule type="expression" dxfId="1131" priority="12393" stopIfTrue="1">
      <formula>NOT(ISBLANK($P$28))</formula>
    </cfRule>
  </conditionalFormatting>
  <conditionalFormatting sqref="Q28">
    <cfRule type="expression" dxfId="1130" priority="12394" stopIfTrue="1">
      <formula>NOT(ISBLANK($Q$28))</formula>
    </cfRule>
  </conditionalFormatting>
  <conditionalFormatting sqref="R28">
    <cfRule type="cellIs" dxfId="1129" priority="12395" stopIfTrue="1" operator="notEqual">
      <formula>"no holding tank"</formula>
    </cfRule>
  </conditionalFormatting>
  <conditionalFormatting sqref="S28">
    <cfRule type="cellIs" dxfId="1128" priority="12396" stopIfTrue="1" operator="notEqual">
      <formula>"POTW"</formula>
    </cfRule>
  </conditionalFormatting>
  <conditionalFormatting sqref="T28">
    <cfRule type="cellIs" dxfId="1127" priority="12397" stopIfTrue="1" operator="notEqual">
      <formula>"incineration (non-hazardous)"</formula>
    </cfRule>
  </conditionalFormatting>
  <conditionalFormatting sqref="U28">
    <cfRule type="expression" dxfId="1126" priority="12398" stopIfTrue="1">
      <formula>NOT(ISBLANK($U$28))</formula>
    </cfRule>
  </conditionalFormatting>
  <conditionalFormatting sqref="V28">
    <cfRule type="cellIs" dxfId="1125" priority="12399" stopIfTrue="1" operator="notEqual">
      <formula>0</formula>
    </cfRule>
  </conditionalFormatting>
  <conditionalFormatting sqref="W28">
    <cfRule type="expression" dxfId="1124" priority="12400" stopIfTrue="1">
      <formula>NOT(ISBLANK($W$28))</formula>
    </cfRule>
  </conditionalFormatting>
  <conditionalFormatting sqref="X28">
    <cfRule type="expression" dxfId="1123" priority="12401" stopIfTrue="1">
      <formula>NOT(ISBLANK($X$28))</formula>
    </cfRule>
  </conditionalFormatting>
  <conditionalFormatting sqref="Y28">
    <cfRule type="expression" dxfId="1122" priority="12402" stopIfTrue="1">
      <formula>NOT(ISBLANK($Y$28))</formula>
    </cfRule>
  </conditionalFormatting>
  <conditionalFormatting sqref="Z28">
    <cfRule type="expression" dxfId="1121" priority="12403" stopIfTrue="1">
      <formula>NOT(ISBLANK($Z$28))</formula>
    </cfRule>
  </conditionalFormatting>
  <conditionalFormatting sqref="AA28">
    <cfRule type="cellIs" dxfId="1120" priority="12404" stopIfTrue="1" operator="notEqual">
      <formula>"fully automated"</formula>
    </cfRule>
  </conditionalFormatting>
  <conditionalFormatting sqref="AB28">
    <cfRule type="expression" dxfId="1119" priority="12405" stopIfTrue="1">
      <formula>NOT(ISBLANK($AB$28))</formula>
    </cfRule>
  </conditionalFormatting>
  <conditionalFormatting sqref="AC28">
    <cfRule type="expression" dxfId="1118" priority="12406" stopIfTrue="1">
      <formula>NOT(ISBLANK($AC$28))</formula>
    </cfRule>
  </conditionalFormatting>
  <conditionalFormatting sqref="AD28">
    <cfRule type="expression" dxfId="1117" priority="12407" stopIfTrue="1">
      <formula>NOT(ISBLANK($AD$28))</formula>
    </cfRule>
  </conditionalFormatting>
  <conditionalFormatting sqref="AE28">
    <cfRule type="expression" dxfId="1116" priority="12408" stopIfTrue="1">
      <formula>NOT(ISBLANK($AE$28))</formula>
    </cfRule>
  </conditionalFormatting>
  <conditionalFormatting sqref="A29">
    <cfRule type="cellIs" dxfId="1115" priority="12409" stopIfTrue="1" operator="notEqual">
      <formula>3</formula>
    </cfRule>
  </conditionalFormatting>
  <conditionalFormatting sqref="B29">
    <cfRule type="cellIs" dxfId="1114" priority="12410" stopIfTrue="1" operator="notEqual">
      <formula>5</formula>
    </cfRule>
  </conditionalFormatting>
  <conditionalFormatting sqref="C29">
    <cfRule type="cellIs" dxfId="1113" priority="12411" stopIfTrue="1" operator="notEqual">
      <formula>2.152</formula>
    </cfRule>
  </conditionalFormatting>
  <conditionalFormatting sqref="D29">
    <cfRule type="cellIs" dxfId="1112" priority="12412" stopIfTrue="1" operator="notEqual">
      <formula>"MGD"</formula>
    </cfRule>
  </conditionalFormatting>
  <conditionalFormatting sqref="E29">
    <cfRule type="cellIs" dxfId="1111" priority="12413" stopIfTrue="1" operator="notEqual">
      <formula>0.819</formula>
    </cfRule>
  </conditionalFormatting>
  <conditionalFormatting sqref="F29">
    <cfRule type="cellIs" dxfId="1110" priority="12414" stopIfTrue="1" operator="notEqual">
      <formula>"MGD"</formula>
    </cfRule>
  </conditionalFormatting>
  <conditionalFormatting sqref="G29">
    <cfRule type="cellIs" dxfId="1109" priority="12415" stopIfTrue="1" operator="notEqual">
      <formula>"throwaway"</formula>
    </cfRule>
  </conditionalFormatting>
  <conditionalFormatting sqref="H29">
    <cfRule type="cellIs" dxfId="1108" priority="12416" stopIfTrue="1" operator="notEqual">
      <formula>240000</formula>
    </cfRule>
  </conditionalFormatting>
  <conditionalFormatting sqref="I29">
    <cfRule type="cellIs" dxfId="1107" priority="12417" stopIfTrue="1" operator="notEqual">
      <formula>"bed volumes"</formula>
    </cfRule>
  </conditionalFormatting>
  <conditionalFormatting sqref="J29">
    <cfRule type="cellIs" dxfId="1106" priority="12418" stopIfTrue="1" operator="notEqual">
      <formula>2</formula>
    </cfRule>
  </conditionalFormatting>
  <conditionalFormatting sqref="K29">
    <cfRule type="cellIs" dxfId="1105" priority="12419" stopIfTrue="1" operator="notEqual">
      <formula>6</formula>
    </cfRule>
  </conditionalFormatting>
  <conditionalFormatting sqref="L29">
    <cfRule type="cellIs" dxfId="1104" priority="12420" stopIfTrue="1" operator="notEqual">
      <formula>"yes"</formula>
    </cfRule>
  </conditionalFormatting>
  <conditionalFormatting sqref="M29">
    <cfRule type="expression" dxfId="1103" priority="12421" stopIfTrue="1">
      <formula>NOT(ISBLANK($M$29))</formula>
    </cfRule>
  </conditionalFormatting>
  <conditionalFormatting sqref="N29">
    <cfRule type="expression" dxfId="1102" priority="12422" stopIfTrue="1">
      <formula>NOT(ISBLANK($N$29))</formula>
    </cfRule>
  </conditionalFormatting>
  <conditionalFormatting sqref="O29">
    <cfRule type="expression" dxfId="1101" priority="12423" stopIfTrue="1">
      <formula>NOT(ISBLANK($O$29))</formula>
    </cfRule>
  </conditionalFormatting>
  <conditionalFormatting sqref="P29">
    <cfRule type="expression" dxfId="1100" priority="12424" stopIfTrue="1">
      <formula>NOT(ISBLANK($P$29))</formula>
    </cfRule>
  </conditionalFormatting>
  <conditionalFormatting sqref="Q29">
    <cfRule type="expression" dxfId="1099" priority="12425" stopIfTrue="1">
      <formula>NOT(ISBLANK($Q$29))</formula>
    </cfRule>
  </conditionalFormatting>
  <conditionalFormatting sqref="R29">
    <cfRule type="cellIs" dxfId="1098" priority="12426" stopIfTrue="1" operator="notEqual">
      <formula>"no holding tank"</formula>
    </cfRule>
  </conditionalFormatting>
  <conditionalFormatting sqref="S29">
    <cfRule type="cellIs" dxfId="1097" priority="12427" stopIfTrue="1" operator="notEqual">
      <formula>"POTW"</formula>
    </cfRule>
  </conditionalFormatting>
  <conditionalFormatting sqref="T29">
    <cfRule type="cellIs" dxfId="1096" priority="12428" stopIfTrue="1" operator="notEqual">
      <formula>"incineration (non-hazardous)"</formula>
    </cfRule>
  </conditionalFormatting>
  <conditionalFormatting sqref="U29">
    <cfRule type="expression" dxfId="1095" priority="12429" stopIfTrue="1">
      <formula>NOT(ISBLANK($U$29))</formula>
    </cfRule>
  </conditionalFormatting>
  <conditionalFormatting sqref="V29">
    <cfRule type="cellIs" dxfId="1094" priority="12430" stopIfTrue="1" operator="notEqual">
      <formula>0</formula>
    </cfRule>
  </conditionalFormatting>
  <conditionalFormatting sqref="W29">
    <cfRule type="expression" dxfId="1093" priority="12431" stopIfTrue="1">
      <formula>NOT(ISBLANK($W$29))</formula>
    </cfRule>
  </conditionalFormatting>
  <conditionalFormatting sqref="X29">
    <cfRule type="expression" dxfId="1092" priority="12432" stopIfTrue="1">
      <formula>NOT(ISBLANK($X$29))</formula>
    </cfRule>
  </conditionalFormatting>
  <conditionalFormatting sqref="Y29">
    <cfRule type="expression" dxfId="1091" priority="12433" stopIfTrue="1">
      <formula>NOT(ISBLANK($Y$29))</formula>
    </cfRule>
  </conditionalFormatting>
  <conditionalFormatting sqref="Z29">
    <cfRule type="expression" dxfId="1090" priority="12434" stopIfTrue="1">
      <formula>NOT(ISBLANK($Z$29))</formula>
    </cfRule>
  </conditionalFormatting>
  <conditionalFormatting sqref="AA29">
    <cfRule type="cellIs" dxfId="1089" priority="12435" stopIfTrue="1" operator="notEqual">
      <formula>"fully automated"</formula>
    </cfRule>
  </conditionalFormatting>
  <conditionalFormatting sqref="AB29">
    <cfRule type="expression" dxfId="1088" priority="12436" stopIfTrue="1">
      <formula>NOT(ISBLANK($AB$29))</formula>
    </cfRule>
  </conditionalFormatting>
  <conditionalFormatting sqref="AC29">
    <cfRule type="expression" dxfId="1087" priority="12437" stopIfTrue="1">
      <formula>NOT(ISBLANK($AC$29))</formula>
    </cfRule>
  </conditionalFormatting>
  <conditionalFormatting sqref="AD29">
    <cfRule type="expression" dxfId="1086" priority="12438" stopIfTrue="1">
      <formula>NOT(ISBLANK($AD$29))</formula>
    </cfRule>
  </conditionalFormatting>
  <conditionalFormatting sqref="AE29">
    <cfRule type="expression" dxfId="1085" priority="12439" stopIfTrue="1">
      <formula>NOT(ISBLANK($AE$29))</formula>
    </cfRule>
  </conditionalFormatting>
  <conditionalFormatting sqref="A30">
    <cfRule type="cellIs" dxfId="1084" priority="12440" stopIfTrue="1" operator="notEqual">
      <formula>3</formula>
    </cfRule>
  </conditionalFormatting>
  <conditionalFormatting sqref="B30">
    <cfRule type="cellIs" dxfId="1083" priority="12441" stopIfTrue="1" operator="notEqual">
      <formula>6</formula>
    </cfRule>
  </conditionalFormatting>
  <conditionalFormatting sqref="C30">
    <cfRule type="cellIs" dxfId="1082" priority="12442" stopIfTrue="1" operator="notEqual">
      <formula>7.365</formula>
    </cfRule>
  </conditionalFormatting>
  <conditionalFormatting sqref="D30">
    <cfRule type="cellIs" dxfId="1081" priority="12443" stopIfTrue="1" operator="notEqual">
      <formula>"MGD"</formula>
    </cfRule>
  </conditionalFormatting>
  <conditionalFormatting sqref="E30">
    <cfRule type="cellIs" dxfId="1080" priority="12444" stopIfTrue="1" operator="notEqual">
      <formula>3.2</formula>
    </cfRule>
  </conditionalFormatting>
  <conditionalFormatting sqref="F30">
    <cfRule type="cellIs" dxfId="1079" priority="12445" stopIfTrue="1" operator="notEqual">
      <formula>"MGD"</formula>
    </cfRule>
  </conditionalFormatting>
  <conditionalFormatting sqref="G30">
    <cfRule type="cellIs" dxfId="1078" priority="12446" stopIfTrue="1" operator="notEqual">
      <formula>"throwaway"</formula>
    </cfRule>
  </conditionalFormatting>
  <conditionalFormatting sqref="H30">
    <cfRule type="cellIs" dxfId="1077" priority="12447" stopIfTrue="1" operator="notEqual">
      <formula>240000</formula>
    </cfRule>
  </conditionalFormatting>
  <conditionalFormatting sqref="I30">
    <cfRule type="cellIs" dxfId="1076" priority="12448" stopIfTrue="1" operator="notEqual">
      <formula>"bed volumes"</formula>
    </cfRule>
  </conditionalFormatting>
  <conditionalFormatting sqref="J30">
    <cfRule type="cellIs" dxfId="1075" priority="12449" stopIfTrue="1" operator="notEqual">
      <formula>2</formula>
    </cfRule>
  </conditionalFormatting>
  <conditionalFormatting sqref="K30">
    <cfRule type="cellIs" dxfId="1074" priority="12450" stopIfTrue="1" operator="notEqual">
      <formula>6</formula>
    </cfRule>
  </conditionalFormatting>
  <conditionalFormatting sqref="L30">
    <cfRule type="cellIs" dxfId="1073" priority="12451" stopIfTrue="1" operator="notEqual">
      <formula>"yes"</formula>
    </cfRule>
  </conditionalFormatting>
  <conditionalFormatting sqref="M30">
    <cfRule type="expression" dxfId="1072" priority="12452" stopIfTrue="1">
      <formula>NOT(ISBLANK($M$30))</formula>
    </cfRule>
  </conditionalFormatting>
  <conditionalFormatting sqref="N30">
    <cfRule type="expression" dxfId="1071" priority="12453" stopIfTrue="1">
      <formula>NOT(ISBLANK($N$30))</formula>
    </cfRule>
  </conditionalFormatting>
  <conditionalFormatting sqref="O30">
    <cfRule type="expression" dxfId="1070" priority="12454" stopIfTrue="1">
      <formula>NOT(ISBLANK($O$30))</formula>
    </cfRule>
  </conditionalFormatting>
  <conditionalFormatting sqref="P30">
    <cfRule type="expression" dxfId="1069" priority="12455" stopIfTrue="1">
      <formula>NOT(ISBLANK($P$30))</formula>
    </cfRule>
  </conditionalFormatting>
  <conditionalFormatting sqref="Q30">
    <cfRule type="expression" dxfId="1068" priority="12456" stopIfTrue="1">
      <formula>NOT(ISBLANK($Q$30))</formula>
    </cfRule>
  </conditionalFormatting>
  <conditionalFormatting sqref="R30">
    <cfRule type="cellIs" dxfId="1067" priority="12457" stopIfTrue="1" operator="notEqual">
      <formula>"no holding tank"</formula>
    </cfRule>
  </conditionalFormatting>
  <conditionalFormatting sqref="S30">
    <cfRule type="cellIs" dxfId="1066" priority="12458" stopIfTrue="1" operator="notEqual">
      <formula>"POTW"</formula>
    </cfRule>
  </conditionalFormatting>
  <conditionalFormatting sqref="T30">
    <cfRule type="cellIs" dxfId="1065" priority="12459" stopIfTrue="1" operator="notEqual">
      <formula>"incineration (non-hazardous)"</formula>
    </cfRule>
  </conditionalFormatting>
  <conditionalFormatting sqref="U30">
    <cfRule type="expression" dxfId="1064" priority="12460" stopIfTrue="1">
      <formula>NOT(ISBLANK($U$30))</formula>
    </cfRule>
  </conditionalFormatting>
  <conditionalFormatting sqref="V30">
    <cfRule type="cellIs" dxfId="1063" priority="12461" stopIfTrue="1" operator="notEqual">
      <formula>0</formula>
    </cfRule>
  </conditionalFormatting>
  <conditionalFormatting sqref="W30">
    <cfRule type="expression" dxfId="1062" priority="12462" stopIfTrue="1">
      <formula>NOT(ISBLANK($W$30))</formula>
    </cfRule>
  </conditionalFormatting>
  <conditionalFormatting sqref="X30">
    <cfRule type="expression" dxfId="1061" priority="12463" stopIfTrue="1">
      <formula>NOT(ISBLANK($X$30))</formula>
    </cfRule>
  </conditionalFormatting>
  <conditionalFormatting sqref="Y30">
    <cfRule type="expression" dxfId="1060" priority="12464" stopIfTrue="1">
      <formula>NOT(ISBLANK($Y$30))</formula>
    </cfRule>
  </conditionalFormatting>
  <conditionalFormatting sqref="Z30">
    <cfRule type="expression" dxfId="1059" priority="12465" stopIfTrue="1">
      <formula>NOT(ISBLANK($Z$30))</formula>
    </cfRule>
  </conditionalFormatting>
  <conditionalFormatting sqref="AA30">
    <cfRule type="cellIs" dxfId="1058" priority="12466" stopIfTrue="1" operator="notEqual">
      <formula>"fully automated"</formula>
    </cfRule>
  </conditionalFormatting>
  <conditionalFormatting sqref="AB30">
    <cfRule type="expression" dxfId="1057" priority="12467" stopIfTrue="1">
      <formula>NOT(ISBLANK($AB$30))</formula>
    </cfRule>
  </conditionalFormatting>
  <conditionalFormatting sqref="AC30">
    <cfRule type="expression" dxfId="1056" priority="12468" stopIfTrue="1">
      <formula>NOT(ISBLANK($AC$30))</formula>
    </cfRule>
  </conditionalFormatting>
  <conditionalFormatting sqref="AD30">
    <cfRule type="expression" dxfId="1055" priority="12469" stopIfTrue="1">
      <formula>NOT(ISBLANK($AD$30))</formula>
    </cfRule>
  </conditionalFormatting>
  <conditionalFormatting sqref="AE30">
    <cfRule type="expression" dxfId="1054" priority="12470" stopIfTrue="1">
      <formula>NOT(ISBLANK($AE$30))</formula>
    </cfRule>
  </conditionalFormatting>
  <conditionalFormatting sqref="A31">
    <cfRule type="cellIs" dxfId="1053" priority="12471" stopIfTrue="1" operator="notEqual">
      <formula>3</formula>
    </cfRule>
  </conditionalFormatting>
  <conditionalFormatting sqref="B31">
    <cfRule type="cellIs" dxfId="1052" priority="12472" stopIfTrue="1" operator="notEqual">
      <formula>7</formula>
    </cfRule>
  </conditionalFormatting>
  <conditionalFormatting sqref="C31">
    <cfRule type="cellIs" dxfId="1051" priority="12473" stopIfTrue="1" operator="notEqual">
      <formula>22.614</formula>
    </cfRule>
  </conditionalFormatting>
  <conditionalFormatting sqref="D31">
    <cfRule type="cellIs" dxfId="1050" priority="12474" stopIfTrue="1" operator="notEqual">
      <formula>"MGD"</formula>
    </cfRule>
  </conditionalFormatting>
  <conditionalFormatting sqref="E31">
    <cfRule type="cellIs" dxfId="1049" priority="12475" stopIfTrue="1" operator="notEqual">
      <formula>11.066</formula>
    </cfRule>
  </conditionalFormatting>
  <conditionalFormatting sqref="F31">
    <cfRule type="cellIs" dxfId="1048" priority="12476" stopIfTrue="1" operator="notEqual">
      <formula>"MGD"</formula>
    </cfRule>
  </conditionalFormatting>
  <conditionalFormatting sqref="G31">
    <cfRule type="cellIs" dxfId="1047" priority="12477" stopIfTrue="1" operator="notEqual">
      <formula>"throwaway"</formula>
    </cfRule>
  </conditionalFormatting>
  <conditionalFormatting sqref="H31">
    <cfRule type="cellIs" dxfId="1046" priority="12478" stopIfTrue="1" operator="notEqual">
      <formula>240000</formula>
    </cfRule>
  </conditionalFormatting>
  <conditionalFormatting sqref="I31">
    <cfRule type="cellIs" dxfId="1045" priority="12479" stopIfTrue="1" operator="notEqual">
      <formula>"bed volumes"</formula>
    </cfRule>
  </conditionalFormatting>
  <conditionalFormatting sqref="J31">
    <cfRule type="cellIs" dxfId="1044" priority="12480" stopIfTrue="1" operator="notEqual">
      <formula>2</formula>
    </cfRule>
  </conditionalFormatting>
  <conditionalFormatting sqref="K31">
    <cfRule type="cellIs" dxfId="1043" priority="12481" stopIfTrue="1" operator="notEqual">
      <formula>6</formula>
    </cfRule>
  </conditionalFormatting>
  <conditionalFormatting sqref="L31">
    <cfRule type="cellIs" dxfId="1042" priority="12482" stopIfTrue="1" operator="notEqual">
      <formula>"yes"</formula>
    </cfRule>
  </conditionalFormatting>
  <conditionalFormatting sqref="M31">
    <cfRule type="expression" dxfId="1041" priority="12483" stopIfTrue="1">
      <formula>NOT(ISBLANK($M$31))</formula>
    </cfRule>
  </conditionalFormatting>
  <conditionalFormatting sqref="N31">
    <cfRule type="expression" dxfId="1040" priority="12484" stopIfTrue="1">
      <formula>NOT(ISBLANK($N$31))</formula>
    </cfRule>
  </conditionalFormatting>
  <conditionalFormatting sqref="O31">
    <cfRule type="expression" dxfId="1039" priority="12485" stopIfTrue="1">
      <formula>NOT(ISBLANK($O$31))</formula>
    </cfRule>
  </conditionalFormatting>
  <conditionalFormatting sqref="P31">
    <cfRule type="expression" dxfId="1038" priority="12486" stopIfTrue="1">
      <formula>NOT(ISBLANK($P$31))</formula>
    </cfRule>
  </conditionalFormatting>
  <conditionalFormatting sqref="Q31">
    <cfRule type="expression" dxfId="1037" priority="12487" stopIfTrue="1">
      <formula>NOT(ISBLANK($Q$31))</formula>
    </cfRule>
  </conditionalFormatting>
  <conditionalFormatting sqref="R31">
    <cfRule type="cellIs" dxfId="1036" priority="12488" stopIfTrue="1" operator="notEqual">
      <formula>"no holding tank"</formula>
    </cfRule>
  </conditionalFormatting>
  <conditionalFormatting sqref="S31">
    <cfRule type="cellIs" dxfId="1035" priority="12489" stopIfTrue="1" operator="notEqual">
      <formula>"POTW"</formula>
    </cfRule>
  </conditionalFormatting>
  <conditionalFormatting sqref="T31">
    <cfRule type="cellIs" dxfId="1034" priority="12490" stopIfTrue="1" operator="notEqual">
      <formula>"incineration (non-hazardous)"</formula>
    </cfRule>
  </conditionalFormatting>
  <conditionalFormatting sqref="U31">
    <cfRule type="expression" dxfId="1033" priority="12491" stopIfTrue="1">
      <formula>NOT(ISBLANK($U$31))</formula>
    </cfRule>
  </conditionalFormatting>
  <conditionalFormatting sqref="V31">
    <cfRule type="cellIs" dxfId="1032" priority="12492" stopIfTrue="1" operator="notEqual">
      <formula>0</formula>
    </cfRule>
  </conditionalFormatting>
  <conditionalFormatting sqref="W31">
    <cfRule type="expression" dxfId="1031" priority="12493" stopIfTrue="1">
      <formula>NOT(ISBLANK($W$31))</formula>
    </cfRule>
  </conditionalFormatting>
  <conditionalFormatting sqref="X31">
    <cfRule type="expression" dxfId="1030" priority="12494" stopIfTrue="1">
      <formula>NOT(ISBLANK($X$31))</formula>
    </cfRule>
  </conditionalFormatting>
  <conditionalFormatting sqref="Y31">
    <cfRule type="expression" dxfId="1029" priority="12495" stopIfTrue="1">
      <formula>NOT(ISBLANK($Y$31))</formula>
    </cfRule>
  </conditionalFormatting>
  <conditionalFormatting sqref="Z31">
    <cfRule type="expression" dxfId="1028" priority="12496" stopIfTrue="1">
      <formula>NOT(ISBLANK($Z$31))</formula>
    </cfRule>
  </conditionalFormatting>
  <conditionalFormatting sqref="AA31">
    <cfRule type="cellIs" dxfId="1027" priority="12497" stopIfTrue="1" operator="notEqual">
      <formula>"fully automated"</formula>
    </cfRule>
  </conditionalFormatting>
  <conditionalFormatting sqref="AB31">
    <cfRule type="expression" dxfId="1026" priority="12498" stopIfTrue="1">
      <formula>NOT(ISBLANK($AB$31))</formula>
    </cfRule>
  </conditionalFormatting>
  <conditionalFormatting sqref="AC31">
    <cfRule type="expression" dxfId="1025" priority="12499" stopIfTrue="1">
      <formula>NOT(ISBLANK($AC$31))</formula>
    </cfRule>
  </conditionalFormatting>
  <conditionalFormatting sqref="AD31">
    <cfRule type="expression" dxfId="1024" priority="12500" stopIfTrue="1">
      <formula>NOT(ISBLANK($AD$31))</formula>
    </cfRule>
  </conditionalFormatting>
  <conditionalFormatting sqref="AE31">
    <cfRule type="expression" dxfId="1023" priority="12501" stopIfTrue="1">
      <formula>NOT(ISBLANK($AE$31))</formula>
    </cfRule>
  </conditionalFormatting>
  <conditionalFormatting sqref="A32">
    <cfRule type="cellIs" dxfId="1022" priority="12502" stopIfTrue="1" operator="notEqual">
      <formula>3</formula>
    </cfRule>
  </conditionalFormatting>
  <conditionalFormatting sqref="B32">
    <cfRule type="cellIs" dxfId="1021" priority="12503" stopIfTrue="1" operator="notEqual">
      <formula>8</formula>
    </cfRule>
  </conditionalFormatting>
  <conditionalFormatting sqref="C32">
    <cfRule type="cellIs" dxfId="1020" priority="12504" stopIfTrue="1" operator="notEqual">
      <formula>75.072</formula>
    </cfRule>
  </conditionalFormatting>
  <conditionalFormatting sqref="D32">
    <cfRule type="cellIs" dxfId="1019" priority="12505" stopIfTrue="1" operator="notEqual">
      <formula>"MGD"</formula>
    </cfRule>
  </conditionalFormatting>
  <conditionalFormatting sqref="E32">
    <cfRule type="cellIs" dxfId="1018" priority="12506" stopIfTrue="1" operator="notEqual">
      <formula>37.536</formula>
    </cfRule>
  </conditionalFormatting>
  <conditionalFormatting sqref="F32">
    <cfRule type="cellIs" dxfId="1017" priority="12507" stopIfTrue="1" operator="notEqual">
      <formula>"MGD"</formula>
    </cfRule>
  </conditionalFormatting>
  <conditionalFormatting sqref="G32">
    <cfRule type="cellIs" dxfId="1016" priority="12508" stopIfTrue="1" operator="notEqual">
      <formula>"throwaway"</formula>
    </cfRule>
  </conditionalFormatting>
  <conditionalFormatting sqref="H32">
    <cfRule type="cellIs" dxfId="1015" priority="12509" stopIfTrue="1" operator="notEqual">
      <formula>240000</formula>
    </cfRule>
  </conditionalFormatting>
  <conditionalFormatting sqref="I32">
    <cfRule type="cellIs" dxfId="1014" priority="12510" stopIfTrue="1" operator="notEqual">
      <formula>"bed volumes"</formula>
    </cfRule>
  </conditionalFormatting>
  <conditionalFormatting sqref="J32">
    <cfRule type="cellIs" dxfId="1013" priority="12511" stopIfTrue="1" operator="notEqual">
      <formula>2</formula>
    </cfRule>
  </conditionalFormatting>
  <conditionalFormatting sqref="K32">
    <cfRule type="cellIs" dxfId="1012" priority="12512" stopIfTrue="1" operator="notEqual">
      <formula>6</formula>
    </cfRule>
  </conditionalFormatting>
  <conditionalFormatting sqref="L32">
    <cfRule type="cellIs" dxfId="1011" priority="12513" stopIfTrue="1" operator="notEqual">
      <formula>"yes"</formula>
    </cfRule>
  </conditionalFormatting>
  <conditionalFormatting sqref="M32">
    <cfRule type="expression" dxfId="1010" priority="12514" stopIfTrue="1">
      <formula>NOT(ISBLANK($M$32))</formula>
    </cfRule>
  </conditionalFormatting>
  <conditionalFormatting sqref="N32">
    <cfRule type="expression" dxfId="1009" priority="12515" stopIfTrue="1">
      <formula>NOT(ISBLANK($N$32))</formula>
    </cfRule>
  </conditionalFormatting>
  <conditionalFormatting sqref="O32">
    <cfRule type="expression" dxfId="1008" priority="12516" stopIfTrue="1">
      <formula>NOT(ISBLANK($O$32))</formula>
    </cfRule>
  </conditionalFormatting>
  <conditionalFormatting sqref="P32">
    <cfRule type="expression" dxfId="1007" priority="12517" stopIfTrue="1">
      <formula>NOT(ISBLANK($P$32))</formula>
    </cfRule>
  </conditionalFormatting>
  <conditionalFormatting sqref="Q32">
    <cfRule type="expression" dxfId="1006" priority="12518" stopIfTrue="1">
      <formula>NOT(ISBLANK($Q$32))</formula>
    </cfRule>
  </conditionalFormatting>
  <conditionalFormatting sqref="R32">
    <cfRule type="cellIs" dxfId="1005" priority="12519" stopIfTrue="1" operator="notEqual">
      <formula>"no holding tank"</formula>
    </cfRule>
  </conditionalFormatting>
  <conditionalFormatting sqref="S32">
    <cfRule type="cellIs" dxfId="1004" priority="12520" stopIfTrue="1" operator="notEqual">
      <formula>"POTW"</formula>
    </cfRule>
  </conditionalFormatting>
  <conditionalFormatting sqref="T32">
    <cfRule type="cellIs" dxfId="1003" priority="12521" stopIfTrue="1" operator="notEqual">
      <formula>"incineration (non-hazardous)"</formula>
    </cfRule>
  </conditionalFormatting>
  <conditionalFormatting sqref="U32">
    <cfRule type="expression" dxfId="1002" priority="12522" stopIfTrue="1">
      <formula>NOT(ISBLANK($U$32))</formula>
    </cfRule>
  </conditionalFormatting>
  <conditionalFormatting sqref="V32">
    <cfRule type="cellIs" dxfId="1001" priority="12523" stopIfTrue="1" operator="notEqual">
      <formula>0</formula>
    </cfRule>
  </conditionalFormatting>
  <conditionalFormatting sqref="W32">
    <cfRule type="expression" dxfId="1000" priority="12524" stopIfTrue="1">
      <formula>NOT(ISBLANK($W$32))</formula>
    </cfRule>
  </conditionalFormatting>
  <conditionalFormatting sqref="X32">
    <cfRule type="expression" dxfId="999" priority="12525" stopIfTrue="1">
      <formula>NOT(ISBLANK($X$32))</formula>
    </cfRule>
  </conditionalFormatting>
  <conditionalFormatting sqref="Y32">
    <cfRule type="expression" dxfId="998" priority="12526" stopIfTrue="1">
      <formula>NOT(ISBLANK($Y$32))</formula>
    </cfRule>
  </conditionalFormatting>
  <conditionalFormatting sqref="Z32">
    <cfRule type="expression" dxfId="997" priority="12527" stopIfTrue="1">
      <formula>NOT(ISBLANK($Z$32))</formula>
    </cfRule>
  </conditionalFormatting>
  <conditionalFormatting sqref="AA32">
    <cfRule type="cellIs" dxfId="996" priority="12528" stopIfTrue="1" operator="notEqual">
      <formula>"fully automated"</formula>
    </cfRule>
  </conditionalFormatting>
  <conditionalFormatting sqref="AB32">
    <cfRule type="expression" dxfId="995" priority="12529" stopIfTrue="1">
      <formula>NOT(ISBLANK($AB$32))</formula>
    </cfRule>
  </conditionalFormatting>
  <conditionalFormatting sqref="AC32">
    <cfRule type="expression" dxfId="994" priority="12530" stopIfTrue="1">
      <formula>NOT(ISBLANK($AC$32))</formula>
    </cfRule>
  </conditionalFormatting>
  <conditionalFormatting sqref="AD32">
    <cfRule type="expression" dxfId="993" priority="12531" stopIfTrue="1">
      <formula>NOT(ISBLANK($AD$32))</formula>
    </cfRule>
  </conditionalFormatting>
  <conditionalFormatting sqref="AE32">
    <cfRule type="expression" dxfId="992" priority="12532" stopIfTrue="1">
      <formula>NOT(ISBLANK($AE$32))</formula>
    </cfRule>
  </conditionalFormatting>
  <conditionalFormatting sqref="A33">
    <cfRule type="cellIs" dxfId="991" priority="12533" stopIfTrue="1" operator="notEqual">
      <formula>4</formula>
    </cfRule>
  </conditionalFormatting>
  <conditionalFormatting sqref="B33">
    <cfRule type="cellIs" dxfId="990" priority="12534" stopIfTrue="1" operator="notEqual">
      <formula>1</formula>
    </cfRule>
  </conditionalFormatting>
  <conditionalFormatting sqref="C33">
    <cfRule type="cellIs" dxfId="989" priority="12535" stopIfTrue="1" operator="notEqual">
      <formula>0.03</formula>
    </cfRule>
  </conditionalFormatting>
  <conditionalFormatting sqref="D33">
    <cfRule type="cellIs" dxfId="988" priority="12536" stopIfTrue="1" operator="notEqual">
      <formula>"MGD"</formula>
    </cfRule>
  </conditionalFormatting>
  <conditionalFormatting sqref="E33">
    <cfRule type="cellIs" dxfId="987" priority="12537" stopIfTrue="1" operator="notEqual">
      <formula>0.007</formula>
    </cfRule>
  </conditionalFormatting>
  <conditionalFormatting sqref="F33">
    <cfRule type="cellIs" dxfId="986" priority="12538" stopIfTrue="1" operator="notEqual">
      <formula>"MGD"</formula>
    </cfRule>
  </conditionalFormatting>
  <conditionalFormatting sqref="G33">
    <cfRule type="cellIs" dxfId="985" priority="12539" stopIfTrue="1" operator="notEqual">
      <formula>"throwaway"</formula>
    </cfRule>
  </conditionalFormatting>
  <conditionalFormatting sqref="H33">
    <cfRule type="cellIs" dxfId="984" priority="12540" stopIfTrue="1" operator="notEqual">
      <formula>200000</formula>
    </cfRule>
  </conditionalFormatting>
  <conditionalFormatting sqref="I33">
    <cfRule type="cellIs" dxfId="983" priority="12541" stopIfTrue="1" operator="notEqual">
      <formula>"bed volumes"</formula>
    </cfRule>
  </conditionalFormatting>
  <conditionalFormatting sqref="J33">
    <cfRule type="cellIs" dxfId="982" priority="12542" stopIfTrue="1" operator="notEqual">
      <formula>2</formula>
    </cfRule>
  </conditionalFormatting>
  <conditionalFormatting sqref="K33">
    <cfRule type="cellIs" dxfId="981" priority="12543" stopIfTrue="1" operator="notEqual">
      <formula>6</formula>
    </cfRule>
  </conditionalFormatting>
  <conditionalFormatting sqref="L33">
    <cfRule type="cellIs" dxfId="980" priority="12544" stopIfTrue="1" operator="notEqual">
      <formula>"yes"</formula>
    </cfRule>
  </conditionalFormatting>
  <conditionalFormatting sqref="M33">
    <cfRule type="expression" dxfId="979" priority="12545" stopIfTrue="1">
      <formula>NOT(ISBLANK($M$33))</formula>
    </cfRule>
  </conditionalFormatting>
  <conditionalFormatting sqref="N33">
    <cfRule type="expression" dxfId="978" priority="12546" stopIfTrue="1">
      <formula>NOT(ISBLANK($N$33))</formula>
    </cfRule>
  </conditionalFormatting>
  <conditionalFormatting sqref="O33">
    <cfRule type="expression" dxfId="977" priority="12547" stopIfTrue="1">
      <formula>NOT(ISBLANK($O$33))</formula>
    </cfRule>
  </conditionalFormatting>
  <conditionalFormatting sqref="P33">
    <cfRule type="expression" dxfId="976" priority="12548" stopIfTrue="1">
      <formula>NOT(ISBLANK($P$33))</formula>
    </cfRule>
  </conditionalFormatting>
  <conditionalFormatting sqref="Q33">
    <cfRule type="expression" dxfId="975" priority="12549" stopIfTrue="1">
      <formula>NOT(ISBLANK($Q$33))</formula>
    </cfRule>
  </conditionalFormatting>
  <conditionalFormatting sqref="R33">
    <cfRule type="cellIs" dxfId="974" priority="12550" stopIfTrue="1" operator="notEqual">
      <formula>"no holding tank"</formula>
    </cfRule>
  </conditionalFormatting>
  <conditionalFormatting sqref="S33">
    <cfRule type="cellIs" dxfId="973" priority="12551" stopIfTrue="1" operator="notEqual">
      <formula>"POTW"</formula>
    </cfRule>
  </conditionalFormatting>
  <conditionalFormatting sqref="T33">
    <cfRule type="cellIs" dxfId="972" priority="12552" stopIfTrue="1" operator="notEqual">
      <formula>"incineration (non-hazardous)"</formula>
    </cfRule>
  </conditionalFormatting>
  <conditionalFormatting sqref="U33">
    <cfRule type="expression" dxfId="971" priority="12553" stopIfTrue="1">
      <formula>NOT(ISBLANK($U$33))</formula>
    </cfRule>
  </conditionalFormatting>
  <conditionalFormatting sqref="V33">
    <cfRule type="cellIs" dxfId="970" priority="12554" stopIfTrue="1" operator="notEqual">
      <formula>0</formula>
    </cfRule>
  </conditionalFormatting>
  <conditionalFormatting sqref="W33">
    <cfRule type="expression" dxfId="969" priority="12555" stopIfTrue="1">
      <formula>NOT(ISBLANK($W$33))</formula>
    </cfRule>
  </conditionalFormatting>
  <conditionalFormatting sqref="X33">
    <cfRule type="expression" dxfId="968" priority="12556" stopIfTrue="1">
      <formula>NOT(ISBLANK($X$33))</formula>
    </cfRule>
  </conditionalFormatting>
  <conditionalFormatting sqref="Y33">
    <cfRule type="expression" dxfId="967" priority="12557" stopIfTrue="1">
      <formula>NOT(ISBLANK($Y$33))</formula>
    </cfRule>
  </conditionalFormatting>
  <conditionalFormatting sqref="Z33">
    <cfRule type="expression" dxfId="966" priority="12558" stopIfTrue="1">
      <formula>NOT(ISBLANK($Z$33))</formula>
    </cfRule>
  </conditionalFormatting>
  <conditionalFormatting sqref="AA33">
    <cfRule type="cellIs" dxfId="965" priority="12559" stopIfTrue="1" operator="notEqual">
      <formula>"fully automated"</formula>
    </cfRule>
  </conditionalFormatting>
  <conditionalFormatting sqref="AB33">
    <cfRule type="expression" dxfId="964" priority="12560" stopIfTrue="1">
      <formula>NOT(ISBLANK($AB$33))</formula>
    </cfRule>
  </conditionalFormatting>
  <conditionalFormatting sqref="AC33">
    <cfRule type="expression" dxfId="963" priority="12561" stopIfTrue="1">
      <formula>NOT(ISBLANK($AC$33))</formula>
    </cfRule>
  </conditionalFormatting>
  <conditionalFormatting sqref="AD33">
    <cfRule type="expression" dxfId="962" priority="12562" stopIfTrue="1">
      <formula>NOT(ISBLANK($AD$33))</formula>
    </cfRule>
  </conditionalFormatting>
  <conditionalFormatting sqref="AE33">
    <cfRule type="expression" dxfId="961" priority="12563" stopIfTrue="1">
      <formula>NOT(ISBLANK($AE$33))</formula>
    </cfRule>
  </conditionalFormatting>
  <conditionalFormatting sqref="A34">
    <cfRule type="cellIs" dxfId="960" priority="12564" stopIfTrue="1" operator="notEqual">
      <formula>4</formula>
    </cfRule>
  </conditionalFormatting>
  <conditionalFormatting sqref="B34">
    <cfRule type="cellIs" dxfId="959" priority="12565" stopIfTrue="1" operator="notEqual">
      <formula>2</formula>
    </cfRule>
  </conditionalFormatting>
  <conditionalFormatting sqref="C34">
    <cfRule type="cellIs" dxfId="958" priority="12566" stopIfTrue="1" operator="notEqual">
      <formula>0.124</formula>
    </cfRule>
  </conditionalFormatting>
  <conditionalFormatting sqref="D34">
    <cfRule type="cellIs" dxfId="957" priority="12567" stopIfTrue="1" operator="notEqual">
      <formula>"MGD"</formula>
    </cfRule>
  </conditionalFormatting>
  <conditionalFormatting sqref="E34">
    <cfRule type="cellIs" dxfId="956" priority="12568" stopIfTrue="1" operator="notEqual">
      <formula>0.035</formula>
    </cfRule>
  </conditionalFormatting>
  <conditionalFormatting sqref="F34">
    <cfRule type="cellIs" dxfId="955" priority="12569" stopIfTrue="1" operator="notEqual">
      <formula>"MGD"</formula>
    </cfRule>
  </conditionalFormatting>
  <conditionalFormatting sqref="G34">
    <cfRule type="cellIs" dxfId="954" priority="12570" stopIfTrue="1" operator="notEqual">
      <formula>"throwaway"</formula>
    </cfRule>
  </conditionalFormatting>
  <conditionalFormatting sqref="H34">
    <cfRule type="cellIs" dxfId="953" priority="12571" stopIfTrue="1" operator="notEqual">
      <formula>200000</formula>
    </cfRule>
  </conditionalFormatting>
  <conditionalFormatting sqref="I34">
    <cfRule type="cellIs" dxfId="952" priority="12572" stopIfTrue="1" operator="notEqual">
      <formula>"bed volumes"</formula>
    </cfRule>
  </conditionalFormatting>
  <conditionalFormatting sqref="J34">
    <cfRule type="cellIs" dxfId="951" priority="12573" stopIfTrue="1" operator="notEqual">
      <formula>2</formula>
    </cfRule>
  </conditionalFormatting>
  <conditionalFormatting sqref="K34">
    <cfRule type="cellIs" dxfId="950" priority="12574" stopIfTrue="1" operator="notEqual">
      <formula>6</formula>
    </cfRule>
  </conditionalFormatting>
  <conditionalFormatting sqref="L34">
    <cfRule type="cellIs" dxfId="949" priority="12575" stopIfTrue="1" operator="notEqual">
      <formula>"yes"</formula>
    </cfRule>
  </conditionalFormatting>
  <conditionalFormatting sqref="M34">
    <cfRule type="expression" dxfId="948" priority="12576" stopIfTrue="1">
      <formula>NOT(ISBLANK($M$34))</formula>
    </cfRule>
  </conditionalFormatting>
  <conditionalFormatting sqref="N34">
    <cfRule type="expression" dxfId="947" priority="12577" stopIfTrue="1">
      <formula>NOT(ISBLANK($N$34))</formula>
    </cfRule>
  </conditionalFormatting>
  <conditionalFormatting sqref="O34">
    <cfRule type="expression" dxfId="946" priority="12578" stopIfTrue="1">
      <formula>NOT(ISBLANK($O$34))</formula>
    </cfRule>
  </conditionalFormatting>
  <conditionalFormatting sqref="P34">
    <cfRule type="expression" dxfId="945" priority="12579" stopIfTrue="1">
      <formula>NOT(ISBLANK($P$34))</formula>
    </cfRule>
  </conditionalFormatting>
  <conditionalFormatting sqref="Q34">
    <cfRule type="expression" dxfId="944" priority="12580" stopIfTrue="1">
      <formula>NOT(ISBLANK($Q$34))</formula>
    </cfRule>
  </conditionalFormatting>
  <conditionalFormatting sqref="R34">
    <cfRule type="cellIs" dxfId="943" priority="12581" stopIfTrue="1" operator="notEqual">
      <formula>"no holding tank"</formula>
    </cfRule>
  </conditionalFormatting>
  <conditionalFormatting sqref="S34">
    <cfRule type="cellIs" dxfId="942" priority="12582" stopIfTrue="1" operator="notEqual">
      <formula>"POTW"</formula>
    </cfRule>
  </conditionalFormatting>
  <conditionalFormatting sqref="T34">
    <cfRule type="cellIs" dxfId="941" priority="12583" stopIfTrue="1" operator="notEqual">
      <formula>"incineration (non-hazardous)"</formula>
    </cfRule>
  </conditionalFormatting>
  <conditionalFormatting sqref="U34">
    <cfRule type="expression" dxfId="940" priority="12584" stopIfTrue="1">
      <formula>NOT(ISBLANK($U$34))</formula>
    </cfRule>
  </conditionalFormatting>
  <conditionalFormatting sqref="V34">
    <cfRule type="cellIs" dxfId="939" priority="12585" stopIfTrue="1" operator="notEqual">
      <formula>0</formula>
    </cfRule>
  </conditionalFormatting>
  <conditionalFormatting sqref="W34">
    <cfRule type="expression" dxfId="938" priority="12586" stopIfTrue="1">
      <formula>NOT(ISBLANK($W$34))</formula>
    </cfRule>
  </conditionalFormatting>
  <conditionalFormatting sqref="X34">
    <cfRule type="expression" dxfId="937" priority="12587" stopIfTrue="1">
      <formula>NOT(ISBLANK($X$34))</formula>
    </cfRule>
  </conditionalFormatting>
  <conditionalFormatting sqref="Y34">
    <cfRule type="expression" dxfId="936" priority="12588" stopIfTrue="1">
      <formula>NOT(ISBLANK($Y$34))</formula>
    </cfRule>
  </conditionalFormatting>
  <conditionalFormatting sqref="Z34">
    <cfRule type="expression" dxfId="935" priority="12589" stopIfTrue="1">
      <formula>NOT(ISBLANK($Z$34))</formula>
    </cfRule>
  </conditionalFormatting>
  <conditionalFormatting sqref="AA34">
    <cfRule type="cellIs" dxfId="934" priority="12590" stopIfTrue="1" operator="notEqual">
      <formula>"fully automated"</formula>
    </cfRule>
  </conditionalFormatting>
  <conditionalFormatting sqref="AB34">
    <cfRule type="expression" dxfId="933" priority="12591" stopIfTrue="1">
      <formula>NOT(ISBLANK($AB$34))</formula>
    </cfRule>
  </conditionalFormatting>
  <conditionalFormatting sqref="AC34">
    <cfRule type="expression" dxfId="932" priority="12592" stopIfTrue="1">
      <formula>NOT(ISBLANK($AC$34))</formula>
    </cfRule>
  </conditionalFormatting>
  <conditionalFormatting sqref="AD34">
    <cfRule type="expression" dxfId="931" priority="12593" stopIfTrue="1">
      <formula>NOT(ISBLANK($AD$34))</formula>
    </cfRule>
  </conditionalFormatting>
  <conditionalFormatting sqref="AE34">
    <cfRule type="expression" dxfId="930" priority="12594" stopIfTrue="1">
      <formula>NOT(ISBLANK($AE$34))</formula>
    </cfRule>
  </conditionalFormatting>
  <conditionalFormatting sqref="A35">
    <cfRule type="cellIs" dxfId="929" priority="12595" stopIfTrue="1" operator="notEqual">
      <formula>4</formula>
    </cfRule>
  </conditionalFormatting>
  <conditionalFormatting sqref="B35">
    <cfRule type="cellIs" dxfId="928" priority="12596" stopIfTrue="1" operator="notEqual">
      <formula>3</formula>
    </cfRule>
  </conditionalFormatting>
  <conditionalFormatting sqref="C35">
    <cfRule type="cellIs" dxfId="927" priority="12597" stopIfTrue="1" operator="notEqual">
      <formula>0.305</formula>
    </cfRule>
  </conditionalFormatting>
  <conditionalFormatting sqref="D35">
    <cfRule type="cellIs" dxfId="926" priority="12598" stopIfTrue="1" operator="notEqual">
      <formula>"MGD"</formula>
    </cfRule>
  </conditionalFormatting>
  <conditionalFormatting sqref="E35">
    <cfRule type="cellIs" dxfId="925" priority="12599" stopIfTrue="1" operator="notEqual">
      <formula>0.094</formula>
    </cfRule>
  </conditionalFormatting>
  <conditionalFormatting sqref="F35">
    <cfRule type="cellIs" dxfId="924" priority="12600" stopIfTrue="1" operator="notEqual">
      <formula>"MGD"</formula>
    </cfRule>
  </conditionalFormatting>
  <conditionalFormatting sqref="G35">
    <cfRule type="cellIs" dxfId="923" priority="12601" stopIfTrue="1" operator="notEqual">
      <formula>"throwaway"</formula>
    </cfRule>
  </conditionalFormatting>
  <conditionalFormatting sqref="H35">
    <cfRule type="cellIs" dxfId="922" priority="12602" stopIfTrue="1" operator="notEqual">
      <formula>200000</formula>
    </cfRule>
  </conditionalFormatting>
  <conditionalFormatting sqref="I35">
    <cfRule type="cellIs" dxfId="921" priority="12603" stopIfTrue="1" operator="notEqual">
      <formula>"bed volumes"</formula>
    </cfRule>
  </conditionalFormatting>
  <conditionalFormatting sqref="J35">
    <cfRule type="cellIs" dxfId="920" priority="12604" stopIfTrue="1" operator="notEqual">
      <formula>2</formula>
    </cfRule>
  </conditionalFormatting>
  <conditionalFormatting sqref="K35">
    <cfRule type="cellIs" dxfId="919" priority="12605" stopIfTrue="1" operator="notEqual">
      <formula>6</formula>
    </cfRule>
  </conditionalFormatting>
  <conditionalFormatting sqref="L35">
    <cfRule type="cellIs" dxfId="918" priority="12606" stopIfTrue="1" operator="notEqual">
      <formula>"yes"</formula>
    </cfRule>
  </conditionalFormatting>
  <conditionalFormatting sqref="M35">
    <cfRule type="expression" dxfId="917" priority="12607" stopIfTrue="1">
      <formula>NOT(ISBLANK($M$35))</formula>
    </cfRule>
  </conditionalFormatting>
  <conditionalFormatting sqref="N35">
    <cfRule type="expression" dxfId="916" priority="12608" stopIfTrue="1">
      <formula>NOT(ISBLANK($N$35))</formula>
    </cfRule>
  </conditionalFormatting>
  <conditionalFormatting sqref="O35">
    <cfRule type="expression" dxfId="915" priority="12609" stopIfTrue="1">
      <formula>NOT(ISBLANK($O$35))</formula>
    </cfRule>
  </conditionalFormatting>
  <conditionalFormatting sqref="P35">
    <cfRule type="expression" dxfId="914" priority="12610" stopIfTrue="1">
      <formula>NOT(ISBLANK($P$35))</formula>
    </cfRule>
  </conditionalFormatting>
  <conditionalFormatting sqref="Q35">
    <cfRule type="expression" dxfId="913" priority="12611" stopIfTrue="1">
      <formula>NOT(ISBLANK($Q$35))</formula>
    </cfRule>
  </conditionalFormatting>
  <conditionalFormatting sqref="R35">
    <cfRule type="cellIs" dxfId="912" priority="12612" stopIfTrue="1" operator="notEqual">
      <formula>"no holding tank"</formula>
    </cfRule>
  </conditionalFormatting>
  <conditionalFormatting sqref="S35">
    <cfRule type="cellIs" dxfId="911" priority="12613" stopIfTrue="1" operator="notEqual">
      <formula>"POTW"</formula>
    </cfRule>
  </conditionalFormatting>
  <conditionalFormatting sqref="T35">
    <cfRule type="cellIs" dxfId="910" priority="12614" stopIfTrue="1" operator="notEqual">
      <formula>"incineration (non-hazardous)"</formula>
    </cfRule>
  </conditionalFormatting>
  <conditionalFormatting sqref="U35">
    <cfRule type="expression" dxfId="909" priority="12615" stopIfTrue="1">
      <formula>NOT(ISBLANK($U$35))</formula>
    </cfRule>
  </conditionalFormatting>
  <conditionalFormatting sqref="V35">
    <cfRule type="cellIs" dxfId="908" priority="12616" stopIfTrue="1" operator="notEqual">
      <formula>0</formula>
    </cfRule>
  </conditionalFormatting>
  <conditionalFormatting sqref="W35">
    <cfRule type="expression" dxfId="907" priority="12617" stopIfTrue="1">
      <formula>NOT(ISBLANK($W$35))</formula>
    </cfRule>
  </conditionalFormatting>
  <conditionalFormatting sqref="X35">
    <cfRule type="expression" dxfId="906" priority="12618" stopIfTrue="1">
      <formula>NOT(ISBLANK($X$35))</formula>
    </cfRule>
  </conditionalFormatting>
  <conditionalFormatting sqref="Y35">
    <cfRule type="expression" dxfId="905" priority="12619" stopIfTrue="1">
      <formula>NOT(ISBLANK($Y$35))</formula>
    </cfRule>
  </conditionalFormatting>
  <conditionalFormatting sqref="Z35">
    <cfRule type="expression" dxfId="904" priority="12620" stopIfTrue="1">
      <formula>NOT(ISBLANK($Z$35))</formula>
    </cfRule>
  </conditionalFormatting>
  <conditionalFormatting sqref="AA35">
    <cfRule type="cellIs" dxfId="903" priority="12621" stopIfTrue="1" operator="notEqual">
      <formula>"fully automated"</formula>
    </cfRule>
  </conditionalFormatting>
  <conditionalFormatting sqref="AB35">
    <cfRule type="expression" dxfId="902" priority="12622" stopIfTrue="1">
      <formula>NOT(ISBLANK($AB$35))</formula>
    </cfRule>
  </conditionalFormatting>
  <conditionalFormatting sqref="AC35">
    <cfRule type="expression" dxfId="901" priority="12623" stopIfTrue="1">
      <formula>NOT(ISBLANK($AC$35))</formula>
    </cfRule>
  </conditionalFormatting>
  <conditionalFormatting sqref="AD35">
    <cfRule type="expression" dxfId="900" priority="12624" stopIfTrue="1">
      <formula>NOT(ISBLANK($AD$35))</formula>
    </cfRule>
  </conditionalFormatting>
  <conditionalFormatting sqref="AE35">
    <cfRule type="expression" dxfId="899" priority="12625" stopIfTrue="1">
      <formula>NOT(ISBLANK($AE$35))</formula>
    </cfRule>
  </conditionalFormatting>
  <conditionalFormatting sqref="A36">
    <cfRule type="cellIs" dxfId="898" priority="12626" stopIfTrue="1" operator="notEqual">
      <formula>4</formula>
    </cfRule>
  </conditionalFormatting>
  <conditionalFormatting sqref="B36">
    <cfRule type="cellIs" dxfId="897" priority="12627" stopIfTrue="1" operator="notEqual">
      <formula>4</formula>
    </cfRule>
  </conditionalFormatting>
  <conditionalFormatting sqref="C36">
    <cfRule type="cellIs" dxfId="896" priority="12628" stopIfTrue="1" operator="notEqual">
      <formula>0.74</formula>
    </cfRule>
  </conditionalFormatting>
  <conditionalFormatting sqref="D36">
    <cfRule type="cellIs" dxfId="895" priority="12629" stopIfTrue="1" operator="notEqual">
      <formula>"MGD"</formula>
    </cfRule>
  </conditionalFormatting>
  <conditionalFormatting sqref="E36">
    <cfRule type="cellIs" dxfId="894" priority="12630" stopIfTrue="1" operator="notEqual">
      <formula>0.251</formula>
    </cfRule>
  </conditionalFormatting>
  <conditionalFormatting sqref="F36">
    <cfRule type="cellIs" dxfId="893" priority="12631" stopIfTrue="1" operator="notEqual">
      <formula>"MGD"</formula>
    </cfRule>
  </conditionalFormatting>
  <conditionalFormatting sqref="G36">
    <cfRule type="cellIs" dxfId="892" priority="12632" stopIfTrue="1" operator="notEqual">
      <formula>"throwaway"</formula>
    </cfRule>
  </conditionalFormatting>
  <conditionalFormatting sqref="H36">
    <cfRule type="cellIs" dxfId="891" priority="12633" stopIfTrue="1" operator="notEqual">
      <formula>200000</formula>
    </cfRule>
  </conditionalFormatting>
  <conditionalFormatting sqref="I36">
    <cfRule type="cellIs" dxfId="890" priority="12634" stopIfTrue="1" operator="notEqual">
      <formula>"bed volumes"</formula>
    </cfRule>
  </conditionalFormatting>
  <conditionalFormatting sqref="J36">
    <cfRule type="cellIs" dxfId="889" priority="12635" stopIfTrue="1" operator="notEqual">
      <formula>2</formula>
    </cfRule>
  </conditionalFormatting>
  <conditionalFormatting sqref="K36">
    <cfRule type="cellIs" dxfId="888" priority="12636" stopIfTrue="1" operator="notEqual">
      <formula>6</formula>
    </cfRule>
  </conditionalFormatting>
  <conditionalFormatting sqref="L36">
    <cfRule type="cellIs" dxfId="887" priority="12637" stopIfTrue="1" operator="notEqual">
      <formula>"yes"</formula>
    </cfRule>
  </conditionalFormatting>
  <conditionalFormatting sqref="M36">
    <cfRule type="expression" dxfId="886" priority="12638" stopIfTrue="1">
      <formula>NOT(ISBLANK($M$36))</formula>
    </cfRule>
  </conditionalFormatting>
  <conditionalFormatting sqref="N36">
    <cfRule type="expression" dxfId="885" priority="12639" stopIfTrue="1">
      <formula>NOT(ISBLANK($N$36))</formula>
    </cfRule>
  </conditionalFormatting>
  <conditionalFormatting sqref="O36">
    <cfRule type="expression" dxfId="884" priority="12640" stopIfTrue="1">
      <formula>NOT(ISBLANK($O$36))</formula>
    </cfRule>
  </conditionalFormatting>
  <conditionalFormatting sqref="P36">
    <cfRule type="expression" dxfId="883" priority="12641" stopIfTrue="1">
      <formula>NOT(ISBLANK($P$36))</formula>
    </cfRule>
  </conditionalFormatting>
  <conditionalFormatting sqref="Q36">
    <cfRule type="expression" dxfId="882" priority="12642" stopIfTrue="1">
      <formula>NOT(ISBLANK($Q$36))</formula>
    </cfRule>
  </conditionalFormatting>
  <conditionalFormatting sqref="R36">
    <cfRule type="cellIs" dxfId="881" priority="12643" stopIfTrue="1" operator="notEqual">
      <formula>"no holding tank"</formula>
    </cfRule>
  </conditionalFormatting>
  <conditionalFormatting sqref="S36">
    <cfRule type="cellIs" dxfId="880" priority="12644" stopIfTrue="1" operator="notEqual">
      <formula>"POTW"</formula>
    </cfRule>
  </conditionalFormatting>
  <conditionalFormatting sqref="T36">
    <cfRule type="cellIs" dxfId="879" priority="12645" stopIfTrue="1" operator="notEqual">
      <formula>"incineration (non-hazardous)"</formula>
    </cfRule>
  </conditionalFormatting>
  <conditionalFormatting sqref="U36">
    <cfRule type="expression" dxfId="878" priority="12646" stopIfTrue="1">
      <formula>NOT(ISBLANK($U$36))</formula>
    </cfRule>
  </conditionalFormatting>
  <conditionalFormatting sqref="V36">
    <cfRule type="cellIs" dxfId="877" priority="12647" stopIfTrue="1" operator="notEqual">
      <formula>0</formula>
    </cfRule>
  </conditionalFormatting>
  <conditionalFormatting sqref="W36">
    <cfRule type="expression" dxfId="876" priority="12648" stopIfTrue="1">
      <formula>NOT(ISBLANK($W$36))</formula>
    </cfRule>
  </conditionalFormatting>
  <conditionalFormatting sqref="X36">
    <cfRule type="expression" dxfId="875" priority="12649" stopIfTrue="1">
      <formula>NOT(ISBLANK($X$36))</formula>
    </cfRule>
  </conditionalFormatting>
  <conditionalFormatting sqref="Y36">
    <cfRule type="expression" dxfId="874" priority="12650" stopIfTrue="1">
      <formula>NOT(ISBLANK($Y$36))</formula>
    </cfRule>
  </conditionalFormatting>
  <conditionalFormatting sqref="Z36">
    <cfRule type="expression" dxfId="873" priority="12651" stopIfTrue="1">
      <formula>NOT(ISBLANK($Z$36))</formula>
    </cfRule>
  </conditionalFormatting>
  <conditionalFormatting sqref="AA36">
    <cfRule type="cellIs" dxfId="872" priority="12652" stopIfTrue="1" operator="notEqual">
      <formula>"fully automated"</formula>
    </cfRule>
  </conditionalFormatting>
  <conditionalFormatting sqref="AB36">
    <cfRule type="expression" dxfId="871" priority="12653" stopIfTrue="1">
      <formula>NOT(ISBLANK($AB$36))</formula>
    </cfRule>
  </conditionalFormatting>
  <conditionalFormatting sqref="AC36">
    <cfRule type="expression" dxfId="870" priority="12654" stopIfTrue="1">
      <formula>NOT(ISBLANK($AC$36))</formula>
    </cfRule>
  </conditionalFormatting>
  <conditionalFormatting sqref="AD36">
    <cfRule type="expression" dxfId="869" priority="12655" stopIfTrue="1">
      <formula>NOT(ISBLANK($AD$36))</formula>
    </cfRule>
  </conditionalFormatting>
  <conditionalFormatting sqref="AE36">
    <cfRule type="expression" dxfId="868" priority="12656" stopIfTrue="1">
      <formula>NOT(ISBLANK($AE$36))</formula>
    </cfRule>
  </conditionalFormatting>
  <conditionalFormatting sqref="A37">
    <cfRule type="cellIs" dxfId="867" priority="12657" stopIfTrue="1" operator="notEqual">
      <formula>4</formula>
    </cfRule>
  </conditionalFormatting>
  <conditionalFormatting sqref="B37">
    <cfRule type="cellIs" dxfId="866" priority="12658" stopIfTrue="1" operator="notEqual">
      <formula>5</formula>
    </cfRule>
  </conditionalFormatting>
  <conditionalFormatting sqref="C37">
    <cfRule type="cellIs" dxfId="865" priority="12659" stopIfTrue="1" operator="notEqual">
      <formula>2.152</formula>
    </cfRule>
  </conditionalFormatting>
  <conditionalFormatting sqref="D37">
    <cfRule type="cellIs" dxfId="864" priority="12660" stopIfTrue="1" operator="notEqual">
      <formula>"MGD"</formula>
    </cfRule>
  </conditionalFormatting>
  <conditionalFormatting sqref="E37">
    <cfRule type="cellIs" dxfId="863" priority="12661" stopIfTrue="1" operator="notEqual">
      <formula>0.819</formula>
    </cfRule>
  </conditionalFormatting>
  <conditionalFormatting sqref="F37">
    <cfRule type="cellIs" dxfId="862" priority="12662" stopIfTrue="1" operator="notEqual">
      <formula>"MGD"</formula>
    </cfRule>
  </conditionalFormatting>
  <conditionalFormatting sqref="G37">
    <cfRule type="cellIs" dxfId="861" priority="12663" stopIfTrue="1" operator="notEqual">
      <formula>"throwaway"</formula>
    </cfRule>
  </conditionalFormatting>
  <conditionalFormatting sqref="H37">
    <cfRule type="cellIs" dxfId="860" priority="12664" stopIfTrue="1" operator="notEqual">
      <formula>200000</formula>
    </cfRule>
  </conditionalFormatting>
  <conditionalFormatting sqref="I37">
    <cfRule type="cellIs" dxfId="859" priority="12665" stopIfTrue="1" operator="notEqual">
      <formula>"bed volumes"</formula>
    </cfRule>
  </conditionalFormatting>
  <conditionalFormatting sqref="J37">
    <cfRule type="cellIs" dxfId="858" priority="12666" stopIfTrue="1" operator="notEqual">
      <formula>2</formula>
    </cfRule>
  </conditionalFormatting>
  <conditionalFormatting sqref="K37">
    <cfRule type="cellIs" dxfId="857" priority="12667" stopIfTrue="1" operator="notEqual">
      <formula>6</formula>
    </cfRule>
  </conditionalFormatting>
  <conditionalFormatting sqref="L37">
    <cfRule type="cellIs" dxfId="856" priority="12668" stopIfTrue="1" operator="notEqual">
      <formula>"yes"</formula>
    </cfRule>
  </conditionalFormatting>
  <conditionalFormatting sqref="M37">
    <cfRule type="expression" dxfId="855" priority="12669" stopIfTrue="1">
      <formula>NOT(ISBLANK($M$37))</formula>
    </cfRule>
  </conditionalFormatting>
  <conditionalFormatting sqref="N37">
    <cfRule type="expression" dxfId="854" priority="12670" stopIfTrue="1">
      <formula>NOT(ISBLANK($N$37))</formula>
    </cfRule>
  </conditionalFormatting>
  <conditionalFormatting sqref="O37">
    <cfRule type="expression" dxfId="853" priority="12671" stopIfTrue="1">
      <formula>NOT(ISBLANK($O$37))</formula>
    </cfRule>
  </conditionalFormatting>
  <conditionalFormatting sqref="P37">
    <cfRule type="expression" dxfId="852" priority="12672" stopIfTrue="1">
      <formula>NOT(ISBLANK($P$37))</formula>
    </cfRule>
  </conditionalFormatting>
  <conditionalFormatting sqref="Q37">
    <cfRule type="expression" dxfId="851" priority="12673" stopIfTrue="1">
      <formula>NOT(ISBLANK($Q$37))</formula>
    </cfRule>
  </conditionalFormatting>
  <conditionalFormatting sqref="R37">
    <cfRule type="cellIs" dxfId="850" priority="12674" stopIfTrue="1" operator="notEqual">
      <formula>"no holding tank"</formula>
    </cfRule>
  </conditionalFormatting>
  <conditionalFormatting sqref="S37">
    <cfRule type="cellIs" dxfId="849" priority="12675" stopIfTrue="1" operator="notEqual">
      <formula>"POTW"</formula>
    </cfRule>
  </conditionalFormatting>
  <conditionalFormatting sqref="T37">
    <cfRule type="cellIs" dxfId="848" priority="12676" stopIfTrue="1" operator="notEqual">
      <formula>"incineration (non-hazardous)"</formula>
    </cfRule>
  </conditionalFormatting>
  <conditionalFormatting sqref="U37">
    <cfRule type="expression" dxfId="847" priority="12677" stopIfTrue="1">
      <formula>NOT(ISBLANK($U$37))</formula>
    </cfRule>
  </conditionalFormatting>
  <conditionalFormatting sqref="V37">
    <cfRule type="cellIs" dxfId="846" priority="12678" stopIfTrue="1" operator="notEqual">
      <formula>0</formula>
    </cfRule>
  </conditionalFormatting>
  <conditionalFormatting sqref="W37">
    <cfRule type="expression" dxfId="845" priority="12679" stopIfTrue="1">
      <formula>NOT(ISBLANK($W$37))</formula>
    </cfRule>
  </conditionalFormatting>
  <conditionalFormatting sqref="X37">
    <cfRule type="expression" dxfId="844" priority="12680" stopIfTrue="1">
      <formula>NOT(ISBLANK($X$37))</formula>
    </cfRule>
  </conditionalFormatting>
  <conditionalFormatting sqref="Y37">
    <cfRule type="expression" dxfId="843" priority="12681" stopIfTrue="1">
      <formula>NOT(ISBLANK($Y$37))</formula>
    </cfRule>
  </conditionalFormatting>
  <conditionalFormatting sqref="Z37">
    <cfRule type="expression" dxfId="842" priority="12682" stopIfTrue="1">
      <formula>NOT(ISBLANK($Z$37))</formula>
    </cfRule>
  </conditionalFormatting>
  <conditionalFormatting sqref="AA37">
    <cfRule type="cellIs" dxfId="841" priority="12683" stopIfTrue="1" operator="notEqual">
      <formula>"fully automated"</formula>
    </cfRule>
  </conditionalFormatting>
  <conditionalFormatting sqref="AB37">
    <cfRule type="expression" dxfId="840" priority="12684" stopIfTrue="1">
      <formula>NOT(ISBLANK($AB$37))</formula>
    </cfRule>
  </conditionalFormatting>
  <conditionalFormatting sqref="AC37">
    <cfRule type="expression" dxfId="839" priority="12685" stopIfTrue="1">
      <formula>NOT(ISBLANK($AC$37))</formula>
    </cfRule>
  </conditionalFormatting>
  <conditionalFormatting sqref="AD37">
    <cfRule type="expression" dxfId="838" priority="12686" stopIfTrue="1">
      <formula>NOT(ISBLANK($AD$37))</formula>
    </cfRule>
  </conditionalFormatting>
  <conditionalFormatting sqref="AE37">
    <cfRule type="expression" dxfId="837" priority="12687" stopIfTrue="1">
      <formula>NOT(ISBLANK($AE$37))</formula>
    </cfRule>
  </conditionalFormatting>
  <conditionalFormatting sqref="A38">
    <cfRule type="cellIs" dxfId="836" priority="12688" stopIfTrue="1" operator="notEqual">
      <formula>4</formula>
    </cfRule>
  </conditionalFormatting>
  <conditionalFormatting sqref="B38">
    <cfRule type="cellIs" dxfId="835" priority="12689" stopIfTrue="1" operator="notEqual">
      <formula>6</formula>
    </cfRule>
  </conditionalFormatting>
  <conditionalFormatting sqref="C38">
    <cfRule type="cellIs" dxfId="834" priority="12690" stopIfTrue="1" operator="notEqual">
      <formula>7.365</formula>
    </cfRule>
  </conditionalFormatting>
  <conditionalFormatting sqref="D38">
    <cfRule type="cellIs" dxfId="833" priority="12691" stopIfTrue="1" operator="notEqual">
      <formula>"MGD"</formula>
    </cfRule>
  </conditionalFormatting>
  <conditionalFormatting sqref="E38">
    <cfRule type="cellIs" dxfId="832" priority="12692" stopIfTrue="1" operator="notEqual">
      <formula>3.2</formula>
    </cfRule>
  </conditionalFormatting>
  <conditionalFormatting sqref="F38">
    <cfRule type="cellIs" dxfId="831" priority="12693" stopIfTrue="1" operator="notEqual">
      <formula>"MGD"</formula>
    </cfRule>
  </conditionalFormatting>
  <conditionalFormatting sqref="G38">
    <cfRule type="cellIs" dxfId="830" priority="12694" stopIfTrue="1" operator="notEqual">
      <formula>"throwaway"</formula>
    </cfRule>
  </conditionalFormatting>
  <conditionalFormatting sqref="H38">
    <cfRule type="cellIs" dxfId="829" priority="12695" stopIfTrue="1" operator="notEqual">
      <formula>200000</formula>
    </cfRule>
  </conditionalFormatting>
  <conditionalFormatting sqref="I38">
    <cfRule type="cellIs" dxfId="828" priority="12696" stopIfTrue="1" operator="notEqual">
      <formula>"bed volumes"</formula>
    </cfRule>
  </conditionalFormatting>
  <conditionalFormatting sqref="J38">
    <cfRule type="cellIs" dxfId="827" priority="12697" stopIfTrue="1" operator="notEqual">
      <formula>2</formula>
    </cfRule>
  </conditionalFormatting>
  <conditionalFormatting sqref="K38">
    <cfRule type="cellIs" dxfId="826" priority="12698" stopIfTrue="1" operator="notEqual">
      <formula>6</formula>
    </cfRule>
  </conditionalFormatting>
  <conditionalFormatting sqref="L38">
    <cfRule type="cellIs" dxfId="825" priority="12699" stopIfTrue="1" operator="notEqual">
      <formula>"yes"</formula>
    </cfRule>
  </conditionalFormatting>
  <conditionalFormatting sqref="M38">
    <cfRule type="expression" dxfId="824" priority="12700" stopIfTrue="1">
      <formula>NOT(ISBLANK($M$38))</formula>
    </cfRule>
  </conditionalFormatting>
  <conditionalFormatting sqref="N38">
    <cfRule type="expression" dxfId="823" priority="12701" stopIfTrue="1">
      <formula>NOT(ISBLANK($N$38))</formula>
    </cfRule>
  </conditionalFormatting>
  <conditionalFormatting sqref="O38">
    <cfRule type="expression" dxfId="822" priority="12702" stopIfTrue="1">
      <formula>NOT(ISBLANK($O$38))</formula>
    </cfRule>
  </conditionalFormatting>
  <conditionalFormatting sqref="P38">
    <cfRule type="expression" dxfId="821" priority="12703" stopIfTrue="1">
      <formula>NOT(ISBLANK($P$38))</formula>
    </cfRule>
  </conditionalFormatting>
  <conditionalFormatting sqref="Q38">
    <cfRule type="expression" dxfId="820" priority="12704" stopIfTrue="1">
      <formula>NOT(ISBLANK($Q$38))</formula>
    </cfRule>
  </conditionalFormatting>
  <conditionalFormatting sqref="R38">
    <cfRule type="cellIs" dxfId="819" priority="12705" stopIfTrue="1" operator="notEqual">
      <formula>"no holding tank"</formula>
    </cfRule>
  </conditionalFormatting>
  <conditionalFormatting sqref="S38">
    <cfRule type="cellIs" dxfId="818" priority="12706" stopIfTrue="1" operator="notEqual">
      <formula>"POTW"</formula>
    </cfRule>
  </conditionalFormatting>
  <conditionalFormatting sqref="T38">
    <cfRule type="cellIs" dxfId="817" priority="12707" stopIfTrue="1" operator="notEqual">
      <formula>"incineration (non-hazardous)"</formula>
    </cfRule>
  </conditionalFormatting>
  <conditionalFormatting sqref="U38">
    <cfRule type="expression" dxfId="816" priority="12708" stopIfTrue="1">
      <formula>NOT(ISBLANK($U$38))</formula>
    </cfRule>
  </conditionalFormatting>
  <conditionalFormatting sqref="V38">
    <cfRule type="cellIs" dxfId="815" priority="12709" stopIfTrue="1" operator="notEqual">
      <formula>0</formula>
    </cfRule>
  </conditionalFormatting>
  <conditionalFormatting sqref="W38">
    <cfRule type="expression" dxfId="814" priority="12710" stopIfTrue="1">
      <formula>NOT(ISBLANK($W$38))</formula>
    </cfRule>
  </conditionalFormatting>
  <conditionalFormatting sqref="X38">
    <cfRule type="expression" dxfId="813" priority="12711" stopIfTrue="1">
      <formula>NOT(ISBLANK($X$38))</formula>
    </cfRule>
  </conditionalFormatting>
  <conditionalFormatting sqref="Y38">
    <cfRule type="expression" dxfId="812" priority="12712" stopIfTrue="1">
      <formula>NOT(ISBLANK($Y$38))</formula>
    </cfRule>
  </conditionalFormatting>
  <conditionalFormatting sqref="Z38">
    <cfRule type="expression" dxfId="811" priority="12713" stopIfTrue="1">
      <formula>NOT(ISBLANK($Z$38))</formula>
    </cfRule>
  </conditionalFormatting>
  <conditionalFormatting sqref="AA38">
    <cfRule type="cellIs" dxfId="810" priority="12714" stopIfTrue="1" operator="notEqual">
      <formula>"fully automated"</formula>
    </cfRule>
  </conditionalFormatting>
  <conditionalFormatting sqref="AB38">
    <cfRule type="expression" dxfId="809" priority="12715" stopIfTrue="1">
      <formula>NOT(ISBLANK($AB$38))</formula>
    </cfRule>
  </conditionalFormatting>
  <conditionalFormatting sqref="AC38">
    <cfRule type="expression" dxfId="808" priority="12716" stopIfTrue="1">
      <formula>NOT(ISBLANK($AC$38))</formula>
    </cfRule>
  </conditionalFormatting>
  <conditionalFormatting sqref="AD38">
    <cfRule type="expression" dxfId="807" priority="12717" stopIfTrue="1">
      <formula>NOT(ISBLANK($AD$38))</formula>
    </cfRule>
  </conditionalFormatting>
  <conditionalFormatting sqref="AE38">
    <cfRule type="expression" dxfId="806" priority="12718" stopIfTrue="1">
      <formula>NOT(ISBLANK($AE$38))</formula>
    </cfRule>
  </conditionalFormatting>
  <conditionalFormatting sqref="A39">
    <cfRule type="cellIs" dxfId="805" priority="12719" stopIfTrue="1" operator="notEqual">
      <formula>4</formula>
    </cfRule>
  </conditionalFormatting>
  <conditionalFormatting sqref="B39">
    <cfRule type="cellIs" dxfId="804" priority="12720" stopIfTrue="1" operator="notEqual">
      <formula>7</formula>
    </cfRule>
  </conditionalFormatting>
  <conditionalFormatting sqref="C39">
    <cfRule type="cellIs" dxfId="803" priority="12721" stopIfTrue="1" operator="notEqual">
      <formula>22.614</formula>
    </cfRule>
  </conditionalFormatting>
  <conditionalFormatting sqref="D39">
    <cfRule type="cellIs" dxfId="802" priority="12722" stopIfTrue="1" operator="notEqual">
      <formula>"MGD"</formula>
    </cfRule>
  </conditionalFormatting>
  <conditionalFormatting sqref="E39">
    <cfRule type="cellIs" dxfId="801" priority="12723" stopIfTrue="1" operator="notEqual">
      <formula>11.066</formula>
    </cfRule>
  </conditionalFormatting>
  <conditionalFormatting sqref="F39">
    <cfRule type="cellIs" dxfId="800" priority="12724" stopIfTrue="1" operator="notEqual">
      <formula>"MGD"</formula>
    </cfRule>
  </conditionalFormatting>
  <conditionalFormatting sqref="G39">
    <cfRule type="cellIs" dxfId="799" priority="12725" stopIfTrue="1" operator="notEqual">
      <formula>"throwaway"</formula>
    </cfRule>
  </conditionalFormatting>
  <conditionalFormatting sqref="H39">
    <cfRule type="cellIs" dxfId="798" priority="12726" stopIfTrue="1" operator="notEqual">
      <formula>200000</formula>
    </cfRule>
  </conditionalFormatting>
  <conditionalFormatting sqref="I39">
    <cfRule type="cellIs" dxfId="797" priority="12727" stopIfTrue="1" operator="notEqual">
      <formula>"bed volumes"</formula>
    </cfRule>
  </conditionalFormatting>
  <conditionalFormatting sqref="J39">
    <cfRule type="cellIs" dxfId="796" priority="12728" stopIfTrue="1" operator="notEqual">
      <formula>2</formula>
    </cfRule>
  </conditionalFormatting>
  <conditionalFormatting sqref="K39">
    <cfRule type="cellIs" dxfId="795" priority="12729" stopIfTrue="1" operator="notEqual">
      <formula>6</formula>
    </cfRule>
  </conditionalFormatting>
  <conditionalFormatting sqref="L39">
    <cfRule type="cellIs" dxfId="794" priority="12730" stopIfTrue="1" operator="notEqual">
      <formula>"yes"</formula>
    </cfRule>
  </conditionalFormatting>
  <conditionalFormatting sqref="M39">
    <cfRule type="expression" dxfId="793" priority="12731" stopIfTrue="1">
      <formula>NOT(ISBLANK($M$39))</formula>
    </cfRule>
  </conditionalFormatting>
  <conditionalFormatting sqref="N39">
    <cfRule type="expression" dxfId="792" priority="12732" stopIfTrue="1">
      <formula>NOT(ISBLANK($N$39))</formula>
    </cfRule>
  </conditionalFormatting>
  <conditionalFormatting sqref="O39">
    <cfRule type="expression" dxfId="791" priority="12733" stopIfTrue="1">
      <formula>NOT(ISBLANK($O$39))</formula>
    </cfRule>
  </conditionalFormatting>
  <conditionalFormatting sqref="P39">
    <cfRule type="expression" dxfId="790" priority="12734" stopIfTrue="1">
      <formula>NOT(ISBLANK($P$39))</formula>
    </cfRule>
  </conditionalFormatting>
  <conditionalFormatting sqref="Q39">
    <cfRule type="expression" dxfId="789" priority="12735" stopIfTrue="1">
      <formula>NOT(ISBLANK($Q$39))</formula>
    </cfRule>
  </conditionalFormatting>
  <conditionalFormatting sqref="R39">
    <cfRule type="cellIs" dxfId="788" priority="12736" stopIfTrue="1" operator="notEqual">
      <formula>"no holding tank"</formula>
    </cfRule>
  </conditionalFormatting>
  <conditionalFormatting sqref="S39">
    <cfRule type="cellIs" dxfId="787" priority="12737" stopIfTrue="1" operator="notEqual">
      <formula>"POTW"</formula>
    </cfRule>
  </conditionalFormatting>
  <conditionalFormatting sqref="T39">
    <cfRule type="cellIs" dxfId="786" priority="12738" stopIfTrue="1" operator="notEqual">
      <formula>"incineration (non-hazardous)"</formula>
    </cfRule>
  </conditionalFormatting>
  <conditionalFormatting sqref="U39">
    <cfRule type="expression" dxfId="785" priority="12739" stopIfTrue="1">
      <formula>NOT(ISBLANK($U$39))</formula>
    </cfRule>
  </conditionalFormatting>
  <conditionalFormatting sqref="V39">
    <cfRule type="cellIs" dxfId="784" priority="12740" stopIfTrue="1" operator="notEqual">
      <formula>0</formula>
    </cfRule>
  </conditionalFormatting>
  <conditionalFormatting sqref="W39">
    <cfRule type="expression" dxfId="783" priority="12741" stopIfTrue="1">
      <formula>NOT(ISBLANK($W$39))</formula>
    </cfRule>
  </conditionalFormatting>
  <conditionalFormatting sqref="X39">
    <cfRule type="expression" dxfId="782" priority="12742" stopIfTrue="1">
      <formula>NOT(ISBLANK($X$39))</formula>
    </cfRule>
  </conditionalFormatting>
  <conditionalFormatting sqref="Y39">
    <cfRule type="expression" dxfId="781" priority="12743" stopIfTrue="1">
      <formula>NOT(ISBLANK($Y$39))</formula>
    </cfRule>
  </conditionalFormatting>
  <conditionalFormatting sqref="Z39">
    <cfRule type="expression" dxfId="780" priority="12744" stopIfTrue="1">
      <formula>NOT(ISBLANK($Z$39))</formula>
    </cfRule>
  </conditionalFormatting>
  <conditionalFormatting sqref="AA39">
    <cfRule type="cellIs" dxfId="779" priority="12745" stopIfTrue="1" operator="notEqual">
      <formula>"fully automated"</formula>
    </cfRule>
  </conditionalFormatting>
  <conditionalFormatting sqref="AB39">
    <cfRule type="expression" dxfId="778" priority="12746" stopIfTrue="1">
      <formula>NOT(ISBLANK($AB$39))</formula>
    </cfRule>
  </conditionalFormatting>
  <conditionalFormatting sqref="AC39">
    <cfRule type="expression" dxfId="777" priority="12747" stopIfTrue="1">
      <formula>NOT(ISBLANK($AC$39))</formula>
    </cfRule>
  </conditionalFormatting>
  <conditionalFormatting sqref="AD39">
    <cfRule type="expression" dxfId="776" priority="12748" stopIfTrue="1">
      <formula>NOT(ISBLANK($AD$39))</formula>
    </cfRule>
  </conditionalFormatting>
  <conditionalFormatting sqref="AE39">
    <cfRule type="expression" dxfId="775" priority="12749" stopIfTrue="1">
      <formula>NOT(ISBLANK($AE$39))</formula>
    </cfRule>
  </conditionalFormatting>
  <conditionalFormatting sqref="A40">
    <cfRule type="cellIs" dxfId="774" priority="12750" stopIfTrue="1" operator="notEqual">
      <formula>4</formula>
    </cfRule>
  </conditionalFormatting>
  <conditionalFormatting sqref="B40">
    <cfRule type="cellIs" dxfId="773" priority="12751" stopIfTrue="1" operator="notEqual">
      <formula>8</formula>
    </cfRule>
  </conditionalFormatting>
  <conditionalFormatting sqref="C40">
    <cfRule type="cellIs" dxfId="772" priority="12752" stopIfTrue="1" operator="notEqual">
      <formula>75.072</formula>
    </cfRule>
  </conditionalFormatting>
  <conditionalFormatting sqref="D40">
    <cfRule type="cellIs" dxfId="771" priority="12753" stopIfTrue="1" operator="notEqual">
      <formula>"MGD"</formula>
    </cfRule>
  </conditionalFormatting>
  <conditionalFormatting sqref="E40">
    <cfRule type="cellIs" dxfId="770" priority="12754" stopIfTrue="1" operator="notEqual">
      <formula>37.536</formula>
    </cfRule>
  </conditionalFormatting>
  <conditionalFormatting sqref="F40">
    <cfRule type="cellIs" dxfId="769" priority="12755" stopIfTrue="1" operator="notEqual">
      <formula>"MGD"</formula>
    </cfRule>
  </conditionalFormatting>
  <conditionalFormatting sqref="G40">
    <cfRule type="cellIs" dxfId="768" priority="12756" stopIfTrue="1" operator="notEqual">
      <formula>"throwaway"</formula>
    </cfRule>
  </conditionalFormatting>
  <conditionalFormatting sqref="H40">
    <cfRule type="cellIs" dxfId="767" priority="12757" stopIfTrue="1" operator="notEqual">
      <formula>200000</formula>
    </cfRule>
  </conditionalFormatting>
  <conditionalFormatting sqref="I40">
    <cfRule type="cellIs" dxfId="766" priority="12758" stopIfTrue="1" operator="notEqual">
      <formula>"bed volumes"</formula>
    </cfRule>
  </conditionalFormatting>
  <conditionalFormatting sqref="J40">
    <cfRule type="cellIs" dxfId="765" priority="12759" stopIfTrue="1" operator="notEqual">
      <formula>2</formula>
    </cfRule>
  </conditionalFormatting>
  <conditionalFormatting sqref="K40">
    <cfRule type="cellIs" dxfId="764" priority="12760" stopIfTrue="1" operator="notEqual">
      <formula>6</formula>
    </cfRule>
  </conditionalFormatting>
  <conditionalFormatting sqref="L40">
    <cfRule type="cellIs" dxfId="763" priority="12761" stopIfTrue="1" operator="notEqual">
      <formula>"yes"</formula>
    </cfRule>
  </conditionalFormatting>
  <conditionalFormatting sqref="M40">
    <cfRule type="expression" dxfId="762" priority="12762" stopIfTrue="1">
      <formula>NOT(ISBLANK($M$40))</formula>
    </cfRule>
  </conditionalFormatting>
  <conditionalFormatting sqref="N40">
    <cfRule type="expression" dxfId="761" priority="12763" stopIfTrue="1">
      <formula>NOT(ISBLANK($N$40))</formula>
    </cfRule>
  </conditionalFormatting>
  <conditionalFormatting sqref="O40">
    <cfRule type="expression" dxfId="760" priority="12764" stopIfTrue="1">
      <formula>NOT(ISBLANK($O$40))</formula>
    </cfRule>
  </conditionalFormatting>
  <conditionalFormatting sqref="P40">
    <cfRule type="expression" dxfId="759" priority="12765" stopIfTrue="1">
      <formula>NOT(ISBLANK($P$40))</formula>
    </cfRule>
  </conditionalFormatting>
  <conditionalFormatting sqref="Q40">
    <cfRule type="expression" dxfId="758" priority="12766" stopIfTrue="1">
      <formula>NOT(ISBLANK($Q$40))</formula>
    </cfRule>
  </conditionalFormatting>
  <conditionalFormatting sqref="R40">
    <cfRule type="cellIs" dxfId="757" priority="12767" stopIfTrue="1" operator="notEqual">
      <formula>"no holding tank"</formula>
    </cfRule>
  </conditionalFormatting>
  <conditionalFormatting sqref="S40">
    <cfRule type="cellIs" dxfId="756" priority="12768" stopIfTrue="1" operator="notEqual">
      <formula>"POTW"</formula>
    </cfRule>
  </conditionalFormatting>
  <conditionalFormatting sqref="T40">
    <cfRule type="cellIs" dxfId="755" priority="12769" stopIfTrue="1" operator="notEqual">
      <formula>"incineration (non-hazardous)"</formula>
    </cfRule>
  </conditionalFormatting>
  <conditionalFormatting sqref="U40">
    <cfRule type="expression" dxfId="754" priority="12770" stopIfTrue="1">
      <formula>NOT(ISBLANK($U$40))</formula>
    </cfRule>
  </conditionalFormatting>
  <conditionalFormatting sqref="V40">
    <cfRule type="cellIs" dxfId="753" priority="12771" stopIfTrue="1" operator="notEqual">
      <formula>0</formula>
    </cfRule>
  </conditionalFormatting>
  <conditionalFormatting sqref="W40">
    <cfRule type="expression" dxfId="752" priority="12772" stopIfTrue="1">
      <formula>NOT(ISBLANK($W$40))</formula>
    </cfRule>
  </conditionalFormatting>
  <conditionalFormatting sqref="X40">
    <cfRule type="expression" dxfId="751" priority="12773" stopIfTrue="1">
      <formula>NOT(ISBLANK($X$40))</formula>
    </cfRule>
  </conditionalFormatting>
  <conditionalFormatting sqref="Y40">
    <cfRule type="expression" dxfId="750" priority="12774" stopIfTrue="1">
      <formula>NOT(ISBLANK($Y$40))</formula>
    </cfRule>
  </conditionalFormatting>
  <conditionalFormatting sqref="Z40">
    <cfRule type="expression" dxfId="749" priority="12775" stopIfTrue="1">
      <formula>NOT(ISBLANK($Z$40))</formula>
    </cfRule>
  </conditionalFormatting>
  <conditionalFormatting sqref="AA40">
    <cfRule type="cellIs" dxfId="748" priority="12776" stopIfTrue="1" operator="notEqual">
      <formula>"fully automated"</formula>
    </cfRule>
  </conditionalFormatting>
  <conditionalFormatting sqref="AB40">
    <cfRule type="expression" dxfId="747" priority="12777" stopIfTrue="1">
      <formula>NOT(ISBLANK($AB$40))</formula>
    </cfRule>
  </conditionalFormatting>
  <conditionalFormatting sqref="AC40">
    <cfRule type="expression" dxfId="746" priority="12778" stopIfTrue="1">
      <formula>NOT(ISBLANK($AC$40))</formula>
    </cfRule>
  </conditionalFormatting>
  <conditionalFormatting sqref="AD40">
    <cfRule type="expression" dxfId="745" priority="12779" stopIfTrue="1">
      <formula>NOT(ISBLANK($AD$40))</formula>
    </cfRule>
  </conditionalFormatting>
  <conditionalFormatting sqref="AE40">
    <cfRule type="expression" dxfId="744" priority="12780" stopIfTrue="1">
      <formula>NOT(ISBLANK($AE$40))</formula>
    </cfRule>
  </conditionalFormatting>
  <conditionalFormatting sqref="A41">
    <cfRule type="cellIs" dxfId="743" priority="12781" stopIfTrue="1" operator="notEqual">
      <formula>5</formula>
    </cfRule>
  </conditionalFormatting>
  <conditionalFormatting sqref="B41">
    <cfRule type="cellIs" dxfId="742" priority="12782" stopIfTrue="1" operator="notEqual">
      <formula>1</formula>
    </cfRule>
  </conditionalFormatting>
  <conditionalFormatting sqref="C41">
    <cfRule type="cellIs" dxfId="741" priority="12783" stopIfTrue="1" operator="notEqual">
      <formula>0.03</formula>
    </cfRule>
  </conditionalFormatting>
  <conditionalFormatting sqref="D41">
    <cfRule type="cellIs" dxfId="740" priority="12784" stopIfTrue="1" operator="notEqual">
      <formula>"MGD"</formula>
    </cfRule>
  </conditionalFormatting>
  <conditionalFormatting sqref="E41">
    <cfRule type="cellIs" dxfId="739" priority="12785" stopIfTrue="1" operator="notEqual">
      <formula>0.007</formula>
    </cfRule>
  </conditionalFormatting>
  <conditionalFormatting sqref="F41">
    <cfRule type="cellIs" dxfId="738" priority="12786" stopIfTrue="1" operator="notEqual">
      <formula>"MGD"</formula>
    </cfRule>
  </conditionalFormatting>
  <conditionalFormatting sqref="G41">
    <cfRule type="cellIs" dxfId="737" priority="12787" stopIfTrue="1" operator="notEqual">
      <formula>"throwaway"</formula>
    </cfRule>
  </conditionalFormatting>
  <conditionalFormatting sqref="H41">
    <cfRule type="cellIs" dxfId="736" priority="12788" stopIfTrue="1" operator="notEqual">
      <formula>120000</formula>
    </cfRule>
  </conditionalFormatting>
  <conditionalFormatting sqref="I41">
    <cfRule type="cellIs" dxfId="735" priority="12789" stopIfTrue="1" operator="notEqual">
      <formula>"bed volumes"</formula>
    </cfRule>
  </conditionalFormatting>
  <conditionalFormatting sqref="J41">
    <cfRule type="cellIs" dxfId="734" priority="12790" stopIfTrue="1" operator="notEqual">
      <formula>2</formula>
    </cfRule>
  </conditionalFormatting>
  <conditionalFormatting sqref="K41">
    <cfRule type="cellIs" dxfId="733" priority="12791" stopIfTrue="1" operator="notEqual">
      <formula>6</formula>
    </cfRule>
  </conditionalFormatting>
  <conditionalFormatting sqref="L41">
    <cfRule type="cellIs" dxfId="732" priority="12792" stopIfTrue="1" operator="notEqual">
      <formula>"yes"</formula>
    </cfRule>
  </conditionalFormatting>
  <conditionalFormatting sqref="M41">
    <cfRule type="expression" dxfId="731" priority="12793" stopIfTrue="1">
      <formula>NOT(ISBLANK($M$41))</formula>
    </cfRule>
  </conditionalFormatting>
  <conditionalFormatting sqref="N41">
    <cfRule type="expression" dxfId="730" priority="12794" stopIfTrue="1">
      <formula>NOT(ISBLANK($N$41))</formula>
    </cfRule>
  </conditionalFormatting>
  <conditionalFormatting sqref="O41">
    <cfRule type="expression" dxfId="729" priority="12795" stopIfTrue="1">
      <formula>NOT(ISBLANK($O$41))</formula>
    </cfRule>
  </conditionalFormatting>
  <conditionalFormatting sqref="P41">
    <cfRule type="expression" dxfId="728" priority="12796" stopIfTrue="1">
      <formula>NOT(ISBLANK($P$41))</formula>
    </cfRule>
  </conditionalFormatting>
  <conditionalFormatting sqref="Q41">
    <cfRule type="expression" dxfId="727" priority="12797" stopIfTrue="1">
      <formula>NOT(ISBLANK($Q$41))</formula>
    </cfRule>
  </conditionalFormatting>
  <conditionalFormatting sqref="R41">
    <cfRule type="cellIs" dxfId="726" priority="12798" stopIfTrue="1" operator="notEqual">
      <formula>"no holding tank"</formula>
    </cfRule>
  </conditionalFormatting>
  <conditionalFormatting sqref="S41">
    <cfRule type="cellIs" dxfId="725" priority="12799" stopIfTrue="1" operator="notEqual">
      <formula>"POTW"</formula>
    </cfRule>
  </conditionalFormatting>
  <conditionalFormatting sqref="T41">
    <cfRule type="cellIs" dxfId="724" priority="12800" stopIfTrue="1" operator="notEqual">
      <formula>"incineration (non-hazardous)"</formula>
    </cfRule>
  </conditionalFormatting>
  <conditionalFormatting sqref="U41">
    <cfRule type="expression" dxfId="723" priority="12801" stopIfTrue="1">
      <formula>NOT(ISBLANK($U$41))</formula>
    </cfRule>
  </conditionalFormatting>
  <conditionalFormatting sqref="V41">
    <cfRule type="cellIs" dxfId="722" priority="12802" stopIfTrue="1" operator="notEqual">
      <formula>0</formula>
    </cfRule>
  </conditionalFormatting>
  <conditionalFormatting sqref="W41">
    <cfRule type="expression" dxfId="721" priority="12803" stopIfTrue="1">
      <formula>NOT(ISBLANK($W$41))</formula>
    </cfRule>
  </conditionalFormatting>
  <conditionalFormatting sqref="X41">
    <cfRule type="expression" dxfId="720" priority="12804" stopIfTrue="1">
      <formula>NOT(ISBLANK($X$41))</formula>
    </cfRule>
  </conditionalFormatting>
  <conditionalFormatting sqref="Y41">
    <cfRule type="expression" dxfId="719" priority="12805" stopIfTrue="1">
      <formula>NOT(ISBLANK($Y$41))</formula>
    </cfRule>
  </conditionalFormatting>
  <conditionalFormatting sqref="Z41">
    <cfRule type="expression" dxfId="718" priority="12806" stopIfTrue="1">
      <formula>NOT(ISBLANK($Z$41))</formula>
    </cfRule>
  </conditionalFormatting>
  <conditionalFormatting sqref="AA41">
    <cfRule type="cellIs" dxfId="717" priority="12807" stopIfTrue="1" operator="notEqual">
      <formula>"fully automated"</formula>
    </cfRule>
  </conditionalFormatting>
  <conditionalFormatting sqref="AB41">
    <cfRule type="expression" dxfId="716" priority="12808" stopIfTrue="1">
      <formula>NOT(ISBLANK($AB$41))</formula>
    </cfRule>
  </conditionalFormatting>
  <conditionalFormatting sqref="AC41">
    <cfRule type="expression" dxfId="715" priority="12809" stopIfTrue="1">
      <formula>NOT(ISBLANK($AC$41))</formula>
    </cfRule>
  </conditionalFormatting>
  <conditionalFormatting sqref="AD41">
    <cfRule type="expression" dxfId="714" priority="12810" stopIfTrue="1">
      <formula>NOT(ISBLANK($AD$41))</formula>
    </cfRule>
  </conditionalFormatting>
  <conditionalFormatting sqref="AE41">
    <cfRule type="expression" dxfId="713" priority="12811" stopIfTrue="1">
      <formula>NOT(ISBLANK($AE$41))</formula>
    </cfRule>
  </conditionalFormatting>
  <conditionalFormatting sqref="A42">
    <cfRule type="cellIs" dxfId="712" priority="12812" stopIfTrue="1" operator="notEqual">
      <formula>5</formula>
    </cfRule>
  </conditionalFormatting>
  <conditionalFormatting sqref="B42">
    <cfRule type="cellIs" dxfId="711" priority="12813" stopIfTrue="1" operator="notEqual">
      <formula>2</formula>
    </cfRule>
  </conditionalFormatting>
  <conditionalFormatting sqref="C42">
    <cfRule type="cellIs" dxfId="710" priority="12814" stopIfTrue="1" operator="notEqual">
      <formula>0.124</formula>
    </cfRule>
  </conditionalFormatting>
  <conditionalFormatting sqref="D42">
    <cfRule type="cellIs" dxfId="709" priority="12815" stopIfTrue="1" operator="notEqual">
      <formula>"MGD"</formula>
    </cfRule>
  </conditionalFormatting>
  <conditionalFormatting sqref="E42">
    <cfRule type="cellIs" dxfId="708" priority="12816" stopIfTrue="1" operator="notEqual">
      <formula>0.035</formula>
    </cfRule>
  </conditionalFormatting>
  <conditionalFormatting sqref="F42">
    <cfRule type="cellIs" dxfId="707" priority="12817" stopIfTrue="1" operator="notEqual">
      <formula>"MGD"</formula>
    </cfRule>
  </conditionalFormatting>
  <conditionalFormatting sqref="G42">
    <cfRule type="cellIs" dxfId="706" priority="12818" stopIfTrue="1" operator="notEqual">
      <formula>"throwaway"</formula>
    </cfRule>
  </conditionalFormatting>
  <conditionalFormatting sqref="H42">
    <cfRule type="cellIs" dxfId="705" priority="12819" stopIfTrue="1" operator="notEqual">
      <formula>120000</formula>
    </cfRule>
  </conditionalFormatting>
  <conditionalFormatting sqref="I42">
    <cfRule type="cellIs" dxfId="704" priority="12820" stopIfTrue="1" operator="notEqual">
      <formula>"bed volumes"</formula>
    </cfRule>
  </conditionalFormatting>
  <conditionalFormatting sqref="J42">
    <cfRule type="cellIs" dxfId="703" priority="12821" stopIfTrue="1" operator="notEqual">
      <formula>2</formula>
    </cfRule>
  </conditionalFormatting>
  <conditionalFormatting sqref="K42">
    <cfRule type="cellIs" dxfId="702" priority="12822" stopIfTrue="1" operator="notEqual">
      <formula>6</formula>
    </cfRule>
  </conditionalFormatting>
  <conditionalFormatting sqref="L42">
    <cfRule type="cellIs" dxfId="701" priority="12823" stopIfTrue="1" operator="notEqual">
      <formula>"yes"</formula>
    </cfRule>
  </conditionalFormatting>
  <conditionalFormatting sqref="M42">
    <cfRule type="expression" dxfId="700" priority="12824" stopIfTrue="1">
      <formula>NOT(ISBLANK($M$42))</formula>
    </cfRule>
  </conditionalFormatting>
  <conditionalFormatting sqref="N42">
    <cfRule type="expression" dxfId="699" priority="12825" stopIfTrue="1">
      <formula>NOT(ISBLANK($N$42))</formula>
    </cfRule>
  </conditionalFormatting>
  <conditionalFormatting sqref="O42">
    <cfRule type="expression" dxfId="698" priority="12826" stopIfTrue="1">
      <formula>NOT(ISBLANK($O$42))</formula>
    </cfRule>
  </conditionalFormatting>
  <conditionalFormatting sqref="P42">
    <cfRule type="expression" dxfId="697" priority="12827" stopIfTrue="1">
      <formula>NOT(ISBLANK($P$42))</formula>
    </cfRule>
  </conditionalFormatting>
  <conditionalFormatting sqref="Q42">
    <cfRule type="expression" dxfId="696" priority="12828" stopIfTrue="1">
      <formula>NOT(ISBLANK($Q$42))</formula>
    </cfRule>
  </conditionalFormatting>
  <conditionalFormatting sqref="R42">
    <cfRule type="cellIs" dxfId="695" priority="12829" stopIfTrue="1" operator="notEqual">
      <formula>"no holding tank"</formula>
    </cfRule>
  </conditionalFormatting>
  <conditionalFormatting sqref="S42">
    <cfRule type="cellIs" dxfId="694" priority="12830" stopIfTrue="1" operator="notEqual">
      <formula>"POTW"</formula>
    </cfRule>
  </conditionalFormatting>
  <conditionalFormatting sqref="T42">
    <cfRule type="cellIs" dxfId="693" priority="12831" stopIfTrue="1" operator="notEqual">
      <formula>"incineration (non-hazardous)"</formula>
    </cfRule>
  </conditionalFormatting>
  <conditionalFormatting sqref="U42">
    <cfRule type="expression" dxfId="692" priority="12832" stopIfTrue="1">
      <formula>NOT(ISBLANK($U$42))</formula>
    </cfRule>
  </conditionalFormatting>
  <conditionalFormatting sqref="V42">
    <cfRule type="cellIs" dxfId="691" priority="12833" stopIfTrue="1" operator="notEqual">
      <formula>0</formula>
    </cfRule>
  </conditionalFormatting>
  <conditionalFormatting sqref="W42">
    <cfRule type="expression" dxfId="690" priority="12834" stopIfTrue="1">
      <formula>NOT(ISBLANK($W$42))</formula>
    </cfRule>
  </conditionalFormatting>
  <conditionalFormatting sqref="X42">
    <cfRule type="expression" dxfId="689" priority="12835" stopIfTrue="1">
      <formula>NOT(ISBLANK($X$42))</formula>
    </cfRule>
  </conditionalFormatting>
  <conditionalFormatting sqref="Y42">
    <cfRule type="expression" dxfId="688" priority="12836" stopIfTrue="1">
      <formula>NOT(ISBLANK($Y$42))</formula>
    </cfRule>
  </conditionalFormatting>
  <conditionalFormatting sqref="Z42">
    <cfRule type="expression" dxfId="687" priority="12837" stopIfTrue="1">
      <formula>NOT(ISBLANK($Z$42))</formula>
    </cfRule>
  </conditionalFormatting>
  <conditionalFormatting sqref="AA42">
    <cfRule type="cellIs" dxfId="686" priority="12838" stopIfTrue="1" operator="notEqual">
      <formula>"fully automated"</formula>
    </cfRule>
  </conditionalFormatting>
  <conditionalFormatting sqref="AB42">
    <cfRule type="expression" dxfId="685" priority="12839" stopIfTrue="1">
      <formula>NOT(ISBLANK($AB$42))</formula>
    </cfRule>
  </conditionalFormatting>
  <conditionalFormatting sqref="AC42">
    <cfRule type="expression" dxfId="684" priority="12840" stopIfTrue="1">
      <formula>NOT(ISBLANK($AC$42))</formula>
    </cfRule>
  </conditionalFormatting>
  <conditionalFormatting sqref="AD42">
    <cfRule type="expression" dxfId="683" priority="12841" stopIfTrue="1">
      <formula>NOT(ISBLANK($AD$42))</formula>
    </cfRule>
  </conditionalFormatting>
  <conditionalFormatting sqref="AE42">
    <cfRule type="expression" dxfId="682" priority="12842" stopIfTrue="1">
      <formula>NOT(ISBLANK($AE$42))</formula>
    </cfRule>
  </conditionalFormatting>
  <conditionalFormatting sqref="A43">
    <cfRule type="cellIs" dxfId="681" priority="12843" stopIfTrue="1" operator="notEqual">
      <formula>5</formula>
    </cfRule>
  </conditionalFormatting>
  <conditionalFormatting sqref="B43">
    <cfRule type="cellIs" dxfId="680" priority="12844" stopIfTrue="1" operator="notEqual">
      <formula>3</formula>
    </cfRule>
  </conditionalFormatting>
  <conditionalFormatting sqref="C43">
    <cfRule type="cellIs" dxfId="679" priority="12845" stopIfTrue="1" operator="notEqual">
      <formula>0.305</formula>
    </cfRule>
  </conditionalFormatting>
  <conditionalFormatting sqref="D43">
    <cfRule type="cellIs" dxfId="678" priority="12846" stopIfTrue="1" operator="notEqual">
      <formula>"MGD"</formula>
    </cfRule>
  </conditionalFormatting>
  <conditionalFormatting sqref="E43">
    <cfRule type="cellIs" dxfId="677" priority="12847" stopIfTrue="1" operator="notEqual">
      <formula>0.094</formula>
    </cfRule>
  </conditionalFormatting>
  <conditionalFormatting sqref="F43">
    <cfRule type="cellIs" dxfId="676" priority="12848" stopIfTrue="1" operator="notEqual">
      <formula>"MGD"</formula>
    </cfRule>
  </conditionalFormatting>
  <conditionalFormatting sqref="G43">
    <cfRule type="cellIs" dxfId="675" priority="12849" stopIfTrue="1" operator="notEqual">
      <formula>"throwaway"</formula>
    </cfRule>
  </conditionalFormatting>
  <conditionalFormatting sqref="H43">
    <cfRule type="cellIs" dxfId="674" priority="12850" stopIfTrue="1" operator="notEqual">
      <formula>120000</formula>
    </cfRule>
  </conditionalFormatting>
  <conditionalFormatting sqref="I43">
    <cfRule type="cellIs" dxfId="673" priority="12851" stopIfTrue="1" operator="notEqual">
      <formula>"bed volumes"</formula>
    </cfRule>
  </conditionalFormatting>
  <conditionalFormatting sqref="J43">
    <cfRule type="cellIs" dxfId="672" priority="12852" stopIfTrue="1" operator="notEqual">
      <formula>2</formula>
    </cfRule>
  </conditionalFormatting>
  <conditionalFormatting sqref="K43">
    <cfRule type="cellIs" dxfId="671" priority="12853" stopIfTrue="1" operator="notEqual">
      <formula>6</formula>
    </cfRule>
  </conditionalFormatting>
  <conditionalFormatting sqref="L43">
    <cfRule type="cellIs" dxfId="670" priority="12854" stopIfTrue="1" operator="notEqual">
      <formula>"yes"</formula>
    </cfRule>
  </conditionalFormatting>
  <conditionalFormatting sqref="M43">
    <cfRule type="expression" dxfId="669" priority="12855" stopIfTrue="1">
      <formula>NOT(ISBLANK($M$43))</formula>
    </cfRule>
  </conditionalFormatting>
  <conditionalFormatting sqref="N43">
    <cfRule type="expression" dxfId="668" priority="12856" stopIfTrue="1">
      <formula>NOT(ISBLANK($N$43))</formula>
    </cfRule>
  </conditionalFormatting>
  <conditionalFormatting sqref="O43">
    <cfRule type="expression" dxfId="667" priority="12857" stopIfTrue="1">
      <formula>NOT(ISBLANK($O$43))</formula>
    </cfRule>
  </conditionalFormatting>
  <conditionalFormatting sqref="P43">
    <cfRule type="expression" dxfId="666" priority="12858" stopIfTrue="1">
      <formula>NOT(ISBLANK($P$43))</formula>
    </cfRule>
  </conditionalFormatting>
  <conditionalFormatting sqref="Q43">
    <cfRule type="expression" dxfId="665" priority="12859" stopIfTrue="1">
      <formula>NOT(ISBLANK($Q$43))</formula>
    </cfRule>
  </conditionalFormatting>
  <conditionalFormatting sqref="R43">
    <cfRule type="cellIs" dxfId="664" priority="12860" stopIfTrue="1" operator="notEqual">
      <formula>"no holding tank"</formula>
    </cfRule>
  </conditionalFormatting>
  <conditionalFormatting sqref="S43">
    <cfRule type="cellIs" dxfId="663" priority="12861" stopIfTrue="1" operator="notEqual">
      <formula>"POTW"</formula>
    </cfRule>
  </conditionalFormatting>
  <conditionalFormatting sqref="T43">
    <cfRule type="cellIs" dxfId="662" priority="12862" stopIfTrue="1" operator="notEqual">
      <formula>"incineration (non-hazardous)"</formula>
    </cfRule>
  </conditionalFormatting>
  <conditionalFormatting sqref="U43">
    <cfRule type="expression" dxfId="661" priority="12863" stopIfTrue="1">
      <formula>NOT(ISBLANK($U$43))</formula>
    </cfRule>
  </conditionalFormatting>
  <conditionalFormatting sqref="V43">
    <cfRule type="cellIs" dxfId="660" priority="12864" stopIfTrue="1" operator="notEqual">
      <formula>0</formula>
    </cfRule>
  </conditionalFormatting>
  <conditionalFormatting sqref="W43">
    <cfRule type="expression" dxfId="659" priority="12865" stopIfTrue="1">
      <formula>NOT(ISBLANK($W$43))</formula>
    </cfRule>
  </conditionalFormatting>
  <conditionalFormatting sqref="X43">
    <cfRule type="expression" dxfId="658" priority="12866" stopIfTrue="1">
      <formula>NOT(ISBLANK($X$43))</formula>
    </cfRule>
  </conditionalFormatting>
  <conditionalFormatting sqref="Y43">
    <cfRule type="expression" dxfId="657" priority="12867" stopIfTrue="1">
      <formula>NOT(ISBLANK($Y$43))</formula>
    </cfRule>
  </conditionalFormatting>
  <conditionalFormatting sqref="Z43">
    <cfRule type="expression" dxfId="656" priority="12868" stopIfTrue="1">
      <formula>NOT(ISBLANK($Z$43))</formula>
    </cfRule>
  </conditionalFormatting>
  <conditionalFormatting sqref="AA43">
    <cfRule type="cellIs" dxfId="655" priority="12869" stopIfTrue="1" operator="notEqual">
      <formula>"fully automated"</formula>
    </cfRule>
  </conditionalFormatting>
  <conditionalFormatting sqref="AB43">
    <cfRule type="expression" dxfId="654" priority="12870" stopIfTrue="1">
      <formula>NOT(ISBLANK($AB$43))</formula>
    </cfRule>
  </conditionalFormatting>
  <conditionalFormatting sqref="AC43">
    <cfRule type="expression" dxfId="653" priority="12871" stopIfTrue="1">
      <formula>NOT(ISBLANK($AC$43))</formula>
    </cfRule>
  </conditionalFormatting>
  <conditionalFormatting sqref="AD43">
    <cfRule type="expression" dxfId="652" priority="12872" stopIfTrue="1">
      <formula>NOT(ISBLANK($AD$43))</formula>
    </cfRule>
  </conditionalFormatting>
  <conditionalFormatting sqref="AE43">
    <cfRule type="expression" dxfId="651" priority="12873" stopIfTrue="1">
      <formula>NOT(ISBLANK($AE$43))</formula>
    </cfRule>
  </conditionalFormatting>
  <conditionalFormatting sqref="A44">
    <cfRule type="cellIs" dxfId="650" priority="12874" stopIfTrue="1" operator="notEqual">
      <formula>5</formula>
    </cfRule>
  </conditionalFormatting>
  <conditionalFormatting sqref="B44">
    <cfRule type="cellIs" dxfId="649" priority="12875" stopIfTrue="1" operator="notEqual">
      <formula>4</formula>
    </cfRule>
  </conditionalFormatting>
  <conditionalFormatting sqref="C44">
    <cfRule type="cellIs" dxfId="648" priority="12876" stopIfTrue="1" operator="notEqual">
      <formula>0.74</formula>
    </cfRule>
  </conditionalFormatting>
  <conditionalFormatting sqref="D44">
    <cfRule type="cellIs" dxfId="647" priority="12877" stopIfTrue="1" operator="notEqual">
      <formula>"MGD"</formula>
    </cfRule>
  </conditionalFormatting>
  <conditionalFormatting sqref="E44">
    <cfRule type="cellIs" dxfId="646" priority="12878" stopIfTrue="1" operator="notEqual">
      <formula>0.251</formula>
    </cfRule>
  </conditionalFormatting>
  <conditionalFormatting sqref="F44">
    <cfRule type="cellIs" dxfId="645" priority="12879" stopIfTrue="1" operator="notEqual">
      <formula>"MGD"</formula>
    </cfRule>
  </conditionalFormatting>
  <conditionalFormatting sqref="G44">
    <cfRule type="cellIs" dxfId="644" priority="12880" stopIfTrue="1" operator="notEqual">
      <formula>"throwaway"</formula>
    </cfRule>
  </conditionalFormatting>
  <conditionalFormatting sqref="H44">
    <cfRule type="cellIs" dxfId="643" priority="12881" stopIfTrue="1" operator="notEqual">
      <formula>120000</formula>
    </cfRule>
  </conditionalFormatting>
  <conditionalFormatting sqref="I44">
    <cfRule type="cellIs" dxfId="642" priority="12882" stopIfTrue="1" operator="notEqual">
      <formula>"bed volumes"</formula>
    </cfRule>
  </conditionalFormatting>
  <conditionalFormatting sqref="J44">
    <cfRule type="cellIs" dxfId="641" priority="12883" stopIfTrue="1" operator="notEqual">
      <formula>2</formula>
    </cfRule>
  </conditionalFormatting>
  <conditionalFormatting sqref="K44">
    <cfRule type="cellIs" dxfId="640" priority="12884" stopIfTrue="1" operator="notEqual">
      <formula>6</formula>
    </cfRule>
  </conditionalFormatting>
  <conditionalFormatting sqref="L44">
    <cfRule type="cellIs" dxfId="639" priority="12885" stopIfTrue="1" operator="notEqual">
      <formula>"yes"</formula>
    </cfRule>
  </conditionalFormatting>
  <conditionalFormatting sqref="M44">
    <cfRule type="expression" dxfId="638" priority="12886" stopIfTrue="1">
      <formula>NOT(ISBLANK($M$44))</formula>
    </cfRule>
  </conditionalFormatting>
  <conditionalFormatting sqref="N44">
    <cfRule type="expression" dxfId="637" priority="12887" stopIfTrue="1">
      <formula>NOT(ISBLANK($N$44))</formula>
    </cfRule>
  </conditionalFormatting>
  <conditionalFormatting sqref="O44">
    <cfRule type="expression" dxfId="636" priority="12888" stopIfTrue="1">
      <formula>NOT(ISBLANK($O$44))</formula>
    </cfRule>
  </conditionalFormatting>
  <conditionalFormatting sqref="P44">
    <cfRule type="expression" dxfId="635" priority="12889" stopIfTrue="1">
      <formula>NOT(ISBLANK($P$44))</formula>
    </cfRule>
  </conditionalFormatting>
  <conditionalFormatting sqref="Q44">
    <cfRule type="expression" dxfId="634" priority="12890" stopIfTrue="1">
      <formula>NOT(ISBLANK($Q$44))</formula>
    </cfRule>
  </conditionalFormatting>
  <conditionalFormatting sqref="R44">
    <cfRule type="cellIs" dxfId="633" priority="12891" stopIfTrue="1" operator="notEqual">
      <formula>"no holding tank"</formula>
    </cfRule>
  </conditionalFormatting>
  <conditionalFormatting sqref="S44">
    <cfRule type="cellIs" dxfId="632" priority="12892" stopIfTrue="1" operator="notEqual">
      <formula>"POTW"</formula>
    </cfRule>
  </conditionalFormatting>
  <conditionalFormatting sqref="T44">
    <cfRule type="cellIs" dxfId="631" priority="12893" stopIfTrue="1" operator="notEqual">
      <formula>"incineration (non-hazardous)"</formula>
    </cfRule>
  </conditionalFormatting>
  <conditionalFormatting sqref="U44">
    <cfRule type="expression" dxfId="630" priority="12894" stopIfTrue="1">
      <formula>NOT(ISBLANK($U$44))</formula>
    </cfRule>
  </conditionalFormatting>
  <conditionalFormatting sqref="V44">
    <cfRule type="cellIs" dxfId="629" priority="12895" stopIfTrue="1" operator="notEqual">
      <formula>0</formula>
    </cfRule>
  </conditionalFormatting>
  <conditionalFormatting sqref="W44">
    <cfRule type="expression" dxfId="628" priority="12896" stopIfTrue="1">
      <formula>NOT(ISBLANK($W$44))</formula>
    </cfRule>
  </conditionalFormatting>
  <conditionalFormatting sqref="X44">
    <cfRule type="expression" dxfId="627" priority="12897" stopIfTrue="1">
      <formula>NOT(ISBLANK($X$44))</formula>
    </cfRule>
  </conditionalFormatting>
  <conditionalFormatting sqref="Y44">
    <cfRule type="expression" dxfId="626" priority="12898" stopIfTrue="1">
      <formula>NOT(ISBLANK($Y$44))</formula>
    </cfRule>
  </conditionalFormatting>
  <conditionalFormatting sqref="Z44">
    <cfRule type="expression" dxfId="625" priority="12899" stopIfTrue="1">
      <formula>NOT(ISBLANK($Z$44))</formula>
    </cfRule>
  </conditionalFormatting>
  <conditionalFormatting sqref="AA44">
    <cfRule type="cellIs" dxfId="624" priority="12900" stopIfTrue="1" operator="notEqual">
      <formula>"fully automated"</formula>
    </cfRule>
  </conditionalFormatting>
  <conditionalFormatting sqref="AB44">
    <cfRule type="expression" dxfId="623" priority="12901" stopIfTrue="1">
      <formula>NOT(ISBLANK($AB$44))</formula>
    </cfRule>
  </conditionalFormatting>
  <conditionalFormatting sqref="AC44">
    <cfRule type="expression" dxfId="622" priority="12902" stopIfTrue="1">
      <formula>NOT(ISBLANK($AC$44))</formula>
    </cfRule>
  </conditionalFormatting>
  <conditionalFormatting sqref="AD44">
    <cfRule type="expression" dxfId="621" priority="12903" stopIfTrue="1">
      <formula>NOT(ISBLANK($AD$44))</formula>
    </cfRule>
  </conditionalFormatting>
  <conditionalFormatting sqref="AE44">
    <cfRule type="expression" dxfId="620" priority="12904" stopIfTrue="1">
      <formula>NOT(ISBLANK($AE$44))</formula>
    </cfRule>
  </conditionalFormatting>
  <conditionalFormatting sqref="A45">
    <cfRule type="cellIs" dxfId="619" priority="12905" stopIfTrue="1" operator="notEqual">
      <formula>5</formula>
    </cfRule>
  </conditionalFormatting>
  <conditionalFormatting sqref="B45">
    <cfRule type="cellIs" dxfId="618" priority="12906" stopIfTrue="1" operator="notEqual">
      <formula>5</formula>
    </cfRule>
  </conditionalFormatting>
  <conditionalFormatting sqref="C45">
    <cfRule type="cellIs" dxfId="617" priority="12907" stopIfTrue="1" operator="notEqual">
      <formula>2.152</formula>
    </cfRule>
  </conditionalFormatting>
  <conditionalFormatting sqref="D45">
    <cfRule type="cellIs" dxfId="616" priority="12908" stopIfTrue="1" operator="notEqual">
      <formula>"MGD"</formula>
    </cfRule>
  </conditionalFormatting>
  <conditionalFormatting sqref="E45">
    <cfRule type="cellIs" dxfId="615" priority="12909" stopIfTrue="1" operator="notEqual">
      <formula>0.819</formula>
    </cfRule>
  </conditionalFormatting>
  <conditionalFormatting sqref="F45">
    <cfRule type="cellIs" dxfId="614" priority="12910" stopIfTrue="1" operator="notEqual">
      <formula>"MGD"</formula>
    </cfRule>
  </conditionalFormatting>
  <conditionalFormatting sqref="G45">
    <cfRule type="cellIs" dxfId="613" priority="12911" stopIfTrue="1" operator="notEqual">
      <formula>"throwaway"</formula>
    </cfRule>
  </conditionalFormatting>
  <conditionalFormatting sqref="H45">
    <cfRule type="cellIs" dxfId="612" priority="12912" stopIfTrue="1" operator="notEqual">
      <formula>120000</formula>
    </cfRule>
  </conditionalFormatting>
  <conditionalFormatting sqref="I45">
    <cfRule type="cellIs" dxfId="611" priority="12913" stopIfTrue="1" operator="notEqual">
      <formula>"bed volumes"</formula>
    </cfRule>
  </conditionalFormatting>
  <conditionalFormatting sqref="J45">
    <cfRule type="cellIs" dxfId="610" priority="12914" stopIfTrue="1" operator="notEqual">
      <formula>2</formula>
    </cfRule>
  </conditionalFormatting>
  <conditionalFormatting sqref="K45">
    <cfRule type="cellIs" dxfId="609" priority="12915" stopIfTrue="1" operator="notEqual">
      <formula>6</formula>
    </cfRule>
  </conditionalFormatting>
  <conditionalFormatting sqref="L45">
    <cfRule type="cellIs" dxfId="608" priority="12916" stopIfTrue="1" operator="notEqual">
      <formula>"yes"</formula>
    </cfRule>
  </conditionalFormatting>
  <conditionalFormatting sqref="M45">
    <cfRule type="expression" dxfId="607" priority="12917" stopIfTrue="1">
      <formula>NOT(ISBLANK($M$45))</formula>
    </cfRule>
  </conditionalFormatting>
  <conditionalFormatting sqref="N45">
    <cfRule type="expression" dxfId="606" priority="12918" stopIfTrue="1">
      <formula>NOT(ISBLANK($N$45))</formula>
    </cfRule>
  </conditionalFormatting>
  <conditionalFormatting sqref="O45">
    <cfRule type="expression" dxfId="605" priority="12919" stopIfTrue="1">
      <formula>NOT(ISBLANK($O$45))</formula>
    </cfRule>
  </conditionalFormatting>
  <conditionalFormatting sqref="P45">
    <cfRule type="expression" dxfId="604" priority="12920" stopIfTrue="1">
      <formula>NOT(ISBLANK($P$45))</formula>
    </cfRule>
  </conditionalFormatting>
  <conditionalFormatting sqref="Q45">
    <cfRule type="expression" dxfId="603" priority="12921" stopIfTrue="1">
      <formula>NOT(ISBLANK($Q$45))</formula>
    </cfRule>
  </conditionalFormatting>
  <conditionalFormatting sqref="R45">
    <cfRule type="cellIs" dxfId="602" priority="12922" stopIfTrue="1" operator="notEqual">
      <formula>"no holding tank"</formula>
    </cfRule>
  </conditionalFormatting>
  <conditionalFormatting sqref="S45">
    <cfRule type="cellIs" dxfId="601" priority="12923" stopIfTrue="1" operator="notEqual">
      <formula>"POTW"</formula>
    </cfRule>
  </conditionalFormatting>
  <conditionalFormatting sqref="T45">
    <cfRule type="cellIs" dxfId="600" priority="12924" stopIfTrue="1" operator="notEqual">
      <formula>"incineration (non-hazardous)"</formula>
    </cfRule>
  </conditionalFormatting>
  <conditionalFormatting sqref="U45">
    <cfRule type="expression" dxfId="599" priority="12925" stopIfTrue="1">
      <formula>NOT(ISBLANK($U$45))</formula>
    </cfRule>
  </conditionalFormatting>
  <conditionalFormatting sqref="V45">
    <cfRule type="cellIs" dxfId="598" priority="12926" stopIfTrue="1" operator="notEqual">
      <formula>0</formula>
    </cfRule>
  </conditionalFormatting>
  <conditionalFormatting sqref="W45">
    <cfRule type="expression" dxfId="597" priority="12927" stopIfTrue="1">
      <formula>NOT(ISBLANK($W$45))</formula>
    </cfRule>
  </conditionalFormatting>
  <conditionalFormatting sqref="X45">
    <cfRule type="expression" dxfId="596" priority="12928" stopIfTrue="1">
      <formula>NOT(ISBLANK($X$45))</formula>
    </cfRule>
  </conditionalFormatting>
  <conditionalFormatting sqref="Y45">
    <cfRule type="expression" dxfId="595" priority="12929" stopIfTrue="1">
      <formula>NOT(ISBLANK($Y$45))</formula>
    </cfRule>
  </conditionalFormatting>
  <conditionalFormatting sqref="Z45">
    <cfRule type="expression" dxfId="594" priority="12930" stopIfTrue="1">
      <formula>NOT(ISBLANK($Z$45))</formula>
    </cfRule>
  </conditionalFormatting>
  <conditionalFormatting sqref="AA45">
    <cfRule type="cellIs" dxfId="593" priority="12931" stopIfTrue="1" operator="notEqual">
      <formula>"fully automated"</formula>
    </cfRule>
  </conditionalFormatting>
  <conditionalFormatting sqref="AB45">
    <cfRule type="expression" dxfId="592" priority="12932" stopIfTrue="1">
      <formula>NOT(ISBLANK($AB$45))</formula>
    </cfRule>
  </conditionalFormatting>
  <conditionalFormatting sqref="AC45">
    <cfRule type="expression" dxfId="591" priority="12933" stopIfTrue="1">
      <formula>NOT(ISBLANK($AC$45))</formula>
    </cfRule>
  </conditionalFormatting>
  <conditionalFormatting sqref="AD45">
    <cfRule type="expression" dxfId="590" priority="12934" stopIfTrue="1">
      <formula>NOT(ISBLANK($AD$45))</formula>
    </cfRule>
  </conditionalFormatting>
  <conditionalFormatting sqref="AE45">
    <cfRule type="expression" dxfId="589" priority="12935" stopIfTrue="1">
      <formula>NOT(ISBLANK($AE$45))</formula>
    </cfRule>
  </conditionalFormatting>
  <conditionalFormatting sqref="A46">
    <cfRule type="cellIs" dxfId="588" priority="12936" stopIfTrue="1" operator="notEqual">
      <formula>5</formula>
    </cfRule>
  </conditionalFormatting>
  <conditionalFormatting sqref="B46">
    <cfRule type="cellIs" dxfId="587" priority="12937" stopIfTrue="1" operator="notEqual">
      <formula>6</formula>
    </cfRule>
  </conditionalFormatting>
  <conditionalFormatting sqref="C46">
    <cfRule type="cellIs" dxfId="586" priority="12938" stopIfTrue="1" operator="notEqual">
      <formula>7.365</formula>
    </cfRule>
  </conditionalFormatting>
  <conditionalFormatting sqref="D46">
    <cfRule type="cellIs" dxfId="585" priority="12939" stopIfTrue="1" operator="notEqual">
      <formula>"MGD"</formula>
    </cfRule>
  </conditionalFormatting>
  <conditionalFormatting sqref="E46">
    <cfRule type="cellIs" dxfId="584" priority="12940" stopIfTrue="1" operator="notEqual">
      <formula>3.2</formula>
    </cfRule>
  </conditionalFormatting>
  <conditionalFormatting sqref="F46">
    <cfRule type="cellIs" dxfId="583" priority="12941" stopIfTrue="1" operator="notEqual">
      <formula>"MGD"</formula>
    </cfRule>
  </conditionalFormatting>
  <conditionalFormatting sqref="G46">
    <cfRule type="cellIs" dxfId="582" priority="12942" stopIfTrue="1" operator="notEqual">
      <formula>"throwaway"</formula>
    </cfRule>
  </conditionalFormatting>
  <conditionalFormatting sqref="H46">
    <cfRule type="cellIs" dxfId="581" priority="12943" stopIfTrue="1" operator="notEqual">
      <formula>120000</formula>
    </cfRule>
  </conditionalFormatting>
  <conditionalFormatting sqref="I46">
    <cfRule type="cellIs" dxfId="580" priority="12944" stopIfTrue="1" operator="notEqual">
      <formula>"bed volumes"</formula>
    </cfRule>
  </conditionalFormatting>
  <conditionalFormatting sqref="J46">
    <cfRule type="cellIs" dxfId="579" priority="12945" stopIfTrue="1" operator="notEqual">
      <formula>2</formula>
    </cfRule>
  </conditionalFormatting>
  <conditionalFormatting sqref="K46">
    <cfRule type="cellIs" dxfId="578" priority="12946" stopIfTrue="1" operator="notEqual">
      <formula>6</formula>
    </cfRule>
  </conditionalFormatting>
  <conditionalFormatting sqref="L46">
    <cfRule type="cellIs" dxfId="577" priority="12947" stopIfTrue="1" operator="notEqual">
      <formula>"yes"</formula>
    </cfRule>
  </conditionalFormatting>
  <conditionalFormatting sqref="M46">
    <cfRule type="expression" dxfId="576" priority="12948" stopIfTrue="1">
      <formula>NOT(ISBLANK($M$46))</formula>
    </cfRule>
  </conditionalFormatting>
  <conditionalFormatting sqref="N46">
    <cfRule type="expression" dxfId="575" priority="12949" stopIfTrue="1">
      <formula>NOT(ISBLANK($N$46))</formula>
    </cfRule>
  </conditionalFormatting>
  <conditionalFormatting sqref="O46">
    <cfRule type="expression" dxfId="574" priority="12950" stopIfTrue="1">
      <formula>NOT(ISBLANK($O$46))</formula>
    </cfRule>
  </conditionalFormatting>
  <conditionalFormatting sqref="P46">
    <cfRule type="expression" dxfId="573" priority="12951" stopIfTrue="1">
      <formula>NOT(ISBLANK($P$46))</formula>
    </cfRule>
  </conditionalFormatting>
  <conditionalFormatting sqref="Q46">
    <cfRule type="expression" dxfId="572" priority="12952" stopIfTrue="1">
      <formula>NOT(ISBLANK($Q$46))</formula>
    </cfRule>
  </conditionalFormatting>
  <conditionalFormatting sqref="R46">
    <cfRule type="cellIs" dxfId="571" priority="12953" stopIfTrue="1" operator="notEqual">
      <formula>"no holding tank"</formula>
    </cfRule>
  </conditionalFormatting>
  <conditionalFormatting sqref="S46">
    <cfRule type="cellIs" dxfId="570" priority="12954" stopIfTrue="1" operator="notEqual">
      <formula>"POTW"</formula>
    </cfRule>
  </conditionalFormatting>
  <conditionalFormatting sqref="T46">
    <cfRule type="cellIs" dxfId="569" priority="12955" stopIfTrue="1" operator="notEqual">
      <formula>"incineration (non-hazardous)"</formula>
    </cfRule>
  </conditionalFormatting>
  <conditionalFormatting sqref="U46">
    <cfRule type="expression" dxfId="568" priority="12956" stopIfTrue="1">
      <formula>NOT(ISBLANK($U$46))</formula>
    </cfRule>
  </conditionalFormatting>
  <conditionalFormatting sqref="V46">
    <cfRule type="cellIs" dxfId="567" priority="12957" stopIfTrue="1" operator="notEqual">
      <formula>0</formula>
    </cfRule>
  </conditionalFormatting>
  <conditionalFormatting sqref="W46">
    <cfRule type="expression" dxfId="566" priority="12958" stopIfTrue="1">
      <formula>NOT(ISBLANK($W$46))</formula>
    </cfRule>
  </conditionalFormatting>
  <conditionalFormatting sqref="X46">
    <cfRule type="expression" dxfId="565" priority="12959" stopIfTrue="1">
      <formula>NOT(ISBLANK($X$46))</formula>
    </cfRule>
  </conditionalFormatting>
  <conditionalFormatting sqref="Y46">
    <cfRule type="expression" dxfId="564" priority="12960" stopIfTrue="1">
      <formula>NOT(ISBLANK($Y$46))</formula>
    </cfRule>
  </conditionalFormatting>
  <conditionalFormatting sqref="Z46">
    <cfRule type="expression" dxfId="563" priority="12961" stopIfTrue="1">
      <formula>NOT(ISBLANK($Z$46))</formula>
    </cfRule>
  </conditionalFormatting>
  <conditionalFormatting sqref="AA46">
    <cfRule type="cellIs" dxfId="562" priority="12962" stopIfTrue="1" operator="notEqual">
      <formula>"fully automated"</formula>
    </cfRule>
  </conditionalFormatting>
  <conditionalFormatting sqref="AB46">
    <cfRule type="expression" dxfId="561" priority="12963" stopIfTrue="1">
      <formula>NOT(ISBLANK($AB$46))</formula>
    </cfRule>
  </conditionalFormatting>
  <conditionalFormatting sqref="AC46">
    <cfRule type="expression" dxfId="560" priority="12964" stopIfTrue="1">
      <formula>NOT(ISBLANK($AC$46))</formula>
    </cfRule>
  </conditionalFormatting>
  <conditionalFormatting sqref="AD46">
    <cfRule type="expression" dxfId="559" priority="12965" stopIfTrue="1">
      <formula>NOT(ISBLANK($AD$46))</formula>
    </cfRule>
  </conditionalFormatting>
  <conditionalFormatting sqref="AE46">
    <cfRule type="expression" dxfId="558" priority="12966" stopIfTrue="1">
      <formula>NOT(ISBLANK($AE$46))</formula>
    </cfRule>
  </conditionalFormatting>
  <conditionalFormatting sqref="A47">
    <cfRule type="cellIs" dxfId="557" priority="12967" stopIfTrue="1" operator="notEqual">
      <formula>5</formula>
    </cfRule>
  </conditionalFormatting>
  <conditionalFormatting sqref="B47">
    <cfRule type="cellIs" dxfId="556" priority="12968" stopIfTrue="1" operator="notEqual">
      <formula>7</formula>
    </cfRule>
  </conditionalFormatting>
  <conditionalFormatting sqref="C47">
    <cfRule type="cellIs" dxfId="555" priority="12969" stopIfTrue="1" operator="notEqual">
      <formula>22.614</formula>
    </cfRule>
  </conditionalFormatting>
  <conditionalFormatting sqref="D47">
    <cfRule type="cellIs" dxfId="554" priority="12970" stopIfTrue="1" operator="notEqual">
      <formula>"MGD"</formula>
    </cfRule>
  </conditionalFormatting>
  <conditionalFormatting sqref="E47">
    <cfRule type="cellIs" dxfId="553" priority="12971" stopIfTrue="1" operator="notEqual">
      <formula>11.066</formula>
    </cfRule>
  </conditionalFormatting>
  <conditionalFormatting sqref="F47">
    <cfRule type="cellIs" dxfId="552" priority="12972" stopIfTrue="1" operator="notEqual">
      <formula>"MGD"</formula>
    </cfRule>
  </conditionalFormatting>
  <conditionalFormatting sqref="G47">
    <cfRule type="cellIs" dxfId="551" priority="12973" stopIfTrue="1" operator="notEqual">
      <formula>"throwaway"</formula>
    </cfRule>
  </conditionalFormatting>
  <conditionalFormatting sqref="H47">
    <cfRule type="cellIs" dxfId="550" priority="12974" stopIfTrue="1" operator="notEqual">
      <formula>120000</formula>
    </cfRule>
  </conditionalFormatting>
  <conditionalFormatting sqref="I47">
    <cfRule type="cellIs" dxfId="549" priority="12975" stopIfTrue="1" operator="notEqual">
      <formula>"bed volumes"</formula>
    </cfRule>
  </conditionalFormatting>
  <conditionalFormatting sqref="J47">
    <cfRule type="cellIs" dxfId="548" priority="12976" stopIfTrue="1" operator="notEqual">
      <formula>2</formula>
    </cfRule>
  </conditionalFormatting>
  <conditionalFormatting sqref="K47">
    <cfRule type="cellIs" dxfId="547" priority="12977" stopIfTrue="1" operator="notEqual">
      <formula>6</formula>
    </cfRule>
  </conditionalFormatting>
  <conditionalFormatting sqref="L47">
    <cfRule type="cellIs" dxfId="546" priority="12978" stopIfTrue="1" operator="notEqual">
      <formula>"yes"</formula>
    </cfRule>
  </conditionalFormatting>
  <conditionalFormatting sqref="M47">
    <cfRule type="expression" dxfId="545" priority="12979" stopIfTrue="1">
      <formula>NOT(ISBLANK($M$47))</formula>
    </cfRule>
  </conditionalFormatting>
  <conditionalFormatting sqref="N47">
    <cfRule type="expression" dxfId="544" priority="12980" stopIfTrue="1">
      <formula>NOT(ISBLANK($N$47))</formula>
    </cfRule>
  </conditionalFormatting>
  <conditionalFormatting sqref="O47">
    <cfRule type="expression" dxfId="543" priority="12981" stopIfTrue="1">
      <formula>NOT(ISBLANK($O$47))</formula>
    </cfRule>
  </conditionalFormatting>
  <conditionalFormatting sqref="P47">
    <cfRule type="expression" dxfId="542" priority="12982" stopIfTrue="1">
      <formula>NOT(ISBLANK($P$47))</formula>
    </cfRule>
  </conditionalFormatting>
  <conditionalFormatting sqref="Q47">
    <cfRule type="expression" dxfId="541" priority="12983" stopIfTrue="1">
      <formula>NOT(ISBLANK($Q$47))</formula>
    </cfRule>
  </conditionalFormatting>
  <conditionalFormatting sqref="R47">
    <cfRule type="cellIs" dxfId="540" priority="12984" stopIfTrue="1" operator="notEqual">
      <formula>"no holding tank"</formula>
    </cfRule>
  </conditionalFormatting>
  <conditionalFormatting sqref="S47">
    <cfRule type="cellIs" dxfId="539" priority="12985" stopIfTrue="1" operator="notEqual">
      <formula>"POTW"</formula>
    </cfRule>
  </conditionalFormatting>
  <conditionalFormatting sqref="T47">
    <cfRule type="cellIs" dxfId="538" priority="12986" stopIfTrue="1" operator="notEqual">
      <formula>"incineration (non-hazardous)"</formula>
    </cfRule>
  </conditionalFormatting>
  <conditionalFormatting sqref="U47">
    <cfRule type="expression" dxfId="537" priority="12987" stopIfTrue="1">
      <formula>NOT(ISBLANK($U$47))</formula>
    </cfRule>
  </conditionalFormatting>
  <conditionalFormatting sqref="V47">
    <cfRule type="cellIs" dxfId="536" priority="12988" stopIfTrue="1" operator="notEqual">
      <formula>0</formula>
    </cfRule>
  </conditionalFormatting>
  <conditionalFormatting sqref="W47">
    <cfRule type="expression" dxfId="535" priority="12989" stopIfTrue="1">
      <formula>NOT(ISBLANK($W$47))</formula>
    </cfRule>
  </conditionalFormatting>
  <conditionalFormatting sqref="X47">
    <cfRule type="expression" dxfId="534" priority="12990" stopIfTrue="1">
      <formula>NOT(ISBLANK($X$47))</formula>
    </cfRule>
  </conditionalFormatting>
  <conditionalFormatting sqref="Y47">
    <cfRule type="expression" dxfId="533" priority="12991" stopIfTrue="1">
      <formula>NOT(ISBLANK($Y$47))</formula>
    </cfRule>
  </conditionalFormatting>
  <conditionalFormatting sqref="Z47">
    <cfRule type="expression" dxfId="532" priority="12992" stopIfTrue="1">
      <formula>NOT(ISBLANK($Z$47))</formula>
    </cfRule>
  </conditionalFormatting>
  <conditionalFormatting sqref="AA47">
    <cfRule type="cellIs" dxfId="531" priority="12993" stopIfTrue="1" operator="notEqual">
      <formula>"fully automated"</formula>
    </cfRule>
  </conditionalFormatting>
  <conditionalFormatting sqref="AB47">
    <cfRule type="expression" dxfId="530" priority="12994" stopIfTrue="1">
      <formula>NOT(ISBLANK($AB$47))</formula>
    </cfRule>
  </conditionalFormatting>
  <conditionalFormatting sqref="AC47">
    <cfRule type="expression" dxfId="529" priority="12995" stopIfTrue="1">
      <formula>NOT(ISBLANK($AC$47))</formula>
    </cfRule>
  </conditionalFormatting>
  <conditionalFormatting sqref="AD47">
    <cfRule type="expression" dxfId="528" priority="12996" stopIfTrue="1">
      <formula>NOT(ISBLANK($AD$47))</formula>
    </cfRule>
  </conditionalFormatting>
  <conditionalFormatting sqref="AE47">
    <cfRule type="expression" dxfId="527" priority="12997" stopIfTrue="1">
      <formula>NOT(ISBLANK($AE$47))</formula>
    </cfRule>
  </conditionalFormatting>
  <conditionalFormatting sqref="A48">
    <cfRule type="cellIs" dxfId="526" priority="12998" stopIfTrue="1" operator="notEqual">
      <formula>5</formula>
    </cfRule>
  </conditionalFormatting>
  <conditionalFormatting sqref="B48">
    <cfRule type="cellIs" dxfId="525" priority="12999" stopIfTrue="1" operator="notEqual">
      <formula>8</formula>
    </cfRule>
  </conditionalFormatting>
  <conditionalFormatting sqref="C48">
    <cfRule type="cellIs" dxfId="524" priority="13000" stopIfTrue="1" operator="notEqual">
      <formula>75.072</formula>
    </cfRule>
  </conditionalFormatting>
  <conditionalFormatting sqref="D48">
    <cfRule type="cellIs" dxfId="523" priority="13001" stopIfTrue="1" operator="notEqual">
      <formula>"MGD"</formula>
    </cfRule>
  </conditionalFormatting>
  <conditionalFormatting sqref="E48">
    <cfRule type="cellIs" dxfId="522" priority="13002" stopIfTrue="1" operator="notEqual">
      <formula>37.536</formula>
    </cfRule>
  </conditionalFormatting>
  <conditionalFormatting sqref="F48">
    <cfRule type="cellIs" dxfId="521" priority="13003" stopIfTrue="1" operator="notEqual">
      <formula>"MGD"</formula>
    </cfRule>
  </conditionalFormatting>
  <conditionalFormatting sqref="G48">
    <cfRule type="cellIs" dxfId="520" priority="13004" stopIfTrue="1" operator="notEqual">
      <formula>"throwaway"</formula>
    </cfRule>
  </conditionalFormatting>
  <conditionalFormatting sqref="H48">
    <cfRule type="cellIs" dxfId="519" priority="13005" stopIfTrue="1" operator="notEqual">
      <formula>120000</formula>
    </cfRule>
  </conditionalFormatting>
  <conditionalFormatting sqref="I48">
    <cfRule type="cellIs" dxfId="518" priority="13006" stopIfTrue="1" operator="notEqual">
      <formula>"bed volumes"</formula>
    </cfRule>
  </conditionalFormatting>
  <conditionalFormatting sqref="J48">
    <cfRule type="cellIs" dxfId="517" priority="13007" stopIfTrue="1" operator="notEqual">
      <formula>2</formula>
    </cfRule>
  </conditionalFormatting>
  <conditionalFormatting sqref="K48">
    <cfRule type="cellIs" dxfId="516" priority="13008" stopIfTrue="1" operator="notEqual">
      <formula>6</formula>
    </cfRule>
  </conditionalFormatting>
  <conditionalFormatting sqref="L48">
    <cfRule type="cellIs" dxfId="515" priority="13009" stopIfTrue="1" operator="notEqual">
      <formula>"yes"</formula>
    </cfRule>
  </conditionalFormatting>
  <conditionalFormatting sqref="M48">
    <cfRule type="expression" dxfId="514" priority="13010" stopIfTrue="1">
      <formula>NOT(ISBLANK($M$48))</formula>
    </cfRule>
  </conditionalFormatting>
  <conditionalFormatting sqref="N48">
    <cfRule type="expression" dxfId="513" priority="13011" stopIfTrue="1">
      <formula>NOT(ISBLANK($N$48))</formula>
    </cfRule>
  </conditionalFormatting>
  <conditionalFormatting sqref="O48">
    <cfRule type="expression" dxfId="512" priority="13012" stopIfTrue="1">
      <formula>NOT(ISBLANK($O$48))</formula>
    </cfRule>
  </conditionalFormatting>
  <conditionalFormatting sqref="P48">
    <cfRule type="expression" dxfId="511" priority="13013" stopIfTrue="1">
      <formula>NOT(ISBLANK($P$48))</formula>
    </cfRule>
  </conditionalFormatting>
  <conditionalFormatting sqref="Q48">
    <cfRule type="expression" dxfId="510" priority="13014" stopIfTrue="1">
      <formula>NOT(ISBLANK($Q$48))</formula>
    </cfRule>
  </conditionalFormatting>
  <conditionalFormatting sqref="R48">
    <cfRule type="cellIs" dxfId="509" priority="13015" stopIfTrue="1" operator="notEqual">
      <formula>"no holding tank"</formula>
    </cfRule>
  </conditionalFormatting>
  <conditionalFormatting sqref="S48">
    <cfRule type="cellIs" dxfId="508" priority="13016" stopIfTrue="1" operator="notEqual">
      <formula>"POTW"</formula>
    </cfRule>
  </conditionalFormatting>
  <conditionalFormatting sqref="T48">
    <cfRule type="cellIs" dxfId="507" priority="13017" stopIfTrue="1" operator="notEqual">
      <formula>"incineration (non-hazardous)"</formula>
    </cfRule>
  </conditionalFormatting>
  <conditionalFormatting sqref="U48">
    <cfRule type="expression" dxfId="506" priority="13018" stopIfTrue="1">
      <formula>NOT(ISBLANK($U$48))</formula>
    </cfRule>
  </conditionalFormatting>
  <conditionalFormatting sqref="V48">
    <cfRule type="cellIs" dxfId="505" priority="13019" stopIfTrue="1" operator="notEqual">
      <formula>0</formula>
    </cfRule>
  </conditionalFormatting>
  <conditionalFormatting sqref="W48">
    <cfRule type="expression" dxfId="504" priority="13020" stopIfTrue="1">
      <formula>NOT(ISBLANK($W$48))</formula>
    </cfRule>
  </conditionalFormatting>
  <conditionalFormatting sqref="X48">
    <cfRule type="expression" dxfId="503" priority="13021" stopIfTrue="1">
      <formula>NOT(ISBLANK($X$48))</formula>
    </cfRule>
  </conditionalFormatting>
  <conditionalFormatting sqref="Y48">
    <cfRule type="expression" dxfId="502" priority="13022" stopIfTrue="1">
      <formula>NOT(ISBLANK($Y$48))</formula>
    </cfRule>
  </conditionalFormatting>
  <conditionalFormatting sqref="Z48">
    <cfRule type="expression" dxfId="501" priority="13023" stopIfTrue="1">
      <formula>NOT(ISBLANK($Z$48))</formula>
    </cfRule>
  </conditionalFormatting>
  <conditionalFormatting sqref="AA48">
    <cfRule type="cellIs" dxfId="500" priority="13024" stopIfTrue="1" operator="notEqual">
      <formula>"fully automated"</formula>
    </cfRule>
  </conditionalFormatting>
  <conditionalFormatting sqref="AB48">
    <cfRule type="expression" dxfId="499" priority="13025" stopIfTrue="1">
      <formula>NOT(ISBLANK($AB$48))</formula>
    </cfRule>
  </conditionalFormatting>
  <conditionalFormatting sqref="AC48">
    <cfRule type="expression" dxfId="498" priority="13026" stopIfTrue="1">
      <formula>NOT(ISBLANK($AC$48))</formula>
    </cfRule>
  </conditionalFormatting>
  <conditionalFormatting sqref="AD48">
    <cfRule type="expression" dxfId="497" priority="13027" stopIfTrue="1">
      <formula>NOT(ISBLANK($AD$48))</formula>
    </cfRule>
  </conditionalFormatting>
  <conditionalFormatting sqref="AE48">
    <cfRule type="expression" dxfId="496" priority="13028" stopIfTrue="1">
      <formula>NOT(ISBLANK($AE$48))</formula>
    </cfRule>
  </conditionalFormatting>
  <conditionalFormatting sqref="A49">
    <cfRule type="cellIs" dxfId="495" priority="13029" stopIfTrue="1" operator="notEqual">
      <formula>6</formula>
    </cfRule>
  </conditionalFormatting>
  <conditionalFormatting sqref="B49">
    <cfRule type="cellIs" dxfId="494" priority="13030" stopIfTrue="1" operator="notEqual">
      <formula>1</formula>
    </cfRule>
  </conditionalFormatting>
  <conditionalFormatting sqref="C49">
    <cfRule type="cellIs" dxfId="493" priority="13031" stopIfTrue="1" operator="notEqual">
      <formula>0.03</formula>
    </cfRule>
  </conditionalFormatting>
  <conditionalFormatting sqref="D49">
    <cfRule type="cellIs" dxfId="492" priority="13032" stopIfTrue="1" operator="notEqual">
      <formula>"MGD"</formula>
    </cfRule>
  </conditionalFormatting>
  <conditionalFormatting sqref="E49">
    <cfRule type="cellIs" dxfId="491" priority="13033" stopIfTrue="1" operator="notEqual">
      <formula>0.007</formula>
    </cfRule>
  </conditionalFormatting>
  <conditionalFormatting sqref="F49">
    <cfRule type="cellIs" dxfId="490" priority="13034" stopIfTrue="1" operator="notEqual">
      <formula>"MGD"</formula>
    </cfRule>
  </conditionalFormatting>
  <conditionalFormatting sqref="G49">
    <cfRule type="cellIs" dxfId="489" priority="13035" stopIfTrue="1" operator="notEqual">
      <formula>"throwaway"</formula>
    </cfRule>
  </conditionalFormatting>
  <conditionalFormatting sqref="H49">
    <cfRule type="cellIs" dxfId="488" priority="13036" stopIfTrue="1" operator="notEqual">
      <formula>20000</formula>
    </cfRule>
  </conditionalFormatting>
  <conditionalFormatting sqref="I49">
    <cfRule type="cellIs" dxfId="487" priority="13037" stopIfTrue="1" operator="notEqual">
      <formula>"bed volumes"</formula>
    </cfRule>
  </conditionalFormatting>
  <conditionalFormatting sqref="J49">
    <cfRule type="cellIs" dxfId="486" priority="13038" stopIfTrue="1" operator="notEqual">
      <formula>2</formula>
    </cfRule>
  </conditionalFormatting>
  <conditionalFormatting sqref="K49">
    <cfRule type="cellIs" dxfId="485" priority="13039" stopIfTrue="1" operator="notEqual">
      <formula>6</formula>
    </cfRule>
  </conditionalFormatting>
  <conditionalFormatting sqref="L49">
    <cfRule type="cellIs" dxfId="484" priority="13040" stopIfTrue="1" operator="notEqual">
      <formula>"yes"</formula>
    </cfRule>
  </conditionalFormatting>
  <conditionalFormatting sqref="M49">
    <cfRule type="expression" dxfId="483" priority="13041" stopIfTrue="1">
      <formula>NOT(ISBLANK($M$49))</formula>
    </cfRule>
  </conditionalFormatting>
  <conditionalFormatting sqref="N49">
    <cfRule type="expression" dxfId="482" priority="13042" stopIfTrue="1">
      <formula>NOT(ISBLANK($N$49))</formula>
    </cfRule>
  </conditionalFormatting>
  <conditionalFormatting sqref="O49">
    <cfRule type="expression" dxfId="481" priority="13043" stopIfTrue="1">
      <formula>NOT(ISBLANK($O$49))</formula>
    </cfRule>
  </conditionalFormatting>
  <conditionalFormatting sqref="P49">
    <cfRule type="expression" dxfId="480" priority="13044" stopIfTrue="1">
      <formula>NOT(ISBLANK($P$49))</formula>
    </cfRule>
  </conditionalFormatting>
  <conditionalFormatting sqref="Q49">
    <cfRule type="expression" dxfId="479" priority="13045" stopIfTrue="1">
      <formula>NOT(ISBLANK($Q$49))</formula>
    </cfRule>
  </conditionalFormatting>
  <conditionalFormatting sqref="R49">
    <cfRule type="cellIs" dxfId="478" priority="13046" stopIfTrue="1" operator="notEqual">
      <formula>"no holding tank"</formula>
    </cfRule>
  </conditionalFormatting>
  <conditionalFormatting sqref="S49">
    <cfRule type="cellIs" dxfId="477" priority="13047" stopIfTrue="1" operator="notEqual">
      <formula>"POTW"</formula>
    </cfRule>
  </conditionalFormatting>
  <conditionalFormatting sqref="T49">
    <cfRule type="cellIs" dxfId="476" priority="13048" stopIfTrue="1" operator="notEqual">
      <formula>"incineration (non-hazardous)"</formula>
    </cfRule>
  </conditionalFormatting>
  <conditionalFormatting sqref="U49">
    <cfRule type="expression" dxfId="475" priority="13049" stopIfTrue="1">
      <formula>NOT(ISBLANK($U$49))</formula>
    </cfRule>
  </conditionalFormatting>
  <conditionalFormatting sqref="V49">
    <cfRule type="expression" dxfId="474" priority="13050" stopIfTrue="1">
      <formula>NOT(ISBLANK($V$49))</formula>
    </cfRule>
  </conditionalFormatting>
  <conditionalFormatting sqref="W49">
    <cfRule type="expression" dxfId="473" priority="13051" stopIfTrue="1">
      <formula>NOT(ISBLANK($W$49))</formula>
    </cfRule>
  </conditionalFormatting>
  <conditionalFormatting sqref="X49">
    <cfRule type="expression" dxfId="472" priority="13052" stopIfTrue="1">
      <formula>NOT(ISBLANK($X$49))</formula>
    </cfRule>
  </conditionalFormatting>
  <conditionalFormatting sqref="Y49">
    <cfRule type="expression" dxfId="471" priority="13053" stopIfTrue="1">
      <formula>NOT(ISBLANK($Y$49))</formula>
    </cfRule>
  </conditionalFormatting>
  <conditionalFormatting sqref="Z49">
    <cfRule type="expression" dxfId="470" priority="13054" stopIfTrue="1">
      <formula>NOT(ISBLANK($Z$49))</formula>
    </cfRule>
  </conditionalFormatting>
  <conditionalFormatting sqref="AA49">
    <cfRule type="cellIs" dxfId="469" priority="13055" stopIfTrue="1" operator="notEqual">
      <formula>"fully automated"</formula>
    </cfRule>
  </conditionalFormatting>
  <conditionalFormatting sqref="AB49">
    <cfRule type="expression" dxfId="468" priority="13056" stopIfTrue="1">
      <formula>NOT(ISBLANK($AB$49))</formula>
    </cfRule>
  </conditionalFormatting>
  <conditionalFormatting sqref="AC49">
    <cfRule type="expression" dxfId="467" priority="13057" stopIfTrue="1">
      <formula>NOT(ISBLANK($AC$49))</formula>
    </cfRule>
  </conditionalFormatting>
  <conditionalFormatting sqref="AD49">
    <cfRule type="expression" dxfId="466" priority="13058" stopIfTrue="1">
      <formula>NOT(ISBLANK($AD$49))</formula>
    </cfRule>
  </conditionalFormatting>
  <conditionalFormatting sqref="AE49">
    <cfRule type="expression" dxfId="465" priority="13059" stopIfTrue="1">
      <formula>NOT(ISBLANK($AE$49))</formula>
    </cfRule>
  </conditionalFormatting>
  <conditionalFormatting sqref="A50">
    <cfRule type="cellIs" dxfId="464" priority="13060" stopIfTrue="1" operator="notEqual">
      <formula>6</formula>
    </cfRule>
  </conditionalFormatting>
  <conditionalFormatting sqref="B50">
    <cfRule type="cellIs" dxfId="463" priority="13061" stopIfTrue="1" operator="notEqual">
      <formula>2</formula>
    </cfRule>
  </conditionalFormatting>
  <conditionalFormatting sqref="C50">
    <cfRule type="cellIs" dxfId="462" priority="13062" stopIfTrue="1" operator="notEqual">
      <formula>0.124</formula>
    </cfRule>
  </conditionalFormatting>
  <conditionalFormatting sqref="D50">
    <cfRule type="cellIs" dxfId="461" priority="13063" stopIfTrue="1" operator="notEqual">
      <formula>"MGD"</formula>
    </cfRule>
  </conditionalFormatting>
  <conditionalFormatting sqref="E50">
    <cfRule type="cellIs" dxfId="460" priority="13064" stopIfTrue="1" operator="notEqual">
      <formula>0.035</formula>
    </cfRule>
  </conditionalFormatting>
  <conditionalFormatting sqref="F50">
    <cfRule type="cellIs" dxfId="459" priority="13065" stopIfTrue="1" operator="notEqual">
      <formula>"MGD"</formula>
    </cfRule>
  </conditionalFormatting>
  <conditionalFormatting sqref="G50">
    <cfRule type="cellIs" dxfId="458" priority="13066" stopIfTrue="1" operator="notEqual">
      <formula>"throwaway"</formula>
    </cfRule>
  </conditionalFormatting>
  <conditionalFormatting sqref="H50">
    <cfRule type="cellIs" dxfId="457" priority="13067" stopIfTrue="1" operator="notEqual">
      <formula>20000</formula>
    </cfRule>
  </conditionalFormatting>
  <conditionalFormatting sqref="I50">
    <cfRule type="cellIs" dxfId="456" priority="13068" stopIfTrue="1" operator="notEqual">
      <formula>"bed volumes"</formula>
    </cfRule>
  </conditionalFormatting>
  <conditionalFormatting sqref="J50">
    <cfRule type="cellIs" dxfId="455" priority="13069" stopIfTrue="1" operator="notEqual">
      <formula>2</formula>
    </cfRule>
  </conditionalFormatting>
  <conditionalFormatting sqref="K50">
    <cfRule type="cellIs" dxfId="454" priority="13070" stopIfTrue="1" operator="notEqual">
      <formula>6</formula>
    </cfRule>
  </conditionalFormatting>
  <conditionalFormatting sqref="L50">
    <cfRule type="cellIs" dxfId="453" priority="13071" stopIfTrue="1" operator="notEqual">
      <formula>"yes"</formula>
    </cfRule>
  </conditionalFormatting>
  <conditionalFormatting sqref="M50">
    <cfRule type="expression" dxfId="452" priority="13072" stopIfTrue="1">
      <formula>NOT(ISBLANK($M$50))</formula>
    </cfRule>
  </conditionalFormatting>
  <conditionalFormatting sqref="N50">
    <cfRule type="expression" dxfId="451" priority="13073" stopIfTrue="1">
      <formula>NOT(ISBLANK($N$50))</formula>
    </cfRule>
  </conditionalFormatting>
  <conditionalFormatting sqref="O50">
    <cfRule type="expression" dxfId="450" priority="13074" stopIfTrue="1">
      <formula>NOT(ISBLANK($O$50))</formula>
    </cfRule>
  </conditionalFormatting>
  <conditionalFormatting sqref="P50">
    <cfRule type="expression" dxfId="449" priority="13075" stopIfTrue="1">
      <formula>NOT(ISBLANK($P$50))</formula>
    </cfRule>
  </conditionalFormatting>
  <conditionalFormatting sqref="Q50">
    <cfRule type="expression" dxfId="448" priority="13076" stopIfTrue="1">
      <formula>NOT(ISBLANK($Q$50))</formula>
    </cfRule>
  </conditionalFormatting>
  <conditionalFormatting sqref="R50">
    <cfRule type="cellIs" dxfId="447" priority="13077" stopIfTrue="1" operator="notEqual">
      <formula>"no holding tank"</formula>
    </cfRule>
  </conditionalFormatting>
  <conditionalFormatting sqref="S50">
    <cfRule type="cellIs" dxfId="446" priority="13078" stopIfTrue="1" operator="notEqual">
      <formula>"POTW"</formula>
    </cfRule>
  </conditionalFormatting>
  <conditionalFormatting sqref="T50">
    <cfRule type="cellIs" dxfId="445" priority="13079" stopIfTrue="1" operator="notEqual">
      <formula>"incineration (non-hazardous)"</formula>
    </cfRule>
  </conditionalFormatting>
  <conditionalFormatting sqref="U50">
    <cfRule type="expression" dxfId="444" priority="13080" stopIfTrue="1">
      <formula>NOT(ISBLANK($U$50))</formula>
    </cfRule>
  </conditionalFormatting>
  <conditionalFormatting sqref="V50">
    <cfRule type="expression" dxfId="443" priority="13081" stopIfTrue="1">
      <formula>NOT(ISBLANK($V$50))</formula>
    </cfRule>
  </conditionalFormatting>
  <conditionalFormatting sqref="W50">
    <cfRule type="expression" dxfId="442" priority="13082" stopIfTrue="1">
      <formula>NOT(ISBLANK($W$50))</formula>
    </cfRule>
  </conditionalFormatting>
  <conditionalFormatting sqref="X50">
    <cfRule type="expression" dxfId="441" priority="13083" stopIfTrue="1">
      <formula>NOT(ISBLANK($X$50))</formula>
    </cfRule>
  </conditionalFormatting>
  <conditionalFormatting sqref="Y50">
    <cfRule type="expression" dxfId="440" priority="13084" stopIfTrue="1">
      <formula>NOT(ISBLANK($Y$50))</formula>
    </cfRule>
  </conditionalFormatting>
  <conditionalFormatting sqref="Z50">
    <cfRule type="expression" dxfId="439" priority="13085" stopIfTrue="1">
      <formula>NOT(ISBLANK($Z$50))</formula>
    </cfRule>
  </conditionalFormatting>
  <conditionalFormatting sqref="AA50">
    <cfRule type="cellIs" dxfId="438" priority="13086" stopIfTrue="1" operator="notEqual">
      <formula>"fully automated"</formula>
    </cfRule>
  </conditionalFormatting>
  <conditionalFormatting sqref="AB50">
    <cfRule type="expression" dxfId="437" priority="13087" stopIfTrue="1">
      <formula>NOT(ISBLANK($AB$50))</formula>
    </cfRule>
  </conditionalFormatting>
  <conditionalFormatting sqref="AC50">
    <cfRule type="expression" dxfId="436" priority="13088" stopIfTrue="1">
      <formula>NOT(ISBLANK($AC$50))</formula>
    </cfRule>
  </conditionalFormatting>
  <conditionalFormatting sqref="AD50">
    <cfRule type="expression" dxfId="435" priority="13089" stopIfTrue="1">
      <formula>NOT(ISBLANK($AD$50))</formula>
    </cfRule>
  </conditionalFormatting>
  <conditionalFormatting sqref="AE50">
    <cfRule type="expression" dxfId="434" priority="13090" stopIfTrue="1">
      <formula>NOT(ISBLANK($AE$50))</formula>
    </cfRule>
  </conditionalFormatting>
  <conditionalFormatting sqref="A51">
    <cfRule type="cellIs" dxfId="433" priority="13091" stopIfTrue="1" operator="notEqual">
      <formula>6</formula>
    </cfRule>
  </conditionalFormatting>
  <conditionalFormatting sqref="B51">
    <cfRule type="cellIs" dxfId="432" priority="13092" stopIfTrue="1" operator="notEqual">
      <formula>3</formula>
    </cfRule>
  </conditionalFormatting>
  <conditionalFormatting sqref="C51">
    <cfRule type="cellIs" dxfId="431" priority="13093" stopIfTrue="1" operator="notEqual">
      <formula>0.305</formula>
    </cfRule>
  </conditionalFormatting>
  <conditionalFormatting sqref="D51">
    <cfRule type="cellIs" dxfId="430" priority="13094" stopIfTrue="1" operator="notEqual">
      <formula>"MGD"</formula>
    </cfRule>
  </conditionalFormatting>
  <conditionalFormatting sqref="E51">
    <cfRule type="cellIs" dxfId="429" priority="13095" stopIfTrue="1" operator="notEqual">
      <formula>0.094</formula>
    </cfRule>
  </conditionalFormatting>
  <conditionalFormatting sqref="F51">
    <cfRule type="cellIs" dxfId="428" priority="13096" stopIfTrue="1" operator="notEqual">
      <formula>"MGD"</formula>
    </cfRule>
  </conditionalFormatting>
  <conditionalFormatting sqref="G51">
    <cfRule type="cellIs" dxfId="427" priority="13097" stopIfTrue="1" operator="notEqual">
      <formula>"throwaway"</formula>
    </cfRule>
  </conditionalFormatting>
  <conditionalFormatting sqref="H51">
    <cfRule type="cellIs" dxfId="426" priority="13098" stopIfTrue="1" operator="notEqual">
      <formula>20000</formula>
    </cfRule>
  </conditionalFormatting>
  <conditionalFormatting sqref="I51">
    <cfRule type="cellIs" dxfId="425" priority="13099" stopIfTrue="1" operator="notEqual">
      <formula>"bed volumes"</formula>
    </cfRule>
  </conditionalFormatting>
  <conditionalFormatting sqref="J51">
    <cfRule type="cellIs" dxfId="424" priority="13100" stopIfTrue="1" operator="notEqual">
      <formula>2</formula>
    </cfRule>
  </conditionalFormatting>
  <conditionalFormatting sqref="K51">
    <cfRule type="cellIs" dxfId="423" priority="13101" stopIfTrue="1" operator="notEqual">
      <formula>6</formula>
    </cfRule>
  </conditionalFormatting>
  <conditionalFormatting sqref="L51">
    <cfRule type="cellIs" dxfId="422" priority="13102" stopIfTrue="1" operator="notEqual">
      <formula>"yes"</formula>
    </cfRule>
  </conditionalFormatting>
  <conditionalFormatting sqref="M51">
    <cfRule type="expression" dxfId="421" priority="13103" stopIfTrue="1">
      <formula>NOT(ISBLANK($M$51))</formula>
    </cfRule>
  </conditionalFormatting>
  <conditionalFormatting sqref="N51">
    <cfRule type="expression" dxfId="420" priority="13104" stopIfTrue="1">
      <formula>NOT(ISBLANK($N$51))</formula>
    </cfRule>
  </conditionalFormatting>
  <conditionalFormatting sqref="O51">
    <cfRule type="expression" dxfId="419" priority="13105" stopIfTrue="1">
      <formula>NOT(ISBLANK($O$51))</formula>
    </cfRule>
  </conditionalFormatting>
  <conditionalFormatting sqref="P51">
    <cfRule type="expression" dxfId="418" priority="13106" stopIfTrue="1">
      <formula>NOT(ISBLANK($P$51))</formula>
    </cfRule>
  </conditionalFormatting>
  <conditionalFormatting sqref="Q51">
    <cfRule type="expression" dxfId="417" priority="13107" stopIfTrue="1">
      <formula>NOT(ISBLANK($Q$51))</formula>
    </cfRule>
  </conditionalFormatting>
  <conditionalFormatting sqref="R51">
    <cfRule type="cellIs" dxfId="416" priority="13108" stopIfTrue="1" operator="notEqual">
      <formula>"no holding tank"</formula>
    </cfRule>
  </conditionalFormatting>
  <conditionalFormatting sqref="S51">
    <cfRule type="cellIs" dxfId="415" priority="13109" stopIfTrue="1" operator="notEqual">
      <formula>"POTW"</formula>
    </cfRule>
  </conditionalFormatting>
  <conditionalFormatting sqref="T51">
    <cfRule type="cellIs" dxfId="414" priority="13110" stopIfTrue="1" operator="notEqual">
      <formula>"incineration (non-hazardous)"</formula>
    </cfRule>
  </conditionalFormatting>
  <conditionalFormatting sqref="U51">
    <cfRule type="expression" dxfId="413" priority="13111" stopIfTrue="1">
      <formula>NOT(ISBLANK($U$51))</formula>
    </cfRule>
  </conditionalFormatting>
  <conditionalFormatting sqref="V51">
    <cfRule type="expression" dxfId="412" priority="13112" stopIfTrue="1">
      <formula>NOT(ISBLANK($V$51))</formula>
    </cfRule>
  </conditionalFormatting>
  <conditionalFormatting sqref="W51">
    <cfRule type="expression" dxfId="411" priority="13113" stopIfTrue="1">
      <formula>NOT(ISBLANK($W$51))</formula>
    </cfRule>
  </conditionalFormatting>
  <conditionalFormatting sqref="X51">
    <cfRule type="expression" dxfId="410" priority="13114" stopIfTrue="1">
      <formula>NOT(ISBLANK($X$51))</formula>
    </cfRule>
  </conditionalFormatting>
  <conditionalFormatting sqref="Y51">
    <cfRule type="expression" dxfId="409" priority="13115" stopIfTrue="1">
      <formula>NOT(ISBLANK($Y$51))</formula>
    </cfRule>
  </conditionalFormatting>
  <conditionalFormatting sqref="Z51">
    <cfRule type="expression" dxfId="408" priority="13116" stopIfTrue="1">
      <formula>NOT(ISBLANK($Z$51))</formula>
    </cfRule>
  </conditionalFormatting>
  <conditionalFormatting sqref="AA51">
    <cfRule type="cellIs" dxfId="407" priority="13117" stopIfTrue="1" operator="notEqual">
      <formula>"fully automated"</formula>
    </cfRule>
  </conditionalFormatting>
  <conditionalFormatting sqref="AB51">
    <cfRule type="expression" dxfId="406" priority="13118" stopIfTrue="1">
      <formula>NOT(ISBLANK($AB$51))</formula>
    </cfRule>
  </conditionalFormatting>
  <conditionalFormatting sqref="AC51">
    <cfRule type="expression" dxfId="405" priority="13119" stopIfTrue="1">
      <formula>NOT(ISBLANK($AC$51))</formula>
    </cfRule>
  </conditionalFormatting>
  <conditionalFormatting sqref="AD51">
    <cfRule type="expression" dxfId="404" priority="13120" stopIfTrue="1">
      <formula>NOT(ISBLANK($AD$51))</formula>
    </cfRule>
  </conditionalFormatting>
  <conditionalFormatting sqref="AE51">
    <cfRule type="expression" dxfId="403" priority="13121" stopIfTrue="1">
      <formula>NOT(ISBLANK($AE$51))</formula>
    </cfRule>
  </conditionalFormatting>
  <conditionalFormatting sqref="A52">
    <cfRule type="cellIs" dxfId="402" priority="13122" stopIfTrue="1" operator="notEqual">
      <formula>6</formula>
    </cfRule>
  </conditionalFormatting>
  <conditionalFormatting sqref="B52">
    <cfRule type="cellIs" dxfId="401" priority="13123" stopIfTrue="1" operator="notEqual">
      <formula>4</formula>
    </cfRule>
  </conditionalFormatting>
  <conditionalFormatting sqref="C52">
    <cfRule type="cellIs" dxfId="400" priority="13124" stopIfTrue="1" operator="notEqual">
      <formula>0.74</formula>
    </cfRule>
  </conditionalFormatting>
  <conditionalFormatting sqref="D52">
    <cfRule type="cellIs" dxfId="399" priority="13125" stopIfTrue="1" operator="notEqual">
      <formula>"MGD"</formula>
    </cfRule>
  </conditionalFormatting>
  <conditionalFormatting sqref="E52">
    <cfRule type="cellIs" dxfId="398" priority="13126" stopIfTrue="1" operator="notEqual">
      <formula>0.251</formula>
    </cfRule>
  </conditionalFormatting>
  <conditionalFormatting sqref="F52">
    <cfRule type="cellIs" dxfId="397" priority="13127" stopIfTrue="1" operator="notEqual">
      <formula>"MGD"</formula>
    </cfRule>
  </conditionalFormatting>
  <conditionalFormatting sqref="G52">
    <cfRule type="cellIs" dxfId="396" priority="13128" stopIfTrue="1" operator="notEqual">
      <formula>"throwaway"</formula>
    </cfRule>
  </conditionalFormatting>
  <conditionalFormatting sqref="H52">
    <cfRule type="cellIs" dxfId="395" priority="13129" stopIfTrue="1" operator="notEqual">
      <formula>20000</formula>
    </cfRule>
  </conditionalFormatting>
  <conditionalFormatting sqref="I52">
    <cfRule type="cellIs" dxfId="394" priority="13130" stopIfTrue="1" operator="notEqual">
      <formula>"bed volumes"</formula>
    </cfRule>
  </conditionalFormatting>
  <conditionalFormatting sqref="J52">
    <cfRule type="cellIs" dxfId="393" priority="13131" stopIfTrue="1" operator="notEqual">
      <formula>2</formula>
    </cfRule>
  </conditionalFormatting>
  <conditionalFormatting sqref="K52">
    <cfRule type="cellIs" dxfId="392" priority="13132" stopIfTrue="1" operator="notEqual">
      <formula>6</formula>
    </cfRule>
  </conditionalFormatting>
  <conditionalFormatting sqref="L52">
    <cfRule type="cellIs" dxfId="391" priority="13133" stopIfTrue="1" operator="notEqual">
      <formula>"yes"</formula>
    </cfRule>
  </conditionalFormatting>
  <conditionalFormatting sqref="M52">
    <cfRule type="expression" dxfId="390" priority="13134" stopIfTrue="1">
      <formula>NOT(ISBLANK($M$52))</formula>
    </cfRule>
  </conditionalFormatting>
  <conditionalFormatting sqref="N52">
    <cfRule type="expression" dxfId="389" priority="13135" stopIfTrue="1">
      <formula>NOT(ISBLANK($N$52))</formula>
    </cfRule>
  </conditionalFormatting>
  <conditionalFormatting sqref="O52">
    <cfRule type="expression" dxfId="388" priority="13136" stopIfTrue="1">
      <formula>NOT(ISBLANK($O$52))</formula>
    </cfRule>
  </conditionalFormatting>
  <conditionalFormatting sqref="P52">
    <cfRule type="expression" dxfId="387" priority="13137" stopIfTrue="1">
      <formula>NOT(ISBLANK($P$52))</formula>
    </cfRule>
  </conditionalFormatting>
  <conditionalFormatting sqref="Q52">
    <cfRule type="expression" dxfId="386" priority="13138" stopIfTrue="1">
      <formula>NOT(ISBLANK($Q$52))</formula>
    </cfRule>
  </conditionalFormatting>
  <conditionalFormatting sqref="R52">
    <cfRule type="cellIs" dxfId="385" priority="13139" stopIfTrue="1" operator="notEqual">
      <formula>"no holding tank"</formula>
    </cfRule>
  </conditionalFormatting>
  <conditionalFormatting sqref="S52">
    <cfRule type="cellIs" dxfId="384" priority="13140" stopIfTrue="1" operator="notEqual">
      <formula>"POTW"</formula>
    </cfRule>
  </conditionalFormatting>
  <conditionalFormatting sqref="T52">
    <cfRule type="cellIs" dxfId="383" priority="13141" stopIfTrue="1" operator="notEqual">
      <formula>"incineration (non-hazardous)"</formula>
    </cfRule>
  </conditionalFormatting>
  <conditionalFormatting sqref="U52">
    <cfRule type="expression" dxfId="382" priority="13142" stopIfTrue="1">
      <formula>NOT(ISBLANK($U$52))</formula>
    </cfRule>
  </conditionalFormatting>
  <conditionalFormatting sqref="V52">
    <cfRule type="expression" dxfId="381" priority="13143" stopIfTrue="1">
      <formula>NOT(ISBLANK($V$52))</formula>
    </cfRule>
  </conditionalFormatting>
  <conditionalFormatting sqref="W52">
    <cfRule type="expression" dxfId="380" priority="13144" stopIfTrue="1">
      <formula>NOT(ISBLANK($W$52))</formula>
    </cfRule>
  </conditionalFormatting>
  <conditionalFormatting sqref="X52">
    <cfRule type="expression" dxfId="379" priority="13145" stopIfTrue="1">
      <formula>NOT(ISBLANK($X$52))</formula>
    </cfRule>
  </conditionalFormatting>
  <conditionalFormatting sqref="Y52">
    <cfRule type="expression" dxfId="378" priority="13146" stopIfTrue="1">
      <formula>NOT(ISBLANK($Y$52))</formula>
    </cfRule>
  </conditionalFormatting>
  <conditionalFormatting sqref="Z52">
    <cfRule type="expression" dxfId="377" priority="13147" stopIfTrue="1">
      <formula>NOT(ISBLANK($Z$52))</formula>
    </cfRule>
  </conditionalFormatting>
  <conditionalFormatting sqref="AA52">
    <cfRule type="cellIs" dxfId="376" priority="13148" stopIfTrue="1" operator="notEqual">
      <formula>"fully automated"</formula>
    </cfRule>
  </conditionalFormatting>
  <conditionalFormatting sqref="AB52">
    <cfRule type="expression" dxfId="375" priority="13149" stopIfTrue="1">
      <formula>NOT(ISBLANK($AB$52))</formula>
    </cfRule>
  </conditionalFormatting>
  <conditionalFormatting sqref="AC52">
    <cfRule type="expression" dxfId="374" priority="13150" stopIfTrue="1">
      <formula>NOT(ISBLANK($AC$52))</formula>
    </cfRule>
  </conditionalFormatting>
  <conditionalFormatting sqref="AD52">
    <cfRule type="expression" dxfId="373" priority="13151" stopIfTrue="1">
      <formula>NOT(ISBLANK($AD$52))</formula>
    </cfRule>
  </conditionalFormatting>
  <conditionalFormatting sqref="AE52">
    <cfRule type="expression" dxfId="372" priority="13152" stopIfTrue="1">
      <formula>NOT(ISBLANK($AE$52))</formula>
    </cfRule>
  </conditionalFormatting>
  <conditionalFormatting sqref="A53">
    <cfRule type="cellIs" dxfId="371" priority="13153" stopIfTrue="1" operator="notEqual">
      <formula>6</formula>
    </cfRule>
  </conditionalFormatting>
  <conditionalFormatting sqref="B53">
    <cfRule type="cellIs" dxfId="370" priority="13154" stopIfTrue="1" operator="notEqual">
      <formula>5</formula>
    </cfRule>
  </conditionalFormatting>
  <conditionalFormatting sqref="C53">
    <cfRule type="cellIs" dxfId="369" priority="13155" stopIfTrue="1" operator="notEqual">
      <formula>2.152</formula>
    </cfRule>
  </conditionalFormatting>
  <conditionalFormatting sqref="D53">
    <cfRule type="cellIs" dxfId="368" priority="13156" stopIfTrue="1" operator="notEqual">
      <formula>"MGD"</formula>
    </cfRule>
  </conditionalFormatting>
  <conditionalFormatting sqref="E53">
    <cfRule type="cellIs" dxfId="367" priority="13157" stopIfTrue="1" operator="notEqual">
      <formula>0.819</formula>
    </cfRule>
  </conditionalFormatting>
  <conditionalFormatting sqref="F53">
    <cfRule type="cellIs" dxfId="366" priority="13158" stopIfTrue="1" operator="notEqual">
      <formula>"MGD"</formula>
    </cfRule>
  </conditionalFormatting>
  <conditionalFormatting sqref="G53">
    <cfRule type="cellIs" dxfId="365" priority="13159" stopIfTrue="1" operator="notEqual">
      <formula>"throwaway"</formula>
    </cfRule>
  </conditionalFormatting>
  <conditionalFormatting sqref="H53">
    <cfRule type="cellIs" dxfId="364" priority="13160" stopIfTrue="1" operator="notEqual">
      <formula>20000</formula>
    </cfRule>
  </conditionalFormatting>
  <conditionalFormatting sqref="I53">
    <cfRule type="cellIs" dxfId="363" priority="13161" stopIfTrue="1" operator="notEqual">
      <formula>"bed volumes"</formula>
    </cfRule>
  </conditionalFormatting>
  <conditionalFormatting sqref="J53">
    <cfRule type="cellIs" dxfId="362" priority="13162" stopIfTrue="1" operator="notEqual">
      <formula>2</formula>
    </cfRule>
  </conditionalFormatting>
  <conditionalFormatting sqref="K53">
    <cfRule type="cellIs" dxfId="361" priority="13163" stopIfTrue="1" operator="notEqual">
      <formula>6</formula>
    </cfRule>
  </conditionalFormatting>
  <conditionalFormatting sqref="L53">
    <cfRule type="cellIs" dxfId="360" priority="13164" stopIfTrue="1" operator="notEqual">
      <formula>"yes"</formula>
    </cfRule>
  </conditionalFormatting>
  <conditionalFormatting sqref="M53">
    <cfRule type="expression" dxfId="359" priority="13165" stopIfTrue="1">
      <formula>NOT(ISBLANK($M$53))</formula>
    </cfRule>
  </conditionalFormatting>
  <conditionalFormatting sqref="N53">
    <cfRule type="expression" dxfId="358" priority="13166" stopIfTrue="1">
      <formula>NOT(ISBLANK($N$53))</formula>
    </cfRule>
  </conditionalFormatting>
  <conditionalFormatting sqref="O53">
    <cfRule type="expression" dxfId="357" priority="13167" stopIfTrue="1">
      <formula>NOT(ISBLANK($O$53))</formula>
    </cfRule>
  </conditionalFormatting>
  <conditionalFormatting sqref="P53">
    <cfRule type="expression" dxfId="356" priority="13168" stopIfTrue="1">
      <formula>NOT(ISBLANK($P$53))</formula>
    </cfRule>
  </conditionalFormatting>
  <conditionalFormatting sqref="Q53">
    <cfRule type="expression" dxfId="355" priority="13169" stopIfTrue="1">
      <formula>NOT(ISBLANK($Q$53))</formula>
    </cfRule>
  </conditionalFormatting>
  <conditionalFormatting sqref="R53">
    <cfRule type="cellIs" dxfId="354" priority="13170" stopIfTrue="1" operator="notEqual">
      <formula>"no holding tank"</formula>
    </cfRule>
  </conditionalFormatting>
  <conditionalFormatting sqref="S53">
    <cfRule type="cellIs" dxfId="353" priority="13171" stopIfTrue="1" operator="notEqual">
      <formula>"POTW"</formula>
    </cfRule>
  </conditionalFormatting>
  <conditionalFormatting sqref="T53">
    <cfRule type="cellIs" dxfId="352" priority="13172" stopIfTrue="1" operator="notEqual">
      <formula>"incineration (non-hazardous)"</formula>
    </cfRule>
  </conditionalFormatting>
  <conditionalFormatting sqref="U53">
    <cfRule type="expression" dxfId="351" priority="13173" stopIfTrue="1">
      <formula>NOT(ISBLANK($U$53))</formula>
    </cfRule>
  </conditionalFormatting>
  <conditionalFormatting sqref="V53">
    <cfRule type="expression" dxfId="350" priority="13174" stopIfTrue="1">
      <formula>NOT(ISBLANK($V$53))</formula>
    </cfRule>
  </conditionalFormatting>
  <conditionalFormatting sqref="W53">
    <cfRule type="expression" dxfId="349" priority="13175" stopIfTrue="1">
      <formula>NOT(ISBLANK($W$53))</formula>
    </cfRule>
  </conditionalFormatting>
  <conditionalFormatting sqref="X53">
    <cfRule type="expression" dxfId="348" priority="13176" stopIfTrue="1">
      <formula>NOT(ISBLANK($X$53))</formula>
    </cfRule>
  </conditionalFormatting>
  <conditionalFormatting sqref="Y53">
    <cfRule type="expression" dxfId="347" priority="13177" stopIfTrue="1">
      <formula>NOT(ISBLANK($Y$53))</formula>
    </cfRule>
  </conditionalFormatting>
  <conditionalFormatting sqref="Z53">
    <cfRule type="expression" dxfId="346" priority="13178" stopIfTrue="1">
      <formula>NOT(ISBLANK($Z$53))</formula>
    </cfRule>
  </conditionalFormatting>
  <conditionalFormatting sqref="AA53">
    <cfRule type="cellIs" dxfId="345" priority="13179" stopIfTrue="1" operator="notEqual">
      <formula>"fully automated"</formula>
    </cfRule>
  </conditionalFormatting>
  <conditionalFormatting sqref="AB53">
    <cfRule type="expression" dxfId="344" priority="13180" stopIfTrue="1">
      <formula>NOT(ISBLANK($AB$53))</formula>
    </cfRule>
  </conditionalFormatting>
  <conditionalFormatting sqref="AC53">
    <cfRule type="expression" dxfId="343" priority="13181" stopIfTrue="1">
      <formula>NOT(ISBLANK($AC$53))</formula>
    </cfRule>
  </conditionalFormatting>
  <conditionalFormatting sqref="AD53">
    <cfRule type="expression" dxfId="342" priority="13182" stopIfTrue="1">
      <formula>NOT(ISBLANK($AD$53))</formula>
    </cfRule>
  </conditionalFormatting>
  <conditionalFormatting sqref="AE53">
    <cfRule type="expression" dxfId="341" priority="13183" stopIfTrue="1">
      <formula>NOT(ISBLANK($AE$53))</formula>
    </cfRule>
  </conditionalFormatting>
  <conditionalFormatting sqref="A54">
    <cfRule type="cellIs" dxfId="340" priority="13184" stopIfTrue="1" operator="notEqual">
      <formula>6</formula>
    </cfRule>
  </conditionalFormatting>
  <conditionalFormatting sqref="B54">
    <cfRule type="cellIs" dxfId="339" priority="13185" stopIfTrue="1" operator="notEqual">
      <formula>6</formula>
    </cfRule>
  </conditionalFormatting>
  <conditionalFormatting sqref="C54">
    <cfRule type="cellIs" dxfId="338" priority="13186" stopIfTrue="1" operator="notEqual">
      <formula>7.365</formula>
    </cfRule>
  </conditionalFormatting>
  <conditionalFormatting sqref="D54">
    <cfRule type="cellIs" dxfId="337" priority="13187" stopIfTrue="1" operator="notEqual">
      <formula>"MGD"</formula>
    </cfRule>
  </conditionalFormatting>
  <conditionalFormatting sqref="E54">
    <cfRule type="cellIs" dxfId="336" priority="13188" stopIfTrue="1" operator="notEqual">
      <formula>3.2</formula>
    </cfRule>
  </conditionalFormatting>
  <conditionalFormatting sqref="F54">
    <cfRule type="cellIs" dxfId="335" priority="13189" stopIfTrue="1" operator="notEqual">
      <formula>"MGD"</formula>
    </cfRule>
  </conditionalFormatting>
  <conditionalFormatting sqref="G54">
    <cfRule type="cellIs" dxfId="334" priority="13190" stopIfTrue="1" operator="notEqual">
      <formula>"throwaway"</formula>
    </cfRule>
  </conditionalFormatting>
  <conditionalFormatting sqref="H54">
    <cfRule type="cellIs" dxfId="333" priority="13191" stopIfTrue="1" operator="notEqual">
      <formula>20000</formula>
    </cfRule>
  </conditionalFormatting>
  <conditionalFormatting sqref="I54">
    <cfRule type="cellIs" dxfId="332" priority="13192" stopIfTrue="1" operator="notEqual">
      <formula>"bed volumes"</formula>
    </cfRule>
  </conditionalFormatting>
  <conditionalFormatting sqref="J54">
    <cfRule type="cellIs" dxfId="331" priority="13193" stopIfTrue="1" operator="notEqual">
      <formula>2</formula>
    </cfRule>
  </conditionalFormatting>
  <conditionalFormatting sqref="K54">
    <cfRule type="cellIs" dxfId="330" priority="13194" stopIfTrue="1" operator="notEqual">
      <formula>6</formula>
    </cfRule>
  </conditionalFormatting>
  <conditionalFormatting sqref="L54">
    <cfRule type="cellIs" dxfId="329" priority="13195" stopIfTrue="1" operator="notEqual">
      <formula>"yes"</formula>
    </cfRule>
  </conditionalFormatting>
  <conditionalFormatting sqref="M54">
    <cfRule type="expression" dxfId="328" priority="13196" stopIfTrue="1">
      <formula>NOT(ISBLANK($M$54))</formula>
    </cfRule>
  </conditionalFormatting>
  <conditionalFormatting sqref="N54">
    <cfRule type="expression" dxfId="327" priority="13197" stopIfTrue="1">
      <formula>NOT(ISBLANK($N$54))</formula>
    </cfRule>
  </conditionalFormatting>
  <conditionalFormatting sqref="O54">
    <cfRule type="expression" dxfId="326" priority="13198" stopIfTrue="1">
      <formula>NOT(ISBLANK($O$54))</formula>
    </cfRule>
  </conditionalFormatting>
  <conditionalFormatting sqref="P54">
    <cfRule type="expression" dxfId="325" priority="13199" stopIfTrue="1">
      <formula>NOT(ISBLANK($P$54))</formula>
    </cfRule>
  </conditionalFormatting>
  <conditionalFormatting sqref="Q54">
    <cfRule type="expression" dxfId="324" priority="13200" stopIfTrue="1">
      <formula>NOT(ISBLANK($Q$54))</formula>
    </cfRule>
  </conditionalFormatting>
  <conditionalFormatting sqref="R54">
    <cfRule type="cellIs" dxfId="323" priority="13201" stopIfTrue="1" operator="notEqual">
      <formula>"no holding tank"</formula>
    </cfRule>
  </conditionalFormatting>
  <conditionalFormatting sqref="S54">
    <cfRule type="cellIs" dxfId="322" priority="13202" stopIfTrue="1" operator="notEqual">
      <formula>"POTW"</formula>
    </cfRule>
  </conditionalFormatting>
  <conditionalFormatting sqref="T54">
    <cfRule type="cellIs" dxfId="321" priority="13203" stopIfTrue="1" operator="notEqual">
      <formula>"incineration (non-hazardous)"</formula>
    </cfRule>
  </conditionalFormatting>
  <conditionalFormatting sqref="U54">
    <cfRule type="expression" dxfId="320" priority="13204" stopIfTrue="1">
      <formula>NOT(ISBLANK($U$54))</formula>
    </cfRule>
  </conditionalFormatting>
  <conditionalFormatting sqref="V54">
    <cfRule type="expression" dxfId="319" priority="13205" stopIfTrue="1">
      <formula>NOT(ISBLANK($V$54))</formula>
    </cfRule>
  </conditionalFormatting>
  <conditionalFormatting sqref="W54">
    <cfRule type="expression" dxfId="318" priority="13206" stopIfTrue="1">
      <formula>NOT(ISBLANK($W$54))</formula>
    </cfRule>
  </conditionalFormatting>
  <conditionalFormatting sqref="X54">
    <cfRule type="expression" dxfId="317" priority="13207" stopIfTrue="1">
      <formula>NOT(ISBLANK($X$54))</formula>
    </cfRule>
  </conditionalFormatting>
  <conditionalFormatting sqref="Y54">
    <cfRule type="expression" dxfId="316" priority="13208" stopIfTrue="1">
      <formula>NOT(ISBLANK($Y$54))</formula>
    </cfRule>
  </conditionalFormatting>
  <conditionalFormatting sqref="Z54">
    <cfRule type="expression" dxfId="315" priority="13209" stopIfTrue="1">
      <formula>NOT(ISBLANK($Z$54))</formula>
    </cfRule>
  </conditionalFormatting>
  <conditionalFormatting sqref="AA54">
    <cfRule type="cellIs" dxfId="314" priority="13210" stopIfTrue="1" operator="notEqual">
      <formula>"fully automated"</formula>
    </cfRule>
  </conditionalFormatting>
  <conditionalFormatting sqref="AB54">
    <cfRule type="expression" dxfId="313" priority="13211" stopIfTrue="1">
      <formula>NOT(ISBLANK($AB$54))</formula>
    </cfRule>
  </conditionalFormatting>
  <conditionalFormatting sqref="AC54">
    <cfRule type="expression" dxfId="312" priority="13212" stopIfTrue="1">
      <formula>NOT(ISBLANK($AC$54))</formula>
    </cfRule>
  </conditionalFormatting>
  <conditionalFormatting sqref="AD54">
    <cfRule type="expression" dxfId="311" priority="13213" stopIfTrue="1">
      <formula>NOT(ISBLANK($AD$54))</formula>
    </cfRule>
  </conditionalFormatting>
  <conditionalFormatting sqref="AE54">
    <cfRule type="expression" dxfId="310" priority="13214" stopIfTrue="1">
      <formula>NOT(ISBLANK($AE$54))</formula>
    </cfRule>
  </conditionalFormatting>
  <conditionalFormatting sqref="A55">
    <cfRule type="cellIs" dxfId="309" priority="13215" stopIfTrue="1" operator="notEqual">
      <formula>6</formula>
    </cfRule>
  </conditionalFormatting>
  <conditionalFormatting sqref="B55">
    <cfRule type="cellIs" dxfId="308" priority="13216" stopIfTrue="1" operator="notEqual">
      <formula>7</formula>
    </cfRule>
  </conditionalFormatting>
  <conditionalFormatting sqref="C55">
    <cfRule type="cellIs" dxfId="307" priority="13217" stopIfTrue="1" operator="notEqual">
      <formula>22.614</formula>
    </cfRule>
  </conditionalFormatting>
  <conditionalFormatting sqref="D55">
    <cfRule type="cellIs" dxfId="306" priority="13218" stopIfTrue="1" operator="notEqual">
      <formula>"MGD"</formula>
    </cfRule>
  </conditionalFormatting>
  <conditionalFormatting sqref="E55">
    <cfRule type="cellIs" dxfId="305" priority="13219" stopIfTrue="1" operator="notEqual">
      <formula>11.066</formula>
    </cfRule>
  </conditionalFormatting>
  <conditionalFormatting sqref="F55">
    <cfRule type="cellIs" dxfId="304" priority="13220" stopIfTrue="1" operator="notEqual">
      <formula>"MGD"</formula>
    </cfRule>
  </conditionalFormatting>
  <conditionalFormatting sqref="G55">
    <cfRule type="cellIs" dxfId="303" priority="13221" stopIfTrue="1" operator="notEqual">
      <formula>"throwaway"</formula>
    </cfRule>
  </conditionalFormatting>
  <conditionalFormatting sqref="H55">
    <cfRule type="cellIs" dxfId="302" priority="13222" stopIfTrue="1" operator="notEqual">
      <formula>20000</formula>
    </cfRule>
  </conditionalFormatting>
  <conditionalFormatting sqref="I55">
    <cfRule type="cellIs" dxfId="301" priority="13223" stopIfTrue="1" operator="notEqual">
      <formula>"bed volumes"</formula>
    </cfRule>
  </conditionalFormatting>
  <conditionalFormatting sqref="J55">
    <cfRule type="cellIs" dxfId="300" priority="13224" stopIfTrue="1" operator="notEqual">
      <formula>2</formula>
    </cfRule>
  </conditionalFormatting>
  <conditionalFormatting sqref="K55">
    <cfRule type="cellIs" dxfId="299" priority="13225" stopIfTrue="1" operator="notEqual">
      <formula>6</formula>
    </cfRule>
  </conditionalFormatting>
  <conditionalFormatting sqref="L55">
    <cfRule type="cellIs" dxfId="298" priority="13226" stopIfTrue="1" operator="notEqual">
      <formula>"yes"</formula>
    </cfRule>
  </conditionalFormatting>
  <conditionalFormatting sqref="M55">
    <cfRule type="expression" dxfId="297" priority="13227" stopIfTrue="1">
      <formula>NOT(ISBLANK($M$55))</formula>
    </cfRule>
  </conditionalFormatting>
  <conditionalFormatting sqref="N55">
    <cfRule type="expression" dxfId="296" priority="13228" stopIfTrue="1">
      <formula>NOT(ISBLANK($N$55))</formula>
    </cfRule>
  </conditionalFormatting>
  <conditionalFormatting sqref="O55">
    <cfRule type="expression" dxfId="295" priority="13229" stopIfTrue="1">
      <formula>NOT(ISBLANK($O$55))</formula>
    </cfRule>
  </conditionalFormatting>
  <conditionalFormatting sqref="P55">
    <cfRule type="expression" dxfId="294" priority="13230" stopIfTrue="1">
      <formula>NOT(ISBLANK($P$55))</formula>
    </cfRule>
  </conditionalFormatting>
  <conditionalFormatting sqref="Q55">
    <cfRule type="expression" dxfId="293" priority="13231" stopIfTrue="1">
      <formula>NOT(ISBLANK($Q$55))</formula>
    </cfRule>
  </conditionalFormatting>
  <conditionalFormatting sqref="R55">
    <cfRule type="cellIs" dxfId="292" priority="13232" stopIfTrue="1" operator="notEqual">
      <formula>"no holding tank"</formula>
    </cfRule>
  </conditionalFormatting>
  <conditionalFormatting sqref="S55">
    <cfRule type="cellIs" dxfId="291" priority="13233" stopIfTrue="1" operator="notEqual">
      <formula>"POTW"</formula>
    </cfRule>
  </conditionalFormatting>
  <conditionalFormatting sqref="T55">
    <cfRule type="cellIs" dxfId="290" priority="13234" stopIfTrue="1" operator="notEqual">
      <formula>"incineration (non-hazardous)"</formula>
    </cfRule>
  </conditionalFormatting>
  <conditionalFormatting sqref="U55">
    <cfRule type="expression" dxfId="289" priority="13235" stopIfTrue="1">
      <formula>NOT(ISBLANK($U$55))</formula>
    </cfRule>
  </conditionalFormatting>
  <conditionalFormatting sqref="V55">
    <cfRule type="expression" dxfId="288" priority="13236" stopIfTrue="1">
      <formula>NOT(ISBLANK($V$55))</formula>
    </cfRule>
  </conditionalFormatting>
  <conditionalFormatting sqref="W55">
    <cfRule type="expression" dxfId="287" priority="13237" stopIfTrue="1">
      <formula>NOT(ISBLANK($W$55))</formula>
    </cfRule>
  </conditionalFormatting>
  <conditionalFormatting sqref="X55">
    <cfRule type="expression" dxfId="286" priority="13238" stopIfTrue="1">
      <formula>NOT(ISBLANK($X$55))</formula>
    </cfRule>
  </conditionalFormatting>
  <conditionalFormatting sqref="Y55">
    <cfRule type="expression" dxfId="285" priority="13239" stopIfTrue="1">
      <formula>NOT(ISBLANK($Y$55))</formula>
    </cfRule>
  </conditionalFormatting>
  <conditionalFormatting sqref="Z55">
    <cfRule type="expression" dxfId="284" priority="13240" stopIfTrue="1">
      <formula>NOT(ISBLANK($Z$55))</formula>
    </cfRule>
  </conditionalFormatting>
  <conditionalFormatting sqref="AA55">
    <cfRule type="cellIs" dxfId="283" priority="13241" stopIfTrue="1" operator="notEqual">
      <formula>"fully automated"</formula>
    </cfRule>
  </conditionalFormatting>
  <conditionalFormatting sqref="AB55">
    <cfRule type="expression" dxfId="282" priority="13242" stopIfTrue="1">
      <formula>NOT(ISBLANK($AB$55))</formula>
    </cfRule>
  </conditionalFormatting>
  <conditionalFormatting sqref="AC55">
    <cfRule type="expression" dxfId="281" priority="13243" stopIfTrue="1">
      <formula>NOT(ISBLANK($AC$55))</formula>
    </cfRule>
  </conditionalFormatting>
  <conditionalFormatting sqref="AD55">
    <cfRule type="expression" dxfId="280" priority="13244" stopIfTrue="1">
      <formula>NOT(ISBLANK($AD$55))</formula>
    </cfRule>
  </conditionalFormatting>
  <conditionalFormatting sqref="AE55">
    <cfRule type="expression" dxfId="279" priority="13245" stopIfTrue="1">
      <formula>NOT(ISBLANK($AE$55))</formula>
    </cfRule>
  </conditionalFormatting>
  <conditionalFormatting sqref="A56">
    <cfRule type="cellIs" dxfId="278" priority="13246" stopIfTrue="1" operator="notEqual">
      <formula>6</formula>
    </cfRule>
  </conditionalFormatting>
  <conditionalFormatting sqref="B56">
    <cfRule type="cellIs" dxfId="277" priority="13247" stopIfTrue="1" operator="notEqual">
      <formula>8</formula>
    </cfRule>
  </conditionalFormatting>
  <conditionalFormatting sqref="C56">
    <cfRule type="cellIs" dxfId="276" priority="13248" stopIfTrue="1" operator="notEqual">
      <formula>75.072</formula>
    </cfRule>
  </conditionalFormatting>
  <conditionalFormatting sqref="D56">
    <cfRule type="cellIs" dxfId="275" priority="13249" stopIfTrue="1" operator="notEqual">
      <formula>"MGD"</formula>
    </cfRule>
  </conditionalFormatting>
  <conditionalFormatting sqref="E56">
    <cfRule type="cellIs" dxfId="274" priority="13250" stopIfTrue="1" operator="notEqual">
      <formula>37.536</formula>
    </cfRule>
  </conditionalFormatting>
  <conditionalFormatting sqref="F56">
    <cfRule type="cellIs" dxfId="273" priority="13251" stopIfTrue="1" operator="notEqual">
      <formula>"MGD"</formula>
    </cfRule>
  </conditionalFormatting>
  <conditionalFormatting sqref="G56">
    <cfRule type="cellIs" dxfId="272" priority="13252" stopIfTrue="1" operator="notEqual">
      <formula>"throwaway"</formula>
    </cfRule>
  </conditionalFormatting>
  <conditionalFormatting sqref="H56">
    <cfRule type="cellIs" dxfId="271" priority="13253" stopIfTrue="1" operator="notEqual">
      <formula>20000</formula>
    </cfRule>
  </conditionalFormatting>
  <conditionalFormatting sqref="I56">
    <cfRule type="cellIs" dxfId="270" priority="13254" stopIfTrue="1" operator="notEqual">
      <formula>"bed volumes"</formula>
    </cfRule>
  </conditionalFormatting>
  <conditionalFormatting sqref="J56">
    <cfRule type="cellIs" dxfId="269" priority="13255" stopIfTrue="1" operator="notEqual">
      <formula>2</formula>
    </cfRule>
  </conditionalFormatting>
  <conditionalFormatting sqref="K56">
    <cfRule type="cellIs" dxfId="268" priority="13256" stopIfTrue="1" operator="notEqual">
      <formula>6</formula>
    </cfRule>
  </conditionalFormatting>
  <conditionalFormatting sqref="L56">
    <cfRule type="cellIs" dxfId="267" priority="13257" stopIfTrue="1" operator="notEqual">
      <formula>"yes"</formula>
    </cfRule>
  </conditionalFormatting>
  <conditionalFormatting sqref="M56">
    <cfRule type="expression" dxfId="266" priority="13258" stopIfTrue="1">
      <formula>NOT(ISBLANK($M$56))</formula>
    </cfRule>
  </conditionalFormatting>
  <conditionalFormatting sqref="N56">
    <cfRule type="expression" dxfId="265" priority="13259" stopIfTrue="1">
      <formula>NOT(ISBLANK($N$56))</formula>
    </cfRule>
  </conditionalFormatting>
  <conditionalFormatting sqref="O56">
    <cfRule type="expression" dxfId="264" priority="13260" stopIfTrue="1">
      <formula>NOT(ISBLANK($O$56))</formula>
    </cfRule>
  </conditionalFormatting>
  <conditionalFormatting sqref="P56">
    <cfRule type="expression" dxfId="263" priority="13261" stopIfTrue="1">
      <formula>NOT(ISBLANK($P$56))</formula>
    </cfRule>
  </conditionalFormatting>
  <conditionalFormatting sqref="Q56">
    <cfRule type="expression" dxfId="262" priority="13262" stopIfTrue="1">
      <formula>NOT(ISBLANK($Q$56))</formula>
    </cfRule>
  </conditionalFormatting>
  <conditionalFormatting sqref="R56">
    <cfRule type="cellIs" dxfId="261" priority="13263" stopIfTrue="1" operator="notEqual">
      <formula>"no holding tank"</formula>
    </cfRule>
  </conditionalFormatting>
  <conditionalFormatting sqref="S56">
    <cfRule type="cellIs" dxfId="260" priority="13264" stopIfTrue="1" operator="notEqual">
      <formula>"POTW"</formula>
    </cfRule>
  </conditionalFormatting>
  <conditionalFormatting sqref="T56">
    <cfRule type="cellIs" dxfId="259" priority="13265" stopIfTrue="1" operator="notEqual">
      <formula>"incineration (non-hazardous)"</formula>
    </cfRule>
  </conditionalFormatting>
  <conditionalFormatting sqref="U56">
    <cfRule type="expression" dxfId="258" priority="13266" stopIfTrue="1">
      <formula>NOT(ISBLANK($U$56))</formula>
    </cfRule>
  </conditionalFormatting>
  <conditionalFormatting sqref="V56">
    <cfRule type="expression" dxfId="257" priority="13267" stopIfTrue="1">
      <formula>NOT(ISBLANK($V$56))</formula>
    </cfRule>
  </conditionalFormatting>
  <conditionalFormatting sqref="W56">
    <cfRule type="expression" dxfId="256" priority="13268" stopIfTrue="1">
      <formula>NOT(ISBLANK($W$56))</formula>
    </cfRule>
  </conditionalFormatting>
  <conditionalFormatting sqref="X56">
    <cfRule type="expression" dxfId="255" priority="13269" stopIfTrue="1">
      <formula>NOT(ISBLANK($X$56))</formula>
    </cfRule>
  </conditionalFormatting>
  <conditionalFormatting sqref="Y56">
    <cfRule type="expression" dxfId="254" priority="13270" stopIfTrue="1">
      <formula>NOT(ISBLANK($Y$56))</formula>
    </cfRule>
  </conditionalFormatting>
  <conditionalFormatting sqref="Z56">
    <cfRule type="expression" dxfId="253" priority="13271" stopIfTrue="1">
      <formula>NOT(ISBLANK($Z$56))</formula>
    </cfRule>
  </conditionalFormatting>
  <conditionalFormatting sqref="AA56">
    <cfRule type="cellIs" dxfId="252" priority="13272" stopIfTrue="1" operator="notEqual">
      <formula>"fully automated"</formula>
    </cfRule>
  </conditionalFormatting>
  <conditionalFormatting sqref="AB56">
    <cfRule type="expression" dxfId="251" priority="13273" stopIfTrue="1">
      <formula>NOT(ISBLANK($AB$56))</formula>
    </cfRule>
  </conditionalFormatting>
  <conditionalFormatting sqref="AC56">
    <cfRule type="expression" dxfId="250" priority="13274" stopIfTrue="1">
      <formula>NOT(ISBLANK($AC$56))</formula>
    </cfRule>
  </conditionalFormatting>
  <conditionalFormatting sqref="AD56">
    <cfRule type="expression" dxfId="249" priority="13275" stopIfTrue="1">
      <formula>NOT(ISBLANK($AD$56))</formula>
    </cfRule>
  </conditionalFormatting>
  <conditionalFormatting sqref="AE56">
    <cfRule type="expression" dxfId="248" priority="13276" stopIfTrue="1">
      <formula>NOT(ISBLANK($AE$56))</formula>
    </cfRule>
  </conditionalFormatting>
  <conditionalFormatting sqref="A57">
    <cfRule type="cellIs" dxfId="247" priority="13277" stopIfTrue="1" operator="notEqual">
      <formula>7</formula>
    </cfRule>
  </conditionalFormatting>
  <conditionalFormatting sqref="B57">
    <cfRule type="cellIs" dxfId="246" priority="13278" stopIfTrue="1" operator="notEqual">
      <formula>1</formula>
    </cfRule>
  </conditionalFormatting>
  <conditionalFormatting sqref="C57">
    <cfRule type="cellIs" dxfId="245" priority="13279" stopIfTrue="1" operator="notEqual">
      <formula>0.03</formula>
    </cfRule>
  </conditionalFormatting>
  <conditionalFormatting sqref="D57">
    <cfRule type="cellIs" dxfId="244" priority="13280" stopIfTrue="1" operator="notEqual">
      <formula>"MGD"</formula>
    </cfRule>
  </conditionalFormatting>
  <conditionalFormatting sqref="E57">
    <cfRule type="cellIs" dxfId="243" priority="13281" stopIfTrue="1" operator="notEqual">
      <formula>0.007</formula>
    </cfRule>
  </conditionalFormatting>
  <conditionalFormatting sqref="F57">
    <cfRule type="cellIs" dxfId="242" priority="13282" stopIfTrue="1" operator="notEqual">
      <formula>"MGD"</formula>
    </cfRule>
  </conditionalFormatting>
  <conditionalFormatting sqref="G57">
    <cfRule type="expression" dxfId="241" priority="13283" stopIfTrue="1">
      <formula>NOT(ISBLANK($G$57))</formula>
    </cfRule>
  </conditionalFormatting>
  <conditionalFormatting sqref="H57">
    <cfRule type="expression" dxfId="240" priority="13284" stopIfTrue="1">
      <formula>NOT(ISBLANK($H$57))</formula>
    </cfRule>
  </conditionalFormatting>
  <conditionalFormatting sqref="I57">
    <cfRule type="expression" dxfId="239" priority="13285" stopIfTrue="1">
      <formula>NOT(ISBLANK($I$57))</formula>
    </cfRule>
  </conditionalFormatting>
  <conditionalFormatting sqref="J57">
    <cfRule type="expression" dxfId="238" priority="13286" stopIfTrue="1">
      <formula>NOT(ISBLANK($J$57))</formula>
    </cfRule>
  </conditionalFormatting>
  <conditionalFormatting sqref="K57">
    <cfRule type="expression" dxfId="237" priority="13287" stopIfTrue="1">
      <formula>NOT(ISBLANK($K$57))</formula>
    </cfRule>
  </conditionalFormatting>
  <conditionalFormatting sqref="L57">
    <cfRule type="expression" dxfId="236" priority="13288" stopIfTrue="1">
      <formula>NOT(ISBLANK($L$57))</formula>
    </cfRule>
  </conditionalFormatting>
  <conditionalFormatting sqref="M57">
    <cfRule type="expression" dxfId="235" priority="13289" stopIfTrue="1">
      <formula>NOT(ISBLANK($M$57))</formula>
    </cfRule>
  </conditionalFormatting>
  <conditionalFormatting sqref="N57">
    <cfRule type="expression" dxfId="234" priority="13290" stopIfTrue="1">
      <formula>NOT(ISBLANK($N$57))</formula>
    </cfRule>
  </conditionalFormatting>
  <conditionalFormatting sqref="O57">
    <cfRule type="expression" dxfId="233" priority="13291" stopIfTrue="1">
      <formula>NOT(ISBLANK($O$57))</formula>
    </cfRule>
  </conditionalFormatting>
  <conditionalFormatting sqref="P57">
    <cfRule type="expression" dxfId="232" priority="13292" stopIfTrue="1">
      <formula>NOT(ISBLANK($P$57))</formula>
    </cfRule>
  </conditionalFormatting>
  <conditionalFormatting sqref="Q57">
    <cfRule type="expression" dxfId="231" priority="13293" stopIfTrue="1">
      <formula>NOT(ISBLANK($Q$57))</formula>
    </cfRule>
  </conditionalFormatting>
  <conditionalFormatting sqref="R57">
    <cfRule type="expression" dxfId="230" priority="13294" stopIfTrue="1">
      <formula>NOT(ISBLANK($R$57))</formula>
    </cfRule>
  </conditionalFormatting>
  <conditionalFormatting sqref="S57">
    <cfRule type="expression" dxfId="229" priority="13295" stopIfTrue="1">
      <formula>NOT(ISBLANK($S$57))</formula>
    </cfRule>
  </conditionalFormatting>
  <conditionalFormatting sqref="T57">
    <cfRule type="expression" dxfId="228" priority="13296" stopIfTrue="1">
      <formula>NOT(ISBLANK($T$57))</formula>
    </cfRule>
  </conditionalFormatting>
  <conditionalFormatting sqref="U57">
    <cfRule type="expression" dxfId="227" priority="13297" stopIfTrue="1">
      <formula>NOT(ISBLANK($U$57))</formula>
    </cfRule>
  </conditionalFormatting>
  <conditionalFormatting sqref="V57">
    <cfRule type="expression" dxfId="226" priority="13298" stopIfTrue="1">
      <formula>NOT(ISBLANK($V$57))</formula>
    </cfRule>
  </conditionalFormatting>
  <conditionalFormatting sqref="W57">
    <cfRule type="expression" dxfId="225" priority="13299" stopIfTrue="1">
      <formula>NOT(ISBLANK($W$57))</formula>
    </cfRule>
  </conditionalFormatting>
  <conditionalFormatting sqref="X57">
    <cfRule type="expression" dxfId="224" priority="13300" stopIfTrue="1">
      <formula>NOT(ISBLANK($X$57))</formula>
    </cfRule>
  </conditionalFormatting>
  <conditionalFormatting sqref="Y57">
    <cfRule type="expression" dxfId="223" priority="13301" stopIfTrue="1">
      <formula>NOT(ISBLANK($Y$57))</formula>
    </cfRule>
  </conditionalFormatting>
  <conditionalFormatting sqref="Z57">
    <cfRule type="expression" dxfId="222" priority="13302" stopIfTrue="1">
      <formula>NOT(ISBLANK($Z$57))</formula>
    </cfRule>
  </conditionalFormatting>
  <conditionalFormatting sqref="AA57">
    <cfRule type="expression" dxfId="221" priority="13303" stopIfTrue="1">
      <formula>NOT(ISBLANK($AA$57))</formula>
    </cfRule>
  </conditionalFormatting>
  <conditionalFormatting sqref="AB57">
    <cfRule type="expression" dxfId="220" priority="13304" stopIfTrue="1">
      <formula>NOT(ISBLANK($AB$57))</formula>
    </cfRule>
  </conditionalFormatting>
  <conditionalFormatting sqref="AC57">
    <cfRule type="expression" dxfId="219" priority="13305" stopIfTrue="1">
      <formula>NOT(ISBLANK($AC$57))</formula>
    </cfRule>
  </conditionalFormatting>
  <conditionalFormatting sqref="AD57">
    <cfRule type="expression" dxfId="218" priority="13306" stopIfTrue="1">
      <formula>NOT(ISBLANK($AD$57))</formula>
    </cfRule>
  </conditionalFormatting>
  <conditionalFormatting sqref="AE57">
    <cfRule type="expression" dxfId="217" priority="13307" stopIfTrue="1">
      <formula>NOT(ISBLANK($AE$57))</formula>
    </cfRule>
  </conditionalFormatting>
  <conditionalFormatting sqref="A58">
    <cfRule type="cellIs" dxfId="216" priority="13308" stopIfTrue="1" operator="notEqual">
      <formula>7</formula>
    </cfRule>
  </conditionalFormatting>
  <conditionalFormatting sqref="B58">
    <cfRule type="cellIs" dxfId="215" priority="13309" stopIfTrue="1" operator="notEqual">
      <formula>2</formula>
    </cfRule>
  </conditionalFormatting>
  <conditionalFormatting sqref="C58">
    <cfRule type="cellIs" dxfId="214" priority="13310" stopIfTrue="1" operator="notEqual">
      <formula>0.124</formula>
    </cfRule>
  </conditionalFormatting>
  <conditionalFormatting sqref="D58">
    <cfRule type="cellIs" dxfId="213" priority="13311" stopIfTrue="1" operator="notEqual">
      <formula>"MGD"</formula>
    </cfRule>
  </conditionalFormatting>
  <conditionalFormatting sqref="E58">
    <cfRule type="cellIs" dxfId="212" priority="13312" stopIfTrue="1" operator="notEqual">
      <formula>0.035</formula>
    </cfRule>
  </conditionalFormatting>
  <conditionalFormatting sqref="F58">
    <cfRule type="cellIs" dxfId="211" priority="13313" stopIfTrue="1" operator="notEqual">
      <formula>"MGD"</formula>
    </cfRule>
  </conditionalFormatting>
  <conditionalFormatting sqref="G58">
    <cfRule type="expression" dxfId="210" priority="13314" stopIfTrue="1">
      <formula>NOT(ISBLANK($G$58))</formula>
    </cfRule>
  </conditionalFormatting>
  <conditionalFormatting sqref="H58">
    <cfRule type="expression" dxfId="209" priority="13315" stopIfTrue="1">
      <formula>NOT(ISBLANK($H$58))</formula>
    </cfRule>
  </conditionalFormatting>
  <conditionalFormatting sqref="I58">
    <cfRule type="expression" dxfId="208" priority="13316" stopIfTrue="1">
      <formula>NOT(ISBLANK($I$58))</formula>
    </cfRule>
  </conditionalFormatting>
  <conditionalFormatting sqref="J58">
    <cfRule type="expression" dxfId="207" priority="13317" stopIfTrue="1">
      <formula>NOT(ISBLANK($J$58))</formula>
    </cfRule>
  </conditionalFormatting>
  <conditionalFormatting sqref="K58">
    <cfRule type="expression" dxfId="206" priority="13318" stopIfTrue="1">
      <formula>NOT(ISBLANK($K$58))</formula>
    </cfRule>
  </conditionalFormatting>
  <conditionalFormatting sqref="L58">
    <cfRule type="expression" dxfId="205" priority="13319" stopIfTrue="1">
      <formula>NOT(ISBLANK($L$58))</formula>
    </cfRule>
  </conditionalFormatting>
  <conditionalFormatting sqref="M58">
    <cfRule type="expression" dxfId="204" priority="13320" stopIfTrue="1">
      <formula>NOT(ISBLANK($M$58))</formula>
    </cfRule>
  </conditionalFormatting>
  <conditionalFormatting sqref="N58">
    <cfRule type="expression" dxfId="203" priority="13321" stopIfTrue="1">
      <formula>NOT(ISBLANK($N$58))</formula>
    </cfRule>
  </conditionalFormatting>
  <conditionalFormatting sqref="O58">
    <cfRule type="expression" dxfId="202" priority="13322" stopIfTrue="1">
      <formula>NOT(ISBLANK($O$58))</formula>
    </cfRule>
  </conditionalFormatting>
  <conditionalFormatting sqref="P58">
    <cfRule type="expression" dxfId="201" priority="13323" stopIfTrue="1">
      <formula>NOT(ISBLANK($P$58))</formula>
    </cfRule>
  </conditionalFormatting>
  <conditionalFormatting sqref="Q58">
    <cfRule type="expression" dxfId="200" priority="13324" stopIfTrue="1">
      <formula>NOT(ISBLANK($Q$58))</formula>
    </cfRule>
  </conditionalFormatting>
  <conditionalFormatting sqref="R58">
    <cfRule type="expression" dxfId="199" priority="13325" stopIfTrue="1">
      <formula>NOT(ISBLANK($R$58))</formula>
    </cfRule>
  </conditionalFormatting>
  <conditionalFormatting sqref="S58">
    <cfRule type="expression" dxfId="198" priority="13326" stopIfTrue="1">
      <formula>NOT(ISBLANK($S$58))</formula>
    </cfRule>
  </conditionalFormatting>
  <conditionalFormatting sqref="T58">
    <cfRule type="expression" dxfId="197" priority="13327" stopIfTrue="1">
      <formula>NOT(ISBLANK($T$58))</formula>
    </cfRule>
  </conditionalFormatting>
  <conditionalFormatting sqref="U58">
    <cfRule type="expression" dxfId="196" priority="13328" stopIfTrue="1">
      <formula>NOT(ISBLANK($U$58))</formula>
    </cfRule>
  </conditionalFormatting>
  <conditionalFormatting sqref="V58">
    <cfRule type="expression" dxfId="195" priority="13329" stopIfTrue="1">
      <formula>NOT(ISBLANK($V$58))</formula>
    </cfRule>
  </conditionalFormatting>
  <conditionalFormatting sqref="W58">
    <cfRule type="expression" dxfId="194" priority="13330" stopIfTrue="1">
      <formula>NOT(ISBLANK($W$58))</formula>
    </cfRule>
  </conditionalFormatting>
  <conditionalFormatting sqref="X58">
    <cfRule type="expression" dxfId="193" priority="13331" stopIfTrue="1">
      <formula>NOT(ISBLANK($X$58))</formula>
    </cfRule>
  </conditionalFormatting>
  <conditionalFormatting sqref="Y58">
    <cfRule type="expression" dxfId="192" priority="13332" stopIfTrue="1">
      <formula>NOT(ISBLANK($Y$58))</formula>
    </cfRule>
  </conditionalFormatting>
  <conditionalFormatting sqref="Z58">
    <cfRule type="expression" dxfId="191" priority="13333" stopIfTrue="1">
      <formula>NOT(ISBLANK($Z$58))</formula>
    </cfRule>
  </conditionalFormatting>
  <conditionalFormatting sqref="AA58">
    <cfRule type="expression" dxfId="190" priority="13334" stopIfTrue="1">
      <formula>NOT(ISBLANK($AA$58))</formula>
    </cfRule>
  </conditionalFormatting>
  <conditionalFormatting sqref="AB58">
    <cfRule type="expression" dxfId="189" priority="13335" stopIfTrue="1">
      <formula>NOT(ISBLANK($AB$58))</formula>
    </cfRule>
  </conditionalFormatting>
  <conditionalFormatting sqref="AC58">
    <cfRule type="expression" dxfId="188" priority="13336" stopIfTrue="1">
      <formula>NOT(ISBLANK($AC$58))</formula>
    </cfRule>
  </conditionalFormatting>
  <conditionalFormatting sqref="AD58">
    <cfRule type="expression" dxfId="187" priority="13337" stopIfTrue="1">
      <formula>NOT(ISBLANK($AD$58))</formula>
    </cfRule>
  </conditionalFormatting>
  <conditionalFormatting sqref="AE58">
    <cfRule type="expression" dxfId="186" priority="13338" stopIfTrue="1">
      <formula>NOT(ISBLANK($AE$58))</formula>
    </cfRule>
  </conditionalFormatting>
  <conditionalFormatting sqref="A59">
    <cfRule type="cellIs" dxfId="185" priority="13339" stopIfTrue="1" operator="notEqual">
      <formula>7</formula>
    </cfRule>
  </conditionalFormatting>
  <conditionalFormatting sqref="B59">
    <cfRule type="cellIs" dxfId="184" priority="13340" stopIfTrue="1" operator="notEqual">
      <formula>3</formula>
    </cfRule>
  </conditionalFormatting>
  <conditionalFormatting sqref="C59">
    <cfRule type="cellIs" dxfId="183" priority="13341" stopIfTrue="1" operator="notEqual">
      <formula>0.305</formula>
    </cfRule>
  </conditionalFormatting>
  <conditionalFormatting sqref="D59">
    <cfRule type="cellIs" dxfId="182" priority="13342" stopIfTrue="1" operator="notEqual">
      <formula>"MGD"</formula>
    </cfRule>
  </conditionalFormatting>
  <conditionalFormatting sqref="E59">
    <cfRule type="cellIs" dxfId="181" priority="13343" stopIfTrue="1" operator="notEqual">
      <formula>0.094</formula>
    </cfRule>
  </conditionalFormatting>
  <conditionalFormatting sqref="F59">
    <cfRule type="cellIs" dxfId="180" priority="13344" stopIfTrue="1" operator="notEqual">
      <formula>"MGD"</formula>
    </cfRule>
  </conditionalFormatting>
  <conditionalFormatting sqref="G59">
    <cfRule type="expression" dxfId="179" priority="13345" stopIfTrue="1">
      <formula>NOT(ISBLANK($G$59))</formula>
    </cfRule>
  </conditionalFormatting>
  <conditionalFormatting sqref="H59">
    <cfRule type="expression" dxfId="178" priority="13346" stopIfTrue="1">
      <formula>NOT(ISBLANK($H$59))</formula>
    </cfRule>
  </conditionalFormatting>
  <conditionalFormatting sqref="I59">
    <cfRule type="expression" dxfId="177" priority="13347" stopIfTrue="1">
      <formula>NOT(ISBLANK($I$59))</formula>
    </cfRule>
  </conditionalFormatting>
  <conditionalFormatting sqref="J59">
    <cfRule type="expression" dxfId="176" priority="13348" stopIfTrue="1">
      <formula>NOT(ISBLANK($J$59))</formula>
    </cfRule>
  </conditionalFormatting>
  <conditionalFormatting sqref="K59">
    <cfRule type="expression" dxfId="175" priority="13349" stopIfTrue="1">
      <formula>NOT(ISBLANK($K$59))</formula>
    </cfRule>
  </conditionalFormatting>
  <conditionalFormatting sqref="L59">
    <cfRule type="expression" dxfId="174" priority="13350" stopIfTrue="1">
      <formula>NOT(ISBLANK($L$59))</formula>
    </cfRule>
  </conditionalFormatting>
  <conditionalFormatting sqref="M59">
    <cfRule type="expression" dxfId="173" priority="13351" stopIfTrue="1">
      <formula>NOT(ISBLANK($M$59))</formula>
    </cfRule>
  </conditionalFormatting>
  <conditionalFormatting sqref="N59">
    <cfRule type="expression" dxfId="172" priority="13352" stopIfTrue="1">
      <formula>NOT(ISBLANK($N$59))</formula>
    </cfRule>
  </conditionalFormatting>
  <conditionalFormatting sqref="O59">
    <cfRule type="expression" dxfId="171" priority="13353" stopIfTrue="1">
      <formula>NOT(ISBLANK($O$59))</formula>
    </cfRule>
  </conditionalFormatting>
  <conditionalFormatting sqref="P59">
    <cfRule type="expression" dxfId="170" priority="13354" stopIfTrue="1">
      <formula>NOT(ISBLANK($P$59))</formula>
    </cfRule>
  </conditionalFormatting>
  <conditionalFormatting sqref="Q59">
    <cfRule type="expression" dxfId="169" priority="13355" stopIfTrue="1">
      <formula>NOT(ISBLANK($Q$59))</formula>
    </cfRule>
  </conditionalFormatting>
  <conditionalFormatting sqref="R59">
    <cfRule type="expression" dxfId="168" priority="13356" stopIfTrue="1">
      <formula>NOT(ISBLANK($R$59))</formula>
    </cfRule>
  </conditionalFormatting>
  <conditionalFormatting sqref="S59">
    <cfRule type="expression" dxfId="167" priority="13357" stopIfTrue="1">
      <formula>NOT(ISBLANK($S$59))</formula>
    </cfRule>
  </conditionalFormatting>
  <conditionalFormatting sqref="T59">
    <cfRule type="expression" dxfId="166" priority="13358" stopIfTrue="1">
      <formula>NOT(ISBLANK($T$59))</formula>
    </cfRule>
  </conditionalFormatting>
  <conditionalFormatting sqref="U59">
    <cfRule type="expression" dxfId="165" priority="13359" stopIfTrue="1">
      <formula>NOT(ISBLANK($U$59))</formula>
    </cfRule>
  </conditionalFormatting>
  <conditionalFormatting sqref="V59">
    <cfRule type="expression" dxfId="164" priority="13360" stopIfTrue="1">
      <formula>NOT(ISBLANK($V$59))</formula>
    </cfRule>
  </conditionalFormatting>
  <conditionalFormatting sqref="W59">
    <cfRule type="expression" dxfId="163" priority="13361" stopIfTrue="1">
      <formula>NOT(ISBLANK($W$59))</formula>
    </cfRule>
  </conditionalFormatting>
  <conditionalFormatting sqref="X59">
    <cfRule type="expression" dxfId="162" priority="13362" stopIfTrue="1">
      <formula>NOT(ISBLANK($X$59))</formula>
    </cfRule>
  </conditionalFormatting>
  <conditionalFormatting sqref="Y59">
    <cfRule type="expression" dxfId="161" priority="13363" stopIfTrue="1">
      <formula>NOT(ISBLANK($Y$59))</formula>
    </cfRule>
  </conditionalFormatting>
  <conditionalFormatting sqref="Z59">
    <cfRule type="expression" dxfId="160" priority="13364" stopIfTrue="1">
      <formula>NOT(ISBLANK($Z$59))</formula>
    </cfRule>
  </conditionalFormatting>
  <conditionalFormatting sqref="AA59">
    <cfRule type="expression" dxfId="159" priority="13365" stopIfTrue="1">
      <formula>NOT(ISBLANK($AA$59))</formula>
    </cfRule>
  </conditionalFormatting>
  <conditionalFormatting sqref="AB59">
    <cfRule type="expression" dxfId="158" priority="13366" stopIfTrue="1">
      <formula>NOT(ISBLANK($AB$59))</formula>
    </cfRule>
  </conditionalFormatting>
  <conditionalFormatting sqref="AC59">
    <cfRule type="expression" dxfId="157" priority="13367" stopIfTrue="1">
      <formula>NOT(ISBLANK($AC$59))</formula>
    </cfRule>
  </conditionalFormatting>
  <conditionalFormatting sqref="AD59">
    <cfRule type="expression" dxfId="156" priority="13368" stopIfTrue="1">
      <formula>NOT(ISBLANK($AD$59))</formula>
    </cfRule>
  </conditionalFormatting>
  <conditionalFormatting sqref="AE59">
    <cfRule type="expression" dxfId="155" priority="13369" stopIfTrue="1">
      <formula>NOT(ISBLANK($AE$59))</formula>
    </cfRule>
  </conditionalFormatting>
  <conditionalFormatting sqref="A60">
    <cfRule type="cellIs" dxfId="154" priority="13370" stopIfTrue="1" operator="notEqual">
      <formula>7</formula>
    </cfRule>
  </conditionalFormatting>
  <conditionalFormatting sqref="B60">
    <cfRule type="cellIs" dxfId="153" priority="13371" stopIfTrue="1" operator="notEqual">
      <formula>4</formula>
    </cfRule>
  </conditionalFormatting>
  <conditionalFormatting sqref="C60">
    <cfRule type="cellIs" dxfId="152" priority="13372" stopIfTrue="1" operator="notEqual">
      <formula>0.74</formula>
    </cfRule>
  </conditionalFormatting>
  <conditionalFormatting sqref="D60">
    <cfRule type="cellIs" dxfId="151" priority="13373" stopIfTrue="1" operator="notEqual">
      <formula>"MGD"</formula>
    </cfRule>
  </conditionalFormatting>
  <conditionalFormatting sqref="E60">
    <cfRule type="cellIs" dxfId="150" priority="13374" stopIfTrue="1" operator="notEqual">
      <formula>0.251</formula>
    </cfRule>
  </conditionalFormatting>
  <conditionalFormatting sqref="F60">
    <cfRule type="cellIs" dxfId="149" priority="13375" stopIfTrue="1" operator="notEqual">
      <formula>"MGD"</formula>
    </cfRule>
  </conditionalFormatting>
  <conditionalFormatting sqref="G60">
    <cfRule type="expression" dxfId="148" priority="13376" stopIfTrue="1">
      <formula>NOT(ISBLANK($G$60))</formula>
    </cfRule>
  </conditionalFormatting>
  <conditionalFormatting sqref="H60">
    <cfRule type="expression" dxfId="147" priority="13377" stopIfTrue="1">
      <formula>NOT(ISBLANK($H$60))</formula>
    </cfRule>
  </conditionalFormatting>
  <conditionalFormatting sqref="I60">
    <cfRule type="expression" dxfId="146" priority="13378" stopIfTrue="1">
      <formula>NOT(ISBLANK($I$60))</formula>
    </cfRule>
  </conditionalFormatting>
  <conditionalFormatting sqref="J60">
    <cfRule type="expression" dxfId="145" priority="13379" stopIfTrue="1">
      <formula>NOT(ISBLANK($J$60))</formula>
    </cfRule>
  </conditionalFormatting>
  <conditionalFormatting sqref="K60">
    <cfRule type="expression" dxfId="144" priority="13380" stopIfTrue="1">
      <formula>NOT(ISBLANK($K$60))</formula>
    </cfRule>
  </conditionalFormatting>
  <conditionalFormatting sqref="L60">
    <cfRule type="expression" dxfId="143" priority="13381" stopIfTrue="1">
      <formula>NOT(ISBLANK($L$60))</formula>
    </cfRule>
  </conditionalFormatting>
  <conditionalFormatting sqref="M60">
    <cfRule type="expression" dxfId="142" priority="13382" stopIfTrue="1">
      <formula>NOT(ISBLANK($M$60))</formula>
    </cfRule>
  </conditionalFormatting>
  <conditionalFormatting sqref="N60">
    <cfRule type="expression" dxfId="141" priority="13383" stopIfTrue="1">
      <formula>NOT(ISBLANK($N$60))</formula>
    </cfRule>
  </conditionalFormatting>
  <conditionalFormatting sqref="O60">
    <cfRule type="expression" dxfId="140" priority="13384" stopIfTrue="1">
      <formula>NOT(ISBLANK($O$60))</formula>
    </cfRule>
  </conditionalFormatting>
  <conditionalFormatting sqref="P60">
    <cfRule type="expression" dxfId="139" priority="13385" stopIfTrue="1">
      <formula>NOT(ISBLANK($P$60))</formula>
    </cfRule>
  </conditionalFormatting>
  <conditionalFormatting sqref="Q60">
    <cfRule type="expression" dxfId="138" priority="13386" stopIfTrue="1">
      <formula>NOT(ISBLANK($Q$60))</formula>
    </cfRule>
  </conditionalFormatting>
  <conditionalFormatting sqref="R60">
    <cfRule type="expression" dxfId="137" priority="13387" stopIfTrue="1">
      <formula>NOT(ISBLANK($R$60))</formula>
    </cfRule>
  </conditionalFormatting>
  <conditionalFormatting sqref="S60">
    <cfRule type="expression" dxfId="136" priority="13388" stopIfTrue="1">
      <formula>NOT(ISBLANK($S$60))</formula>
    </cfRule>
  </conditionalFormatting>
  <conditionalFormatting sqref="T60">
    <cfRule type="expression" dxfId="135" priority="13389" stopIfTrue="1">
      <formula>NOT(ISBLANK($T$60))</formula>
    </cfRule>
  </conditionalFormatting>
  <conditionalFormatting sqref="U60">
    <cfRule type="expression" dxfId="134" priority="13390" stopIfTrue="1">
      <formula>NOT(ISBLANK($U$60))</formula>
    </cfRule>
  </conditionalFormatting>
  <conditionalFormatting sqref="V60">
    <cfRule type="expression" dxfId="133" priority="13391" stopIfTrue="1">
      <formula>NOT(ISBLANK($V$60))</formula>
    </cfRule>
  </conditionalFormatting>
  <conditionalFormatting sqref="W60">
    <cfRule type="expression" dxfId="132" priority="13392" stopIfTrue="1">
      <formula>NOT(ISBLANK($W$60))</formula>
    </cfRule>
  </conditionalFormatting>
  <conditionalFormatting sqref="X60">
    <cfRule type="expression" dxfId="131" priority="13393" stopIfTrue="1">
      <formula>NOT(ISBLANK($X$60))</formula>
    </cfRule>
  </conditionalFormatting>
  <conditionalFormatting sqref="Y60">
    <cfRule type="expression" dxfId="130" priority="13394" stopIfTrue="1">
      <formula>NOT(ISBLANK($Y$60))</formula>
    </cfRule>
  </conditionalFormatting>
  <conditionalFormatting sqref="Z60">
    <cfRule type="expression" dxfId="129" priority="13395" stopIfTrue="1">
      <formula>NOT(ISBLANK($Z$60))</formula>
    </cfRule>
  </conditionalFormatting>
  <conditionalFormatting sqref="AA60">
    <cfRule type="expression" dxfId="128" priority="13396" stopIfTrue="1">
      <formula>NOT(ISBLANK($AA$60))</formula>
    </cfRule>
  </conditionalFormatting>
  <conditionalFormatting sqref="AB60">
    <cfRule type="expression" dxfId="127" priority="13397" stopIfTrue="1">
      <formula>NOT(ISBLANK($AB$60))</formula>
    </cfRule>
  </conditionalFormatting>
  <conditionalFormatting sqref="AC60">
    <cfRule type="expression" dxfId="126" priority="13398" stopIfTrue="1">
      <formula>NOT(ISBLANK($AC$60))</formula>
    </cfRule>
  </conditionalFormatting>
  <conditionalFormatting sqref="AD60">
    <cfRule type="expression" dxfId="125" priority="13399" stopIfTrue="1">
      <formula>NOT(ISBLANK($AD$60))</formula>
    </cfRule>
  </conditionalFormatting>
  <conditionalFormatting sqref="AE60">
    <cfRule type="expression" dxfId="124" priority="13400" stopIfTrue="1">
      <formula>NOT(ISBLANK($AE$60))</formula>
    </cfRule>
  </conditionalFormatting>
  <conditionalFormatting sqref="A61">
    <cfRule type="cellIs" dxfId="123" priority="13401" stopIfTrue="1" operator="notEqual">
      <formula>7</formula>
    </cfRule>
  </conditionalFormatting>
  <conditionalFormatting sqref="B61">
    <cfRule type="cellIs" dxfId="122" priority="13402" stopIfTrue="1" operator="notEqual">
      <formula>5</formula>
    </cfRule>
  </conditionalFormatting>
  <conditionalFormatting sqref="C61">
    <cfRule type="cellIs" dxfId="121" priority="13403" stopIfTrue="1" operator="notEqual">
      <formula>2.152</formula>
    </cfRule>
  </conditionalFormatting>
  <conditionalFormatting sqref="D61">
    <cfRule type="cellIs" dxfId="120" priority="13404" stopIfTrue="1" operator="notEqual">
      <formula>"MGD"</formula>
    </cfRule>
  </conditionalFormatting>
  <conditionalFormatting sqref="E61">
    <cfRule type="cellIs" dxfId="119" priority="13405" stopIfTrue="1" operator="notEqual">
      <formula>0.819</formula>
    </cfRule>
  </conditionalFormatting>
  <conditionalFormatting sqref="F61">
    <cfRule type="cellIs" dxfId="118" priority="13406" stopIfTrue="1" operator="notEqual">
      <formula>"MGD"</formula>
    </cfRule>
  </conditionalFormatting>
  <conditionalFormatting sqref="G61">
    <cfRule type="expression" dxfId="117" priority="13407" stopIfTrue="1">
      <formula>NOT(ISBLANK($G$61))</formula>
    </cfRule>
  </conditionalFormatting>
  <conditionalFormatting sqref="H61">
    <cfRule type="expression" dxfId="116" priority="13408" stopIfTrue="1">
      <formula>NOT(ISBLANK($H$61))</formula>
    </cfRule>
  </conditionalFormatting>
  <conditionalFormatting sqref="I61">
    <cfRule type="expression" dxfId="115" priority="13409" stopIfTrue="1">
      <formula>NOT(ISBLANK($I$61))</formula>
    </cfRule>
  </conditionalFormatting>
  <conditionalFormatting sqref="J61">
    <cfRule type="expression" dxfId="114" priority="13410" stopIfTrue="1">
      <formula>NOT(ISBLANK($J$61))</formula>
    </cfRule>
  </conditionalFormatting>
  <conditionalFormatting sqref="K61">
    <cfRule type="expression" dxfId="113" priority="13411" stopIfTrue="1">
      <formula>NOT(ISBLANK($K$61))</formula>
    </cfRule>
  </conditionalFormatting>
  <conditionalFormatting sqref="L61">
    <cfRule type="expression" dxfId="112" priority="13412" stopIfTrue="1">
      <formula>NOT(ISBLANK($L$61))</formula>
    </cfRule>
  </conditionalFormatting>
  <conditionalFormatting sqref="M61">
    <cfRule type="expression" dxfId="111" priority="13413" stopIfTrue="1">
      <formula>NOT(ISBLANK($M$61))</formula>
    </cfRule>
  </conditionalFormatting>
  <conditionalFormatting sqref="N61">
    <cfRule type="expression" dxfId="110" priority="13414" stopIfTrue="1">
      <formula>NOT(ISBLANK($N$61))</formula>
    </cfRule>
  </conditionalFormatting>
  <conditionalFormatting sqref="O61">
    <cfRule type="expression" dxfId="109" priority="13415" stopIfTrue="1">
      <formula>NOT(ISBLANK($O$61))</formula>
    </cfRule>
  </conditionalFormatting>
  <conditionalFormatting sqref="P61">
    <cfRule type="expression" dxfId="108" priority="13416" stopIfTrue="1">
      <formula>NOT(ISBLANK($P$61))</formula>
    </cfRule>
  </conditionalFormatting>
  <conditionalFormatting sqref="Q61">
    <cfRule type="expression" dxfId="107" priority="13417" stopIfTrue="1">
      <formula>NOT(ISBLANK($Q$61))</formula>
    </cfRule>
  </conditionalFormatting>
  <conditionalFormatting sqref="R61">
    <cfRule type="expression" dxfId="106" priority="13418" stopIfTrue="1">
      <formula>NOT(ISBLANK($R$61))</formula>
    </cfRule>
  </conditionalFormatting>
  <conditionalFormatting sqref="S61">
    <cfRule type="expression" dxfId="105" priority="13419" stopIfTrue="1">
      <formula>NOT(ISBLANK($S$61))</formula>
    </cfRule>
  </conditionalFormatting>
  <conditionalFormatting sqref="T61">
    <cfRule type="expression" dxfId="104" priority="13420" stopIfTrue="1">
      <formula>NOT(ISBLANK($T$61))</formula>
    </cfRule>
  </conditionalFormatting>
  <conditionalFormatting sqref="U61">
    <cfRule type="expression" dxfId="103" priority="13421" stopIfTrue="1">
      <formula>NOT(ISBLANK($U$61))</formula>
    </cfRule>
  </conditionalFormatting>
  <conditionalFormatting sqref="V61">
    <cfRule type="expression" dxfId="102" priority="13422" stopIfTrue="1">
      <formula>NOT(ISBLANK($V$61))</formula>
    </cfRule>
  </conditionalFormatting>
  <conditionalFormatting sqref="W61">
    <cfRule type="expression" dxfId="101" priority="13423" stopIfTrue="1">
      <formula>NOT(ISBLANK($W$61))</formula>
    </cfRule>
  </conditionalFormatting>
  <conditionalFormatting sqref="X61">
    <cfRule type="expression" dxfId="100" priority="13424" stopIfTrue="1">
      <formula>NOT(ISBLANK($X$61))</formula>
    </cfRule>
  </conditionalFormatting>
  <conditionalFormatting sqref="Y61">
    <cfRule type="expression" dxfId="99" priority="13425" stopIfTrue="1">
      <formula>NOT(ISBLANK($Y$61))</formula>
    </cfRule>
  </conditionalFormatting>
  <conditionalFormatting sqref="Z61">
    <cfRule type="expression" dxfId="98" priority="13426" stopIfTrue="1">
      <formula>NOT(ISBLANK($Z$61))</formula>
    </cfRule>
  </conditionalFormatting>
  <conditionalFormatting sqref="AA61">
    <cfRule type="expression" dxfId="97" priority="13427" stopIfTrue="1">
      <formula>NOT(ISBLANK($AA$61))</formula>
    </cfRule>
  </conditionalFormatting>
  <conditionalFormatting sqref="AB61">
    <cfRule type="expression" dxfId="96" priority="13428" stopIfTrue="1">
      <formula>NOT(ISBLANK($AB$61))</formula>
    </cfRule>
  </conditionalFormatting>
  <conditionalFormatting sqref="AC61">
    <cfRule type="expression" dxfId="95" priority="13429" stopIfTrue="1">
      <formula>NOT(ISBLANK($AC$61))</formula>
    </cfRule>
  </conditionalFormatting>
  <conditionalFormatting sqref="AD61">
    <cfRule type="expression" dxfId="94" priority="13430" stopIfTrue="1">
      <formula>NOT(ISBLANK($AD$61))</formula>
    </cfRule>
  </conditionalFormatting>
  <conditionalFormatting sqref="AE61">
    <cfRule type="expression" dxfId="93" priority="13431" stopIfTrue="1">
      <formula>NOT(ISBLANK($AE$61))</formula>
    </cfRule>
  </conditionalFormatting>
  <conditionalFormatting sqref="A62">
    <cfRule type="cellIs" dxfId="92" priority="13432" stopIfTrue="1" operator="notEqual">
      <formula>7</formula>
    </cfRule>
  </conditionalFormatting>
  <conditionalFormatting sqref="B62">
    <cfRule type="cellIs" dxfId="91" priority="13433" stopIfTrue="1" operator="notEqual">
      <formula>6</formula>
    </cfRule>
  </conditionalFormatting>
  <conditionalFormatting sqref="C62">
    <cfRule type="cellIs" dxfId="90" priority="13434" stopIfTrue="1" operator="notEqual">
      <formula>7.365</formula>
    </cfRule>
  </conditionalFormatting>
  <conditionalFormatting sqref="D62">
    <cfRule type="cellIs" dxfId="89" priority="13435" stopIfTrue="1" operator="notEqual">
      <formula>"MGD"</formula>
    </cfRule>
  </conditionalFormatting>
  <conditionalFormatting sqref="E62">
    <cfRule type="cellIs" dxfId="88" priority="13436" stopIfTrue="1" operator="notEqual">
      <formula>3.2</formula>
    </cfRule>
  </conditionalFormatting>
  <conditionalFormatting sqref="F62">
    <cfRule type="cellIs" dxfId="87" priority="13437" stopIfTrue="1" operator="notEqual">
      <formula>"MGD"</formula>
    </cfRule>
  </conditionalFormatting>
  <conditionalFormatting sqref="G62">
    <cfRule type="expression" dxfId="86" priority="13438" stopIfTrue="1">
      <formula>NOT(ISBLANK($G$62))</formula>
    </cfRule>
  </conditionalFormatting>
  <conditionalFormatting sqref="H62">
    <cfRule type="expression" dxfId="85" priority="13439" stopIfTrue="1">
      <formula>NOT(ISBLANK($H$62))</formula>
    </cfRule>
  </conditionalFormatting>
  <conditionalFormatting sqref="I62">
    <cfRule type="expression" dxfId="84" priority="13440" stopIfTrue="1">
      <formula>NOT(ISBLANK($I$62))</formula>
    </cfRule>
  </conditionalFormatting>
  <conditionalFormatting sqref="J62">
    <cfRule type="expression" dxfId="83" priority="13441" stopIfTrue="1">
      <formula>NOT(ISBLANK($J$62))</formula>
    </cfRule>
  </conditionalFormatting>
  <conditionalFormatting sqref="K62">
    <cfRule type="expression" dxfId="82" priority="13442" stopIfTrue="1">
      <formula>NOT(ISBLANK($K$62))</formula>
    </cfRule>
  </conditionalFormatting>
  <conditionalFormatting sqref="L62">
    <cfRule type="expression" dxfId="81" priority="13443" stopIfTrue="1">
      <formula>NOT(ISBLANK($L$62))</formula>
    </cfRule>
  </conditionalFormatting>
  <conditionalFormatting sqref="M62">
    <cfRule type="expression" dxfId="80" priority="13444" stopIfTrue="1">
      <formula>NOT(ISBLANK($M$62))</formula>
    </cfRule>
  </conditionalFormatting>
  <conditionalFormatting sqref="N62">
    <cfRule type="expression" dxfId="79" priority="13445" stopIfTrue="1">
      <formula>NOT(ISBLANK($N$62))</formula>
    </cfRule>
  </conditionalFormatting>
  <conditionalFormatting sqref="O62">
    <cfRule type="expression" dxfId="78" priority="13446" stopIfTrue="1">
      <formula>NOT(ISBLANK($O$62))</formula>
    </cfRule>
  </conditionalFormatting>
  <conditionalFormatting sqref="P62">
    <cfRule type="expression" dxfId="77" priority="13447" stopIfTrue="1">
      <formula>NOT(ISBLANK($P$62))</formula>
    </cfRule>
  </conditionalFormatting>
  <conditionalFormatting sqref="Q62">
    <cfRule type="expression" dxfId="76" priority="13448" stopIfTrue="1">
      <formula>NOT(ISBLANK($Q$62))</formula>
    </cfRule>
  </conditionalFormatting>
  <conditionalFormatting sqref="R62">
    <cfRule type="expression" dxfId="75" priority="13449" stopIfTrue="1">
      <formula>NOT(ISBLANK($R$62))</formula>
    </cfRule>
  </conditionalFormatting>
  <conditionalFormatting sqref="S62">
    <cfRule type="expression" dxfId="74" priority="13450" stopIfTrue="1">
      <formula>NOT(ISBLANK($S$62))</formula>
    </cfRule>
  </conditionalFormatting>
  <conditionalFormatting sqref="T62">
    <cfRule type="expression" dxfId="73" priority="13451" stopIfTrue="1">
      <formula>NOT(ISBLANK($T$62))</formula>
    </cfRule>
  </conditionalFormatting>
  <conditionalFormatting sqref="U62">
    <cfRule type="expression" dxfId="72" priority="13452" stopIfTrue="1">
      <formula>NOT(ISBLANK($U$62))</formula>
    </cfRule>
  </conditionalFormatting>
  <conditionalFormatting sqref="V62">
    <cfRule type="expression" dxfId="71" priority="13453" stopIfTrue="1">
      <formula>NOT(ISBLANK($V$62))</formula>
    </cfRule>
  </conditionalFormatting>
  <conditionalFormatting sqref="W62">
    <cfRule type="expression" dxfId="70" priority="13454" stopIfTrue="1">
      <formula>NOT(ISBLANK($W$62))</formula>
    </cfRule>
  </conditionalFormatting>
  <conditionalFormatting sqref="X62">
    <cfRule type="expression" dxfId="69" priority="13455" stopIfTrue="1">
      <formula>NOT(ISBLANK($X$62))</formula>
    </cfRule>
  </conditionalFormatting>
  <conditionalFormatting sqref="Y62">
    <cfRule type="expression" dxfId="68" priority="13456" stopIfTrue="1">
      <formula>NOT(ISBLANK($Y$62))</formula>
    </cfRule>
  </conditionalFormatting>
  <conditionalFormatting sqref="Z62">
    <cfRule type="expression" dxfId="67" priority="13457" stopIfTrue="1">
      <formula>NOT(ISBLANK($Z$62))</formula>
    </cfRule>
  </conditionalFormatting>
  <conditionalFormatting sqref="AA62">
    <cfRule type="expression" dxfId="66" priority="13458" stopIfTrue="1">
      <formula>NOT(ISBLANK($AA$62))</formula>
    </cfRule>
  </conditionalFormatting>
  <conditionalFormatting sqref="AB62">
    <cfRule type="expression" dxfId="65" priority="13459" stopIfTrue="1">
      <formula>NOT(ISBLANK($AB$62))</formula>
    </cfRule>
  </conditionalFormatting>
  <conditionalFormatting sqref="AC62">
    <cfRule type="expression" dxfId="64" priority="13460" stopIfTrue="1">
      <formula>NOT(ISBLANK($AC$62))</formula>
    </cfRule>
  </conditionalFormatting>
  <conditionalFormatting sqref="AD62">
    <cfRule type="expression" dxfId="63" priority="13461" stopIfTrue="1">
      <formula>NOT(ISBLANK($AD$62))</formula>
    </cfRule>
  </conditionalFormatting>
  <conditionalFormatting sqref="AE62">
    <cfRule type="expression" dxfId="62" priority="13462" stopIfTrue="1">
      <formula>NOT(ISBLANK($AE$62))</formula>
    </cfRule>
  </conditionalFormatting>
  <conditionalFormatting sqref="A63">
    <cfRule type="cellIs" dxfId="61" priority="13463" stopIfTrue="1" operator="notEqual">
      <formula>7</formula>
    </cfRule>
  </conditionalFormatting>
  <conditionalFormatting sqref="B63">
    <cfRule type="cellIs" dxfId="60" priority="13464" stopIfTrue="1" operator="notEqual">
      <formula>7</formula>
    </cfRule>
  </conditionalFormatting>
  <conditionalFormatting sqref="C63">
    <cfRule type="cellIs" dxfId="59" priority="13465" stopIfTrue="1" operator="notEqual">
      <formula>22.614</formula>
    </cfRule>
  </conditionalFormatting>
  <conditionalFormatting sqref="D63">
    <cfRule type="cellIs" dxfId="58" priority="13466" stopIfTrue="1" operator="notEqual">
      <formula>"MGD"</formula>
    </cfRule>
  </conditionalFormatting>
  <conditionalFormatting sqref="E63">
    <cfRule type="cellIs" dxfId="57" priority="13467" stopIfTrue="1" operator="notEqual">
      <formula>11.066</formula>
    </cfRule>
  </conditionalFormatting>
  <conditionalFormatting sqref="F63">
    <cfRule type="cellIs" dxfId="56" priority="13468" stopIfTrue="1" operator="notEqual">
      <formula>"MGD"</formula>
    </cfRule>
  </conditionalFormatting>
  <conditionalFormatting sqref="G63">
    <cfRule type="expression" dxfId="55" priority="13469" stopIfTrue="1">
      <formula>NOT(ISBLANK($G$63))</formula>
    </cfRule>
  </conditionalFormatting>
  <conditionalFormatting sqref="H63">
    <cfRule type="expression" dxfId="54" priority="13470" stopIfTrue="1">
      <formula>NOT(ISBLANK($H$63))</formula>
    </cfRule>
  </conditionalFormatting>
  <conditionalFormatting sqref="I63">
    <cfRule type="expression" dxfId="53" priority="13471" stopIfTrue="1">
      <formula>NOT(ISBLANK($I$63))</formula>
    </cfRule>
  </conditionalFormatting>
  <conditionalFormatting sqref="J63">
    <cfRule type="expression" dxfId="52" priority="13472" stopIfTrue="1">
      <formula>NOT(ISBLANK($J$63))</formula>
    </cfRule>
  </conditionalFormatting>
  <conditionalFormatting sqref="K63">
    <cfRule type="expression" dxfId="51" priority="13473" stopIfTrue="1">
      <formula>NOT(ISBLANK($K$63))</formula>
    </cfRule>
  </conditionalFormatting>
  <conditionalFormatting sqref="L63">
    <cfRule type="expression" dxfId="50" priority="13474" stopIfTrue="1">
      <formula>NOT(ISBLANK($L$63))</formula>
    </cfRule>
  </conditionalFormatting>
  <conditionalFormatting sqref="M63">
    <cfRule type="expression" dxfId="49" priority="13475" stopIfTrue="1">
      <formula>NOT(ISBLANK($M$63))</formula>
    </cfRule>
  </conditionalFormatting>
  <conditionalFormatting sqref="N63">
    <cfRule type="expression" dxfId="48" priority="13476" stopIfTrue="1">
      <formula>NOT(ISBLANK($N$63))</formula>
    </cfRule>
  </conditionalFormatting>
  <conditionalFormatting sqref="O63">
    <cfRule type="expression" dxfId="47" priority="13477" stopIfTrue="1">
      <formula>NOT(ISBLANK($O$63))</formula>
    </cfRule>
  </conditionalFormatting>
  <conditionalFormatting sqref="P63">
    <cfRule type="expression" dxfId="46" priority="13478" stopIfTrue="1">
      <formula>NOT(ISBLANK($P$63))</formula>
    </cfRule>
  </conditionalFormatting>
  <conditionalFormatting sqref="Q63">
    <cfRule type="expression" dxfId="45" priority="13479" stopIfTrue="1">
      <formula>NOT(ISBLANK($Q$63))</formula>
    </cfRule>
  </conditionalFormatting>
  <conditionalFormatting sqref="R63">
    <cfRule type="expression" dxfId="44" priority="13480" stopIfTrue="1">
      <formula>NOT(ISBLANK($R$63))</formula>
    </cfRule>
  </conditionalFormatting>
  <conditionalFormatting sqref="S63">
    <cfRule type="expression" dxfId="43" priority="13481" stopIfTrue="1">
      <formula>NOT(ISBLANK($S$63))</formula>
    </cfRule>
  </conditionalFormatting>
  <conditionalFormatting sqref="T63">
    <cfRule type="expression" dxfId="42" priority="13482" stopIfTrue="1">
      <formula>NOT(ISBLANK($T$63))</formula>
    </cfRule>
  </conditionalFormatting>
  <conditionalFormatting sqref="U63">
    <cfRule type="expression" dxfId="41" priority="13483" stopIfTrue="1">
      <formula>NOT(ISBLANK($U$63))</formula>
    </cfRule>
  </conditionalFormatting>
  <conditionalFormatting sqref="V63">
    <cfRule type="expression" dxfId="40" priority="13484" stopIfTrue="1">
      <formula>NOT(ISBLANK($V$63))</formula>
    </cfRule>
  </conditionalFormatting>
  <conditionalFormatting sqref="W63">
    <cfRule type="expression" dxfId="39" priority="13485" stopIfTrue="1">
      <formula>NOT(ISBLANK($W$63))</formula>
    </cfRule>
  </conditionalFormatting>
  <conditionalFormatting sqref="X63">
    <cfRule type="expression" dxfId="38" priority="13486" stopIfTrue="1">
      <formula>NOT(ISBLANK($X$63))</formula>
    </cfRule>
  </conditionalFormatting>
  <conditionalFormatting sqref="Y63">
    <cfRule type="expression" dxfId="37" priority="13487" stopIfTrue="1">
      <formula>NOT(ISBLANK($Y$63))</formula>
    </cfRule>
  </conditionalFormatting>
  <conditionalFormatting sqref="Z63">
    <cfRule type="expression" dxfId="36" priority="13488" stopIfTrue="1">
      <formula>NOT(ISBLANK($Z$63))</formula>
    </cfRule>
  </conditionalFormatting>
  <conditionalFormatting sqref="AA63">
    <cfRule type="expression" dxfId="35" priority="13489" stopIfTrue="1">
      <formula>NOT(ISBLANK($AA$63))</formula>
    </cfRule>
  </conditionalFormatting>
  <conditionalFormatting sqref="AB63">
    <cfRule type="expression" dxfId="34" priority="13490" stopIfTrue="1">
      <formula>NOT(ISBLANK($AB$63))</formula>
    </cfRule>
  </conditionalFormatting>
  <conditionalFormatting sqref="AC63">
    <cfRule type="expression" dxfId="33" priority="13491" stopIfTrue="1">
      <formula>NOT(ISBLANK($AC$63))</formula>
    </cfRule>
  </conditionalFormatting>
  <conditionalFormatting sqref="AD63">
    <cfRule type="expression" dxfId="32" priority="13492" stopIfTrue="1">
      <formula>NOT(ISBLANK($AD$63))</formula>
    </cfRule>
  </conditionalFormatting>
  <conditionalFormatting sqref="AE63">
    <cfRule type="expression" dxfId="31" priority="13493" stopIfTrue="1">
      <formula>NOT(ISBLANK($AE$63))</formula>
    </cfRule>
  </conditionalFormatting>
  <conditionalFormatting sqref="A64">
    <cfRule type="cellIs" dxfId="30" priority="13494" stopIfTrue="1" operator="notEqual">
      <formula>7</formula>
    </cfRule>
  </conditionalFormatting>
  <conditionalFormatting sqref="B64">
    <cfRule type="cellIs" dxfId="29" priority="13495" stopIfTrue="1" operator="notEqual">
      <formula>8</formula>
    </cfRule>
  </conditionalFormatting>
  <conditionalFormatting sqref="C64">
    <cfRule type="cellIs" dxfId="28" priority="13496" stopIfTrue="1" operator="notEqual">
      <formula>75.072</formula>
    </cfRule>
  </conditionalFormatting>
  <conditionalFormatting sqref="D64">
    <cfRule type="cellIs" dxfId="27" priority="13497" stopIfTrue="1" operator="notEqual">
      <formula>"MGD"</formula>
    </cfRule>
  </conditionalFormatting>
  <conditionalFormatting sqref="E64">
    <cfRule type="cellIs" dxfId="26" priority="13498" stopIfTrue="1" operator="notEqual">
      <formula>37.536</formula>
    </cfRule>
  </conditionalFormatting>
  <conditionalFormatting sqref="F64">
    <cfRule type="cellIs" dxfId="25" priority="13499" stopIfTrue="1" operator="notEqual">
      <formula>"MGD"</formula>
    </cfRule>
  </conditionalFormatting>
  <conditionalFormatting sqref="G64">
    <cfRule type="expression" dxfId="24" priority="13500" stopIfTrue="1">
      <formula>NOT(ISBLANK($G$64))</formula>
    </cfRule>
  </conditionalFormatting>
  <conditionalFormatting sqref="H64">
    <cfRule type="expression" dxfId="23" priority="13501" stopIfTrue="1">
      <formula>NOT(ISBLANK($H$64))</formula>
    </cfRule>
  </conditionalFormatting>
  <conditionalFormatting sqref="I64">
    <cfRule type="expression" dxfId="22" priority="13502" stopIfTrue="1">
      <formula>NOT(ISBLANK($I$64))</formula>
    </cfRule>
  </conditionalFormatting>
  <conditionalFormatting sqref="J64">
    <cfRule type="expression" dxfId="21" priority="13503" stopIfTrue="1">
      <formula>NOT(ISBLANK($J$64))</formula>
    </cfRule>
  </conditionalFormatting>
  <conditionalFormatting sqref="K64">
    <cfRule type="expression" dxfId="20" priority="13504" stopIfTrue="1">
      <formula>NOT(ISBLANK($K$64))</formula>
    </cfRule>
  </conditionalFormatting>
  <conditionalFormatting sqref="L64">
    <cfRule type="expression" dxfId="19" priority="13505" stopIfTrue="1">
      <formula>NOT(ISBLANK($L$64))</formula>
    </cfRule>
  </conditionalFormatting>
  <conditionalFormatting sqref="M64">
    <cfRule type="expression" dxfId="18" priority="13506" stopIfTrue="1">
      <formula>NOT(ISBLANK($M$64))</formula>
    </cfRule>
  </conditionalFormatting>
  <conditionalFormatting sqref="N64">
    <cfRule type="expression" dxfId="17" priority="13507" stopIfTrue="1">
      <formula>NOT(ISBLANK($N$64))</formula>
    </cfRule>
  </conditionalFormatting>
  <conditionalFormatting sqref="O64">
    <cfRule type="expression" dxfId="16" priority="13508" stopIfTrue="1">
      <formula>NOT(ISBLANK($O$64))</formula>
    </cfRule>
  </conditionalFormatting>
  <conditionalFormatting sqref="P64">
    <cfRule type="expression" dxfId="15" priority="13509" stopIfTrue="1">
      <formula>NOT(ISBLANK($P$64))</formula>
    </cfRule>
  </conditionalFormatting>
  <conditionalFormatting sqref="Q64">
    <cfRule type="expression" dxfId="14" priority="13510" stopIfTrue="1">
      <formula>NOT(ISBLANK($Q$64))</formula>
    </cfRule>
  </conditionalFormatting>
  <conditionalFormatting sqref="R64">
    <cfRule type="expression" dxfId="13" priority="13511" stopIfTrue="1">
      <formula>NOT(ISBLANK($R$64))</formula>
    </cfRule>
  </conditionalFormatting>
  <conditionalFormatting sqref="S64">
    <cfRule type="expression" dxfId="12" priority="13512" stopIfTrue="1">
      <formula>NOT(ISBLANK($S$64))</formula>
    </cfRule>
  </conditionalFormatting>
  <conditionalFormatting sqref="T64">
    <cfRule type="expression" dxfId="11" priority="13513" stopIfTrue="1">
      <formula>NOT(ISBLANK($T$64))</formula>
    </cfRule>
  </conditionalFormatting>
  <conditionalFormatting sqref="U64">
    <cfRule type="expression" dxfId="10" priority="13514" stopIfTrue="1">
      <formula>NOT(ISBLANK($U$64))</formula>
    </cfRule>
  </conditionalFormatting>
  <conditionalFormatting sqref="V64">
    <cfRule type="expression" dxfId="9" priority="13515" stopIfTrue="1">
      <formula>NOT(ISBLANK($V$64))</formula>
    </cfRule>
  </conditionalFormatting>
  <conditionalFormatting sqref="W64">
    <cfRule type="expression" dxfId="8" priority="13516" stopIfTrue="1">
      <formula>NOT(ISBLANK($W$64))</formula>
    </cfRule>
  </conditionalFormatting>
  <conditionalFormatting sqref="X64">
    <cfRule type="expression" dxfId="7" priority="13517" stopIfTrue="1">
      <formula>NOT(ISBLANK($X$64))</formula>
    </cfRule>
  </conditionalFormatting>
  <conditionalFormatting sqref="Y64">
    <cfRule type="expression" dxfId="6" priority="13518" stopIfTrue="1">
      <formula>NOT(ISBLANK($Y$64))</formula>
    </cfRule>
  </conditionalFormatting>
  <conditionalFormatting sqref="Z64">
    <cfRule type="expression" dxfId="5" priority="13519" stopIfTrue="1">
      <formula>NOT(ISBLANK($Z$64))</formula>
    </cfRule>
  </conditionalFormatting>
  <conditionalFormatting sqref="AA64">
    <cfRule type="expression" dxfId="4" priority="13520" stopIfTrue="1">
      <formula>NOT(ISBLANK($AA$64))</formula>
    </cfRule>
  </conditionalFormatting>
  <conditionalFormatting sqref="AB64">
    <cfRule type="expression" dxfId="3" priority="13521" stopIfTrue="1">
      <formula>NOT(ISBLANK($AB$64))</formula>
    </cfRule>
  </conditionalFormatting>
  <conditionalFormatting sqref="AC64">
    <cfRule type="expression" dxfId="2" priority="13522" stopIfTrue="1">
      <formula>NOT(ISBLANK($AC$64))</formula>
    </cfRule>
  </conditionalFormatting>
  <conditionalFormatting sqref="AD64">
    <cfRule type="expression" dxfId="1" priority="13523" stopIfTrue="1">
      <formula>NOT(ISBLANK($AD$64))</formula>
    </cfRule>
  </conditionalFormatting>
  <conditionalFormatting sqref="AE64">
    <cfRule type="expression" dxfId="0" priority="13524" stopIfTrue="1">
      <formula>NOT(ISBLANK($AE$64))</formula>
    </cfRule>
  </conditionalFormatting>
  <dataValidations count="20">
    <dataValidation type="list" allowBlank="1" showInputMessage="1" showErrorMessage="1" sqref="Z9:Z64" xr:uid="{00000000-0002-0000-0200-000000000000}">
      <formula1>"existing storage,new storage"</formula1>
    </dataValidation>
    <dataValidation type="list" allowBlank="1" showInputMessage="1" showErrorMessage="1" sqref="Y9:Y64" xr:uid="{00000000-0002-0000-0200-000001000000}">
      <formula1>"existing pumps,new pumps"</formula1>
    </dataValidation>
    <dataValidation type="list" allowBlank="1" showInputMessage="1" showErrorMessage="1" sqref="AA9:AA64" xr:uid="{00000000-0002-0000-0200-000002000000}">
      <formula1>"manual,semi-automated,fully automated"</formula1>
    </dataValidation>
    <dataValidation type="list" allowBlank="1" showInputMessage="1" showErrorMessage="1" sqref="X9:X64" xr:uid="{00000000-0002-0000-0200-000003000000}">
      <formula1>"yes,no"</formula1>
    </dataValidation>
    <dataValidation type="list" allowBlank="1" showInputMessage="1" showErrorMessage="1" sqref="AB9:AB64" xr:uid="{00000000-0002-0000-0200-000004000000}">
      <formula1>"low cost,mid cost,high cost"</formula1>
    </dataValidation>
    <dataValidation type="decimal" operator="greaterThan" allowBlank="1" showInputMessage="1" showErrorMessage="1" sqref="H9:H64 O9:P64 E9:E64 M9:M64 C9:C64 K9:K64" xr:uid="{00000000-0002-0000-0200-000005000000}">
      <formula1>0</formula1>
    </dataValidation>
    <dataValidation type="list" allowBlank="1" showInputMessage="1" showErrorMessage="1" error="Invalid selection" sqref="D9:D64" xr:uid="{00000000-0002-0000-0200-000006000000}">
      <formula1>"MGD,gpm"</formula1>
    </dataValidation>
    <dataValidation type="list" allowBlank="1" showInputMessage="1" showErrorMessage="1" error="Invalid selection" sqref="F9:F64" xr:uid="{00000000-0002-0000-0200-000007000000}">
      <formula1>"MGD,gpm,fraction of design flow"</formula1>
    </dataValidation>
    <dataValidation type="list" allowBlank="1" showInputMessage="1" showErrorMessage="1" sqref="G9:G64" xr:uid="{00000000-0002-0000-0200-000008000000}">
      <formula1>"throwaway"</formula1>
    </dataValidation>
    <dataValidation type="whole" operator="greaterThan" allowBlank="1" showInputMessage="1" showErrorMessage="1" sqref="J9:J64" xr:uid="{00000000-0002-0000-0200-000009000000}">
      <formula1>0</formula1>
    </dataValidation>
    <dataValidation type="list" allowBlank="1" showInputMessage="1" showErrorMessage="1" sqref="N9:N64" xr:uid="{00000000-0002-0000-0200-00000A000000}">
      <formula1>"upright,horizontal"</formula1>
    </dataValidation>
    <dataValidation type="list" allowBlank="1" showInputMessage="1" showErrorMessage="1" sqref="Q9:Q64" xr:uid="{00000000-0002-0000-0200-00000B000000}">
      <formula1>brine_method_valid</formula1>
    </dataValidation>
    <dataValidation type="list" allowBlank="1" showInputMessage="1" showErrorMessage="1" sqref="S9:S64" xr:uid="{00000000-0002-0000-0200-00000C000000}">
      <formula1>discharge_valid</formula1>
    </dataValidation>
    <dataValidation type="list" allowBlank="1" showInputMessage="1" showErrorMessage="1" sqref="R9:R64" xr:uid="{00000000-0002-0000-0200-00000D000000}">
      <formula1>holding_tank_valid</formula1>
    </dataValidation>
    <dataValidation type="list" allowBlank="1" showInputMessage="1" showErrorMessage="1" sqref="T9:T64" xr:uid="{00000000-0002-0000-0200-00000E000000}">
      <formula1>resin_haz_valid</formula1>
    </dataValidation>
    <dataValidation type="list" allowBlank="1" showInputMessage="1" showErrorMessage="1" sqref="U9:U64" xr:uid="{00000000-0002-0000-0200-00000F000000}">
      <formula1>holding_haz_valid</formula1>
    </dataValidation>
    <dataValidation type="whole" operator="greaterThanOrEqual" allowBlank="1" showInputMessage="1" showErrorMessage="1" sqref="V9:W64" xr:uid="{00000000-0002-0000-0200-000010000000}">
      <formula1>0</formula1>
    </dataValidation>
    <dataValidation type="list" allowBlank="1" showInputMessage="1" showErrorMessage="1" sqref="AC9:AE64" xr:uid="{00000000-0002-0000-0200-000011000000}">
      <formula1>yes_no_valid</formula1>
    </dataValidation>
    <dataValidation type="list" operator="greaterThan" allowBlank="1" showInputMessage="1" showErrorMessage="1" sqref="L9:L64" xr:uid="{00000000-0002-0000-0200-000012000000}">
      <formula1>yes_no_valid</formula1>
    </dataValidation>
    <dataValidation type="list" allowBlank="1" showInputMessage="1" showErrorMessage="1" error="Invalid selection" sqref="I9:I64" xr:uid="{00000000-0002-0000-0200-000013000000}">
      <formula1>"bed volumes,months"</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40" r:id="rId4" name="cmdFactoryDefaults">
              <controlPr defaultSize="0" print="0" autoFill="0" autoPict="0" macro="[0]!Sheet12.cmdFactoryDefaults_Click">
                <anchor moveWithCells="1" sizeWithCells="1">
                  <from>
                    <xdr:col>0</xdr:col>
                    <xdr:colOff>63500</xdr:colOff>
                    <xdr:row>2</xdr:row>
                    <xdr:rowOff>88900</xdr:rowOff>
                  </from>
                  <to>
                    <xdr:col>2</xdr:col>
                    <xdr:colOff>254000</xdr:colOff>
                    <xdr:row>4</xdr:row>
                    <xdr:rowOff>50800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G119"/>
  <sheetViews>
    <sheetView zoomScaleNormal="100" workbookViewId="0">
      <pane ySplit="3" topLeftCell="A4" activePane="bottomLeft" state="frozen"/>
      <selection pane="bottomLeft" sqref="A1:G1"/>
    </sheetView>
  </sheetViews>
  <sheetFormatPr baseColWidth="10" defaultColWidth="8.83203125" defaultRowHeight="13"/>
  <cols>
    <col min="1" max="1" width="26.5" customWidth="1"/>
    <col min="2" max="2" width="27.5" style="3" customWidth="1"/>
  </cols>
  <sheetData>
    <row r="1" spans="1:7" ht="44.25" customHeight="1">
      <c r="A1" s="1036" t="s">
        <v>1707</v>
      </c>
      <c r="B1" s="1037"/>
      <c r="C1" s="1037"/>
      <c r="D1" s="1037"/>
      <c r="E1" s="1037"/>
      <c r="F1" s="1037"/>
      <c r="G1" s="1037"/>
    </row>
    <row r="2" spans="1:7">
      <c r="A2" s="88" t="s">
        <v>690</v>
      </c>
      <c r="B2" s="89"/>
      <c r="C2" s="89"/>
      <c r="D2" s="89"/>
    </row>
    <row r="3" spans="1:7">
      <c r="A3" s="90" t="s">
        <v>691</v>
      </c>
      <c r="B3" s="91"/>
      <c r="C3" s="91"/>
      <c r="D3" s="91"/>
    </row>
    <row r="5" spans="1:7">
      <c r="A5" s="92" t="s">
        <v>692</v>
      </c>
    </row>
    <row r="6" spans="1:7">
      <c r="A6" t="s">
        <v>963</v>
      </c>
      <c r="B6" s="3" t="s">
        <v>964</v>
      </c>
      <c r="C6">
        <f>design_flow_rate*EBCT_tank/7.48</f>
        <v>299.68805704099816</v>
      </c>
      <c r="D6" t="s">
        <v>2830</v>
      </c>
      <c r="E6" s="93" t="s">
        <v>2622</v>
      </c>
    </row>
    <row r="7" spans="1:7">
      <c r="A7" t="s">
        <v>428</v>
      </c>
      <c r="B7" s="3" t="s">
        <v>429</v>
      </c>
      <c r="C7" s="90">
        <v>0</v>
      </c>
      <c r="E7" s="93" t="s">
        <v>1652</v>
      </c>
    </row>
    <row r="8" spans="1:7">
      <c r="A8" t="s">
        <v>965</v>
      </c>
      <c r="B8" s="3" t="s">
        <v>966</v>
      </c>
      <c r="C8">
        <f>design_flow_rate/load_max</f>
        <v>124.53703703703702</v>
      </c>
      <c r="D8" t="s">
        <v>714</v>
      </c>
      <c r="E8" s="93" t="s">
        <v>2623</v>
      </c>
    </row>
    <row r="9" spans="1:7">
      <c r="A9" t="s">
        <v>2619</v>
      </c>
      <c r="B9" s="3" t="s">
        <v>2620</v>
      </c>
      <c r="C9">
        <f>design_flow_rate/load_min</f>
        <v>1494.4444444444443</v>
      </c>
      <c r="D9" t="s">
        <v>714</v>
      </c>
      <c r="E9" s="93" t="s">
        <v>2624</v>
      </c>
    </row>
    <row r="10" spans="1:7">
      <c r="A10" t="s">
        <v>2621</v>
      </c>
      <c r="B10" s="3" t="s">
        <v>2829</v>
      </c>
      <c r="C10">
        <f>design_flow_rate*EBCT/7.481</f>
        <v>599.29599429666257</v>
      </c>
      <c r="D10" t="s">
        <v>2830</v>
      </c>
      <c r="E10" s="93" t="s">
        <v>2625</v>
      </c>
    </row>
    <row r="11" spans="1:7">
      <c r="E11" s="93"/>
    </row>
    <row r="12" spans="1:7">
      <c r="A12" s="2" t="s">
        <v>2626</v>
      </c>
    </row>
    <row r="13" spans="1:7">
      <c r="A13" t="s">
        <v>2627</v>
      </c>
      <c r="B13" s="3" t="s">
        <v>2629</v>
      </c>
      <c r="C13">
        <f>(comp_max_vert_diam/2-Vessel_thickness)*(comp_max_vert_diam/2-Vessel_thickness)*PI()*comp_max_vert_bed_depth</f>
        <v>923.62824015539911</v>
      </c>
      <c r="D13" t="s">
        <v>2830</v>
      </c>
      <c r="E13" s="93" t="s">
        <v>2642</v>
      </c>
    </row>
    <row r="14" spans="1:7">
      <c r="A14" t="s">
        <v>2630</v>
      </c>
      <c r="B14" s="3" t="s">
        <v>2631</v>
      </c>
      <c r="C14">
        <f>(max_diam/2-Vessel_thickness)*(max_diam/2-Vessel_thickness)*PI()</f>
        <v>153.93804002589985</v>
      </c>
      <c r="D14" t="s">
        <v>714</v>
      </c>
      <c r="E14" s="93" t="s">
        <v>2643</v>
      </c>
    </row>
    <row r="15" spans="1:7">
      <c r="A15" t="s">
        <v>2632</v>
      </c>
      <c r="B15" s="3" t="s">
        <v>2633</v>
      </c>
      <c r="C15">
        <f>IF(design_flow&lt;=1,target_bed_depth_under,target_bed_depth_over)</f>
        <v>4.5999999999999996</v>
      </c>
      <c r="D15" t="s">
        <v>2843</v>
      </c>
      <c r="E15" s="93"/>
    </row>
    <row r="16" spans="1:7">
      <c r="A16" t="s">
        <v>2634</v>
      </c>
      <c r="B16" s="3" t="s">
        <v>2635</v>
      </c>
      <c r="C16">
        <f>comp_vol_required_stg1/comp_target_bed_depth_vert</f>
        <v>65.149577617608301</v>
      </c>
      <c r="D16" t="s">
        <v>714</v>
      </c>
      <c r="E16" s="93" t="s">
        <v>2644</v>
      </c>
    </row>
    <row r="17" spans="1:5">
      <c r="A17" t="s">
        <v>2636</v>
      </c>
      <c r="E17" s="93" t="s">
        <v>2645</v>
      </c>
    </row>
    <row r="18" spans="1:5">
      <c r="A18" s="108" t="s">
        <v>2637</v>
      </c>
      <c r="C18">
        <f>comp_sa_min/comp_vert_max_sa</f>
        <v>0.80900755275358738</v>
      </c>
      <c r="E18" s="93"/>
    </row>
    <row r="19" spans="1:5">
      <c r="A19" s="108" t="s">
        <v>2638</v>
      </c>
      <c r="C19">
        <f>comp_sa_required_vert/comp_vert_max_sa</f>
        <v>0.42321948237516199</v>
      </c>
      <c r="E19" s="93"/>
    </row>
    <row r="20" spans="1:5">
      <c r="A20" s="108" t="s">
        <v>2639</v>
      </c>
      <c r="C20">
        <f>comp_vol_required_stg1/comp_vert_max_media</f>
        <v>0.3244682698209575</v>
      </c>
      <c r="E20" s="93"/>
    </row>
    <row r="21" spans="1:5">
      <c r="A21" t="s">
        <v>2640</v>
      </c>
      <c r="B21" s="3" t="s">
        <v>2641</v>
      </c>
      <c r="C21">
        <f>MAX(C18:C20)</f>
        <v>0.80900755275358738</v>
      </c>
      <c r="E21" s="93" t="s">
        <v>2646</v>
      </c>
    </row>
    <row r="23" spans="1:5">
      <c r="A23" s="2" t="s">
        <v>2325</v>
      </c>
    </row>
    <row r="24" spans="1:5">
      <c r="A24" t="s">
        <v>2326</v>
      </c>
      <c r="B24" s="3" t="s">
        <v>712</v>
      </c>
      <c r="C24">
        <f>MAX(comp_pv_max_sizes)</f>
        <v>27101</v>
      </c>
      <c r="D24" t="s">
        <v>1131</v>
      </c>
      <c r="E24" s="93" t="s">
        <v>713</v>
      </c>
    </row>
    <row r="25" spans="1:5">
      <c r="A25" t="s">
        <v>2327</v>
      </c>
      <c r="C25">
        <f>comp_max_horiz_diam</f>
        <v>14</v>
      </c>
      <c r="D25" t="s">
        <v>2843</v>
      </c>
      <c r="E25" s="93"/>
    </row>
    <row r="26" spans="1:5">
      <c r="A26" t="s">
        <v>2328</v>
      </c>
      <c r="B26" s="3" t="s">
        <v>2329</v>
      </c>
      <c r="C26">
        <f>ROUND(comp_max_vol/7.48/(PI()*comp_max_horiz_diam*comp_max_horiz_diam/4),0)</f>
        <v>24</v>
      </c>
      <c r="D26" t="s">
        <v>2843</v>
      </c>
      <c r="E26" s="93" t="s">
        <v>2341</v>
      </c>
    </row>
    <row r="27" spans="1:5">
      <c r="A27" t="s">
        <v>2330</v>
      </c>
      <c r="B27" s="3" t="s">
        <v>2331</v>
      </c>
      <c r="C27">
        <f>IF(comp_round_sa=1,ROUNDUP((comp_max_horiz_diam-2*Vessel_thickness)*comp_max_vol_length,0),(comp_max_horiz_diam-2*Vessel_thickness)*comp_max_vol_length)</f>
        <v>336</v>
      </c>
      <c r="D27" t="s">
        <v>714</v>
      </c>
      <c r="E27" s="93" t="s">
        <v>2342</v>
      </c>
    </row>
    <row r="28" spans="1:5">
      <c r="A28" t="s">
        <v>2632</v>
      </c>
      <c r="B28" s="3" t="s">
        <v>2332</v>
      </c>
      <c r="C28">
        <f>target_bed_depth_horiz</f>
        <v>4.3</v>
      </c>
      <c r="D28" t="s">
        <v>2843</v>
      </c>
      <c r="E28" s="93"/>
    </row>
    <row r="29" spans="1:5">
      <c r="A29" t="s">
        <v>2634</v>
      </c>
      <c r="B29" s="3" t="s">
        <v>2333</v>
      </c>
      <c r="C29">
        <f>comp_vol_required_stg1/comp_target_bed_depth_horiz</f>
        <v>69.69489698627865</v>
      </c>
      <c r="D29" t="s">
        <v>714</v>
      </c>
      <c r="E29" s="93" t="s">
        <v>2644</v>
      </c>
    </row>
    <row r="30" spans="1:5">
      <c r="A30" t="s">
        <v>2334</v>
      </c>
      <c r="E30" s="93"/>
    </row>
    <row r="31" spans="1:5">
      <c r="A31" s="108" t="s">
        <v>1593</v>
      </c>
      <c r="C31">
        <f>comp_max_vol_length*(comp_max_horiz_diam*comp_max_horiz_diam/2*ASIN(SQRT(free_board/comp_max_horiz_diam))-(comp_max_horiz_diam/2-free_board)*SQRT((comp_max_horiz_diam-free_board)*free_board))</f>
        <v>41.875530099772533</v>
      </c>
      <c r="D31" t="s">
        <v>2830</v>
      </c>
      <c r="E31" s="93" t="s">
        <v>2343</v>
      </c>
    </row>
    <row r="32" spans="1:5">
      <c r="A32" s="108" t="s">
        <v>1595</v>
      </c>
      <c r="C32">
        <f>comp_max_vol_length*(comp_max_horiz_diam*comp_max_horiz_diam/2*ASIN(SQRT(horiz_underdrain/comp_max_horiz_diam))-(comp_max_horiz_diam/2-horiz_underdrain)*SQRT((comp_max_horiz_diam-horiz_underdrain)*horiz_underdrain))</f>
        <v>212.75213463857958</v>
      </c>
      <c r="D32" t="s">
        <v>2830</v>
      </c>
      <c r="E32" s="93"/>
    </row>
    <row r="33" spans="1:5">
      <c r="A33" s="109" t="s">
        <v>1597</v>
      </c>
      <c r="B33" s="3" t="s">
        <v>2335</v>
      </c>
      <c r="C33">
        <f>SUM(C31:C32)</f>
        <v>254.62766473835211</v>
      </c>
      <c r="D33" t="s">
        <v>2830</v>
      </c>
      <c r="E33" s="93" t="s">
        <v>2344</v>
      </c>
    </row>
    <row r="34" spans="1:5">
      <c r="A34" s="16" t="s">
        <v>2336</v>
      </c>
      <c r="B34" s="3" t="s">
        <v>2337</v>
      </c>
      <c r="C34">
        <f>(comp_max_vol/7.481-comp_horiz_void_required)/(1+bed_expansion)</f>
        <v>2245.3442445388218</v>
      </c>
      <c r="D34" t="s">
        <v>2830</v>
      </c>
      <c r="E34" s="93" t="s">
        <v>2345</v>
      </c>
    </row>
    <row r="35" spans="1:5">
      <c r="A35" t="s">
        <v>2338</v>
      </c>
      <c r="E35" s="93"/>
    </row>
    <row r="36" spans="1:5">
      <c r="A36" s="108" t="s">
        <v>2637</v>
      </c>
      <c r="C36">
        <f>comp_sa_min/comp_max_horiz_sa</f>
        <v>0.37064594356261021</v>
      </c>
      <c r="E36" s="93"/>
    </row>
    <row r="37" spans="1:5">
      <c r="A37" s="108" t="s">
        <v>2638</v>
      </c>
      <c r="C37">
        <f>comp_sa_required_horiz/comp_max_horiz_sa</f>
        <v>0.20742528864963883</v>
      </c>
      <c r="E37" s="93"/>
    </row>
    <row r="38" spans="1:5">
      <c r="A38" s="108" t="s">
        <v>2639</v>
      </c>
      <c r="C38">
        <f>comp_vol_required_stg1/comp_horiz_max_media</f>
        <v>0.13347087323910636</v>
      </c>
      <c r="E38" s="93"/>
    </row>
    <row r="39" spans="1:5">
      <c r="A39" t="s">
        <v>2339</v>
      </c>
      <c r="B39" s="3" t="s">
        <v>2340</v>
      </c>
      <c r="C39">
        <f>MAX(C36:C38)</f>
        <v>0.37064594356261021</v>
      </c>
      <c r="E39" s="93" t="s">
        <v>2646</v>
      </c>
    </row>
    <row r="42" spans="1:5">
      <c r="A42" t="s">
        <v>2346</v>
      </c>
      <c r="B42" s="3" t="s">
        <v>2347</v>
      </c>
      <c r="C42" s="90">
        <v>3</v>
      </c>
      <c r="E42" s="93" t="s">
        <v>395</v>
      </c>
    </row>
    <row r="43" spans="1:5">
      <c r="A43" t="s">
        <v>2348</v>
      </c>
      <c r="B43" s="3" t="s">
        <v>2349</v>
      </c>
      <c r="C43">
        <v>1</v>
      </c>
      <c r="E43" s="93" t="s">
        <v>396</v>
      </c>
    </row>
    <row r="44" spans="1:5">
      <c r="E44" s="93"/>
    </row>
    <row r="45" spans="1:5">
      <c r="A45" s="92" t="s">
        <v>694</v>
      </c>
      <c r="D45" s="5"/>
      <c r="E45" s="5"/>
    </row>
    <row r="46" spans="1:5">
      <c r="A46" s="1" t="s">
        <v>695</v>
      </c>
    </row>
    <row r="47" spans="1:5">
      <c r="A47" t="s">
        <v>696</v>
      </c>
      <c r="B47" s="3" t="s">
        <v>697</v>
      </c>
      <c r="C47" s="88" t="str">
        <f>IF(comp_in_nlines&gt;=comp_vert_min_number,"upright","horizontal")</f>
        <v>upright</v>
      </c>
      <c r="E47" s="93" t="s">
        <v>397</v>
      </c>
    </row>
    <row r="49" spans="1:6">
      <c r="A49" s="1" t="s">
        <v>701</v>
      </c>
      <c r="B49" s="11"/>
    </row>
    <row r="50" spans="1:6">
      <c r="A50" t="s">
        <v>705</v>
      </c>
      <c r="B50" s="3" t="s">
        <v>706</v>
      </c>
      <c r="C50">
        <f>2*(SQRT(comp_sa_required_vert/comp_in_nlines/PI())+Vessel_thickness)</f>
        <v>9.1077449758725528</v>
      </c>
      <c r="D50" t="s">
        <v>2843</v>
      </c>
      <c r="E50" s="113">
        <f>IF(C50&lt;comp_min_vert_diam,comp_min_vert_diam,IF(C50&gt;comp_max_vert_diam,comp_max_vert_diam,ROUNDUP(2*C50,0)/2))</f>
        <v>13</v>
      </c>
      <c r="F50" t="s">
        <v>707</v>
      </c>
    </row>
    <row r="51" spans="1:6">
      <c r="A51" t="s">
        <v>2350</v>
      </c>
      <c r="C51">
        <f>(comp_vert_diam-2*Vessel_thickness)*(comp_vert_diam-2*Vessel_thickness)*PI()/4</f>
        <v>132.73228961416876</v>
      </c>
      <c r="D51" t="s">
        <v>714</v>
      </c>
    </row>
    <row r="52" spans="1:6">
      <c r="A52" t="s">
        <v>2231</v>
      </c>
      <c r="C52">
        <f>comp_in_nlines*C51</f>
        <v>132.73228961416876</v>
      </c>
      <c r="D52" t="s">
        <v>714</v>
      </c>
    </row>
    <row r="53" spans="1:6">
      <c r="A53" t="s">
        <v>699</v>
      </c>
      <c r="B53" s="3" t="s">
        <v>2828</v>
      </c>
      <c r="C53">
        <f>comp_vol_required/Num_tanks/IF(comp_round_sa=1,ROUND(C51,0)*comp_in_nlines,C52)</f>
        <v>2.2575365649109149</v>
      </c>
      <c r="D53" t="s">
        <v>2843</v>
      </c>
      <c r="E53">
        <f>IF(comp_min_vert_bed_depth&lt;=comp_max_vert_bed_depth,IF(C53&lt;comp_min_vert_bed_depth, comp_min_vert_bed_depth, IF(C53&gt;comp_max_vert_bed_depth, comp_max_vert_bed_depth, ROUNDUP(C53,1))),-1)</f>
        <v>2.4</v>
      </c>
      <c r="F53" t="s">
        <v>700</v>
      </c>
    </row>
    <row r="54" spans="1:6">
      <c r="A54" t="s">
        <v>702</v>
      </c>
      <c r="B54" s="3" t="s">
        <v>703</v>
      </c>
      <c r="C54">
        <f>(1+bed_expansion)*comp_vert_bed_depth+free_board</f>
        <v>4.0999999999999996</v>
      </c>
      <c r="D54" t="s">
        <v>2843</v>
      </c>
      <c r="E54" s="113">
        <f>IF(comp_min_vert_height&gt;comp_max_vert_height,-1,IF(C54&gt;comp_max_vert_height,comp_max_vert_height,IF(C54&lt;comp_min_vert_height,comp_min_vert_height,ROUNDUP(2*C54,0)/2)))</f>
        <v>6</v>
      </c>
      <c r="F54" t="s">
        <v>704</v>
      </c>
    </row>
    <row r="56" spans="1:6">
      <c r="A56" s="1" t="s">
        <v>2351</v>
      </c>
      <c r="B56" s="11"/>
    </row>
    <row r="57" spans="1:6">
      <c r="A57" s="5" t="s">
        <v>2352</v>
      </c>
      <c r="B57" s="3" t="s">
        <v>2353</v>
      </c>
      <c r="C57">
        <f>comp_horiz_void_required/comp_max_vol_length</f>
        <v>10.609486030764671</v>
      </c>
      <c r="D57" s="5" t="s">
        <v>714</v>
      </c>
      <c r="F57" s="5"/>
    </row>
    <row r="58" spans="1:6">
      <c r="A58" s="5" t="s">
        <v>2354</v>
      </c>
      <c r="B58" s="3" t="s">
        <v>2355</v>
      </c>
      <c r="C58">
        <f>comp_target_bed_depth_horiz*(1+bed_expansion)</f>
        <v>6.4499999999999993</v>
      </c>
      <c r="D58" s="5" t="s">
        <v>2843</v>
      </c>
      <c r="F58" s="5"/>
    </row>
    <row r="59" spans="1:6">
      <c r="A59" s="5" t="s">
        <v>705</v>
      </c>
      <c r="B59" s="3" t="s">
        <v>2356</v>
      </c>
      <c r="C59">
        <f>(comp_horiz_expanded_bd+SQRT(comp_horiz_expanded_bd*comp_horiz_expanded_bd+PI()*comp_horiz_void_area))/(PI()/2)</f>
        <v>9.6170300762786987</v>
      </c>
      <c r="D59" s="5" t="s">
        <v>2843</v>
      </c>
      <c r="E59" s="113">
        <f>IF(comp_min_horiz_diam&lt;=comp_max_horiz_diam,IF(C59&lt;comp_min_horiz_diam,comp_min_horiz_diam,IF(C59&gt;comp_max_horiz_diam,comp_max_horiz_diam,ROUNDUP(2*C59,0)/2)),-1)</f>
        <v>10</v>
      </c>
      <c r="F59" t="s">
        <v>707</v>
      </c>
    </row>
    <row r="60" spans="1:6">
      <c r="A60" t="s">
        <v>708</v>
      </c>
      <c r="B60" s="3" t="s">
        <v>2357</v>
      </c>
      <c r="C60">
        <f>comp_sa_required_horiz/(comp_horiz_diam-2*Vessel_thickness)/comp_in_nlines</f>
        <v>6.9694896986278652</v>
      </c>
      <c r="D60" t="s">
        <v>2843</v>
      </c>
      <c r="E60" s="113">
        <f>IF(comp_min_horiz_length&lt;=comp_max_horiz_length,IF(C60&lt;comp_min_horiz_length,comp_min_horiz_length,IF(C60&gt;comp_max_horiz_length,comp_max_horiz_length,ROUNDUP(C60,0))),-1)</f>
        <v>20</v>
      </c>
      <c r="F60" t="s">
        <v>709</v>
      </c>
    </row>
    <row r="61" spans="1:6">
      <c r="A61" t="s">
        <v>2231</v>
      </c>
      <c r="C61">
        <f>comp_in_nlines*(comp_horiz_diam-2*Vessel_thickness)*comp_horiz_length</f>
        <v>200</v>
      </c>
      <c r="D61" t="s">
        <v>714</v>
      </c>
    </row>
    <row r="62" spans="1:6">
      <c r="A62" t="s">
        <v>699</v>
      </c>
      <c r="B62" s="3" t="s">
        <v>2358</v>
      </c>
      <c r="C62">
        <f>comp_vol_required/Num_tanks/IF(comp_round_sa=1,ROUND(C61,0),C61)</f>
        <v>1.4982399857416564</v>
      </c>
      <c r="D62" t="s">
        <v>2843</v>
      </c>
      <c r="E62">
        <f>IF(comp_min_horiz_bed_depth&lt;=comp_max_horiz_bed_depth,IF(C62&lt;comp_min_horiz_bed_depth, comp_min_horiz_bed_depth, IF(C62&gt;comp_max_horiz_bed_depth, comp_max_horiz_bed_depth, ROUNDUP(C62,1))),-1)</f>
        <v>2.4</v>
      </c>
      <c r="F62" t="s">
        <v>700</v>
      </c>
    </row>
    <row r="64" spans="1:6">
      <c r="A64" s="1" t="s">
        <v>695</v>
      </c>
      <c r="B64"/>
    </row>
    <row r="65" spans="1:5">
      <c r="A65" t="s">
        <v>2226</v>
      </c>
      <c r="B65" s="3" t="s">
        <v>2227</v>
      </c>
      <c r="C65" s="113">
        <f>IF(comp_tank_geom="upright",comp_vert_bed_depth,IF(comp_tank_geom="horizontal",comp_horiz_bed_depth,-1))</f>
        <v>2.4</v>
      </c>
      <c r="D65" t="s">
        <v>2843</v>
      </c>
    </row>
    <row r="67" spans="1:5">
      <c r="A67" s="92" t="s">
        <v>710</v>
      </c>
      <c r="B67" s="11"/>
    </row>
    <row r="68" spans="1:5">
      <c r="A68" s="1" t="s">
        <v>70</v>
      </c>
    </row>
    <row r="69" spans="1:5">
      <c r="A69" t="s">
        <v>693</v>
      </c>
      <c r="B69" s="3" t="s">
        <v>2359</v>
      </c>
      <c r="C69">
        <f>comp_sa_min/comp_in_nlines</f>
        <v>124.53703703703702</v>
      </c>
      <c r="D69" t="s">
        <v>714</v>
      </c>
      <c r="E69" s="93" t="s">
        <v>398</v>
      </c>
    </row>
    <row r="70" spans="1:5">
      <c r="A70" t="s">
        <v>711</v>
      </c>
      <c r="B70" s="3" t="s">
        <v>2318</v>
      </c>
      <c r="C70">
        <f>comp_sa_max/comp_in_nlines</f>
        <v>1494.4444444444443</v>
      </c>
      <c r="D70" t="s">
        <v>714</v>
      </c>
      <c r="E70" s="93" t="s">
        <v>399</v>
      </c>
    </row>
    <row r="72" spans="1:5">
      <c r="A72" s="1" t="s">
        <v>715</v>
      </c>
      <c r="E72" s="93"/>
    </row>
    <row r="73" spans="1:5">
      <c r="A73" s="5" t="s">
        <v>693</v>
      </c>
      <c r="B73" s="3" t="s">
        <v>2228</v>
      </c>
      <c r="C73">
        <f>VLOOKUP(comp_vert_diam,vessel_size_table_cl,2)</f>
        <v>6</v>
      </c>
      <c r="D73" t="s">
        <v>2843</v>
      </c>
      <c r="E73" s="93" t="s">
        <v>400</v>
      </c>
    </row>
    <row r="74" spans="1:5">
      <c r="A74" s="94" t="s">
        <v>711</v>
      </c>
      <c r="C74">
        <f>VLOOKUP(comp_vert_diam,vessel_size_table_cl,3)</f>
        <v>24</v>
      </c>
      <c r="D74" t="s">
        <v>2843</v>
      </c>
      <c r="E74" s="93" t="s">
        <v>400</v>
      </c>
    </row>
    <row r="75" spans="1:5">
      <c r="A75" s="94" t="s">
        <v>711</v>
      </c>
      <c r="C75">
        <f>max_height</f>
        <v>14</v>
      </c>
      <c r="D75" t="s">
        <v>2843</v>
      </c>
      <c r="E75" s="93" t="s">
        <v>1565</v>
      </c>
    </row>
    <row r="76" spans="1:5">
      <c r="A76" t="s">
        <v>711</v>
      </c>
      <c r="B76" s="3" t="s">
        <v>716</v>
      </c>
      <c r="C76">
        <f>MIN(C74:C75)</f>
        <v>14</v>
      </c>
      <c r="D76" t="s">
        <v>2843</v>
      </c>
      <c r="E76" s="93" t="s">
        <v>72</v>
      </c>
    </row>
    <row r="77" spans="1:5">
      <c r="E77" s="93"/>
    </row>
    <row r="78" spans="1:5">
      <c r="A78" s="1" t="s">
        <v>1566</v>
      </c>
      <c r="E78" s="93"/>
    </row>
    <row r="79" spans="1:5">
      <c r="A79" s="94" t="s">
        <v>693</v>
      </c>
      <c r="C79">
        <f>2*(SQRT(comp_vol_required/Num_tanks/PI()/comp_max_vert_bed_depth/comp_in_nlines)+Vessel_thickness)</f>
        <v>7.9741632734511683</v>
      </c>
      <c r="D79" t="s">
        <v>2843</v>
      </c>
      <c r="E79" s="93" t="s">
        <v>2230</v>
      </c>
    </row>
    <row r="80" spans="1:5">
      <c r="A80" s="94" t="s">
        <v>693</v>
      </c>
      <c r="C80">
        <f>2*(SQRT(comp_min_sa_vessel/PI())+Vessel_thickness)</f>
        <v>12.592278599987498</v>
      </c>
      <c r="D80" t="s">
        <v>2843</v>
      </c>
      <c r="E80" s="93" t="s">
        <v>96</v>
      </c>
    </row>
    <row r="81" spans="1:5">
      <c r="A81" s="94" t="s">
        <v>693</v>
      </c>
      <c r="C81">
        <f>min_diam</f>
        <v>1.5</v>
      </c>
      <c r="D81" t="s">
        <v>2843</v>
      </c>
      <c r="E81" s="93" t="s">
        <v>400</v>
      </c>
    </row>
    <row r="82" spans="1:5">
      <c r="A82" t="s">
        <v>693</v>
      </c>
      <c r="B82" s="3" t="s">
        <v>1567</v>
      </c>
      <c r="C82">
        <f>ROUNDUP(2*MAX(C79:C81),0)/2</f>
        <v>13</v>
      </c>
      <c r="D82" t="s">
        <v>2843</v>
      </c>
      <c r="E82" s="93" t="s">
        <v>1653</v>
      </c>
    </row>
    <row r="83" spans="1:5">
      <c r="A83" s="94" t="s">
        <v>711</v>
      </c>
      <c r="C83">
        <f>max_diam</f>
        <v>14</v>
      </c>
      <c r="D83" t="s">
        <v>2843</v>
      </c>
      <c r="E83" s="93" t="s">
        <v>1568</v>
      </c>
    </row>
    <row r="84" spans="1:5">
      <c r="A84" s="94" t="s">
        <v>711</v>
      </c>
      <c r="C84">
        <f>2*(SQRT(comp_max_sa_vessel/PI())+Vessel_thickness)</f>
        <v>43.620932636481278</v>
      </c>
      <c r="D84" t="s">
        <v>2843</v>
      </c>
      <c r="E84" s="93" t="s">
        <v>73</v>
      </c>
    </row>
    <row r="85" spans="1:5">
      <c r="A85" s="94" t="s">
        <v>711</v>
      </c>
      <c r="C85">
        <f>max_diam</f>
        <v>14</v>
      </c>
      <c r="D85" t="s">
        <v>2843</v>
      </c>
      <c r="E85" s="93" t="s">
        <v>400</v>
      </c>
    </row>
    <row r="86" spans="1:5">
      <c r="A86" t="s">
        <v>711</v>
      </c>
      <c r="B86" s="3" t="s">
        <v>1569</v>
      </c>
      <c r="C86">
        <f>MAX(0.5,ROUNDDOWN(2*MIN(C83:C85),0)/2)</f>
        <v>14</v>
      </c>
      <c r="D86" t="s">
        <v>2843</v>
      </c>
      <c r="E86" s="93" t="s">
        <v>74</v>
      </c>
    </row>
    <row r="87" spans="1:5">
      <c r="E87" s="93"/>
    </row>
    <row r="88" spans="1:5">
      <c r="A88" s="1" t="s">
        <v>2232</v>
      </c>
      <c r="B88" s="11"/>
    </row>
    <row r="89" spans="1:5">
      <c r="A89" s="94" t="s">
        <v>693</v>
      </c>
      <c r="B89" s="11"/>
      <c r="C89">
        <f>IF(comp_round_sa=1,comp_vol_required/Num_tanks/C52,0)</f>
        <v>0</v>
      </c>
      <c r="D89" t="s">
        <v>2843</v>
      </c>
      <c r="E89" s="93" t="s">
        <v>1052</v>
      </c>
    </row>
    <row r="90" spans="1:5">
      <c r="A90" s="94" t="s">
        <v>693</v>
      </c>
      <c r="B90" s="11"/>
      <c r="C90">
        <f>min_bed_depth</f>
        <v>2.4</v>
      </c>
      <c r="D90" t="s">
        <v>2843</v>
      </c>
      <c r="E90" s="93" t="s">
        <v>698</v>
      </c>
    </row>
    <row r="91" spans="1:5">
      <c r="A91" t="s">
        <v>693</v>
      </c>
      <c r="B91" s="3" t="s">
        <v>2233</v>
      </c>
      <c r="C91">
        <f>ROUNDUP(MAX(C89:C90),1)</f>
        <v>2.4</v>
      </c>
      <c r="D91" t="s">
        <v>2843</v>
      </c>
      <c r="E91" s="93" t="s">
        <v>1653</v>
      </c>
    </row>
    <row r="92" spans="1:5">
      <c r="A92" s="94" t="s">
        <v>711</v>
      </c>
      <c r="C92">
        <f>(max_height-free_board)/(1+bed_expansion)</f>
        <v>9</v>
      </c>
      <c r="D92" t="s">
        <v>2843</v>
      </c>
      <c r="E92" s="93" t="s">
        <v>2229</v>
      </c>
    </row>
    <row r="93" spans="1:5">
      <c r="A93" s="94" t="s">
        <v>711</v>
      </c>
      <c r="C93">
        <f>max_bed_depth</f>
        <v>6</v>
      </c>
      <c r="D93" t="s">
        <v>2843</v>
      </c>
      <c r="E93" s="93" t="s">
        <v>698</v>
      </c>
    </row>
    <row r="94" spans="1:5">
      <c r="A94" t="s">
        <v>711</v>
      </c>
      <c r="B94" s="3" t="s">
        <v>2234</v>
      </c>
      <c r="C94">
        <f>ROUNDDOWN(MIN(C92:C93),1)</f>
        <v>6</v>
      </c>
      <c r="D94" t="s">
        <v>2843</v>
      </c>
      <c r="E94" s="93" t="s">
        <v>2185</v>
      </c>
    </row>
    <row r="95" spans="1:5">
      <c r="E95" s="93"/>
    </row>
    <row r="96" spans="1:5">
      <c r="A96" s="1" t="s">
        <v>386</v>
      </c>
      <c r="E96" s="93"/>
    </row>
    <row r="97" spans="1:5">
      <c r="A97" t="s">
        <v>693</v>
      </c>
      <c r="B97" s="3" t="s">
        <v>387</v>
      </c>
      <c r="C97">
        <v>8</v>
      </c>
      <c r="D97" t="s">
        <v>2843</v>
      </c>
      <c r="E97" s="93" t="s">
        <v>75</v>
      </c>
    </row>
    <row r="98" spans="1:5">
      <c r="A98" s="94" t="s">
        <v>711</v>
      </c>
      <c r="C98">
        <f>max_height</f>
        <v>14</v>
      </c>
      <c r="D98" t="s">
        <v>2843</v>
      </c>
      <c r="E98" s="93" t="s">
        <v>1565</v>
      </c>
    </row>
    <row r="99" spans="1:5">
      <c r="A99" s="94" t="s">
        <v>711</v>
      </c>
      <c r="C99">
        <f>max_diam</f>
        <v>14</v>
      </c>
      <c r="D99" t="s">
        <v>2843</v>
      </c>
      <c r="E99" s="93" t="s">
        <v>1570</v>
      </c>
    </row>
    <row r="100" spans="1:5">
      <c r="A100" s="5" t="s">
        <v>711</v>
      </c>
      <c r="B100" s="3" t="s">
        <v>388</v>
      </c>
      <c r="C100">
        <f>ROUNDDOWN(MIN(C98:C99),1)</f>
        <v>14</v>
      </c>
      <c r="D100" s="5" t="s">
        <v>2843</v>
      </c>
      <c r="E100" s="93" t="s">
        <v>1859</v>
      </c>
    </row>
    <row r="101" spans="1:5">
      <c r="A101" s="5"/>
      <c r="D101" s="5"/>
      <c r="E101" s="93"/>
    </row>
    <row r="102" spans="1:5">
      <c r="A102" s="1" t="s">
        <v>389</v>
      </c>
      <c r="D102" s="5"/>
      <c r="E102" s="93"/>
    </row>
    <row r="103" spans="1:5">
      <c r="A103" s="94" t="s">
        <v>693</v>
      </c>
      <c r="C103">
        <f>comp_min_sa_vessel/(comp_horiz_diam-2*Vessel_thickness)</f>
        <v>12.453703703703702</v>
      </c>
      <c r="D103" s="5" t="s">
        <v>2843</v>
      </c>
      <c r="E103" s="93" t="s">
        <v>71</v>
      </c>
    </row>
    <row r="104" spans="1:5">
      <c r="A104" s="94" t="s">
        <v>693</v>
      </c>
      <c r="C104">
        <v>20</v>
      </c>
      <c r="D104" s="5" t="s">
        <v>2843</v>
      </c>
      <c r="E104" s="79"/>
    </row>
    <row r="105" spans="1:5">
      <c r="A105" t="s">
        <v>693</v>
      </c>
      <c r="B105" s="3" t="s">
        <v>390</v>
      </c>
      <c r="C105">
        <f>ROUNDUP(MAX(C103:C104),0)</f>
        <v>20</v>
      </c>
      <c r="D105" s="5" t="s">
        <v>2843</v>
      </c>
      <c r="E105" s="93" t="s">
        <v>95</v>
      </c>
    </row>
    <row r="106" spans="1:5">
      <c r="A106" s="94" t="s">
        <v>711</v>
      </c>
      <c r="C106">
        <f>max_length</f>
        <v>53</v>
      </c>
      <c r="D106" t="s">
        <v>2843</v>
      </c>
      <c r="E106" s="93" t="s">
        <v>2183</v>
      </c>
    </row>
    <row r="107" spans="1:5">
      <c r="A107" s="94" t="s">
        <v>711</v>
      </c>
      <c r="C107">
        <f>comp_max_vol/(comp_horiz_diam*comp_horiz_diam*PI()/4)/7.48</f>
        <v>46.131102809983474</v>
      </c>
      <c r="D107" t="s">
        <v>2843</v>
      </c>
      <c r="E107" s="93" t="s">
        <v>2184</v>
      </c>
    </row>
    <row r="108" spans="1:5">
      <c r="A108" t="s">
        <v>711</v>
      </c>
      <c r="B108" s="3" t="s">
        <v>391</v>
      </c>
      <c r="C108">
        <f>ROUNDDOWN(MIN(C106:C107),0)</f>
        <v>46</v>
      </c>
      <c r="D108" t="s">
        <v>2843</v>
      </c>
      <c r="E108" s="93" t="s">
        <v>2185</v>
      </c>
    </row>
    <row r="109" spans="1:5">
      <c r="E109" s="93"/>
    </row>
    <row r="110" spans="1:5">
      <c r="A110" s="1" t="s">
        <v>392</v>
      </c>
      <c r="B110" s="11"/>
    </row>
    <row r="111" spans="1:5">
      <c r="A111" s="94" t="s">
        <v>693</v>
      </c>
      <c r="B111" s="11"/>
      <c r="C111">
        <f>IF(comp_round_sa=1,comp_vol_required/Num_tanks/C61,0)</f>
        <v>0</v>
      </c>
      <c r="D111" t="s">
        <v>2843</v>
      </c>
      <c r="E111" s="93" t="s">
        <v>76</v>
      </c>
    </row>
    <row r="112" spans="1:5">
      <c r="A112" s="94" t="s">
        <v>693</v>
      </c>
      <c r="B112" s="11"/>
      <c r="C112">
        <f>min_bed_depth</f>
        <v>2.4</v>
      </c>
      <c r="D112" t="s">
        <v>2843</v>
      </c>
      <c r="E112" s="93" t="s">
        <v>77</v>
      </c>
    </row>
    <row r="113" spans="1:5">
      <c r="A113" t="s">
        <v>693</v>
      </c>
      <c r="B113" s="3" t="s">
        <v>393</v>
      </c>
      <c r="C113">
        <f>ROUNDUP(MAX(C111:C112),1)</f>
        <v>2.4</v>
      </c>
      <c r="D113" t="s">
        <v>2843</v>
      </c>
      <c r="E113" s="93" t="s">
        <v>95</v>
      </c>
    </row>
    <row r="114" spans="1:5">
      <c r="A114" s="94" t="s">
        <v>711</v>
      </c>
      <c r="C114">
        <f>(MIN(max_height,max_diam)-free_board)/(1+bed_expansion)</f>
        <v>9</v>
      </c>
      <c r="D114" t="s">
        <v>2843</v>
      </c>
      <c r="E114" s="93" t="s">
        <v>1931</v>
      </c>
    </row>
    <row r="115" spans="1:5">
      <c r="A115" s="94" t="s">
        <v>711</v>
      </c>
      <c r="C115">
        <f>max_bed_depth</f>
        <v>6</v>
      </c>
      <c r="D115" t="s">
        <v>2843</v>
      </c>
      <c r="E115" s="93" t="s">
        <v>77</v>
      </c>
    </row>
    <row r="116" spans="1:5">
      <c r="A116" t="s">
        <v>711</v>
      </c>
      <c r="B116" s="3" t="s">
        <v>394</v>
      </c>
      <c r="C116">
        <f>ROUNDDOWN(MIN(C114:C115),1)</f>
        <v>6</v>
      </c>
      <c r="D116" t="s">
        <v>2843</v>
      </c>
      <c r="E116" s="93" t="s">
        <v>2185</v>
      </c>
    </row>
    <row r="118" spans="1:5">
      <c r="A118" s="92" t="s">
        <v>2186</v>
      </c>
    </row>
    <row r="119" spans="1:5">
      <c r="A119" t="s">
        <v>2187</v>
      </c>
      <c r="B119" s="3" t="s">
        <v>2188</v>
      </c>
      <c r="C119" t="b">
        <v>1</v>
      </c>
      <c r="E119" s="93" t="s">
        <v>2189</v>
      </c>
    </row>
  </sheetData>
  <mergeCells count="1">
    <mergeCell ref="A1:G1"/>
  </mergeCells>
  <phoneticPr fontId="0" type="noConversion"/>
  <pageMargins left="0.75" right="0.75" top="1" bottom="1" header="0.5" footer="0.5"/>
  <pageSetup orientation="portrait" horizontalDpi="4294967294" verticalDpi="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Q257"/>
  <sheetViews>
    <sheetView zoomScaleNormal="100" workbookViewId="0">
      <pane ySplit="4" topLeftCell="A5" activePane="bottomLeft" state="frozen"/>
      <selection activeCell="D18" sqref="D18"/>
      <selection pane="bottomLeft"/>
    </sheetView>
  </sheetViews>
  <sheetFormatPr baseColWidth="10" defaultColWidth="8.83203125" defaultRowHeight="13"/>
  <cols>
    <col min="1" max="1" width="26.6640625" customWidth="1"/>
    <col min="2" max="2" width="22.33203125" customWidth="1"/>
    <col min="4" max="4" width="15.6640625" bestFit="1" customWidth="1"/>
    <col min="5" max="5" width="17" customWidth="1"/>
  </cols>
  <sheetData>
    <row r="1" spans="1:17">
      <c r="A1" s="1" t="s">
        <v>2961</v>
      </c>
    </row>
    <row r="2" spans="1:17">
      <c r="A2" s="657" t="s">
        <v>2962</v>
      </c>
    </row>
    <row r="4" spans="1:17">
      <c r="A4" s="1" t="s">
        <v>2963</v>
      </c>
      <c r="B4" s="1" t="s">
        <v>2723</v>
      </c>
      <c r="C4" s="1" t="s">
        <v>2724</v>
      </c>
      <c r="D4" s="1" t="s">
        <v>2725</v>
      </c>
      <c r="E4" s="1" t="s">
        <v>746</v>
      </c>
      <c r="F4" s="1">
        <v>2</v>
      </c>
      <c r="G4" s="1">
        <v>3</v>
      </c>
      <c r="H4" s="1">
        <v>4</v>
      </c>
      <c r="I4" s="1">
        <v>5</v>
      </c>
      <c r="J4" s="1">
        <v>6</v>
      </c>
      <c r="K4" s="1">
        <v>7</v>
      </c>
      <c r="L4" s="1">
        <v>8</v>
      </c>
      <c r="M4" s="1">
        <v>9</v>
      </c>
      <c r="N4" s="1">
        <v>10</v>
      </c>
      <c r="O4" s="1">
        <v>11</v>
      </c>
      <c r="P4" s="1">
        <v>16</v>
      </c>
      <c r="Q4" s="1">
        <v>17</v>
      </c>
    </row>
    <row r="5" spans="1:17">
      <c r="A5" s="28" t="s">
        <v>2581</v>
      </c>
    </row>
    <row r="6" spans="1:17">
      <c r="A6" s="29" t="s">
        <v>2582</v>
      </c>
      <c r="B6" t="s">
        <v>747</v>
      </c>
      <c r="C6" s="49">
        <f>IF(D6=0,0,IF(OR(D6&gt;P6,D6&lt;Q6),"contact vendor",F6*D6^G6+H6*LN(D6)+I6+J6*EXP(K6*D6)+L6*D6^3+M6*D6^2+N6*D6+O6))</f>
        <v>136281.64860188006</v>
      </c>
      <c r="D6">
        <f>comm_vol_gal</f>
        <v>5957.0251578838952</v>
      </c>
      <c r="E6" t="s">
        <v>747</v>
      </c>
      <c r="F6">
        <f t="shared" ref="F6:Q9" si="0">VLOOKUP($E6,eq_table_cl,F$4,FALSE)</f>
        <v>0</v>
      </c>
      <c r="G6">
        <f t="shared" si="0"/>
        <v>0</v>
      </c>
      <c r="H6">
        <f t="shared" si="0"/>
        <v>0</v>
      </c>
      <c r="I6">
        <f t="shared" si="0"/>
        <v>0</v>
      </c>
      <c r="J6">
        <f t="shared" si="0"/>
        <v>0</v>
      </c>
      <c r="K6">
        <f t="shared" si="0"/>
        <v>0</v>
      </c>
      <c r="L6">
        <f t="shared" si="0"/>
        <v>4.0000000000000001E-8</v>
      </c>
      <c r="M6">
        <f t="shared" si="0"/>
        <v>-1.6522430000000001E-3</v>
      </c>
      <c r="N6">
        <f t="shared" si="0"/>
        <v>26.487093706</v>
      </c>
      <c r="O6">
        <f t="shared" si="0"/>
        <v>28673.43064482</v>
      </c>
      <c r="P6">
        <f t="shared" si="0"/>
        <v>27101</v>
      </c>
      <c r="Q6">
        <f t="shared" si="0"/>
        <v>0</v>
      </c>
    </row>
    <row r="7" spans="1:17">
      <c r="A7" s="29" t="s">
        <v>1206</v>
      </c>
      <c r="B7" t="s">
        <v>1208</v>
      </c>
      <c r="C7" s="49">
        <f>IF(D7=0,0,IF(OR(D7&gt;P7,D7&lt;Q7),"contact vendor",F7*D7^G7+H7*LN(D7)+I7+J7*EXP(K7*D7)+L7*D7^3+M7*D7^2+N7*D7+O7))</f>
        <v>86652.823875483999</v>
      </c>
      <c r="D7">
        <f>comm_vol_gal</f>
        <v>5957.0251578838952</v>
      </c>
      <c r="E7" t="s">
        <v>1208</v>
      </c>
      <c r="F7">
        <f t="shared" si="0"/>
        <v>1596.499332614</v>
      </c>
      <c r="G7">
        <f t="shared" si="0"/>
        <v>0.45949680900000001</v>
      </c>
      <c r="H7">
        <f t="shared" si="0"/>
        <v>0</v>
      </c>
      <c r="I7">
        <f t="shared" si="0"/>
        <v>0</v>
      </c>
      <c r="J7">
        <f t="shared" si="0"/>
        <v>0</v>
      </c>
      <c r="K7">
        <f t="shared" si="0"/>
        <v>0</v>
      </c>
      <c r="L7">
        <f t="shared" si="0"/>
        <v>0</v>
      </c>
      <c r="M7">
        <f t="shared" si="0"/>
        <v>0</v>
      </c>
      <c r="N7">
        <f t="shared" si="0"/>
        <v>0</v>
      </c>
      <c r="O7">
        <f t="shared" si="0"/>
        <v>0</v>
      </c>
      <c r="P7">
        <f t="shared" si="0"/>
        <v>27101</v>
      </c>
      <c r="Q7">
        <f t="shared" si="0"/>
        <v>0</v>
      </c>
    </row>
    <row r="8" spans="1:17">
      <c r="A8" s="29" t="s">
        <v>47</v>
      </c>
      <c r="B8" t="s">
        <v>1209</v>
      </c>
      <c r="C8" s="49">
        <f>IF(D8=0,0,IF(OR(D8&gt;P8,D8&lt;Q8),"contact vendor",F8*D8^G8+H8*LN(D8)+I8+J8*EXP(K8*D8)+L8*D8^3+M8*D8^2+N8*D8+O8))</f>
        <v>71143.162039456423</v>
      </c>
      <c r="D8">
        <f>comm_vol_gal</f>
        <v>5957.0251578838952</v>
      </c>
      <c r="E8" t="s">
        <v>1209</v>
      </c>
      <c r="F8">
        <f t="shared" si="0"/>
        <v>1798.6988144679999</v>
      </c>
      <c r="G8">
        <f t="shared" si="0"/>
        <v>0.42308934100000001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29" t="s">
        <v>1326</v>
      </c>
      <c r="B9" t="s">
        <v>48</v>
      </c>
      <c r="C9" s="49" t="str">
        <f>IF(D9=0,0,IF(OR(D9&gt;P9,D9&lt;Q9),"contact vendor",F9*D9^G9+H9*LN(D9)+I9+J9*EXP(K9*D9)+L9*D9^3+M9*D9^2+N9*D9+O9))</f>
        <v>contact vendor</v>
      </c>
      <c r="D9">
        <f>comm_vol_gal</f>
        <v>5957.0251578838952</v>
      </c>
      <c r="E9" t="s">
        <v>48</v>
      </c>
      <c r="F9">
        <f t="shared" si="0"/>
        <v>0</v>
      </c>
      <c r="G9">
        <f t="shared" si="0"/>
        <v>0</v>
      </c>
      <c r="H9">
        <f t="shared" si="0"/>
        <v>0</v>
      </c>
      <c r="I9">
        <f t="shared" si="0"/>
        <v>0</v>
      </c>
      <c r="J9">
        <f t="shared" si="0"/>
        <v>0</v>
      </c>
      <c r="K9">
        <f t="shared" si="0"/>
        <v>0</v>
      </c>
      <c r="L9">
        <f t="shared" si="0"/>
        <v>0</v>
      </c>
      <c r="M9">
        <f t="shared" si="0"/>
        <v>2.2354919999999999E-3</v>
      </c>
      <c r="N9">
        <f t="shared" si="0"/>
        <v>18.79231828</v>
      </c>
      <c r="O9">
        <f t="shared" si="0"/>
        <v>275.54372241900001</v>
      </c>
      <c r="P9">
        <f t="shared" si="0"/>
        <v>901</v>
      </c>
      <c r="Q9">
        <f t="shared" si="0"/>
        <v>0</v>
      </c>
    </row>
    <row r="10" spans="1:17">
      <c r="A10" s="28" t="s">
        <v>1098</v>
      </c>
    </row>
    <row r="11" spans="1:17">
      <c r="A11" s="728" t="s">
        <v>3213</v>
      </c>
      <c r="B11" t="s">
        <v>748</v>
      </c>
    </row>
    <row r="12" spans="1:17">
      <c r="A12" s="28" t="s">
        <v>785</v>
      </c>
      <c r="B12" s="5"/>
    </row>
    <row r="13" spans="1:17">
      <c r="A13" s="29" t="s">
        <v>785</v>
      </c>
      <c r="B13" t="s">
        <v>881</v>
      </c>
      <c r="C13" s="49">
        <f>IF(D13=0,0,IF(OR(D13&gt;P13,D13&lt;Q13),"contact vendor",F13*D13^G13+H13*LN(D13)+I13+J13*EXP(K13*D13)+L13*D13^3+M13*D13^2+N13*D13+O13))</f>
        <v>18343.374722291886</v>
      </c>
      <c r="D13">
        <f>filter_size</f>
        <v>1.0760000000000001</v>
      </c>
      <c r="E13" t="s">
        <v>881</v>
      </c>
      <c r="F13">
        <f t="shared" ref="F13:Q13" si="1">VLOOKUP($E13,eq_table_cl,F$4,FALSE)</f>
        <v>17326.162772510001</v>
      </c>
      <c r="G13">
        <f t="shared" si="1"/>
        <v>0.77884561100000005</v>
      </c>
      <c r="H13">
        <f t="shared" si="1"/>
        <v>0</v>
      </c>
      <c r="I13">
        <f t="shared" si="1"/>
        <v>0</v>
      </c>
      <c r="J13">
        <f t="shared" si="1"/>
        <v>0</v>
      </c>
      <c r="K13">
        <f t="shared" si="1"/>
        <v>0</v>
      </c>
      <c r="L13">
        <f t="shared" si="1"/>
        <v>0</v>
      </c>
      <c r="M13">
        <f t="shared" si="1"/>
        <v>0</v>
      </c>
      <c r="N13">
        <f t="shared" si="1"/>
        <v>0</v>
      </c>
      <c r="O13">
        <f t="shared" si="1"/>
        <v>0</v>
      </c>
      <c r="P13">
        <f t="shared" si="1"/>
        <v>4.3210000000000006</v>
      </c>
      <c r="Q13">
        <f t="shared" si="1"/>
        <v>0</v>
      </c>
    </row>
    <row r="14" spans="1:17">
      <c r="A14" s="28" t="s">
        <v>2584</v>
      </c>
    </row>
    <row r="15" spans="1:17">
      <c r="A15" s="29" t="s">
        <v>1318</v>
      </c>
    </row>
    <row r="16" spans="1:17">
      <c r="A16" s="27" t="s">
        <v>1334</v>
      </c>
      <c r="B16" t="s">
        <v>749</v>
      </c>
      <c r="C16" s="49">
        <f>IF(D16=0,0,IF(OR(D16&gt;P16,D16&lt;Q16),"contact vendor",F16*D16^G16+H16*LN(D16)+I16+J16*EXP(K16*D16)+L16*D16^3+M16*D16^2+N16*D16+O16))</f>
        <v>21617.305300809461</v>
      </c>
      <c r="D16">
        <f>back_tank_vol</f>
        <v>4776</v>
      </c>
      <c r="E16" t="s">
        <v>749</v>
      </c>
      <c r="F16">
        <f t="shared" ref="F16:Q18" si="2">VLOOKUP($E16,eq_table_cl,F$4,FALSE)</f>
        <v>308.93713092600001</v>
      </c>
      <c r="G16">
        <f t="shared" si="2"/>
        <v>0.50146757099999995</v>
      </c>
      <c r="H16">
        <f t="shared" si="2"/>
        <v>0</v>
      </c>
      <c r="I16">
        <f t="shared" si="2"/>
        <v>0</v>
      </c>
      <c r="J16">
        <f t="shared" si="2"/>
        <v>0</v>
      </c>
      <c r="K16">
        <f t="shared" si="2"/>
        <v>0</v>
      </c>
      <c r="L16">
        <f t="shared" si="2"/>
        <v>0</v>
      </c>
      <c r="M16">
        <f t="shared" si="2"/>
        <v>0</v>
      </c>
      <c r="N16">
        <f t="shared" si="2"/>
        <v>0</v>
      </c>
      <c r="O16">
        <f t="shared" si="2"/>
        <v>0</v>
      </c>
      <c r="P16">
        <f t="shared" si="2"/>
        <v>289001</v>
      </c>
      <c r="Q16">
        <f t="shared" si="2"/>
        <v>0</v>
      </c>
    </row>
    <row r="17" spans="1:17">
      <c r="A17" s="27" t="s">
        <v>1326</v>
      </c>
      <c r="B17" t="s">
        <v>1210</v>
      </c>
      <c r="C17" s="49">
        <f>IF(D17=0,0,IF(OR(D17&gt;P17,D17&lt;Q17),"contact vendor",F17*D17^G17+H17*LN(D17)+I17+J17*EXP(K17*D17)+L17*D17^3+M17*D17^2+N17*D17+O17))</f>
        <v>36949.817138450322</v>
      </c>
      <c r="D17">
        <f>back_tank_vol</f>
        <v>4776</v>
      </c>
      <c r="E17" t="s">
        <v>1210</v>
      </c>
      <c r="F17">
        <f t="shared" si="2"/>
        <v>135.281859973</v>
      </c>
      <c r="G17">
        <f t="shared" si="2"/>
        <v>0.66222618499999997</v>
      </c>
      <c r="H17">
        <f t="shared" si="2"/>
        <v>0</v>
      </c>
      <c r="I17">
        <f t="shared" si="2"/>
        <v>0</v>
      </c>
      <c r="J17">
        <f t="shared" si="2"/>
        <v>0</v>
      </c>
      <c r="K17">
        <f t="shared" si="2"/>
        <v>0</v>
      </c>
      <c r="L17">
        <f t="shared" si="2"/>
        <v>0</v>
      </c>
      <c r="M17">
        <f t="shared" si="2"/>
        <v>0</v>
      </c>
      <c r="N17">
        <f t="shared" si="2"/>
        <v>0</v>
      </c>
      <c r="O17">
        <f t="shared" si="2"/>
        <v>0</v>
      </c>
      <c r="P17">
        <f t="shared" si="2"/>
        <v>20001</v>
      </c>
      <c r="Q17">
        <f t="shared" si="2"/>
        <v>0</v>
      </c>
    </row>
    <row r="18" spans="1:17">
      <c r="A18" s="27" t="s">
        <v>739</v>
      </c>
      <c r="B18" t="s">
        <v>1211</v>
      </c>
      <c r="C18" s="49">
        <f>IF(D18=0,0,IF(OR(D18&gt;P18,D18&lt;Q18),"contact vendor",F18*D18^G18+H18*LN(D18)+I18+J18*EXP(K18*D18)+L18*D18^3+M18*D18^2+N18*D18+O18))</f>
        <v>9754.4955630039985</v>
      </c>
      <c r="D18">
        <f>back_tank_vol</f>
        <v>4776</v>
      </c>
      <c r="E18" t="s">
        <v>1211</v>
      </c>
      <c r="F18">
        <f t="shared" si="2"/>
        <v>0</v>
      </c>
      <c r="G18">
        <f t="shared" si="2"/>
        <v>0</v>
      </c>
      <c r="H18">
        <f t="shared" si="2"/>
        <v>0</v>
      </c>
      <c r="I18">
        <f t="shared" si="2"/>
        <v>0</v>
      </c>
      <c r="J18">
        <f t="shared" si="2"/>
        <v>0</v>
      </c>
      <c r="K18">
        <f t="shared" si="2"/>
        <v>0</v>
      </c>
      <c r="L18">
        <f t="shared" si="2"/>
        <v>3E-9</v>
      </c>
      <c r="M18">
        <f t="shared" si="2"/>
        <v>-4.4866E-5</v>
      </c>
      <c r="N18">
        <f t="shared" si="2"/>
        <v>2.0973282219999998</v>
      </c>
      <c r="O18">
        <f t="shared" si="2"/>
        <v>434.23312942000001</v>
      </c>
      <c r="P18">
        <f t="shared" si="2"/>
        <v>16502</v>
      </c>
      <c r="Q18">
        <f t="shared" si="2"/>
        <v>0</v>
      </c>
    </row>
    <row r="19" spans="1:17">
      <c r="A19" s="29" t="s">
        <v>241</v>
      </c>
    </row>
    <row r="20" spans="1:17">
      <c r="A20" s="651" t="s">
        <v>2938</v>
      </c>
      <c r="B20" t="s">
        <v>1226</v>
      </c>
      <c r="C20" s="49">
        <f>IF(D20=0,0,IF(OR(D20&gt;P20,D20&lt;Q20),"contact vendor",F20*D20^G20+H20*LN(D20)+I20+J20*EXP(K20*D20)+L20*D20^3+M20*D20^2+N20*D20+O20))</f>
        <v>0</v>
      </c>
      <c r="D20">
        <f>mix_tank_vol</f>
        <v>0</v>
      </c>
      <c r="E20" t="s">
        <v>1226</v>
      </c>
      <c r="F20">
        <f t="shared" ref="F20:Q22" si="3">VLOOKUP($E20,eq_table_cl,F$4,FALSE)</f>
        <v>0</v>
      </c>
      <c r="G20">
        <f t="shared" si="3"/>
        <v>0</v>
      </c>
      <c r="H20">
        <f t="shared" si="3"/>
        <v>0</v>
      </c>
      <c r="I20">
        <f t="shared" si="3"/>
        <v>0</v>
      </c>
      <c r="J20">
        <f t="shared" si="3"/>
        <v>0</v>
      </c>
      <c r="K20">
        <f t="shared" si="3"/>
        <v>0</v>
      </c>
      <c r="L20">
        <f t="shared" si="3"/>
        <v>0</v>
      </c>
      <c r="M20">
        <f t="shared" si="3"/>
        <v>1.89841E-4</v>
      </c>
      <c r="N20">
        <f t="shared" si="3"/>
        <v>1.125069329</v>
      </c>
      <c r="O20">
        <f t="shared" si="3"/>
        <v>710.83996240299996</v>
      </c>
      <c r="P20">
        <f t="shared" si="3"/>
        <v>6601</v>
      </c>
      <c r="Q20">
        <f t="shared" si="3"/>
        <v>0</v>
      </c>
    </row>
    <row r="21" spans="1:17">
      <c r="A21" s="27" t="s">
        <v>1326</v>
      </c>
      <c r="B21" t="s">
        <v>1227</v>
      </c>
      <c r="C21" s="49">
        <f>IF(D21=0,0,IF(OR(D21&gt;P21,D21&lt;Q21),"contact vendor",F21*D21^G21+H21*LN(D21)+I21+J21*EXP(K21*D21)+L21*D21^3+M21*D21^2+N21*D21+O21))</f>
        <v>0</v>
      </c>
      <c r="D21">
        <f>mix_tank_vol</f>
        <v>0</v>
      </c>
      <c r="E21" t="s">
        <v>1227</v>
      </c>
      <c r="F21">
        <f t="shared" si="3"/>
        <v>259.35532937099998</v>
      </c>
      <c r="G21">
        <f t="shared" si="3"/>
        <v>0.55137656199999996</v>
      </c>
      <c r="H21">
        <f t="shared" si="3"/>
        <v>0</v>
      </c>
      <c r="I21">
        <f t="shared" si="3"/>
        <v>0</v>
      </c>
      <c r="J21">
        <f t="shared" si="3"/>
        <v>0</v>
      </c>
      <c r="K21">
        <f t="shared" si="3"/>
        <v>0</v>
      </c>
      <c r="L21">
        <f t="shared" si="3"/>
        <v>0</v>
      </c>
      <c r="M21">
        <f t="shared" si="3"/>
        <v>0</v>
      </c>
      <c r="N21">
        <f t="shared" si="3"/>
        <v>0</v>
      </c>
      <c r="O21">
        <f t="shared" si="3"/>
        <v>0</v>
      </c>
      <c r="P21">
        <f t="shared" si="3"/>
        <v>30001</v>
      </c>
      <c r="Q21">
        <f t="shared" si="3"/>
        <v>0</v>
      </c>
    </row>
    <row r="22" spans="1:17">
      <c r="A22" s="27" t="s">
        <v>2582</v>
      </c>
      <c r="B22" t="s">
        <v>2903</v>
      </c>
      <c r="C22" s="49">
        <f>IF(D22=0,0,IF(OR(D22&gt;P22,D22&lt;Q22),"contact vendor",F22*D22^G22+H22*LN(D22)+I22+J22*EXP(K22*D22)+L22*D22^3+M22*D22^2+N22*D22+O22))</f>
        <v>0</v>
      </c>
      <c r="D22">
        <f>mix_tank_vol</f>
        <v>0</v>
      </c>
      <c r="E22" t="s">
        <v>2903</v>
      </c>
      <c r="F22">
        <f t="shared" si="3"/>
        <v>57.021589231</v>
      </c>
      <c r="G22">
        <f t="shared" si="3"/>
        <v>0.72932539100000005</v>
      </c>
      <c r="H22">
        <f t="shared" si="3"/>
        <v>0</v>
      </c>
      <c r="I22">
        <f t="shared" si="3"/>
        <v>0</v>
      </c>
      <c r="J22">
        <f t="shared" si="3"/>
        <v>0</v>
      </c>
      <c r="K22">
        <f t="shared" si="3"/>
        <v>0</v>
      </c>
      <c r="L22">
        <f t="shared" si="3"/>
        <v>0</v>
      </c>
      <c r="M22">
        <f t="shared" si="3"/>
        <v>0</v>
      </c>
      <c r="N22">
        <f t="shared" si="3"/>
        <v>0</v>
      </c>
      <c r="O22">
        <f t="shared" si="3"/>
        <v>0</v>
      </c>
      <c r="P22">
        <f t="shared" si="3"/>
        <v>30001</v>
      </c>
      <c r="Q22">
        <f t="shared" si="3"/>
        <v>0</v>
      </c>
    </row>
    <row r="23" spans="1:17">
      <c r="A23" s="29" t="s">
        <v>240</v>
      </c>
    </row>
    <row r="24" spans="1:17">
      <c r="A24" s="651" t="s">
        <v>2938</v>
      </c>
      <c r="B24" t="s">
        <v>242</v>
      </c>
      <c r="C24" s="49">
        <f>IF(D24=0,0,IF(OR(D24&gt;P24,D24&lt;Q24),"contact vendor",F24*D24^G24+H24*LN(D24)+I24+J24*EXP(K24*D24)+L24*D24^3+M24*D24^2+N24*D24+O24))</f>
        <v>0</v>
      </c>
      <c r="D24">
        <f>NaOH_tank_vol</f>
        <v>0</v>
      </c>
      <c r="E24" t="s">
        <v>1226</v>
      </c>
      <c r="F24">
        <f t="shared" ref="F24:Q28" si="4">VLOOKUP($E24,eq_table_cl,F$4,FALSE)</f>
        <v>0</v>
      </c>
      <c r="G24">
        <f t="shared" si="4"/>
        <v>0</v>
      </c>
      <c r="H24">
        <f t="shared" si="4"/>
        <v>0</v>
      </c>
      <c r="I24">
        <f t="shared" si="4"/>
        <v>0</v>
      </c>
      <c r="J24">
        <f t="shared" si="4"/>
        <v>0</v>
      </c>
      <c r="K24">
        <f t="shared" si="4"/>
        <v>0</v>
      </c>
      <c r="L24">
        <f t="shared" si="4"/>
        <v>0</v>
      </c>
      <c r="M24">
        <f t="shared" si="4"/>
        <v>1.89841E-4</v>
      </c>
      <c r="N24">
        <f t="shared" si="4"/>
        <v>1.125069329</v>
      </c>
      <c r="O24">
        <f t="shared" si="4"/>
        <v>710.83996240299996</v>
      </c>
      <c r="P24">
        <f t="shared" si="4"/>
        <v>6601</v>
      </c>
      <c r="Q24">
        <f t="shared" si="4"/>
        <v>0</v>
      </c>
    </row>
    <row r="25" spans="1:17">
      <c r="A25" s="27" t="s">
        <v>1326</v>
      </c>
      <c r="B25" t="s">
        <v>243</v>
      </c>
      <c r="C25" s="49">
        <f>IF(D25=0,0,IF(OR(D25&gt;P25,D25&lt;Q25),"contact vendor",F25*D25^G25+H25*LN(D25)+I25+J25*EXP(K25*D25)+L25*D25^3+M25*D25^2+N25*D25+O25))</f>
        <v>0</v>
      </c>
      <c r="D25">
        <f>NaOH_tank_vol</f>
        <v>0</v>
      </c>
      <c r="E25" t="s">
        <v>1227</v>
      </c>
      <c r="F25">
        <f t="shared" si="4"/>
        <v>259.35532937099998</v>
      </c>
      <c r="G25">
        <f t="shared" si="4"/>
        <v>0.55137656199999996</v>
      </c>
      <c r="H25">
        <f t="shared" si="4"/>
        <v>0</v>
      </c>
      <c r="I25">
        <f t="shared" si="4"/>
        <v>0</v>
      </c>
      <c r="J25">
        <f t="shared" si="4"/>
        <v>0</v>
      </c>
      <c r="K25">
        <f t="shared" si="4"/>
        <v>0</v>
      </c>
      <c r="L25">
        <f t="shared" si="4"/>
        <v>0</v>
      </c>
      <c r="M25">
        <f t="shared" si="4"/>
        <v>0</v>
      </c>
      <c r="N25">
        <f t="shared" si="4"/>
        <v>0</v>
      </c>
      <c r="O25">
        <f t="shared" si="4"/>
        <v>0</v>
      </c>
      <c r="P25">
        <f t="shared" si="4"/>
        <v>30001</v>
      </c>
      <c r="Q25">
        <f t="shared" si="4"/>
        <v>0</v>
      </c>
    </row>
    <row r="26" spans="1:17">
      <c r="A26" s="27" t="s">
        <v>2582</v>
      </c>
      <c r="B26" t="s">
        <v>2904</v>
      </c>
      <c r="C26" s="49">
        <f>IF(D26=0,0,IF(OR(D26&gt;P26,D26&lt;Q26),"contact vendor",F26*D26^G26+H26*LN(D26)+I26+J26*EXP(K26*D26)+L26*D26^3+M26*D26^2+N26*D26+O26))</f>
        <v>0</v>
      </c>
      <c r="D26">
        <f>NaOH_tank_vol</f>
        <v>0</v>
      </c>
      <c r="E26" t="s">
        <v>2903</v>
      </c>
      <c r="F26">
        <f t="shared" si="4"/>
        <v>57.021589231</v>
      </c>
      <c r="G26">
        <f t="shared" si="4"/>
        <v>0.72932539100000005</v>
      </c>
      <c r="H26">
        <f t="shared" si="4"/>
        <v>0</v>
      </c>
      <c r="I26">
        <f t="shared" si="4"/>
        <v>0</v>
      </c>
      <c r="J26">
        <f t="shared" si="4"/>
        <v>0</v>
      </c>
      <c r="K26">
        <f t="shared" si="4"/>
        <v>0</v>
      </c>
      <c r="L26">
        <f t="shared" si="4"/>
        <v>0</v>
      </c>
      <c r="M26">
        <f t="shared" si="4"/>
        <v>0</v>
      </c>
      <c r="N26">
        <f t="shared" si="4"/>
        <v>0</v>
      </c>
      <c r="O26">
        <f t="shared" si="4"/>
        <v>0</v>
      </c>
      <c r="P26">
        <f t="shared" si="4"/>
        <v>30001</v>
      </c>
      <c r="Q26">
        <f t="shared" si="4"/>
        <v>0</v>
      </c>
    </row>
    <row r="27" spans="1:17">
      <c r="A27" s="526" t="s">
        <v>2913</v>
      </c>
      <c r="B27" s="526" t="s">
        <v>2917</v>
      </c>
      <c r="C27" s="49">
        <f>IF(D27=0,0,IF(OR(D27&gt;P27,D27&lt;Q27),"contact vendor",F27*D27^G27+H27*LN(D27)+I27+J27*EXP(K27*D27)+L27*D27^3+M27*D27^2+N27*D27+O27))</f>
        <v>0</v>
      </c>
      <c r="D27">
        <f>NaOH_tank_vol</f>
        <v>0</v>
      </c>
      <c r="E27" s="526" t="s">
        <v>2914</v>
      </c>
      <c r="F27">
        <f t="shared" si="4"/>
        <v>0</v>
      </c>
      <c r="G27">
        <f t="shared" si="4"/>
        <v>0</v>
      </c>
      <c r="H27">
        <f t="shared" si="4"/>
        <v>0</v>
      </c>
      <c r="I27">
        <f t="shared" si="4"/>
        <v>0</v>
      </c>
      <c r="J27">
        <f t="shared" si="4"/>
        <v>0</v>
      </c>
      <c r="K27">
        <f t="shared" si="4"/>
        <v>0</v>
      </c>
      <c r="L27">
        <f t="shared" si="4"/>
        <v>0</v>
      </c>
      <c r="M27">
        <f t="shared" si="4"/>
        <v>2.0171999999999999E-5</v>
      </c>
      <c r="N27">
        <f t="shared" si="4"/>
        <v>0.19870423800000001</v>
      </c>
      <c r="O27">
        <f t="shared" si="4"/>
        <v>2163.4462942790001</v>
      </c>
      <c r="P27">
        <f t="shared" si="4"/>
        <v>30001</v>
      </c>
      <c r="Q27">
        <f t="shared" si="4"/>
        <v>0</v>
      </c>
    </row>
    <row r="28" spans="1:17">
      <c r="A28" s="526" t="s">
        <v>2915</v>
      </c>
      <c r="B28" s="526" t="s">
        <v>2918</v>
      </c>
      <c r="C28" s="49">
        <f>IF(D28=0,0,IF(OR(D28&gt;P28,D28&lt;Q28),"contact vendor",F28*D28^G28+H28*LN(D28)+I28+J28*EXP(K28*D28)+L28*D28^3+M28*D28^2+N28*D28+O28))</f>
        <v>0</v>
      </c>
      <c r="D28">
        <f>NaOH_tank_vol</f>
        <v>0</v>
      </c>
      <c r="E28" s="526" t="s">
        <v>2916</v>
      </c>
      <c r="F28">
        <f t="shared" si="4"/>
        <v>21.046077051000001</v>
      </c>
      <c r="G28">
        <f t="shared" si="4"/>
        <v>0.64355877500000003</v>
      </c>
      <c r="H28">
        <f t="shared" si="4"/>
        <v>0</v>
      </c>
      <c r="I28">
        <f t="shared" si="4"/>
        <v>0</v>
      </c>
      <c r="J28">
        <f t="shared" si="4"/>
        <v>0</v>
      </c>
      <c r="K28">
        <f t="shared" si="4"/>
        <v>0</v>
      </c>
      <c r="L28">
        <f t="shared" si="4"/>
        <v>0</v>
      </c>
      <c r="M28">
        <f t="shared" si="4"/>
        <v>0</v>
      </c>
      <c r="N28">
        <f t="shared" si="4"/>
        <v>0</v>
      </c>
      <c r="O28">
        <f t="shared" si="4"/>
        <v>0</v>
      </c>
      <c r="P28">
        <f t="shared" si="4"/>
        <v>30001</v>
      </c>
      <c r="Q28">
        <f t="shared" si="4"/>
        <v>0</v>
      </c>
    </row>
    <row r="29" spans="1:17">
      <c r="A29" s="41" t="s">
        <v>1956</v>
      </c>
    </row>
    <row r="30" spans="1:17">
      <c r="A30" s="651" t="s">
        <v>2938</v>
      </c>
      <c r="B30" t="s">
        <v>1945</v>
      </c>
      <c r="C30" s="49">
        <f>IF(D30=0,0,IF(OR(D30&gt;P30,D30&lt;Q30),"contact vendor",F30*D30^G30+H30*LN(D30)+I30+J30*EXP(K30*D30)+L30*D30^3+M30*D30^2+N30*D30+O30))</f>
        <v>0</v>
      </c>
      <c r="D30" s="73">
        <f>NaOH_day_tank_vol</f>
        <v>0</v>
      </c>
      <c r="E30" t="s">
        <v>1226</v>
      </c>
      <c r="F30">
        <f t="shared" ref="F30:Q34" si="5">VLOOKUP($E30,eq_table_cl,F$4,FALSE)</f>
        <v>0</v>
      </c>
      <c r="G30">
        <f t="shared" si="5"/>
        <v>0</v>
      </c>
      <c r="H30">
        <f t="shared" si="5"/>
        <v>0</v>
      </c>
      <c r="I30">
        <f t="shared" si="5"/>
        <v>0</v>
      </c>
      <c r="J30">
        <f t="shared" si="5"/>
        <v>0</v>
      </c>
      <c r="K30">
        <f t="shared" si="5"/>
        <v>0</v>
      </c>
      <c r="L30">
        <f t="shared" si="5"/>
        <v>0</v>
      </c>
      <c r="M30">
        <f t="shared" si="5"/>
        <v>1.89841E-4</v>
      </c>
      <c r="N30">
        <f t="shared" si="5"/>
        <v>1.125069329</v>
      </c>
      <c r="O30">
        <f t="shared" si="5"/>
        <v>710.83996240299996</v>
      </c>
      <c r="P30">
        <f t="shared" si="5"/>
        <v>6601</v>
      </c>
      <c r="Q30">
        <f t="shared" si="5"/>
        <v>0</v>
      </c>
    </row>
    <row r="31" spans="1:17">
      <c r="A31" s="5" t="s">
        <v>1326</v>
      </c>
      <c r="B31" t="s">
        <v>1946</v>
      </c>
      <c r="C31" s="49">
        <f>IF(D31=0,0,IF(OR(D31&gt;P31,D31&lt;Q31),"contact vendor",F31*D31^G31+H31*LN(D31)+I31+J31*EXP(K31*D31)+L31*D31^3+M31*D31^2+N31*D31+O31))</f>
        <v>0</v>
      </c>
      <c r="D31" s="73">
        <f>NaOH_day_tank_vol</f>
        <v>0</v>
      </c>
      <c r="E31" t="s">
        <v>1227</v>
      </c>
      <c r="F31">
        <f t="shared" si="5"/>
        <v>259.35532937099998</v>
      </c>
      <c r="G31">
        <f t="shared" si="5"/>
        <v>0.55137656199999996</v>
      </c>
      <c r="H31">
        <f t="shared" si="5"/>
        <v>0</v>
      </c>
      <c r="I31">
        <f t="shared" si="5"/>
        <v>0</v>
      </c>
      <c r="J31">
        <f t="shared" si="5"/>
        <v>0</v>
      </c>
      <c r="K31">
        <f t="shared" si="5"/>
        <v>0</v>
      </c>
      <c r="L31">
        <f t="shared" si="5"/>
        <v>0</v>
      </c>
      <c r="M31">
        <f t="shared" si="5"/>
        <v>0</v>
      </c>
      <c r="N31">
        <f t="shared" si="5"/>
        <v>0</v>
      </c>
      <c r="O31">
        <f t="shared" si="5"/>
        <v>0</v>
      </c>
      <c r="P31">
        <f t="shared" si="5"/>
        <v>30001</v>
      </c>
      <c r="Q31">
        <f t="shared" si="5"/>
        <v>0</v>
      </c>
    </row>
    <row r="32" spans="1:17">
      <c r="A32" s="5" t="s">
        <v>2582</v>
      </c>
      <c r="B32" t="s">
        <v>2905</v>
      </c>
      <c r="C32" s="49">
        <f>IF(D32=0,0,IF(OR(D32&gt;P32,D32&lt;Q32),"contact vendor",F32*D32^G32+H32*LN(D32)+I32+J32*EXP(K32*D32)+L32*D32^3+M32*D32^2+N32*D32+O32))</f>
        <v>0</v>
      </c>
      <c r="D32" s="73">
        <f>NaOH_day_tank_vol</f>
        <v>0</v>
      </c>
      <c r="E32" t="s">
        <v>2903</v>
      </c>
      <c r="F32">
        <f t="shared" si="5"/>
        <v>57.021589231</v>
      </c>
      <c r="G32">
        <f t="shared" si="5"/>
        <v>0.72932539100000005</v>
      </c>
      <c r="H32">
        <f t="shared" si="5"/>
        <v>0</v>
      </c>
      <c r="I32">
        <f t="shared" si="5"/>
        <v>0</v>
      </c>
      <c r="J32">
        <f t="shared" si="5"/>
        <v>0</v>
      </c>
      <c r="K32">
        <f t="shared" si="5"/>
        <v>0</v>
      </c>
      <c r="L32">
        <f t="shared" si="5"/>
        <v>0</v>
      </c>
      <c r="M32">
        <f t="shared" si="5"/>
        <v>0</v>
      </c>
      <c r="N32">
        <f t="shared" si="5"/>
        <v>0</v>
      </c>
      <c r="O32">
        <f t="shared" si="5"/>
        <v>0</v>
      </c>
      <c r="P32">
        <f t="shared" si="5"/>
        <v>30001</v>
      </c>
      <c r="Q32">
        <f t="shared" si="5"/>
        <v>0</v>
      </c>
    </row>
    <row r="33" spans="1:17">
      <c r="A33" s="526" t="s">
        <v>2913</v>
      </c>
      <c r="B33" s="526" t="s">
        <v>2919</v>
      </c>
      <c r="C33" s="49">
        <f>IF(D33=0,0,IF(OR(D33&gt;P33,D33&lt;Q33),"contact vendor",F33*D33^G33+H33*LN(D33)+I33+J33*EXP(K33*D33)+L33*D33^3+M33*D33^2+N33*D33+O33))</f>
        <v>0</v>
      </c>
      <c r="D33" s="73">
        <f>NaOH_day_tank_vol</f>
        <v>0</v>
      </c>
      <c r="E33" s="526" t="s">
        <v>2914</v>
      </c>
      <c r="F33">
        <f t="shared" si="5"/>
        <v>0</v>
      </c>
      <c r="G33">
        <f t="shared" si="5"/>
        <v>0</v>
      </c>
      <c r="H33">
        <f t="shared" si="5"/>
        <v>0</v>
      </c>
      <c r="I33">
        <f t="shared" si="5"/>
        <v>0</v>
      </c>
      <c r="J33">
        <f t="shared" si="5"/>
        <v>0</v>
      </c>
      <c r="K33">
        <f t="shared" si="5"/>
        <v>0</v>
      </c>
      <c r="L33">
        <f t="shared" si="5"/>
        <v>0</v>
      </c>
      <c r="M33">
        <f t="shared" si="5"/>
        <v>2.0171999999999999E-5</v>
      </c>
      <c r="N33">
        <f t="shared" si="5"/>
        <v>0.19870423800000001</v>
      </c>
      <c r="O33">
        <f t="shared" si="5"/>
        <v>2163.4462942790001</v>
      </c>
      <c r="P33">
        <f t="shared" si="5"/>
        <v>30001</v>
      </c>
      <c r="Q33">
        <f t="shared" si="5"/>
        <v>0</v>
      </c>
    </row>
    <row r="34" spans="1:17">
      <c r="A34" s="526" t="s">
        <v>2915</v>
      </c>
      <c r="B34" s="526" t="s">
        <v>2920</v>
      </c>
      <c r="C34" s="49">
        <f>IF(D34=0,0,IF(OR(D34&gt;P34,D34&lt;Q34),"contact vendor",F34*D34^G34+H34*LN(D34)+I34+J34*EXP(K34*D34)+L34*D34^3+M34*D34^2+N34*D34+O34))</f>
        <v>0</v>
      </c>
      <c r="D34" s="73">
        <f>NaOH_day_tank_vol</f>
        <v>0</v>
      </c>
      <c r="E34" s="526" t="s">
        <v>2916</v>
      </c>
      <c r="F34">
        <f t="shared" si="5"/>
        <v>21.046077051000001</v>
      </c>
      <c r="G34">
        <f t="shared" si="5"/>
        <v>0.64355877500000003</v>
      </c>
      <c r="H34">
        <f t="shared" si="5"/>
        <v>0</v>
      </c>
      <c r="I34">
        <f t="shared" si="5"/>
        <v>0</v>
      </c>
      <c r="J34">
        <f t="shared" si="5"/>
        <v>0</v>
      </c>
      <c r="K34">
        <f t="shared" si="5"/>
        <v>0</v>
      </c>
      <c r="L34">
        <f t="shared" si="5"/>
        <v>0</v>
      </c>
      <c r="M34">
        <f t="shared" si="5"/>
        <v>0</v>
      </c>
      <c r="N34">
        <f t="shared" si="5"/>
        <v>0</v>
      </c>
      <c r="O34">
        <f t="shared" si="5"/>
        <v>0</v>
      </c>
      <c r="P34">
        <f t="shared" si="5"/>
        <v>30001</v>
      </c>
      <c r="Q34">
        <f t="shared" si="5"/>
        <v>0</v>
      </c>
    </row>
    <row r="35" spans="1:17">
      <c r="A35" s="41" t="s">
        <v>1947</v>
      </c>
      <c r="D35" s="5"/>
    </row>
    <row r="36" spans="1:17">
      <c r="A36" s="27" t="s">
        <v>2192</v>
      </c>
      <c r="B36" t="s">
        <v>748</v>
      </c>
      <c r="C36" s="49">
        <f>IF(D36=0,0,IF(OR(D36&gt;P36,D36&lt;Q36),"contact vendor",F36*D36^G36+H36*LN(D36)+I36+J36*EXP(K36*D36)+L36*D36^3+M36*D36^2+N36*D36+O36))</f>
        <v>0</v>
      </c>
      <c r="D36" s="5"/>
    </row>
    <row r="37" spans="1:17">
      <c r="A37" s="27" t="s">
        <v>92</v>
      </c>
      <c r="B37" t="s">
        <v>1948</v>
      </c>
      <c r="C37" s="49">
        <f>IF(D37=0,0,IF(OR(D37&gt;P37,D37&lt;Q37),"contact vendor",F37*D37^G37+H37*LN(D37)+I37+J37*EXP(K37*D37)+L37*D37^3+M37*D37^2+N37*D37+O37))</f>
        <v>0</v>
      </c>
      <c r="D37" s="73">
        <f>cmix_size</f>
        <v>0</v>
      </c>
      <c r="E37" t="s">
        <v>766</v>
      </c>
      <c r="F37">
        <f t="shared" ref="F37:Q38" si="6">VLOOKUP($E37,eq_table_cl,F$4,FALSE)</f>
        <v>3220.9800634899998</v>
      </c>
      <c r="G37">
        <f t="shared" si="6"/>
        <v>0.14804462199999999</v>
      </c>
      <c r="H37">
        <f t="shared" si="6"/>
        <v>0</v>
      </c>
      <c r="I37">
        <f t="shared" si="6"/>
        <v>0</v>
      </c>
      <c r="J37">
        <f t="shared" si="6"/>
        <v>0</v>
      </c>
      <c r="K37">
        <f t="shared" si="6"/>
        <v>0</v>
      </c>
      <c r="L37">
        <f t="shared" si="6"/>
        <v>0</v>
      </c>
      <c r="M37">
        <f t="shared" si="6"/>
        <v>0</v>
      </c>
      <c r="N37">
        <f t="shared" si="6"/>
        <v>0</v>
      </c>
      <c r="O37">
        <f t="shared" si="6"/>
        <v>0</v>
      </c>
      <c r="P37">
        <f t="shared" si="6"/>
        <v>4.0999999999999996</v>
      </c>
      <c r="Q37">
        <f t="shared" si="6"/>
        <v>0</v>
      </c>
    </row>
    <row r="38" spans="1:17">
      <c r="A38" s="5" t="s">
        <v>1949</v>
      </c>
      <c r="B38" t="s">
        <v>1950</v>
      </c>
      <c r="C38" s="49">
        <f>IF(D38=0,0,IF(OR(D38&gt;P38,D38&lt;Q38),"contact vendor",F38*D38^G38+H38*LN(D38)+I38+J38*EXP(K38*D38)+L38*D38^3+M38*D38^2+N38*D38+O38))</f>
        <v>0</v>
      </c>
      <c r="D38" s="73">
        <f>cmix_size</f>
        <v>0</v>
      </c>
      <c r="E38" t="s">
        <v>2487</v>
      </c>
      <c r="F38">
        <f t="shared" si="6"/>
        <v>0</v>
      </c>
      <c r="G38">
        <f t="shared" si="6"/>
        <v>0</v>
      </c>
      <c r="H38">
        <f t="shared" si="6"/>
        <v>0</v>
      </c>
      <c r="I38">
        <f t="shared" si="6"/>
        <v>0</v>
      </c>
      <c r="J38">
        <f t="shared" si="6"/>
        <v>0</v>
      </c>
      <c r="K38">
        <f t="shared" si="6"/>
        <v>0</v>
      </c>
      <c r="L38">
        <f t="shared" si="6"/>
        <v>0</v>
      </c>
      <c r="M38">
        <f t="shared" si="6"/>
        <v>0</v>
      </c>
      <c r="N38">
        <f t="shared" si="6"/>
        <v>1053.0249738949999</v>
      </c>
      <c r="O38">
        <f t="shared" si="6"/>
        <v>4010.0161733059999</v>
      </c>
      <c r="P38">
        <f t="shared" si="6"/>
        <v>110</v>
      </c>
      <c r="Q38">
        <f t="shared" si="6"/>
        <v>0</v>
      </c>
    </row>
    <row r="39" spans="1:17">
      <c r="A39" s="41" t="s">
        <v>1951</v>
      </c>
      <c r="D39" s="5"/>
    </row>
    <row r="40" spans="1:17">
      <c r="A40" s="27" t="s">
        <v>2192</v>
      </c>
      <c r="B40" t="s">
        <v>748</v>
      </c>
      <c r="C40" s="49">
        <f>IF(D40=0,0,IF(OR(D40&gt;P40,D40&lt;Q40),"contact vendor",F40*D40^G40+H40*LN(D40)+I40+J40*EXP(K40*D40)+L40*D40^3+M40*D40^2+N40*D40+O40))</f>
        <v>0</v>
      </c>
      <c r="D40" s="5"/>
    </row>
    <row r="41" spans="1:17">
      <c r="A41" s="27" t="s">
        <v>92</v>
      </c>
      <c r="B41" t="s">
        <v>1952</v>
      </c>
      <c r="C41" s="49">
        <f>IF(D41=0,0,IF(OR(D41&gt;P41,D41&lt;Q41),"contact vendor",F41*D41^G41+H41*LN(D41)+I41+J41*EXP(K41*D41)+L41*D41^3+M41*D41^2+N41*D41+O41))</f>
        <v>0</v>
      </c>
      <c r="D41" s="73">
        <f>dmix_size</f>
        <v>0</v>
      </c>
      <c r="E41" t="s">
        <v>766</v>
      </c>
      <c r="F41">
        <f t="shared" ref="F41:Q42" si="7">VLOOKUP($E41,eq_table_cl,F$4,FALSE)</f>
        <v>3220.9800634899998</v>
      </c>
      <c r="G41">
        <f t="shared" si="7"/>
        <v>0.14804462199999999</v>
      </c>
      <c r="H41">
        <f t="shared" si="7"/>
        <v>0</v>
      </c>
      <c r="I41">
        <f t="shared" si="7"/>
        <v>0</v>
      </c>
      <c r="J41">
        <f t="shared" si="7"/>
        <v>0</v>
      </c>
      <c r="K41">
        <f t="shared" si="7"/>
        <v>0</v>
      </c>
      <c r="L41">
        <f t="shared" si="7"/>
        <v>0</v>
      </c>
      <c r="M41">
        <f t="shared" si="7"/>
        <v>0</v>
      </c>
      <c r="N41">
        <f t="shared" si="7"/>
        <v>0</v>
      </c>
      <c r="O41">
        <f t="shared" si="7"/>
        <v>0</v>
      </c>
      <c r="P41">
        <f t="shared" si="7"/>
        <v>4.0999999999999996</v>
      </c>
      <c r="Q41">
        <f t="shared" si="7"/>
        <v>0</v>
      </c>
    </row>
    <row r="42" spans="1:17">
      <c r="A42" s="5" t="s">
        <v>1949</v>
      </c>
      <c r="B42" t="s">
        <v>1953</v>
      </c>
      <c r="C42" s="49">
        <f>IF(D42=0,0,IF(OR(D42&gt;P42,D42&lt;Q42),"contact vendor",F42*D42^G42+H42*LN(D42)+I42+J42*EXP(K42*D42)+L42*D42^3+M42*D42^2+N42*D42+O42))</f>
        <v>0</v>
      </c>
      <c r="D42" s="73">
        <f>dmix_size</f>
        <v>0</v>
      </c>
      <c r="E42" t="s">
        <v>2487</v>
      </c>
      <c r="F42">
        <f t="shared" si="7"/>
        <v>0</v>
      </c>
      <c r="G42">
        <f t="shared" si="7"/>
        <v>0</v>
      </c>
      <c r="H42">
        <f t="shared" si="7"/>
        <v>0</v>
      </c>
      <c r="I42">
        <f t="shared" si="7"/>
        <v>0</v>
      </c>
      <c r="J42">
        <f t="shared" si="7"/>
        <v>0</v>
      </c>
      <c r="K42">
        <f t="shared" si="7"/>
        <v>0</v>
      </c>
      <c r="L42">
        <f t="shared" si="7"/>
        <v>0</v>
      </c>
      <c r="M42">
        <f t="shared" si="7"/>
        <v>0</v>
      </c>
      <c r="N42">
        <f t="shared" si="7"/>
        <v>1053.0249738949999</v>
      </c>
      <c r="O42">
        <f t="shared" si="7"/>
        <v>4010.0161733059999</v>
      </c>
      <c r="P42">
        <f t="shared" si="7"/>
        <v>110</v>
      </c>
      <c r="Q42">
        <f t="shared" si="7"/>
        <v>0</v>
      </c>
    </row>
    <row r="43" spans="1:17">
      <c r="A43" s="99" t="s">
        <v>1264</v>
      </c>
      <c r="C43" s="49"/>
    </row>
    <row r="44" spans="1:17">
      <c r="A44" s="5" t="s">
        <v>1265</v>
      </c>
      <c r="B44" t="s">
        <v>2679</v>
      </c>
      <c r="C44" s="49">
        <f>IF(D44=0,0,IF(OR(D44&gt;P44,D44&lt;Q44),"contact vendor",F44*D44^G44+H44*LN(D44)+I44+J44*EXP(K44*D44)+L44*D44^3+M44*D44^2+N44*D44+O44))</f>
        <v>30602.600782486101</v>
      </c>
      <c r="D44">
        <f>htank_vol</f>
        <v>9552</v>
      </c>
      <c r="E44" t="s">
        <v>749</v>
      </c>
      <c r="F44">
        <f t="shared" ref="F44:Q46" si="8">VLOOKUP($E44,eq_table_cl,F$4,FALSE)</f>
        <v>308.93713092600001</v>
      </c>
      <c r="G44">
        <f t="shared" si="8"/>
        <v>0.50146757099999995</v>
      </c>
      <c r="H44">
        <f t="shared" si="8"/>
        <v>0</v>
      </c>
      <c r="I44">
        <f t="shared" si="8"/>
        <v>0</v>
      </c>
      <c r="J44">
        <f t="shared" si="8"/>
        <v>0</v>
      </c>
      <c r="K44">
        <f t="shared" si="8"/>
        <v>0</v>
      </c>
      <c r="L44">
        <f t="shared" si="8"/>
        <v>0</v>
      </c>
      <c r="M44">
        <f t="shared" si="8"/>
        <v>0</v>
      </c>
      <c r="N44">
        <f t="shared" si="8"/>
        <v>0</v>
      </c>
      <c r="O44">
        <f t="shared" si="8"/>
        <v>0</v>
      </c>
      <c r="P44">
        <f t="shared" si="8"/>
        <v>289001</v>
      </c>
      <c r="Q44">
        <f t="shared" si="8"/>
        <v>0</v>
      </c>
    </row>
    <row r="45" spans="1:17">
      <c r="A45" s="5" t="s">
        <v>1266</v>
      </c>
      <c r="B45" t="s">
        <v>2680</v>
      </c>
      <c r="C45" s="49">
        <f>IF(D45=0,0,IF(OR(D45&gt;P45,D45&lt;Q45),"contact vendor",F45*D45^G45+H45*LN(D45)+I45+J45*EXP(K45*D45)+L45*D45^3+M45*D45^2+N45*D45+O45))</f>
        <v>58473.924014097152</v>
      </c>
      <c r="D45">
        <f>htank_vol</f>
        <v>9552</v>
      </c>
      <c r="E45" t="s">
        <v>1210</v>
      </c>
      <c r="F45">
        <f t="shared" si="8"/>
        <v>135.281859973</v>
      </c>
      <c r="G45">
        <f t="shared" si="8"/>
        <v>0.66222618499999997</v>
      </c>
      <c r="H45">
        <f t="shared" si="8"/>
        <v>0</v>
      </c>
      <c r="I45">
        <f t="shared" si="8"/>
        <v>0</v>
      </c>
      <c r="J45">
        <f t="shared" si="8"/>
        <v>0</v>
      </c>
      <c r="K45">
        <f t="shared" si="8"/>
        <v>0</v>
      </c>
      <c r="L45">
        <f t="shared" si="8"/>
        <v>0</v>
      </c>
      <c r="M45">
        <f t="shared" si="8"/>
        <v>0</v>
      </c>
      <c r="N45">
        <f t="shared" si="8"/>
        <v>0</v>
      </c>
      <c r="O45">
        <f t="shared" si="8"/>
        <v>0</v>
      </c>
      <c r="P45">
        <f t="shared" si="8"/>
        <v>20001</v>
      </c>
      <c r="Q45">
        <f t="shared" si="8"/>
        <v>0</v>
      </c>
    </row>
    <row r="46" spans="1:17">
      <c r="A46" s="5" t="s">
        <v>1267</v>
      </c>
      <c r="B46" t="s">
        <v>2681</v>
      </c>
      <c r="C46" s="49">
        <f>IF(D46=0,0,IF(OR(D46&gt;P46,D46&lt;Q46),"contact vendor",F46*D46^G46+H46*LN(D46)+I46+J46*EXP(K46*D46)+L46*D46^3+M46*D46^2+N46*D46+O46))</f>
        <v>18988.900494124002</v>
      </c>
      <c r="D46">
        <f>htank_vol</f>
        <v>9552</v>
      </c>
      <c r="E46" t="s">
        <v>1211</v>
      </c>
      <c r="F46">
        <f t="shared" si="8"/>
        <v>0</v>
      </c>
      <c r="G46">
        <f t="shared" si="8"/>
        <v>0</v>
      </c>
      <c r="H46">
        <f t="shared" si="8"/>
        <v>0</v>
      </c>
      <c r="I46">
        <f t="shared" si="8"/>
        <v>0</v>
      </c>
      <c r="J46">
        <f t="shared" si="8"/>
        <v>0</v>
      </c>
      <c r="K46">
        <f t="shared" si="8"/>
        <v>0</v>
      </c>
      <c r="L46">
        <f t="shared" si="8"/>
        <v>3E-9</v>
      </c>
      <c r="M46">
        <f t="shared" si="8"/>
        <v>-4.4866E-5</v>
      </c>
      <c r="N46">
        <f t="shared" si="8"/>
        <v>2.0973282219999998</v>
      </c>
      <c r="O46">
        <f t="shared" si="8"/>
        <v>434.23312942000001</v>
      </c>
      <c r="P46">
        <f t="shared" si="8"/>
        <v>16502</v>
      </c>
      <c r="Q46">
        <f t="shared" si="8"/>
        <v>0</v>
      </c>
    </row>
    <row r="47" spans="1:17">
      <c r="A47" s="844" t="s">
        <v>3376</v>
      </c>
      <c r="C47" s="596"/>
    </row>
    <row r="48" spans="1:17">
      <c r="A48" s="526" t="s">
        <v>2938</v>
      </c>
      <c r="B48" s="526" t="s">
        <v>3377</v>
      </c>
      <c r="C48" s="49">
        <f>IF(D48=0,0,IF(OR(D48&gt;P48,D48&lt;Q48),"contact vendor",F48*D48^G48+H48*LN(D48)+I48+J48*EXP(K48*D48)+L48*D48^3+M48*D48^2+N48*D48+O48))</f>
        <v>0</v>
      </c>
      <c r="D48">
        <f>coag_tank_vol</f>
        <v>0</v>
      </c>
      <c r="E48" t="s">
        <v>1226</v>
      </c>
      <c r="F48">
        <f t="shared" ref="F48:Q49" si="9">VLOOKUP($E48,eq_table_cl,F$4,FALSE)</f>
        <v>0</v>
      </c>
      <c r="G48">
        <f t="shared" si="9"/>
        <v>0</v>
      </c>
      <c r="H48">
        <f t="shared" si="9"/>
        <v>0</v>
      </c>
      <c r="I48">
        <f t="shared" si="9"/>
        <v>0</v>
      </c>
      <c r="J48">
        <f t="shared" si="9"/>
        <v>0</v>
      </c>
      <c r="K48">
        <f t="shared" si="9"/>
        <v>0</v>
      </c>
      <c r="L48">
        <f t="shared" si="9"/>
        <v>0</v>
      </c>
      <c r="M48">
        <f t="shared" si="9"/>
        <v>1.89841E-4</v>
      </c>
      <c r="N48">
        <f t="shared" si="9"/>
        <v>1.125069329</v>
      </c>
      <c r="O48">
        <f t="shared" si="9"/>
        <v>710.83996240299996</v>
      </c>
      <c r="P48">
        <f t="shared" si="9"/>
        <v>6601</v>
      </c>
      <c r="Q48">
        <f t="shared" si="9"/>
        <v>0</v>
      </c>
    </row>
    <row r="49" spans="1:17">
      <c r="A49" s="526" t="s">
        <v>1326</v>
      </c>
      <c r="B49" s="526" t="s">
        <v>3378</v>
      </c>
      <c r="C49" s="49">
        <f>IF(D49=0,0,IF(OR(D49&gt;P49,D49&lt;Q49),"contact vendor",F49*D49^G49+H49*LN(D49)+I49+J49*EXP(K49*D49)+L49*D49^3+M49*D49^2+N49*D49+O49))</f>
        <v>0</v>
      </c>
      <c r="D49">
        <f>coag_tank_vol</f>
        <v>0</v>
      </c>
      <c r="E49" t="s">
        <v>1227</v>
      </c>
      <c r="F49">
        <f t="shared" si="9"/>
        <v>259.35532937099998</v>
      </c>
      <c r="G49">
        <f t="shared" si="9"/>
        <v>0.55137656199999996</v>
      </c>
      <c r="H49">
        <f t="shared" si="9"/>
        <v>0</v>
      </c>
      <c r="I49">
        <f t="shared" si="9"/>
        <v>0</v>
      </c>
      <c r="J49">
        <f t="shared" si="9"/>
        <v>0</v>
      </c>
      <c r="K49">
        <f t="shared" si="9"/>
        <v>0</v>
      </c>
      <c r="L49">
        <f t="shared" si="9"/>
        <v>0</v>
      </c>
      <c r="M49">
        <f t="shared" si="9"/>
        <v>0</v>
      </c>
      <c r="N49">
        <f t="shared" si="9"/>
        <v>0</v>
      </c>
      <c r="O49">
        <f t="shared" si="9"/>
        <v>0</v>
      </c>
      <c r="P49">
        <f t="shared" si="9"/>
        <v>30001</v>
      </c>
      <c r="Q49">
        <f t="shared" si="9"/>
        <v>0</v>
      </c>
    </row>
    <row r="50" spans="1:17">
      <c r="A50" s="41" t="s">
        <v>1367</v>
      </c>
      <c r="C50" s="72"/>
    </row>
    <row r="51" spans="1:17">
      <c r="A51" s="651" t="s">
        <v>2938</v>
      </c>
      <c r="B51" s="5" t="s">
        <v>1368</v>
      </c>
      <c r="C51" s="49">
        <f>IF(D51=0,0,IF(OR(D51&gt;P51,D51&lt;Q51),"contact vendor",F51*D51^G51+H51*LN(D51)+I51+J51*EXP(K51*D51)+L51*D51^3+M51*D51^2+N51*D51+O51))</f>
        <v>0</v>
      </c>
      <c r="D51" s="73">
        <f>polymer_tank_vol</f>
        <v>0</v>
      </c>
      <c r="E51" t="s">
        <v>1226</v>
      </c>
      <c r="F51">
        <f t="shared" ref="F51:Q53" si="10">VLOOKUP($E51,eq_table_cl,F$4,FALSE)</f>
        <v>0</v>
      </c>
      <c r="G51">
        <f t="shared" si="10"/>
        <v>0</v>
      </c>
      <c r="H51">
        <f t="shared" si="10"/>
        <v>0</v>
      </c>
      <c r="I51">
        <f t="shared" si="10"/>
        <v>0</v>
      </c>
      <c r="J51">
        <f t="shared" si="10"/>
        <v>0</v>
      </c>
      <c r="K51">
        <f t="shared" si="10"/>
        <v>0</v>
      </c>
      <c r="L51">
        <f t="shared" si="10"/>
        <v>0</v>
      </c>
      <c r="M51">
        <f t="shared" si="10"/>
        <v>1.89841E-4</v>
      </c>
      <c r="N51">
        <f t="shared" si="10"/>
        <v>1.125069329</v>
      </c>
      <c r="O51">
        <f t="shared" si="10"/>
        <v>710.83996240299996</v>
      </c>
      <c r="P51">
        <f t="shared" si="10"/>
        <v>6601</v>
      </c>
      <c r="Q51">
        <f t="shared" si="10"/>
        <v>0</v>
      </c>
    </row>
    <row r="52" spans="1:17">
      <c r="A52" s="5" t="s">
        <v>1326</v>
      </c>
      <c r="B52" s="5" t="s">
        <v>1369</v>
      </c>
      <c r="C52" s="49">
        <f>IF(D52=0,0,IF(OR(D52&gt;P52,D52&lt;Q52),"contact vendor",F52*D52^G52+H52*LN(D52)+I52+J52*EXP(K52*D52)+L52*D52^3+M52*D52^2+N52*D52+O52))</f>
        <v>0</v>
      </c>
      <c r="D52" s="73">
        <f>polymer_tank_vol</f>
        <v>0</v>
      </c>
      <c r="E52" t="s">
        <v>1227</v>
      </c>
      <c r="F52">
        <f t="shared" si="10"/>
        <v>259.35532937099998</v>
      </c>
      <c r="G52">
        <f t="shared" si="10"/>
        <v>0.55137656199999996</v>
      </c>
      <c r="H52">
        <f t="shared" si="10"/>
        <v>0</v>
      </c>
      <c r="I52">
        <f t="shared" si="10"/>
        <v>0</v>
      </c>
      <c r="J52">
        <f t="shared" si="10"/>
        <v>0</v>
      </c>
      <c r="K52">
        <f t="shared" si="10"/>
        <v>0</v>
      </c>
      <c r="L52">
        <f t="shared" si="10"/>
        <v>0</v>
      </c>
      <c r="M52">
        <f t="shared" si="10"/>
        <v>0</v>
      </c>
      <c r="N52">
        <f t="shared" si="10"/>
        <v>0</v>
      </c>
      <c r="O52">
        <f t="shared" si="10"/>
        <v>0</v>
      </c>
      <c r="P52">
        <f t="shared" si="10"/>
        <v>30001</v>
      </c>
      <c r="Q52">
        <f t="shared" si="10"/>
        <v>0</v>
      </c>
    </row>
    <row r="53" spans="1:17">
      <c r="A53" s="5" t="s">
        <v>2582</v>
      </c>
      <c r="B53" s="5" t="s">
        <v>2906</v>
      </c>
      <c r="C53" s="49">
        <f>IF(D53=0,0,IF(OR(D53&gt;P53,D53&lt;Q53),"contact vendor",F53*D53^G53+H53*LN(D53)+I53+J53*EXP(K53*D53)+L53*D53^3+M53*D53^2+N53*D53+O53))</f>
        <v>0</v>
      </c>
      <c r="D53" s="73">
        <f>polymer_tank_vol</f>
        <v>0</v>
      </c>
      <c r="E53" t="s">
        <v>2903</v>
      </c>
      <c r="F53">
        <f t="shared" si="10"/>
        <v>57.021589231</v>
      </c>
      <c r="G53">
        <f t="shared" si="10"/>
        <v>0.72932539100000005</v>
      </c>
      <c r="H53">
        <f t="shared" si="10"/>
        <v>0</v>
      </c>
      <c r="I53">
        <f t="shared" si="10"/>
        <v>0</v>
      </c>
      <c r="J53">
        <f t="shared" si="10"/>
        <v>0</v>
      </c>
      <c r="K53">
        <f t="shared" si="10"/>
        <v>0</v>
      </c>
      <c r="L53">
        <f t="shared" si="10"/>
        <v>0</v>
      </c>
      <c r="M53">
        <f t="shared" si="10"/>
        <v>0</v>
      </c>
      <c r="N53">
        <f t="shared" si="10"/>
        <v>0</v>
      </c>
      <c r="O53">
        <f t="shared" si="10"/>
        <v>0</v>
      </c>
      <c r="P53">
        <f t="shared" si="10"/>
        <v>30001</v>
      </c>
      <c r="Q53">
        <f t="shared" si="10"/>
        <v>0</v>
      </c>
    </row>
    <row r="54" spans="1:17">
      <c r="A54" s="28" t="s">
        <v>1328</v>
      </c>
    </row>
    <row r="55" spans="1:17">
      <c r="A55" s="29" t="s">
        <v>1335</v>
      </c>
    </row>
    <row r="56" spans="1:17">
      <c r="A56" s="27" t="s">
        <v>1332</v>
      </c>
      <c r="B56" t="s">
        <v>1216</v>
      </c>
      <c r="C56" s="49">
        <f>IF(D56=0,0,IF(OR(D56&gt;P56,D56&lt;Q56),"contact vendor",F56*D56^G56+H56*LN(D56)+I56+J56*EXP(K56*D56)+L56*D56^3+M56*D56^2+N56*D56+O56))</f>
        <v>46.607783347999998</v>
      </c>
      <c r="D56">
        <f>back_pipe_diam</f>
        <v>6</v>
      </c>
      <c r="E56" t="s">
        <v>750</v>
      </c>
      <c r="F56">
        <f t="shared" ref="F56:Q59" si="11">VLOOKUP($E56,eq_table_cl,F$4,FALSE)</f>
        <v>0</v>
      </c>
      <c r="G56">
        <f t="shared" si="11"/>
        <v>0</v>
      </c>
      <c r="H56">
        <f t="shared" si="11"/>
        <v>0</v>
      </c>
      <c r="I56">
        <f t="shared" si="11"/>
        <v>0</v>
      </c>
      <c r="J56">
        <f t="shared" si="11"/>
        <v>0</v>
      </c>
      <c r="K56">
        <f t="shared" si="11"/>
        <v>0</v>
      </c>
      <c r="L56">
        <f t="shared" si="11"/>
        <v>6.5072480000000002E-3</v>
      </c>
      <c r="M56">
        <f t="shared" si="11"/>
        <v>0.74408816600000005</v>
      </c>
      <c r="N56">
        <f t="shared" si="11"/>
        <v>2.9106427579999998</v>
      </c>
      <c r="O56">
        <f t="shared" si="11"/>
        <v>0.95118725599999998</v>
      </c>
      <c r="P56">
        <f t="shared" si="11"/>
        <v>18.100000000000001</v>
      </c>
      <c r="Q56">
        <f t="shared" si="11"/>
        <v>0</v>
      </c>
    </row>
    <row r="57" spans="1:17">
      <c r="A57" s="27" t="s">
        <v>1333</v>
      </c>
      <c r="B57" t="s">
        <v>1217</v>
      </c>
      <c r="C57" s="49">
        <f>IF(D57=0,0,IF(OR(D57&gt;P57,D57&lt;Q57),"contact vendor",F57*D57^G57+H57*LN(D57)+I57+J57*EXP(K57*D57)+L57*D57^3+M57*D57^2+N57*D57+O57))</f>
        <v>9.7294354409999997</v>
      </c>
      <c r="D57">
        <f>back_pipe_diam</f>
        <v>6</v>
      </c>
      <c r="E57" t="s">
        <v>751</v>
      </c>
      <c r="F57">
        <f t="shared" si="11"/>
        <v>0</v>
      </c>
      <c r="G57">
        <f t="shared" si="11"/>
        <v>0</v>
      </c>
      <c r="H57">
        <f t="shared" si="11"/>
        <v>0</v>
      </c>
      <c r="I57">
        <f t="shared" si="11"/>
        <v>0</v>
      </c>
      <c r="J57">
        <f t="shared" si="11"/>
        <v>0</v>
      </c>
      <c r="K57">
        <f t="shared" si="11"/>
        <v>0</v>
      </c>
      <c r="L57">
        <f t="shared" si="11"/>
        <v>0</v>
      </c>
      <c r="M57">
        <f t="shared" si="11"/>
        <v>9.7106987000000006E-2</v>
      </c>
      <c r="N57">
        <f t="shared" si="11"/>
        <v>0.800977414</v>
      </c>
      <c r="O57">
        <f t="shared" si="11"/>
        <v>1.427719425</v>
      </c>
      <c r="P57">
        <f t="shared" si="11"/>
        <v>48.1</v>
      </c>
      <c r="Q57">
        <f t="shared" si="11"/>
        <v>0</v>
      </c>
    </row>
    <row r="58" spans="1:17">
      <c r="A58" s="27" t="s">
        <v>2582</v>
      </c>
      <c r="B58" t="s">
        <v>1218</v>
      </c>
      <c r="C58" s="49">
        <f>IF(D58=0,0,IF(OR(D58&gt;P58,D58&lt;Q58),"contact vendor",F58*D58^G58+H58*LN(D58)+I58+J58*EXP(K58*D58)+L58*D58^3+M58*D58^2+N58*D58+O58))</f>
        <v>258.55539581699992</v>
      </c>
      <c r="D58">
        <f>back_pipe_diam</f>
        <v>6</v>
      </c>
      <c r="E58" t="s">
        <v>752</v>
      </c>
      <c r="F58">
        <f t="shared" si="11"/>
        <v>0</v>
      </c>
      <c r="G58">
        <f t="shared" si="11"/>
        <v>0</v>
      </c>
      <c r="H58">
        <f t="shared" si="11"/>
        <v>0</v>
      </c>
      <c r="I58">
        <f t="shared" si="11"/>
        <v>0</v>
      </c>
      <c r="J58">
        <f t="shared" si="11"/>
        <v>0</v>
      </c>
      <c r="K58">
        <f t="shared" si="11"/>
        <v>0</v>
      </c>
      <c r="L58">
        <f t="shared" si="11"/>
        <v>4.8585111E-2</v>
      </c>
      <c r="M58">
        <f t="shared" si="11"/>
        <v>-2.5845256220000001</v>
      </c>
      <c r="N58">
        <f t="shared" si="11"/>
        <v>58.928328317999998</v>
      </c>
      <c r="O58">
        <f t="shared" si="11"/>
        <v>-12.466035675000001</v>
      </c>
      <c r="P58">
        <f t="shared" si="11"/>
        <v>48.1</v>
      </c>
      <c r="Q58">
        <f t="shared" si="11"/>
        <v>0</v>
      </c>
    </row>
    <row r="59" spans="1:17">
      <c r="A59" s="27" t="s">
        <v>1334</v>
      </c>
      <c r="B59" t="s">
        <v>1219</v>
      </c>
      <c r="C59" s="49">
        <f>IF(D59=0,0,IF(OR(D59&gt;P59,D59&lt;Q59),"contact vendor",F59*D59^G59+H59*LN(D59)+I59+J59*EXP(K59*D59)+L59*D59^3+M59*D59^2+N59*D59+O59))</f>
        <v>108.71702273657689</v>
      </c>
      <c r="D59">
        <f>back_pipe_diam</f>
        <v>6</v>
      </c>
      <c r="E59" t="s">
        <v>753</v>
      </c>
      <c r="F59">
        <f t="shared" si="11"/>
        <v>20.769417377</v>
      </c>
      <c r="G59">
        <f t="shared" si="11"/>
        <v>0.92382198999999998</v>
      </c>
      <c r="H59">
        <f t="shared" si="11"/>
        <v>0</v>
      </c>
      <c r="I59">
        <f t="shared" si="11"/>
        <v>0</v>
      </c>
      <c r="J59">
        <f t="shared" si="11"/>
        <v>0</v>
      </c>
      <c r="K59">
        <f t="shared" si="11"/>
        <v>0</v>
      </c>
      <c r="L59">
        <f t="shared" si="11"/>
        <v>0</v>
      </c>
      <c r="M59">
        <f t="shared" si="11"/>
        <v>0</v>
      </c>
      <c r="N59">
        <f t="shared" si="11"/>
        <v>0</v>
      </c>
      <c r="O59">
        <f t="shared" si="11"/>
        <v>0</v>
      </c>
      <c r="P59">
        <f t="shared" si="11"/>
        <v>48.1</v>
      </c>
      <c r="Q59">
        <f t="shared" si="11"/>
        <v>0</v>
      </c>
    </row>
    <row r="60" spans="1:17">
      <c r="A60" s="29" t="s">
        <v>1461</v>
      </c>
    </row>
    <row r="61" spans="1:17">
      <c r="A61" s="27" t="s">
        <v>1332</v>
      </c>
      <c r="B61" t="s">
        <v>1230</v>
      </c>
      <c r="C61" s="49">
        <f>IF(D61=0,0,IF(OR(D61&gt;P61,D61&lt;Q61),"contact vendor",F61*D61^G61+H61*LN(D61)+I61+J61*EXP(K61*D61)+L61*D61^3+M61*D61^2+N61*D61+O61))</f>
        <v>0</v>
      </c>
      <c r="D61">
        <f>brine_pipe_diam</f>
        <v>0</v>
      </c>
      <c r="E61" t="s">
        <v>750</v>
      </c>
      <c r="F61">
        <f t="shared" ref="F61:Q63" si="12">VLOOKUP($E61,eq_table_cl,F$4,FALSE)</f>
        <v>0</v>
      </c>
      <c r="G61">
        <f t="shared" si="12"/>
        <v>0</v>
      </c>
      <c r="H61">
        <f t="shared" si="12"/>
        <v>0</v>
      </c>
      <c r="I61">
        <f t="shared" si="12"/>
        <v>0</v>
      </c>
      <c r="J61">
        <f t="shared" si="12"/>
        <v>0</v>
      </c>
      <c r="K61">
        <f t="shared" si="12"/>
        <v>0</v>
      </c>
      <c r="L61">
        <f t="shared" si="12"/>
        <v>6.5072480000000002E-3</v>
      </c>
      <c r="M61">
        <f t="shared" si="12"/>
        <v>0.74408816600000005</v>
      </c>
      <c r="N61">
        <f t="shared" si="12"/>
        <v>2.9106427579999998</v>
      </c>
      <c r="O61">
        <f t="shared" si="12"/>
        <v>0.95118725599999998</v>
      </c>
      <c r="P61">
        <f t="shared" si="12"/>
        <v>18.100000000000001</v>
      </c>
      <c r="Q61">
        <f t="shared" si="12"/>
        <v>0</v>
      </c>
    </row>
    <row r="62" spans="1:17">
      <c r="A62" s="27" t="s">
        <v>1333</v>
      </c>
      <c r="B62" t="s">
        <v>1228</v>
      </c>
      <c r="C62" s="49">
        <f>IF(D62=0,0,IF(OR(D62&gt;P62,D62&lt;Q62),"contact vendor",F62*D62^G62+H62*LN(D62)+I62+J62*EXP(K62*D62)+L62*D62^3+M62*D62^2+N62*D62+O62))</f>
        <v>0</v>
      </c>
      <c r="D62">
        <f>brine_pipe_diam</f>
        <v>0</v>
      </c>
      <c r="E62" t="s">
        <v>751</v>
      </c>
      <c r="F62">
        <f t="shared" si="12"/>
        <v>0</v>
      </c>
      <c r="G62">
        <f t="shared" si="12"/>
        <v>0</v>
      </c>
      <c r="H62">
        <f t="shared" si="12"/>
        <v>0</v>
      </c>
      <c r="I62">
        <f t="shared" si="12"/>
        <v>0</v>
      </c>
      <c r="J62">
        <f t="shared" si="12"/>
        <v>0</v>
      </c>
      <c r="K62">
        <f t="shared" si="12"/>
        <v>0</v>
      </c>
      <c r="L62">
        <f t="shared" si="12"/>
        <v>0</v>
      </c>
      <c r="M62">
        <f t="shared" si="12"/>
        <v>9.7106987000000006E-2</v>
      </c>
      <c r="N62">
        <f t="shared" si="12"/>
        <v>0.800977414</v>
      </c>
      <c r="O62">
        <f t="shared" si="12"/>
        <v>1.427719425</v>
      </c>
      <c r="P62">
        <f t="shared" si="12"/>
        <v>48.1</v>
      </c>
      <c r="Q62">
        <f t="shared" si="12"/>
        <v>0</v>
      </c>
    </row>
    <row r="63" spans="1:17">
      <c r="A63" s="27" t="s">
        <v>2582</v>
      </c>
      <c r="B63" t="s">
        <v>1229</v>
      </c>
      <c r="C63" s="49">
        <f>IF(D63=0,0,IF(OR(D63&gt;P63,D63&lt;Q63),"contact vendor",F63*D63^G63+H63*LN(D63)+I63+J63*EXP(K63*D63)+L63*D63^3+M63*D63^2+N63*D63+O63))</f>
        <v>0</v>
      </c>
      <c r="D63">
        <f>brine_pipe_diam</f>
        <v>0</v>
      </c>
      <c r="E63" t="s">
        <v>752</v>
      </c>
      <c r="F63">
        <f t="shared" si="12"/>
        <v>0</v>
      </c>
      <c r="G63">
        <f t="shared" si="12"/>
        <v>0</v>
      </c>
      <c r="H63">
        <f t="shared" si="12"/>
        <v>0</v>
      </c>
      <c r="I63">
        <f t="shared" si="12"/>
        <v>0</v>
      </c>
      <c r="J63">
        <f t="shared" si="12"/>
        <v>0</v>
      </c>
      <c r="K63">
        <f t="shared" si="12"/>
        <v>0</v>
      </c>
      <c r="L63">
        <f t="shared" si="12"/>
        <v>4.8585111E-2</v>
      </c>
      <c r="M63">
        <f t="shared" si="12"/>
        <v>-2.5845256220000001</v>
      </c>
      <c r="N63">
        <f t="shared" si="12"/>
        <v>58.928328317999998</v>
      </c>
      <c r="O63">
        <f t="shared" si="12"/>
        <v>-12.466035675000001</v>
      </c>
      <c r="P63">
        <f t="shared" si="12"/>
        <v>48.1</v>
      </c>
      <c r="Q63">
        <f t="shared" si="12"/>
        <v>0</v>
      </c>
    </row>
    <row r="64" spans="1:17">
      <c r="A64" s="29" t="s">
        <v>1329</v>
      </c>
    </row>
    <row r="65" spans="1:17">
      <c r="A65" s="27" t="s">
        <v>846</v>
      </c>
      <c r="B65" t="s">
        <v>2831</v>
      </c>
      <c r="C65" s="49">
        <f>IF(D65=0,0,IF(OR(D65&gt;P65,D65&lt;Q65),"contact vendor",F65*D65^G65+H65*LN(D65)+I65+J65*EXP(K65*D65)+L65*D65^3+M65*D65^2+N65*D65+O65))</f>
        <v>141.73754675700002</v>
      </c>
      <c r="D65">
        <f>proc_pipe_diam</f>
        <v>10</v>
      </c>
      <c r="E65" t="s">
        <v>754</v>
      </c>
      <c r="F65">
        <f t="shared" ref="F65:Q69" si="13">VLOOKUP($E65,eq_table_cl,F$4,FALSE)</f>
        <v>0</v>
      </c>
      <c r="G65">
        <f t="shared" si="13"/>
        <v>0</v>
      </c>
      <c r="H65">
        <f t="shared" si="13"/>
        <v>0</v>
      </c>
      <c r="I65">
        <f t="shared" si="13"/>
        <v>0</v>
      </c>
      <c r="J65">
        <f t="shared" si="13"/>
        <v>0</v>
      </c>
      <c r="K65">
        <f t="shared" si="13"/>
        <v>0</v>
      </c>
      <c r="L65">
        <f t="shared" si="13"/>
        <v>1.3009082E-2</v>
      </c>
      <c r="M65">
        <f t="shared" si="13"/>
        <v>-0.63853567099999997</v>
      </c>
      <c r="N65">
        <f t="shared" si="13"/>
        <v>18.152542467</v>
      </c>
      <c r="O65">
        <f t="shared" si="13"/>
        <v>11.056607186999999</v>
      </c>
      <c r="P65">
        <f t="shared" si="13"/>
        <v>48.1</v>
      </c>
      <c r="Q65">
        <f t="shared" si="13"/>
        <v>4</v>
      </c>
    </row>
    <row r="66" spans="1:17">
      <c r="A66" s="27" t="s">
        <v>1332</v>
      </c>
      <c r="B66" t="s">
        <v>1212</v>
      </c>
      <c r="C66" s="49">
        <f>IF(D66=0,0,IF(OR(D66&gt;P66,D66&lt;Q66),"contact vendor",F66*D66^G66+H66*LN(D66)+I66+J66*EXP(K66*D66)+L66*D66^3+M66*D66^2+N66*D66+O66))</f>
        <v>110.97367943600001</v>
      </c>
      <c r="D66">
        <f>proc_pipe_diam</f>
        <v>10</v>
      </c>
      <c r="E66" t="s">
        <v>750</v>
      </c>
      <c r="F66">
        <f t="shared" si="13"/>
        <v>0</v>
      </c>
      <c r="G66">
        <f t="shared" si="13"/>
        <v>0</v>
      </c>
      <c r="H66">
        <f t="shared" si="13"/>
        <v>0</v>
      </c>
      <c r="I66">
        <f t="shared" si="13"/>
        <v>0</v>
      </c>
      <c r="J66">
        <f t="shared" si="13"/>
        <v>0</v>
      </c>
      <c r="K66">
        <f t="shared" si="13"/>
        <v>0</v>
      </c>
      <c r="L66">
        <f t="shared" si="13"/>
        <v>6.5072480000000002E-3</v>
      </c>
      <c r="M66">
        <f t="shared" si="13"/>
        <v>0.74408816600000005</v>
      </c>
      <c r="N66">
        <f t="shared" si="13"/>
        <v>2.9106427579999998</v>
      </c>
      <c r="O66">
        <f t="shared" si="13"/>
        <v>0.95118725599999998</v>
      </c>
      <c r="P66">
        <f t="shared" si="13"/>
        <v>18.100000000000001</v>
      </c>
      <c r="Q66">
        <f t="shared" si="13"/>
        <v>0</v>
      </c>
    </row>
    <row r="67" spans="1:17">
      <c r="A67" s="27" t="s">
        <v>1333</v>
      </c>
      <c r="B67" t="s">
        <v>1213</v>
      </c>
      <c r="C67" s="49">
        <f>IF(D67=0,0,IF(OR(D67&gt;P67,D67&lt;Q67),"contact vendor",F67*D67^G67+H67*LN(D67)+I67+J67*EXP(K67*D67)+L67*D67^3+M67*D67^2+N67*D67+O67))</f>
        <v>19.148192264999999</v>
      </c>
      <c r="D67">
        <f>proc_pipe_diam</f>
        <v>10</v>
      </c>
      <c r="E67" t="s">
        <v>751</v>
      </c>
      <c r="F67">
        <f t="shared" si="13"/>
        <v>0</v>
      </c>
      <c r="G67">
        <f t="shared" si="13"/>
        <v>0</v>
      </c>
      <c r="H67">
        <f t="shared" si="13"/>
        <v>0</v>
      </c>
      <c r="I67">
        <f t="shared" si="13"/>
        <v>0</v>
      </c>
      <c r="J67">
        <f t="shared" si="13"/>
        <v>0</v>
      </c>
      <c r="K67">
        <f t="shared" si="13"/>
        <v>0</v>
      </c>
      <c r="L67">
        <f t="shared" si="13"/>
        <v>0</v>
      </c>
      <c r="M67">
        <f t="shared" si="13"/>
        <v>9.7106987000000006E-2</v>
      </c>
      <c r="N67">
        <f t="shared" si="13"/>
        <v>0.800977414</v>
      </c>
      <c r="O67">
        <f t="shared" si="13"/>
        <v>1.427719425</v>
      </c>
      <c r="P67">
        <f t="shared" si="13"/>
        <v>48.1</v>
      </c>
      <c r="Q67">
        <f t="shared" si="13"/>
        <v>0</v>
      </c>
    </row>
    <row r="68" spans="1:17">
      <c r="A68" s="27" t="s">
        <v>2582</v>
      </c>
      <c r="B68" t="s">
        <v>1214</v>
      </c>
      <c r="C68" s="49">
        <f>IF(D68=0,0,IF(OR(D68&gt;P68,D68&lt;Q68),"contact vendor",F68*D68^G68+H68*LN(D68)+I68+J68*EXP(K68*D68)+L68*D68^3+M68*D68^2+N68*D68+O68))</f>
        <v>366.94979630500001</v>
      </c>
      <c r="D68">
        <f>proc_pipe_diam</f>
        <v>10</v>
      </c>
      <c r="E68" t="s">
        <v>752</v>
      </c>
      <c r="F68">
        <f t="shared" si="13"/>
        <v>0</v>
      </c>
      <c r="G68">
        <f t="shared" si="13"/>
        <v>0</v>
      </c>
      <c r="H68">
        <f t="shared" si="13"/>
        <v>0</v>
      </c>
      <c r="I68">
        <f t="shared" si="13"/>
        <v>0</v>
      </c>
      <c r="J68">
        <f t="shared" si="13"/>
        <v>0</v>
      </c>
      <c r="K68">
        <f t="shared" si="13"/>
        <v>0</v>
      </c>
      <c r="L68">
        <f t="shared" si="13"/>
        <v>4.8585111E-2</v>
      </c>
      <c r="M68">
        <f t="shared" si="13"/>
        <v>-2.5845256220000001</v>
      </c>
      <c r="N68">
        <f t="shared" si="13"/>
        <v>58.928328317999998</v>
      </c>
      <c r="O68">
        <f t="shared" si="13"/>
        <v>-12.466035675000001</v>
      </c>
      <c r="P68">
        <f t="shared" si="13"/>
        <v>48.1</v>
      </c>
      <c r="Q68">
        <f t="shared" si="13"/>
        <v>0</v>
      </c>
    </row>
    <row r="69" spans="1:17">
      <c r="A69" s="27" t="s">
        <v>1334</v>
      </c>
      <c r="B69" t="s">
        <v>1215</v>
      </c>
      <c r="C69" s="49">
        <f>IF(D69=0,0,IF(OR(D69&gt;P69,D69&lt;Q69),"contact vendor",F69*D69^G69+H69*LN(D69)+I69+J69*EXP(K69*D69)+L69*D69^3+M69*D69^2+N69*D69+O69))</f>
        <v>174.27949943716169</v>
      </c>
      <c r="D69">
        <f>proc_pipe_diam</f>
        <v>10</v>
      </c>
      <c r="E69" t="s">
        <v>753</v>
      </c>
      <c r="F69">
        <f t="shared" si="13"/>
        <v>20.769417377</v>
      </c>
      <c r="G69">
        <f t="shared" si="13"/>
        <v>0.92382198999999998</v>
      </c>
      <c r="H69">
        <f t="shared" si="13"/>
        <v>0</v>
      </c>
      <c r="I69">
        <f t="shared" si="13"/>
        <v>0</v>
      </c>
      <c r="J69">
        <f t="shared" si="13"/>
        <v>0</v>
      </c>
      <c r="K69">
        <f t="shared" si="13"/>
        <v>0</v>
      </c>
      <c r="L69">
        <f t="shared" si="13"/>
        <v>0</v>
      </c>
      <c r="M69">
        <f t="shared" si="13"/>
        <v>0</v>
      </c>
      <c r="N69">
        <f t="shared" si="13"/>
        <v>0</v>
      </c>
      <c r="O69">
        <f t="shared" si="13"/>
        <v>0</v>
      </c>
      <c r="P69">
        <f t="shared" si="13"/>
        <v>48.1</v>
      </c>
      <c r="Q69">
        <f t="shared" si="13"/>
        <v>0</v>
      </c>
    </row>
    <row r="70" spans="1:17">
      <c r="A70" s="29" t="s">
        <v>2190</v>
      </c>
    </row>
    <row r="71" spans="1:17">
      <c r="A71" s="27" t="s">
        <v>1332</v>
      </c>
      <c r="B71" t="s">
        <v>2814</v>
      </c>
      <c r="C71" s="49">
        <f>IF(D71=0,0,IF(OR(D71&gt;P71,D71&lt;Q71),"contact vendor",F71*D71^G71+H71*LN(D71)+I71+J71*EXP(K71*D71)+L71*D71^3+M71*D71^2+N71*D71+O71))</f>
        <v>0</v>
      </c>
      <c r="D71">
        <f>bp_pipe_diam</f>
        <v>0</v>
      </c>
      <c r="E71" t="s">
        <v>750</v>
      </c>
      <c r="F71">
        <f t="shared" ref="F71:Q74" si="14">VLOOKUP($E71,eq_table_cl,F$4,FALSE)</f>
        <v>0</v>
      </c>
      <c r="G71">
        <f t="shared" si="14"/>
        <v>0</v>
      </c>
      <c r="H71">
        <f t="shared" si="14"/>
        <v>0</v>
      </c>
      <c r="I71">
        <f t="shared" si="14"/>
        <v>0</v>
      </c>
      <c r="J71">
        <f t="shared" si="14"/>
        <v>0</v>
      </c>
      <c r="K71">
        <f t="shared" si="14"/>
        <v>0</v>
      </c>
      <c r="L71">
        <f t="shared" si="14"/>
        <v>6.5072480000000002E-3</v>
      </c>
      <c r="M71">
        <f t="shared" si="14"/>
        <v>0.74408816600000005</v>
      </c>
      <c r="N71">
        <f t="shared" si="14"/>
        <v>2.9106427579999998</v>
      </c>
      <c r="O71">
        <f t="shared" si="14"/>
        <v>0.95118725599999998</v>
      </c>
      <c r="P71">
        <f t="shared" si="14"/>
        <v>18.100000000000001</v>
      </c>
      <c r="Q71">
        <f t="shared" si="14"/>
        <v>0</v>
      </c>
    </row>
    <row r="72" spans="1:17">
      <c r="A72" s="27" t="s">
        <v>1333</v>
      </c>
      <c r="B72" t="s">
        <v>1231</v>
      </c>
      <c r="C72" s="49">
        <f>IF(D72=0,0,IF(OR(D72&gt;P72,D72&lt;Q72),"contact vendor",F72*D72^G72+H72*LN(D72)+I72+J72*EXP(K72*D72)+L72*D72^3+M72*D72^2+N72*D72+O72))</f>
        <v>0</v>
      </c>
      <c r="D72">
        <f>bp_pipe_diam</f>
        <v>0</v>
      </c>
      <c r="E72" t="s">
        <v>751</v>
      </c>
      <c r="F72">
        <f t="shared" si="14"/>
        <v>0</v>
      </c>
      <c r="G72">
        <f t="shared" si="14"/>
        <v>0</v>
      </c>
      <c r="H72">
        <f t="shared" si="14"/>
        <v>0</v>
      </c>
      <c r="I72">
        <f t="shared" si="14"/>
        <v>0</v>
      </c>
      <c r="J72">
        <f t="shared" si="14"/>
        <v>0</v>
      </c>
      <c r="K72">
        <f t="shared" si="14"/>
        <v>0</v>
      </c>
      <c r="L72">
        <f t="shared" si="14"/>
        <v>0</v>
      </c>
      <c r="M72">
        <f t="shared" si="14"/>
        <v>9.7106987000000006E-2</v>
      </c>
      <c r="N72">
        <f t="shared" si="14"/>
        <v>0.800977414</v>
      </c>
      <c r="O72">
        <f t="shared" si="14"/>
        <v>1.427719425</v>
      </c>
      <c r="P72">
        <f t="shared" si="14"/>
        <v>48.1</v>
      </c>
      <c r="Q72">
        <f t="shared" si="14"/>
        <v>0</v>
      </c>
    </row>
    <row r="73" spans="1:17">
      <c r="A73" s="27" t="s">
        <v>2582</v>
      </c>
      <c r="B73" t="s">
        <v>2812</v>
      </c>
      <c r="C73" s="49">
        <f>IF(D73=0,0,IF(OR(D73&gt;P73,D73&lt;Q73),"contact vendor",F73*D73^G73+H73*LN(D73)+I73+J73*EXP(K73*D73)+L73*D73^3+M73*D73^2+N73*D73+O73))</f>
        <v>0</v>
      </c>
      <c r="D73">
        <f>bp_pipe_diam</f>
        <v>0</v>
      </c>
      <c r="E73" t="s">
        <v>752</v>
      </c>
      <c r="F73">
        <f t="shared" si="14"/>
        <v>0</v>
      </c>
      <c r="G73">
        <f t="shared" si="14"/>
        <v>0</v>
      </c>
      <c r="H73">
        <f t="shared" si="14"/>
        <v>0</v>
      </c>
      <c r="I73">
        <f t="shared" si="14"/>
        <v>0</v>
      </c>
      <c r="J73">
        <f t="shared" si="14"/>
        <v>0</v>
      </c>
      <c r="K73">
        <f t="shared" si="14"/>
        <v>0</v>
      </c>
      <c r="L73">
        <f t="shared" si="14"/>
        <v>4.8585111E-2</v>
      </c>
      <c r="M73">
        <f t="shared" si="14"/>
        <v>-2.5845256220000001</v>
      </c>
      <c r="N73">
        <f t="shared" si="14"/>
        <v>58.928328317999998</v>
      </c>
      <c r="O73">
        <f t="shared" si="14"/>
        <v>-12.466035675000001</v>
      </c>
      <c r="P73">
        <f t="shared" si="14"/>
        <v>48.1</v>
      </c>
      <c r="Q73">
        <f t="shared" si="14"/>
        <v>0</v>
      </c>
    </row>
    <row r="74" spans="1:17">
      <c r="A74" s="27" t="s">
        <v>1334</v>
      </c>
      <c r="B74" t="s">
        <v>2813</v>
      </c>
      <c r="C74" s="49">
        <f>IF(D74=0,0,IF(OR(D74&gt;P74,D74&lt;Q74),"contact vendor",F74*D74^G74+H74*LN(D74)+I74+J74*EXP(K74*D74)+L74*D74^3+M74*D74^2+N74*D74+O74))</f>
        <v>0</v>
      </c>
      <c r="D74">
        <f>bp_pipe_diam</f>
        <v>0</v>
      </c>
      <c r="E74" t="s">
        <v>753</v>
      </c>
      <c r="F74">
        <f t="shared" si="14"/>
        <v>20.769417377</v>
      </c>
      <c r="G74">
        <f t="shared" si="14"/>
        <v>0.92382198999999998</v>
      </c>
      <c r="H74">
        <f t="shared" si="14"/>
        <v>0</v>
      </c>
      <c r="I74">
        <f t="shared" si="14"/>
        <v>0</v>
      </c>
      <c r="J74">
        <f t="shared" si="14"/>
        <v>0</v>
      </c>
      <c r="K74">
        <f t="shared" si="14"/>
        <v>0</v>
      </c>
      <c r="L74">
        <f t="shared" si="14"/>
        <v>0</v>
      </c>
      <c r="M74">
        <f t="shared" si="14"/>
        <v>0</v>
      </c>
      <c r="N74">
        <f t="shared" si="14"/>
        <v>0</v>
      </c>
      <c r="O74">
        <f t="shared" si="14"/>
        <v>0</v>
      </c>
      <c r="P74">
        <f t="shared" si="14"/>
        <v>48.1</v>
      </c>
      <c r="Q74">
        <f t="shared" si="14"/>
        <v>0</v>
      </c>
    </row>
    <row r="75" spans="1:17">
      <c r="A75" s="29" t="s">
        <v>3460</v>
      </c>
    </row>
    <row r="76" spans="1:17">
      <c r="A76" s="27" t="s">
        <v>846</v>
      </c>
      <c r="B76" t="s">
        <v>847</v>
      </c>
      <c r="C76" s="49">
        <f>IF(D76=0,0,IF(OR(D76&gt;P76,D76&lt;Q76),"contact vendor",F76*D76^G76+H76*LN(D76)+I76+J76*EXP(K76*D76)+L76*D76^3+M76*D76^2+N76*D76+O76))</f>
        <v>141.73754675700002</v>
      </c>
      <c r="D76">
        <f>in_out_pipe_diam</f>
        <v>10</v>
      </c>
      <c r="E76" t="s">
        <v>754</v>
      </c>
      <c r="F76">
        <f t="shared" ref="F76:Q80" si="15">VLOOKUP($E76,eq_table_cl,F$4,FALSE)</f>
        <v>0</v>
      </c>
      <c r="G76">
        <f t="shared" si="15"/>
        <v>0</v>
      </c>
      <c r="H76">
        <f t="shared" si="15"/>
        <v>0</v>
      </c>
      <c r="I76">
        <f t="shared" si="15"/>
        <v>0</v>
      </c>
      <c r="J76">
        <f t="shared" si="15"/>
        <v>0</v>
      </c>
      <c r="K76">
        <f t="shared" si="15"/>
        <v>0</v>
      </c>
      <c r="L76">
        <f t="shared" si="15"/>
        <v>1.3009082E-2</v>
      </c>
      <c r="M76">
        <f t="shared" si="15"/>
        <v>-0.63853567099999997</v>
      </c>
      <c r="N76">
        <f t="shared" si="15"/>
        <v>18.152542467</v>
      </c>
      <c r="O76">
        <f t="shared" si="15"/>
        <v>11.056607186999999</v>
      </c>
      <c r="P76">
        <f t="shared" si="15"/>
        <v>48.1</v>
      </c>
      <c r="Q76">
        <f t="shared" si="15"/>
        <v>4</v>
      </c>
    </row>
    <row r="77" spans="1:17">
      <c r="A77" s="27" t="s">
        <v>1332</v>
      </c>
      <c r="B77" t="s">
        <v>275</v>
      </c>
      <c r="C77" s="49">
        <f>IF(D77=0,0,IF(OR(D77&gt;P77,D77&lt;Q77),"contact vendor",F77*D77^G77+H77*LN(D77)+I77+J77*EXP(K77*D77)+L77*D77^3+M77*D77^2+N77*D77+O77))</f>
        <v>110.97367943600001</v>
      </c>
      <c r="D77">
        <f>in_out_pipe_diam</f>
        <v>10</v>
      </c>
      <c r="E77" t="s">
        <v>750</v>
      </c>
      <c r="F77">
        <f t="shared" si="15"/>
        <v>0</v>
      </c>
      <c r="G77">
        <f t="shared" si="15"/>
        <v>0</v>
      </c>
      <c r="H77">
        <f t="shared" si="15"/>
        <v>0</v>
      </c>
      <c r="I77">
        <f t="shared" si="15"/>
        <v>0</v>
      </c>
      <c r="J77">
        <f t="shared" si="15"/>
        <v>0</v>
      </c>
      <c r="K77">
        <f t="shared" si="15"/>
        <v>0</v>
      </c>
      <c r="L77">
        <f t="shared" si="15"/>
        <v>6.5072480000000002E-3</v>
      </c>
      <c r="M77">
        <f t="shared" si="15"/>
        <v>0.74408816600000005</v>
      </c>
      <c r="N77">
        <f t="shared" si="15"/>
        <v>2.9106427579999998</v>
      </c>
      <c r="O77">
        <f t="shared" si="15"/>
        <v>0.95118725599999998</v>
      </c>
      <c r="P77">
        <f t="shared" si="15"/>
        <v>18.100000000000001</v>
      </c>
      <c r="Q77">
        <f t="shared" si="15"/>
        <v>0</v>
      </c>
    </row>
    <row r="78" spans="1:17">
      <c r="A78" s="27" t="s">
        <v>1333</v>
      </c>
      <c r="B78" t="s">
        <v>272</v>
      </c>
      <c r="C78" s="49">
        <f>IF(D78=0,0,IF(OR(D78&gt;P78,D78&lt;Q78),"contact vendor",F78*D78^G78+H78*LN(D78)+I78+J78*EXP(K78*D78)+L78*D78^3+M78*D78^2+N78*D78+O78))</f>
        <v>19.148192264999999</v>
      </c>
      <c r="D78">
        <f>in_out_pipe_diam</f>
        <v>10</v>
      </c>
      <c r="E78" t="s">
        <v>751</v>
      </c>
      <c r="F78">
        <f t="shared" si="15"/>
        <v>0</v>
      </c>
      <c r="G78">
        <f t="shared" si="15"/>
        <v>0</v>
      </c>
      <c r="H78">
        <f t="shared" si="15"/>
        <v>0</v>
      </c>
      <c r="I78">
        <f t="shared" si="15"/>
        <v>0</v>
      </c>
      <c r="J78">
        <f t="shared" si="15"/>
        <v>0</v>
      </c>
      <c r="K78">
        <f t="shared" si="15"/>
        <v>0</v>
      </c>
      <c r="L78">
        <f t="shared" si="15"/>
        <v>0</v>
      </c>
      <c r="M78">
        <f t="shared" si="15"/>
        <v>9.7106987000000006E-2</v>
      </c>
      <c r="N78">
        <f t="shared" si="15"/>
        <v>0.800977414</v>
      </c>
      <c r="O78">
        <f t="shared" si="15"/>
        <v>1.427719425</v>
      </c>
      <c r="P78">
        <f t="shared" si="15"/>
        <v>48.1</v>
      </c>
      <c r="Q78">
        <f t="shared" si="15"/>
        <v>0</v>
      </c>
    </row>
    <row r="79" spans="1:17">
      <c r="A79" s="27" t="s">
        <v>2582</v>
      </c>
      <c r="B79" t="s">
        <v>273</v>
      </c>
      <c r="C79" s="49">
        <f>IF(D79=0,0,IF(OR(D79&gt;P79,D79&lt;Q79),"contact vendor",F79*D79^G79+H79*LN(D79)+I79+J79*EXP(K79*D79)+L79*D79^3+M79*D79^2+N79*D79+O79))</f>
        <v>366.94979630500001</v>
      </c>
      <c r="D79">
        <f>in_out_pipe_diam</f>
        <v>10</v>
      </c>
      <c r="E79" t="s">
        <v>752</v>
      </c>
      <c r="F79">
        <f t="shared" si="15"/>
        <v>0</v>
      </c>
      <c r="G79">
        <f t="shared" si="15"/>
        <v>0</v>
      </c>
      <c r="H79">
        <f t="shared" si="15"/>
        <v>0</v>
      </c>
      <c r="I79">
        <f t="shared" si="15"/>
        <v>0</v>
      </c>
      <c r="J79">
        <f t="shared" si="15"/>
        <v>0</v>
      </c>
      <c r="K79">
        <f t="shared" si="15"/>
        <v>0</v>
      </c>
      <c r="L79">
        <f t="shared" si="15"/>
        <v>4.8585111E-2</v>
      </c>
      <c r="M79">
        <f t="shared" si="15"/>
        <v>-2.5845256220000001</v>
      </c>
      <c r="N79">
        <f t="shared" si="15"/>
        <v>58.928328317999998</v>
      </c>
      <c r="O79">
        <f t="shared" si="15"/>
        <v>-12.466035675000001</v>
      </c>
      <c r="P79">
        <f t="shared" si="15"/>
        <v>48.1</v>
      </c>
      <c r="Q79">
        <f t="shared" si="15"/>
        <v>0</v>
      </c>
    </row>
    <row r="80" spans="1:17">
      <c r="A80" s="27" t="s">
        <v>1334</v>
      </c>
      <c r="B80" t="s">
        <v>274</v>
      </c>
      <c r="C80" s="49">
        <f>IF(D80=0,0,IF(OR(D80&gt;P80,D80&lt;Q80),"contact vendor",F80*D80^G80+H80*LN(D80)+I80+J80*EXP(K80*D80)+L80*D80^3+M80*D80^2+N80*D80+O80))</f>
        <v>174.27949943716169</v>
      </c>
      <c r="D80">
        <f>in_out_pipe_diam</f>
        <v>10</v>
      </c>
      <c r="E80" t="s">
        <v>753</v>
      </c>
      <c r="F80">
        <f t="shared" si="15"/>
        <v>20.769417377</v>
      </c>
      <c r="G80">
        <f t="shared" si="15"/>
        <v>0.92382198999999998</v>
      </c>
      <c r="H80">
        <f t="shared" si="15"/>
        <v>0</v>
      </c>
      <c r="I80">
        <f t="shared" si="15"/>
        <v>0</v>
      </c>
      <c r="J80">
        <f t="shared" si="15"/>
        <v>0</v>
      </c>
      <c r="K80">
        <f t="shared" si="15"/>
        <v>0</v>
      </c>
      <c r="L80">
        <f t="shared" si="15"/>
        <v>0</v>
      </c>
      <c r="M80">
        <f t="shared" si="15"/>
        <v>0</v>
      </c>
      <c r="N80">
        <f t="shared" si="15"/>
        <v>0</v>
      </c>
      <c r="O80">
        <f t="shared" si="15"/>
        <v>0</v>
      </c>
      <c r="P80">
        <f t="shared" si="15"/>
        <v>48.1</v>
      </c>
      <c r="Q80">
        <f t="shared" si="15"/>
        <v>0</v>
      </c>
    </row>
    <row r="81" spans="1:17">
      <c r="A81" s="29" t="s">
        <v>2375</v>
      </c>
    </row>
    <row r="82" spans="1:17">
      <c r="A82" s="27" t="s">
        <v>1332</v>
      </c>
      <c r="B82" t="s">
        <v>2360</v>
      </c>
      <c r="C82" s="49">
        <f>IF(D82=0,0,IF(OR(D82&gt;P82,D82&lt;Q82),"contact vendor",F82*D82^G82+H82*LN(D82)+I82+J82*EXP(K82*D82)+L82*D82^3+M82*D82^2+N82*D82+O82))</f>
        <v>0</v>
      </c>
      <c r="D82">
        <f>caustic_pipe_diam</f>
        <v>0</v>
      </c>
      <c r="E82" t="s">
        <v>750</v>
      </c>
      <c r="F82">
        <f t="shared" ref="F82:Q84" si="16">VLOOKUP($E82,eq_table_cl,F$4,FALSE)</f>
        <v>0</v>
      </c>
      <c r="G82">
        <f t="shared" si="16"/>
        <v>0</v>
      </c>
      <c r="H82">
        <f t="shared" si="16"/>
        <v>0</v>
      </c>
      <c r="I82">
        <f t="shared" si="16"/>
        <v>0</v>
      </c>
      <c r="J82">
        <f t="shared" si="16"/>
        <v>0</v>
      </c>
      <c r="K82">
        <f t="shared" si="16"/>
        <v>0</v>
      </c>
      <c r="L82">
        <f t="shared" si="16"/>
        <v>6.5072480000000002E-3</v>
      </c>
      <c r="M82">
        <f t="shared" si="16"/>
        <v>0.74408816600000005</v>
      </c>
      <c r="N82">
        <f t="shared" si="16"/>
        <v>2.9106427579999998</v>
      </c>
      <c r="O82">
        <f t="shared" si="16"/>
        <v>0.95118725599999998</v>
      </c>
      <c r="P82">
        <f t="shared" si="16"/>
        <v>18.100000000000001</v>
      </c>
      <c r="Q82">
        <f t="shared" si="16"/>
        <v>0</v>
      </c>
    </row>
    <row r="83" spans="1:17">
      <c r="A83" s="27" t="s">
        <v>1333</v>
      </c>
      <c r="B83" t="s">
        <v>2361</v>
      </c>
      <c r="C83" s="49">
        <f>IF(D83=0,0,IF(OR(D83&gt;P83,D83&lt;Q83),"contact vendor",F83*D83^G83+H83*LN(D83)+I83+J83*EXP(K83*D83)+L83*D83^3+M83*D83^2+N83*D83+O83))</f>
        <v>0</v>
      </c>
      <c r="D83">
        <f>caustic_pipe_diam</f>
        <v>0</v>
      </c>
      <c r="E83" t="s">
        <v>751</v>
      </c>
      <c r="F83">
        <f t="shared" si="16"/>
        <v>0</v>
      </c>
      <c r="G83">
        <f t="shared" si="16"/>
        <v>0</v>
      </c>
      <c r="H83">
        <f t="shared" si="16"/>
        <v>0</v>
      </c>
      <c r="I83">
        <f t="shared" si="16"/>
        <v>0</v>
      </c>
      <c r="J83">
        <f t="shared" si="16"/>
        <v>0</v>
      </c>
      <c r="K83">
        <f t="shared" si="16"/>
        <v>0</v>
      </c>
      <c r="L83">
        <f t="shared" si="16"/>
        <v>0</v>
      </c>
      <c r="M83">
        <f t="shared" si="16"/>
        <v>9.7106987000000006E-2</v>
      </c>
      <c r="N83">
        <f t="shared" si="16"/>
        <v>0.800977414</v>
      </c>
      <c r="O83">
        <f t="shared" si="16"/>
        <v>1.427719425</v>
      </c>
      <c r="P83">
        <f t="shared" si="16"/>
        <v>48.1</v>
      </c>
      <c r="Q83">
        <f t="shared" si="16"/>
        <v>0</v>
      </c>
    </row>
    <row r="84" spans="1:17">
      <c r="A84" s="27" t="s">
        <v>2582</v>
      </c>
      <c r="B84" t="s">
        <v>2362</v>
      </c>
      <c r="C84" s="49">
        <f>IF(D84=0,0,IF(OR(D84&gt;P84,D84&lt;Q84),"contact vendor",F84*D84^G84+H84*LN(D84)+I84+J84*EXP(K84*D84)+L84*D84^3+M84*D84^2+N84*D84+O84))</f>
        <v>0</v>
      </c>
      <c r="D84">
        <f>caustic_pipe_diam</f>
        <v>0</v>
      </c>
      <c r="E84" t="s">
        <v>752</v>
      </c>
      <c r="F84">
        <f t="shared" si="16"/>
        <v>0</v>
      </c>
      <c r="G84">
        <f t="shared" si="16"/>
        <v>0</v>
      </c>
      <c r="H84">
        <f t="shared" si="16"/>
        <v>0</v>
      </c>
      <c r="I84">
        <f t="shared" si="16"/>
        <v>0</v>
      </c>
      <c r="J84">
        <f t="shared" si="16"/>
        <v>0</v>
      </c>
      <c r="K84">
        <f t="shared" si="16"/>
        <v>0</v>
      </c>
      <c r="L84">
        <f t="shared" si="16"/>
        <v>4.8585111E-2</v>
      </c>
      <c r="M84">
        <f t="shared" si="16"/>
        <v>-2.5845256220000001</v>
      </c>
      <c r="N84">
        <f t="shared" si="16"/>
        <v>58.928328317999998</v>
      </c>
      <c r="O84">
        <f t="shared" si="16"/>
        <v>-12.466035675000001</v>
      </c>
      <c r="P84">
        <f t="shared" si="16"/>
        <v>48.1</v>
      </c>
      <c r="Q84">
        <f t="shared" si="16"/>
        <v>0</v>
      </c>
    </row>
    <row r="85" spans="1:17">
      <c r="A85" s="99" t="s">
        <v>1268</v>
      </c>
    </row>
    <row r="86" spans="1:17">
      <c r="A86" s="14" t="s">
        <v>1332</v>
      </c>
      <c r="B86" t="s">
        <v>2682</v>
      </c>
      <c r="C86" s="49">
        <f>IF(D86=0,0,IF(OR(D86&gt;P86,D86&lt;Q86),"contact vendor",F86*D86^G86+H86*LN(D86)+I86+J86*EXP(K86*D86)+L86*D86^3+M86*D86^2+N86*D86+O86))</f>
        <v>4.6124254279999999</v>
      </c>
      <c r="D86">
        <f>res_pipe_diam</f>
        <v>1</v>
      </c>
      <c r="E86" t="s">
        <v>750</v>
      </c>
      <c r="F86">
        <f t="shared" ref="F86:Q89" si="17">VLOOKUP($E86,eq_table_cl,F$4,FALSE)</f>
        <v>0</v>
      </c>
      <c r="G86">
        <f t="shared" si="17"/>
        <v>0</v>
      </c>
      <c r="H86">
        <f t="shared" si="17"/>
        <v>0</v>
      </c>
      <c r="I86">
        <f t="shared" si="17"/>
        <v>0</v>
      </c>
      <c r="J86">
        <f t="shared" si="17"/>
        <v>0</v>
      </c>
      <c r="K86">
        <f t="shared" si="17"/>
        <v>0</v>
      </c>
      <c r="L86">
        <f t="shared" si="17"/>
        <v>6.5072480000000002E-3</v>
      </c>
      <c r="M86">
        <f t="shared" si="17"/>
        <v>0.74408816600000005</v>
      </c>
      <c r="N86">
        <f t="shared" si="17"/>
        <v>2.9106427579999998</v>
      </c>
      <c r="O86">
        <f t="shared" si="17"/>
        <v>0.95118725599999998</v>
      </c>
      <c r="P86">
        <f t="shared" si="17"/>
        <v>18.100000000000001</v>
      </c>
      <c r="Q86">
        <f t="shared" si="17"/>
        <v>0</v>
      </c>
    </row>
    <row r="87" spans="1:17">
      <c r="A87" s="14" t="s">
        <v>1333</v>
      </c>
      <c r="B87" t="s">
        <v>2683</v>
      </c>
      <c r="C87" s="49">
        <f>IF(D87=0,0,IF(OR(D87&gt;P87,D87&lt;Q87),"contact vendor",F87*D87^G87+H87*LN(D87)+I87+J87*EXP(K87*D87)+L87*D87^3+M87*D87^2+N87*D87+O87))</f>
        <v>2.325803826</v>
      </c>
      <c r="D87">
        <f>res_pipe_diam</f>
        <v>1</v>
      </c>
      <c r="E87" t="s">
        <v>751</v>
      </c>
      <c r="F87">
        <f t="shared" si="17"/>
        <v>0</v>
      </c>
      <c r="G87">
        <f t="shared" si="17"/>
        <v>0</v>
      </c>
      <c r="H87">
        <f t="shared" si="17"/>
        <v>0</v>
      </c>
      <c r="I87">
        <f t="shared" si="17"/>
        <v>0</v>
      </c>
      <c r="J87">
        <f t="shared" si="17"/>
        <v>0</v>
      </c>
      <c r="K87">
        <f t="shared" si="17"/>
        <v>0</v>
      </c>
      <c r="L87">
        <f t="shared" si="17"/>
        <v>0</v>
      </c>
      <c r="M87">
        <f t="shared" si="17"/>
        <v>9.7106987000000006E-2</v>
      </c>
      <c r="N87">
        <f t="shared" si="17"/>
        <v>0.800977414</v>
      </c>
      <c r="O87">
        <f t="shared" si="17"/>
        <v>1.427719425</v>
      </c>
      <c r="P87">
        <f t="shared" si="17"/>
        <v>48.1</v>
      </c>
      <c r="Q87">
        <f t="shared" si="17"/>
        <v>0</v>
      </c>
    </row>
    <row r="88" spans="1:17">
      <c r="A88" s="14" t="s">
        <v>2582</v>
      </c>
      <c r="B88" t="s">
        <v>2684</v>
      </c>
      <c r="C88" s="49">
        <f>IF(D88=0,0,IF(OR(D88&gt;P88,D88&lt;Q88),"contact vendor",F88*D88^G88+H88*LN(D88)+I88+J88*EXP(K88*D88)+L88*D88^3+M88*D88^2+N88*D88+O88))</f>
        <v>43.926352131999998</v>
      </c>
      <c r="D88">
        <f>res_pipe_diam</f>
        <v>1</v>
      </c>
      <c r="E88" t="s">
        <v>752</v>
      </c>
      <c r="F88">
        <f t="shared" si="17"/>
        <v>0</v>
      </c>
      <c r="G88">
        <f t="shared" si="17"/>
        <v>0</v>
      </c>
      <c r="H88">
        <f t="shared" si="17"/>
        <v>0</v>
      </c>
      <c r="I88">
        <f t="shared" si="17"/>
        <v>0</v>
      </c>
      <c r="J88">
        <f t="shared" si="17"/>
        <v>0</v>
      </c>
      <c r="K88">
        <f t="shared" si="17"/>
        <v>0</v>
      </c>
      <c r="L88">
        <f t="shared" si="17"/>
        <v>4.8585111E-2</v>
      </c>
      <c r="M88">
        <f t="shared" si="17"/>
        <v>-2.5845256220000001</v>
      </c>
      <c r="N88">
        <f t="shared" si="17"/>
        <v>58.928328317999998</v>
      </c>
      <c r="O88">
        <f t="shared" si="17"/>
        <v>-12.466035675000001</v>
      </c>
      <c r="P88">
        <f t="shared" si="17"/>
        <v>48.1</v>
      </c>
      <c r="Q88">
        <f t="shared" si="17"/>
        <v>0</v>
      </c>
    </row>
    <row r="89" spans="1:17">
      <c r="A89" s="14" t="s">
        <v>1334</v>
      </c>
      <c r="B89" t="s">
        <v>2685</v>
      </c>
      <c r="C89" s="49">
        <f>IF(D89=0,0,IF(OR(D89&gt;P89,D89&lt;Q89),"contact vendor",F89*D89^G89+H89*LN(D89)+I89+J89*EXP(K89*D89)+L89*D89^3+M89*D89^2+N89*D89+O89))</f>
        <v>20.769417377</v>
      </c>
      <c r="D89">
        <f>res_pipe_diam</f>
        <v>1</v>
      </c>
      <c r="E89" t="s">
        <v>753</v>
      </c>
      <c r="F89">
        <f t="shared" si="17"/>
        <v>20.769417377</v>
      </c>
      <c r="G89">
        <f t="shared" si="17"/>
        <v>0.92382198999999998</v>
      </c>
      <c r="H89">
        <f t="shared" si="17"/>
        <v>0</v>
      </c>
      <c r="I89">
        <f t="shared" si="17"/>
        <v>0</v>
      </c>
      <c r="J89">
        <f t="shared" si="17"/>
        <v>0</v>
      </c>
      <c r="K89">
        <f t="shared" si="17"/>
        <v>0</v>
      </c>
      <c r="L89">
        <f t="shared" si="17"/>
        <v>0</v>
      </c>
      <c r="M89">
        <f t="shared" si="17"/>
        <v>0</v>
      </c>
      <c r="N89">
        <f t="shared" si="17"/>
        <v>0</v>
      </c>
      <c r="O89">
        <f t="shared" si="17"/>
        <v>0</v>
      </c>
      <c r="P89">
        <f t="shared" si="17"/>
        <v>48.1</v>
      </c>
      <c r="Q89">
        <f t="shared" si="17"/>
        <v>0</v>
      </c>
    </row>
    <row r="90" spans="1:17">
      <c r="A90" s="844" t="s">
        <v>3379</v>
      </c>
      <c r="B90" s="526"/>
      <c r="C90" s="596"/>
    </row>
    <row r="91" spans="1:17">
      <c r="A91" s="526" t="s">
        <v>1332</v>
      </c>
      <c r="B91" s="526" t="s">
        <v>3380</v>
      </c>
      <c r="C91" s="49">
        <f>IF(D91=0,0,IF(OR(D91&gt;P91,D91&lt;Q91),"contact vendor",F91*D91^G91+H91*LN(D91)+I91+J91*EXP(K91*D91)+L91*D91^3+M91*D91^2+N91*D91+O91))</f>
        <v>0</v>
      </c>
      <c r="D91">
        <f>coag_pipe_diam</f>
        <v>0</v>
      </c>
      <c r="E91" t="s">
        <v>750</v>
      </c>
      <c r="F91">
        <f t="shared" ref="F91:Q92" si="18">VLOOKUP($E91,eq_table_cl,F$4,FALSE)</f>
        <v>0</v>
      </c>
      <c r="G91">
        <f t="shared" si="18"/>
        <v>0</v>
      </c>
      <c r="H91">
        <f t="shared" si="18"/>
        <v>0</v>
      </c>
      <c r="I91">
        <f t="shared" si="18"/>
        <v>0</v>
      </c>
      <c r="J91">
        <f t="shared" si="18"/>
        <v>0</v>
      </c>
      <c r="K91">
        <f t="shared" si="18"/>
        <v>0</v>
      </c>
      <c r="L91">
        <f t="shared" si="18"/>
        <v>6.5072480000000002E-3</v>
      </c>
      <c r="M91">
        <f t="shared" si="18"/>
        <v>0.74408816600000005</v>
      </c>
      <c r="N91">
        <f t="shared" si="18"/>
        <v>2.9106427579999998</v>
      </c>
      <c r="O91">
        <f t="shared" si="18"/>
        <v>0.95118725599999998</v>
      </c>
      <c r="P91">
        <f t="shared" si="18"/>
        <v>18.100000000000001</v>
      </c>
      <c r="Q91">
        <f t="shared" si="18"/>
        <v>0</v>
      </c>
    </row>
    <row r="92" spans="1:17">
      <c r="A92" s="526" t="s">
        <v>1333</v>
      </c>
      <c r="B92" s="526" t="s">
        <v>3381</v>
      </c>
      <c r="C92" s="49">
        <f>IF(D92=0,0,IF(OR(D92&gt;P92,D92&lt;Q92),"contact vendor",F92*D92^G92+H92*LN(D92)+I92+J92*EXP(K92*D92)+L92*D92^3+M92*D92^2+N92*D92+O92))</f>
        <v>0</v>
      </c>
      <c r="D92">
        <f>coag_pipe_diam</f>
        <v>0</v>
      </c>
      <c r="E92" t="s">
        <v>751</v>
      </c>
      <c r="F92">
        <f t="shared" si="18"/>
        <v>0</v>
      </c>
      <c r="G92">
        <f t="shared" si="18"/>
        <v>0</v>
      </c>
      <c r="H92">
        <f t="shared" si="18"/>
        <v>0</v>
      </c>
      <c r="I92">
        <f t="shared" si="18"/>
        <v>0</v>
      </c>
      <c r="J92">
        <f t="shared" si="18"/>
        <v>0</v>
      </c>
      <c r="K92">
        <f t="shared" si="18"/>
        <v>0</v>
      </c>
      <c r="L92">
        <f t="shared" si="18"/>
        <v>0</v>
      </c>
      <c r="M92">
        <f t="shared" si="18"/>
        <v>9.7106987000000006E-2</v>
      </c>
      <c r="N92">
        <f t="shared" si="18"/>
        <v>0.800977414</v>
      </c>
      <c r="O92">
        <f t="shared" si="18"/>
        <v>1.427719425</v>
      </c>
      <c r="P92">
        <f t="shared" si="18"/>
        <v>48.1</v>
      </c>
      <c r="Q92">
        <f t="shared" si="18"/>
        <v>0</v>
      </c>
    </row>
    <row r="93" spans="1:17">
      <c r="A93" s="41" t="s">
        <v>1370</v>
      </c>
      <c r="B93" s="5"/>
      <c r="C93" s="72"/>
    </row>
    <row r="94" spans="1:17">
      <c r="A94" s="5" t="s">
        <v>1332</v>
      </c>
      <c r="B94" s="5" t="s">
        <v>1371</v>
      </c>
      <c r="C94" s="49">
        <f>IF(D94=0,0,IF(OR(D94&gt;P94,D94&lt;Q94),"contact vendor",F94*D94^G94+H94*LN(D94)+I94+J94*EXP(K94*D94)+L94*D94^3+M94*D94^2+N94*D94+O94))</f>
        <v>0</v>
      </c>
      <c r="D94" s="73">
        <f>polymer_pipe_diam</f>
        <v>0</v>
      </c>
      <c r="E94" t="s">
        <v>750</v>
      </c>
      <c r="F94">
        <f t="shared" ref="F94:Q97" si="19">VLOOKUP($E94,eq_table_cl,F$4,FALSE)</f>
        <v>0</v>
      </c>
      <c r="G94">
        <f t="shared" si="19"/>
        <v>0</v>
      </c>
      <c r="H94">
        <f t="shared" si="19"/>
        <v>0</v>
      </c>
      <c r="I94">
        <f t="shared" si="19"/>
        <v>0</v>
      </c>
      <c r="J94">
        <f t="shared" si="19"/>
        <v>0</v>
      </c>
      <c r="K94">
        <f t="shared" si="19"/>
        <v>0</v>
      </c>
      <c r="L94">
        <f t="shared" si="19"/>
        <v>6.5072480000000002E-3</v>
      </c>
      <c r="M94">
        <f t="shared" si="19"/>
        <v>0.74408816600000005</v>
      </c>
      <c r="N94">
        <f t="shared" si="19"/>
        <v>2.9106427579999998</v>
      </c>
      <c r="O94">
        <f t="shared" si="19"/>
        <v>0.95118725599999998</v>
      </c>
      <c r="P94">
        <f t="shared" si="19"/>
        <v>18.100000000000001</v>
      </c>
      <c r="Q94">
        <f t="shared" si="19"/>
        <v>0</v>
      </c>
    </row>
    <row r="95" spans="1:17">
      <c r="A95" s="5" t="s">
        <v>1333</v>
      </c>
      <c r="B95" s="5" t="s">
        <v>1372</v>
      </c>
      <c r="C95" s="49">
        <f>IF(D95=0,0,IF(OR(D95&gt;P95,D95&lt;Q95),"contact vendor",F95*D95^G95+H95*LN(D95)+I95+J95*EXP(K95*D95)+L95*D95^3+M95*D95^2+N95*D95+O95))</f>
        <v>0</v>
      </c>
      <c r="D95" s="73">
        <f>polymer_pipe_diam</f>
        <v>0</v>
      </c>
      <c r="E95" t="s">
        <v>751</v>
      </c>
      <c r="F95">
        <f t="shared" si="19"/>
        <v>0</v>
      </c>
      <c r="G95">
        <f t="shared" si="19"/>
        <v>0</v>
      </c>
      <c r="H95">
        <f t="shared" si="19"/>
        <v>0</v>
      </c>
      <c r="I95">
        <f t="shared" si="19"/>
        <v>0</v>
      </c>
      <c r="J95">
        <f t="shared" si="19"/>
        <v>0</v>
      </c>
      <c r="K95">
        <f t="shared" si="19"/>
        <v>0</v>
      </c>
      <c r="L95">
        <f t="shared" si="19"/>
        <v>0</v>
      </c>
      <c r="M95">
        <f t="shared" si="19"/>
        <v>9.7106987000000006E-2</v>
      </c>
      <c r="N95">
        <f t="shared" si="19"/>
        <v>0.800977414</v>
      </c>
      <c r="O95">
        <f t="shared" si="19"/>
        <v>1.427719425</v>
      </c>
      <c r="P95">
        <f t="shared" si="19"/>
        <v>48.1</v>
      </c>
      <c r="Q95">
        <f t="shared" si="19"/>
        <v>0</v>
      </c>
    </row>
    <row r="96" spans="1:17">
      <c r="A96" s="5" t="s">
        <v>2582</v>
      </c>
      <c r="B96" s="5" t="s">
        <v>1373</v>
      </c>
      <c r="C96" s="49">
        <f>IF(D96=0,0,IF(OR(D96&gt;P96,D96&lt;Q96),"contact vendor",F96*D96^G96+H96*LN(D96)+I96+J96*EXP(K96*D96)+L96*D96^3+M96*D96^2+N96*D96+O96))</f>
        <v>0</v>
      </c>
      <c r="D96" s="73">
        <f>polymer_pipe_diam</f>
        <v>0</v>
      </c>
      <c r="E96" t="s">
        <v>752</v>
      </c>
      <c r="F96">
        <f t="shared" si="19"/>
        <v>0</v>
      </c>
      <c r="G96">
        <f t="shared" si="19"/>
        <v>0</v>
      </c>
      <c r="H96">
        <f t="shared" si="19"/>
        <v>0</v>
      </c>
      <c r="I96">
        <f t="shared" si="19"/>
        <v>0</v>
      </c>
      <c r="J96">
        <f t="shared" si="19"/>
        <v>0</v>
      </c>
      <c r="K96">
        <f t="shared" si="19"/>
        <v>0</v>
      </c>
      <c r="L96">
        <f t="shared" si="19"/>
        <v>4.8585111E-2</v>
      </c>
      <c r="M96">
        <f t="shared" si="19"/>
        <v>-2.5845256220000001</v>
      </c>
      <c r="N96">
        <f t="shared" si="19"/>
        <v>58.928328317999998</v>
      </c>
      <c r="O96">
        <f t="shared" si="19"/>
        <v>-12.466035675000001</v>
      </c>
      <c r="P96">
        <f t="shared" si="19"/>
        <v>48.1</v>
      </c>
      <c r="Q96">
        <f t="shared" si="19"/>
        <v>0</v>
      </c>
    </row>
    <row r="97" spans="1:17">
      <c r="A97" s="5" t="s">
        <v>1334</v>
      </c>
      <c r="B97" s="5" t="s">
        <v>1374</v>
      </c>
      <c r="C97" s="49">
        <f>IF(D97=0,0,IF(OR(D97&gt;P97,D97&lt;Q97),"contact vendor",F97*D97^G97+H97*LN(D97)+I97+J97*EXP(K97*D97)+L97*D97^3+M97*D97^2+N97*D97+O97))</f>
        <v>0</v>
      </c>
      <c r="D97" s="73">
        <f>polymer_pipe_diam</f>
        <v>0</v>
      </c>
      <c r="E97" t="s">
        <v>753</v>
      </c>
      <c r="F97">
        <f t="shared" si="19"/>
        <v>20.769417377</v>
      </c>
      <c r="G97">
        <f t="shared" si="19"/>
        <v>0.92382198999999998</v>
      </c>
      <c r="H97">
        <f t="shared" si="19"/>
        <v>0</v>
      </c>
      <c r="I97">
        <f t="shared" si="19"/>
        <v>0</v>
      </c>
      <c r="J97">
        <f t="shared" si="19"/>
        <v>0</v>
      </c>
      <c r="K97">
        <f t="shared" si="19"/>
        <v>0</v>
      </c>
      <c r="L97">
        <f t="shared" si="19"/>
        <v>0</v>
      </c>
      <c r="M97">
        <f t="shared" si="19"/>
        <v>0</v>
      </c>
      <c r="N97">
        <f t="shared" si="19"/>
        <v>0</v>
      </c>
      <c r="O97">
        <f t="shared" si="19"/>
        <v>0</v>
      </c>
      <c r="P97">
        <f t="shared" si="19"/>
        <v>48.1</v>
      </c>
      <c r="Q97">
        <f t="shared" si="19"/>
        <v>0</v>
      </c>
    </row>
    <row r="98" spans="1:17">
      <c r="A98" s="28" t="s">
        <v>2191</v>
      </c>
    </row>
    <row r="99" spans="1:17">
      <c r="A99" s="29" t="s">
        <v>1355</v>
      </c>
    </row>
    <row r="100" spans="1:17">
      <c r="A100" s="27" t="s">
        <v>2819</v>
      </c>
      <c r="B100" t="s">
        <v>1220</v>
      </c>
      <c r="C100" s="49">
        <f t="shared" ref="C100:C119" si="20">IF(D100=0,0,IF(OR(D100&gt;P100,D100&lt;Q100),"contact vendor",F100*D100^G100+H100*LN(D100)+I100+J100*EXP(K100*D100)+L100*D100^3+M100*D100^2+N100*D100+O100))</f>
        <v>3696.5392890023331</v>
      </c>
      <c r="D100">
        <f>tank_valve_size</f>
        <v>10</v>
      </c>
      <c r="E100" t="str">
        <f>IF(D100&gt;12,"pp_mov_eq_large","pp_mov_eq_small")</f>
        <v>pp_mov_eq_small</v>
      </c>
      <c r="F100">
        <f t="shared" ref="F100:Q109" si="21">VLOOKUP($E100,eq_table_cl,F$4,FALSE)</f>
        <v>0</v>
      </c>
      <c r="G100">
        <f t="shared" si="21"/>
        <v>0</v>
      </c>
      <c r="H100">
        <f t="shared" si="21"/>
        <v>0</v>
      </c>
      <c r="I100">
        <f t="shared" si="21"/>
        <v>0</v>
      </c>
      <c r="J100">
        <f t="shared" si="21"/>
        <v>599.000620282</v>
      </c>
      <c r="K100">
        <f t="shared" si="21"/>
        <v>0.18198897</v>
      </c>
      <c r="L100">
        <f t="shared" si="21"/>
        <v>0</v>
      </c>
      <c r="M100">
        <f t="shared" si="21"/>
        <v>0</v>
      </c>
      <c r="N100">
        <f t="shared" si="21"/>
        <v>0</v>
      </c>
      <c r="O100">
        <f t="shared" si="21"/>
        <v>0</v>
      </c>
      <c r="P100">
        <f t="shared" si="21"/>
        <v>12</v>
      </c>
      <c r="Q100">
        <f t="shared" si="21"/>
        <v>0</v>
      </c>
    </row>
    <row r="101" spans="1:17">
      <c r="A101" s="27" t="s">
        <v>1336</v>
      </c>
      <c r="B101" t="s">
        <v>1221</v>
      </c>
      <c r="C101" s="49">
        <f t="shared" si="20"/>
        <v>6940.0037539270006</v>
      </c>
      <c r="D101">
        <f>tank_valve_size</f>
        <v>10</v>
      </c>
      <c r="E101" t="s">
        <v>755</v>
      </c>
      <c r="F101">
        <f t="shared" si="21"/>
        <v>0</v>
      </c>
      <c r="G101">
        <f t="shared" si="21"/>
        <v>0</v>
      </c>
      <c r="H101">
        <f t="shared" si="21"/>
        <v>0</v>
      </c>
      <c r="I101">
        <f t="shared" si="21"/>
        <v>0</v>
      </c>
      <c r="J101">
        <f t="shared" si="21"/>
        <v>0</v>
      </c>
      <c r="K101">
        <f t="shared" si="21"/>
        <v>0</v>
      </c>
      <c r="L101">
        <f t="shared" si="21"/>
        <v>1.4813451259999999</v>
      </c>
      <c r="M101">
        <f t="shared" si="21"/>
        <v>44.575825872999999</v>
      </c>
      <c r="N101">
        <f t="shared" si="21"/>
        <v>-42.850924452000001</v>
      </c>
      <c r="O101">
        <f t="shared" si="21"/>
        <v>1429.5852851469999</v>
      </c>
      <c r="P101">
        <f t="shared" si="21"/>
        <v>48.1</v>
      </c>
      <c r="Q101">
        <f t="shared" si="21"/>
        <v>0</v>
      </c>
    </row>
    <row r="102" spans="1:17">
      <c r="A102" s="27" t="s">
        <v>1649</v>
      </c>
      <c r="B102" t="s">
        <v>756</v>
      </c>
      <c r="C102" s="49">
        <f t="shared" si="20"/>
        <v>11881.072264971001</v>
      </c>
      <c r="D102">
        <f>tank_valve_size</f>
        <v>10</v>
      </c>
      <c r="E102" t="s">
        <v>757</v>
      </c>
      <c r="F102">
        <f t="shared" si="21"/>
        <v>0</v>
      </c>
      <c r="G102">
        <f t="shared" si="21"/>
        <v>0</v>
      </c>
      <c r="H102">
        <f t="shared" si="21"/>
        <v>0</v>
      </c>
      <c r="I102">
        <f t="shared" si="21"/>
        <v>0</v>
      </c>
      <c r="J102">
        <f t="shared" si="21"/>
        <v>0</v>
      </c>
      <c r="K102">
        <f t="shared" si="21"/>
        <v>0</v>
      </c>
      <c r="L102">
        <f t="shared" si="21"/>
        <v>0</v>
      </c>
      <c r="M102">
        <f t="shared" si="21"/>
        <v>0</v>
      </c>
      <c r="N102">
        <f t="shared" si="21"/>
        <v>1304.6120832720001</v>
      </c>
      <c r="O102">
        <f t="shared" si="21"/>
        <v>-1165.0485677490001</v>
      </c>
      <c r="P102">
        <f t="shared" si="21"/>
        <v>48.1</v>
      </c>
      <c r="Q102">
        <f t="shared" si="21"/>
        <v>1</v>
      </c>
    </row>
    <row r="103" spans="1:17">
      <c r="A103" s="27" t="s">
        <v>2820</v>
      </c>
      <c r="B103" t="s">
        <v>1222</v>
      </c>
      <c r="C103" s="49">
        <f t="shared" si="20"/>
        <v>1785.0406260455554</v>
      </c>
      <c r="D103">
        <f>back_valve_size</f>
        <v>6</v>
      </c>
      <c r="E103" t="str">
        <f>IF(D103&gt;12,"pp_mov_eq_large","pp_mov_eq_small")</f>
        <v>pp_mov_eq_small</v>
      </c>
      <c r="F103">
        <f t="shared" si="21"/>
        <v>0</v>
      </c>
      <c r="G103">
        <f t="shared" si="21"/>
        <v>0</v>
      </c>
      <c r="H103">
        <f t="shared" si="21"/>
        <v>0</v>
      </c>
      <c r="I103">
        <f t="shared" si="21"/>
        <v>0</v>
      </c>
      <c r="J103">
        <f t="shared" si="21"/>
        <v>599.000620282</v>
      </c>
      <c r="K103">
        <f t="shared" si="21"/>
        <v>0.18198897</v>
      </c>
      <c r="L103">
        <f t="shared" si="21"/>
        <v>0</v>
      </c>
      <c r="M103">
        <f t="shared" si="21"/>
        <v>0</v>
      </c>
      <c r="N103">
        <f t="shared" si="21"/>
        <v>0</v>
      </c>
      <c r="O103">
        <f t="shared" si="21"/>
        <v>0</v>
      </c>
      <c r="P103">
        <f t="shared" si="21"/>
        <v>12</v>
      </c>
      <c r="Q103">
        <f t="shared" si="21"/>
        <v>0</v>
      </c>
    </row>
    <row r="104" spans="1:17">
      <c r="A104" s="27" t="s">
        <v>1337</v>
      </c>
      <c r="B104" t="s">
        <v>1223</v>
      </c>
      <c r="C104" s="49">
        <f t="shared" si="20"/>
        <v>3097.1800170789998</v>
      </c>
      <c r="D104">
        <f>back_valve_size</f>
        <v>6</v>
      </c>
      <c r="E104" t="s">
        <v>755</v>
      </c>
      <c r="F104">
        <f t="shared" si="21"/>
        <v>0</v>
      </c>
      <c r="G104">
        <f t="shared" si="21"/>
        <v>0</v>
      </c>
      <c r="H104">
        <f t="shared" si="21"/>
        <v>0</v>
      </c>
      <c r="I104">
        <f t="shared" si="21"/>
        <v>0</v>
      </c>
      <c r="J104">
        <f t="shared" si="21"/>
        <v>0</v>
      </c>
      <c r="K104">
        <f t="shared" si="21"/>
        <v>0</v>
      </c>
      <c r="L104">
        <f t="shared" si="21"/>
        <v>1.4813451259999999</v>
      </c>
      <c r="M104">
        <f t="shared" si="21"/>
        <v>44.575825872999999</v>
      </c>
      <c r="N104">
        <f t="shared" si="21"/>
        <v>-42.850924452000001</v>
      </c>
      <c r="O104">
        <f t="shared" si="21"/>
        <v>1429.5852851469999</v>
      </c>
      <c r="P104">
        <f t="shared" si="21"/>
        <v>48.1</v>
      </c>
      <c r="Q104">
        <f t="shared" si="21"/>
        <v>0</v>
      </c>
    </row>
    <row r="105" spans="1:17">
      <c r="A105" s="27" t="s">
        <v>688</v>
      </c>
      <c r="B105" t="s">
        <v>2287</v>
      </c>
      <c r="C105" s="49">
        <f t="shared" si="20"/>
        <v>6662.6239318830012</v>
      </c>
      <c r="D105">
        <f>back_valve_size</f>
        <v>6</v>
      </c>
      <c r="E105" t="s">
        <v>757</v>
      </c>
      <c r="F105">
        <f t="shared" si="21"/>
        <v>0</v>
      </c>
      <c r="G105">
        <f t="shared" si="21"/>
        <v>0</v>
      </c>
      <c r="H105">
        <f t="shared" si="21"/>
        <v>0</v>
      </c>
      <c r="I105">
        <f t="shared" si="21"/>
        <v>0</v>
      </c>
      <c r="J105">
        <f t="shared" si="21"/>
        <v>0</v>
      </c>
      <c r="K105">
        <f t="shared" si="21"/>
        <v>0</v>
      </c>
      <c r="L105">
        <f t="shared" si="21"/>
        <v>0</v>
      </c>
      <c r="M105">
        <f t="shared" si="21"/>
        <v>0</v>
      </c>
      <c r="N105">
        <f t="shared" si="21"/>
        <v>1304.6120832720001</v>
      </c>
      <c r="O105">
        <f t="shared" si="21"/>
        <v>-1165.0485677490001</v>
      </c>
      <c r="P105">
        <f t="shared" si="21"/>
        <v>48.1</v>
      </c>
      <c r="Q105">
        <f t="shared" si="21"/>
        <v>1</v>
      </c>
    </row>
    <row r="106" spans="1:17">
      <c r="A106" s="27" t="s">
        <v>2821</v>
      </c>
      <c r="B106" t="s">
        <v>2816</v>
      </c>
      <c r="C106" s="49">
        <f t="shared" si="20"/>
        <v>0</v>
      </c>
      <c r="D106">
        <f>brine_valve_size</f>
        <v>0</v>
      </c>
      <c r="E106" t="str">
        <f>IF(D106&gt;12,"pp_mov_eq_large","pp_mov_eq_small")</f>
        <v>pp_mov_eq_small</v>
      </c>
      <c r="F106">
        <f t="shared" si="21"/>
        <v>0</v>
      </c>
      <c r="G106">
        <f t="shared" si="21"/>
        <v>0</v>
      </c>
      <c r="H106">
        <f t="shared" si="21"/>
        <v>0</v>
      </c>
      <c r="I106">
        <f t="shared" si="21"/>
        <v>0</v>
      </c>
      <c r="J106">
        <f t="shared" si="21"/>
        <v>599.000620282</v>
      </c>
      <c r="K106">
        <f t="shared" si="21"/>
        <v>0.18198897</v>
      </c>
      <c r="L106">
        <f t="shared" si="21"/>
        <v>0</v>
      </c>
      <c r="M106">
        <f t="shared" si="21"/>
        <v>0</v>
      </c>
      <c r="N106">
        <f t="shared" si="21"/>
        <v>0</v>
      </c>
      <c r="O106">
        <f t="shared" si="21"/>
        <v>0</v>
      </c>
      <c r="P106">
        <f t="shared" si="21"/>
        <v>12</v>
      </c>
      <c r="Q106">
        <f t="shared" si="21"/>
        <v>0</v>
      </c>
    </row>
    <row r="107" spans="1:17">
      <c r="A107" s="27" t="s">
        <v>1205</v>
      </c>
      <c r="B107" t="s">
        <v>2815</v>
      </c>
      <c r="C107" s="49">
        <f t="shared" si="20"/>
        <v>0</v>
      </c>
      <c r="D107">
        <f>brine_valve_size</f>
        <v>0</v>
      </c>
      <c r="E107" t="s">
        <v>755</v>
      </c>
      <c r="F107">
        <f t="shared" si="21"/>
        <v>0</v>
      </c>
      <c r="G107">
        <f t="shared" si="21"/>
        <v>0</v>
      </c>
      <c r="H107">
        <f t="shared" si="21"/>
        <v>0</v>
      </c>
      <c r="I107">
        <f t="shared" si="21"/>
        <v>0</v>
      </c>
      <c r="J107">
        <f t="shared" si="21"/>
        <v>0</v>
      </c>
      <c r="K107">
        <f t="shared" si="21"/>
        <v>0</v>
      </c>
      <c r="L107">
        <f t="shared" si="21"/>
        <v>1.4813451259999999</v>
      </c>
      <c r="M107">
        <f t="shared" si="21"/>
        <v>44.575825872999999</v>
      </c>
      <c r="N107">
        <f t="shared" si="21"/>
        <v>-42.850924452000001</v>
      </c>
      <c r="O107">
        <f t="shared" si="21"/>
        <v>1429.5852851469999</v>
      </c>
      <c r="P107">
        <f t="shared" si="21"/>
        <v>48.1</v>
      </c>
      <c r="Q107">
        <f t="shared" si="21"/>
        <v>0</v>
      </c>
    </row>
    <row r="108" spans="1:17">
      <c r="A108" s="27" t="s">
        <v>2817</v>
      </c>
      <c r="B108" t="s">
        <v>758</v>
      </c>
      <c r="C108" s="49">
        <f t="shared" si="20"/>
        <v>0</v>
      </c>
      <c r="D108">
        <f>bypass_valve_size</f>
        <v>0</v>
      </c>
      <c r="E108" t="str">
        <f>IF(D108&gt;12,"pp_mov_eq_large","pp_mov_eq_small")</f>
        <v>pp_mov_eq_small</v>
      </c>
      <c r="F108">
        <f t="shared" si="21"/>
        <v>0</v>
      </c>
      <c r="G108">
        <f t="shared" si="21"/>
        <v>0</v>
      </c>
      <c r="H108">
        <f t="shared" si="21"/>
        <v>0</v>
      </c>
      <c r="I108">
        <f t="shared" si="21"/>
        <v>0</v>
      </c>
      <c r="J108">
        <f t="shared" si="21"/>
        <v>599.000620282</v>
      </c>
      <c r="K108">
        <f t="shared" si="21"/>
        <v>0.18198897</v>
      </c>
      <c r="L108">
        <f t="shared" si="21"/>
        <v>0</v>
      </c>
      <c r="M108">
        <f t="shared" si="21"/>
        <v>0</v>
      </c>
      <c r="N108">
        <f t="shared" si="21"/>
        <v>0</v>
      </c>
      <c r="O108">
        <f t="shared" si="21"/>
        <v>0</v>
      </c>
      <c r="P108">
        <f t="shared" si="21"/>
        <v>12</v>
      </c>
      <c r="Q108">
        <f t="shared" si="21"/>
        <v>0</v>
      </c>
    </row>
    <row r="109" spans="1:17">
      <c r="A109" s="27" t="s">
        <v>2818</v>
      </c>
      <c r="B109" t="s">
        <v>759</v>
      </c>
      <c r="C109" s="49">
        <f t="shared" si="20"/>
        <v>0</v>
      </c>
      <c r="D109">
        <f>bypass_valve_size</f>
        <v>0</v>
      </c>
      <c r="E109" t="s">
        <v>755</v>
      </c>
      <c r="F109">
        <f t="shared" si="21"/>
        <v>0</v>
      </c>
      <c r="G109">
        <f t="shared" si="21"/>
        <v>0</v>
      </c>
      <c r="H109">
        <f t="shared" si="21"/>
        <v>0</v>
      </c>
      <c r="I109">
        <f t="shared" si="21"/>
        <v>0</v>
      </c>
      <c r="J109">
        <f t="shared" si="21"/>
        <v>0</v>
      </c>
      <c r="K109">
        <f t="shared" si="21"/>
        <v>0</v>
      </c>
      <c r="L109">
        <f t="shared" si="21"/>
        <v>1.4813451259999999</v>
      </c>
      <c r="M109">
        <f t="shared" si="21"/>
        <v>44.575825872999999</v>
      </c>
      <c r="N109">
        <f t="shared" si="21"/>
        <v>-42.850924452000001</v>
      </c>
      <c r="O109">
        <f t="shared" si="21"/>
        <v>1429.5852851469999</v>
      </c>
      <c r="P109">
        <f t="shared" si="21"/>
        <v>48.1</v>
      </c>
      <c r="Q109">
        <f t="shared" si="21"/>
        <v>0</v>
      </c>
    </row>
    <row r="110" spans="1:17">
      <c r="A110" s="27" t="s">
        <v>184</v>
      </c>
      <c r="B110" t="s">
        <v>2288</v>
      </c>
      <c r="C110" s="49">
        <f t="shared" si="20"/>
        <v>0</v>
      </c>
      <c r="D110">
        <f>bypass_valve_size</f>
        <v>0</v>
      </c>
      <c r="E110" t="s">
        <v>757</v>
      </c>
      <c r="F110">
        <f t="shared" ref="F110:Q119" si="22">VLOOKUP($E110,eq_table_cl,F$4,FALSE)</f>
        <v>0</v>
      </c>
      <c r="G110">
        <f t="shared" si="22"/>
        <v>0</v>
      </c>
      <c r="H110">
        <f t="shared" si="22"/>
        <v>0</v>
      </c>
      <c r="I110">
        <f t="shared" si="22"/>
        <v>0</v>
      </c>
      <c r="J110">
        <f t="shared" si="22"/>
        <v>0</v>
      </c>
      <c r="K110">
        <f t="shared" si="22"/>
        <v>0</v>
      </c>
      <c r="L110">
        <f t="shared" si="22"/>
        <v>0</v>
      </c>
      <c r="M110">
        <f t="shared" si="22"/>
        <v>0</v>
      </c>
      <c r="N110">
        <f t="shared" si="22"/>
        <v>1304.6120832720001</v>
      </c>
      <c r="O110">
        <f t="shared" si="22"/>
        <v>-1165.0485677490001</v>
      </c>
      <c r="P110">
        <f t="shared" si="22"/>
        <v>48.1</v>
      </c>
      <c r="Q110">
        <f t="shared" si="22"/>
        <v>1</v>
      </c>
    </row>
    <row r="111" spans="1:17">
      <c r="A111" s="27" t="s">
        <v>1313</v>
      </c>
      <c r="B111" t="s">
        <v>1310</v>
      </c>
      <c r="C111" s="49">
        <f t="shared" si="20"/>
        <v>0</v>
      </c>
      <c r="D111">
        <f>caustic_valve_size</f>
        <v>0</v>
      </c>
      <c r="E111" t="str">
        <f>IF(D111&gt;12,"pp_mov_eq_large","pp_mov_eq_small")</f>
        <v>pp_mov_eq_small</v>
      </c>
      <c r="F111">
        <f t="shared" si="22"/>
        <v>0</v>
      </c>
      <c r="G111">
        <f t="shared" si="22"/>
        <v>0</v>
      </c>
      <c r="H111">
        <f t="shared" si="22"/>
        <v>0</v>
      </c>
      <c r="I111">
        <f t="shared" si="22"/>
        <v>0</v>
      </c>
      <c r="J111">
        <f t="shared" si="22"/>
        <v>599.000620282</v>
      </c>
      <c r="K111">
        <f t="shared" si="22"/>
        <v>0.18198897</v>
      </c>
      <c r="L111">
        <f t="shared" si="22"/>
        <v>0</v>
      </c>
      <c r="M111">
        <f t="shared" si="22"/>
        <v>0</v>
      </c>
      <c r="N111">
        <f t="shared" si="22"/>
        <v>0</v>
      </c>
      <c r="O111">
        <f t="shared" si="22"/>
        <v>0</v>
      </c>
      <c r="P111">
        <f t="shared" si="22"/>
        <v>12</v>
      </c>
      <c r="Q111">
        <f t="shared" si="22"/>
        <v>0</v>
      </c>
    </row>
    <row r="112" spans="1:17">
      <c r="A112" s="27" t="s">
        <v>1311</v>
      </c>
      <c r="B112" t="s">
        <v>1312</v>
      </c>
      <c r="C112" s="49">
        <f t="shared" si="20"/>
        <v>0</v>
      </c>
      <c r="D112">
        <f>caustic_valve_size</f>
        <v>0</v>
      </c>
      <c r="E112" t="s">
        <v>755</v>
      </c>
      <c r="F112">
        <f t="shared" si="22"/>
        <v>0</v>
      </c>
      <c r="G112">
        <f t="shared" si="22"/>
        <v>0</v>
      </c>
      <c r="H112">
        <f t="shared" si="22"/>
        <v>0</v>
      </c>
      <c r="I112">
        <f t="shared" si="22"/>
        <v>0</v>
      </c>
      <c r="J112">
        <f t="shared" si="22"/>
        <v>0</v>
      </c>
      <c r="K112">
        <f t="shared" si="22"/>
        <v>0</v>
      </c>
      <c r="L112">
        <f t="shared" si="22"/>
        <v>1.4813451259999999</v>
      </c>
      <c r="M112">
        <f t="shared" si="22"/>
        <v>44.575825872999999</v>
      </c>
      <c r="N112">
        <f t="shared" si="22"/>
        <v>-42.850924452000001</v>
      </c>
      <c r="O112">
        <f t="shared" si="22"/>
        <v>1429.5852851469999</v>
      </c>
      <c r="P112">
        <f t="shared" si="22"/>
        <v>48.1</v>
      </c>
      <c r="Q112">
        <f t="shared" si="22"/>
        <v>0</v>
      </c>
    </row>
    <row r="113" spans="1:17">
      <c r="A113" s="14" t="s">
        <v>2686</v>
      </c>
      <c r="B113" t="s">
        <v>2687</v>
      </c>
      <c r="C113" s="49">
        <f t="shared" si="20"/>
        <v>718.56172045364531</v>
      </c>
      <c r="D113">
        <f>res_valve_size</f>
        <v>1</v>
      </c>
      <c r="E113" t="str">
        <f>IF(D113&gt;12,"pp_mov_eq_large","pp_mov_eq_small")</f>
        <v>pp_mov_eq_small</v>
      </c>
      <c r="F113">
        <f t="shared" si="22"/>
        <v>0</v>
      </c>
      <c r="G113">
        <f t="shared" si="22"/>
        <v>0</v>
      </c>
      <c r="H113">
        <f t="shared" si="22"/>
        <v>0</v>
      </c>
      <c r="I113">
        <f t="shared" si="22"/>
        <v>0</v>
      </c>
      <c r="J113">
        <f t="shared" si="22"/>
        <v>599.000620282</v>
      </c>
      <c r="K113">
        <f t="shared" si="22"/>
        <v>0.18198897</v>
      </c>
      <c r="L113">
        <f t="shared" si="22"/>
        <v>0</v>
      </c>
      <c r="M113">
        <f t="shared" si="22"/>
        <v>0</v>
      </c>
      <c r="N113">
        <f t="shared" si="22"/>
        <v>0</v>
      </c>
      <c r="O113">
        <f t="shared" si="22"/>
        <v>0</v>
      </c>
      <c r="P113">
        <f t="shared" si="22"/>
        <v>12</v>
      </c>
      <c r="Q113">
        <f t="shared" si="22"/>
        <v>0</v>
      </c>
    </row>
    <row r="114" spans="1:17">
      <c r="A114" s="14" t="s">
        <v>2688</v>
      </c>
      <c r="B114" t="s">
        <v>2689</v>
      </c>
      <c r="C114" s="49">
        <f t="shared" si="20"/>
        <v>1432.791531694</v>
      </c>
      <c r="D114">
        <f>res_valve_size</f>
        <v>1</v>
      </c>
      <c r="E114" t="s">
        <v>755</v>
      </c>
      <c r="F114">
        <f t="shared" si="22"/>
        <v>0</v>
      </c>
      <c r="G114">
        <f t="shared" si="22"/>
        <v>0</v>
      </c>
      <c r="H114">
        <f t="shared" si="22"/>
        <v>0</v>
      </c>
      <c r="I114">
        <f t="shared" si="22"/>
        <v>0</v>
      </c>
      <c r="J114">
        <f t="shared" si="22"/>
        <v>0</v>
      </c>
      <c r="K114">
        <f t="shared" si="22"/>
        <v>0</v>
      </c>
      <c r="L114">
        <f t="shared" si="22"/>
        <v>1.4813451259999999</v>
      </c>
      <c r="M114">
        <f t="shared" si="22"/>
        <v>44.575825872999999</v>
      </c>
      <c r="N114">
        <f t="shared" si="22"/>
        <v>-42.850924452000001</v>
      </c>
      <c r="O114">
        <f t="shared" si="22"/>
        <v>1429.5852851469999</v>
      </c>
      <c r="P114">
        <f t="shared" si="22"/>
        <v>48.1</v>
      </c>
      <c r="Q114">
        <f t="shared" si="22"/>
        <v>0</v>
      </c>
    </row>
    <row r="115" spans="1:17">
      <c r="A115" s="14" t="s">
        <v>2690</v>
      </c>
      <c r="B115" t="s">
        <v>2691</v>
      </c>
      <c r="C115" s="49">
        <f t="shared" si="20"/>
        <v>139.56351552299998</v>
      </c>
      <c r="D115">
        <f>res_valve_size</f>
        <v>1</v>
      </c>
      <c r="E115" t="s">
        <v>757</v>
      </c>
      <c r="F115">
        <f t="shared" si="22"/>
        <v>0</v>
      </c>
      <c r="G115">
        <f t="shared" si="22"/>
        <v>0</v>
      </c>
      <c r="H115">
        <f t="shared" si="22"/>
        <v>0</v>
      </c>
      <c r="I115">
        <f t="shared" si="22"/>
        <v>0</v>
      </c>
      <c r="J115">
        <f t="shared" si="22"/>
        <v>0</v>
      </c>
      <c r="K115">
        <f t="shared" si="22"/>
        <v>0</v>
      </c>
      <c r="L115">
        <f t="shared" si="22"/>
        <v>0</v>
      </c>
      <c r="M115">
        <f t="shared" si="22"/>
        <v>0</v>
      </c>
      <c r="N115">
        <f t="shared" si="22"/>
        <v>1304.6120832720001</v>
      </c>
      <c r="O115">
        <f t="shared" si="22"/>
        <v>-1165.0485677490001</v>
      </c>
      <c r="P115">
        <f t="shared" si="22"/>
        <v>48.1</v>
      </c>
      <c r="Q115">
        <f t="shared" si="22"/>
        <v>1</v>
      </c>
    </row>
    <row r="116" spans="1:17">
      <c r="A116" s="526" t="s">
        <v>3382</v>
      </c>
      <c r="B116" s="526" t="s">
        <v>3383</v>
      </c>
      <c r="C116" s="49">
        <f t="shared" si="20"/>
        <v>0</v>
      </c>
      <c r="D116">
        <f>coag_valve_size</f>
        <v>0</v>
      </c>
      <c r="E116" t="str">
        <f>IF(D116&gt;12,"pp_mov_eq_large","pp_mov_eq_small")</f>
        <v>pp_mov_eq_small</v>
      </c>
      <c r="F116">
        <f t="shared" si="22"/>
        <v>0</v>
      </c>
      <c r="G116">
        <f t="shared" si="22"/>
        <v>0</v>
      </c>
      <c r="H116">
        <f t="shared" si="22"/>
        <v>0</v>
      </c>
      <c r="I116">
        <f t="shared" si="22"/>
        <v>0</v>
      </c>
      <c r="J116">
        <f t="shared" si="22"/>
        <v>599.000620282</v>
      </c>
      <c r="K116">
        <f t="shared" si="22"/>
        <v>0.18198897</v>
      </c>
      <c r="L116">
        <f t="shared" si="22"/>
        <v>0</v>
      </c>
      <c r="M116">
        <f t="shared" si="22"/>
        <v>0</v>
      </c>
      <c r="N116">
        <f t="shared" si="22"/>
        <v>0</v>
      </c>
      <c r="O116">
        <f t="shared" si="22"/>
        <v>0</v>
      </c>
      <c r="P116">
        <f t="shared" si="22"/>
        <v>12</v>
      </c>
      <c r="Q116">
        <f t="shared" si="22"/>
        <v>0</v>
      </c>
    </row>
    <row r="117" spans="1:17">
      <c r="A117" s="5" t="s">
        <v>1375</v>
      </c>
      <c r="B117" s="5" t="s">
        <v>1376</v>
      </c>
      <c r="C117" s="49">
        <f t="shared" si="20"/>
        <v>0</v>
      </c>
      <c r="D117" s="73">
        <f>polymer_valve_size</f>
        <v>0</v>
      </c>
      <c r="E117" t="str">
        <f>IF(D117&gt;12,"pp_mov_eq_large","pp_mov_eq_small")</f>
        <v>pp_mov_eq_small</v>
      </c>
      <c r="F117">
        <f t="shared" si="22"/>
        <v>0</v>
      </c>
      <c r="G117">
        <f t="shared" si="22"/>
        <v>0</v>
      </c>
      <c r="H117">
        <f t="shared" si="22"/>
        <v>0</v>
      </c>
      <c r="I117">
        <f t="shared" si="22"/>
        <v>0</v>
      </c>
      <c r="J117">
        <f t="shared" si="22"/>
        <v>599.000620282</v>
      </c>
      <c r="K117">
        <f t="shared" si="22"/>
        <v>0.18198897</v>
      </c>
      <c r="L117">
        <f t="shared" si="22"/>
        <v>0</v>
      </c>
      <c r="M117">
        <f t="shared" si="22"/>
        <v>0</v>
      </c>
      <c r="N117">
        <f t="shared" si="22"/>
        <v>0</v>
      </c>
      <c r="O117">
        <f t="shared" si="22"/>
        <v>0</v>
      </c>
      <c r="P117">
        <f t="shared" si="22"/>
        <v>12</v>
      </c>
      <c r="Q117">
        <f t="shared" si="22"/>
        <v>0</v>
      </c>
    </row>
    <row r="118" spans="1:17">
      <c r="A118" s="5" t="s">
        <v>1377</v>
      </c>
      <c r="B118" s="5" t="s">
        <v>1378</v>
      </c>
      <c r="C118" s="49">
        <f t="shared" si="20"/>
        <v>0</v>
      </c>
      <c r="D118" s="73">
        <f>polymer_valve_size</f>
        <v>0</v>
      </c>
      <c r="E118" t="s">
        <v>755</v>
      </c>
      <c r="F118">
        <f t="shared" si="22"/>
        <v>0</v>
      </c>
      <c r="G118">
        <f t="shared" si="22"/>
        <v>0</v>
      </c>
      <c r="H118">
        <f t="shared" si="22"/>
        <v>0</v>
      </c>
      <c r="I118">
        <f t="shared" si="22"/>
        <v>0</v>
      </c>
      <c r="J118">
        <f t="shared" si="22"/>
        <v>0</v>
      </c>
      <c r="K118">
        <f t="shared" si="22"/>
        <v>0</v>
      </c>
      <c r="L118">
        <f t="shared" si="22"/>
        <v>1.4813451259999999</v>
      </c>
      <c r="M118">
        <f t="shared" si="22"/>
        <v>44.575825872999999</v>
      </c>
      <c r="N118">
        <f t="shared" si="22"/>
        <v>-42.850924452000001</v>
      </c>
      <c r="O118">
        <f t="shared" si="22"/>
        <v>1429.5852851469999</v>
      </c>
      <c r="P118">
        <f t="shared" si="22"/>
        <v>48.1</v>
      </c>
      <c r="Q118">
        <f t="shared" si="22"/>
        <v>0</v>
      </c>
    </row>
    <row r="119" spans="1:17">
      <c r="A119" s="27" t="s">
        <v>1379</v>
      </c>
      <c r="B119" s="5" t="s">
        <v>1380</v>
      </c>
      <c r="C119" s="49">
        <f t="shared" si="20"/>
        <v>0</v>
      </c>
      <c r="D119" s="73">
        <f>polymer_valve_size</f>
        <v>0</v>
      </c>
      <c r="E119" s="5" t="s">
        <v>757</v>
      </c>
      <c r="F119">
        <f t="shared" si="22"/>
        <v>0</v>
      </c>
      <c r="G119">
        <f t="shared" si="22"/>
        <v>0</v>
      </c>
      <c r="H119">
        <f t="shared" si="22"/>
        <v>0</v>
      </c>
      <c r="I119">
        <f t="shared" si="22"/>
        <v>0</v>
      </c>
      <c r="J119">
        <f t="shared" si="22"/>
        <v>0</v>
      </c>
      <c r="K119">
        <f t="shared" si="22"/>
        <v>0</v>
      </c>
      <c r="L119">
        <f t="shared" si="22"/>
        <v>0</v>
      </c>
      <c r="M119">
        <f t="shared" si="22"/>
        <v>0</v>
      </c>
      <c r="N119">
        <f t="shared" si="22"/>
        <v>1304.6120832720001</v>
      </c>
      <c r="O119">
        <f t="shared" si="22"/>
        <v>-1165.0485677490001</v>
      </c>
      <c r="P119">
        <f t="shared" si="22"/>
        <v>48.1</v>
      </c>
      <c r="Q119">
        <f t="shared" si="22"/>
        <v>1</v>
      </c>
    </row>
    <row r="120" spans="1:17">
      <c r="A120" s="41" t="s">
        <v>1650</v>
      </c>
    </row>
    <row r="121" spans="1:17">
      <c r="A121" s="5" t="s">
        <v>3447</v>
      </c>
      <c r="B121" t="s">
        <v>760</v>
      </c>
      <c r="C121" s="49">
        <f t="shared" ref="C121:C143" si="23">IF(D121=0,0,IF(OR(D121&gt;P121,D121&lt;Q121),"contact vendor",F121*D121^G121+H121*LN(D121)+I121+J121*EXP(K121*D121)+L121*D121^3+M121*D121^2+N121*D121+O121))</f>
        <v>1775.3570923089999</v>
      </c>
      <c r="D121">
        <f>in_valve_size</f>
        <v>10</v>
      </c>
      <c r="E121" t="str">
        <f>IF(D121&gt;12,"pp_man_eq_large","pp_man_eq_small")</f>
        <v>pp_man_eq_small</v>
      </c>
      <c r="F121">
        <f t="shared" ref="F121:Q130" si="24">VLOOKUP($E121,eq_table_cl,F$4,FALSE)</f>
        <v>0</v>
      </c>
      <c r="G121">
        <f t="shared" si="24"/>
        <v>0</v>
      </c>
      <c r="H121">
        <f t="shared" si="24"/>
        <v>0</v>
      </c>
      <c r="I121">
        <f t="shared" si="24"/>
        <v>0</v>
      </c>
      <c r="J121">
        <f t="shared" si="24"/>
        <v>0</v>
      </c>
      <c r="K121">
        <f t="shared" si="24"/>
        <v>0</v>
      </c>
      <c r="L121">
        <f t="shared" si="24"/>
        <v>0</v>
      </c>
      <c r="M121">
        <f t="shared" si="24"/>
        <v>12.117823524</v>
      </c>
      <c r="N121">
        <f t="shared" si="24"/>
        <v>45.057729000000002</v>
      </c>
      <c r="O121">
        <f t="shared" si="24"/>
        <v>112.997449909</v>
      </c>
      <c r="P121">
        <f t="shared" si="24"/>
        <v>12</v>
      </c>
      <c r="Q121">
        <f t="shared" si="24"/>
        <v>0</v>
      </c>
    </row>
    <row r="122" spans="1:17">
      <c r="A122" s="5" t="s">
        <v>3448</v>
      </c>
      <c r="B122" t="s">
        <v>761</v>
      </c>
      <c r="C122" s="49">
        <f t="shared" si="23"/>
        <v>2292.5888431361109</v>
      </c>
      <c r="D122">
        <f>in_valve_size</f>
        <v>10</v>
      </c>
      <c r="E122" t="s">
        <v>761</v>
      </c>
      <c r="F122">
        <f t="shared" si="24"/>
        <v>271.98316458599999</v>
      </c>
      <c r="G122">
        <f t="shared" si="24"/>
        <v>0.92578415199999997</v>
      </c>
      <c r="H122">
        <f t="shared" si="24"/>
        <v>0</v>
      </c>
      <c r="I122">
        <f t="shared" si="24"/>
        <v>0</v>
      </c>
      <c r="J122">
        <f t="shared" si="24"/>
        <v>0</v>
      </c>
      <c r="K122">
        <f t="shared" si="24"/>
        <v>0</v>
      </c>
      <c r="L122">
        <f t="shared" si="24"/>
        <v>0</v>
      </c>
      <c r="M122">
        <f t="shared" si="24"/>
        <v>0</v>
      </c>
      <c r="N122">
        <f t="shared" si="24"/>
        <v>0</v>
      </c>
      <c r="O122">
        <f t="shared" si="24"/>
        <v>0</v>
      </c>
      <c r="P122">
        <f t="shared" si="24"/>
        <v>12.1</v>
      </c>
      <c r="Q122">
        <f t="shared" si="24"/>
        <v>0</v>
      </c>
    </row>
    <row r="123" spans="1:17">
      <c r="A123" s="5" t="s">
        <v>3449</v>
      </c>
      <c r="B123" t="s">
        <v>762</v>
      </c>
      <c r="C123" s="49">
        <f t="shared" si="23"/>
        <v>2467.6673917276885</v>
      </c>
      <c r="D123">
        <f>in_valve_size</f>
        <v>10</v>
      </c>
      <c r="E123" t="str">
        <f>IF(D123&gt;12,"ci_bfv_eq_large","ci_bfv_eq_small")</f>
        <v>ci_bfv_eq_small</v>
      </c>
      <c r="F123">
        <f t="shared" si="24"/>
        <v>221.77653215199999</v>
      </c>
      <c r="G123">
        <f t="shared" si="24"/>
        <v>1.0463710340000001</v>
      </c>
      <c r="H123">
        <f t="shared" si="24"/>
        <v>0</v>
      </c>
      <c r="I123">
        <f t="shared" si="24"/>
        <v>0</v>
      </c>
      <c r="J123">
        <f t="shared" si="24"/>
        <v>0</v>
      </c>
      <c r="K123">
        <f t="shared" si="24"/>
        <v>0</v>
      </c>
      <c r="L123">
        <f t="shared" si="24"/>
        <v>0</v>
      </c>
      <c r="M123">
        <f t="shared" si="24"/>
        <v>0</v>
      </c>
      <c r="N123">
        <f t="shared" si="24"/>
        <v>0</v>
      </c>
      <c r="O123">
        <f t="shared" si="24"/>
        <v>0</v>
      </c>
      <c r="P123">
        <f t="shared" si="24"/>
        <v>12</v>
      </c>
      <c r="Q123">
        <f t="shared" si="24"/>
        <v>1</v>
      </c>
    </row>
    <row r="124" spans="1:17">
      <c r="A124" s="5" t="s">
        <v>2819</v>
      </c>
      <c r="B124" t="s">
        <v>685</v>
      </c>
      <c r="C124" s="49">
        <f t="shared" si="23"/>
        <v>1775.3570923089999</v>
      </c>
      <c r="D124">
        <f>tank_valve_size</f>
        <v>10</v>
      </c>
      <c r="E124" t="str">
        <f>IF(D124&gt;12,"pp_man_eq_large","pp_man_eq_small")</f>
        <v>pp_man_eq_small</v>
      </c>
      <c r="F124">
        <f t="shared" si="24"/>
        <v>0</v>
      </c>
      <c r="G124">
        <f t="shared" si="24"/>
        <v>0</v>
      </c>
      <c r="H124">
        <f t="shared" si="24"/>
        <v>0</v>
      </c>
      <c r="I124">
        <f t="shared" si="24"/>
        <v>0</v>
      </c>
      <c r="J124">
        <f t="shared" si="24"/>
        <v>0</v>
      </c>
      <c r="K124">
        <f t="shared" si="24"/>
        <v>0</v>
      </c>
      <c r="L124">
        <f t="shared" si="24"/>
        <v>0</v>
      </c>
      <c r="M124">
        <f t="shared" si="24"/>
        <v>12.117823524</v>
      </c>
      <c r="N124">
        <f t="shared" si="24"/>
        <v>45.057729000000002</v>
      </c>
      <c r="O124">
        <f t="shared" si="24"/>
        <v>112.997449909</v>
      </c>
      <c r="P124">
        <f t="shared" si="24"/>
        <v>12</v>
      </c>
      <c r="Q124">
        <f t="shared" si="24"/>
        <v>0</v>
      </c>
    </row>
    <row r="125" spans="1:17">
      <c r="A125" s="5" t="s">
        <v>1336</v>
      </c>
      <c r="B125" t="s">
        <v>686</v>
      </c>
      <c r="C125" s="49">
        <f t="shared" si="23"/>
        <v>2292.5888431361109</v>
      </c>
      <c r="D125">
        <f>tank_valve_size</f>
        <v>10</v>
      </c>
      <c r="E125" t="s">
        <v>761</v>
      </c>
      <c r="F125">
        <f t="shared" si="24"/>
        <v>271.98316458599999</v>
      </c>
      <c r="G125">
        <f t="shared" si="24"/>
        <v>0.92578415199999997</v>
      </c>
      <c r="H125">
        <f t="shared" si="24"/>
        <v>0</v>
      </c>
      <c r="I125">
        <f t="shared" si="24"/>
        <v>0</v>
      </c>
      <c r="J125">
        <f t="shared" si="24"/>
        <v>0</v>
      </c>
      <c r="K125">
        <f t="shared" si="24"/>
        <v>0</v>
      </c>
      <c r="L125">
        <f t="shared" si="24"/>
        <v>0</v>
      </c>
      <c r="M125">
        <f t="shared" si="24"/>
        <v>0</v>
      </c>
      <c r="N125">
        <f t="shared" si="24"/>
        <v>0</v>
      </c>
      <c r="O125">
        <f t="shared" si="24"/>
        <v>0</v>
      </c>
      <c r="P125">
        <f t="shared" si="24"/>
        <v>12.1</v>
      </c>
      <c r="Q125">
        <f t="shared" si="24"/>
        <v>0</v>
      </c>
    </row>
    <row r="126" spans="1:17">
      <c r="A126" s="5" t="s">
        <v>1649</v>
      </c>
      <c r="B126" t="s">
        <v>687</v>
      </c>
      <c r="C126" s="49">
        <f t="shared" si="23"/>
        <v>2467.6673917276885</v>
      </c>
      <c r="D126">
        <f>tank_valve_size</f>
        <v>10</v>
      </c>
      <c r="E126" t="str">
        <f>IF(D126&gt;12,"ci_bfv_eq_large","ci_bfv_eq_small")</f>
        <v>ci_bfv_eq_small</v>
      </c>
      <c r="F126">
        <f t="shared" si="24"/>
        <v>221.77653215199999</v>
      </c>
      <c r="G126">
        <f t="shared" si="24"/>
        <v>1.0463710340000001</v>
      </c>
      <c r="H126">
        <f t="shared" si="24"/>
        <v>0</v>
      </c>
      <c r="I126">
        <f t="shared" si="24"/>
        <v>0</v>
      </c>
      <c r="J126">
        <f t="shared" si="24"/>
        <v>0</v>
      </c>
      <c r="K126">
        <f t="shared" si="24"/>
        <v>0</v>
      </c>
      <c r="L126">
        <f t="shared" si="24"/>
        <v>0</v>
      </c>
      <c r="M126">
        <f t="shared" si="24"/>
        <v>0</v>
      </c>
      <c r="N126">
        <f t="shared" si="24"/>
        <v>0</v>
      </c>
      <c r="O126">
        <f t="shared" si="24"/>
        <v>0</v>
      </c>
      <c r="P126">
        <f t="shared" si="24"/>
        <v>12</v>
      </c>
      <c r="Q126">
        <f t="shared" si="24"/>
        <v>1</v>
      </c>
    </row>
    <row r="127" spans="1:17">
      <c r="A127" s="27" t="s">
        <v>2820</v>
      </c>
      <c r="B127" t="s">
        <v>367</v>
      </c>
      <c r="C127" s="49">
        <f t="shared" si="23"/>
        <v>819.58547077300011</v>
      </c>
      <c r="D127">
        <f>back_valve_size</f>
        <v>6</v>
      </c>
      <c r="E127" t="str">
        <f>IF(D127&gt;12,"pp_man_eq_large","pp_man_eq_small")</f>
        <v>pp_man_eq_small</v>
      </c>
      <c r="F127">
        <f t="shared" si="24"/>
        <v>0</v>
      </c>
      <c r="G127">
        <f t="shared" si="24"/>
        <v>0</v>
      </c>
      <c r="H127">
        <f t="shared" si="24"/>
        <v>0</v>
      </c>
      <c r="I127">
        <f t="shared" si="24"/>
        <v>0</v>
      </c>
      <c r="J127">
        <f t="shared" si="24"/>
        <v>0</v>
      </c>
      <c r="K127">
        <f t="shared" si="24"/>
        <v>0</v>
      </c>
      <c r="L127">
        <f t="shared" si="24"/>
        <v>0</v>
      </c>
      <c r="M127">
        <f t="shared" si="24"/>
        <v>12.117823524</v>
      </c>
      <c r="N127">
        <f t="shared" si="24"/>
        <v>45.057729000000002</v>
      </c>
      <c r="O127">
        <f t="shared" si="24"/>
        <v>112.997449909</v>
      </c>
      <c r="P127">
        <f t="shared" si="24"/>
        <v>12</v>
      </c>
      <c r="Q127">
        <f t="shared" si="24"/>
        <v>0</v>
      </c>
    </row>
    <row r="128" spans="1:17">
      <c r="A128" s="27" t="s">
        <v>1337</v>
      </c>
      <c r="B128" t="s">
        <v>368</v>
      </c>
      <c r="C128" s="49">
        <f t="shared" si="23"/>
        <v>1428.7035309109294</v>
      </c>
      <c r="D128">
        <f>back_valve_size</f>
        <v>6</v>
      </c>
      <c r="E128" t="s">
        <v>761</v>
      </c>
      <c r="F128">
        <f t="shared" si="24"/>
        <v>271.98316458599999</v>
      </c>
      <c r="G128">
        <f t="shared" si="24"/>
        <v>0.92578415199999997</v>
      </c>
      <c r="H128">
        <f t="shared" si="24"/>
        <v>0</v>
      </c>
      <c r="I128">
        <f t="shared" si="24"/>
        <v>0</v>
      </c>
      <c r="J128">
        <f t="shared" si="24"/>
        <v>0</v>
      </c>
      <c r="K128">
        <f t="shared" si="24"/>
        <v>0</v>
      </c>
      <c r="L128">
        <f t="shared" si="24"/>
        <v>0</v>
      </c>
      <c r="M128">
        <f t="shared" si="24"/>
        <v>0</v>
      </c>
      <c r="N128">
        <f t="shared" si="24"/>
        <v>0</v>
      </c>
      <c r="O128">
        <f t="shared" si="24"/>
        <v>0</v>
      </c>
      <c r="P128">
        <f t="shared" si="24"/>
        <v>12.1</v>
      </c>
      <c r="Q128">
        <f t="shared" si="24"/>
        <v>0</v>
      </c>
    </row>
    <row r="129" spans="1:17">
      <c r="A129" s="27" t="s">
        <v>688</v>
      </c>
      <c r="B129" t="s">
        <v>369</v>
      </c>
      <c r="C129" s="49">
        <f t="shared" si="23"/>
        <v>1445.9408146195228</v>
      </c>
      <c r="D129">
        <f>back_valve_size</f>
        <v>6</v>
      </c>
      <c r="E129" t="str">
        <f>IF(D129&gt;12,"ci_bfv_eq_large","ci_bfv_eq_small")</f>
        <v>ci_bfv_eq_small</v>
      </c>
      <c r="F129">
        <f t="shared" si="24"/>
        <v>221.77653215199999</v>
      </c>
      <c r="G129">
        <f t="shared" si="24"/>
        <v>1.0463710340000001</v>
      </c>
      <c r="H129">
        <f t="shared" si="24"/>
        <v>0</v>
      </c>
      <c r="I129">
        <f t="shared" si="24"/>
        <v>0</v>
      </c>
      <c r="J129">
        <f t="shared" si="24"/>
        <v>0</v>
      </c>
      <c r="K129">
        <f t="shared" si="24"/>
        <v>0</v>
      </c>
      <c r="L129">
        <f t="shared" si="24"/>
        <v>0</v>
      </c>
      <c r="M129">
        <f t="shared" si="24"/>
        <v>0</v>
      </c>
      <c r="N129">
        <f t="shared" si="24"/>
        <v>0</v>
      </c>
      <c r="O129">
        <f t="shared" si="24"/>
        <v>0</v>
      </c>
      <c r="P129">
        <f t="shared" si="24"/>
        <v>12</v>
      </c>
      <c r="Q129">
        <f t="shared" si="24"/>
        <v>1</v>
      </c>
    </row>
    <row r="130" spans="1:17">
      <c r="A130" s="27" t="s">
        <v>2821</v>
      </c>
      <c r="B130" t="s">
        <v>370</v>
      </c>
      <c r="C130" s="49">
        <f t="shared" si="23"/>
        <v>0</v>
      </c>
      <c r="D130">
        <f>brine_valve_size</f>
        <v>0</v>
      </c>
      <c r="E130" t="str">
        <f>IF(D130&gt;12,"pp_man_eq_large","pp_man_eq_small")</f>
        <v>pp_man_eq_small</v>
      </c>
      <c r="F130">
        <f t="shared" si="24"/>
        <v>0</v>
      </c>
      <c r="G130">
        <f t="shared" si="24"/>
        <v>0</v>
      </c>
      <c r="H130">
        <f t="shared" si="24"/>
        <v>0</v>
      </c>
      <c r="I130">
        <f t="shared" si="24"/>
        <v>0</v>
      </c>
      <c r="J130">
        <f t="shared" si="24"/>
        <v>0</v>
      </c>
      <c r="K130">
        <f t="shared" si="24"/>
        <v>0</v>
      </c>
      <c r="L130">
        <f t="shared" si="24"/>
        <v>0</v>
      </c>
      <c r="M130">
        <f t="shared" si="24"/>
        <v>12.117823524</v>
      </c>
      <c r="N130">
        <f t="shared" si="24"/>
        <v>45.057729000000002</v>
      </c>
      <c r="O130">
        <f t="shared" si="24"/>
        <v>112.997449909</v>
      </c>
      <c r="P130">
        <f t="shared" si="24"/>
        <v>12</v>
      </c>
      <c r="Q130">
        <f t="shared" si="24"/>
        <v>0</v>
      </c>
    </row>
    <row r="131" spans="1:17">
      <c r="A131" s="27" t="s">
        <v>1205</v>
      </c>
      <c r="B131" t="s">
        <v>371</v>
      </c>
      <c r="C131" s="49">
        <f t="shared" si="23"/>
        <v>0</v>
      </c>
      <c r="D131">
        <f>brine_valve_size</f>
        <v>0</v>
      </c>
      <c r="E131" t="s">
        <v>761</v>
      </c>
      <c r="F131">
        <f t="shared" ref="F131:Q143" si="25">VLOOKUP($E131,eq_table_cl,F$4,FALSE)</f>
        <v>271.98316458599999</v>
      </c>
      <c r="G131">
        <f t="shared" si="25"/>
        <v>0.92578415199999997</v>
      </c>
      <c r="H131">
        <f t="shared" si="25"/>
        <v>0</v>
      </c>
      <c r="I131">
        <f t="shared" si="25"/>
        <v>0</v>
      </c>
      <c r="J131">
        <f t="shared" si="25"/>
        <v>0</v>
      </c>
      <c r="K131">
        <f t="shared" si="25"/>
        <v>0</v>
      </c>
      <c r="L131">
        <f t="shared" si="25"/>
        <v>0</v>
      </c>
      <c r="M131">
        <f t="shared" si="25"/>
        <v>0</v>
      </c>
      <c r="N131">
        <f t="shared" si="25"/>
        <v>0</v>
      </c>
      <c r="O131">
        <f t="shared" si="25"/>
        <v>0</v>
      </c>
      <c r="P131">
        <f t="shared" si="25"/>
        <v>12.1</v>
      </c>
      <c r="Q131">
        <f t="shared" si="25"/>
        <v>0</v>
      </c>
    </row>
    <row r="132" spans="1:17">
      <c r="A132" s="27" t="s">
        <v>2817</v>
      </c>
      <c r="B132" t="s">
        <v>372</v>
      </c>
      <c r="C132" s="49">
        <f t="shared" si="23"/>
        <v>0</v>
      </c>
      <c r="D132">
        <f>bypass_valve_size</f>
        <v>0</v>
      </c>
      <c r="E132" t="str">
        <f>IF(D132&gt;12,"pp_man_eq_large","pp_man_eq_small")</f>
        <v>pp_man_eq_small</v>
      </c>
      <c r="F132">
        <f t="shared" si="25"/>
        <v>0</v>
      </c>
      <c r="G132">
        <f t="shared" si="25"/>
        <v>0</v>
      </c>
      <c r="H132">
        <f t="shared" si="25"/>
        <v>0</v>
      </c>
      <c r="I132">
        <f t="shared" si="25"/>
        <v>0</v>
      </c>
      <c r="J132">
        <f t="shared" si="25"/>
        <v>0</v>
      </c>
      <c r="K132">
        <f t="shared" si="25"/>
        <v>0</v>
      </c>
      <c r="L132">
        <f t="shared" si="25"/>
        <v>0</v>
      </c>
      <c r="M132">
        <f t="shared" si="25"/>
        <v>12.117823524</v>
      </c>
      <c r="N132">
        <f t="shared" si="25"/>
        <v>45.057729000000002</v>
      </c>
      <c r="O132">
        <f t="shared" si="25"/>
        <v>112.997449909</v>
      </c>
      <c r="P132">
        <f t="shared" si="25"/>
        <v>12</v>
      </c>
      <c r="Q132">
        <f t="shared" si="25"/>
        <v>0</v>
      </c>
    </row>
    <row r="133" spans="1:17">
      <c r="A133" s="27" t="s">
        <v>2818</v>
      </c>
      <c r="B133" t="s">
        <v>373</v>
      </c>
      <c r="C133" s="49">
        <f t="shared" si="23"/>
        <v>0</v>
      </c>
      <c r="D133">
        <f>bypass_valve_size</f>
        <v>0</v>
      </c>
      <c r="E133" t="s">
        <v>761</v>
      </c>
      <c r="F133">
        <f t="shared" si="25"/>
        <v>271.98316458599999</v>
      </c>
      <c r="G133">
        <f t="shared" si="25"/>
        <v>0.92578415199999997</v>
      </c>
      <c r="H133">
        <f t="shared" si="25"/>
        <v>0</v>
      </c>
      <c r="I133">
        <f t="shared" si="25"/>
        <v>0</v>
      </c>
      <c r="J133">
        <f t="shared" si="25"/>
        <v>0</v>
      </c>
      <c r="K133">
        <f t="shared" si="25"/>
        <v>0</v>
      </c>
      <c r="L133">
        <f t="shared" si="25"/>
        <v>0</v>
      </c>
      <c r="M133">
        <f t="shared" si="25"/>
        <v>0</v>
      </c>
      <c r="N133">
        <f t="shared" si="25"/>
        <v>0</v>
      </c>
      <c r="O133">
        <f t="shared" si="25"/>
        <v>0</v>
      </c>
      <c r="P133">
        <f t="shared" si="25"/>
        <v>12.1</v>
      </c>
      <c r="Q133">
        <f t="shared" si="25"/>
        <v>0</v>
      </c>
    </row>
    <row r="134" spans="1:17">
      <c r="A134" s="27" t="s">
        <v>184</v>
      </c>
      <c r="B134" t="s">
        <v>374</v>
      </c>
      <c r="C134" s="49">
        <f t="shared" si="23"/>
        <v>0</v>
      </c>
      <c r="D134">
        <f>bypass_valve_size</f>
        <v>0</v>
      </c>
      <c r="E134" t="str">
        <f>IF(D134&gt;12,"ci_bfv_eq_large","ci_bfv_eq_small")</f>
        <v>ci_bfv_eq_small</v>
      </c>
      <c r="F134">
        <f t="shared" si="25"/>
        <v>221.77653215199999</v>
      </c>
      <c r="G134">
        <f t="shared" si="25"/>
        <v>1.0463710340000001</v>
      </c>
      <c r="H134">
        <f t="shared" si="25"/>
        <v>0</v>
      </c>
      <c r="I134">
        <f t="shared" si="25"/>
        <v>0</v>
      </c>
      <c r="J134">
        <f t="shared" si="25"/>
        <v>0</v>
      </c>
      <c r="K134">
        <f t="shared" si="25"/>
        <v>0</v>
      </c>
      <c r="L134">
        <f t="shared" si="25"/>
        <v>0</v>
      </c>
      <c r="M134">
        <f t="shared" si="25"/>
        <v>0</v>
      </c>
      <c r="N134">
        <f t="shared" si="25"/>
        <v>0</v>
      </c>
      <c r="O134">
        <f t="shared" si="25"/>
        <v>0</v>
      </c>
      <c r="P134">
        <f t="shared" si="25"/>
        <v>12</v>
      </c>
      <c r="Q134">
        <f t="shared" si="25"/>
        <v>1</v>
      </c>
    </row>
    <row r="135" spans="1:17">
      <c r="A135" s="27" t="s">
        <v>1313</v>
      </c>
      <c r="B135" t="s">
        <v>375</v>
      </c>
      <c r="C135" s="49">
        <f t="shared" si="23"/>
        <v>0</v>
      </c>
      <c r="D135">
        <f>caustic_valve_size</f>
        <v>0</v>
      </c>
      <c r="E135" t="str">
        <f>IF(D135&gt;12,"pp_man_eq_large","pp_man_eq_small")</f>
        <v>pp_man_eq_small</v>
      </c>
      <c r="F135">
        <f t="shared" si="25"/>
        <v>0</v>
      </c>
      <c r="G135">
        <f t="shared" si="25"/>
        <v>0</v>
      </c>
      <c r="H135">
        <f t="shared" si="25"/>
        <v>0</v>
      </c>
      <c r="I135">
        <f t="shared" si="25"/>
        <v>0</v>
      </c>
      <c r="J135">
        <f t="shared" si="25"/>
        <v>0</v>
      </c>
      <c r="K135">
        <f t="shared" si="25"/>
        <v>0</v>
      </c>
      <c r="L135">
        <f t="shared" si="25"/>
        <v>0</v>
      </c>
      <c r="M135">
        <f t="shared" si="25"/>
        <v>12.117823524</v>
      </c>
      <c r="N135">
        <f t="shared" si="25"/>
        <v>45.057729000000002</v>
      </c>
      <c r="O135">
        <f t="shared" si="25"/>
        <v>112.997449909</v>
      </c>
      <c r="P135">
        <f t="shared" si="25"/>
        <v>12</v>
      </c>
      <c r="Q135">
        <f t="shared" si="25"/>
        <v>0</v>
      </c>
    </row>
    <row r="136" spans="1:17">
      <c r="A136" s="27" t="s">
        <v>1311</v>
      </c>
      <c r="B136" t="s">
        <v>376</v>
      </c>
      <c r="C136" s="49">
        <f t="shared" si="23"/>
        <v>0</v>
      </c>
      <c r="D136">
        <f>caustic_valve_size</f>
        <v>0</v>
      </c>
      <c r="E136" t="s">
        <v>761</v>
      </c>
      <c r="F136">
        <f t="shared" si="25"/>
        <v>271.98316458599999</v>
      </c>
      <c r="G136">
        <f t="shared" si="25"/>
        <v>0.92578415199999997</v>
      </c>
      <c r="H136">
        <f t="shared" si="25"/>
        <v>0</v>
      </c>
      <c r="I136">
        <f t="shared" si="25"/>
        <v>0</v>
      </c>
      <c r="J136">
        <f t="shared" si="25"/>
        <v>0</v>
      </c>
      <c r="K136">
        <f t="shared" si="25"/>
        <v>0</v>
      </c>
      <c r="L136">
        <f t="shared" si="25"/>
        <v>0</v>
      </c>
      <c r="M136">
        <f t="shared" si="25"/>
        <v>0</v>
      </c>
      <c r="N136">
        <f t="shared" si="25"/>
        <v>0</v>
      </c>
      <c r="O136">
        <f t="shared" si="25"/>
        <v>0</v>
      </c>
      <c r="P136">
        <f t="shared" si="25"/>
        <v>12.1</v>
      </c>
      <c r="Q136">
        <f t="shared" si="25"/>
        <v>0</v>
      </c>
    </row>
    <row r="137" spans="1:17">
      <c r="A137" s="14" t="s">
        <v>2686</v>
      </c>
      <c r="B137" t="s">
        <v>377</v>
      </c>
      <c r="C137" s="49">
        <f t="shared" si="23"/>
        <v>170.17300243299999</v>
      </c>
      <c r="D137">
        <f>res_valve_size</f>
        <v>1</v>
      </c>
      <c r="E137" t="str">
        <f>IF(D137&gt;12,"pp_man_eq_large","pp_man_eq_small")</f>
        <v>pp_man_eq_small</v>
      </c>
      <c r="F137">
        <f t="shared" si="25"/>
        <v>0</v>
      </c>
      <c r="G137">
        <f t="shared" si="25"/>
        <v>0</v>
      </c>
      <c r="H137">
        <f t="shared" si="25"/>
        <v>0</v>
      </c>
      <c r="I137">
        <f t="shared" si="25"/>
        <v>0</v>
      </c>
      <c r="J137">
        <f t="shared" si="25"/>
        <v>0</v>
      </c>
      <c r="K137">
        <f t="shared" si="25"/>
        <v>0</v>
      </c>
      <c r="L137">
        <f t="shared" si="25"/>
        <v>0</v>
      </c>
      <c r="M137">
        <f t="shared" si="25"/>
        <v>12.117823524</v>
      </c>
      <c r="N137">
        <f t="shared" si="25"/>
        <v>45.057729000000002</v>
      </c>
      <c r="O137">
        <f t="shared" si="25"/>
        <v>112.997449909</v>
      </c>
      <c r="P137">
        <f t="shared" si="25"/>
        <v>12</v>
      </c>
      <c r="Q137">
        <f t="shared" si="25"/>
        <v>0</v>
      </c>
    </row>
    <row r="138" spans="1:17">
      <c r="A138" s="14" t="s">
        <v>2688</v>
      </c>
      <c r="B138" t="s">
        <v>378</v>
      </c>
      <c r="C138" s="49">
        <f t="shared" si="23"/>
        <v>271.98316458599999</v>
      </c>
      <c r="D138">
        <f>res_valve_size</f>
        <v>1</v>
      </c>
      <c r="E138" t="s">
        <v>761</v>
      </c>
      <c r="F138">
        <f t="shared" si="25"/>
        <v>271.98316458599999</v>
      </c>
      <c r="G138">
        <f t="shared" si="25"/>
        <v>0.92578415199999997</v>
      </c>
      <c r="H138">
        <f t="shared" si="25"/>
        <v>0</v>
      </c>
      <c r="I138">
        <f t="shared" si="25"/>
        <v>0</v>
      </c>
      <c r="J138">
        <f t="shared" si="25"/>
        <v>0</v>
      </c>
      <c r="K138">
        <f t="shared" si="25"/>
        <v>0</v>
      </c>
      <c r="L138">
        <f t="shared" si="25"/>
        <v>0</v>
      </c>
      <c r="M138">
        <f t="shared" si="25"/>
        <v>0</v>
      </c>
      <c r="N138">
        <f t="shared" si="25"/>
        <v>0</v>
      </c>
      <c r="O138">
        <f t="shared" si="25"/>
        <v>0</v>
      </c>
      <c r="P138">
        <f t="shared" si="25"/>
        <v>12.1</v>
      </c>
      <c r="Q138">
        <f t="shared" si="25"/>
        <v>0</v>
      </c>
    </row>
    <row r="139" spans="1:17">
      <c r="A139" s="14" t="s">
        <v>2690</v>
      </c>
      <c r="B139" t="s">
        <v>379</v>
      </c>
      <c r="C139" s="49">
        <f t="shared" si="23"/>
        <v>221.77653215199999</v>
      </c>
      <c r="D139">
        <f>res_valve_size</f>
        <v>1</v>
      </c>
      <c r="E139" t="str">
        <f>IF(D139&gt;12,"ci_bfv_eq_large","ci_bfv_eq_small")</f>
        <v>ci_bfv_eq_small</v>
      </c>
      <c r="F139">
        <f t="shared" si="25"/>
        <v>221.77653215199999</v>
      </c>
      <c r="G139">
        <f t="shared" si="25"/>
        <v>1.0463710340000001</v>
      </c>
      <c r="H139">
        <f t="shared" si="25"/>
        <v>0</v>
      </c>
      <c r="I139">
        <f t="shared" si="25"/>
        <v>0</v>
      </c>
      <c r="J139">
        <f t="shared" si="25"/>
        <v>0</v>
      </c>
      <c r="K139">
        <f t="shared" si="25"/>
        <v>0</v>
      </c>
      <c r="L139">
        <f t="shared" si="25"/>
        <v>0</v>
      </c>
      <c r="M139">
        <f t="shared" si="25"/>
        <v>0</v>
      </c>
      <c r="N139">
        <f t="shared" si="25"/>
        <v>0</v>
      </c>
      <c r="O139">
        <f t="shared" si="25"/>
        <v>0</v>
      </c>
      <c r="P139">
        <f t="shared" si="25"/>
        <v>12</v>
      </c>
      <c r="Q139">
        <f t="shared" si="25"/>
        <v>1</v>
      </c>
    </row>
    <row r="140" spans="1:17">
      <c r="A140" s="526" t="s">
        <v>3382</v>
      </c>
      <c r="B140" s="526" t="s">
        <v>3384</v>
      </c>
      <c r="C140" s="49">
        <f t="shared" si="23"/>
        <v>0</v>
      </c>
      <c r="D140">
        <f>coag_valve_size</f>
        <v>0</v>
      </c>
      <c r="E140" t="str">
        <f>IF(D140&gt;12,"pp_man_eq_large","pp_man_eq_small")</f>
        <v>pp_man_eq_small</v>
      </c>
      <c r="F140">
        <f t="shared" si="25"/>
        <v>0</v>
      </c>
      <c r="G140">
        <f t="shared" si="25"/>
        <v>0</v>
      </c>
      <c r="H140">
        <f t="shared" si="25"/>
        <v>0</v>
      </c>
      <c r="I140">
        <f t="shared" si="25"/>
        <v>0</v>
      </c>
      <c r="J140">
        <f t="shared" si="25"/>
        <v>0</v>
      </c>
      <c r="K140">
        <f t="shared" si="25"/>
        <v>0</v>
      </c>
      <c r="L140">
        <f t="shared" si="25"/>
        <v>0</v>
      </c>
      <c r="M140">
        <f t="shared" si="25"/>
        <v>12.117823524</v>
      </c>
      <c r="N140">
        <f t="shared" si="25"/>
        <v>45.057729000000002</v>
      </c>
      <c r="O140">
        <f t="shared" si="25"/>
        <v>112.997449909</v>
      </c>
      <c r="P140">
        <f t="shared" si="25"/>
        <v>12</v>
      </c>
      <c r="Q140">
        <f t="shared" si="25"/>
        <v>0</v>
      </c>
    </row>
    <row r="141" spans="1:17">
      <c r="A141" s="5" t="s">
        <v>1375</v>
      </c>
      <c r="B141" s="5" t="s">
        <v>1381</v>
      </c>
      <c r="C141" s="49">
        <f t="shared" si="23"/>
        <v>0</v>
      </c>
      <c r="D141" s="73">
        <f xml:space="preserve"> polymer_valve_size</f>
        <v>0</v>
      </c>
      <c r="E141" t="str">
        <f>IF(D141&gt;12,"pp_man_eq_large","pp_man_eq_small")</f>
        <v>pp_man_eq_small</v>
      </c>
      <c r="F141">
        <f t="shared" si="25"/>
        <v>0</v>
      </c>
      <c r="G141">
        <f t="shared" si="25"/>
        <v>0</v>
      </c>
      <c r="H141">
        <f t="shared" si="25"/>
        <v>0</v>
      </c>
      <c r="I141">
        <f t="shared" si="25"/>
        <v>0</v>
      </c>
      <c r="J141">
        <f t="shared" si="25"/>
        <v>0</v>
      </c>
      <c r="K141">
        <f t="shared" si="25"/>
        <v>0</v>
      </c>
      <c r="L141">
        <f t="shared" si="25"/>
        <v>0</v>
      </c>
      <c r="M141">
        <f t="shared" si="25"/>
        <v>12.117823524</v>
      </c>
      <c r="N141">
        <f t="shared" si="25"/>
        <v>45.057729000000002</v>
      </c>
      <c r="O141">
        <f t="shared" si="25"/>
        <v>112.997449909</v>
      </c>
      <c r="P141">
        <f t="shared" si="25"/>
        <v>12</v>
      </c>
      <c r="Q141">
        <f t="shared" si="25"/>
        <v>0</v>
      </c>
    </row>
    <row r="142" spans="1:17">
      <c r="A142" s="5" t="s">
        <v>1377</v>
      </c>
      <c r="B142" s="5" t="s">
        <v>1382</v>
      </c>
      <c r="C142" s="49">
        <f t="shared" si="23"/>
        <v>0</v>
      </c>
      <c r="D142" s="73">
        <f xml:space="preserve"> polymer_valve_size</f>
        <v>0</v>
      </c>
      <c r="E142" t="s">
        <v>761</v>
      </c>
      <c r="F142">
        <f t="shared" si="25"/>
        <v>271.98316458599999</v>
      </c>
      <c r="G142">
        <f t="shared" si="25"/>
        <v>0.92578415199999997</v>
      </c>
      <c r="H142">
        <f t="shared" si="25"/>
        <v>0</v>
      </c>
      <c r="I142">
        <f t="shared" si="25"/>
        <v>0</v>
      </c>
      <c r="J142">
        <f t="shared" si="25"/>
        <v>0</v>
      </c>
      <c r="K142">
        <f t="shared" si="25"/>
        <v>0</v>
      </c>
      <c r="L142">
        <f t="shared" si="25"/>
        <v>0</v>
      </c>
      <c r="M142">
        <f t="shared" si="25"/>
        <v>0</v>
      </c>
      <c r="N142">
        <f t="shared" si="25"/>
        <v>0</v>
      </c>
      <c r="O142">
        <f t="shared" si="25"/>
        <v>0</v>
      </c>
      <c r="P142">
        <f t="shared" si="25"/>
        <v>12.1</v>
      </c>
      <c r="Q142">
        <f t="shared" si="25"/>
        <v>0</v>
      </c>
    </row>
    <row r="143" spans="1:17">
      <c r="A143" s="27" t="s">
        <v>1379</v>
      </c>
      <c r="B143" s="5" t="s">
        <v>1383</v>
      </c>
      <c r="C143" s="49">
        <f t="shared" si="23"/>
        <v>0</v>
      </c>
      <c r="D143" s="73">
        <f xml:space="preserve"> polymer_valve_size</f>
        <v>0</v>
      </c>
      <c r="E143" s="5" t="str">
        <f>IF(D143&gt;12,"ci_bfv_eq_large","ci_bfv_eq_small")</f>
        <v>ci_bfv_eq_small</v>
      </c>
      <c r="F143">
        <f t="shared" si="25"/>
        <v>221.77653215199999</v>
      </c>
      <c r="G143">
        <f t="shared" si="25"/>
        <v>1.0463710340000001</v>
      </c>
      <c r="H143">
        <f t="shared" si="25"/>
        <v>0</v>
      </c>
      <c r="I143">
        <f t="shared" si="25"/>
        <v>0</v>
      </c>
      <c r="J143">
        <f t="shared" si="25"/>
        <v>0</v>
      </c>
      <c r="K143">
        <f t="shared" si="25"/>
        <v>0</v>
      </c>
      <c r="L143">
        <f t="shared" si="25"/>
        <v>0</v>
      </c>
      <c r="M143">
        <f t="shared" si="25"/>
        <v>0</v>
      </c>
      <c r="N143">
        <f t="shared" si="25"/>
        <v>0</v>
      </c>
      <c r="O143">
        <f t="shared" si="25"/>
        <v>0</v>
      </c>
      <c r="P143">
        <f t="shared" si="25"/>
        <v>12</v>
      </c>
      <c r="Q143">
        <f t="shared" si="25"/>
        <v>1</v>
      </c>
    </row>
    <row r="144" spans="1:17">
      <c r="A144" s="41" t="s">
        <v>2766</v>
      </c>
    </row>
    <row r="145" spans="1:17">
      <c r="A145" s="5" t="s">
        <v>2820</v>
      </c>
      <c r="B145" t="s">
        <v>763</v>
      </c>
      <c r="C145" s="49">
        <f t="shared" ref="C145:C164" si="26">IF(D145=0,0,IF(OR(D145&gt;P145,D145&lt;Q145),"contact vendor",F145*D145^G145+H145*LN(D145)+I145+J145*EXP(K145*D145)+L145*D145^3+M145*D145^2+N145*D145+O145))</f>
        <v>1226.2284409620001</v>
      </c>
      <c r="D145">
        <f>back_valve_size</f>
        <v>6</v>
      </c>
      <c r="E145" t="s">
        <v>763</v>
      </c>
      <c r="F145">
        <f t="shared" ref="F145:Q154" si="27">VLOOKUP($E145,eq_table_cl,F$4,FALSE)</f>
        <v>0</v>
      </c>
      <c r="G145">
        <f t="shared" si="27"/>
        <v>0</v>
      </c>
      <c r="H145">
        <f t="shared" si="27"/>
        <v>0</v>
      </c>
      <c r="I145">
        <f t="shared" si="27"/>
        <v>0</v>
      </c>
      <c r="J145">
        <f t="shared" si="27"/>
        <v>0</v>
      </c>
      <c r="K145">
        <f t="shared" si="27"/>
        <v>0</v>
      </c>
      <c r="L145">
        <f t="shared" si="27"/>
        <v>0</v>
      </c>
      <c r="M145">
        <f t="shared" si="27"/>
        <v>23.867181313</v>
      </c>
      <c r="N145">
        <f t="shared" si="27"/>
        <v>53.974127154000001</v>
      </c>
      <c r="O145">
        <f t="shared" si="27"/>
        <v>43.165150769999997</v>
      </c>
      <c r="P145">
        <f t="shared" si="27"/>
        <v>12.1</v>
      </c>
      <c r="Q145">
        <f t="shared" si="27"/>
        <v>0</v>
      </c>
    </row>
    <row r="146" spans="1:17">
      <c r="A146" s="5" t="s">
        <v>1337</v>
      </c>
      <c r="B146" t="s">
        <v>764</v>
      </c>
      <c r="C146" s="49">
        <f t="shared" si="26"/>
        <v>2809.4367461900001</v>
      </c>
      <c r="D146">
        <f>back_valve_size</f>
        <v>6</v>
      </c>
      <c r="E146" t="s">
        <v>764</v>
      </c>
      <c r="F146">
        <f t="shared" si="27"/>
        <v>0</v>
      </c>
      <c r="G146">
        <f t="shared" si="27"/>
        <v>0</v>
      </c>
      <c r="H146">
        <f t="shared" si="27"/>
        <v>0</v>
      </c>
      <c r="I146">
        <f t="shared" si="27"/>
        <v>0</v>
      </c>
      <c r="J146">
        <f t="shared" si="27"/>
        <v>0</v>
      </c>
      <c r="K146">
        <f t="shared" si="27"/>
        <v>0</v>
      </c>
      <c r="L146">
        <f t="shared" si="27"/>
        <v>0</v>
      </c>
      <c r="M146">
        <f t="shared" si="27"/>
        <v>43.739370735000001</v>
      </c>
      <c r="N146">
        <f t="shared" si="27"/>
        <v>186.790998664</v>
      </c>
      <c r="O146">
        <f t="shared" si="27"/>
        <v>114.073407746</v>
      </c>
      <c r="P146">
        <f t="shared" si="27"/>
        <v>48.1</v>
      </c>
      <c r="Q146">
        <f t="shared" si="27"/>
        <v>0</v>
      </c>
    </row>
    <row r="147" spans="1:17">
      <c r="A147" s="5" t="s">
        <v>688</v>
      </c>
      <c r="B147" t="s">
        <v>422</v>
      </c>
      <c r="C147" s="49">
        <f t="shared" si="26"/>
        <v>2862.6188274380002</v>
      </c>
      <c r="D147">
        <f>back_valve_size</f>
        <v>6</v>
      </c>
      <c r="E147" t="s">
        <v>422</v>
      </c>
      <c r="F147">
        <f t="shared" si="27"/>
        <v>0</v>
      </c>
      <c r="G147">
        <f t="shared" si="27"/>
        <v>0</v>
      </c>
      <c r="H147">
        <f t="shared" si="27"/>
        <v>0</v>
      </c>
      <c r="I147">
        <f t="shared" si="27"/>
        <v>0</v>
      </c>
      <c r="J147">
        <f t="shared" si="27"/>
        <v>0</v>
      </c>
      <c r="K147">
        <f t="shared" si="27"/>
        <v>0</v>
      </c>
      <c r="L147">
        <f t="shared" si="27"/>
        <v>3.240756524</v>
      </c>
      <c r="M147">
        <f t="shared" si="27"/>
        <v>50.118205304</v>
      </c>
      <c r="N147">
        <f t="shared" si="27"/>
        <v>-32.545647099999996</v>
      </c>
      <c r="O147">
        <f t="shared" si="27"/>
        <v>553.63390991000006</v>
      </c>
      <c r="P147">
        <f t="shared" si="27"/>
        <v>24.1</v>
      </c>
      <c r="Q147">
        <f t="shared" si="27"/>
        <v>2</v>
      </c>
    </row>
    <row r="148" spans="1:17">
      <c r="A148" s="5" t="s">
        <v>3456</v>
      </c>
      <c r="B148" t="s">
        <v>425</v>
      </c>
      <c r="C148" s="49">
        <f t="shared" si="26"/>
        <v>2969.62455361</v>
      </c>
      <c r="D148">
        <f>in_valve_size</f>
        <v>10</v>
      </c>
      <c r="E148" t="s">
        <v>763</v>
      </c>
      <c r="F148">
        <f t="shared" si="27"/>
        <v>0</v>
      </c>
      <c r="G148">
        <f t="shared" si="27"/>
        <v>0</v>
      </c>
      <c r="H148">
        <f t="shared" si="27"/>
        <v>0</v>
      </c>
      <c r="I148">
        <f t="shared" si="27"/>
        <v>0</v>
      </c>
      <c r="J148">
        <f t="shared" si="27"/>
        <v>0</v>
      </c>
      <c r="K148">
        <f t="shared" si="27"/>
        <v>0</v>
      </c>
      <c r="L148">
        <f t="shared" si="27"/>
        <v>0</v>
      </c>
      <c r="M148">
        <f t="shared" si="27"/>
        <v>23.867181313</v>
      </c>
      <c r="N148">
        <f t="shared" si="27"/>
        <v>53.974127154000001</v>
      </c>
      <c r="O148">
        <f t="shared" si="27"/>
        <v>43.165150769999997</v>
      </c>
      <c r="P148">
        <f t="shared" si="27"/>
        <v>12.1</v>
      </c>
      <c r="Q148">
        <f t="shared" si="27"/>
        <v>0</v>
      </c>
    </row>
    <row r="149" spans="1:17">
      <c r="A149" s="5" t="s">
        <v>3457</v>
      </c>
      <c r="B149" t="s">
        <v>426</v>
      </c>
      <c r="C149" s="49">
        <f t="shared" si="26"/>
        <v>6355.9204678860006</v>
      </c>
      <c r="D149">
        <f>in_valve_size</f>
        <v>10</v>
      </c>
      <c r="E149" t="s">
        <v>764</v>
      </c>
      <c r="F149">
        <f t="shared" si="27"/>
        <v>0</v>
      </c>
      <c r="G149">
        <f t="shared" si="27"/>
        <v>0</v>
      </c>
      <c r="H149">
        <f t="shared" si="27"/>
        <v>0</v>
      </c>
      <c r="I149">
        <f t="shared" si="27"/>
        <v>0</v>
      </c>
      <c r="J149">
        <f t="shared" si="27"/>
        <v>0</v>
      </c>
      <c r="K149">
        <f t="shared" si="27"/>
        <v>0</v>
      </c>
      <c r="L149">
        <f t="shared" si="27"/>
        <v>0</v>
      </c>
      <c r="M149">
        <f t="shared" si="27"/>
        <v>43.739370735000001</v>
      </c>
      <c r="N149">
        <f t="shared" si="27"/>
        <v>186.790998664</v>
      </c>
      <c r="O149">
        <f t="shared" si="27"/>
        <v>114.073407746</v>
      </c>
      <c r="P149">
        <f t="shared" si="27"/>
        <v>48.1</v>
      </c>
      <c r="Q149">
        <f t="shared" si="27"/>
        <v>0</v>
      </c>
    </row>
    <row r="150" spans="1:17">
      <c r="A150" s="5" t="s">
        <v>3458</v>
      </c>
      <c r="B150" t="s">
        <v>427</v>
      </c>
      <c r="C150" s="49">
        <f t="shared" si="26"/>
        <v>8480.7544933100016</v>
      </c>
      <c r="D150">
        <f>in_valve_size</f>
        <v>10</v>
      </c>
      <c r="E150" t="s">
        <v>422</v>
      </c>
      <c r="F150">
        <f t="shared" si="27"/>
        <v>0</v>
      </c>
      <c r="G150">
        <f t="shared" si="27"/>
        <v>0</v>
      </c>
      <c r="H150">
        <f t="shared" si="27"/>
        <v>0</v>
      </c>
      <c r="I150">
        <f t="shared" si="27"/>
        <v>0</v>
      </c>
      <c r="J150">
        <f t="shared" si="27"/>
        <v>0</v>
      </c>
      <c r="K150">
        <f t="shared" si="27"/>
        <v>0</v>
      </c>
      <c r="L150">
        <f t="shared" si="27"/>
        <v>3.240756524</v>
      </c>
      <c r="M150">
        <f t="shared" si="27"/>
        <v>50.118205304</v>
      </c>
      <c r="N150">
        <f t="shared" si="27"/>
        <v>-32.545647099999996</v>
      </c>
      <c r="O150">
        <f t="shared" si="27"/>
        <v>553.63390991000006</v>
      </c>
      <c r="P150">
        <f t="shared" si="27"/>
        <v>24.1</v>
      </c>
      <c r="Q150">
        <f t="shared" si="27"/>
        <v>2</v>
      </c>
    </row>
    <row r="151" spans="1:17">
      <c r="A151" s="5" t="s">
        <v>2817</v>
      </c>
      <c r="B151" t="s">
        <v>2286</v>
      </c>
      <c r="C151" s="49">
        <f t="shared" si="26"/>
        <v>0</v>
      </c>
      <c r="D151">
        <f>bypass_valve_size</f>
        <v>0</v>
      </c>
      <c r="E151" t="s">
        <v>763</v>
      </c>
      <c r="F151">
        <f t="shared" si="27"/>
        <v>0</v>
      </c>
      <c r="G151">
        <f t="shared" si="27"/>
        <v>0</v>
      </c>
      <c r="H151">
        <f t="shared" si="27"/>
        <v>0</v>
      </c>
      <c r="I151">
        <f t="shared" si="27"/>
        <v>0</v>
      </c>
      <c r="J151">
        <f t="shared" si="27"/>
        <v>0</v>
      </c>
      <c r="K151">
        <f t="shared" si="27"/>
        <v>0</v>
      </c>
      <c r="L151">
        <f t="shared" si="27"/>
        <v>0</v>
      </c>
      <c r="M151">
        <f t="shared" si="27"/>
        <v>23.867181313</v>
      </c>
      <c r="N151">
        <f t="shared" si="27"/>
        <v>53.974127154000001</v>
      </c>
      <c r="O151">
        <f t="shared" si="27"/>
        <v>43.165150769999997</v>
      </c>
      <c r="P151">
        <f t="shared" si="27"/>
        <v>12.1</v>
      </c>
      <c r="Q151">
        <f t="shared" si="27"/>
        <v>0</v>
      </c>
    </row>
    <row r="152" spans="1:17">
      <c r="A152" s="5" t="s">
        <v>2818</v>
      </c>
      <c r="B152" t="s">
        <v>185</v>
      </c>
      <c r="C152" s="49">
        <f t="shared" si="26"/>
        <v>0</v>
      </c>
      <c r="D152">
        <f>bypass_valve_size</f>
        <v>0</v>
      </c>
      <c r="E152" t="s">
        <v>764</v>
      </c>
      <c r="F152">
        <f t="shared" si="27"/>
        <v>0</v>
      </c>
      <c r="G152">
        <f t="shared" si="27"/>
        <v>0</v>
      </c>
      <c r="H152">
        <f t="shared" si="27"/>
        <v>0</v>
      </c>
      <c r="I152">
        <f t="shared" si="27"/>
        <v>0</v>
      </c>
      <c r="J152">
        <f t="shared" si="27"/>
        <v>0</v>
      </c>
      <c r="K152">
        <f t="shared" si="27"/>
        <v>0</v>
      </c>
      <c r="L152">
        <f t="shared" si="27"/>
        <v>0</v>
      </c>
      <c r="M152">
        <f t="shared" si="27"/>
        <v>43.739370735000001</v>
      </c>
      <c r="N152">
        <f t="shared" si="27"/>
        <v>186.790998664</v>
      </c>
      <c r="O152">
        <f t="shared" si="27"/>
        <v>114.073407746</v>
      </c>
      <c r="P152">
        <f t="shared" si="27"/>
        <v>48.1</v>
      </c>
      <c r="Q152">
        <f t="shared" si="27"/>
        <v>0</v>
      </c>
    </row>
    <row r="153" spans="1:17">
      <c r="A153" s="5" t="s">
        <v>184</v>
      </c>
      <c r="B153" t="s">
        <v>2285</v>
      </c>
      <c r="C153" s="49">
        <f t="shared" si="26"/>
        <v>0</v>
      </c>
      <c r="D153">
        <f>bypass_valve_size</f>
        <v>0</v>
      </c>
      <c r="E153" t="s">
        <v>422</v>
      </c>
      <c r="F153">
        <f t="shared" si="27"/>
        <v>0</v>
      </c>
      <c r="G153">
        <f t="shared" si="27"/>
        <v>0</v>
      </c>
      <c r="H153">
        <f t="shared" si="27"/>
        <v>0</v>
      </c>
      <c r="I153">
        <f t="shared" si="27"/>
        <v>0</v>
      </c>
      <c r="J153">
        <f t="shared" si="27"/>
        <v>0</v>
      </c>
      <c r="K153">
        <f t="shared" si="27"/>
        <v>0</v>
      </c>
      <c r="L153">
        <f t="shared" si="27"/>
        <v>3.240756524</v>
      </c>
      <c r="M153">
        <f t="shared" si="27"/>
        <v>50.118205304</v>
      </c>
      <c r="N153">
        <f t="shared" si="27"/>
        <v>-32.545647099999996</v>
      </c>
      <c r="O153">
        <f t="shared" si="27"/>
        <v>553.63390991000006</v>
      </c>
      <c r="P153">
        <f t="shared" si="27"/>
        <v>24.1</v>
      </c>
      <c r="Q153">
        <f t="shared" si="27"/>
        <v>2</v>
      </c>
    </row>
    <row r="154" spans="1:17">
      <c r="A154" s="5" t="s">
        <v>1316</v>
      </c>
      <c r="B154" t="s">
        <v>1314</v>
      </c>
      <c r="C154" s="49">
        <f t="shared" si="26"/>
        <v>0</v>
      </c>
      <c r="D154">
        <f>brine_valve_size</f>
        <v>0</v>
      </c>
      <c r="E154" t="s">
        <v>763</v>
      </c>
      <c r="F154">
        <f t="shared" si="27"/>
        <v>0</v>
      </c>
      <c r="G154">
        <f t="shared" si="27"/>
        <v>0</v>
      </c>
      <c r="H154">
        <f t="shared" si="27"/>
        <v>0</v>
      </c>
      <c r="I154">
        <f t="shared" si="27"/>
        <v>0</v>
      </c>
      <c r="J154">
        <f t="shared" si="27"/>
        <v>0</v>
      </c>
      <c r="K154">
        <f t="shared" si="27"/>
        <v>0</v>
      </c>
      <c r="L154">
        <f t="shared" si="27"/>
        <v>0</v>
      </c>
      <c r="M154">
        <f t="shared" si="27"/>
        <v>23.867181313</v>
      </c>
      <c r="N154">
        <f t="shared" si="27"/>
        <v>53.974127154000001</v>
      </c>
      <c r="O154">
        <f t="shared" si="27"/>
        <v>43.165150769999997</v>
      </c>
      <c r="P154">
        <f t="shared" si="27"/>
        <v>12.1</v>
      </c>
      <c r="Q154">
        <f t="shared" si="27"/>
        <v>0</v>
      </c>
    </row>
    <row r="155" spans="1:17">
      <c r="A155" s="5" t="s">
        <v>1317</v>
      </c>
      <c r="B155" t="s">
        <v>1315</v>
      </c>
      <c r="C155" s="49">
        <f t="shared" si="26"/>
        <v>0</v>
      </c>
      <c r="D155">
        <f>brine_valve_size</f>
        <v>0</v>
      </c>
      <c r="E155" t="s">
        <v>764</v>
      </c>
      <c r="F155">
        <f t="shared" ref="F155:Q164" si="28">VLOOKUP($E155,eq_table_cl,F$4,FALSE)</f>
        <v>0</v>
      </c>
      <c r="G155">
        <f t="shared" si="28"/>
        <v>0</v>
      </c>
      <c r="H155">
        <f t="shared" si="28"/>
        <v>0</v>
      </c>
      <c r="I155">
        <f t="shared" si="28"/>
        <v>0</v>
      </c>
      <c r="J155">
        <f t="shared" si="28"/>
        <v>0</v>
      </c>
      <c r="K155">
        <f t="shared" si="28"/>
        <v>0</v>
      </c>
      <c r="L155">
        <f t="shared" si="28"/>
        <v>0</v>
      </c>
      <c r="M155">
        <f t="shared" si="28"/>
        <v>43.739370735000001</v>
      </c>
      <c r="N155">
        <f t="shared" si="28"/>
        <v>186.790998664</v>
      </c>
      <c r="O155">
        <f t="shared" si="28"/>
        <v>114.073407746</v>
      </c>
      <c r="P155">
        <f t="shared" si="28"/>
        <v>48.1</v>
      </c>
      <c r="Q155">
        <f t="shared" si="28"/>
        <v>0</v>
      </c>
    </row>
    <row r="156" spans="1:17">
      <c r="A156" s="5" t="s">
        <v>1313</v>
      </c>
      <c r="B156" t="s">
        <v>2703</v>
      </c>
      <c r="C156" s="49">
        <f t="shared" si="26"/>
        <v>0</v>
      </c>
      <c r="D156">
        <f>caustic_valve_size</f>
        <v>0</v>
      </c>
      <c r="E156" t="s">
        <v>763</v>
      </c>
      <c r="F156">
        <f t="shared" si="28"/>
        <v>0</v>
      </c>
      <c r="G156">
        <f t="shared" si="28"/>
        <v>0</v>
      </c>
      <c r="H156">
        <f t="shared" si="28"/>
        <v>0</v>
      </c>
      <c r="I156">
        <f t="shared" si="28"/>
        <v>0</v>
      </c>
      <c r="J156">
        <f t="shared" si="28"/>
        <v>0</v>
      </c>
      <c r="K156">
        <f t="shared" si="28"/>
        <v>0</v>
      </c>
      <c r="L156">
        <f t="shared" si="28"/>
        <v>0</v>
      </c>
      <c r="M156">
        <f t="shared" si="28"/>
        <v>23.867181313</v>
      </c>
      <c r="N156">
        <f t="shared" si="28"/>
        <v>53.974127154000001</v>
      </c>
      <c r="O156">
        <f t="shared" si="28"/>
        <v>43.165150769999997</v>
      </c>
      <c r="P156">
        <f t="shared" si="28"/>
        <v>12.1</v>
      </c>
      <c r="Q156">
        <f t="shared" si="28"/>
        <v>0</v>
      </c>
    </row>
    <row r="157" spans="1:17">
      <c r="A157" s="5" t="s">
        <v>1311</v>
      </c>
      <c r="B157" t="s">
        <v>2704</v>
      </c>
      <c r="C157" s="49">
        <f t="shared" si="26"/>
        <v>0</v>
      </c>
      <c r="D157">
        <f>caustic_valve_size</f>
        <v>0</v>
      </c>
      <c r="E157" t="s">
        <v>764</v>
      </c>
      <c r="F157">
        <f t="shared" si="28"/>
        <v>0</v>
      </c>
      <c r="G157">
        <f t="shared" si="28"/>
        <v>0</v>
      </c>
      <c r="H157">
        <f t="shared" si="28"/>
        <v>0</v>
      </c>
      <c r="I157">
        <f t="shared" si="28"/>
        <v>0</v>
      </c>
      <c r="J157">
        <f t="shared" si="28"/>
        <v>0</v>
      </c>
      <c r="K157">
        <f t="shared" si="28"/>
        <v>0</v>
      </c>
      <c r="L157">
        <f t="shared" si="28"/>
        <v>0</v>
      </c>
      <c r="M157">
        <f t="shared" si="28"/>
        <v>43.739370735000001</v>
      </c>
      <c r="N157">
        <f t="shared" si="28"/>
        <v>186.790998664</v>
      </c>
      <c r="O157">
        <f t="shared" si="28"/>
        <v>114.073407746</v>
      </c>
      <c r="P157">
        <f t="shared" si="28"/>
        <v>48.1</v>
      </c>
      <c r="Q157">
        <f t="shared" si="28"/>
        <v>0</v>
      </c>
    </row>
    <row r="158" spans="1:17">
      <c r="A158" s="5" t="s">
        <v>2692</v>
      </c>
      <c r="B158" t="s">
        <v>2693</v>
      </c>
      <c r="C158" s="49">
        <f t="shared" si="26"/>
        <v>121.006459237</v>
      </c>
      <c r="D158">
        <f>res_valve_size</f>
        <v>1</v>
      </c>
      <c r="E158" t="s">
        <v>763</v>
      </c>
      <c r="F158">
        <f t="shared" si="28"/>
        <v>0</v>
      </c>
      <c r="G158">
        <f t="shared" si="28"/>
        <v>0</v>
      </c>
      <c r="H158">
        <f t="shared" si="28"/>
        <v>0</v>
      </c>
      <c r="I158">
        <f t="shared" si="28"/>
        <v>0</v>
      </c>
      <c r="J158">
        <f t="shared" si="28"/>
        <v>0</v>
      </c>
      <c r="K158">
        <f t="shared" si="28"/>
        <v>0</v>
      </c>
      <c r="L158">
        <f t="shared" si="28"/>
        <v>0</v>
      </c>
      <c r="M158">
        <f t="shared" si="28"/>
        <v>23.867181313</v>
      </c>
      <c r="N158">
        <f t="shared" si="28"/>
        <v>53.974127154000001</v>
      </c>
      <c r="O158">
        <f t="shared" si="28"/>
        <v>43.165150769999997</v>
      </c>
      <c r="P158">
        <f t="shared" si="28"/>
        <v>12.1</v>
      </c>
      <c r="Q158">
        <f t="shared" si="28"/>
        <v>0</v>
      </c>
    </row>
    <row r="159" spans="1:17">
      <c r="A159" s="5" t="s">
        <v>2694</v>
      </c>
      <c r="B159" t="s">
        <v>2695</v>
      </c>
      <c r="C159" s="49">
        <f t="shared" si="26"/>
        <v>344.60377714499998</v>
      </c>
      <c r="D159">
        <f>res_valve_size</f>
        <v>1</v>
      </c>
      <c r="E159" t="s">
        <v>764</v>
      </c>
      <c r="F159">
        <f t="shared" si="28"/>
        <v>0</v>
      </c>
      <c r="G159">
        <f t="shared" si="28"/>
        <v>0</v>
      </c>
      <c r="H159">
        <f t="shared" si="28"/>
        <v>0</v>
      </c>
      <c r="I159">
        <f t="shared" si="28"/>
        <v>0</v>
      </c>
      <c r="J159">
        <f t="shared" si="28"/>
        <v>0</v>
      </c>
      <c r="K159">
        <f t="shared" si="28"/>
        <v>0</v>
      </c>
      <c r="L159">
        <f t="shared" si="28"/>
        <v>0</v>
      </c>
      <c r="M159">
        <f t="shared" si="28"/>
        <v>43.739370735000001</v>
      </c>
      <c r="N159">
        <f t="shared" si="28"/>
        <v>186.790998664</v>
      </c>
      <c r="O159">
        <f t="shared" si="28"/>
        <v>114.073407746</v>
      </c>
      <c r="P159">
        <f t="shared" si="28"/>
        <v>48.1</v>
      </c>
      <c r="Q159">
        <f t="shared" si="28"/>
        <v>0</v>
      </c>
    </row>
    <row r="160" spans="1:17">
      <c r="A160" s="5" t="s">
        <v>2696</v>
      </c>
      <c r="B160" t="s">
        <v>2697</v>
      </c>
      <c r="C160" s="49" t="str">
        <f t="shared" si="26"/>
        <v>contact vendor</v>
      </c>
      <c r="D160">
        <f>res_valve_size</f>
        <v>1</v>
      </c>
      <c r="E160" t="s">
        <v>422</v>
      </c>
      <c r="F160">
        <f t="shared" si="28"/>
        <v>0</v>
      </c>
      <c r="G160">
        <f t="shared" si="28"/>
        <v>0</v>
      </c>
      <c r="H160">
        <f t="shared" si="28"/>
        <v>0</v>
      </c>
      <c r="I160">
        <f t="shared" si="28"/>
        <v>0</v>
      </c>
      <c r="J160">
        <f t="shared" si="28"/>
        <v>0</v>
      </c>
      <c r="K160">
        <f t="shared" si="28"/>
        <v>0</v>
      </c>
      <c r="L160">
        <f t="shared" si="28"/>
        <v>3.240756524</v>
      </c>
      <c r="M160">
        <f t="shared" si="28"/>
        <v>50.118205304</v>
      </c>
      <c r="N160">
        <f t="shared" si="28"/>
        <v>-32.545647099999996</v>
      </c>
      <c r="O160">
        <f t="shared" si="28"/>
        <v>553.63390991000006</v>
      </c>
      <c r="P160">
        <f t="shared" si="28"/>
        <v>24.1</v>
      </c>
      <c r="Q160">
        <f t="shared" si="28"/>
        <v>2</v>
      </c>
    </row>
    <row r="161" spans="1:17">
      <c r="A161" s="526" t="s">
        <v>3382</v>
      </c>
      <c r="B161" s="526" t="s">
        <v>3385</v>
      </c>
      <c r="C161" s="49">
        <f t="shared" si="26"/>
        <v>0</v>
      </c>
      <c r="D161">
        <f>coag_valve_size</f>
        <v>0</v>
      </c>
      <c r="E161" t="s">
        <v>763</v>
      </c>
      <c r="F161">
        <f t="shared" si="28"/>
        <v>0</v>
      </c>
      <c r="G161">
        <f t="shared" si="28"/>
        <v>0</v>
      </c>
      <c r="H161">
        <f t="shared" si="28"/>
        <v>0</v>
      </c>
      <c r="I161">
        <f t="shared" si="28"/>
        <v>0</v>
      </c>
      <c r="J161">
        <f t="shared" si="28"/>
        <v>0</v>
      </c>
      <c r="K161">
        <f t="shared" si="28"/>
        <v>0</v>
      </c>
      <c r="L161">
        <f t="shared" si="28"/>
        <v>0</v>
      </c>
      <c r="M161">
        <f t="shared" si="28"/>
        <v>23.867181313</v>
      </c>
      <c r="N161">
        <f t="shared" si="28"/>
        <v>53.974127154000001</v>
      </c>
      <c r="O161">
        <f t="shared" si="28"/>
        <v>43.165150769999997</v>
      </c>
      <c r="P161">
        <f t="shared" si="28"/>
        <v>12.1</v>
      </c>
      <c r="Q161">
        <f t="shared" si="28"/>
        <v>0</v>
      </c>
    </row>
    <row r="162" spans="1:17">
      <c r="A162" s="5" t="s">
        <v>1375</v>
      </c>
      <c r="B162" t="s">
        <v>1384</v>
      </c>
      <c r="C162" s="49">
        <f t="shared" si="26"/>
        <v>0</v>
      </c>
      <c r="D162">
        <f>polymer_valve_size</f>
        <v>0</v>
      </c>
      <c r="E162" t="s">
        <v>763</v>
      </c>
      <c r="F162">
        <f t="shared" si="28"/>
        <v>0</v>
      </c>
      <c r="G162">
        <f t="shared" si="28"/>
        <v>0</v>
      </c>
      <c r="H162">
        <f t="shared" si="28"/>
        <v>0</v>
      </c>
      <c r="I162">
        <f t="shared" si="28"/>
        <v>0</v>
      </c>
      <c r="J162">
        <f t="shared" si="28"/>
        <v>0</v>
      </c>
      <c r="K162">
        <f t="shared" si="28"/>
        <v>0</v>
      </c>
      <c r="L162">
        <f t="shared" si="28"/>
        <v>0</v>
      </c>
      <c r="M162">
        <f t="shared" si="28"/>
        <v>23.867181313</v>
      </c>
      <c r="N162">
        <f t="shared" si="28"/>
        <v>53.974127154000001</v>
      </c>
      <c r="O162">
        <f t="shared" si="28"/>
        <v>43.165150769999997</v>
      </c>
      <c r="P162">
        <f t="shared" si="28"/>
        <v>12.1</v>
      </c>
      <c r="Q162">
        <f t="shared" si="28"/>
        <v>0</v>
      </c>
    </row>
    <row r="163" spans="1:17">
      <c r="A163" s="5" t="s">
        <v>1377</v>
      </c>
      <c r="B163" t="s">
        <v>1385</v>
      </c>
      <c r="C163" s="49">
        <f t="shared" si="26"/>
        <v>0</v>
      </c>
      <c r="D163">
        <f>polymer_valve_size</f>
        <v>0</v>
      </c>
      <c r="E163" t="s">
        <v>764</v>
      </c>
      <c r="F163">
        <f t="shared" si="28"/>
        <v>0</v>
      </c>
      <c r="G163">
        <f t="shared" si="28"/>
        <v>0</v>
      </c>
      <c r="H163">
        <f t="shared" si="28"/>
        <v>0</v>
      </c>
      <c r="I163">
        <f t="shared" si="28"/>
        <v>0</v>
      </c>
      <c r="J163">
        <f t="shared" si="28"/>
        <v>0</v>
      </c>
      <c r="K163">
        <f t="shared" si="28"/>
        <v>0</v>
      </c>
      <c r="L163">
        <f t="shared" si="28"/>
        <v>0</v>
      </c>
      <c r="M163">
        <f t="shared" si="28"/>
        <v>43.739370735000001</v>
      </c>
      <c r="N163">
        <f t="shared" si="28"/>
        <v>186.790998664</v>
      </c>
      <c r="O163">
        <f t="shared" si="28"/>
        <v>114.073407746</v>
      </c>
      <c r="P163">
        <f t="shared" si="28"/>
        <v>48.1</v>
      </c>
      <c r="Q163">
        <f t="shared" si="28"/>
        <v>0</v>
      </c>
    </row>
    <row r="164" spans="1:17">
      <c r="A164" s="5" t="s">
        <v>1379</v>
      </c>
      <c r="B164" t="s">
        <v>1386</v>
      </c>
      <c r="C164" s="49">
        <f t="shared" si="26"/>
        <v>0</v>
      </c>
      <c r="D164">
        <f>polymer_valve_size</f>
        <v>0</v>
      </c>
      <c r="E164" t="s">
        <v>422</v>
      </c>
      <c r="F164">
        <f t="shared" si="28"/>
        <v>0</v>
      </c>
      <c r="G164">
        <f t="shared" si="28"/>
        <v>0</v>
      </c>
      <c r="H164">
        <f t="shared" si="28"/>
        <v>0</v>
      </c>
      <c r="I164">
        <f t="shared" si="28"/>
        <v>0</v>
      </c>
      <c r="J164">
        <f t="shared" si="28"/>
        <v>0</v>
      </c>
      <c r="K164">
        <f t="shared" si="28"/>
        <v>0</v>
      </c>
      <c r="L164">
        <f t="shared" si="28"/>
        <v>3.240756524</v>
      </c>
      <c r="M164">
        <f t="shared" si="28"/>
        <v>50.118205304</v>
      </c>
      <c r="N164">
        <f t="shared" si="28"/>
        <v>-32.545647099999996</v>
      </c>
      <c r="O164">
        <f t="shared" si="28"/>
        <v>553.63390991000006</v>
      </c>
      <c r="P164">
        <f t="shared" si="28"/>
        <v>24.1</v>
      </c>
      <c r="Q164">
        <f t="shared" si="28"/>
        <v>2</v>
      </c>
    </row>
    <row r="165" spans="1:17">
      <c r="A165" s="28" t="s">
        <v>1338</v>
      </c>
    </row>
    <row r="166" spans="1:17">
      <c r="A166" s="29" t="s">
        <v>1339</v>
      </c>
      <c r="B166" t="s">
        <v>1224</v>
      </c>
      <c r="C166" s="49">
        <f>IF(D166=0,0,IF(OR(D166&gt;P166,D166&lt;Q166),"contact vendor",F166*D166^G166+H166*LN(D166)+I166+J166*EXP(K166*D166)+L166*D166^3+M166*D166^2+N166*D166+O166))</f>
        <v>29419.399557293564</v>
      </c>
      <c r="D166">
        <f>pump_rating</f>
        <v>1868.0555555555554</v>
      </c>
      <c r="E166" t="s">
        <v>1224</v>
      </c>
      <c r="F166">
        <f t="shared" ref="F166:Q167" si="29">VLOOKUP($E166,eq_table_cl,F$4,FALSE)</f>
        <v>0</v>
      </c>
      <c r="G166">
        <f t="shared" si="29"/>
        <v>0</v>
      </c>
      <c r="H166">
        <f t="shared" si="29"/>
        <v>0</v>
      </c>
      <c r="I166">
        <f t="shared" si="29"/>
        <v>0</v>
      </c>
      <c r="J166">
        <f t="shared" si="29"/>
        <v>0</v>
      </c>
      <c r="K166">
        <f t="shared" si="29"/>
        <v>0</v>
      </c>
      <c r="L166">
        <f t="shared" si="29"/>
        <v>0</v>
      </c>
      <c r="M166">
        <f t="shared" si="29"/>
        <v>-6.7002999999999995E-4</v>
      </c>
      <c r="N166">
        <f t="shared" si="29"/>
        <v>14.809014980000001</v>
      </c>
      <c r="O166">
        <f t="shared" si="29"/>
        <v>4093.494684836</v>
      </c>
      <c r="P166">
        <f t="shared" si="29"/>
        <v>10001</v>
      </c>
      <c r="Q166">
        <f t="shared" si="29"/>
        <v>0</v>
      </c>
    </row>
    <row r="167" spans="1:17">
      <c r="A167" s="41" t="s">
        <v>1340</v>
      </c>
      <c r="B167" t="s">
        <v>133</v>
      </c>
      <c r="C167" s="49">
        <f>IF(D167=0,0,IF(OR(D167&gt;P167,D167&lt;Q167),"contact vendor",F167*D167^G167+H167*LN(D167)+I167+J167*EXP(K167*D167)+L167*D167^3+M167*D167^2+N167*D167+O167))</f>
        <v>11295.1430246985</v>
      </c>
      <c r="D167">
        <f>back_pump_rating</f>
        <v>497.5</v>
      </c>
      <c r="E167" t="s">
        <v>765</v>
      </c>
      <c r="F167">
        <f t="shared" si="29"/>
        <v>0</v>
      </c>
      <c r="G167">
        <f t="shared" si="29"/>
        <v>0</v>
      </c>
      <c r="H167">
        <f t="shared" si="29"/>
        <v>0</v>
      </c>
      <c r="I167">
        <f t="shared" si="29"/>
        <v>0</v>
      </c>
      <c r="J167">
        <f t="shared" si="29"/>
        <v>0</v>
      </c>
      <c r="K167">
        <f t="shared" si="29"/>
        <v>0</v>
      </c>
      <c r="L167">
        <f t="shared" si="29"/>
        <v>0</v>
      </c>
      <c r="M167">
        <f t="shared" si="29"/>
        <v>-6.7002999999999995E-4</v>
      </c>
      <c r="N167">
        <f t="shared" si="29"/>
        <v>14.809014980000001</v>
      </c>
      <c r="O167">
        <f t="shared" si="29"/>
        <v>4093.494684836</v>
      </c>
      <c r="P167">
        <f t="shared" si="29"/>
        <v>10001</v>
      </c>
      <c r="Q167">
        <f t="shared" si="29"/>
        <v>0</v>
      </c>
    </row>
    <row r="168" spans="1:17">
      <c r="A168" s="41" t="s">
        <v>250</v>
      </c>
      <c r="B168" s="5"/>
      <c r="C168" s="49"/>
    </row>
    <row r="169" spans="1:17">
      <c r="A169" s="5" t="s">
        <v>2852</v>
      </c>
      <c r="B169" t="s">
        <v>2854</v>
      </c>
      <c r="C169" s="49">
        <f>IF(D169=0,0,IF(OR(D169&gt;P169,D169&lt;Q169),"contact vendor",F169*D169^G169+H169*LN(D169)+I169+J169*EXP(K169*D169)+L169*D169^3+M169*D169^2+N169*D169+O169))</f>
        <v>0</v>
      </c>
      <c r="D169">
        <f>pH_pump_rating</f>
        <v>0</v>
      </c>
      <c r="E169" t="s">
        <v>2854</v>
      </c>
      <c r="F169">
        <f t="shared" ref="F169:Q173" si="30">VLOOKUP($E169,eq_table_cl,F$4,FALSE)</f>
        <v>0</v>
      </c>
      <c r="G169">
        <f t="shared" si="30"/>
        <v>0</v>
      </c>
      <c r="H169">
        <f t="shared" si="30"/>
        <v>0</v>
      </c>
      <c r="I169">
        <f t="shared" si="30"/>
        <v>0</v>
      </c>
      <c r="J169">
        <f t="shared" si="30"/>
        <v>0</v>
      </c>
      <c r="K169">
        <f t="shared" si="30"/>
        <v>0</v>
      </c>
      <c r="L169">
        <f t="shared" si="30"/>
        <v>5.8459699999999996E-4</v>
      </c>
      <c r="M169">
        <f t="shared" si="30"/>
        <v>-0.31291286000000001</v>
      </c>
      <c r="N169">
        <f t="shared" si="30"/>
        <v>58.800444323000001</v>
      </c>
      <c r="O169">
        <f t="shared" si="30"/>
        <v>3000.5306602579999</v>
      </c>
      <c r="P169">
        <f t="shared" si="30"/>
        <v>132.01</v>
      </c>
      <c r="Q169">
        <f t="shared" si="30"/>
        <v>0</v>
      </c>
    </row>
    <row r="170" spans="1:17">
      <c r="A170" s="5" t="s">
        <v>2856</v>
      </c>
      <c r="B170" t="s">
        <v>2858</v>
      </c>
      <c r="C170" s="49">
        <f>IF(D170=0,0,IF(OR(D170&gt;P170,D170&lt;Q170),"contact vendor",F170*D170^G170+H170*LN(D170)+I170+J170*EXP(K170*D170)+L170*D170^3+M170*D170^2+N170*D170+O170))</f>
        <v>0</v>
      </c>
      <c r="D170">
        <f>pH_pump_rating</f>
        <v>0</v>
      </c>
      <c r="E170" t="s">
        <v>2858</v>
      </c>
      <c r="F170">
        <f t="shared" si="30"/>
        <v>0</v>
      </c>
      <c r="G170">
        <f t="shared" si="30"/>
        <v>0</v>
      </c>
      <c r="H170">
        <f t="shared" si="30"/>
        <v>0</v>
      </c>
      <c r="I170">
        <f t="shared" si="30"/>
        <v>0</v>
      </c>
      <c r="J170">
        <f t="shared" si="30"/>
        <v>0</v>
      </c>
      <c r="K170">
        <f t="shared" si="30"/>
        <v>0</v>
      </c>
      <c r="L170">
        <f t="shared" si="30"/>
        <v>0</v>
      </c>
      <c r="M170">
        <f t="shared" si="30"/>
        <v>-0.19761578099999999</v>
      </c>
      <c r="N170">
        <f t="shared" si="30"/>
        <v>60.928056216999998</v>
      </c>
      <c r="O170">
        <f t="shared" si="30"/>
        <v>3430.8004552430002</v>
      </c>
      <c r="P170">
        <f t="shared" si="30"/>
        <v>132.01</v>
      </c>
      <c r="Q170">
        <f t="shared" si="30"/>
        <v>0</v>
      </c>
    </row>
    <row r="171" spans="1:17">
      <c r="A171" s="5" t="s">
        <v>2853</v>
      </c>
      <c r="B171" t="s">
        <v>2855</v>
      </c>
      <c r="C171" s="49">
        <f>IF(D171=0,0,IF(OR(D171&gt;P171,D171&lt;Q171),"contact vendor",F171*D171^G171+H171*LN(D171)+I171+J171*EXP(K171*D171)+L171*D171^3+M171*D171^2+N171*D171+O171))</f>
        <v>0</v>
      </c>
      <c r="D171">
        <f>pH_pump_rating</f>
        <v>0</v>
      </c>
      <c r="E171" t="s">
        <v>2855</v>
      </c>
      <c r="F171">
        <f t="shared" si="30"/>
        <v>0</v>
      </c>
      <c r="G171">
        <f t="shared" si="30"/>
        <v>0</v>
      </c>
      <c r="H171">
        <f t="shared" si="30"/>
        <v>0</v>
      </c>
      <c r="I171">
        <f t="shared" si="30"/>
        <v>0</v>
      </c>
      <c r="J171">
        <f t="shared" si="30"/>
        <v>1147.9723958510001</v>
      </c>
      <c r="K171">
        <f t="shared" si="30"/>
        <v>5.4740779000000003E-2</v>
      </c>
      <c r="L171">
        <f t="shared" si="30"/>
        <v>0</v>
      </c>
      <c r="M171">
        <f t="shared" si="30"/>
        <v>0</v>
      </c>
      <c r="N171">
        <f t="shared" si="30"/>
        <v>0</v>
      </c>
      <c r="O171">
        <f t="shared" si="30"/>
        <v>0</v>
      </c>
      <c r="P171">
        <f t="shared" si="30"/>
        <v>21.01</v>
      </c>
      <c r="Q171">
        <f t="shared" si="30"/>
        <v>0</v>
      </c>
    </row>
    <row r="172" spans="1:17">
      <c r="A172" s="5" t="s">
        <v>2857</v>
      </c>
      <c r="B172" t="s">
        <v>2859</v>
      </c>
      <c r="C172" s="49">
        <f>IF(D172=0,0,IF(OR(D172&gt;P172,D172&lt;Q172),"contact vendor",F172*D172^G172+H172*LN(D172)+I172+J172*EXP(K172*D172)+L172*D172^3+M172*D172^2+N172*D172+O172))</f>
        <v>0</v>
      </c>
      <c r="D172">
        <f>pH_pump_rating</f>
        <v>0</v>
      </c>
      <c r="E172" t="s">
        <v>2859</v>
      </c>
      <c r="F172">
        <f t="shared" si="30"/>
        <v>2305.9222008940001</v>
      </c>
      <c r="G172">
        <f t="shared" si="30"/>
        <v>0.140989643</v>
      </c>
      <c r="H172">
        <f t="shared" si="30"/>
        <v>0</v>
      </c>
      <c r="I172">
        <f t="shared" si="30"/>
        <v>0</v>
      </c>
      <c r="J172">
        <f t="shared" si="30"/>
        <v>0</v>
      </c>
      <c r="K172">
        <f t="shared" si="30"/>
        <v>0</v>
      </c>
      <c r="L172">
        <f t="shared" si="30"/>
        <v>0</v>
      </c>
      <c r="M172">
        <f t="shared" si="30"/>
        <v>0</v>
      </c>
      <c r="N172">
        <f t="shared" si="30"/>
        <v>0</v>
      </c>
      <c r="O172">
        <f t="shared" si="30"/>
        <v>0</v>
      </c>
      <c r="P172">
        <f t="shared" si="30"/>
        <v>21.01</v>
      </c>
      <c r="Q172">
        <f t="shared" si="30"/>
        <v>0</v>
      </c>
    </row>
    <row r="173" spans="1:17">
      <c r="A173" s="99" t="s">
        <v>677</v>
      </c>
      <c r="B173" t="s">
        <v>2698</v>
      </c>
      <c r="C173" s="49">
        <f>IF(D173=0,0,IF(OR(D173&gt;P173,D173&lt;Q173),"contact vendor",F173*D173^G173+H173*LN(D173)+I173+J173*EXP(K173*D173)+L173*D173^3+M173*D173^2+N173*D173+O173))</f>
        <v>4094.772298147735</v>
      </c>
      <c r="D173">
        <f>res_pump_rating</f>
        <v>8.6273010089825117E-2</v>
      </c>
      <c r="E173" t="s">
        <v>1224</v>
      </c>
      <c r="F173">
        <f t="shared" si="30"/>
        <v>0</v>
      </c>
      <c r="G173">
        <f t="shared" si="30"/>
        <v>0</v>
      </c>
      <c r="H173">
        <f t="shared" si="30"/>
        <v>0</v>
      </c>
      <c r="I173">
        <f t="shared" si="30"/>
        <v>0</v>
      </c>
      <c r="J173">
        <f t="shared" si="30"/>
        <v>0</v>
      </c>
      <c r="K173">
        <f t="shared" si="30"/>
        <v>0</v>
      </c>
      <c r="L173">
        <f t="shared" si="30"/>
        <v>0</v>
      </c>
      <c r="M173">
        <f t="shared" si="30"/>
        <v>-6.7002999999999995E-4</v>
      </c>
      <c r="N173">
        <f t="shared" si="30"/>
        <v>14.809014980000001</v>
      </c>
      <c r="O173">
        <f t="shared" si="30"/>
        <v>4093.494684836</v>
      </c>
      <c r="P173">
        <f t="shared" si="30"/>
        <v>10001</v>
      </c>
      <c r="Q173">
        <f t="shared" si="30"/>
        <v>0</v>
      </c>
    </row>
    <row r="174" spans="1:17">
      <c r="A174" s="845" t="s">
        <v>3386</v>
      </c>
      <c r="C174" s="596"/>
    </row>
    <row r="175" spans="1:17">
      <c r="A175" s="651" t="s">
        <v>2852</v>
      </c>
      <c r="B175" s="526" t="s">
        <v>3387</v>
      </c>
      <c r="C175" s="49">
        <f>IF(D175=0,0,IF(OR(D175&gt;P175,D175&lt;Q175),"contact vendor",F175*D175^G175+H175*LN(D175)+I175+J175*EXP(K175*D175)+L175*D175^3+M175*D175^2+N175*D175+O175))</f>
        <v>0</v>
      </c>
      <c r="D175">
        <f>cm_pump_rating_coag</f>
        <v>0</v>
      </c>
      <c r="E175" s="526" t="s">
        <v>2854</v>
      </c>
      <c r="F175">
        <f t="shared" ref="F175:Q176" si="31">VLOOKUP($E175,eq_table_cl,F$4,FALSE)</f>
        <v>0</v>
      </c>
      <c r="G175">
        <f t="shared" si="31"/>
        <v>0</v>
      </c>
      <c r="H175">
        <f t="shared" si="31"/>
        <v>0</v>
      </c>
      <c r="I175">
        <f t="shared" si="31"/>
        <v>0</v>
      </c>
      <c r="J175">
        <f t="shared" si="31"/>
        <v>0</v>
      </c>
      <c r="K175">
        <f t="shared" si="31"/>
        <v>0</v>
      </c>
      <c r="L175">
        <f t="shared" si="31"/>
        <v>5.8459699999999996E-4</v>
      </c>
      <c r="M175">
        <f t="shared" si="31"/>
        <v>-0.31291286000000001</v>
      </c>
      <c r="N175">
        <f t="shared" si="31"/>
        <v>58.800444323000001</v>
      </c>
      <c r="O175">
        <f t="shared" si="31"/>
        <v>3000.5306602579999</v>
      </c>
      <c r="P175">
        <f t="shared" si="31"/>
        <v>132.01</v>
      </c>
      <c r="Q175">
        <f t="shared" si="31"/>
        <v>0</v>
      </c>
    </row>
    <row r="176" spans="1:17">
      <c r="A176" s="651" t="s">
        <v>2853</v>
      </c>
      <c r="B176" s="526" t="s">
        <v>3388</v>
      </c>
      <c r="C176" s="49">
        <f>IF(D176=0,0,IF(OR(D176&gt;P176,D176&lt;Q176),"contact vendor",F176*D176^G176+H176*LN(D176)+I176+J176*EXP(K176*D176)+L176*D176^3+M176*D176^2+N176*D176+O176))</f>
        <v>0</v>
      </c>
      <c r="D176">
        <f>cm_pump_rating_coag</f>
        <v>0</v>
      </c>
      <c r="E176" s="526" t="s">
        <v>2855</v>
      </c>
      <c r="F176">
        <f t="shared" si="31"/>
        <v>0</v>
      </c>
      <c r="G176">
        <f t="shared" si="31"/>
        <v>0</v>
      </c>
      <c r="H176">
        <f t="shared" si="31"/>
        <v>0</v>
      </c>
      <c r="I176">
        <f t="shared" si="31"/>
        <v>0</v>
      </c>
      <c r="J176">
        <f t="shared" si="31"/>
        <v>1147.9723958510001</v>
      </c>
      <c r="K176">
        <f t="shared" si="31"/>
        <v>5.4740779000000003E-2</v>
      </c>
      <c r="L176">
        <f t="shared" si="31"/>
        <v>0</v>
      </c>
      <c r="M176">
        <f t="shared" si="31"/>
        <v>0</v>
      </c>
      <c r="N176">
        <f t="shared" si="31"/>
        <v>0</v>
      </c>
      <c r="O176">
        <f t="shared" si="31"/>
        <v>0</v>
      </c>
      <c r="P176">
        <f t="shared" si="31"/>
        <v>21.01</v>
      </c>
      <c r="Q176">
        <f t="shared" si="31"/>
        <v>0</v>
      </c>
    </row>
    <row r="177" spans="1:17">
      <c r="A177" s="99" t="s">
        <v>1391</v>
      </c>
      <c r="B177" s="27"/>
      <c r="C177" s="72"/>
    </row>
    <row r="178" spans="1:17">
      <c r="A178" s="27" t="s">
        <v>2852</v>
      </c>
      <c r="B178" s="5" t="s">
        <v>1387</v>
      </c>
      <c r="C178" s="49">
        <f>IF(D178=0,0,IF(OR(D178&gt;P178,D178&lt;Q178),"contact vendor",F178*D178^G178+H178*LN(D178)+I178+J178*EXP(K178*D178)+L178*D178^3+M178*D178^2+N178*D178+O178))</f>
        <v>0</v>
      </c>
      <c r="D178" s="73">
        <f>cm_pump_rating_polymer</f>
        <v>0</v>
      </c>
      <c r="E178" s="5" t="s">
        <v>2854</v>
      </c>
      <c r="F178">
        <f t="shared" ref="F178:Q181" si="32">VLOOKUP($E178,eq_table_cl,F$4,FALSE)</f>
        <v>0</v>
      </c>
      <c r="G178">
        <f t="shared" si="32"/>
        <v>0</v>
      </c>
      <c r="H178">
        <f t="shared" si="32"/>
        <v>0</v>
      </c>
      <c r="I178">
        <f t="shared" si="32"/>
        <v>0</v>
      </c>
      <c r="J178">
        <f t="shared" si="32"/>
        <v>0</v>
      </c>
      <c r="K178">
        <f t="shared" si="32"/>
        <v>0</v>
      </c>
      <c r="L178">
        <f t="shared" si="32"/>
        <v>5.8459699999999996E-4</v>
      </c>
      <c r="M178">
        <f t="shared" si="32"/>
        <v>-0.31291286000000001</v>
      </c>
      <c r="N178">
        <f t="shared" si="32"/>
        <v>58.800444323000001</v>
      </c>
      <c r="O178">
        <f t="shared" si="32"/>
        <v>3000.5306602579999</v>
      </c>
      <c r="P178">
        <f t="shared" si="32"/>
        <v>132.01</v>
      </c>
      <c r="Q178">
        <f t="shared" si="32"/>
        <v>0</v>
      </c>
    </row>
    <row r="179" spans="1:17">
      <c r="A179" s="27" t="s">
        <v>2856</v>
      </c>
      <c r="B179" s="5" t="s">
        <v>1388</v>
      </c>
      <c r="C179" s="49">
        <f>IF(D179=0,0,IF(OR(D179&gt;P179,D179&lt;Q179),"contact vendor",F179*D179^G179+H179*LN(D179)+I179+J179*EXP(K179*D179)+L179*D179^3+M179*D179^2+N179*D179+O179))</f>
        <v>0</v>
      </c>
      <c r="D179" s="73">
        <f>cm_pump_rating_polymer</f>
        <v>0</v>
      </c>
      <c r="E179" s="5" t="s">
        <v>2858</v>
      </c>
      <c r="F179">
        <f t="shared" si="32"/>
        <v>0</v>
      </c>
      <c r="G179">
        <f t="shared" si="32"/>
        <v>0</v>
      </c>
      <c r="H179">
        <f t="shared" si="32"/>
        <v>0</v>
      </c>
      <c r="I179">
        <f t="shared" si="32"/>
        <v>0</v>
      </c>
      <c r="J179">
        <f t="shared" si="32"/>
        <v>0</v>
      </c>
      <c r="K179">
        <f t="shared" si="32"/>
        <v>0</v>
      </c>
      <c r="L179">
        <f t="shared" si="32"/>
        <v>0</v>
      </c>
      <c r="M179">
        <f t="shared" si="32"/>
        <v>-0.19761578099999999</v>
      </c>
      <c r="N179">
        <f t="shared" si="32"/>
        <v>60.928056216999998</v>
      </c>
      <c r="O179">
        <f t="shared" si="32"/>
        <v>3430.8004552430002</v>
      </c>
      <c r="P179">
        <f t="shared" si="32"/>
        <v>132.01</v>
      </c>
      <c r="Q179">
        <f t="shared" si="32"/>
        <v>0</v>
      </c>
    </row>
    <row r="180" spans="1:17">
      <c r="A180" s="27" t="s">
        <v>2853</v>
      </c>
      <c r="B180" s="5" t="s">
        <v>1389</v>
      </c>
      <c r="C180" s="49">
        <f>IF(D180=0,0,IF(OR(D180&gt;P180,D180&lt;Q180),"contact vendor",F180*D180^G180+H180*LN(D180)+I180+J180*EXP(K180*D180)+L180*D180^3+M180*D180^2+N180*D180+O180))</f>
        <v>0</v>
      </c>
      <c r="D180" s="73">
        <f>cm_pump_rating_polymer</f>
        <v>0</v>
      </c>
      <c r="E180" s="5" t="s">
        <v>2855</v>
      </c>
      <c r="F180">
        <f t="shared" si="32"/>
        <v>0</v>
      </c>
      <c r="G180">
        <f t="shared" si="32"/>
        <v>0</v>
      </c>
      <c r="H180">
        <f t="shared" si="32"/>
        <v>0</v>
      </c>
      <c r="I180">
        <f t="shared" si="32"/>
        <v>0</v>
      </c>
      <c r="J180">
        <f t="shared" si="32"/>
        <v>1147.9723958510001</v>
      </c>
      <c r="K180">
        <f t="shared" si="32"/>
        <v>5.4740779000000003E-2</v>
      </c>
      <c r="L180">
        <f t="shared" si="32"/>
        <v>0</v>
      </c>
      <c r="M180">
        <f t="shared" si="32"/>
        <v>0</v>
      </c>
      <c r="N180">
        <f t="shared" si="32"/>
        <v>0</v>
      </c>
      <c r="O180">
        <f t="shared" si="32"/>
        <v>0</v>
      </c>
      <c r="P180">
        <f t="shared" si="32"/>
        <v>21.01</v>
      </c>
      <c r="Q180">
        <f t="shared" si="32"/>
        <v>0</v>
      </c>
    </row>
    <row r="181" spans="1:17">
      <c r="A181" s="27" t="s">
        <v>2857</v>
      </c>
      <c r="B181" s="5" t="s">
        <v>1390</v>
      </c>
      <c r="C181" s="49">
        <f>IF(D181=0,0,IF(OR(D181&gt;P181,D181&lt;Q181),"contact vendor",F181*D181^G181+H181*LN(D181)+I181+J181*EXP(K181*D181)+L181*D181^3+M181*D181^2+N181*D181+O181))</f>
        <v>0</v>
      </c>
      <c r="D181" s="73">
        <f>cm_pump_rating_polymer</f>
        <v>0</v>
      </c>
      <c r="E181" s="5" t="s">
        <v>2859</v>
      </c>
      <c r="F181">
        <f t="shared" si="32"/>
        <v>2305.9222008940001</v>
      </c>
      <c r="G181">
        <f t="shared" si="32"/>
        <v>0.140989643</v>
      </c>
      <c r="H181">
        <f t="shared" si="32"/>
        <v>0</v>
      </c>
      <c r="I181">
        <f t="shared" si="32"/>
        <v>0</v>
      </c>
      <c r="J181">
        <f t="shared" si="32"/>
        <v>0</v>
      </c>
      <c r="K181">
        <f t="shared" si="32"/>
        <v>0</v>
      </c>
      <c r="L181">
        <f t="shared" si="32"/>
        <v>0</v>
      </c>
      <c r="M181">
        <f t="shared" si="32"/>
        <v>0</v>
      </c>
      <c r="N181">
        <f t="shared" si="32"/>
        <v>0</v>
      </c>
      <c r="O181">
        <f t="shared" si="32"/>
        <v>0</v>
      </c>
      <c r="P181">
        <f t="shared" si="32"/>
        <v>21.01</v>
      </c>
      <c r="Q181">
        <f t="shared" si="32"/>
        <v>0</v>
      </c>
    </row>
    <row r="182" spans="1:17">
      <c r="A182" s="28" t="s">
        <v>1341</v>
      </c>
    </row>
    <row r="183" spans="1:17">
      <c r="A183" s="29" t="s">
        <v>2699</v>
      </c>
    </row>
    <row r="184" spans="1:17">
      <c r="A184" s="27" t="s">
        <v>2192</v>
      </c>
      <c r="B184" t="s">
        <v>748</v>
      </c>
    </row>
    <row r="185" spans="1:17">
      <c r="A185" s="27" t="s">
        <v>92</v>
      </c>
      <c r="B185" t="s">
        <v>766</v>
      </c>
      <c r="C185" s="49">
        <f>IF(D185=0,0,IF(OR(D185&gt;P185,D185&lt;Q185),"contact vendor",F185*D185^G185+H185*LN(D185)+I185+J185*EXP(K185*D185)+L185*D185^3+M185*D185^2+N185*D185+O185))</f>
        <v>3220.9800634899998</v>
      </c>
      <c r="D185">
        <f>mixer_size</f>
        <v>1</v>
      </c>
      <c r="E185" t="s">
        <v>766</v>
      </c>
      <c r="F185">
        <f t="shared" ref="F185:Q185" si="33">VLOOKUP($E185,eq_table_cl,F$4,FALSE)</f>
        <v>3220.9800634899998</v>
      </c>
      <c r="G185">
        <f t="shared" si="33"/>
        <v>0.14804462199999999</v>
      </c>
      <c r="H185">
        <f t="shared" si="33"/>
        <v>0</v>
      </c>
      <c r="I185">
        <f t="shared" si="33"/>
        <v>0</v>
      </c>
      <c r="J185">
        <f t="shared" si="33"/>
        <v>0</v>
      </c>
      <c r="K185">
        <f t="shared" si="33"/>
        <v>0</v>
      </c>
      <c r="L185">
        <f t="shared" si="33"/>
        <v>0</v>
      </c>
      <c r="M185">
        <f t="shared" si="33"/>
        <v>0</v>
      </c>
      <c r="N185">
        <f t="shared" si="33"/>
        <v>0</v>
      </c>
      <c r="O185">
        <f t="shared" si="33"/>
        <v>0</v>
      </c>
      <c r="P185">
        <f t="shared" si="33"/>
        <v>4.0999999999999996</v>
      </c>
      <c r="Q185">
        <f t="shared" si="33"/>
        <v>0</v>
      </c>
    </row>
    <row r="186" spans="1:17">
      <c r="A186" s="29" t="s">
        <v>677</v>
      </c>
    </row>
    <row r="187" spans="1:17">
      <c r="A187" s="27" t="s">
        <v>2192</v>
      </c>
      <c r="B187" t="s">
        <v>748</v>
      </c>
    </row>
    <row r="188" spans="1:17">
      <c r="A188" s="27" t="s">
        <v>92</v>
      </c>
      <c r="B188" t="s">
        <v>2700</v>
      </c>
      <c r="C188" s="49">
        <f>IF(D188=0,0,IF(OR(D188&gt;P188,D188&lt;Q188),"contact vendor",F188*D188^G188+H188*LN(D188)+I188+J188*EXP(K188*D188)+L188*D188^3+M188*D188^2+N188*D188+O188))</f>
        <v>0</v>
      </c>
      <c r="D188">
        <f>hmix_size</f>
        <v>0</v>
      </c>
      <c r="E188" t="s">
        <v>766</v>
      </c>
      <c r="F188">
        <f t="shared" ref="F188:Q189" si="34">VLOOKUP($E188,eq_table_cl,F$4,FALSE)</f>
        <v>3220.9800634899998</v>
      </c>
      <c r="G188">
        <f t="shared" si="34"/>
        <v>0.14804462199999999</v>
      </c>
      <c r="H188">
        <f t="shared" si="34"/>
        <v>0</v>
      </c>
      <c r="I188">
        <f t="shared" si="34"/>
        <v>0</v>
      </c>
      <c r="J188">
        <f t="shared" si="34"/>
        <v>0</v>
      </c>
      <c r="K188">
        <f t="shared" si="34"/>
        <v>0</v>
      </c>
      <c r="L188">
        <f t="shared" si="34"/>
        <v>0</v>
      </c>
      <c r="M188">
        <f t="shared" si="34"/>
        <v>0</v>
      </c>
      <c r="N188">
        <f t="shared" si="34"/>
        <v>0</v>
      </c>
      <c r="O188">
        <f t="shared" si="34"/>
        <v>0</v>
      </c>
      <c r="P188">
        <f t="shared" si="34"/>
        <v>4.0999999999999996</v>
      </c>
      <c r="Q188">
        <f t="shared" si="34"/>
        <v>0</v>
      </c>
    </row>
    <row r="189" spans="1:17">
      <c r="A189" s="27" t="s">
        <v>1698</v>
      </c>
      <c r="B189" t="s">
        <v>1697</v>
      </c>
      <c r="C189" s="49">
        <f>IF(D189=0,0,IF(OR(D189&gt;P189,D189&lt;Q189),"contact vendor",F189*D189^G189+H189*LN(D189)+I189+J189*EXP(K189*D189)+L189*D189^3+M189*D189^2+N189*D189+O189))</f>
        <v>0</v>
      </c>
      <c r="D189">
        <f>hmix_size</f>
        <v>0</v>
      </c>
      <c r="E189" t="s">
        <v>2487</v>
      </c>
      <c r="F189">
        <f t="shared" si="34"/>
        <v>0</v>
      </c>
      <c r="G189">
        <f t="shared" si="34"/>
        <v>0</v>
      </c>
      <c r="H189">
        <f t="shared" si="34"/>
        <v>0</v>
      </c>
      <c r="I189">
        <f t="shared" si="34"/>
        <v>0</v>
      </c>
      <c r="J189">
        <f t="shared" si="34"/>
        <v>0</v>
      </c>
      <c r="K189">
        <f t="shared" si="34"/>
        <v>0</v>
      </c>
      <c r="L189">
        <f t="shared" si="34"/>
        <v>0</v>
      </c>
      <c r="M189">
        <f t="shared" si="34"/>
        <v>0</v>
      </c>
      <c r="N189">
        <f t="shared" si="34"/>
        <v>1053.0249738949999</v>
      </c>
      <c r="O189">
        <f t="shared" si="34"/>
        <v>4010.0161733059999</v>
      </c>
      <c r="P189">
        <f t="shared" si="34"/>
        <v>110</v>
      </c>
      <c r="Q189">
        <f t="shared" si="34"/>
        <v>0</v>
      </c>
    </row>
    <row r="190" spans="1:17">
      <c r="A190" s="844" t="s">
        <v>3389</v>
      </c>
      <c r="C190" s="596"/>
    </row>
    <row r="191" spans="1:17">
      <c r="A191" s="651" t="s">
        <v>2192</v>
      </c>
      <c r="B191" t="s">
        <v>748</v>
      </c>
    </row>
    <row r="192" spans="1:17">
      <c r="A192" s="651" t="s">
        <v>92</v>
      </c>
      <c r="B192" s="526" t="s">
        <v>3390</v>
      </c>
      <c r="C192" s="49">
        <f>IF(D192=0,0,IF(OR(D192&gt;P192,D192&lt;Q192),"contact vendor",F192*D192^G192+H192*LN(D192)+I192+J192*EXP(K192*D192)+L192*D192^3+M192*D192^2+N192*D192+O192))</f>
        <v>0</v>
      </c>
      <c r="D192">
        <f>coag_cmix_size</f>
        <v>0</v>
      </c>
      <c r="E192" t="s">
        <v>766</v>
      </c>
      <c r="F192">
        <f t="shared" ref="F192:Q193" si="35">VLOOKUP($E192,eq_table_cl,F$4,FALSE)</f>
        <v>3220.9800634899998</v>
      </c>
      <c r="G192">
        <f t="shared" si="35"/>
        <v>0.14804462199999999</v>
      </c>
      <c r="H192">
        <f t="shared" si="35"/>
        <v>0</v>
      </c>
      <c r="I192">
        <f t="shared" si="35"/>
        <v>0</v>
      </c>
      <c r="J192">
        <f t="shared" si="35"/>
        <v>0</v>
      </c>
      <c r="K192">
        <f t="shared" si="35"/>
        <v>0</v>
      </c>
      <c r="L192">
        <f t="shared" si="35"/>
        <v>0</v>
      </c>
      <c r="M192">
        <f t="shared" si="35"/>
        <v>0</v>
      </c>
      <c r="N192">
        <f t="shared" si="35"/>
        <v>0</v>
      </c>
      <c r="O192">
        <f t="shared" si="35"/>
        <v>0</v>
      </c>
      <c r="P192">
        <f t="shared" si="35"/>
        <v>4.0999999999999996</v>
      </c>
      <c r="Q192">
        <f t="shared" si="35"/>
        <v>0</v>
      </c>
    </row>
    <row r="193" spans="1:17">
      <c r="A193" s="526" t="s">
        <v>1949</v>
      </c>
      <c r="B193" s="526" t="s">
        <v>3391</v>
      </c>
      <c r="C193" s="49">
        <f>IF(D193=0,0,IF(OR(D193&gt;P193,D193&lt;Q193),"contact vendor",F193*D193^G193+H193*LN(D193)+I193+J193*EXP(K193*D193)+L193*D193^3+M193*D193^2+N193*D193+O193))</f>
        <v>0</v>
      </c>
      <c r="D193">
        <f>coag_cmix_size</f>
        <v>0</v>
      </c>
      <c r="E193" t="s">
        <v>2487</v>
      </c>
      <c r="F193">
        <f t="shared" si="35"/>
        <v>0</v>
      </c>
      <c r="G193">
        <f t="shared" si="35"/>
        <v>0</v>
      </c>
      <c r="H193">
        <f t="shared" si="35"/>
        <v>0</v>
      </c>
      <c r="I193">
        <f t="shared" si="35"/>
        <v>0</v>
      </c>
      <c r="J193">
        <f t="shared" si="35"/>
        <v>0</v>
      </c>
      <c r="K193">
        <f t="shared" si="35"/>
        <v>0</v>
      </c>
      <c r="L193">
        <f t="shared" si="35"/>
        <v>0</v>
      </c>
      <c r="M193">
        <f t="shared" si="35"/>
        <v>0</v>
      </c>
      <c r="N193">
        <f t="shared" si="35"/>
        <v>1053.0249738949999</v>
      </c>
      <c r="O193">
        <f t="shared" si="35"/>
        <v>4010.0161733059999</v>
      </c>
      <c r="P193">
        <f t="shared" si="35"/>
        <v>110</v>
      </c>
      <c r="Q193">
        <f t="shared" si="35"/>
        <v>0</v>
      </c>
    </row>
    <row r="194" spans="1:17">
      <c r="A194" s="844" t="s">
        <v>3394</v>
      </c>
      <c r="C194" s="596"/>
    </row>
    <row r="195" spans="1:17">
      <c r="A195" s="651" t="s">
        <v>2192</v>
      </c>
      <c r="B195" t="s">
        <v>748</v>
      </c>
    </row>
    <row r="196" spans="1:17">
      <c r="A196" s="651" t="s">
        <v>92</v>
      </c>
      <c r="B196" s="526" t="s">
        <v>3392</v>
      </c>
      <c r="C196" s="49">
        <f>IF(D196=0,0,IF(OR(D196&gt;P196,D196&lt;Q196),"contact vendor",F196*D196^G196+H196*LN(D196)+I196+J196*EXP(K196*D196)+L196*D196^3+M196*D196^2+N196*D196+O196))</f>
        <v>0</v>
      </c>
      <c r="D196">
        <f>polymer_cmix_size</f>
        <v>0</v>
      </c>
      <c r="E196" t="s">
        <v>766</v>
      </c>
      <c r="F196">
        <f t="shared" ref="F196:Q197" si="36">VLOOKUP($E196,eq_table_cl,F$4,FALSE)</f>
        <v>3220.9800634899998</v>
      </c>
      <c r="G196">
        <f t="shared" si="36"/>
        <v>0.14804462199999999</v>
      </c>
      <c r="H196">
        <f t="shared" si="36"/>
        <v>0</v>
      </c>
      <c r="I196">
        <f t="shared" si="36"/>
        <v>0</v>
      </c>
      <c r="J196">
        <f t="shared" si="36"/>
        <v>0</v>
      </c>
      <c r="K196">
        <f t="shared" si="36"/>
        <v>0</v>
      </c>
      <c r="L196">
        <f t="shared" si="36"/>
        <v>0</v>
      </c>
      <c r="M196">
        <f t="shared" si="36"/>
        <v>0</v>
      </c>
      <c r="N196">
        <f t="shared" si="36"/>
        <v>0</v>
      </c>
      <c r="O196">
        <f t="shared" si="36"/>
        <v>0</v>
      </c>
      <c r="P196">
        <f t="shared" si="36"/>
        <v>4.0999999999999996</v>
      </c>
      <c r="Q196">
        <f t="shared" si="36"/>
        <v>0</v>
      </c>
    </row>
    <row r="197" spans="1:17">
      <c r="A197" s="526" t="s">
        <v>1949</v>
      </c>
      <c r="B197" s="526" t="s">
        <v>3393</v>
      </c>
      <c r="C197" s="49">
        <f>IF(D197=0,0,IF(OR(D197&gt;P197,D197&lt;Q197),"contact vendor",F197*D197^G197+H197*LN(D197)+I197+J197*EXP(K197*D197)+L197*D197^3+M197*D197^2+N197*D197+O197))</f>
        <v>0</v>
      </c>
      <c r="D197">
        <f>polymer_cmix_size</f>
        <v>0</v>
      </c>
      <c r="E197" t="s">
        <v>2487</v>
      </c>
      <c r="F197">
        <f t="shared" si="36"/>
        <v>0</v>
      </c>
      <c r="G197">
        <f t="shared" si="36"/>
        <v>0</v>
      </c>
      <c r="H197">
        <f t="shared" si="36"/>
        <v>0</v>
      </c>
      <c r="I197">
        <f t="shared" si="36"/>
        <v>0</v>
      </c>
      <c r="J197">
        <f t="shared" si="36"/>
        <v>0</v>
      </c>
      <c r="K197">
        <f t="shared" si="36"/>
        <v>0</v>
      </c>
      <c r="L197">
        <f t="shared" si="36"/>
        <v>0</v>
      </c>
      <c r="M197">
        <f t="shared" si="36"/>
        <v>0</v>
      </c>
      <c r="N197">
        <f t="shared" si="36"/>
        <v>1053.0249738949999</v>
      </c>
      <c r="O197">
        <f t="shared" si="36"/>
        <v>4010.0161733059999</v>
      </c>
      <c r="P197">
        <f t="shared" si="36"/>
        <v>110</v>
      </c>
      <c r="Q197">
        <f t="shared" si="36"/>
        <v>0</v>
      </c>
    </row>
    <row r="198" spans="1:17">
      <c r="A198" s="28" t="s">
        <v>1465</v>
      </c>
    </row>
    <row r="199" spans="1:17">
      <c r="A199" s="29" t="s">
        <v>1464</v>
      </c>
      <c r="C199" s="49"/>
    </row>
    <row r="200" spans="1:17">
      <c r="A200" s="27" t="s">
        <v>2582</v>
      </c>
      <c r="B200" t="s">
        <v>1571</v>
      </c>
      <c r="C200" s="49">
        <f>IF(D200=0,0,IF(OR(D200&gt;P200,D200&lt;Q200),"contact vendor",F200*D200^G200+H200*LN(D200)+I200+J200*EXP(K200*D200)+L200*D200^3+M200*D200^2+N200*D200+O200))</f>
        <v>0</v>
      </c>
      <c r="D200">
        <f>brine_pipe_diam</f>
        <v>0</v>
      </c>
      <c r="E200" t="s">
        <v>1571</v>
      </c>
      <c r="F200">
        <f t="shared" ref="F200:Q203" si="37">VLOOKUP($E200,eq_table_cl,F$4,FALSE)</f>
        <v>0</v>
      </c>
      <c r="G200">
        <f t="shared" si="37"/>
        <v>0</v>
      </c>
      <c r="H200">
        <f t="shared" si="37"/>
        <v>0</v>
      </c>
      <c r="I200">
        <f t="shared" si="37"/>
        <v>0</v>
      </c>
      <c r="J200">
        <f t="shared" si="37"/>
        <v>0</v>
      </c>
      <c r="K200">
        <f t="shared" si="37"/>
        <v>0</v>
      </c>
      <c r="L200">
        <f t="shared" si="37"/>
        <v>0</v>
      </c>
      <c r="M200">
        <f t="shared" si="37"/>
        <v>105.819723995</v>
      </c>
      <c r="N200">
        <f t="shared" si="37"/>
        <v>942.98182962299995</v>
      </c>
      <c r="O200">
        <f t="shared" si="37"/>
        <v>192.17148511400001</v>
      </c>
      <c r="P200">
        <f t="shared" si="37"/>
        <v>8.1</v>
      </c>
      <c r="Q200">
        <f t="shared" si="37"/>
        <v>0</v>
      </c>
    </row>
    <row r="201" spans="1:17">
      <c r="A201" s="27" t="s">
        <v>1572</v>
      </c>
      <c r="B201" t="s">
        <v>1573</v>
      </c>
      <c r="C201" s="49">
        <f>IF(D201=0,0,IF(OR(D201&gt;P201,D201&lt;Q201),"contact vendor",F201*D201^G201+H201*LN(D201)+I201+J201*EXP(K201*D201)+L201*D201^3+M201*D201^2+N201*D201+O201))</f>
        <v>0</v>
      </c>
      <c r="D201">
        <f>brine_pipe_diam</f>
        <v>0</v>
      </c>
      <c r="E201" t="s">
        <v>1573</v>
      </c>
      <c r="F201">
        <f t="shared" si="37"/>
        <v>0</v>
      </c>
      <c r="G201">
        <f t="shared" si="37"/>
        <v>0</v>
      </c>
      <c r="H201">
        <f t="shared" si="37"/>
        <v>0</v>
      </c>
      <c r="I201">
        <f t="shared" si="37"/>
        <v>0</v>
      </c>
      <c r="J201">
        <f t="shared" si="37"/>
        <v>0</v>
      </c>
      <c r="K201">
        <f t="shared" si="37"/>
        <v>0</v>
      </c>
      <c r="L201">
        <f t="shared" si="37"/>
        <v>58.028667577999997</v>
      </c>
      <c r="M201">
        <f t="shared" si="37"/>
        <v>-159.28597623600001</v>
      </c>
      <c r="N201">
        <f t="shared" si="37"/>
        <v>683.00808015300004</v>
      </c>
      <c r="O201">
        <f t="shared" si="37"/>
        <v>183.51748784500001</v>
      </c>
      <c r="P201">
        <f t="shared" si="37"/>
        <v>3.1</v>
      </c>
      <c r="Q201">
        <f t="shared" si="37"/>
        <v>0</v>
      </c>
    </row>
    <row r="202" spans="1:17">
      <c r="A202" s="41" t="s">
        <v>212</v>
      </c>
      <c r="B202" t="s">
        <v>213</v>
      </c>
      <c r="C202" s="49">
        <f>IF(D202=0,0,IF(OR(D202&gt;P202,D202&lt;Q202),"contact vendor",F202*D202^G202+H202*LN(D202)+I202+J202*EXP(K202*D202)+L202*D202^3+M202*D202^2+N202*D202+O202))</f>
        <v>0</v>
      </c>
      <c r="D202">
        <f>res_transfer_rate</f>
        <v>0</v>
      </c>
      <c r="E202" t="s">
        <v>214</v>
      </c>
      <c r="F202">
        <f t="shared" si="37"/>
        <v>0</v>
      </c>
      <c r="G202">
        <f t="shared" si="37"/>
        <v>0</v>
      </c>
      <c r="H202">
        <f t="shared" si="37"/>
        <v>0</v>
      </c>
      <c r="I202">
        <f t="shared" si="37"/>
        <v>0</v>
      </c>
      <c r="J202">
        <f t="shared" si="37"/>
        <v>0</v>
      </c>
      <c r="K202">
        <f t="shared" si="37"/>
        <v>0</v>
      </c>
      <c r="L202">
        <f t="shared" si="37"/>
        <v>0</v>
      </c>
      <c r="M202">
        <f t="shared" si="37"/>
        <v>-5.3099999999999998E-7</v>
      </c>
      <c r="N202">
        <f t="shared" si="37"/>
        <v>0.21637999499999999</v>
      </c>
      <c r="O202">
        <f t="shared" si="37"/>
        <v>1726.1361602259999</v>
      </c>
      <c r="P202">
        <f t="shared" si="37"/>
        <v>108290</v>
      </c>
      <c r="Q202">
        <f t="shared" si="37"/>
        <v>0</v>
      </c>
    </row>
    <row r="203" spans="1:17">
      <c r="A203" s="41" t="s">
        <v>215</v>
      </c>
      <c r="B203" t="s">
        <v>2783</v>
      </c>
      <c r="C203" s="49" t="str">
        <f>IF(D203=0,0,IF(OR(D203&gt;P203,D203&lt;Q203),"contact vendor",F203*D203^G203+H203*LN(D203)+I203+J203*EXP(K203*D203)+L203*D203^3+M203*D203^2+N203*D203+O203))</f>
        <v>contact vendor</v>
      </c>
      <c r="D203" t="str">
        <f>res_eductor_size</f>
        <v>NA</v>
      </c>
      <c r="E203" t="s">
        <v>2784</v>
      </c>
      <c r="F203">
        <f t="shared" si="37"/>
        <v>0</v>
      </c>
      <c r="G203">
        <f t="shared" si="37"/>
        <v>0</v>
      </c>
      <c r="H203">
        <f t="shared" si="37"/>
        <v>0</v>
      </c>
      <c r="I203">
        <f t="shared" si="37"/>
        <v>0</v>
      </c>
      <c r="J203">
        <f t="shared" si="37"/>
        <v>0</v>
      </c>
      <c r="K203">
        <f t="shared" si="37"/>
        <v>0</v>
      </c>
      <c r="L203">
        <f t="shared" si="37"/>
        <v>0</v>
      </c>
      <c r="M203">
        <f t="shared" si="37"/>
        <v>22.470786887999999</v>
      </c>
      <c r="N203">
        <f t="shared" si="37"/>
        <v>2229.8918400309999</v>
      </c>
      <c r="O203">
        <f t="shared" si="37"/>
        <v>-1911.930587201</v>
      </c>
      <c r="P203">
        <f t="shared" si="37"/>
        <v>8.1</v>
      </c>
      <c r="Q203">
        <f t="shared" si="37"/>
        <v>1.5</v>
      </c>
    </row>
    <row r="204" spans="1:17">
      <c r="A204" s="28" t="s">
        <v>744</v>
      </c>
    </row>
    <row r="205" spans="1:17">
      <c r="A205" s="29" t="s">
        <v>1326</v>
      </c>
      <c r="B205" t="s">
        <v>1104</v>
      </c>
      <c r="C205" s="49">
        <f>IF(D205=0,0,IF(OR(D205&gt;P205,D205&lt;Q205),"contact vendor",F205*D205^G205+H205*LN(D205)+I205+J205*EXP(K205*D205)+L205*D205^3+M205*D205^2+N205*D205+O205))</f>
        <v>0</v>
      </c>
      <c r="D205">
        <f>salt_box_size</f>
        <v>0</v>
      </c>
      <c r="E205" t="s">
        <v>1104</v>
      </c>
      <c r="F205">
        <f t="shared" ref="F205:Q206" si="38">VLOOKUP($E205,eq_table_cl,F$4,FALSE)</f>
        <v>8290.9055380669997</v>
      </c>
      <c r="G205">
        <f t="shared" si="38"/>
        <v>0.55477764500000004</v>
      </c>
      <c r="H205">
        <f t="shared" si="38"/>
        <v>0</v>
      </c>
      <c r="I205">
        <f t="shared" si="38"/>
        <v>0</v>
      </c>
      <c r="J205">
        <f t="shared" si="38"/>
        <v>0</v>
      </c>
      <c r="K205">
        <f t="shared" si="38"/>
        <v>0</v>
      </c>
      <c r="L205">
        <f t="shared" si="38"/>
        <v>0</v>
      </c>
      <c r="M205">
        <f t="shared" si="38"/>
        <v>0</v>
      </c>
      <c r="N205">
        <f t="shared" si="38"/>
        <v>0</v>
      </c>
      <c r="O205">
        <f t="shared" si="38"/>
        <v>0</v>
      </c>
      <c r="P205">
        <f t="shared" si="38"/>
        <v>80.099999999999994</v>
      </c>
      <c r="Q205">
        <f t="shared" si="38"/>
        <v>0</v>
      </c>
    </row>
    <row r="206" spans="1:17">
      <c r="A206" s="29" t="s">
        <v>2284</v>
      </c>
      <c r="B206" t="s">
        <v>1105</v>
      </c>
      <c r="C206" s="49">
        <f>IF(D206=0,0,IF(OR(D206&gt;P206,D206&lt;Q206),"contact vendor",F206*D206^G206+H206*LN(D206)+I206+J206*EXP(K206*D206)+L206*D206^3+M206*D206^2+N206*D206+O206))</f>
        <v>0</v>
      </c>
      <c r="D206">
        <f>salt_box_size</f>
        <v>0</v>
      </c>
      <c r="E206" t="s">
        <v>1105</v>
      </c>
      <c r="F206">
        <f t="shared" si="38"/>
        <v>0</v>
      </c>
      <c r="G206">
        <f t="shared" si="38"/>
        <v>0</v>
      </c>
      <c r="H206">
        <f t="shared" si="38"/>
        <v>0</v>
      </c>
      <c r="I206">
        <f t="shared" si="38"/>
        <v>0</v>
      </c>
      <c r="J206">
        <f t="shared" si="38"/>
        <v>0</v>
      </c>
      <c r="K206">
        <f t="shared" si="38"/>
        <v>0</v>
      </c>
      <c r="L206">
        <f t="shared" si="38"/>
        <v>0</v>
      </c>
      <c r="M206">
        <f t="shared" si="38"/>
        <v>-4.7059281300000002</v>
      </c>
      <c r="N206">
        <f t="shared" si="38"/>
        <v>792.11250883399998</v>
      </c>
      <c r="O206">
        <f t="shared" si="38"/>
        <v>23963.122303544998</v>
      </c>
      <c r="P206">
        <f t="shared" si="38"/>
        <v>80.099999999999994</v>
      </c>
      <c r="Q206">
        <f t="shared" si="38"/>
        <v>23</v>
      </c>
    </row>
    <row r="207" spans="1:17">
      <c r="A207" s="28" t="s">
        <v>937</v>
      </c>
      <c r="C207" s="49"/>
    </row>
    <row r="208" spans="1:17">
      <c r="A208" s="99" t="s">
        <v>3459</v>
      </c>
      <c r="C208" s="49"/>
    </row>
    <row r="209" spans="1:17">
      <c r="A209" s="5" t="s">
        <v>2384</v>
      </c>
      <c r="B209" t="s">
        <v>767</v>
      </c>
      <c r="C209" s="49">
        <f>IF(D209=0,0,IF(OR(D209&gt;P209,D209&lt;Q209),"contact vendor",F209*D209^G209+H209*LN(D209)+I209+J209*EXP(K209*D209)+L209*D209^3+M209*D209^2+N209*D209+O209))</f>
        <v>4626.8161419190001</v>
      </c>
      <c r="D209">
        <f>in_meter_size</f>
        <v>10</v>
      </c>
      <c r="E209" t="s">
        <v>768</v>
      </c>
      <c r="F209">
        <f t="shared" ref="F209:Q212" si="39">VLOOKUP($E209,eq_table_cl,F$4,FALSE)</f>
        <v>0</v>
      </c>
      <c r="G209">
        <f t="shared" si="39"/>
        <v>0</v>
      </c>
      <c r="H209">
        <f t="shared" si="39"/>
        <v>0</v>
      </c>
      <c r="I209">
        <f t="shared" si="39"/>
        <v>0</v>
      </c>
      <c r="J209">
        <f t="shared" si="39"/>
        <v>0</v>
      </c>
      <c r="K209">
        <f t="shared" si="39"/>
        <v>0</v>
      </c>
      <c r="L209">
        <f t="shared" si="39"/>
        <v>0.290528801</v>
      </c>
      <c r="M209">
        <f t="shared" si="39"/>
        <v>-20.141018838000001</v>
      </c>
      <c r="N209">
        <f t="shared" si="39"/>
        <v>567.62280550399998</v>
      </c>
      <c r="O209">
        <f t="shared" si="39"/>
        <v>674.16116967899995</v>
      </c>
      <c r="P209">
        <f t="shared" si="39"/>
        <v>60.1</v>
      </c>
      <c r="Q209">
        <f t="shared" si="39"/>
        <v>0</v>
      </c>
    </row>
    <row r="210" spans="1:17">
      <c r="A210" s="5" t="s">
        <v>2385</v>
      </c>
      <c r="B210" t="s">
        <v>2386</v>
      </c>
      <c r="C210" s="49">
        <f>IF(D210=0,0,IF(OR(D210&gt;P210,D210&lt;Q210),"contact vendor",F210*D210^G210+H210*LN(D210)+I210+J210*EXP(K210*D210)+L210*D210^3+M210*D210^2+N210*D210+O210))</f>
        <v>6008.2861197009997</v>
      </c>
      <c r="D210">
        <f>in_meter_size</f>
        <v>10</v>
      </c>
      <c r="E210" t="s">
        <v>2456</v>
      </c>
      <c r="F210">
        <f t="shared" si="39"/>
        <v>0</v>
      </c>
      <c r="G210">
        <f t="shared" si="39"/>
        <v>0</v>
      </c>
      <c r="H210">
        <f t="shared" si="39"/>
        <v>0</v>
      </c>
      <c r="I210">
        <f t="shared" si="39"/>
        <v>0</v>
      </c>
      <c r="J210">
        <f t="shared" si="39"/>
        <v>0</v>
      </c>
      <c r="K210">
        <f t="shared" si="39"/>
        <v>0</v>
      </c>
      <c r="L210">
        <f t="shared" si="39"/>
        <v>0.48667437299999999</v>
      </c>
      <c r="M210">
        <f t="shared" si="39"/>
        <v>-19.177375645000001</v>
      </c>
      <c r="N210">
        <f t="shared" si="39"/>
        <v>593.88035160699997</v>
      </c>
      <c r="O210">
        <f t="shared" si="39"/>
        <v>1500.545795131</v>
      </c>
      <c r="P210">
        <f t="shared" si="39"/>
        <v>36.1</v>
      </c>
      <c r="Q210">
        <f t="shared" si="39"/>
        <v>0</v>
      </c>
    </row>
    <row r="211" spans="1:17">
      <c r="A211" s="5" t="s">
        <v>2387</v>
      </c>
      <c r="B211" t="s">
        <v>2388</v>
      </c>
      <c r="C211" s="49">
        <f>IF(D211=0,0,IF(OR(D211&gt;P211,D211&lt;Q211),"contact vendor",F211*D211^G211+H211*LN(D211)+I211+J211*EXP(K211*D211)+L211*D211^3+M211*D211^2+N211*D211+O211))</f>
        <v>4013.0326495740001</v>
      </c>
      <c r="D211">
        <f>in_meter_size</f>
        <v>10</v>
      </c>
      <c r="E211" t="s">
        <v>2457</v>
      </c>
      <c r="F211">
        <f t="shared" si="39"/>
        <v>0</v>
      </c>
      <c r="G211">
        <f t="shared" si="39"/>
        <v>0</v>
      </c>
      <c r="H211">
        <f t="shared" si="39"/>
        <v>0</v>
      </c>
      <c r="I211">
        <f t="shared" si="39"/>
        <v>0</v>
      </c>
      <c r="J211">
        <f t="shared" si="39"/>
        <v>0</v>
      </c>
      <c r="K211">
        <f t="shared" si="39"/>
        <v>0</v>
      </c>
      <c r="L211">
        <f t="shared" si="39"/>
        <v>-8.9659137E-2</v>
      </c>
      <c r="M211">
        <f t="shared" si="39"/>
        <v>7.3814192910000003</v>
      </c>
      <c r="N211">
        <f t="shared" si="39"/>
        <v>135.40877886999999</v>
      </c>
      <c r="O211">
        <f t="shared" si="39"/>
        <v>2010.462068774</v>
      </c>
      <c r="P211">
        <f t="shared" si="39"/>
        <v>48.1</v>
      </c>
      <c r="Q211">
        <f t="shared" si="39"/>
        <v>0</v>
      </c>
    </row>
    <row r="212" spans="1:17">
      <c r="A212" s="5" t="s">
        <v>2389</v>
      </c>
      <c r="B212" t="s">
        <v>2390</v>
      </c>
      <c r="C212" s="49">
        <f>IF(D212=0,0,IF(OR(D212&gt;P212,D212&lt;Q212),"contact vendor",F212*D212^G212+H212*LN(D212)+I212+J212*EXP(K212*D212)+L212*D212^3+M212*D212^2+N212*D212+O212))</f>
        <v>8445.7466193210003</v>
      </c>
      <c r="D212">
        <f>in_meter_size</f>
        <v>10</v>
      </c>
      <c r="E212" t="s">
        <v>2458</v>
      </c>
      <c r="F212">
        <f t="shared" si="39"/>
        <v>0</v>
      </c>
      <c r="G212">
        <f t="shared" si="39"/>
        <v>0</v>
      </c>
      <c r="H212">
        <f t="shared" si="39"/>
        <v>0</v>
      </c>
      <c r="I212">
        <f t="shared" si="39"/>
        <v>0</v>
      </c>
      <c r="J212">
        <f t="shared" si="39"/>
        <v>0</v>
      </c>
      <c r="K212">
        <f t="shared" si="39"/>
        <v>0</v>
      </c>
      <c r="L212">
        <f t="shared" si="39"/>
        <v>8.7416773000000003E-2</v>
      </c>
      <c r="M212">
        <f t="shared" si="39"/>
        <v>3.727367106</v>
      </c>
      <c r="N212">
        <f t="shared" si="39"/>
        <v>488.19409208000002</v>
      </c>
      <c r="O212">
        <f t="shared" si="39"/>
        <v>3103.652214921</v>
      </c>
      <c r="P212">
        <f t="shared" si="39"/>
        <v>36.1</v>
      </c>
      <c r="Q212">
        <f t="shared" si="39"/>
        <v>0</v>
      </c>
    </row>
    <row r="213" spans="1:17">
      <c r="A213" s="99" t="s">
        <v>2391</v>
      </c>
      <c r="C213" s="49"/>
    </row>
    <row r="214" spans="1:17">
      <c r="A214" s="5" t="s">
        <v>2384</v>
      </c>
      <c r="B214" t="s">
        <v>769</v>
      </c>
      <c r="C214" s="49">
        <f>IF(D214=0,0,IF(OR(D214&gt;P214,D214&lt;Q214),"contact vendor",F214*D214^G214+H214*LN(D214)+I214+J214*EXP(K214*D214)+L214*D214^3+M214*D214^2+N214*D214+O214))</f>
        <v>4626.8161419190001</v>
      </c>
      <c r="D214">
        <f>proc_meter_size</f>
        <v>10</v>
      </c>
      <c r="E214" t="s">
        <v>768</v>
      </c>
      <c r="F214">
        <f t="shared" ref="F214:Q217" si="40">VLOOKUP($E214,eq_table_cl,F$4,FALSE)</f>
        <v>0</v>
      </c>
      <c r="G214">
        <f t="shared" si="40"/>
        <v>0</v>
      </c>
      <c r="H214">
        <f t="shared" si="40"/>
        <v>0</v>
      </c>
      <c r="I214">
        <f t="shared" si="40"/>
        <v>0</v>
      </c>
      <c r="J214">
        <f t="shared" si="40"/>
        <v>0</v>
      </c>
      <c r="K214">
        <f t="shared" si="40"/>
        <v>0</v>
      </c>
      <c r="L214">
        <f t="shared" si="40"/>
        <v>0.290528801</v>
      </c>
      <c r="M214">
        <f t="shared" si="40"/>
        <v>-20.141018838000001</v>
      </c>
      <c r="N214">
        <f t="shared" si="40"/>
        <v>567.62280550399998</v>
      </c>
      <c r="O214">
        <f t="shared" si="40"/>
        <v>674.16116967899995</v>
      </c>
      <c r="P214">
        <f t="shared" si="40"/>
        <v>60.1</v>
      </c>
      <c r="Q214">
        <f t="shared" si="40"/>
        <v>0</v>
      </c>
    </row>
    <row r="215" spans="1:17">
      <c r="A215" s="5" t="s">
        <v>2385</v>
      </c>
      <c r="B215" t="s">
        <v>2392</v>
      </c>
      <c r="C215" s="49">
        <f>IF(D215=0,0,IF(OR(D215&gt;P215,D215&lt;Q215),"contact vendor",F215*D215^G215+H215*LN(D215)+I215+J215*EXP(K215*D215)+L215*D215^3+M215*D215^2+N215*D215+O215))</f>
        <v>6008.2861197009997</v>
      </c>
      <c r="D215">
        <f>proc_meter_size</f>
        <v>10</v>
      </c>
      <c r="E215" t="s">
        <v>2456</v>
      </c>
      <c r="F215">
        <f t="shared" si="40"/>
        <v>0</v>
      </c>
      <c r="G215">
        <f t="shared" si="40"/>
        <v>0</v>
      </c>
      <c r="H215">
        <f t="shared" si="40"/>
        <v>0</v>
      </c>
      <c r="I215">
        <f t="shared" si="40"/>
        <v>0</v>
      </c>
      <c r="J215">
        <f t="shared" si="40"/>
        <v>0</v>
      </c>
      <c r="K215">
        <f t="shared" si="40"/>
        <v>0</v>
      </c>
      <c r="L215">
        <f t="shared" si="40"/>
        <v>0.48667437299999999</v>
      </c>
      <c r="M215">
        <f t="shared" si="40"/>
        <v>-19.177375645000001</v>
      </c>
      <c r="N215">
        <f t="shared" si="40"/>
        <v>593.88035160699997</v>
      </c>
      <c r="O215">
        <f t="shared" si="40"/>
        <v>1500.545795131</v>
      </c>
      <c r="P215">
        <f t="shared" si="40"/>
        <v>36.1</v>
      </c>
      <c r="Q215">
        <f t="shared" si="40"/>
        <v>0</v>
      </c>
    </row>
    <row r="216" spans="1:17">
      <c r="A216" s="5" t="s">
        <v>2387</v>
      </c>
      <c r="B216" t="s">
        <v>2393</v>
      </c>
      <c r="C216" s="49">
        <f>IF(D216=0,0,IF(OR(D216&gt;P216,D216&lt;Q216),"contact vendor",F216*D216^G216+H216*LN(D216)+I216+J216*EXP(K216*D216)+L216*D216^3+M216*D216^2+N216*D216+O216))</f>
        <v>4013.0326495740001</v>
      </c>
      <c r="D216">
        <f>proc_meter_size</f>
        <v>10</v>
      </c>
      <c r="E216" t="s">
        <v>2457</v>
      </c>
      <c r="F216">
        <f t="shared" si="40"/>
        <v>0</v>
      </c>
      <c r="G216">
        <f t="shared" si="40"/>
        <v>0</v>
      </c>
      <c r="H216">
        <f t="shared" si="40"/>
        <v>0</v>
      </c>
      <c r="I216">
        <f t="shared" si="40"/>
        <v>0</v>
      </c>
      <c r="J216">
        <f t="shared" si="40"/>
        <v>0</v>
      </c>
      <c r="K216">
        <f t="shared" si="40"/>
        <v>0</v>
      </c>
      <c r="L216">
        <f t="shared" si="40"/>
        <v>-8.9659137E-2</v>
      </c>
      <c r="M216">
        <f t="shared" si="40"/>
        <v>7.3814192910000003</v>
      </c>
      <c r="N216">
        <f t="shared" si="40"/>
        <v>135.40877886999999</v>
      </c>
      <c r="O216">
        <f t="shared" si="40"/>
        <v>2010.462068774</v>
      </c>
      <c r="P216">
        <f t="shared" si="40"/>
        <v>48.1</v>
      </c>
      <c r="Q216">
        <f t="shared" si="40"/>
        <v>0</v>
      </c>
    </row>
    <row r="217" spans="1:17">
      <c r="A217" s="5" t="s">
        <v>2389</v>
      </c>
      <c r="B217" t="s">
        <v>2394</v>
      </c>
      <c r="C217" s="49">
        <f>IF(D217=0,0,IF(OR(D217&gt;P217,D217&lt;Q217),"contact vendor",F217*D217^G217+H217*LN(D217)+I217+J217*EXP(K217*D217)+L217*D217^3+M217*D217^2+N217*D217+O217))</f>
        <v>8445.7466193210003</v>
      </c>
      <c r="D217">
        <f>proc_meter_size</f>
        <v>10</v>
      </c>
      <c r="E217" t="s">
        <v>2458</v>
      </c>
      <c r="F217">
        <f t="shared" si="40"/>
        <v>0</v>
      </c>
      <c r="G217">
        <f t="shared" si="40"/>
        <v>0</v>
      </c>
      <c r="H217">
        <f t="shared" si="40"/>
        <v>0</v>
      </c>
      <c r="I217">
        <f t="shared" si="40"/>
        <v>0</v>
      </c>
      <c r="J217">
        <f t="shared" si="40"/>
        <v>0</v>
      </c>
      <c r="K217">
        <f t="shared" si="40"/>
        <v>0</v>
      </c>
      <c r="L217">
        <f t="shared" si="40"/>
        <v>8.7416773000000003E-2</v>
      </c>
      <c r="M217">
        <f t="shared" si="40"/>
        <v>3.727367106</v>
      </c>
      <c r="N217">
        <f t="shared" si="40"/>
        <v>488.19409208000002</v>
      </c>
      <c r="O217">
        <f t="shared" si="40"/>
        <v>3103.652214921</v>
      </c>
      <c r="P217">
        <f t="shared" si="40"/>
        <v>36.1</v>
      </c>
      <c r="Q217">
        <f t="shared" si="40"/>
        <v>0</v>
      </c>
    </row>
    <row r="218" spans="1:17">
      <c r="A218" s="99" t="s">
        <v>2395</v>
      </c>
      <c r="C218" s="49"/>
    </row>
    <row r="219" spans="1:17">
      <c r="A219" s="5" t="s">
        <v>2384</v>
      </c>
      <c r="B219" t="s">
        <v>1225</v>
      </c>
      <c r="C219" s="49">
        <f>IF(D219=0,0,IF(OR(D219&gt;P219,D219&lt;Q219),"contact vendor",F219*D219^G219+H219*LN(D219)+I219+J219*EXP(K219*D219)+L219*D219^3+M219*D219^2+N219*D219+O219))</f>
        <v>3417.5755455509998</v>
      </c>
      <c r="D219">
        <f>back_meter_size</f>
        <v>6</v>
      </c>
      <c r="E219" t="s">
        <v>768</v>
      </c>
      <c r="F219">
        <f t="shared" ref="F219:Q222" si="41">VLOOKUP($E219,eq_table_cl,F$4,FALSE)</f>
        <v>0</v>
      </c>
      <c r="G219">
        <f t="shared" si="41"/>
        <v>0</v>
      </c>
      <c r="H219">
        <f t="shared" si="41"/>
        <v>0</v>
      </c>
      <c r="I219">
        <f t="shared" si="41"/>
        <v>0</v>
      </c>
      <c r="J219">
        <f t="shared" si="41"/>
        <v>0</v>
      </c>
      <c r="K219">
        <f t="shared" si="41"/>
        <v>0</v>
      </c>
      <c r="L219">
        <f t="shared" si="41"/>
        <v>0.290528801</v>
      </c>
      <c r="M219">
        <f t="shared" si="41"/>
        <v>-20.141018838000001</v>
      </c>
      <c r="N219">
        <f t="shared" si="41"/>
        <v>567.62280550399998</v>
      </c>
      <c r="O219">
        <f t="shared" si="41"/>
        <v>674.16116967899995</v>
      </c>
      <c r="P219">
        <f t="shared" si="41"/>
        <v>60.1</v>
      </c>
      <c r="Q219">
        <f t="shared" si="41"/>
        <v>0</v>
      </c>
    </row>
    <row r="220" spans="1:17">
      <c r="A220" s="5" t="s">
        <v>2385</v>
      </c>
      <c r="B220" t="s">
        <v>2396</v>
      </c>
      <c r="C220" s="49">
        <f>IF(D220=0,0,IF(OR(D220&gt;P220,D220&lt;Q220),"contact vendor",F220*D220^G220+H220*LN(D220)+I220+J220*EXP(K220*D220)+L220*D220^3+M220*D220^2+N220*D220+O220))</f>
        <v>4478.5640461209996</v>
      </c>
      <c r="D220">
        <f>back_meter_size</f>
        <v>6</v>
      </c>
      <c r="E220" t="s">
        <v>2456</v>
      </c>
      <c r="F220">
        <f t="shared" si="41"/>
        <v>0</v>
      </c>
      <c r="G220">
        <f t="shared" si="41"/>
        <v>0</v>
      </c>
      <c r="H220">
        <f t="shared" si="41"/>
        <v>0</v>
      </c>
      <c r="I220">
        <f t="shared" si="41"/>
        <v>0</v>
      </c>
      <c r="J220">
        <f t="shared" si="41"/>
        <v>0</v>
      </c>
      <c r="K220">
        <f t="shared" si="41"/>
        <v>0</v>
      </c>
      <c r="L220">
        <f t="shared" si="41"/>
        <v>0.48667437299999999</v>
      </c>
      <c r="M220">
        <f t="shared" si="41"/>
        <v>-19.177375645000001</v>
      </c>
      <c r="N220">
        <f t="shared" si="41"/>
        <v>593.88035160699997</v>
      </c>
      <c r="O220">
        <f t="shared" si="41"/>
        <v>1500.545795131</v>
      </c>
      <c r="P220">
        <f t="shared" si="41"/>
        <v>36.1</v>
      </c>
      <c r="Q220">
        <f t="shared" si="41"/>
        <v>0</v>
      </c>
    </row>
    <row r="221" spans="1:17">
      <c r="A221" s="5" t="s">
        <v>2387</v>
      </c>
      <c r="B221" t="s">
        <v>2397</v>
      </c>
      <c r="C221" s="49">
        <f>IF(D221=0,0,IF(OR(D221&gt;P221,D221&lt;Q221),"contact vendor",F221*D221^G221+H221*LN(D221)+I221+J221*EXP(K221*D221)+L221*D221^3+M221*D221^2+N221*D221+O221))</f>
        <v>3069.2794628780002</v>
      </c>
      <c r="D221">
        <f>back_meter_size</f>
        <v>6</v>
      </c>
      <c r="E221" t="s">
        <v>2457</v>
      </c>
      <c r="F221">
        <f t="shared" si="41"/>
        <v>0</v>
      </c>
      <c r="G221">
        <f t="shared" si="41"/>
        <v>0</v>
      </c>
      <c r="H221">
        <f t="shared" si="41"/>
        <v>0</v>
      </c>
      <c r="I221">
        <f t="shared" si="41"/>
        <v>0</v>
      </c>
      <c r="J221">
        <f t="shared" si="41"/>
        <v>0</v>
      </c>
      <c r="K221">
        <f t="shared" si="41"/>
        <v>0</v>
      </c>
      <c r="L221">
        <f t="shared" si="41"/>
        <v>-8.9659137E-2</v>
      </c>
      <c r="M221">
        <f t="shared" si="41"/>
        <v>7.3814192910000003</v>
      </c>
      <c r="N221">
        <f t="shared" si="41"/>
        <v>135.40877886999999</v>
      </c>
      <c r="O221">
        <f t="shared" si="41"/>
        <v>2010.462068774</v>
      </c>
      <c r="P221">
        <f t="shared" si="41"/>
        <v>48.1</v>
      </c>
      <c r="Q221">
        <f t="shared" si="41"/>
        <v>0</v>
      </c>
    </row>
    <row r="222" spans="1:17">
      <c r="A222" s="5" t="s">
        <v>2389</v>
      </c>
      <c r="B222" t="s">
        <v>2398</v>
      </c>
      <c r="C222" s="49">
        <f>IF(D222=0,0,IF(OR(D222&gt;P222,D222&lt;Q222),"contact vendor",F222*D222^G222+H222*LN(D222)+I222+J222*EXP(K222*D222)+L222*D222^3+M222*D222^2+N222*D222+O222))</f>
        <v>6185.8840061850005</v>
      </c>
      <c r="D222">
        <f>back_meter_size</f>
        <v>6</v>
      </c>
      <c r="E222" t="s">
        <v>2458</v>
      </c>
      <c r="F222">
        <f t="shared" si="41"/>
        <v>0</v>
      </c>
      <c r="G222">
        <f t="shared" si="41"/>
        <v>0</v>
      </c>
      <c r="H222">
        <f t="shared" si="41"/>
        <v>0</v>
      </c>
      <c r="I222">
        <f t="shared" si="41"/>
        <v>0</v>
      </c>
      <c r="J222">
        <f t="shared" si="41"/>
        <v>0</v>
      </c>
      <c r="K222">
        <f t="shared" si="41"/>
        <v>0</v>
      </c>
      <c r="L222">
        <f t="shared" si="41"/>
        <v>8.7416773000000003E-2</v>
      </c>
      <c r="M222">
        <f t="shared" si="41"/>
        <v>3.727367106</v>
      </c>
      <c r="N222">
        <f t="shared" si="41"/>
        <v>488.19409208000002</v>
      </c>
      <c r="O222">
        <f t="shared" si="41"/>
        <v>3103.652214921</v>
      </c>
      <c r="P222">
        <f t="shared" si="41"/>
        <v>36.1</v>
      </c>
      <c r="Q222">
        <f t="shared" si="41"/>
        <v>0</v>
      </c>
    </row>
    <row r="223" spans="1:17">
      <c r="A223" s="99" t="s">
        <v>2399</v>
      </c>
      <c r="C223" s="49"/>
    </row>
    <row r="224" spans="1:17">
      <c r="A224" s="5" t="s">
        <v>2384</v>
      </c>
      <c r="B224" t="s">
        <v>2701</v>
      </c>
      <c r="C224" s="49">
        <f>IF(D224=0,0,IF(OR(D224&gt;P224,D224&lt;Q224),"contact vendor",F224*D224^G224+H224*LN(D224)+I224+J224*EXP(K224*D224)+L224*D224^3+M224*D224^2+N224*D224+O224))</f>
        <v>1221.9334851459998</v>
      </c>
      <c r="D224">
        <f>res_meter_size</f>
        <v>1</v>
      </c>
      <c r="E224" t="s">
        <v>768</v>
      </c>
      <c r="F224">
        <f t="shared" ref="F224:Q227" si="42">VLOOKUP($E224,eq_table_cl,F$4,FALSE)</f>
        <v>0</v>
      </c>
      <c r="G224">
        <f t="shared" si="42"/>
        <v>0</v>
      </c>
      <c r="H224">
        <f t="shared" si="42"/>
        <v>0</v>
      </c>
      <c r="I224">
        <f t="shared" si="42"/>
        <v>0</v>
      </c>
      <c r="J224">
        <f t="shared" si="42"/>
        <v>0</v>
      </c>
      <c r="K224">
        <f t="shared" si="42"/>
        <v>0</v>
      </c>
      <c r="L224">
        <f t="shared" si="42"/>
        <v>0.290528801</v>
      </c>
      <c r="M224">
        <f t="shared" si="42"/>
        <v>-20.141018838000001</v>
      </c>
      <c r="N224">
        <f t="shared" si="42"/>
        <v>567.62280550399998</v>
      </c>
      <c r="O224">
        <f t="shared" si="42"/>
        <v>674.16116967899995</v>
      </c>
      <c r="P224">
        <f t="shared" si="42"/>
        <v>60.1</v>
      </c>
      <c r="Q224">
        <f t="shared" si="42"/>
        <v>0</v>
      </c>
    </row>
    <row r="225" spans="1:17">
      <c r="A225" s="5" t="s">
        <v>2385</v>
      </c>
      <c r="B225" t="s">
        <v>2400</v>
      </c>
      <c r="C225" s="49">
        <f>IF(D225=0,0,IF(OR(D225&gt;P225,D225&lt;Q225),"contact vendor",F225*D225^G225+H225*LN(D225)+I225+J225*EXP(K225*D225)+L225*D225^3+M225*D225^2+N225*D225+O225))</f>
        <v>2075.7354454659999</v>
      </c>
      <c r="D225">
        <f>res_meter_size</f>
        <v>1</v>
      </c>
      <c r="E225" t="s">
        <v>2456</v>
      </c>
      <c r="F225">
        <f t="shared" si="42"/>
        <v>0</v>
      </c>
      <c r="G225">
        <f t="shared" si="42"/>
        <v>0</v>
      </c>
      <c r="H225">
        <f t="shared" si="42"/>
        <v>0</v>
      </c>
      <c r="I225">
        <f t="shared" si="42"/>
        <v>0</v>
      </c>
      <c r="J225">
        <f t="shared" si="42"/>
        <v>0</v>
      </c>
      <c r="K225">
        <f t="shared" si="42"/>
        <v>0</v>
      </c>
      <c r="L225">
        <f t="shared" si="42"/>
        <v>0.48667437299999999</v>
      </c>
      <c r="M225">
        <f t="shared" si="42"/>
        <v>-19.177375645000001</v>
      </c>
      <c r="N225">
        <f t="shared" si="42"/>
        <v>593.88035160699997</v>
      </c>
      <c r="O225">
        <f t="shared" si="42"/>
        <v>1500.545795131</v>
      </c>
      <c r="P225">
        <f t="shared" si="42"/>
        <v>36.1</v>
      </c>
      <c r="Q225">
        <f t="shared" si="42"/>
        <v>0</v>
      </c>
    </row>
    <row r="226" spans="1:17">
      <c r="A226" s="5" t="s">
        <v>2387</v>
      </c>
      <c r="B226" t="s">
        <v>2454</v>
      </c>
      <c r="C226" s="49">
        <f>IF(D226=0,0,IF(OR(D226&gt;P226,D226&lt;Q226),"contact vendor",F226*D226^G226+H226*LN(D226)+I226+J226*EXP(K226*D226)+L226*D226^3+M226*D226^2+N226*D226+O226))</f>
        <v>2153.162607798</v>
      </c>
      <c r="D226">
        <f>res_meter_size</f>
        <v>1</v>
      </c>
      <c r="E226" t="s">
        <v>2457</v>
      </c>
      <c r="F226">
        <f t="shared" si="42"/>
        <v>0</v>
      </c>
      <c r="G226">
        <f t="shared" si="42"/>
        <v>0</v>
      </c>
      <c r="H226">
        <f t="shared" si="42"/>
        <v>0</v>
      </c>
      <c r="I226">
        <f t="shared" si="42"/>
        <v>0</v>
      </c>
      <c r="J226">
        <f t="shared" si="42"/>
        <v>0</v>
      </c>
      <c r="K226">
        <f t="shared" si="42"/>
        <v>0</v>
      </c>
      <c r="L226">
        <f t="shared" si="42"/>
        <v>-8.9659137E-2</v>
      </c>
      <c r="M226">
        <f t="shared" si="42"/>
        <v>7.3814192910000003</v>
      </c>
      <c r="N226">
        <f t="shared" si="42"/>
        <v>135.40877886999999</v>
      </c>
      <c r="O226">
        <f t="shared" si="42"/>
        <v>2010.462068774</v>
      </c>
      <c r="P226">
        <f t="shared" si="42"/>
        <v>48.1</v>
      </c>
      <c r="Q226">
        <f t="shared" si="42"/>
        <v>0</v>
      </c>
    </row>
    <row r="227" spans="1:17">
      <c r="A227" s="5" t="s">
        <v>2389</v>
      </c>
      <c r="B227" t="s">
        <v>2455</v>
      </c>
      <c r="C227" s="49">
        <f>IF(D227=0,0,IF(OR(D227&gt;P227,D227&lt;Q227),"contact vendor",F227*D227^G227+H227*LN(D227)+I227+J227*EXP(K227*D227)+L227*D227^3+M227*D227^2+N227*D227+O227))</f>
        <v>3595.6610908799998</v>
      </c>
      <c r="D227">
        <f>res_meter_size</f>
        <v>1</v>
      </c>
      <c r="E227" t="s">
        <v>2458</v>
      </c>
      <c r="F227">
        <f t="shared" si="42"/>
        <v>0</v>
      </c>
      <c r="G227">
        <f t="shared" si="42"/>
        <v>0</v>
      </c>
      <c r="H227">
        <f t="shared" si="42"/>
        <v>0</v>
      </c>
      <c r="I227">
        <f t="shared" si="42"/>
        <v>0</v>
      </c>
      <c r="J227">
        <f t="shared" si="42"/>
        <v>0</v>
      </c>
      <c r="K227">
        <f t="shared" si="42"/>
        <v>0</v>
      </c>
      <c r="L227">
        <f t="shared" si="42"/>
        <v>8.7416773000000003E-2</v>
      </c>
      <c r="M227">
        <f t="shared" si="42"/>
        <v>3.727367106</v>
      </c>
      <c r="N227">
        <f t="shared" si="42"/>
        <v>488.19409208000002</v>
      </c>
      <c r="O227">
        <f t="shared" si="42"/>
        <v>3103.652214921</v>
      </c>
      <c r="P227">
        <f t="shared" si="42"/>
        <v>36.1</v>
      </c>
      <c r="Q227">
        <f t="shared" si="42"/>
        <v>0</v>
      </c>
    </row>
    <row r="228" spans="1:17">
      <c r="A228" s="302" t="s">
        <v>2061</v>
      </c>
      <c r="C228" s="596"/>
      <c r="F228" t="str">
        <f t="shared" ref="F228:Q229" si="43">IF(LEN($E228)=0,"",VLOOKUP($E228,eq_table_cl,F$7,FALSE))</f>
        <v/>
      </c>
      <c r="G228" t="str">
        <f t="shared" si="43"/>
        <v/>
      </c>
      <c r="H228" t="str">
        <f t="shared" si="43"/>
        <v/>
      </c>
      <c r="I228" t="str">
        <f t="shared" si="43"/>
        <v/>
      </c>
      <c r="J228" t="str">
        <f t="shared" si="43"/>
        <v/>
      </c>
      <c r="K228" t="str">
        <f t="shared" si="43"/>
        <v/>
      </c>
      <c r="L228" t="str">
        <f t="shared" si="43"/>
        <v/>
      </c>
      <c r="M228" t="str">
        <f t="shared" si="43"/>
        <v/>
      </c>
      <c r="N228" t="str">
        <f t="shared" si="43"/>
        <v/>
      </c>
      <c r="O228" t="str">
        <f t="shared" si="43"/>
        <v/>
      </c>
      <c r="P228" t="str">
        <f t="shared" si="43"/>
        <v/>
      </c>
      <c r="Q228" t="str">
        <f t="shared" si="43"/>
        <v/>
      </c>
    </row>
    <row r="229" spans="1:17">
      <c r="A229" s="99" t="s">
        <v>1110</v>
      </c>
      <c r="C229" s="596"/>
      <c r="F229" t="str">
        <f t="shared" si="43"/>
        <v/>
      </c>
      <c r="G229" t="str">
        <f t="shared" si="43"/>
        <v/>
      </c>
      <c r="H229" t="str">
        <f t="shared" si="43"/>
        <v/>
      </c>
      <c r="I229" t="str">
        <f t="shared" si="43"/>
        <v/>
      </c>
      <c r="J229" t="str">
        <f t="shared" si="43"/>
        <v/>
      </c>
      <c r="K229" t="str">
        <f t="shared" si="43"/>
        <v/>
      </c>
      <c r="L229" t="str">
        <f t="shared" si="43"/>
        <v/>
      </c>
      <c r="M229" t="str">
        <f t="shared" si="43"/>
        <v/>
      </c>
      <c r="N229" t="str">
        <f t="shared" si="43"/>
        <v/>
      </c>
      <c r="O229" t="str">
        <f t="shared" si="43"/>
        <v/>
      </c>
      <c r="P229" t="str">
        <f t="shared" si="43"/>
        <v/>
      </c>
      <c r="Q229" t="str">
        <f t="shared" si="43"/>
        <v/>
      </c>
    </row>
    <row r="230" spans="1:17">
      <c r="A230" t="s">
        <v>2062</v>
      </c>
      <c r="B230" t="s">
        <v>2063</v>
      </c>
      <c r="C230" s="49">
        <f>IF(D230=0,0,IF(OR(D230&gt;P230,D230&lt;Q230),"contact vendor",F230*D230^G230+H230*LN(D230)+I230+J230*EXP(K230*D230)+L230*D230^3+M230*D230^2+N230*D230+O230))</f>
        <v>75.343938965434688</v>
      </c>
      <c r="D230">
        <f>build1_fp</f>
        <v>3470</v>
      </c>
      <c r="E230" t="s">
        <v>2064</v>
      </c>
      <c r="F230">
        <f t="shared" ref="F230:Q232" si="44">VLOOKUP($E230,eq_table_cl,F$4,FALSE)</f>
        <v>163.72087260199999</v>
      </c>
      <c r="G230">
        <f t="shared" si="44"/>
        <v>-9.5204622000000003E-2</v>
      </c>
      <c r="H230">
        <f t="shared" si="44"/>
        <v>0</v>
      </c>
      <c r="I230">
        <f t="shared" si="44"/>
        <v>0</v>
      </c>
      <c r="J230">
        <f t="shared" si="44"/>
        <v>0</v>
      </c>
      <c r="K230">
        <f t="shared" si="44"/>
        <v>0</v>
      </c>
      <c r="L230">
        <f t="shared" si="44"/>
        <v>0</v>
      </c>
      <c r="M230">
        <f t="shared" si="44"/>
        <v>0</v>
      </c>
      <c r="N230">
        <f t="shared" si="44"/>
        <v>0</v>
      </c>
      <c r="O230">
        <f t="shared" si="44"/>
        <v>0</v>
      </c>
      <c r="P230">
        <f t="shared" si="44"/>
        <v>200000.1</v>
      </c>
      <c r="Q230">
        <f t="shared" si="44"/>
        <v>0</v>
      </c>
    </row>
    <row r="231" spans="1:17">
      <c r="A231" t="s">
        <v>2065</v>
      </c>
      <c r="B231" t="s">
        <v>2066</v>
      </c>
      <c r="C231" s="49">
        <f>IF(D231=0,0,IF(OR(D231&gt;P231,D231&lt;Q231),"contact vendor",F231*D231^G231+H231*LN(D231)+I231+J231*EXP(K231*D231)+L231*D231^3+M231*D231^2+N231*D231+O231))</f>
        <v>90.359380507457516</v>
      </c>
      <c r="D231">
        <f>build1_fp</f>
        <v>3470</v>
      </c>
      <c r="E231" t="s">
        <v>2067</v>
      </c>
      <c r="F231">
        <f t="shared" si="44"/>
        <v>198.02119383900001</v>
      </c>
      <c r="G231">
        <f t="shared" si="44"/>
        <v>-9.6244836E-2</v>
      </c>
      <c r="H231">
        <f t="shared" si="44"/>
        <v>0</v>
      </c>
      <c r="I231">
        <f t="shared" si="44"/>
        <v>0</v>
      </c>
      <c r="J231">
        <f t="shared" si="44"/>
        <v>0</v>
      </c>
      <c r="K231">
        <f t="shared" si="44"/>
        <v>0</v>
      </c>
      <c r="L231">
        <f t="shared" si="44"/>
        <v>0</v>
      </c>
      <c r="M231">
        <f t="shared" si="44"/>
        <v>0</v>
      </c>
      <c r="N231">
        <f t="shared" si="44"/>
        <v>0</v>
      </c>
      <c r="O231">
        <f t="shared" si="44"/>
        <v>0</v>
      </c>
      <c r="P231">
        <f t="shared" si="44"/>
        <v>200000.1</v>
      </c>
      <c r="Q231">
        <f t="shared" si="44"/>
        <v>0</v>
      </c>
    </row>
    <row r="232" spans="1:17">
      <c r="A232" t="s">
        <v>2068</v>
      </c>
      <c r="B232" t="s">
        <v>2069</v>
      </c>
      <c r="C232" s="49">
        <f>IF(D232=0,0,IF(OR(D232&gt;P232,D232&lt;Q232),"contact vendor",F232*D232^G232+H232*LN(D232)+I232+J232*EXP(K232*D232)+L232*D232^3+M232*D232^2+N232*D232+O232))</f>
        <v>124.15040765864386</v>
      </c>
      <c r="D232">
        <f>build1_fp</f>
        <v>3470</v>
      </c>
      <c r="E232" t="s">
        <v>2070</v>
      </c>
      <c r="F232">
        <f t="shared" si="44"/>
        <v>378.41221851</v>
      </c>
      <c r="G232">
        <f t="shared" si="44"/>
        <v>-0.13671524199999999</v>
      </c>
      <c r="H232">
        <f t="shared" si="44"/>
        <v>0</v>
      </c>
      <c r="I232">
        <f t="shared" si="44"/>
        <v>0</v>
      </c>
      <c r="J232">
        <f t="shared" si="44"/>
        <v>0</v>
      </c>
      <c r="K232">
        <f t="shared" si="44"/>
        <v>0</v>
      </c>
      <c r="L232">
        <f t="shared" si="44"/>
        <v>0</v>
      </c>
      <c r="M232">
        <f t="shared" si="44"/>
        <v>0</v>
      </c>
      <c r="N232">
        <f t="shared" si="44"/>
        <v>0</v>
      </c>
      <c r="O232">
        <f t="shared" si="44"/>
        <v>0</v>
      </c>
      <c r="P232">
        <f t="shared" si="44"/>
        <v>200000.1</v>
      </c>
      <c r="Q232">
        <f t="shared" si="44"/>
        <v>0</v>
      </c>
    </row>
    <row r="233" spans="1:17">
      <c r="A233" s="99" t="s">
        <v>2071</v>
      </c>
      <c r="C233" s="596"/>
      <c r="F233" t="str">
        <f t="shared" ref="F233:Q233" si="45">IF(LEN($E233)=0,"",VLOOKUP($E233,eq_table_cl,F$7,FALSE))</f>
        <v/>
      </c>
      <c r="G233" t="str">
        <f t="shared" si="45"/>
        <v/>
      </c>
      <c r="H233" t="str">
        <f t="shared" si="45"/>
        <v/>
      </c>
      <c r="I233" t="str">
        <f t="shared" si="45"/>
        <v/>
      </c>
      <c r="J233" t="str">
        <f t="shared" si="45"/>
        <v/>
      </c>
      <c r="K233" t="str">
        <f t="shared" si="45"/>
        <v/>
      </c>
      <c r="L233" t="str">
        <f t="shared" si="45"/>
        <v/>
      </c>
      <c r="M233" t="str">
        <f t="shared" si="45"/>
        <v/>
      </c>
      <c r="N233" t="str">
        <f t="shared" si="45"/>
        <v/>
      </c>
      <c r="O233" t="str">
        <f t="shared" si="45"/>
        <v/>
      </c>
      <c r="P233" t="str">
        <f t="shared" si="45"/>
        <v/>
      </c>
      <c r="Q233" t="str">
        <f t="shared" si="45"/>
        <v/>
      </c>
    </row>
    <row r="234" spans="1:17">
      <c r="A234" t="s">
        <v>854</v>
      </c>
      <c r="B234" t="s">
        <v>2072</v>
      </c>
      <c r="C234" s="49">
        <f>IF(D234=0,0,IF(OR(D234&gt;P234,D234&lt;Q234),"contact vendor",F234*D234^G234+H234*LN(D234)+I234+J234*EXP(K234*D234)+L234*D234^3+M234*D234^2+N234*D234+O234))</f>
        <v>28042.750531622205</v>
      </c>
      <c r="D234">
        <f>build1_heat_mbh/build1_zones</f>
        <v>63.913219794437907</v>
      </c>
      <c r="E234" t="s">
        <v>2073</v>
      </c>
      <c r="F234">
        <f t="shared" ref="F234:Q238" si="46">VLOOKUP($E234,eq_table_cl,F$4,FALSE)</f>
        <v>1144.4973268870001</v>
      </c>
      <c r="G234">
        <f t="shared" si="46"/>
        <v>0.76939132899999996</v>
      </c>
      <c r="H234">
        <f t="shared" si="46"/>
        <v>0</v>
      </c>
      <c r="I234">
        <f t="shared" si="46"/>
        <v>0</v>
      </c>
      <c r="J234">
        <f t="shared" si="46"/>
        <v>0</v>
      </c>
      <c r="K234">
        <f t="shared" si="46"/>
        <v>0</v>
      </c>
      <c r="L234">
        <f t="shared" si="46"/>
        <v>0</v>
      </c>
      <c r="M234">
        <f t="shared" si="46"/>
        <v>0</v>
      </c>
      <c r="N234">
        <f t="shared" si="46"/>
        <v>0</v>
      </c>
      <c r="O234">
        <f t="shared" si="46"/>
        <v>0</v>
      </c>
      <c r="P234">
        <f t="shared" si="46"/>
        <v>6148.1</v>
      </c>
      <c r="Q234">
        <f t="shared" si="46"/>
        <v>0</v>
      </c>
    </row>
    <row r="235" spans="1:17">
      <c r="A235" t="s">
        <v>856</v>
      </c>
      <c r="B235" t="s">
        <v>2074</v>
      </c>
      <c r="C235" s="49">
        <f>IF(D235=0,0,IF(OR(D235&gt;P235,D235&lt;Q235),"contact vendor",F235*D235^G235+H235*LN(D235)+I235+J235*EXP(K235*D235)+L235*D235^3+M235*D235^2+N235*D235+O235))</f>
        <v>20055.27367186885</v>
      </c>
      <c r="D235">
        <f>build1_heat_mbh/build1_zones</f>
        <v>63.913219794437907</v>
      </c>
      <c r="E235" t="s">
        <v>2075</v>
      </c>
      <c r="F235">
        <f t="shared" si="46"/>
        <v>884.952743048</v>
      </c>
      <c r="G235">
        <f t="shared" si="46"/>
        <v>0.75061779799999995</v>
      </c>
      <c r="H235">
        <f t="shared" si="46"/>
        <v>0</v>
      </c>
      <c r="I235">
        <f t="shared" si="46"/>
        <v>0</v>
      </c>
      <c r="J235">
        <f t="shared" si="46"/>
        <v>0</v>
      </c>
      <c r="K235">
        <f t="shared" si="46"/>
        <v>0</v>
      </c>
      <c r="L235">
        <f t="shared" si="46"/>
        <v>0</v>
      </c>
      <c r="M235">
        <f t="shared" si="46"/>
        <v>0</v>
      </c>
      <c r="N235">
        <f t="shared" si="46"/>
        <v>0</v>
      </c>
      <c r="O235">
        <f t="shared" si="46"/>
        <v>0</v>
      </c>
      <c r="P235">
        <f t="shared" si="46"/>
        <v>5032.1000000000004</v>
      </c>
      <c r="Q235">
        <f t="shared" si="46"/>
        <v>0</v>
      </c>
    </row>
    <row r="236" spans="1:17">
      <c r="A236" t="s">
        <v>2739</v>
      </c>
      <c r="B236" t="s">
        <v>2076</v>
      </c>
      <c r="C236" s="49">
        <f>IF(D236=0,0,IF(OR(D236&gt;P236,D236&lt;Q236),"contact vendor",F236*D236^G236+H236*LN(D236)+I236+J236*EXP(K236*D236)+L236*D236^3+M236*D236^2+N236*D236+O236))</f>
        <v>20055.27367186885</v>
      </c>
      <c r="D236">
        <f>build1_heat_mbh/build1_zones</f>
        <v>63.913219794437907</v>
      </c>
      <c r="E236" t="s">
        <v>2077</v>
      </c>
      <c r="F236">
        <f t="shared" si="46"/>
        <v>884.952743048</v>
      </c>
      <c r="G236">
        <f t="shared" si="46"/>
        <v>0.75061779799999995</v>
      </c>
      <c r="H236">
        <f t="shared" si="46"/>
        <v>0</v>
      </c>
      <c r="I236">
        <f t="shared" si="46"/>
        <v>0</v>
      </c>
      <c r="J236">
        <f t="shared" si="46"/>
        <v>0</v>
      </c>
      <c r="K236">
        <f t="shared" si="46"/>
        <v>0</v>
      </c>
      <c r="L236">
        <f t="shared" si="46"/>
        <v>0</v>
      </c>
      <c r="M236">
        <f t="shared" si="46"/>
        <v>0</v>
      </c>
      <c r="N236">
        <f t="shared" si="46"/>
        <v>0</v>
      </c>
      <c r="O236">
        <f t="shared" si="46"/>
        <v>0</v>
      </c>
      <c r="P236">
        <f t="shared" si="46"/>
        <v>5032.1000000000004</v>
      </c>
      <c r="Q236">
        <f t="shared" si="46"/>
        <v>0</v>
      </c>
    </row>
    <row r="237" spans="1:17">
      <c r="A237" t="s">
        <v>12</v>
      </c>
      <c r="B237" t="s">
        <v>2078</v>
      </c>
      <c r="C237" s="49">
        <f>IF(D237=0,0,IF(OR(D237&gt;P237,D237&lt;Q237),"contact vendor",F237*D237^G237+H237*LN(D237)+I237+J237*EXP(K237*D237)+L237*D237^3+M237*D237^2+N237*D237+O237))</f>
        <v>22923.873568235111</v>
      </c>
      <c r="D237">
        <f>build1_heat_mbh/build1_zones</f>
        <v>63.913219794437907</v>
      </c>
      <c r="E237" t="s">
        <v>2079</v>
      </c>
      <c r="F237">
        <f t="shared" si="46"/>
        <v>1161.335000027</v>
      </c>
      <c r="G237">
        <f t="shared" si="46"/>
        <v>0.71739984700000003</v>
      </c>
      <c r="H237">
        <f t="shared" si="46"/>
        <v>0</v>
      </c>
      <c r="I237">
        <f t="shared" si="46"/>
        <v>0</v>
      </c>
      <c r="J237">
        <f t="shared" si="46"/>
        <v>0</v>
      </c>
      <c r="K237">
        <f t="shared" si="46"/>
        <v>0</v>
      </c>
      <c r="L237">
        <f t="shared" si="46"/>
        <v>0</v>
      </c>
      <c r="M237">
        <f t="shared" si="46"/>
        <v>0</v>
      </c>
      <c r="N237">
        <f t="shared" si="46"/>
        <v>0</v>
      </c>
      <c r="O237">
        <f t="shared" si="46"/>
        <v>0</v>
      </c>
      <c r="P237">
        <f t="shared" si="46"/>
        <v>3350.1</v>
      </c>
      <c r="Q237">
        <f t="shared" si="46"/>
        <v>0</v>
      </c>
    </row>
    <row r="238" spans="1:17">
      <c r="A238" t="s">
        <v>13</v>
      </c>
      <c r="B238" t="s">
        <v>2080</v>
      </c>
      <c r="C238" s="49">
        <f>IF(D238=0,0,IF(OR(D238&gt;P238,D238&lt;Q238),"contact vendor",F238*D238^G238+H238*LN(D238)+I238+J238*EXP(K238*D238)+L238*D238^3+M238*D238^2+N238*D238+O238))</f>
        <v>22923.873568235111</v>
      </c>
      <c r="D238">
        <f>build1_heat_mbh/build1_zones</f>
        <v>63.913219794437907</v>
      </c>
      <c r="E238" t="s">
        <v>2081</v>
      </c>
      <c r="F238">
        <f t="shared" si="46"/>
        <v>1161.335000027</v>
      </c>
      <c r="G238">
        <f t="shared" si="46"/>
        <v>0.71739984700000003</v>
      </c>
      <c r="H238">
        <f t="shared" si="46"/>
        <v>0</v>
      </c>
      <c r="I238">
        <f t="shared" si="46"/>
        <v>0</v>
      </c>
      <c r="J238">
        <f t="shared" si="46"/>
        <v>0</v>
      </c>
      <c r="K238">
        <f t="shared" si="46"/>
        <v>0</v>
      </c>
      <c r="L238">
        <f t="shared" si="46"/>
        <v>0</v>
      </c>
      <c r="M238">
        <f t="shared" si="46"/>
        <v>0</v>
      </c>
      <c r="N238">
        <f t="shared" si="46"/>
        <v>0</v>
      </c>
      <c r="O238">
        <f t="shared" si="46"/>
        <v>0</v>
      </c>
      <c r="P238">
        <f t="shared" si="46"/>
        <v>3350.1</v>
      </c>
      <c r="Q238">
        <f t="shared" si="46"/>
        <v>0</v>
      </c>
    </row>
    <row r="239" spans="1:17">
      <c r="A239" s="99" t="s">
        <v>2082</v>
      </c>
      <c r="C239" s="596"/>
      <c r="F239" t="str">
        <f t="shared" ref="F239:Q239" si="47">IF(LEN($E239)=0,"",VLOOKUP($E239,eq_table_cl,F$7,FALSE))</f>
        <v/>
      </c>
      <c r="G239" t="str">
        <f t="shared" si="47"/>
        <v/>
      </c>
      <c r="H239" t="str">
        <f t="shared" si="47"/>
        <v/>
      </c>
      <c r="I239" t="str">
        <f t="shared" si="47"/>
        <v/>
      </c>
      <c r="J239" t="str">
        <f t="shared" si="47"/>
        <v/>
      </c>
      <c r="K239" t="str">
        <f t="shared" si="47"/>
        <v/>
      </c>
      <c r="L239" t="str">
        <f t="shared" si="47"/>
        <v/>
      </c>
      <c r="M239" t="str">
        <f t="shared" si="47"/>
        <v/>
      </c>
      <c r="N239" t="str">
        <f t="shared" si="47"/>
        <v/>
      </c>
      <c r="O239" t="str">
        <f t="shared" si="47"/>
        <v/>
      </c>
      <c r="P239" t="str">
        <f t="shared" si="47"/>
        <v/>
      </c>
      <c r="Q239" t="str">
        <f t="shared" si="47"/>
        <v/>
      </c>
    </row>
    <row r="240" spans="1:17">
      <c r="A240" t="s">
        <v>2083</v>
      </c>
      <c r="B240" t="s">
        <v>2084</v>
      </c>
      <c r="C240" s="49">
        <f>IF(D240=0,0,IF(OR(D240&gt;P240,D240&lt;Q240),"contact vendor",F240*D240^G240+H240*LN(D240)+I240+J240*EXP(K240*D240)+L240*D240^3+M240*D240^2+N240*D240+O240))</f>
        <v>9846.7536373311304</v>
      </c>
      <c r="D240">
        <f>build1_cooling_tons/build1_zones</f>
        <v>3.4207102106199141</v>
      </c>
      <c r="E240" t="s">
        <v>2085</v>
      </c>
      <c r="F240">
        <f t="shared" ref="F240:Q241" si="48">VLOOKUP($E240,eq_table_cl,F$4,FALSE)</f>
        <v>2490.0166433280001</v>
      </c>
      <c r="G240">
        <f t="shared" si="48"/>
        <v>1.117904172</v>
      </c>
      <c r="H240">
        <f t="shared" si="48"/>
        <v>0</v>
      </c>
      <c r="I240">
        <f t="shared" si="48"/>
        <v>0</v>
      </c>
      <c r="J240">
        <f t="shared" si="48"/>
        <v>0</v>
      </c>
      <c r="K240">
        <f t="shared" si="48"/>
        <v>0</v>
      </c>
      <c r="L240">
        <f t="shared" si="48"/>
        <v>0</v>
      </c>
      <c r="M240">
        <f t="shared" si="48"/>
        <v>0</v>
      </c>
      <c r="N240">
        <f t="shared" si="48"/>
        <v>0</v>
      </c>
      <c r="O240">
        <f t="shared" si="48"/>
        <v>0</v>
      </c>
      <c r="P240">
        <f t="shared" si="48"/>
        <v>113.33</v>
      </c>
      <c r="Q240">
        <f t="shared" si="48"/>
        <v>0</v>
      </c>
    </row>
    <row r="241" spans="1:17">
      <c r="A241" t="s">
        <v>855</v>
      </c>
      <c r="B241" t="s">
        <v>2086</v>
      </c>
      <c r="C241" s="49">
        <f>IF(D241=0,0,IF(OR(D241&gt;P241,D241&lt;Q241),"contact vendor",F241*D241^G241+H241*LN(D241)+I241+J241*EXP(K241*D241)+L241*D241^3+M241*D241^2+N241*D241+O241))</f>
        <v>6813.4291959534476</v>
      </c>
      <c r="D241">
        <f>build1_cooling_tons/build1_zones</f>
        <v>3.4207102106199141</v>
      </c>
      <c r="E241" t="str">
        <f>IF(D241&gt;12,"hvac_hp_eq_large","hvac_hp_eq_small")</f>
        <v>hvac_hp_eq_small</v>
      </c>
      <c r="F241">
        <f t="shared" si="48"/>
        <v>3571.6003625200001</v>
      </c>
      <c r="G241">
        <f t="shared" si="48"/>
        <v>0.52517194700000003</v>
      </c>
      <c r="H241">
        <f t="shared" si="48"/>
        <v>0</v>
      </c>
      <c r="I241">
        <f t="shared" si="48"/>
        <v>0</v>
      </c>
      <c r="J241">
        <f t="shared" si="48"/>
        <v>0</v>
      </c>
      <c r="K241">
        <f t="shared" si="48"/>
        <v>0</v>
      </c>
      <c r="L241">
        <f t="shared" si="48"/>
        <v>0</v>
      </c>
      <c r="M241">
        <f t="shared" si="48"/>
        <v>0</v>
      </c>
      <c r="N241">
        <f t="shared" si="48"/>
        <v>0</v>
      </c>
      <c r="O241">
        <f t="shared" si="48"/>
        <v>0</v>
      </c>
      <c r="P241">
        <f t="shared" si="48"/>
        <v>12</v>
      </c>
      <c r="Q241">
        <f t="shared" si="48"/>
        <v>0</v>
      </c>
    </row>
    <row r="242" spans="1:17">
      <c r="A242" s="99" t="s">
        <v>1111</v>
      </c>
      <c r="C242" s="596"/>
      <c r="F242" t="str">
        <f t="shared" ref="F242:Q242" si="49">IF(LEN($E242)=0,"",VLOOKUP($E242,eq_table_cl,F$7,FALSE))</f>
        <v/>
      </c>
      <c r="G242" t="str">
        <f t="shared" si="49"/>
        <v/>
      </c>
      <c r="H242" t="str">
        <f t="shared" si="49"/>
        <v/>
      </c>
      <c r="I242" t="str">
        <f t="shared" si="49"/>
        <v/>
      </c>
      <c r="J242" t="str">
        <f t="shared" si="49"/>
        <v/>
      </c>
      <c r="K242" t="str">
        <f t="shared" si="49"/>
        <v/>
      </c>
      <c r="L242" t="str">
        <f t="shared" si="49"/>
        <v/>
      </c>
      <c r="M242" t="str">
        <f t="shared" si="49"/>
        <v/>
      </c>
      <c r="N242" t="str">
        <f t="shared" si="49"/>
        <v/>
      </c>
      <c r="O242" t="str">
        <f t="shared" si="49"/>
        <v/>
      </c>
      <c r="P242" t="str">
        <f t="shared" si="49"/>
        <v/>
      </c>
      <c r="Q242" t="str">
        <f t="shared" si="49"/>
        <v/>
      </c>
    </row>
    <row r="243" spans="1:17">
      <c r="A243" t="s">
        <v>2062</v>
      </c>
      <c r="B243" t="s">
        <v>2087</v>
      </c>
      <c r="C243" s="49">
        <f>IF(D243=0,0,IF(OR(D243&gt;P243,D243&lt;Q243),"contact vendor",F243*D243^G243+H243*LN(D243)+I243+J243*EXP(K243*D243)+L243*D243^3+M243*D243^2+N243*D243+O243))</f>
        <v>0</v>
      </c>
      <c r="D243">
        <f>build2_fp</f>
        <v>0</v>
      </c>
      <c r="E243" t="s">
        <v>2064</v>
      </c>
      <c r="F243">
        <f t="shared" ref="F243:Q245" si="50">VLOOKUP($E243,eq_table_cl,F$4,FALSE)</f>
        <v>163.72087260199999</v>
      </c>
      <c r="G243">
        <f t="shared" si="50"/>
        <v>-9.5204622000000003E-2</v>
      </c>
      <c r="H243">
        <f t="shared" si="50"/>
        <v>0</v>
      </c>
      <c r="I243">
        <f t="shared" si="50"/>
        <v>0</v>
      </c>
      <c r="J243">
        <f t="shared" si="50"/>
        <v>0</v>
      </c>
      <c r="K243">
        <f t="shared" si="50"/>
        <v>0</v>
      </c>
      <c r="L243">
        <f t="shared" si="50"/>
        <v>0</v>
      </c>
      <c r="M243">
        <f t="shared" si="50"/>
        <v>0</v>
      </c>
      <c r="N243">
        <f t="shared" si="50"/>
        <v>0</v>
      </c>
      <c r="O243">
        <f t="shared" si="50"/>
        <v>0</v>
      </c>
      <c r="P243">
        <f t="shared" si="50"/>
        <v>200000.1</v>
      </c>
      <c r="Q243">
        <f t="shared" si="50"/>
        <v>0</v>
      </c>
    </row>
    <row r="244" spans="1:17">
      <c r="A244" t="s">
        <v>2065</v>
      </c>
      <c r="B244" t="s">
        <v>2088</v>
      </c>
      <c r="C244" s="49">
        <f>IF(D244=0,0,IF(OR(D244&gt;P244,D244&lt;Q244),"contact vendor",F244*D244^G244+H244*LN(D244)+I244+J244*EXP(K244*D244)+L244*D244^3+M244*D244^2+N244*D244+O244))</f>
        <v>0</v>
      </c>
      <c r="D244">
        <f>build2_fp</f>
        <v>0</v>
      </c>
      <c r="E244" t="s">
        <v>2067</v>
      </c>
      <c r="F244">
        <f t="shared" si="50"/>
        <v>198.02119383900001</v>
      </c>
      <c r="G244">
        <f t="shared" si="50"/>
        <v>-9.6244836E-2</v>
      </c>
      <c r="H244">
        <f t="shared" si="50"/>
        <v>0</v>
      </c>
      <c r="I244">
        <f t="shared" si="50"/>
        <v>0</v>
      </c>
      <c r="J244">
        <f t="shared" si="50"/>
        <v>0</v>
      </c>
      <c r="K244">
        <f t="shared" si="50"/>
        <v>0</v>
      </c>
      <c r="L244">
        <f t="shared" si="50"/>
        <v>0</v>
      </c>
      <c r="M244">
        <f t="shared" si="50"/>
        <v>0</v>
      </c>
      <c r="N244">
        <f t="shared" si="50"/>
        <v>0</v>
      </c>
      <c r="O244">
        <f t="shared" si="50"/>
        <v>0</v>
      </c>
      <c r="P244">
        <f t="shared" si="50"/>
        <v>200000.1</v>
      </c>
      <c r="Q244">
        <f t="shared" si="50"/>
        <v>0</v>
      </c>
    </row>
    <row r="245" spans="1:17">
      <c r="A245" t="s">
        <v>2068</v>
      </c>
      <c r="B245" t="s">
        <v>2089</v>
      </c>
      <c r="C245" s="49">
        <f>IF(D245=0,0,IF(OR(D245&gt;P245,D245&lt;Q245),"contact vendor",F245*D245^G245+H245*LN(D245)+I245+J245*EXP(K245*D245)+L245*D245^3+M245*D245^2+N245*D245+O245))</f>
        <v>0</v>
      </c>
      <c r="D245">
        <f>build2_fp</f>
        <v>0</v>
      </c>
      <c r="E245" t="s">
        <v>2070</v>
      </c>
      <c r="F245">
        <f t="shared" si="50"/>
        <v>378.41221851</v>
      </c>
      <c r="G245">
        <f t="shared" si="50"/>
        <v>-0.13671524199999999</v>
      </c>
      <c r="H245">
        <f t="shared" si="50"/>
        <v>0</v>
      </c>
      <c r="I245">
        <f t="shared" si="50"/>
        <v>0</v>
      </c>
      <c r="J245">
        <f t="shared" si="50"/>
        <v>0</v>
      </c>
      <c r="K245">
        <f t="shared" si="50"/>
        <v>0</v>
      </c>
      <c r="L245">
        <f t="shared" si="50"/>
        <v>0</v>
      </c>
      <c r="M245">
        <f t="shared" si="50"/>
        <v>0</v>
      </c>
      <c r="N245">
        <f t="shared" si="50"/>
        <v>0</v>
      </c>
      <c r="O245">
        <f t="shared" si="50"/>
        <v>0</v>
      </c>
      <c r="P245">
        <f t="shared" si="50"/>
        <v>200000.1</v>
      </c>
      <c r="Q245">
        <f t="shared" si="50"/>
        <v>0</v>
      </c>
    </row>
    <row r="246" spans="1:17">
      <c r="A246" s="99" t="s">
        <v>2071</v>
      </c>
      <c r="C246" s="596"/>
    </row>
    <row r="247" spans="1:17">
      <c r="A247" t="s">
        <v>854</v>
      </c>
      <c r="B247" t="s">
        <v>2090</v>
      </c>
      <c r="C247" s="49">
        <f>IF(D247=0,0,IF(OR(D247&gt;P247,D247&lt;Q247),"contact vendor",F247*D247^G247+H247*LN(D247)+I247+J247*EXP(K247*D247)+L247*D247^3+M247*D247^2+N247*D247+O247))</f>
        <v>0</v>
      </c>
      <c r="D247">
        <f>IF(build2_zones=0,0,build2_heat_mbh/build2_zones)</f>
        <v>0</v>
      </c>
      <c r="E247" t="s">
        <v>2073</v>
      </c>
      <c r="F247">
        <f t="shared" ref="F247:Q251" si="51">VLOOKUP($E247,eq_table_cl,F$4,FALSE)</f>
        <v>1144.4973268870001</v>
      </c>
      <c r="G247">
        <f t="shared" si="51"/>
        <v>0.76939132899999996</v>
      </c>
      <c r="H247">
        <f t="shared" si="51"/>
        <v>0</v>
      </c>
      <c r="I247">
        <f t="shared" si="51"/>
        <v>0</v>
      </c>
      <c r="J247">
        <f t="shared" si="51"/>
        <v>0</v>
      </c>
      <c r="K247">
        <f t="shared" si="51"/>
        <v>0</v>
      </c>
      <c r="L247">
        <f t="shared" si="51"/>
        <v>0</v>
      </c>
      <c r="M247">
        <f t="shared" si="51"/>
        <v>0</v>
      </c>
      <c r="N247">
        <f t="shared" si="51"/>
        <v>0</v>
      </c>
      <c r="O247">
        <f t="shared" si="51"/>
        <v>0</v>
      </c>
      <c r="P247">
        <f t="shared" si="51"/>
        <v>6148.1</v>
      </c>
      <c r="Q247">
        <f t="shared" si="51"/>
        <v>0</v>
      </c>
    </row>
    <row r="248" spans="1:17">
      <c r="A248" t="s">
        <v>856</v>
      </c>
      <c r="B248" t="s">
        <v>2091</v>
      </c>
      <c r="C248" s="49">
        <f>IF(D248=0,0,IF(OR(D248&gt;P248,D248&lt;Q248),"contact vendor",F248*D248^G248+H248*LN(D248)+I248+J248*EXP(K248*D248)+L248*D248^3+M248*D248^2+N248*D248+O248))</f>
        <v>0</v>
      </c>
      <c r="D248">
        <f>IF(build2_zones=0,0,build2_heat_mbh/build2_zones)</f>
        <v>0</v>
      </c>
      <c r="E248" t="s">
        <v>2075</v>
      </c>
      <c r="F248">
        <f t="shared" si="51"/>
        <v>884.952743048</v>
      </c>
      <c r="G248">
        <f t="shared" si="51"/>
        <v>0.75061779799999995</v>
      </c>
      <c r="H248">
        <f t="shared" si="51"/>
        <v>0</v>
      </c>
      <c r="I248">
        <f t="shared" si="51"/>
        <v>0</v>
      </c>
      <c r="J248">
        <f t="shared" si="51"/>
        <v>0</v>
      </c>
      <c r="K248">
        <f t="shared" si="51"/>
        <v>0</v>
      </c>
      <c r="L248">
        <f t="shared" si="51"/>
        <v>0</v>
      </c>
      <c r="M248">
        <f t="shared" si="51"/>
        <v>0</v>
      </c>
      <c r="N248">
        <f t="shared" si="51"/>
        <v>0</v>
      </c>
      <c r="O248">
        <f t="shared" si="51"/>
        <v>0</v>
      </c>
      <c r="P248">
        <f t="shared" si="51"/>
        <v>5032.1000000000004</v>
      </c>
      <c r="Q248">
        <f t="shared" si="51"/>
        <v>0</v>
      </c>
    </row>
    <row r="249" spans="1:17">
      <c r="A249" t="s">
        <v>2739</v>
      </c>
      <c r="B249" t="s">
        <v>2092</v>
      </c>
      <c r="C249" s="49">
        <f>IF(D249=0,0,IF(OR(D249&gt;P249,D249&lt;Q249),"contact vendor",F249*D249^G249+H249*LN(D249)+I249+J249*EXP(K249*D249)+L249*D249^3+M249*D249^2+N249*D249+O249))</f>
        <v>0</v>
      </c>
      <c r="D249">
        <f>IF(build2_zones=0,0,build2_heat_mbh/build2_zones)</f>
        <v>0</v>
      </c>
      <c r="E249" t="s">
        <v>2077</v>
      </c>
      <c r="F249">
        <f t="shared" si="51"/>
        <v>884.952743048</v>
      </c>
      <c r="G249">
        <f t="shared" si="51"/>
        <v>0.75061779799999995</v>
      </c>
      <c r="H249">
        <f t="shared" si="51"/>
        <v>0</v>
      </c>
      <c r="I249">
        <f t="shared" si="51"/>
        <v>0</v>
      </c>
      <c r="J249">
        <f t="shared" si="51"/>
        <v>0</v>
      </c>
      <c r="K249">
        <f t="shared" si="51"/>
        <v>0</v>
      </c>
      <c r="L249">
        <f t="shared" si="51"/>
        <v>0</v>
      </c>
      <c r="M249">
        <f t="shared" si="51"/>
        <v>0</v>
      </c>
      <c r="N249">
        <f t="shared" si="51"/>
        <v>0</v>
      </c>
      <c r="O249">
        <f t="shared" si="51"/>
        <v>0</v>
      </c>
      <c r="P249">
        <f t="shared" si="51"/>
        <v>5032.1000000000004</v>
      </c>
      <c r="Q249">
        <f t="shared" si="51"/>
        <v>0</v>
      </c>
    </row>
    <row r="250" spans="1:17">
      <c r="A250" t="s">
        <v>12</v>
      </c>
      <c r="B250" t="s">
        <v>2093</v>
      </c>
      <c r="C250" s="49">
        <f>IF(D250=0,0,IF(OR(D250&gt;P250,D250&lt;Q250),"contact vendor",F250*D250^G250+H250*LN(D250)+I250+J250*EXP(K250*D250)+L250*D250^3+M250*D250^2+N250*D250+O250))</f>
        <v>0</v>
      </c>
      <c r="D250">
        <f>IF(build2_zones=0,0,build2_heat_mbh/build2_zones)</f>
        <v>0</v>
      </c>
      <c r="E250" t="s">
        <v>2079</v>
      </c>
      <c r="F250">
        <f t="shared" si="51"/>
        <v>1161.335000027</v>
      </c>
      <c r="G250">
        <f t="shared" si="51"/>
        <v>0.71739984700000003</v>
      </c>
      <c r="H250">
        <f t="shared" si="51"/>
        <v>0</v>
      </c>
      <c r="I250">
        <f t="shared" si="51"/>
        <v>0</v>
      </c>
      <c r="J250">
        <f t="shared" si="51"/>
        <v>0</v>
      </c>
      <c r="K250">
        <f t="shared" si="51"/>
        <v>0</v>
      </c>
      <c r="L250">
        <f t="shared" si="51"/>
        <v>0</v>
      </c>
      <c r="M250">
        <f t="shared" si="51"/>
        <v>0</v>
      </c>
      <c r="N250">
        <f t="shared" si="51"/>
        <v>0</v>
      </c>
      <c r="O250">
        <f t="shared" si="51"/>
        <v>0</v>
      </c>
      <c r="P250">
        <f t="shared" si="51"/>
        <v>3350.1</v>
      </c>
      <c r="Q250">
        <f t="shared" si="51"/>
        <v>0</v>
      </c>
    </row>
    <row r="251" spans="1:17">
      <c r="A251" t="s">
        <v>13</v>
      </c>
      <c r="B251" t="s">
        <v>2094</v>
      </c>
      <c r="C251" s="49">
        <f>IF(D251=0,0,IF(OR(D251&gt;P251,D251&lt;Q251),"contact vendor",F251*D251^G251+H251*LN(D251)+I251+J251*EXP(K251*D251)+L251*D251^3+M251*D251^2+N251*D251+O251))</f>
        <v>0</v>
      </c>
      <c r="D251">
        <f>IF(build2_zones=0,0,build2_heat_mbh/build2_zones)</f>
        <v>0</v>
      </c>
      <c r="E251" t="s">
        <v>2081</v>
      </c>
      <c r="F251">
        <f t="shared" si="51"/>
        <v>1161.335000027</v>
      </c>
      <c r="G251">
        <f t="shared" si="51"/>
        <v>0.71739984700000003</v>
      </c>
      <c r="H251">
        <f t="shared" si="51"/>
        <v>0</v>
      </c>
      <c r="I251">
        <f t="shared" si="51"/>
        <v>0</v>
      </c>
      <c r="J251">
        <f t="shared" si="51"/>
        <v>0</v>
      </c>
      <c r="K251">
        <f t="shared" si="51"/>
        <v>0</v>
      </c>
      <c r="L251">
        <f t="shared" si="51"/>
        <v>0</v>
      </c>
      <c r="M251">
        <f t="shared" si="51"/>
        <v>0</v>
      </c>
      <c r="N251">
        <f t="shared" si="51"/>
        <v>0</v>
      </c>
      <c r="O251">
        <f t="shared" si="51"/>
        <v>0</v>
      </c>
      <c r="P251">
        <f t="shared" si="51"/>
        <v>3350.1</v>
      </c>
      <c r="Q251">
        <f t="shared" si="51"/>
        <v>0</v>
      </c>
    </row>
    <row r="252" spans="1:17">
      <c r="A252" s="99" t="s">
        <v>2082</v>
      </c>
      <c r="C252" s="596"/>
      <c r="F252" t="str">
        <f t="shared" ref="F252:Q252" si="52">IF(LEN($E252)=0,"",VLOOKUP($E252,eq_table_cl,F$7,FALSE))</f>
        <v/>
      </c>
      <c r="G252" t="str">
        <f t="shared" si="52"/>
        <v/>
      </c>
      <c r="H252" t="str">
        <f t="shared" si="52"/>
        <v/>
      </c>
      <c r="I252" t="str">
        <f t="shared" si="52"/>
        <v/>
      </c>
      <c r="J252" t="str">
        <f t="shared" si="52"/>
        <v/>
      </c>
      <c r="K252" t="str">
        <f t="shared" si="52"/>
        <v/>
      </c>
      <c r="L252" t="str">
        <f t="shared" si="52"/>
        <v/>
      </c>
      <c r="M252" t="str">
        <f t="shared" si="52"/>
        <v/>
      </c>
      <c r="N252" t="str">
        <f t="shared" si="52"/>
        <v/>
      </c>
      <c r="O252" t="str">
        <f t="shared" si="52"/>
        <v/>
      </c>
      <c r="P252" t="str">
        <f t="shared" si="52"/>
        <v/>
      </c>
      <c r="Q252" t="str">
        <f t="shared" si="52"/>
        <v/>
      </c>
    </row>
    <row r="253" spans="1:17">
      <c r="A253" t="s">
        <v>2083</v>
      </c>
      <c r="B253" t="s">
        <v>2095</v>
      </c>
      <c r="C253" s="49">
        <f>IF(D253=0,0,IF(OR(D253&gt;P253,D253&lt;Q253),"contact vendor",F253*D253^G253+H253*LN(D253)+I253+J253*EXP(K253*D253)+L253*D253^3+M253*D253^2+N253*D253+O253))</f>
        <v>0</v>
      </c>
      <c r="D253">
        <f>IF(build2_zones=0,0,build2_cooling_tons/build2_zones)</f>
        <v>0</v>
      </c>
      <c r="E253" t="s">
        <v>2085</v>
      </c>
      <c r="F253">
        <f t="shared" ref="F253:Q254" si="53">VLOOKUP($E253,eq_table_cl,F$4,FALSE)</f>
        <v>2490.0166433280001</v>
      </c>
      <c r="G253">
        <f t="shared" si="53"/>
        <v>1.117904172</v>
      </c>
      <c r="H253">
        <f t="shared" si="53"/>
        <v>0</v>
      </c>
      <c r="I253">
        <f t="shared" si="53"/>
        <v>0</v>
      </c>
      <c r="J253">
        <f t="shared" si="53"/>
        <v>0</v>
      </c>
      <c r="K253">
        <f t="shared" si="53"/>
        <v>0</v>
      </c>
      <c r="L253">
        <f t="shared" si="53"/>
        <v>0</v>
      </c>
      <c r="M253">
        <f t="shared" si="53"/>
        <v>0</v>
      </c>
      <c r="N253">
        <f t="shared" si="53"/>
        <v>0</v>
      </c>
      <c r="O253">
        <f t="shared" si="53"/>
        <v>0</v>
      </c>
      <c r="P253">
        <f t="shared" si="53"/>
        <v>113.33</v>
      </c>
      <c r="Q253">
        <f t="shared" si="53"/>
        <v>0</v>
      </c>
    </row>
    <row r="254" spans="1:17">
      <c r="A254" t="s">
        <v>855</v>
      </c>
      <c r="B254" t="s">
        <v>2096</v>
      </c>
      <c r="C254" s="49">
        <f>IF(D254=0,0,IF(OR(D254&gt;P254,D254&lt;Q254),"contact vendor",F254*D254^G254+H254*LN(D254)+I254+J254*EXP(K254*D254)+L254*D254^3+M254*D254^2+N254*D254+O254))</f>
        <v>0</v>
      </c>
      <c r="D254">
        <f>IF(build2_zones=0,0,build2_cooling_tons/build2_zones)</f>
        <v>0</v>
      </c>
      <c r="E254" t="str">
        <f>IF(D254&gt;12,"hvac_hp_eq_large","hvac_hp_eq_small")</f>
        <v>hvac_hp_eq_small</v>
      </c>
      <c r="F254">
        <f t="shared" si="53"/>
        <v>3571.6003625200001</v>
      </c>
      <c r="G254">
        <f t="shared" si="53"/>
        <v>0.52517194700000003</v>
      </c>
      <c r="H254">
        <f t="shared" si="53"/>
        <v>0</v>
      </c>
      <c r="I254">
        <f t="shared" si="53"/>
        <v>0</v>
      </c>
      <c r="J254">
        <f t="shared" si="53"/>
        <v>0</v>
      </c>
      <c r="K254">
        <f t="shared" si="53"/>
        <v>0</v>
      </c>
      <c r="L254">
        <f t="shared" si="53"/>
        <v>0</v>
      </c>
      <c r="M254">
        <f t="shared" si="53"/>
        <v>0</v>
      </c>
      <c r="N254">
        <f t="shared" si="53"/>
        <v>0</v>
      </c>
      <c r="O254">
        <f t="shared" si="53"/>
        <v>0</v>
      </c>
      <c r="P254">
        <f t="shared" si="53"/>
        <v>12</v>
      </c>
      <c r="Q254">
        <f t="shared" si="53"/>
        <v>0</v>
      </c>
    </row>
    <row r="255" spans="1:17">
      <c r="A255" s="5"/>
      <c r="C255" s="49"/>
    </row>
    <row r="256" spans="1:17">
      <c r="A256" s="21" t="s">
        <v>866</v>
      </c>
    </row>
    <row r="257" spans="1:17">
      <c r="A257" s="27" t="s">
        <v>867</v>
      </c>
      <c r="B257" s="205" t="s">
        <v>868</v>
      </c>
      <c r="C257" s="49">
        <f>IF(D257=0,0,IF(OR(D257&gt;P257,D257&lt;Q257),"contact vendor",F257*D257^G257+H257*LN(D257)+I257+J257*EXP(K257*D257)+L257*D257^3+M257*D257^2+N257*D257+O257))</f>
        <v>273.0317262246981</v>
      </c>
      <c r="D257">
        <f>filter_size</f>
        <v>1.0760000000000001</v>
      </c>
      <c r="E257" s="205" t="s">
        <v>868</v>
      </c>
      <c r="F257">
        <f t="shared" ref="F257:Q257" si="54">VLOOKUP($E257,eq_table_cl,F$4,FALSE)</f>
        <v>270.52007973799999</v>
      </c>
      <c r="G257">
        <f t="shared" si="54"/>
        <v>0.12616540600000001</v>
      </c>
      <c r="H257">
        <f t="shared" si="54"/>
        <v>0</v>
      </c>
      <c r="I257">
        <f t="shared" si="54"/>
        <v>0</v>
      </c>
      <c r="J257">
        <f t="shared" si="54"/>
        <v>0</v>
      </c>
      <c r="K257">
        <f t="shared" si="54"/>
        <v>0</v>
      </c>
      <c r="L257">
        <f t="shared" si="54"/>
        <v>0</v>
      </c>
      <c r="M257">
        <f t="shared" si="54"/>
        <v>0</v>
      </c>
      <c r="N257">
        <f t="shared" si="54"/>
        <v>0</v>
      </c>
      <c r="O257">
        <f t="shared" si="54"/>
        <v>0</v>
      </c>
      <c r="P257">
        <f t="shared" si="54"/>
        <v>5</v>
      </c>
      <c r="Q257">
        <f t="shared" si="54"/>
        <v>0</v>
      </c>
    </row>
  </sheetData>
  <phoneticPr fontId="0" type="noConversion"/>
  <pageMargins left="0.75" right="0.75" top="1" bottom="1" header="0.5" footer="0.5"/>
  <pageSetup orientation="portrait" horizontalDpi="1200" verticalDpi="12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243BE-DA38-4FC9-9536-A253ED91C671}">
  <dimension ref="A1:R65"/>
  <sheetViews>
    <sheetView workbookViewId="0">
      <pane ySplit="5" topLeftCell="A6" activePane="bottomLeft" state="frozen"/>
      <selection pane="bottomLeft"/>
    </sheetView>
  </sheetViews>
  <sheetFormatPr baseColWidth="10" defaultColWidth="8.6640625" defaultRowHeight="13"/>
  <sheetData>
    <row r="1" spans="1:18">
      <c r="A1" s="1" t="s">
        <v>4378</v>
      </c>
      <c r="B1" s="526"/>
      <c r="C1" s="562"/>
      <c r="L1" s="948"/>
      <c r="O1" s="954"/>
    </row>
    <row r="2" spans="1:18">
      <c r="A2" s="657" t="s">
        <v>2962</v>
      </c>
      <c r="B2" s="526"/>
      <c r="C2" s="562"/>
      <c r="L2" s="948"/>
      <c r="O2" s="954"/>
    </row>
    <row r="3" spans="1:18">
      <c r="C3" s="53"/>
      <c r="L3" s="948"/>
      <c r="O3" s="954"/>
    </row>
    <row r="4" spans="1:18">
      <c r="B4" s="526" t="s">
        <v>4271</v>
      </c>
      <c r="D4" t="s">
        <v>4272</v>
      </c>
      <c r="F4" t="s">
        <v>4273</v>
      </c>
      <c r="H4" t="s">
        <v>4274</v>
      </c>
      <c r="L4" s="955" t="s">
        <v>4275</v>
      </c>
      <c r="O4" s="954"/>
    </row>
    <row r="5" spans="1:18">
      <c r="A5" s="2" t="s">
        <v>746</v>
      </c>
      <c r="B5" s="2" t="s">
        <v>4276</v>
      </c>
      <c r="C5" s="2" t="s">
        <v>4277</v>
      </c>
      <c r="D5" s="2" t="s">
        <v>4278</v>
      </c>
      <c r="E5" s="2" t="s">
        <v>4279</v>
      </c>
      <c r="F5" s="2" t="s">
        <v>4280</v>
      </c>
      <c r="G5" s="2" t="s">
        <v>4281</v>
      </c>
      <c r="H5" s="2" t="s">
        <v>4282</v>
      </c>
      <c r="I5" s="2" t="s">
        <v>4283</v>
      </c>
      <c r="J5" s="2" t="s">
        <v>4284</v>
      </c>
      <c r="K5" s="2" t="s">
        <v>4285</v>
      </c>
      <c r="L5" s="956" t="s">
        <v>4286</v>
      </c>
      <c r="M5" s="2" t="s">
        <v>4287</v>
      </c>
      <c r="N5" s="2" t="s">
        <v>4288</v>
      </c>
      <c r="O5" s="957" t="s">
        <v>4289</v>
      </c>
      <c r="P5" s="2" t="s">
        <v>4290</v>
      </c>
      <c r="Q5" s="2" t="s">
        <v>4379</v>
      </c>
      <c r="R5" s="2"/>
    </row>
    <row r="6" spans="1:18">
      <c r="A6" t="s">
        <v>765</v>
      </c>
      <c r="B6" s="374">
        <v>0</v>
      </c>
      <c r="C6" s="374">
        <v>0</v>
      </c>
      <c r="D6" s="374">
        <v>0</v>
      </c>
      <c r="E6" s="374">
        <v>0</v>
      </c>
      <c r="F6" s="374">
        <v>0</v>
      </c>
      <c r="G6" s="374">
        <v>0</v>
      </c>
      <c r="H6" s="374">
        <v>0</v>
      </c>
      <c r="I6">
        <v>-6.7002999999999995E-4</v>
      </c>
      <c r="J6">
        <v>14.809014980000001</v>
      </c>
      <c r="K6">
        <v>4093.494684836</v>
      </c>
      <c r="L6" s="948">
        <v>0.16787720556525074</v>
      </c>
      <c r="N6" t="s">
        <v>4327</v>
      </c>
      <c r="O6" s="954">
        <v>0.95812431183124169</v>
      </c>
      <c r="P6">
        <v>10001</v>
      </c>
      <c r="Q6">
        <v>0</v>
      </c>
    </row>
    <row r="7" spans="1:18">
      <c r="A7" t="s">
        <v>2070</v>
      </c>
      <c r="B7">
        <v>378.41221851</v>
      </c>
      <c r="C7">
        <v>-0.13671524199999999</v>
      </c>
      <c r="D7" s="374">
        <v>0</v>
      </c>
      <c r="E7" s="374">
        <v>0</v>
      </c>
      <c r="F7" s="374">
        <v>0</v>
      </c>
      <c r="G7" s="374">
        <v>0</v>
      </c>
      <c r="H7" s="374">
        <v>0</v>
      </c>
      <c r="I7" s="374">
        <v>0</v>
      </c>
      <c r="J7" s="374">
        <v>0</v>
      </c>
      <c r="K7" s="374">
        <v>0</v>
      </c>
      <c r="L7" s="948">
        <v>4.0372546378012256E-2</v>
      </c>
      <c r="N7" t="s">
        <v>4348</v>
      </c>
      <c r="O7" s="954">
        <v>0.95319947666108407</v>
      </c>
      <c r="P7">
        <v>200000.1</v>
      </c>
      <c r="Q7">
        <v>0</v>
      </c>
    </row>
    <row r="8" spans="1:18">
      <c r="A8" t="s">
        <v>2064</v>
      </c>
      <c r="B8">
        <v>163.72087260199999</v>
      </c>
      <c r="C8">
        <v>-9.5204622000000003E-2</v>
      </c>
      <c r="D8" s="374">
        <v>0</v>
      </c>
      <c r="E8" s="374">
        <v>0</v>
      </c>
      <c r="F8" s="374">
        <v>0</v>
      </c>
      <c r="G8" s="374">
        <v>0</v>
      </c>
      <c r="H8" s="374">
        <v>0</v>
      </c>
      <c r="I8" s="374">
        <v>0</v>
      </c>
      <c r="J8" s="374">
        <v>0</v>
      </c>
      <c r="K8" s="374">
        <v>0</v>
      </c>
      <c r="L8" s="948">
        <v>2.4871309850656418E-2</v>
      </c>
      <c r="N8" t="s">
        <v>4346</v>
      </c>
      <c r="O8" s="954">
        <v>0.96700830313985342</v>
      </c>
      <c r="P8">
        <v>200000.1</v>
      </c>
      <c r="Q8">
        <v>0</v>
      </c>
    </row>
    <row r="9" spans="1:18">
      <c r="A9" t="s">
        <v>2067</v>
      </c>
      <c r="B9">
        <v>198.02119383900001</v>
      </c>
      <c r="C9">
        <v>-9.6244836E-2</v>
      </c>
      <c r="D9" s="374">
        <v>0</v>
      </c>
      <c r="E9" s="374">
        <v>0</v>
      </c>
      <c r="F9" s="374">
        <v>0</v>
      </c>
      <c r="G9" s="374">
        <v>0</v>
      </c>
      <c r="H9" s="374">
        <v>0</v>
      </c>
      <c r="I9" s="374">
        <v>0</v>
      </c>
      <c r="J9" s="374">
        <v>0</v>
      </c>
      <c r="K9" s="374">
        <v>0</v>
      </c>
      <c r="L9" s="948">
        <v>2.5881342871107462E-2</v>
      </c>
      <c r="N9" t="s">
        <v>4347</v>
      </c>
      <c r="O9" s="954">
        <v>0.96588495619097448</v>
      </c>
      <c r="P9">
        <v>200000.1</v>
      </c>
      <c r="Q9">
        <v>0</v>
      </c>
      <c r="R9" s="526"/>
    </row>
    <row r="10" spans="1:18">
      <c r="A10" t="s">
        <v>881</v>
      </c>
      <c r="B10">
        <v>17326.162772510001</v>
      </c>
      <c r="C10">
        <v>0.77884561100000005</v>
      </c>
      <c r="D10" s="374">
        <v>0</v>
      </c>
      <c r="E10" s="374">
        <v>0</v>
      </c>
      <c r="F10" s="374">
        <v>0</v>
      </c>
      <c r="G10" s="374">
        <v>0</v>
      </c>
      <c r="H10" s="374">
        <v>0</v>
      </c>
      <c r="I10" s="374">
        <v>0</v>
      </c>
      <c r="J10" s="374">
        <v>0</v>
      </c>
      <c r="K10" s="374">
        <v>0</v>
      </c>
      <c r="L10" s="948">
        <v>0.29717462490552343</v>
      </c>
      <c r="N10" t="s">
        <v>4344</v>
      </c>
      <c r="O10" s="954">
        <v>0.72136468843182233</v>
      </c>
      <c r="P10">
        <v>4.3210000000000006</v>
      </c>
      <c r="Q10">
        <v>0</v>
      </c>
    </row>
    <row r="11" spans="1:18">
      <c r="A11" t="s">
        <v>868</v>
      </c>
      <c r="B11">
        <v>270.52007973799999</v>
      </c>
      <c r="C11">
        <v>0.12616540600000001</v>
      </c>
      <c r="D11" s="374">
        <v>0</v>
      </c>
      <c r="E11" s="374">
        <v>0</v>
      </c>
      <c r="F11" s="374">
        <v>0</v>
      </c>
      <c r="G11" s="374">
        <v>0</v>
      </c>
      <c r="H11" s="374">
        <v>0</v>
      </c>
      <c r="I11" s="374">
        <v>0</v>
      </c>
      <c r="J11" s="374">
        <v>0</v>
      </c>
      <c r="K11" s="374">
        <v>0</v>
      </c>
      <c r="L11" s="948">
        <v>9.981721750723041E-2</v>
      </c>
      <c r="N11" t="s">
        <v>4345</v>
      </c>
      <c r="O11" s="954">
        <v>0.72434873143127887</v>
      </c>
      <c r="P11">
        <v>5</v>
      </c>
      <c r="Q11">
        <v>0</v>
      </c>
    </row>
    <row r="12" spans="1:18">
      <c r="A12" t="s">
        <v>4321</v>
      </c>
      <c r="B12" s="374">
        <v>0</v>
      </c>
      <c r="C12" s="374">
        <v>0</v>
      </c>
      <c r="D12" s="374">
        <v>0</v>
      </c>
      <c r="E12" s="374">
        <v>0</v>
      </c>
      <c r="F12" s="374">
        <v>0</v>
      </c>
      <c r="G12" s="374">
        <v>0</v>
      </c>
      <c r="H12">
        <v>1.500986001</v>
      </c>
      <c r="I12">
        <v>-137.11144950400001</v>
      </c>
      <c r="J12">
        <v>4591.2435827480003</v>
      </c>
      <c r="K12">
        <v>-36246.272177972001</v>
      </c>
      <c r="L12" s="948">
        <v>0.10118956633106969</v>
      </c>
      <c r="N12" t="s">
        <v>4322</v>
      </c>
      <c r="O12" s="954">
        <v>0.94922030750420328</v>
      </c>
      <c r="P12">
        <v>48.1</v>
      </c>
      <c r="Q12">
        <v>14</v>
      </c>
    </row>
    <row r="13" spans="1:18">
      <c r="A13" t="s">
        <v>4319</v>
      </c>
      <c r="B13">
        <v>221.77653215199999</v>
      </c>
      <c r="C13">
        <v>1.0463710340000001</v>
      </c>
      <c r="D13" s="374">
        <v>0</v>
      </c>
      <c r="E13" s="374">
        <v>0</v>
      </c>
      <c r="F13" s="374">
        <v>0</v>
      </c>
      <c r="G13" s="374">
        <v>0</v>
      </c>
      <c r="H13" s="374">
        <v>0</v>
      </c>
      <c r="I13" s="374">
        <v>0</v>
      </c>
      <c r="J13" s="374">
        <v>0</v>
      </c>
      <c r="K13" s="374">
        <v>0</v>
      </c>
      <c r="L13" s="948">
        <v>0.19940134150122094</v>
      </c>
      <c r="N13" t="s">
        <v>4320</v>
      </c>
      <c r="O13" s="954">
        <v>0.94954224445418201</v>
      </c>
      <c r="P13">
        <v>12</v>
      </c>
      <c r="Q13">
        <v>1</v>
      </c>
    </row>
    <row r="14" spans="1:18">
      <c r="A14" t="s">
        <v>422</v>
      </c>
      <c r="B14" s="374">
        <v>0</v>
      </c>
      <c r="C14" s="374">
        <v>0</v>
      </c>
      <c r="D14" s="374">
        <v>0</v>
      </c>
      <c r="E14" s="374">
        <v>0</v>
      </c>
      <c r="F14" s="374">
        <v>0</v>
      </c>
      <c r="G14" s="374">
        <v>0</v>
      </c>
      <c r="H14">
        <v>3.240756524</v>
      </c>
      <c r="I14">
        <v>50.118205304</v>
      </c>
      <c r="J14">
        <v>-32.545647099999996</v>
      </c>
      <c r="K14">
        <v>553.63390991000006</v>
      </c>
      <c r="L14" s="948">
        <v>0.12711337788421534</v>
      </c>
      <c r="N14" t="s">
        <v>4325</v>
      </c>
      <c r="O14" s="954">
        <v>0.95706868872522688</v>
      </c>
      <c r="P14">
        <v>24.1</v>
      </c>
      <c r="Q14">
        <v>2</v>
      </c>
    </row>
    <row r="15" spans="1:18">
      <c r="A15" t="s">
        <v>757</v>
      </c>
      <c r="B15" s="374">
        <v>0</v>
      </c>
      <c r="C15" s="374">
        <v>0</v>
      </c>
      <c r="D15" s="374">
        <v>0</v>
      </c>
      <c r="E15" s="374">
        <v>0</v>
      </c>
      <c r="F15" s="374">
        <v>0</v>
      </c>
      <c r="G15" s="374">
        <v>0</v>
      </c>
      <c r="H15" s="374">
        <v>0</v>
      </c>
      <c r="I15" s="374">
        <v>0</v>
      </c>
      <c r="J15">
        <v>1304.6120832720001</v>
      </c>
      <c r="K15">
        <v>-1165.0485677490001</v>
      </c>
      <c r="L15" s="948">
        <v>0.34948104502507477</v>
      </c>
      <c r="N15" t="s">
        <v>4313</v>
      </c>
      <c r="O15" s="954">
        <v>0.94241839597621901</v>
      </c>
      <c r="P15">
        <v>48.1</v>
      </c>
      <c r="Q15">
        <v>1</v>
      </c>
    </row>
    <row r="16" spans="1:18">
      <c r="A16" t="s">
        <v>750</v>
      </c>
      <c r="B16" s="374">
        <v>0</v>
      </c>
      <c r="C16" s="374">
        <v>0</v>
      </c>
      <c r="D16" s="374">
        <v>0</v>
      </c>
      <c r="E16" s="374">
        <v>0</v>
      </c>
      <c r="F16" s="374">
        <v>0</v>
      </c>
      <c r="G16" s="374">
        <v>0</v>
      </c>
      <c r="H16">
        <v>6.5072480000000002E-3</v>
      </c>
      <c r="I16">
        <v>0.74408816600000005</v>
      </c>
      <c r="J16">
        <v>2.9106427579999998</v>
      </c>
      <c r="K16">
        <v>0.95118725599999998</v>
      </c>
      <c r="L16" s="948">
        <v>9.2730127969551934E-2</v>
      </c>
      <c r="N16" t="s">
        <v>4304</v>
      </c>
      <c r="O16" s="954">
        <v>0.97997834929612926</v>
      </c>
      <c r="P16">
        <v>18.100000000000001</v>
      </c>
      <c r="Q16">
        <v>0</v>
      </c>
    </row>
    <row r="17" spans="1:18">
      <c r="A17" t="s">
        <v>1208</v>
      </c>
      <c r="B17">
        <v>1596.499332614</v>
      </c>
      <c r="C17">
        <v>0.45949680900000001</v>
      </c>
      <c r="D17" s="374">
        <v>0</v>
      </c>
      <c r="E17" s="374">
        <v>0</v>
      </c>
      <c r="F17" s="374">
        <v>0</v>
      </c>
      <c r="G17" s="374">
        <v>0</v>
      </c>
      <c r="H17" s="374">
        <v>0</v>
      </c>
      <c r="I17" s="374">
        <v>0</v>
      </c>
      <c r="J17" s="374">
        <v>0</v>
      </c>
      <c r="K17" s="374">
        <v>0</v>
      </c>
      <c r="L17" s="948">
        <v>0.10812247070213186</v>
      </c>
      <c r="N17" t="s">
        <v>4292</v>
      </c>
      <c r="O17" s="954">
        <v>0.98240798871887336</v>
      </c>
      <c r="P17">
        <v>27101</v>
      </c>
      <c r="Q17">
        <v>0</v>
      </c>
    </row>
    <row r="18" spans="1:18">
      <c r="A18" t="s">
        <v>1209</v>
      </c>
      <c r="B18">
        <v>1798.6988144679999</v>
      </c>
      <c r="C18">
        <v>0.42308934100000001</v>
      </c>
      <c r="D18" s="374">
        <v>0</v>
      </c>
      <c r="E18" s="374">
        <v>0</v>
      </c>
      <c r="F18" s="374">
        <v>0</v>
      </c>
      <c r="G18" s="374">
        <v>0</v>
      </c>
      <c r="H18" s="374">
        <v>0</v>
      </c>
      <c r="I18" s="374">
        <v>0</v>
      </c>
      <c r="J18" s="374">
        <v>0</v>
      </c>
      <c r="K18" s="374">
        <v>0</v>
      </c>
      <c r="L18" s="948">
        <v>0.10094397418738933</v>
      </c>
      <c r="N18" t="s">
        <v>4293</v>
      </c>
      <c r="O18" s="954">
        <v>0.98661329367737571</v>
      </c>
      <c r="P18">
        <v>27101</v>
      </c>
      <c r="Q18">
        <v>0</v>
      </c>
    </row>
    <row r="19" spans="1:18">
      <c r="A19" t="s">
        <v>2914</v>
      </c>
      <c r="B19" s="374">
        <v>0</v>
      </c>
      <c r="C19" s="374">
        <v>0</v>
      </c>
      <c r="D19" s="374">
        <v>0</v>
      </c>
      <c r="E19" s="374">
        <v>0</v>
      </c>
      <c r="F19" s="374">
        <v>0</v>
      </c>
      <c r="G19" s="374">
        <v>0</v>
      </c>
      <c r="H19" s="374">
        <v>0</v>
      </c>
      <c r="I19">
        <v>2.0171999999999999E-5</v>
      </c>
      <c r="J19">
        <v>0.19870423800000001</v>
      </c>
      <c r="K19">
        <v>2163.4462942790001</v>
      </c>
      <c r="L19" s="948">
        <v>0.11129269293675889</v>
      </c>
      <c r="N19" t="s">
        <v>4302</v>
      </c>
      <c r="O19" s="954">
        <v>0.89312285324987883</v>
      </c>
      <c r="P19">
        <v>30001</v>
      </c>
      <c r="Q19">
        <v>0</v>
      </c>
    </row>
    <row r="20" spans="1:18">
      <c r="A20" t="s">
        <v>2916</v>
      </c>
      <c r="B20">
        <v>21.046077051000001</v>
      </c>
      <c r="C20">
        <v>0.64355877500000003</v>
      </c>
      <c r="D20" s="374">
        <v>0</v>
      </c>
      <c r="E20" s="374">
        <v>0</v>
      </c>
      <c r="F20" s="374">
        <v>0</v>
      </c>
      <c r="G20" s="374">
        <v>0</v>
      </c>
      <c r="H20" s="374">
        <v>0</v>
      </c>
      <c r="I20" s="374">
        <v>0</v>
      </c>
      <c r="J20" s="374">
        <v>0</v>
      </c>
      <c r="K20" s="374">
        <v>0</v>
      </c>
      <c r="L20" s="948">
        <v>5.7718878460621133E-2</v>
      </c>
      <c r="N20" t="s">
        <v>4301</v>
      </c>
      <c r="O20" s="954">
        <v>0.98973564414699278</v>
      </c>
      <c r="P20">
        <v>30001</v>
      </c>
      <c r="Q20">
        <v>0</v>
      </c>
    </row>
    <row r="21" spans="1:18">
      <c r="A21" t="s">
        <v>754</v>
      </c>
      <c r="B21" s="958">
        <v>0</v>
      </c>
      <c r="C21" s="374">
        <v>0</v>
      </c>
      <c r="D21" s="374">
        <v>0</v>
      </c>
      <c r="E21" s="374">
        <v>0</v>
      </c>
      <c r="F21" s="374">
        <v>0</v>
      </c>
      <c r="G21" s="374">
        <v>0</v>
      </c>
      <c r="H21">
        <v>1.3009082E-2</v>
      </c>
      <c r="I21">
        <v>-0.63853567099999997</v>
      </c>
      <c r="J21">
        <v>18.152542467</v>
      </c>
      <c r="K21">
        <v>11.056607186999999</v>
      </c>
      <c r="L21" s="948">
        <v>8.2838949266919329E-2</v>
      </c>
      <c r="N21" t="s">
        <v>4303</v>
      </c>
      <c r="O21" s="954">
        <v>0.99257213725669535</v>
      </c>
      <c r="P21">
        <v>48.1</v>
      </c>
      <c r="Q21">
        <v>4</v>
      </c>
    </row>
    <row r="22" spans="1:18">
      <c r="A22" t="s">
        <v>1210</v>
      </c>
      <c r="B22">
        <v>135.281859973</v>
      </c>
      <c r="C22">
        <v>0.66222618499999997</v>
      </c>
      <c r="D22" s="374">
        <v>0</v>
      </c>
      <c r="E22" s="374">
        <v>0</v>
      </c>
      <c r="F22" s="374">
        <v>0</v>
      </c>
      <c r="G22" s="374">
        <v>0</v>
      </c>
      <c r="H22" s="374">
        <v>0</v>
      </c>
      <c r="I22" s="374">
        <v>0</v>
      </c>
      <c r="J22" s="374">
        <v>0</v>
      </c>
      <c r="K22" s="374">
        <v>0</v>
      </c>
      <c r="L22" s="948">
        <v>0.56626731611720127</v>
      </c>
      <c r="N22" t="s">
        <v>4296</v>
      </c>
      <c r="O22" s="954">
        <v>0.79467834835124995</v>
      </c>
      <c r="P22">
        <v>20001</v>
      </c>
      <c r="Q22">
        <v>0</v>
      </c>
    </row>
    <row r="23" spans="1:18">
      <c r="A23" s="526" t="s">
        <v>1227</v>
      </c>
      <c r="B23" s="526">
        <v>259.35532937099998</v>
      </c>
      <c r="C23">
        <v>0.55137656199999996</v>
      </c>
      <c r="D23" s="374">
        <v>0</v>
      </c>
      <c r="E23" s="374">
        <v>0</v>
      </c>
      <c r="F23" s="374">
        <v>0</v>
      </c>
      <c r="G23" s="374">
        <v>0</v>
      </c>
      <c r="H23" s="374">
        <v>0</v>
      </c>
      <c r="I23" s="374">
        <v>0</v>
      </c>
      <c r="J23" s="374">
        <v>0</v>
      </c>
      <c r="K23" s="374">
        <v>0</v>
      </c>
      <c r="L23" s="948">
        <v>0.37258732877875211</v>
      </c>
      <c r="N23" t="s">
        <v>4299</v>
      </c>
      <c r="O23" s="954">
        <v>0.65985747035876607</v>
      </c>
      <c r="P23">
        <v>30001</v>
      </c>
      <c r="Q23">
        <v>0</v>
      </c>
    </row>
    <row r="24" spans="1:18">
      <c r="A24" t="s">
        <v>48</v>
      </c>
      <c r="B24" s="374">
        <v>0</v>
      </c>
      <c r="C24" s="374">
        <v>0</v>
      </c>
      <c r="D24" s="374">
        <v>0</v>
      </c>
      <c r="E24" s="374">
        <v>0</v>
      </c>
      <c r="F24" s="374">
        <v>0</v>
      </c>
      <c r="G24" s="374">
        <v>0</v>
      </c>
      <c r="H24" s="374">
        <v>0</v>
      </c>
      <c r="I24">
        <v>2.2354919999999999E-3</v>
      </c>
      <c r="J24">
        <v>18.79231828</v>
      </c>
      <c r="K24">
        <v>275.54372241900001</v>
      </c>
      <c r="L24" s="959">
        <v>2.7488567290999504E-2</v>
      </c>
      <c r="N24" t="s">
        <v>4294</v>
      </c>
      <c r="O24" s="960">
        <v>0.99878194649957874</v>
      </c>
      <c r="P24">
        <v>901</v>
      </c>
      <c r="Q24">
        <v>0</v>
      </c>
    </row>
    <row r="25" spans="1:18">
      <c r="A25" t="s">
        <v>1104</v>
      </c>
      <c r="B25">
        <v>8290.9055380669997</v>
      </c>
      <c r="C25">
        <v>0.55477764500000004</v>
      </c>
      <c r="D25" s="374">
        <v>0</v>
      </c>
      <c r="E25" s="374">
        <v>0</v>
      </c>
      <c r="F25" s="374">
        <v>0</v>
      </c>
      <c r="G25" s="374">
        <v>0</v>
      </c>
      <c r="H25" s="374">
        <v>0</v>
      </c>
      <c r="I25" s="374">
        <v>0</v>
      </c>
      <c r="J25" s="374">
        <v>0</v>
      </c>
      <c r="K25" s="374">
        <v>0</v>
      </c>
      <c r="L25" s="948">
        <v>0.19098054230920467</v>
      </c>
      <c r="N25" t="s">
        <v>4338</v>
      </c>
      <c r="O25" s="954">
        <v>0.89006188636383798</v>
      </c>
      <c r="P25">
        <v>80.099999999999994</v>
      </c>
      <c r="Q25">
        <v>0</v>
      </c>
    </row>
    <row r="26" spans="1:18">
      <c r="A26" t="s">
        <v>214</v>
      </c>
      <c r="B26" s="374">
        <v>0</v>
      </c>
      <c r="C26" s="374">
        <v>0</v>
      </c>
      <c r="D26" s="374">
        <v>0</v>
      </c>
      <c r="E26" s="374">
        <v>0</v>
      </c>
      <c r="F26" s="374">
        <v>0</v>
      </c>
      <c r="G26" s="374">
        <v>0</v>
      </c>
      <c r="H26" s="374">
        <v>0</v>
      </c>
      <c r="I26">
        <v>-5.3099999999999998E-7</v>
      </c>
      <c r="J26">
        <v>0.21637999499999999</v>
      </c>
      <c r="K26">
        <v>1726.1361602259999</v>
      </c>
      <c r="L26" s="948">
        <v>0.13634459989196074</v>
      </c>
      <c r="N26" t="s">
        <v>4332</v>
      </c>
      <c r="O26" s="954">
        <v>0.88989336622886217</v>
      </c>
      <c r="P26">
        <v>108290</v>
      </c>
      <c r="Q26">
        <v>0</v>
      </c>
      <c r="R26" s="526"/>
    </row>
    <row r="27" spans="1:18">
      <c r="A27" t="s">
        <v>1211</v>
      </c>
      <c r="B27" s="374">
        <v>0</v>
      </c>
      <c r="C27" s="374">
        <v>0</v>
      </c>
      <c r="D27" s="374">
        <v>0</v>
      </c>
      <c r="E27" s="374">
        <v>0</v>
      </c>
      <c r="F27" s="374">
        <v>0</v>
      </c>
      <c r="G27" s="374">
        <v>0</v>
      </c>
      <c r="H27">
        <v>3E-9</v>
      </c>
      <c r="I27">
        <v>-4.4866E-5</v>
      </c>
      <c r="J27">
        <v>2.0973282219999998</v>
      </c>
      <c r="K27">
        <v>434.23312942000001</v>
      </c>
      <c r="L27" s="948">
        <v>0.15508350270168716</v>
      </c>
      <c r="N27" t="s">
        <v>4297</v>
      </c>
      <c r="O27" s="954">
        <v>0.89583196859918646</v>
      </c>
      <c r="P27">
        <v>16502</v>
      </c>
      <c r="Q27">
        <v>0</v>
      </c>
    </row>
    <row r="28" spans="1:18">
      <c r="A28" t="s">
        <v>2085</v>
      </c>
      <c r="B28">
        <v>2490.0166433280001</v>
      </c>
      <c r="C28">
        <v>1.117904172</v>
      </c>
      <c r="D28" s="374">
        <v>0</v>
      </c>
      <c r="E28" s="374">
        <v>0</v>
      </c>
      <c r="F28" s="374">
        <v>0</v>
      </c>
      <c r="G28" s="374">
        <v>0</v>
      </c>
      <c r="H28" s="374">
        <v>0</v>
      </c>
      <c r="I28" s="374">
        <v>0</v>
      </c>
      <c r="J28" s="374">
        <v>0</v>
      </c>
      <c r="K28" s="374">
        <v>0</v>
      </c>
      <c r="L28" s="948">
        <v>2.9060052999028089E-2</v>
      </c>
      <c r="N28" t="s">
        <v>4349</v>
      </c>
      <c r="O28" s="954">
        <v>0.99708569616381693</v>
      </c>
      <c r="P28">
        <v>113.33</v>
      </c>
      <c r="Q28">
        <v>0</v>
      </c>
    </row>
    <row r="29" spans="1:18">
      <c r="A29" t="s">
        <v>2073</v>
      </c>
      <c r="B29">
        <v>1144.4973268870001</v>
      </c>
      <c r="C29">
        <v>0.76939132899999996</v>
      </c>
      <c r="D29" s="374">
        <v>0</v>
      </c>
      <c r="E29" s="374">
        <v>0</v>
      </c>
      <c r="F29" s="374">
        <v>0</v>
      </c>
      <c r="G29" s="374">
        <v>0</v>
      </c>
      <c r="H29" s="374">
        <v>0</v>
      </c>
      <c r="I29" s="374">
        <v>0</v>
      </c>
      <c r="J29" s="374">
        <v>0</v>
      </c>
      <c r="K29" s="374">
        <v>0</v>
      </c>
      <c r="L29" s="948">
        <v>0.21824709010560447</v>
      </c>
      <c r="N29" t="s">
        <v>4350</v>
      </c>
      <c r="O29" s="954">
        <v>0.98363308354833745</v>
      </c>
      <c r="P29">
        <v>6148.1</v>
      </c>
      <c r="Q29">
        <v>0</v>
      </c>
    </row>
    <row r="30" spans="1:18">
      <c r="A30" t="s">
        <v>2077</v>
      </c>
      <c r="B30">
        <v>884.952743048</v>
      </c>
      <c r="C30">
        <v>0.75061779799999995</v>
      </c>
      <c r="D30" s="374">
        <v>0</v>
      </c>
      <c r="E30" s="374">
        <v>0</v>
      </c>
      <c r="F30" s="374">
        <v>0</v>
      </c>
      <c r="G30" s="374">
        <v>0</v>
      </c>
      <c r="H30" s="374">
        <v>0</v>
      </c>
      <c r="I30" s="374">
        <v>0</v>
      </c>
      <c r="J30" s="374">
        <v>0</v>
      </c>
      <c r="K30" s="374">
        <v>0</v>
      </c>
      <c r="L30" s="948">
        <v>0.11117046204521347</v>
      </c>
      <c r="N30" t="s">
        <v>4352</v>
      </c>
      <c r="O30" s="954">
        <v>0.97378468247658279</v>
      </c>
      <c r="P30">
        <v>5032.1000000000004</v>
      </c>
      <c r="Q30">
        <v>0</v>
      </c>
    </row>
    <row r="31" spans="1:18">
      <c r="A31" t="s">
        <v>2075</v>
      </c>
      <c r="B31">
        <v>884.952743048</v>
      </c>
      <c r="C31">
        <v>0.75061779799999995</v>
      </c>
      <c r="D31" s="374">
        <v>0</v>
      </c>
      <c r="E31" s="374">
        <v>0</v>
      </c>
      <c r="F31" s="374">
        <v>0</v>
      </c>
      <c r="G31" s="374">
        <v>0</v>
      </c>
      <c r="H31" s="374">
        <v>0</v>
      </c>
      <c r="I31" s="374">
        <v>0</v>
      </c>
      <c r="J31" s="374">
        <v>0</v>
      </c>
      <c r="K31" s="374">
        <v>0</v>
      </c>
      <c r="L31" s="948">
        <v>0.11117046204521347</v>
      </c>
      <c r="N31" t="s">
        <v>4351</v>
      </c>
      <c r="O31" s="954">
        <v>0.97378468247658279</v>
      </c>
      <c r="P31">
        <v>5032.1000000000004</v>
      </c>
      <c r="Q31">
        <v>0</v>
      </c>
      <c r="R31" s="526"/>
    </row>
    <row r="32" spans="1:18">
      <c r="A32" t="s">
        <v>4357</v>
      </c>
      <c r="B32">
        <v>2416.5109401350001</v>
      </c>
      <c r="C32">
        <v>0.81084980699999998</v>
      </c>
      <c r="D32" s="374">
        <v>0</v>
      </c>
      <c r="E32" s="374">
        <v>0</v>
      </c>
      <c r="F32" s="374">
        <v>0</v>
      </c>
      <c r="G32" s="374">
        <v>0</v>
      </c>
      <c r="H32" s="374">
        <v>0</v>
      </c>
      <c r="I32" s="374">
        <v>0</v>
      </c>
      <c r="J32" s="374">
        <v>0</v>
      </c>
      <c r="K32" s="374">
        <v>0</v>
      </c>
      <c r="L32" s="948">
        <v>6.3748011821242526E-2</v>
      </c>
      <c r="N32" t="s">
        <v>4358</v>
      </c>
      <c r="O32" s="954">
        <v>0.98438546621794643</v>
      </c>
      <c r="P32">
        <v>50.01</v>
      </c>
      <c r="Q32">
        <v>12</v>
      </c>
    </row>
    <row r="33" spans="1:18">
      <c r="A33" t="s">
        <v>4355</v>
      </c>
      <c r="B33">
        <v>3571.6003625200001</v>
      </c>
      <c r="C33">
        <v>0.52517194700000003</v>
      </c>
      <c r="D33" s="374">
        <v>0</v>
      </c>
      <c r="E33" s="374">
        <v>0</v>
      </c>
      <c r="F33" s="374">
        <v>0</v>
      </c>
      <c r="G33" s="374">
        <v>0</v>
      </c>
      <c r="H33" s="374">
        <v>0</v>
      </c>
      <c r="I33" s="374">
        <v>0</v>
      </c>
      <c r="J33" s="374">
        <v>0</v>
      </c>
      <c r="K33" s="374">
        <v>0</v>
      </c>
      <c r="L33" s="948">
        <v>0.20178190920126421</v>
      </c>
      <c r="N33" t="s">
        <v>4356</v>
      </c>
      <c r="O33" s="954">
        <v>0.80101943972733713</v>
      </c>
      <c r="P33">
        <v>12</v>
      </c>
      <c r="Q33">
        <v>0</v>
      </c>
    </row>
    <row r="34" spans="1:18">
      <c r="A34" t="s">
        <v>2081</v>
      </c>
      <c r="B34">
        <v>1161.335000027</v>
      </c>
      <c r="C34">
        <v>0.71739984700000003</v>
      </c>
      <c r="D34" s="374">
        <v>0</v>
      </c>
      <c r="E34" s="374">
        <v>0</v>
      </c>
      <c r="F34" s="374">
        <v>0</v>
      </c>
      <c r="G34" s="374">
        <v>0</v>
      </c>
      <c r="H34" s="374">
        <v>0</v>
      </c>
      <c r="I34" s="374">
        <v>0</v>
      </c>
      <c r="J34" s="374">
        <v>0</v>
      </c>
      <c r="K34" s="374">
        <v>0</v>
      </c>
      <c r="L34" s="948">
        <v>8.9610663880693747E-2</v>
      </c>
      <c r="N34" t="s">
        <v>4354</v>
      </c>
      <c r="O34" s="954">
        <v>0.98579513413093556</v>
      </c>
      <c r="P34">
        <v>3350.1</v>
      </c>
      <c r="Q34">
        <v>0</v>
      </c>
      <c r="R34" s="526"/>
    </row>
    <row r="35" spans="1:18">
      <c r="A35" t="s">
        <v>2079</v>
      </c>
      <c r="B35">
        <v>1161.335000027</v>
      </c>
      <c r="C35">
        <v>0.71739984700000003</v>
      </c>
      <c r="D35" s="374">
        <v>0</v>
      </c>
      <c r="E35" s="374">
        <v>0</v>
      </c>
      <c r="F35" s="374">
        <v>0</v>
      </c>
      <c r="G35" s="374">
        <v>0</v>
      </c>
      <c r="H35" s="374">
        <v>0</v>
      </c>
      <c r="I35" s="374">
        <v>0</v>
      </c>
      <c r="J35" s="374">
        <v>0</v>
      </c>
      <c r="K35" s="374">
        <v>0</v>
      </c>
      <c r="L35" s="948">
        <v>8.9610663880693747E-2</v>
      </c>
      <c r="N35" t="s">
        <v>4353</v>
      </c>
      <c r="O35" s="954">
        <v>0.98579513413093556</v>
      </c>
      <c r="P35">
        <v>3350.1</v>
      </c>
      <c r="Q35">
        <v>0</v>
      </c>
    </row>
    <row r="36" spans="1:18">
      <c r="A36" t="s">
        <v>2487</v>
      </c>
      <c r="B36" s="374">
        <v>0</v>
      </c>
      <c r="C36" s="374">
        <v>0</v>
      </c>
      <c r="D36" s="374">
        <v>0</v>
      </c>
      <c r="E36" s="374">
        <v>0</v>
      </c>
      <c r="F36" s="374">
        <v>0</v>
      </c>
      <c r="G36" s="374">
        <v>0</v>
      </c>
      <c r="H36" s="374">
        <v>0</v>
      </c>
      <c r="I36" s="374">
        <v>0</v>
      </c>
      <c r="J36">
        <v>1053.0249738949999</v>
      </c>
      <c r="K36">
        <v>4010.0161733059999</v>
      </c>
      <c r="L36" s="948">
        <v>6.537073818864049E-2</v>
      </c>
      <c r="N36" t="s">
        <v>4334</v>
      </c>
      <c r="O36" s="954">
        <v>0.9846598234923809</v>
      </c>
      <c r="P36">
        <v>110</v>
      </c>
      <c r="Q36">
        <v>0</v>
      </c>
    </row>
    <row r="37" spans="1:18">
      <c r="A37" t="s">
        <v>2458</v>
      </c>
      <c r="B37" s="374">
        <v>0</v>
      </c>
      <c r="C37" s="374">
        <v>0</v>
      </c>
      <c r="D37" s="374">
        <v>0</v>
      </c>
      <c r="E37" s="374">
        <v>0</v>
      </c>
      <c r="F37" s="374">
        <v>0</v>
      </c>
      <c r="G37" s="374">
        <v>0</v>
      </c>
      <c r="H37">
        <v>8.7416773000000003E-2</v>
      </c>
      <c r="I37">
        <v>3.727367106</v>
      </c>
      <c r="J37">
        <v>488.19409208000002</v>
      </c>
      <c r="K37">
        <v>3103.652214921</v>
      </c>
      <c r="L37" s="948">
        <v>0.15420855763774652</v>
      </c>
      <c r="N37" t="s">
        <v>4343</v>
      </c>
      <c r="O37" s="954">
        <v>0.95974019025607282</v>
      </c>
      <c r="P37">
        <v>36.1</v>
      </c>
      <c r="Q37">
        <v>0</v>
      </c>
    </row>
    <row r="38" spans="1:18">
      <c r="A38" t="s">
        <v>766</v>
      </c>
      <c r="B38">
        <v>3220.9800634899998</v>
      </c>
      <c r="C38">
        <v>0.14804462199999999</v>
      </c>
      <c r="D38" s="374">
        <v>0</v>
      </c>
      <c r="E38" s="374">
        <v>0</v>
      </c>
      <c r="F38" s="374">
        <v>0</v>
      </c>
      <c r="G38" s="374">
        <v>0</v>
      </c>
      <c r="H38" s="374">
        <v>0</v>
      </c>
      <c r="I38" s="374">
        <v>0</v>
      </c>
      <c r="J38" s="374">
        <v>0</v>
      </c>
      <c r="K38" s="374">
        <v>0</v>
      </c>
      <c r="L38" s="948">
        <v>0.10096714189868675</v>
      </c>
      <c r="N38" t="s">
        <v>4333</v>
      </c>
      <c r="O38" s="954">
        <v>0.57579712716736775</v>
      </c>
      <c r="P38">
        <v>4.0999999999999996</v>
      </c>
      <c r="Q38">
        <v>0</v>
      </c>
    </row>
    <row r="39" spans="1:18">
      <c r="A39" t="s">
        <v>768</v>
      </c>
      <c r="B39" s="374">
        <v>0</v>
      </c>
      <c r="C39" s="374">
        <v>0</v>
      </c>
      <c r="D39" s="374">
        <v>0</v>
      </c>
      <c r="E39" s="374">
        <v>0</v>
      </c>
      <c r="F39" s="374">
        <v>0</v>
      </c>
      <c r="G39" s="374">
        <v>0</v>
      </c>
      <c r="H39">
        <v>0.290528801</v>
      </c>
      <c r="I39">
        <v>-20.141018838000001</v>
      </c>
      <c r="J39">
        <v>567.62280550399998</v>
      </c>
      <c r="K39">
        <v>674.16116967899995</v>
      </c>
      <c r="L39" s="948">
        <v>8.7926571657932578E-2</v>
      </c>
      <c r="N39" t="s">
        <v>4340</v>
      </c>
      <c r="O39" s="954">
        <v>0.99588591793663983</v>
      </c>
      <c r="P39">
        <v>60.1</v>
      </c>
      <c r="Q39">
        <v>0</v>
      </c>
    </row>
    <row r="40" spans="1:18">
      <c r="A40" t="s">
        <v>1226</v>
      </c>
      <c r="B40" s="374">
        <v>0</v>
      </c>
      <c r="C40" s="374">
        <v>0</v>
      </c>
      <c r="D40" s="374">
        <v>0</v>
      </c>
      <c r="E40" s="374">
        <v>0</v>
      </c>
      <c r="F40" s="374">
        <v>0</v>
      </c>
      <c r="G40" s="374">
        <v>0</v>
      </c>
      <c r="H40" s="374">
        <v>0</v>
      </c>
      <c r="I40">
        <v>1.89841E-4</v>
      </c>
      <c r="J40">
        <v>1.125069329</v>
      </c>
      <c r="K40">
        <v>710.83996240299996</v>
      </c>
      <c r="L40" s="948">
        <v>0.19181540196500685</v>
      </c>
      <c r="N40" t="s">
        <v>4298</v>
      </c>
      <c r="O40" s="954">
        <v>0.9665490920876908</v>
      </c>
      <c r="P40">
        <v>6601</v>
      </c>
      <c r="Q40">
        <v>0</v>
      </c>
    </row>
    <row r="41" spans="1:18">
      <c r="A41" t="s">
        <v>1573</v>
      </c>
      <c r="B41" s="374">
        <v>0</v>
      </c>
      <c r="C41" s="374">
        <v>0</v>
      </c>
      <c r="D41" s="374">
        <v>0</v>
      </c>
      <c r="E41" s="374">
        <v>0</v>
      </c>
      <c r="F41" s="374">
        <v>0</v>
      </c>
      <c r="G41" s="374">
        <v>0</v>
      </c>
      <c r="H41">
        <v>58.028667577999997</v>
      </c>
      <c r="I41">
        <v>-159.28597623600001</v>
      </c>
      <c r="J41">
        <v>683.00808015300004</v>
      </c>
      <c r="K41">
        <v>183.51748784500001</v>
      </c>
      <c r="L41" s="948">
        <v>6.1090083245424892E-2</v>
      </c>
      <c r="N41" t="s">
        <v>4336</v>
      </c>
      <c r="O41" s="954">
        <v>0.99458339570071896</v>
      </c>
      <c r="P41">
        <v>3.1</v>
      </c>
      <c r="Q41">
        <v>0</v>
      </c>
    </row>
    <row r="42" spans="1:18">
      <c r="A42" t="s">
        <v>1105</v>
      </c>
      <c r="B42" s="374">
        <v>0</v>
      </c>
      <c r="C42" s="374">
        <v>0</v>
      </c>
      <c r="D42" s="374">
        <v>0</v>
      </c>
      <c r="E42" s="374">
        <v>0</v>
      </c>
      <c r="F42" s="374">
        <v>0</v>
      </c>
      <c r="G42" s="374">
        <v>0</v>
      </c>
      <c r="H42" s="374">
        <v>0</v>
      </c>
      <c r="I42">
        <v>-4.7059281300000002</v>
      </c>
      <c r="J42">
        <v>792.11250883399998</v>
      </c>
      <c r="K42">
        <v>23963.122303544998</v>
      </c>
      <c r="L42" s="948">
        <v>0.10384536321735356</v>
      </c>
      <c r="N42" t="s">
        <v>4339</v>
      </c>
      <c r="O42" s="954">
        <v>0.58025547997328819</v>
      </c>
      <c r="P42">
        <v>80.099999999999994</v>
      </c>
      <c r="Q42">
        <v>23</v>
      </c>
    </row>
    <row r="43" spans="1:18">
      <c r="A43" t="s">
        <v>763</v>
      </c>
      <c r="B43" s="374">
        <v>0</v>
      </c>
      <c r="C43" s="374">
        <v>0</v>
      </c>
      <c r="D43" s="374">
        <v>0</v>
      </c>
      <c r="E43" s="374">
        <v>0</v>
      </c>
      <c r="F43" s="374">
        <v>0</v>
      </c>
      <c r="G43" s="374">
        <v>0</v>
      </c>
      <c r="H43" s="374">
        <v>0</v>
      </c>
      <c r="I43">
        <v>23.867181313</v>
      </c>
      <c r="J43">
        <v>53.974127154000001</v>
      </c>
      <c r="K43">
        <v>43.165150769999997</v>
      </c>
      <c r="L43" s="948">
        <v>0.1427349787694592</v>
      </c>
      <c r="N43" t="s">
        <v>4324</v>
      </c>
      <c r="O43" s="954">
        <v>0.93375154994717469</v>
      </c>
      <c r="P43">
        <v>12.1</v>
      </c>
      <c r="Q43">
        <v>0</v>
      </c>
    </row>
    <row r="44" spans="1:18">
      <c r="A44" t="s">
        <v>4314</v>
      </c>
      <c r="B44" s="374">
        <v>0</v>
      </c>
      <c r="C44" s="374">
        <v>0</v>
      </c>
      <c r="D44" s="374">
        <v>0</v>
      </c>
      <c r="E44" s="374">
        <v>0</v>
      </c>
      <c r="F44" s="374">
        <v>0</v>
      </c>
      <c r="G44" s="374">
        <v>0</v>
      </c>
      <c r="H44" s="374">
        <v>0</v>
      </c>
      <c r="I44" s="374">
        <v>0</v>
      </c>
      <c r="J44">
        <v>2553.3443597519999</v>
      </c>
      <c r="K44">
        <v>-25690.347540136001</v>
      </c>
      <c r="L44" s="948">
        <v>0.1288535088310907</v>
      </c>
      <c r="N44" t="s">
        <v>4315</v>
      </c>
      <c r="O44" s="954">
        <v>0.81137657813383668</v>
      </c>
      <c r="P44">
        <v>24.1</v>
      </c>
      <c r="Q44">
        <v>14</v>
      </c>
    </row>
    <row r="45" spans="1:18">
      <c r="A45" t="s">
        <v>4316</v>
      </c>
      <c r="B45" s="374">
        <v>0</v>
      </c>
      <c r="C45" s="374">
        <v>0</v>
      </c>
      <c r="D45" s="374">
        <v>0</v>
      </c>
      <c r="E45" s="374">
        <v>0</v>
      </c>
      <c r="F45" s="374">
        <v>0</v>
      </c>
      <c r="G45" s="374">
        <v>0</v>
      </c>
      <c r="H45" s="374">
        <v>0</v>
      </c>
      <c r="I45">
        <v>12.117823524</v>
      </c>
      <c r="J45">
        <v>45.057729000000002</v>
      </c>
      <c r="K45">
        <v>112.997449909</v>
      </c>
      <c r="L45" s="948">
        <v>0.25566288048231928</v>
      </c>
      <c r="N45" t="s">
        <v>4317</v>
      </c>
      <c r="O45" s="954">
        <v>0.86317684069618528</v>
      </c>
      <c r="P45">
        <v>12</v>
      </c>
      <c r="Q45">
        <v>0</v>
      </c>
      <c r="R45" s="526"/>
    </row>
    <row r="46" spans="1:18">
      <c r="A46" t="s">
        <v>4308</v>
      </c>
      <c r="B46" s="374">
        <v>0</v>
      </c>
      <c r="C46" s="374">
        <v>0</v>
      </c>
      <c r="D46" s="374">
        <v>0</v>
      </c>
      <c r="E46" s="374">
        <v>0</v>
      </c>
      <c r="F46" s="374">
        <v>0</v>
      </c>
      <c r="G46" s="374">
        <v>0</v>
      </c>
      <c r="H46" s="374">
        <v>0</v>
      </c>
      <c r="I46" s="374">
        <v>0</v>
      </c>
      <c r="J46">
        <v>2443.3800723099998</v>
      </c>
      <c r="K46">
        <v>-21582.792424030999</v>
      </c>
      <c r="L46" s="948">
        <v>0.10606175481157647</v>
      </c>
      <c r="N46" t="s">
        <v>4309</v>
      </c>
      <c r="O46" s="954">
        <v>0.84845770106442142</v>
      </c>
      <c r="P46">
        <v>24.1</v>
      </c>
      <c r="Q46">
        <v>14</v>
      </c>
    </row>
    <row r="47" spans="1:18">
      <c r="A47" t="s">
        <v>4310</v>
      </c>
      <c r="B47" s="374">
        <v>0</v>
      </c>
      <c r="C47" s="374">
        <v>0</v>
      </c>
      <c r="D47" s="374">
        <v>0</v>
      </c>
      <c r="E47" s="374">
        <v>0</v>
      </c>
      <c r="F47">
        <v>599.000620282</v>
      </c>
      <c r="G47">
        <v>0.18198897</v>
      </c>
      <c r="H47" s="374">
        <v>0</v>
      </c>
      <c r="I47" s="374">
        <v>0</v>
      </c>
      <c r="J47" s="374">
        <v>0</v>
      </c>
      <c r="K47" s="374">
        <v>0</v>
      </c>
      <c r="L47" s="948">
        <v>0.1044259768556962</v>
      </c>
      <c r="N47" t="s">
        <v>4311</v>
      </c>
      <c r="O47" s="954">
        <v>0.97980463453751598</v>
      </c>
      <c r="P47">
        <v>12</v>
      </c>
      <c r="Q47">
        <v>0</v>
      </c>
    </row>
    <row r="48" spans="1:18">
      <c r="A48" t="s">
        <v>2456</v>
      </c>
      <c r="B48" s="374">
        <v>0</v>
      </c>
      <c r="C48" s="374">
        <v>0</v>
      </c>
      <c r="D48" s="374">
        <v>0</v>
      </c>
      <c r="E48" s="374">
        <v>0</v>
      </c>
      <c r="F48" s="374">
        <v>0</v>
      </c>
      <c r="G48" s="374">
        <v>0</v>
      </c>
      <c r="H48">
        <v>0.48667437299999999</v>
      </c>
      <c r="I48">
        <v>-19.177375645000001</v>
      </c>
      <c r="J48">
        <v>593.88035160699997</v>
      </c>
      <c r="K48">
        <v>1500.545795131</v>
      </c>
      <c r="L48" s="948">
        <v>4.521517984937741E-2</v>
      </c>
      <c r="N48" t="s">
        <v>4342</v>
      </c>
      <c r="O48" s="954">
        <v>0.99578400826432001</v>
      </c>
      <c r="P48">
        <v>36.1</v>
      </c>
      <c r="Q48">
        <v>0</v>
      </c>
      <c r="R48" s="526"/>
    </row>
    <row r="49" spans="1:18">
      <c r="A49" t="s">
        <v>1224</v>
      </c>
      <c r="B49" s="374">
        <v>0</v>
      </c>
      <c r="C49" s="374">
        <v>0</v>
      </c>
      <c r="D49" s="374">
        <v>0</v>
      </c>
      <c r="E49" s="374">
        <v>0</v>
      </c>
      <c r="F49" s="374">
        <v>0</v>
      </c>
      <c r="G49" s="374">
        <v>0</v>
      </c>
      <c r="H49" s="374">
        <v>0</v>
      </c>
      <c r="I49">
        <v>-6.7002999999999995E-4</v>
      </c>
      <c r="J49">
        <v>14.809014980000001</v>
      </c>
      <c r="K49">
        <v>4093.494684836</v>
      </c>
      <c r="L49" s="948">
        <v>0.16787720556525074</v>
      </c>
      <c r="N49" t="s">
        <v>4326</v>
      </c>
      <c r="O49" s="954">
        <v>0.95812431183124169</v>
      </c>
      <c r="P49">
        <v>10001</v>
      </c>
      <c r="Q49">
        <v>0</v>
      </c>
    </row>
    <row r="50" spans="1:18">
      <c r="A50" t="s">
        <v>2855</v>
      </c>
      <c r="B50" s="374">
        <v>0</v>
      </c>
      <c r="C50" s="374">
        <v>0</v>
      </c>
      <c r="D50" s="374">
        <v>0</v>
      </c>
      <c r="E50" s="374">
        <v>0</v>
      </c>
      <c r="F50">
        <v>1147.9723958510001</v>
      </c>
      <c r="G50">
        <v>5.4740779000000003E-2</v>
      </c>
      <c r="H50" s="374">
        <v>0</v>
      </c>
      <c r="I50" s="374">
        <v>0</v>
      </c>
      <c r="J50" s="374">
        <v>0</v>
      </c>
      <c r="K50" s="374">
        <v>0</v>
      </c>
      <c r="L50" s="948">
        <v>0.39676137270947814</v>
      </c>
      <c r="N50" t="s">
        <v>4330</v>
      </c>
      <c r="O50" s="954">
        <v>0.62162919975925868</v>
      </c>
      <c r="P50">
        <v>21.01</v>
      </c>
      <c r="Q50">
        <v>0</v>
      </c>
    </row>
    <row r="51" spans="1:18">
      <c r="A51" t="s">
        <v>2854</v>
      </c>
      <c r="B51" s="374">
        <v>0</v>
      </c>
      <c r="C51" s="374">
        <v>0</v>
      </c>
      <c r="D51" s="374">
        <v>0</v>
      </c>
      <c r="E51" s="374">
        <v>0</v>
      </c>
      <c r="F51" s="374">
        <v>0</v>
      </c>
      <c r="G51" s="374">
        <v>0</v>
      </c>
      <c r="H51">
        <v>5.8459699999999996E-4</v>
      </c>
      <c r="I51">
        <v>-0.31291286000000001</v>
      </c>
      <c r="J51">
        <v>58.800444323000001</v>
      </c>
      <c r="K51">
        <v>3000.5306602579999</v>
      </c>
      <c r="L51" s="948">
        <v>5.9121223134457057E-2</v>
      </c>
      <c r="N51" t="s">
        <v>4328</v>
      </c>
      <c r="O51" s="954">
        <v>0.95805697100435294</v>
      </c>
      <c r="P51">
        <v>132.01</v>
      </c>
      <c r="Q51">
        <v>0</v>
      </c>
    </row>
    <row r="52" spans="1:18">
      <c r="A52" t="s">
        <v>751</v>
      </c>
      <c r="B52" s="374">
        <v>0</v>
      </c>
      <c r="C52" s="374">
        <v>0</v>
      </c>
      <c r="D52" s="374">
        <v>0</v>
      </c>
      <c r="E52" s="374">
        <v>0</v>
      </c>
      <c r="F52" s="374">
        <v>0</v>
      </c>
      <c r="G52" s="374">
        <v>0</v>
      </c>
      <c r="H52" s="374">
        <v>0</v>
      </c>
      <c r="I52">
        <v>9.7106987000000006E-2</v>
      </c>
      <c r="J52">
        <v>0.800977414</v>
      </c>
      <c r="K52">
        <v>1.427719425</v>
      </c>
      <c r="L52" s="948">
        <v>0.19469475172443332</v>
      </c>
      <c r="N52" s="961" t="s">
        <v>4305</v>
      </c>
      <c r="O52" s="954">
        <v>0.99750218963449888</v>
      </c>
      <c r="P52">
        <v>48.1</v>
      </c>
      <c r="Q52">
        <v>0</v>
      </c>
    </row>
    <row r="53" spans="1:18">
      <c r="A53" t="s">
        <v>2784</v>
      </c>
      <c r="B53" s="374">
        <v>0</v>
      </c>
      <c r="C53" s="374">
        <v>0</v>
      </c>
      <c r="D53" s="374">
        <v>0</v>
      </c>
      <c r="E53" s="374">
        <v>0</v>
      </c>
      <c r="F53" s="374">
        <v>0</v>
      </c>
      <c r="G53" s="374">
        <v>0</v>
      </c>
      <c r="H53" s="374">
        <v>0</v>
      </c>
      <c r="I53">
        <v>22.470786887999999</v>
      </c>
      <c r="J53">
        <v>2229.8918400309999</v>
      </c>
      <c r="K53">
        <v>-1911.930587201</v>
      </c>
      <c r="L53" s="948">
        <v>0.10253211443061497</v>
      </c>
      <c r="N53" t="s">
        <v>4337</v>
      </c>
      <c r="O53" s="954">
        <v>0.97755716442117768</v>
      </c>
      <c r="P53">
        <v>8.1</v>
      </c>
      <c r="Q53">
        <v>1.5</v>
      </c>
    </row>
    <row r="54" spans="1:18">
      <c r="A54" t="s">
        <v>764</v>
      </c>
      <c r="B54" s="374">
        <v>0</v>
      </c>
      <c r="C54" s="374">
        <v>0</v>
      </c>
      <c r="D54" s="374">
        <v>0</v>
      </c>
      <c r="E54" s="374">
        <v>0</v>
      </c>
      <c r="F54" s="374">
        <v>0</v>
      </c>
      <c r="G54" s="374">
        <v>0</v>
      </c>
      <c r="H54" s="374">
        <v>0</v>
      </c>
      <c r="I54">
        <v>43.739370735000001</v>
      </c>
      <c r="J54">
        <v>186.790998664</v>
      </c>
      <c r="K54">
        <v>114.073407746</v>
      </c>
      <c r="L54" s="948">
        <v>0.22117751729640323</v>
      </c>
      <c r="N54" t="s">
        <v>4323</v>
      </c>
      <c r="O54" s="954">
        <v>0.98072611838110124</v>
      </c>
      <c r="P54">
        <v>48.1</v>
      </c>
      <c r="Q54">
        <v>0</v>
      </c>
      <c r="R54" s="526"/>
    </row>
    <row r="55" spans="1:18">
      <c r="A55" t="s">
        <v>2903</v>
      </c>
      <c r="B55">
        <v>57.021589231</v>
      </c>
      <c r="C55">
        <v>0.72932539100000005</v>
      </c>
      <c r="D55" s="374">
        <v>0</v>
      </c>
      <c r="E55" s="374">
        <v>0</v>
      </c>
      <c r="F55" s="374">
        <v>0</v>
      </c>
      <c r="G55" s="374">
        <v>0</v>
      </c>
      <c r="H55" s="374">
        <v>0</v>
      </c>
      <c r="I55" s="374">
        <v>0</v>
      </c>
      <c r="J55" s="374">
        <v>0</v>
      </c>
      <c r="K55" s="374">
        <v>0</v>
      </c>
      <c r="L55" s="948">
        <v>6.872076181729754E-2</v>
      </c>
      <c r="N55" t="s">
        <v>4300</v>
      </c>
      <c r="O55" s="954">
        <v>0.99494997588312595</v>
      </c>
      <c r="P55">
        <v>30001</v>
      </c>
      <c r="Q55">
        <v>0</v>
      </c>
    </row>
    <row r="56" spans="1:18">
      <c r="A56" t="s">
        <v>1571</v>
      </c>
      <c r="B56" s="374">
        <v>0</v>
      </c>
      <c r="C56" s="374">
        <v>0</v>
      </c>
      <c r="D56" s="374">
        <v>0</v>
      </c>
      <c r="E56" s="374">
        <v>0</v>
      </c>
      <c r="F56" s="374">
        <v>0</v>
      </c>
      <c r="G56" s="374">
        <v>0</v>
      </c>
      <c r="H56" s="374">
        <v>0</v>
      </c>
      <c r="I56">
        <v>105.819723995</v>
      </c>
      <c r="J56">
        <v>942.98182962299995</v>
      </c>
      <c r="K56">
        <v>192.17148511400001</v>
      </c>
      <c r="L56" s="948">
        <v>0.22220942710385491</v>
      </c>
      <c r="N56" t="s">
        <v>4335</v>
      </c>
      <c r="O56" s="954">
        <v>0.81497591957524407</v>
      </c>
      <c r="P56">
        <v>8.1</v>
      </c>
      <c r="Q56">
        <v>0</v>
      </c>
    </row>
    <row r="57" spans="1:18">
      <c r="A57" t="s">
        <v>2859</v>
      </c>
      <c r="B57">
        <v>2305.9222008940001</v>
      </c>
      <c r="C57">
        <v>0.140989643</v>
      </c>
      <c r="D57" s="374">
        <v>0</v>
      </c>
      <c r="E57" s="374">
        <v>0</v>
      </c>
      <c r="F57" s="374">
        <v>0</v>
      </c>
      <c r="G57" s="374">
        <v>0</v>
      </c>
      <c r="H57" s="374">
        <v>0</v>
      </c>
      <c r="I57" s="374">
        <v>0</v>
      </c>
      <c r="J57" s="374">
        <v>0</v>
      </c>
      <c r="K57" s="374">
        <v>0</v>
      </c>
      <c r="L57" s="948">
        <v>0.19379304652600138</v>
      </c>
      <c r="N57" t="s">
        <v>4331</v>
      </c>
      <c r="O57" s="954">
        <v>0.40093386922936991</v>
      </c>
      <c r="P57">
        <v>21.01</v>
      </c>
      <c r="Q57">
        <v>0</v>
      </c>
    </row>
    <row r="58" spans="1:18">
      <c r="A58" t="s">
        <v>761</v>
      </c>
      <c r="B58">
        <v>271.98316458599999</v>
      </c>
      <c r="C58">
        <v>0.92578415199999997</v>
      </c>
      <c r="D58" s="374">
        <v>0</v>
      </c>
      <c r="E58" s="374">
        <v>0</v>
      </c>
      <c r="F58" s="374">
        <v>0</v>
      </c>
      <c r="G58" s="374">
        <v>0</v>
      </c>
      <c r="H58" s="374">
        <v>0</v>
      </c>
      <c r="I58" s="374">
        <v>0</v>
      </c>
      <c r="J58" s="374">
        <v>0</v>
      </c>
      <c r="K58" s="374">
        <v>0</v>
      </c>
      <c r="L58" s="948">
        <v>0.19376804452462798</v>
      </c>
      <c r="N58" t="s">
        <v>4318</v>
      </c>
      <c r="O58" s="954">
        <v>0.8807162518733741</v>
      </c>
      <c r="P58">
        <v>12.1</v>
      </c>
      <c r="Q58">
        <v>0</v>
      </c>
    </row>
    <row r="59" spans="1:18">
      <c r="A59" t="s">
        <v>2858</v>
      </c>
      <c r="B59" s="374">
        <v>0</v>
      </c>
      <c r="C59" s="374">
        <v>0</v>
      </c>
      <c r="D59" s="374">
        <v>0</v>
      </c>
      <c r="E59" s="374">
        <v>0</v>
      </c>
      <c r="F59" s="374">
        <v>0</v>
      </c>
      <c r="G59" s="374">
        <v>0</v>
      </c>
      <c r="H59" s="374">
        <v>0</v>
      </c>
      <c r="I59">
        <v>-0.19761578099999999</v>
      </c>
      <c r="J59">
        <v>60.928056216999998</v>
      </c>
      <c r="K59">
        <v>3430.8004552430002</v>
      </c>
      <c r="L59" s="948">
        <v>5.3382527173068531E-2</v>
      </c>
      <c r="N59" t="s">
        <v>4329</v>
      </c>
      <c r="O59" s="954">
        <v>0.97321402756132269</v>
      </c>
      <c r="P59">
        <v>132.01</v>
      </c>
      <c r="Q59">
        <v>0</v>
      </c>
    </row>
    <row r="60" spans="1:18">
      <c r="A60" t="s">
        <v>755</v>
      </c>
      <c r="B60" s="374">
        <v>0</v>
      </c>
      <c r="C60" s="374">
        <v>0</v>
      </c>
      <c r="D60" s="374">
        <v>0</v>
      </c>
      <c r="E60" s="374">
        <v>0</v>
      </c>
      <c r="F60" s="374">
        <v>0</v>
      </c>
      <c r="G60" s="374">
        <v>0</v>
      </c>
      <c r="H60">
        <v>1.4813451259999999</v>
      </c>
      <c r="I60">
        <v>44.575825872999999</v>
      </c>
      <c r="J60">
        <v>-42.850924452000001</v>
      </c>
      <c r="K60">
        <v>1429.5852851469999</v>
      </c>
      <c r="L60" s="948">
        <v>0.27548354444948392</v>
      </c>
      <c r="N60" t="s">
        <v>4312</v>
      </c>
      <c r="O60" s="954">
        <v>0.93859465845858792</v>
      </c>
      <c r="P60">
        <v>48.1</v>
      </c>
      <c r="Q60">
        <v>0</v>
      </c>
    </row>
    <row r="61" spans="1:18">
      <c r="A61" t="s">
        <v>752</v>
      </c>
      <c r="B61" s="374">
        <v>0</v>
      </c>
      <c r="C61" s="374">
        <v>0</v>
      </c>
      <c r="D61" s="374">
        <v>0</v>
      </c>
      <c r="E61" s="374">
        <v>0</v>
      </c>
      <c r="F61" s="374">
        <v>0</v>
      </c>
      <c r="G61" s="374">
        <v>0</v>
      </c>
      <c r="H61">
        <v>4.8585111E-2</v>
      </c>
      <c r="I61">
        <v>-2.5845256220000001</v>
      </c>
      <c r="J61">
        <v>58.928328317999998</v>
      </c>
      <c r="K61">
        <v>-12.466035675000001</v>
      </c>
      <c r="L61" s="948">
        <v>0.25605913422579951</v>
      </c>
      <c r="N61" t="s">
        <v>4306</v>
      </c>
      <c r="O61" s="954">
        <v>0.93646598728443631</v>
      </c>
      <c r="P61">
        <v>48.1</v>
      </c>
      <c r="Q61">
        <v>0</v>
      </c>
    </row>
    <row r="62" spans="1:18">
      <c r="A62" t="s">
        <v>747</v>
      </c>
      <c r="B62" s="374">
        <v>0</v>
      </c>
      <c r="C62" s="374">
        <v>0</v>
      </c>
      <c r="D62" s="374">
        <v>0</v>
      </c>
      <c r="E62" s="374">
        <v>0</v>
      </c>
      <c r="F62" s="374">
        <v>0</v>
      </c>
      <c r="G62" s="374">
        <v>0</v>
      </c>
      <c r="H62">
        <v>4.0000000000000001E-8</v>
      </c>
      <c r="I62">
        <v>-1.6522430000000001E-3</v>
      </c>
      <c r="J62">
        <v>26.487093706</v>
      </c>
      <c r="K62">
        <v>28673.43064482</v>
      </c>
      <c r="L62" s="948">
        <v>0.14140922623004518</v>
      </c>
      <c r="N62" t="s">
        <v>4291</v>
      </c>
      <c r="O62" s="954">
        <v>0.98549217500950392</v>
      </c>
      <c r="P62">
        <v>27101</v>
      </c>
      <c r="Q62">
        <v>0</v>
      </c>
    </row>
    <row r="63" spans="1:18">
      <c r="A63" t="s">
        <v>749</v>
      </c>
      <c r="B63">
        <v>308.93713092600001</v>
      </c>
      <c r="C63">
        <v>0.50146757099999995</v>
      </c>
      <c r="D63" s="374">
        <v>0</v>
      </c>
      <c r="E63" s="374">
        <v>0</v>
      </c>
      <c r="F63" s="374">
        <v>0</v>
      </c>
      <c r="G63" s="374">
        <v>0</v>
      </c>
      <c r="H63" s="374">
        <v>0</v>
      </c>
      <c r="I63" s="374">
        <v>0</v>
      </c>
      <c r="J63" s="374">
        <v>0</v>
      </c>
      <c r="K63" s="374">
        <v>0</v>
      </c>
      <c r="L63" s="948">
        <v>0.20490922198574954</v>
      </c>
      <c r="N63" t="s">
        <v>4295</v>
      </c>
      <c r="O63" s="954">
        <v>0.95117028776390522</v>
      </c>
      <c r="P63">
        <v>289001</v>
      </c>
      <c r="Q63">
        <v>0</v>
      </c>
    </row>
    <row r="64" spans="1:18">
      <c r="A64" t="s">
        <v>753</v>
      </c>
      <c r="B64">
        <v>20.769417377</v>
      </c>
      <c r="C64">
        <v>0.92382198999999998</v>
      </c>
      <c r="D64" s="374">
        <v>0</v>
      </c>
      <c r="E64" s="374">
        <v>0</v>
      </c>
      <c r="F64" s="374">
        <v>0</v>
      </c>
      <c r="G64" s="374">
        <v>0</v>
      </c>
      <c r="H64" s="374">
        <v>0</v>
      </c>
      <c r="I64" s="374">
        <v>0</v>
      </c>
      <c r="J64" s="374">
        <v>0</v>
      </c>
      <c r="K64" s="374">
        <v>0</v>
      </c>
      <c r="L64" s="948">
        <v>0.42911927902362179</v>
      </c>
      <c r="N64" t="s">
        <v>4307</v>
      </c>
      <c r="O64" s="954">
        <v>0.39930452928082849</v>
      </c>
      <c r="P64">
        <v>48.1</v>
      </c>
      <c r="Q64">
        <v>0</v>
      </c>
    </row>
    <row r="65" spans="1:17">
      <c r="A65" t="s">
        <v>2457</v>
      </c>
      <c r="B65" s="374">
        <v>0</v>
      </c>
      <c r="C65" s="374">
        <v>0</v>
      </c>
      <c r="D65" s="374">
        <v>0</v>
      </c>
      <c r="E65" s="374">
        <v>0</v>
      </c>
      <c r="F65" s="374">
        <v>0</v>
      </c>
      <c r="G65" s="374">
        <v>0</v>
      </c>
      <c r="H65">
        <v>-8.9659137E-2</v>
      </c>
      <c r="I65">
        <v>7.3814192910000003</v>
      </c>
      <c r="J65">
        <v>135.40877886999999</v>
      </c>
      <c r="K65">
        <v>2010.462068774</v>
      </c>
      <c r="L65" s="948">
        <v>7.9589033678493251E-2</v>
      </c>
      <c r="N65" t="s">
        <v>4341</v>
      </c>
      <c r="O65" s="954">
        <v>0.98202299755210409</v>
      </c>
      <c r="P65">
        <v>48.1</v>
      </c>
      <c r="Q65">
        <v>0</v>
      </c>
    </row>
  </sheetData>
  <sortState xmlns:xlrd2="http://schemas.microsoft.com/office/spreadsheetml/2017/richdata2" ref="A6:Q65">
    <sortCondition ref="A6:A65"/>
  </sortState>
  <phoneticPr fontId="84" type="noConversion"/>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7235-C74D-4485-AC35-7848053C50D7}">
  <dimension ref="A1:O297"/>
  <sheetViews>
    <sheetView workbookViewId="0">
      <pane ySplit="2" topLeftCell="A3" activePane="bottomLeft" state="frozen"/>
      <selection pane="bottomLeft"/>
    </sheetView>
  </sheetViews>
  <sheetFormatPr baseColWidth="10" defaultColWidth="8.66406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8">
      <c r="A1" s="1" t="s">
        <v>4071</v>
      </c>
    </row>
    <row r="2" spans="1:8">
      <c r="A2" s="657" t="s">
        <v>4375</v>
      </c>
    </row>
    <row r="4" spans="1:8">
      <c r="A4" s="1" t="s">
        <v>4072</v>
      </c>
      <c r="B4" s="526"/>
      <c r="C4" s="526"/>
      <c r="D4" s="526"/>
      <c r="E4" s="526"/>
    </row>
    <row r="5" spans="1:8">
      <c r="A5" t="s">
        <v>4073</v>
      </c>
      <c r="B5" t="s">
        <v>4074</v>
      </c>
      <c r="C5" t="s">
        <v>4075</v>
      </c>
    </row>
    <row r="6" spans="1:8">
      <c r="A6" s="945">
        <v>0</v>
      </c>
      <c r="B6" t="s">
        <v>4076</v>
      </c>
      <c r="C6" s="946">
        <v>0.09</v>
      </c>
    </row>
    <row r="7" spans="1:8">
      <c r="A7" s="945">
        <v>250000</v>
      </c>
      <c r="B7" t="s">
        <v>4077</v>
      </c>
      <c r="C7" s="946">
        <v>0.08</v>
      </c>
    </row>
    <row r="8" spans="1:8">
      <c r="A8" s="945">
        <v>500000</v>
      </c>
      <c r="B8" t="s">
        <v>4078</v>
      </c>
      <c r="C8" s="946">
        <v>7.0000000000000007E-2</v>
      </c>
    </row>
    <row r="9" spans="1:8">
      <c r="A9" s="945">
        <v>1000000</v>
      </c>
      <c r="B9" t="s">
        <v>4079</v>
      </c>
      <c r="C9" s="946">
        <v>6.2E-2</v>
      </c>
    </row>
    <row r="10" spans="1:8">
      <c r="A10" s="945">
        <v>5000000</v>
      </c>
      <c r="B10" t="s">
        <v>4080</v>
      </c>
      <c r="C10" s="946">
        <v>5.2999999999999999E-2</v>
      </c>
    </row>
    <row r="11" spans="1:8">
      <c r="A11" s="945">
        <v>10000000</v>
      </c>
      <c r="B11" t="s">
        <v>4081</v>
      </c>
      <c r="C11" s="946">
        <v>4.9000000000000002E-2</v>
      </c>
    </row>
    <row r="12" spans="1:8">
      <c r="A12" s="945">
        <v>50000000</v>
      </c>
      <c r="B12" t="s">
        <v>4082</v>
      </c>
      <c r="C12" s="946">
        <v>4.4999999999999998E-2</v>
      </c>
    </row>
    <row r="15" spans="1:8">
      <c r="A15" s="1" t="s">
        <v>4083</v>
      </c>
      <c r="E15" s="376"/>
      <c r="F15" s="376"/>
      <c r="H15" s="6" t="s">
        <v>4377</v>
      </c>
    </row>
    <row r="16" spans="1:8">
      <c r="A16" s="44" t="s">
        <v>4084</v>
      </c>
      <c r="B16" s="44" t="s">
        <v>4085</v>
      </c>
      <c r="C16" s="44" t="s">
        <v>4086</v>
      </c>
      <c r="D16" s="44" t="s">
        <v>4087</v>
      </c>
      <c r="E16" s="44" t="s">
        <v>4088</v>
      </c>
      <c r="F16" s="44" t="s">
        <v>4089</v>
      </c>
      <c r="G16" s="44" t="s">
        <v>4090</v>
      </c>
      <c r="H16" s="44"/>
    </row>
    <row r="17" spans="1:7">
      <c r="A17">
        <v>0</v>
      </c>
      <c r="B17">
        <v>0.05</v>
      </c>
      <c r="C17" s="9">
        <v>15</v>
      </c>
      <c r="D17" s="9">
        <v>15</v>
      </c>
      <c r="E17">
        <v>1.25</v>
      </c>
      <c r="F17">
        <v>1.25</v>
      </c>
      <c r="G17">
        <v>1</v>
      </c>
    </row>
    <row r="18" spans="1:7">
      <c r="A18">
        <v>5.0999999999999997E-2</v>
      </c>
      <c r="B18">
        <v>0.1</v>
      </c>
      <c r="C18" s="9">
        <v>15</v>
      </c>
      <c r="D18" s="9">
        <v>15</v>
      </c>
      <c r="E18">
        <v>1.25</v>
      </c>
      <c r="F18">
        <v>1.25</v>
      </c>
      <c r="G18">
        <v>1</v>
      </c>
    </row>
    <row r="19" spans="1:7">
      <c r="A19">
        <v>0.10100000000000001</v>
      </c>
      <c r="B19">
        <v>0.2</v>
      </c>
      <c r="C19" s="9">
        <v>18</v>
      </c>
      <c r="D19" s="9">
        <v>18</v>
      </c>
      <c r="E19">
        <v>1.5</v>
      </c>
      <c r="F19">
        <v>1.5</v>
      </c>
      <c r="G19">
        <v>1</v>
      </c>
    </row>
    <row r="20" spans="1:7">
      <c r="A20">
        <v>0.20100000000000001</v>
      </c>
      <c r="B20">
        <v>0.5</v>
      </c>
      <c r="C20" s="9">
        <v>25</v>
      </c>
      <c r="D20" s="9">
        <v>25</v>
      </c>
      <c r="E20">
        <v>2.0833333333333335</v>
      </c>
      <c r="F20">
        <v>2.0833333333333335</v>
      </c>
      <c r="G20">
        <v>3</v>
      </c>
    </row>
    <row r="21" spans="1:7">
      <c r="A21">
        <v>0.501</v>
      </c>
      <c r="B21">
        <v>1</v>
      </c>
      <c r="C21" s="9">
        <v>32</v>
      </c>
      <c r="D21" s="9">
        <v>32</v>
      </c>
      <c r="E21">
        <v>2.6666666666666665</v>
      </c>
      <c r="F21">
        <v>2.6666666666666665</v>
      </c>
      <c r="G21">
        <v>5</v>
      </c>
    </row>
    <row r="22" spans="1:7">
      <c r="A22">
        <v>1.0009999999999999</v>
      </c>
      <c r="B22">
        <v>2</v>
      </c>
      <c r="C22" s="9">
        <v>42</v>
      </c>
      <c r="D22" s="9">
        <v>42</v>
      </c>
      <c r="E22">
        <v>3.5</v>
      </c>
      <c r="F22">
        <v>3.5</v>
      </c>
      <c r="G22">
        <v>8</v>
      </c>
    </row>
    <row r="23" spans="1:7">
      <c r="A23">
        <v>2.0009999999999999</v>
      </c>
      <c r="B23">
        <v>5</v>
      </c>
      <c r="C23" s="9">
        <v>92.95</v>
      </c>
      <c r="D23" s="9">
        <v>22</v>
      </c>
      <c r="E23">
        <v>7.7458333333333336</v>
      </c>
      <c r="F23">
        <v>1.8333333333333333</v>
      </c>
      <c r="G23">
        <v>20</v>
      </c>
    </row>
    <row r="26" spans="1:7">
      <c r="A26" s="1" t="s">
        <v>4091</v>
      </c>
    </row>
    <row r="27" spans="1:7">
      <c r="A27" s="2" t="s">
        <v>3628</v>
      </c>
      <c r="B27" s="2" t="s">
        <v>4092</v>
      </c>
      <c r="C27" s="2" t="s">
        <v>279</v>
      </c>
    </row>
    <row r="28" spans="1:7" ht="14">
      <c r="A28" s="526" t="s">
        <v>3636</v>
      </c>
      <c r="B28" s="53">
        <v>50000</v>
      </c>
      <c r="C28" s="526" t="s">
        <v>264</v>
      </c>
      <c r="D28" s="947" t="s">
        <v>4093</v>
      </c>
      <c r="E28" s="947"/>
    </row>
    <row r="29" spans="1:7" ht="14">
      <c r="A29" s="526" t="s">
        <v>4094</v>
      </c>
      <c r="B29" s="53">
        <v>50000</v>
      </c>
      <c r="C29" s="526" t="s">
        <v>264</v>
      </c>
      <c r="D29" s="947" t="s">
        <v>4095</v>
      </c>
      <c r="E29" s="947"/>
    </row>
    <row r="30" spans="1:7" ht="14">
      <c r="A30" s="526" t="s">
        <v>3637</v>
      </c>
      <c r="B30" s="53">
        <v>0</v>
      </c>
      <c r="C30" s="526" t="s">
        <v>264</v>
      </c>
      <c r="D30" s="947" t="s">
        <v>4096</v>
      </c>
    </row>
    <row r="31" spans="1:7" ht="14">
      <c r="A31" s="526" t="s">
        <v>3638</v>
      </c>
      <c r="B31" s="53">
        <v>2000</v>
      </c>
      <c r="C31" s="526" t="s">
        <v>264</v>
      </c>
      <c r="D31" s="947" t="s">
        <v>4097</v>
      </c>
    </row>
    <row r="32" spans="1:7" ht="14">
      <c r="A32" s="526" t="s">
        <v>4098</v>
      </c>
      <c r="B32" s="53">
        <v>2000</v>
      </c>
      <c r="C32" s="526" t="s">
        <v>264</v>
      </c>
      <c r="D32" s="947" t="s">
        <v>4095</v>
      </c>
    </row>
    <row r="33" spans="1:4" ht="14">
      <c r="A33" s="526" t="s">
        <v>3639</v>
      </c>
      <c r="B33" s="53">
        <v>0</v>
      </c>
      <c r="C33" s="526" t="s">
        <v>264</v>
      </c>
      <c r="D33" s="947" t="s">
        <v>4099</v>
      </c>
    </row>
    <row r="34" spans="1:4" ht="14">
      <c r="A34" s="526" t="s">
        <v>3645</v>
      </c>
      <c r="B34" s="53">
        <v>2000</v>
      </c>
      <c r="C34" s="526" t="s">
        <v>264</v>
      </c>
      <c r="D34" s="947" t="s">
        <v>4100</v>
      </c>
    </row>
    <row r="35" spans="1:4" ht="14">
      <c r="A35" s="526" t="s">
        <v>3646</v>
      </c>
      <c r="B35" s="53">
        <v>500</v>
      </c>
      <c r="C35" s="526" t="s">
        <v>264</v>
      </c>
      <c r="D35" s="947" t="s">
        <v>4101</v>
      </c>
    </row>
    <row r="36" spans="1:4" ht="14">
      <c r="A36" s="526" t="s">
        <v>3647</v>
      </c>
      <c r="B36" s="53">
        <v>0</v>
      </c>
      <c r="C36" s="526" t="s">
        <v>264</v>
      </c>
      <c r="D36" s="947" t="s">
        <v>4102</v>
      </c>
    </row>
    <row r="37" spans="1:4" ht="14">
      <c r="A37" s="526" t="s">
        <v>3648</v>
      </c>
      <c r="B37" s="53">
        <v>17710</v>
      </c>
      <c r="C37" s="526" t="s">
        <v>264</v>
      </c>
      <c r="D37" s="947" t="s">
        <v>4103</v>
      </c>
    </row>
    <row r="38" spans="1:4" ht="14">
      <c r="A38" s="526" t="s">
        <v>3649</v>
      </c>
      <c r="B38" s="53">
        <v>1771</v>
      </c>
      <c r="C38" s="526" t="s">
        <v>264</v>
      </c>
      <c r="D38" s="947" t="s">
        <v>4104</v>
      </c>
    </row>
    <row r="39" spans="1:4" ht="14">
      <c r="A39" s="526" t="s">
        <v>3650</v>
      </c>
      <c r="B39" s="53">
        <v>0</v>
      </c>
      <c r="C39" s="526" t="s">
        <v>264</v>
      </c>
      <c r="D39" s="947" t="s">
        <v>4105</v>
      </c>
    </row>
    <row r="40" spans="1:4" ht="14">
      <c r="A40" s="526" t="s">
        <v>3651</v>
      </c>
      <c r="B40" s="53">
        <v>50000</v>
      </c>
      <c r="C40" s="526" t="s">
        <v>264</v>
      </c>
      <c r="D40" s="947" t="s">
        <v>4106</v>
      </c>
    </row>
    <row r="41" spans="1:4" ht="14">
      <c r="A41" s="526" t="s">
        <v>4107</v>
      </c>
      <c r="B41" s="53">
        <v>50000</v>
      </c>
      <c r="C41" s="526" t="s">
        <v>264</v>
      </c>
      <c r="D41" s="947" t="s">
        <v>4095</v>
      </c>
    </row>
    <row r="42" spans="1:4" ht="14">
      <c r="A42" s="526" t="s">
        <v>3652</v>
      </c>
      <c r="B42" s="53">
        <v>0</v>
      </c>
      <c r="C42" s="526" t="s">
        <v>264</v>
      </c>
      <c r="D42" s="947" t="s">
        <v>4108</v>
      </c>
    </row>
    <row r="43" spans="1:4" ht="14">
      <c r="A43" s="526" t="s">
        <v>3653</v>
      </c>
      <c r="B43" s="562">
        <v>1</v>
      </c>
      <c r="C43" s="526" t="s">
        <v>2283</v>
      </c>
      <c r="D43" s="947" t="s">
        <v>4109</v>
      </c>
    </row>
    <row r="44" spans="1:4" ht="14">
      <c r="A44" s="526" t="s">
        <v>3654</v>
      </c>
      <c r="B44" s="562">
        <v>0.5</v>
      </c>
      <c r="C44" s="526" t="s">
        <v>2283</v>
      </c>
      <c r="D44" s="947" t="s">
        <v>4110</v>
      </c>
    </row>
    <row r="45" spans="1:4" ht="14">
      <c r="A45" s="526" t="s">
        <v>3655</v>
      </c>
      <c r="B45" s="53">
        <v>0</v>
      </c>
      <c r="C45" s="526" t="s">
        <v>2283</v>
      </c>
      <c r="D45" s="947" t="s">
        <v>4111</v>
      </c>
    </row>
    <row r="46" spans="1:4" ht="14">
      <c r="A46" s="526" t="s">
        <v>3658</v>
      </c>
      <c r="B46" s="53">
        <v>44000</v>
      </c>
      <c r="C46" s="526" t="s">
        <v>264</v>
      </c>
      <c r="D46" s="947" t="s">
        <v>4112</v>
      </c>
    </row>
    <row r="47" spans="1:4" ht="14">
      <c r="A47" s="526" t="s">
        <v>3659</v>
      </c>
      <c r="B47" s="53">
        <v>3621.75</v>
      </c>
      <c r="C47" s="526" t="s">
        <v>264</v>
      </c>
      <c r="D47" s="947" t="s">
        <v>4113</v>
      </c>
    </row>
    <row r="48" spans="1:4" ht="14">
      <c r="A48" s="526" t="s">
        <v>3660</v>
      </c>
      <c r="B48" s="53">
        <v>0</v>
      </c>
      <c r="C48" s="526" t="s">
        <v>264</v>
      </c>
      <c r="D48" s="947"/>
    </row>
    <row r="49" spans="1:4" ht="14">
      <c r="A49" s="526" t="s">
        <v>3661</v>
      </c>
      <c r="B49" s="53">
        <v>44000</v>
      </c>
      <c r="C49" s="526" t="s">
        <v>264</v>
      </c>
      <c r="D49" s="947" t="s">
        <v>4112</v>
      </c>
    </row>
    <row r="50" spans="1:4" ht="14">
      <c r="A50" s="526" t="s">
        <v>4114</v>
      </c>
      <c r="B50" s="53">
        <v>44000</v>
      </c>
      <c r="C50" s="526" t="s">
        <v>264</v>
      </c>
      <c r="D50" s="947" t="s">
        <v>4095</v>
      </c>
    </row>
    <row r="51" spans="1:4" ht="14">
      <c r="A51" s="526" t="s">
        <v>3662</v>
      </c>
      <c r="B51" s="53">
        <v>0</v>
      </c>
      <c r="C51" s="526" t="s">
        <v>264</v>
      </c>
      <c r="D51" s="947"/>
    </row>
    <row r="52" spans="1:4" ht="14">
      <c r="A52" s="526" t="s">
        <v>3663</v>
      </c>
      <c r="B52" s="53">
        <v>19800</v>
      </c>
      <c r="C52" t="s">
        <v>264</v>
      </c>
      <c r="D52" s="947" t="s">
        <v>4115</v>
      </c>
    </row>
    <row r="53" spans="1:4" ht="14">
      <c r="A53" s="526" t="s">
        <v>4116</v>
      </c>
      <c r="B53" s="53">
        <v>5445</v>
      </c>
      <c r="C53" t="s">
        <v>264</v>
      </c>
      <c r="D53" s="947" t="s">
        <v>4095</v>
      </c>
    </row>
    <row r="54" spans="1:4" ht="14">
      <c r="A54" s="526" t="s">
        <v>3664</v>
      </c>
      <c r="B54" s="53">
        <v>0</v>
      </c>
      <c r="C54" t="s">
        <v>264</v>
      </c>
      <c r="D54" s="947" t="s">
        <v>4117</v>
      </c>
    </row>
    <row r="55" spans="1:4" ht="14">
      <c r="A55" t="s">
        <v>3670</v>
      </c>
      <c r="B55" s="53">
        <v>27500</v>
      </c>
      <c r="C55" t="s">
        <v>264</v>
      </c>
      <c r="D55" s="947" t="s">
        <v>4118</v>
      </c>
    </row>
    <row r="56" spans="1:4" ht="14">
      <c r="A56" t="s">
        <v>3671</v>
      </c>
      <c r="B56" s="53">
        <v>5000</v>
      </c>
      <c r="C56" t="s">
        <v>264</v>
      </c>
      <c r="D56" s="947" t="s">
        <v>4119</v>
      </c>
    </row>
    <row r="57" spans="1:4" ht="14">
      <c r="A57" t="s">
        <v>3672</v>
      </c>
      <c r="B57" s="53">
        <v>0</v>
      </c>
      <c r="C57" t="s">
        <v>264</v>
      </c>
      <c r="D57" s="947" t="s">
        <v>4120</v>
      </c>
    </row>
    <row r="58" spans="1:4" ht="14">
      <c r="A58" s="526" t="s">
        <v>3676</v>
      </c>
      <c r="B58" s="53">
        <v>25436.999999999996</v>
      </c>
      <c r="C58" t="s">
        <v>264</v>
      </c>
      <c r="D58" s="947" t="s">
        <v>4121</v>
      </c>
    </row>
    <row r="59" spans="1:4" ht="14">
      <c r="A59" s="526" t="s">
        <v>3677</v>
      </c>
      <c r="B59" s="53">
        <v>5000</v>
      </c>
      <c r="C59" t="s">
        <v>264</v>
      </c>
      <c r="D59" s="947" t="s">
        <v>4122</v>
      </c>
    </row>
    <row r="60" spans="1:4" ht="14">
      <c r="A60" s="526" t="s">
        <v>3678</v>
      </c>
      <c r="B60" s="53">
        <v>0</v>
      </c>
      <c r="C60" t="s">
        <v>264</v>
      </c>
      <c r="D60" s="947" t="s">
        <v>4123</v>
      </c>
    </row>
    <row r="61" spans="1:4" ht="14">
      <c r="A61" s="526" t="s">
        <v>3679</v>
      </c>
      <c r="B61" s="53">
        <v>21317.039999999997</v>
      </c>
      <c r="C61" t="s">
        <v>264</v>
      </c>
      <c r="D61" s="947" t="s">
        <v>4124</v>
      </c>
    </row>
    <row r="62" spans="1:4" ht="14">
      <c r="A62" s="526" t="s">
        <v>3680</v>
      </c>
      <c r="B62" s="53">
        <v>4000</v>
      </c>
      <c r="C62" t="s">
        <v>264</v>
      </c>
      <c r="D62" s="947" t="s">
        <v>4125</v>
      </c>
    </row>
    <row r="63" spans="1:4" ht="14">
      <c r="A63" s="526" t="s">
        <v>3681</v>
      </c>
      <c r="B63" s="53">
        <v>0</v>
      </c>
      <c r="C63" t="s">
        <v>264</v>
      </c>
      <c r="D63" s="947"/>
    </row>
    <row r="64" spans="1:4" ht="14">
      <c r="A64" t="s">
        <v>3682</v>
      </c>
      <c r="B64" s="53">
        <v>2000</v>
      </c>
      <c r="C64" t="s">
        <v>1131</v>
      </c>
      <c r="D64" s="947" t="s">
        <v>4126</v>
      </c>
    </row>
    <row r="65" spans="1:5" ht="14">
      <c r="A65" t="s">
        <v>3683</v>
      </c>
      <c r="B65" s="53">
        <v>550</v>
      </c>
      <c r="C65" t="s">
        <v>1131</v>
      </c>
      <c r="D65" s="947" t="s">
        <v>4127</v>
      </c>
    </row>
    <row r="66" spans="1:5" ht="14">
      <c r="A66" t="s">
        <v>3684</v>
      </c>
      <c r="B66" s="53">
        <v>0</v>
      </c>
      <c r="C66" t="s">
        <v>1131</v>
      </c>
      <c r="D66" s="947" t="s">
        <v>4128</v>
      </c>
    </row>
    <row r="67" spans="1:5" ht="14">
      <c r="A67" s="526" t="s">
        <v>3685</v>
      </c>
      <c r="B67" s="53">
        <v>28427.723999999998</v>
      </c>
      <c r="C67" s="526" t="s">
        <v>264</v>
      </c>
      <c r="D67" s="947" t="s">
        <v>4129</v>
      </c>
    </row>
    <row r="68" spans="1:5" ht="14">
      <c r="A68" s="526" t="s">
        <v>4130</v>
      </c>
      <c r="B68" s="53">
        <v>28427.723999999998</v>
      </c>
      <c r="C68" s="526" t="s">
        <v>264</v>
      </c>
      <c r="D68" s="947" t="s">
        <v>4095</v>
      </c>
    </row>
    <row r="69" spans="1:5" ht="14">
      <c r="A69" s="526" t="s">
        <v>3686</v>
      </c>
      <c r="B69" s="53">
        <v>0</v>
      </c>
      <c r="C69" s="526" t="s">
        <v>264</v>
      </c>
      <c r="D69" s="947"/>
    </row>
    <row r="70" spans="1:5" ht="14">
      <c r="A70" t="s">
        <v>3688</v>
      </c>
      <c r="B70" s="53">
        <v>2000</v>
      </c>
      <c r="C70" t="s">
        <v>1131</v>
      </c>
      <c r="D70" s="947" t="s">
        <v>4131</v>
      </c>
    </row>
    <row r="71" spans="1:5" ht="14">
      <c r="A71" t="s">
        <v>3689</v>
      </c>
      <c r="B71" s="53">
        <v>500</v>
      </c>
      <c r="C71" t="s">
        <v>1131</v>
      </c>
      <c r="D71" s="947" t="s">
        <v>4132</v>
      </c>
    </row>
    <row r="72" spans="1:5" ht="14">
      <c r="A72" t="s">
        <v>3690</v>
      </c>
      <c r="B72" s="53">
        <v>0</v>
      </c>
      <c r="C72" t="s">
        <v>1131</v>
      </c>
      <c r="D72" s="947" t="s">
        <v>4123</v>
      </c>
    </row>
    <row r="75" spans="1:5">
      <c r="A75" s="1" t="s">
        <v>4133</v>
      </c>
      <c r="B75" s="526"/>
      <c r="C75" s="526"/>
      <c r="D75" s="526"/>
      <c r="E75" s="526"/>
    </row>
    <row r="76" spans="1:5">
      <c r="A76" t="s">
        <v>4073</v>
      </c>
      <c r="B76" t="s">
        <v>4074</v>
      </c>
      <c r="C76" t="s">
        <v>1901</v>
      </c>
    </row>
    <row r="77" spans="1:5">
      <c r="A77" s="945">
        <v>0</v>
      </c>
      <c r="B77" t="s">
        <v>4134</v>
      </c>
      <c r="C77" s="946">
        <v>0.1</v>
      </c>
    </row>
    <row r="78" spans="1:5">
      <c r="A78" s="945">
        <v>100000</v>
      </c>
      <c r="B78" t="s">
        <v>4135</v>
      </c>
      <c r="C78" s="946">
        <v>0.09</v>
      </c>
    </row>
    <row r="79" spans="1:5">
      <c r="A79" s="945">
        <v>250000</v>
      </c>
      <c r="B79" t="s">
        <v>4136</v>
      </c>
      <c r="C79" s="946">
        <v>0.06</v>
      </c>
    </row>
    <row r="80" spans="1:5">
      <c r="A80" s="945">
        <v>1000000</v>
      </c>
      <c r="B80" t="s">
        <v>4079</v>
      </c>
      <c r="C80" s="946">
        <v>0.05</v>
      </c>
    </row>
    <row r="81" spans="1:5">
      <c r="A81" s="945">
        <v>5000000</v>
      </c>
      <c r="B81" t="s">
        <v>4080</v>
      </c>
      <c r="C81" s="946">
        <v>0.04</v>
      </c>
    </row>
    <row r="82" spans="1:5">
      <c r="A82" s="945">
        <v>10000000</v>
      </c>
      <c r="B82" t="s">
        <v>4137</v>
      </c>
      <c r="C82" s="946">
        <v>3.2000000000000001E-2</v>
      </c>
    </row>
    <row r="85" spans="1:5">
      <c r="A85" s="1" t="s">
        <v>4138</v>
      </c>
      <c r="B85" s="526"/>
      <c r="C85" s="526"/>
      <c r="D85" s="526"/>
      <c r="E85" s="526"/>
    </row>
    <row r="86" spans="1:5">
      <c r="A86" t="s">
        <v>4139</v>
      </c>
      <c r="B86" t="s">
        <v>4074</v>
      </c>
      <c r="C86" t="s">
        <v>4140</v>
      </c>
    </row>
    <row r="87" spans="1:5">
      <c r="A87" s="945">
        <v>0</v>
      </c>
      <c r="B87" s="44" t="s">
        <v>4141</v>
      </c>
      <c r="C87" s="948">
        <v>6.7000000000000004E-2</v>
      </c>
      <c r="E87" s="948"/>
    </row>
    <row r="88" spans="1:5">
      <c r="A88" s="945">
        <v>500000</v>
      </c>
      <c r="B88" s="44" t="s">
        <v>4142</v>
      </c>
      <c r="C88" s="948">
        <v>5.8000000000000003E-2</v>
      </c>
      <c r="E88" s="948"/>
    </row>
    <row r="89" spans="1:5">
      <c r="A89" s="945">
        <v>3000000</v>
      </c>
      <c r="B89" s="44" t="s">
        <v>4143</v>
      </c>
      <c r="C89" s="948">
        <v>4.9000000000000002E-2</v>
      </c>
      <c r="E89" s="948"/>
    </row>
    <row r="90" spans="1:5">
      <c r="A90" s="945">
        <v>15000000</v>
      </c>
      <c r="B90" s="44" t="s">
        <v>4144</v>
      </c>
      <c r="C90" s="948">
        <v>4.1000000000000002E-2</v>
      </c>
      <c r="E90" s="948"/>
    </row>
    <row r="91" spans="1:5">
      <c r="A91" s="945">
        <v>50000000</v>
      </c>
      <c r="B91" s="44" t="s">
        <v>4145</v>
      </c>
      <c r="C91" s="948">
        <v>3.2000000000000001E-2</v>
      </c>
      <c r="E91" s="948"/>
    </row>
    <row r="92" spans="1:5">
      <c r="A92" s="945">
        <v>100000000</v>
      </c>
      <c r="B92" s="44" t="s">
        <v>4146</v>
      </c>
      <c r="C92" s="948">
        <v>5.8000000000000003E-2</v>
      </c>
      <c r="E92" s="948"/>
    </row>
    <row r="95" spans="1:5">
      <c r="A95" s="1" t="s">
        <v>4147</v>
      </c>
    </row>
    <row r="96" spans="1:5">
      <c r="A96" s="1" t="s">
        <v>4148</v>
      </c>
      <c r="B96" s="1" t="s">
        <v>4149</v>
      </c>
    </row>
    <row r="97" spans="1:4">
      <c r="A97">
        <v>0</v>
      </c>
      <c r="B97">
        <v>1.5</v>
      </c>
      <c r="C97" s="6" t="s">
        <v>4376</v>
      </c>
    </row>
    <row r="98" spans="1:4">
      <c r="A98" s="721">
        <v>6.95</v>
      </c>
      <c r="B98">
        <v>2</v>
      </c>
      <c r="C98" s="53"/>
    </row>
    <row r="99" spans="1:4">
      <c r="A99" s="721">
        <v>13.1</v>
      </c>
      <c r="B99">
        <v>2.5</v>
      </c>
      <c r="C99" s="53"/>
    </row>
    <row r="100" spans="1:4">
      <c r="A100" s="721">
        <v>22.2</v>
      </c>
      <c r="B100">
        <v>3</v>
      </c>
      <c r="C100" s="53"/>
    </row>
    <row r="101" spans="1:4">
      <c r="A101" s="721">
        <v>33</v>
      </c>
      <c r="B101">
        <v>4</v>
      </c>
      <c r="C101" s="53"/>
    </row>
    <row r="102" spans="1:4">
      <c r="A102" s="721">
        <v>39.200000000000003</v>
      </c>
      <c r="B102">
        <v>6</v>
      </c>
      <c r="C102" s="53"/>
    </row>
    <row r="103" spans="1:4">
      <c r="A103" s="721">
        <v>53.5</v>
      </c>
      <c r="B103">
        <v>8</v>
      </c>
      <c r="C103" s="53"/>
    </row>
    <row r="106" spans="1:4">
      <c r="A106" t="s">
        <v>4150</v>
      </c>
      <c r="B106" s="3" t="s">
        <v>4151</v>
      </c>
      <c r="C106">
        <v>50</v>
      </c>
      <c r="D106" t="s">
        <v>2283</v>
      </c>
    </row>
    <row r="109" spans="1:4">
      <c r="A109" t="s">
        <v>4152</v>
      </c>
      <c r="B109" s="3" t="s">
        <v>4153</v>
      </c>
      <c r="C109">
        <v>200</v>
      </c>
      <c r="D109" t="s">
        <v>2038</v>
      </c>
    </row>
    <row r="112" spans="1:4">
      <c r="A112" t="s">
        <v>4154</v>
      </c>
      <c r="B112" s="3" t="s">
        <v>4155</v>
      </c>
      <c r="C112">
        <v>113.32</v>
      </c>
      <c r="D112" t="s">
        <v>2283</v>
      </c>
    </row>
    <row r="115" spans="1:4">
      <c r="A115" t="s">
        <v>4156</v>
      </c>
      <c r="B115" s="3" t="s">
        <v>4157</v>
      </c>
      <c r="C115">
        <v>6148</v>
      </c>
      <c r="D115" t="s">
        <v>2038</v>
      </c>
    </row>
    <row r="118" spans="1:4">
      <c r="A118" t="s">
        <v>4158</v>
      </c>
      <c r="B118" s="3" t="s">
        <v>4159</v>
      </c>
      <c r="C118">
        <v>14</v>
      </c>
      <c r="D118" t="s">
        <v>2843</v>
      </c>
    </row>
    <row r="121" spans="1:4">
      <c r="A121" t="s">
        <v>4160</v>
      </c>
      <c r="B121" s="3" t="s">
        <v>4161</v>
      </c>
      <c r="C121">
        <v>1.5</v>
      </c>
      <c r="D121" t="s">
        <v>2843</v>
      </c>
    </row>
    <row r="124" spans="1:4">
      <c r="A124" s="1" t="s">
        <v>4162</v>
      </c>
    </row>
    <row r="125" spans="1:4">
      <c r="A125" t="s">
        <v>4163</v>
      </c>
      <c r="B125" t="s">
        <v>4164</v>
      </c>
      <c r="C125" t="s">
        <v>4165</v>
      </c>
      <c r="D125" t="s">
        <v>4166</v>
      </c>
    </row>
    <row r="126" spans="1:4">
      <c r="A126" s="949">
        <v>0.02</v>
      </c>
      <c r="B126">
        <v>0.1704</v>
      </c>
      <c r="C126">
        <v>20.41</v>
      </c>
      <c r="D126">
        <v>1.0209999999999999</v>
      </c>
    </row>
    <row r="127" spans="1:4">
      <c r="A127" s="949">
        <v>0.04</v>
      </c>
      <c r="B127">
        <v>0.34810000000000002</v>
      </c>
      <c r="C127">
        <v>41.71</v>
      </c>
      <c r="D127">
        <v>1.0429999999999999</v>
      </c>
    </row>
    <row r="128" spans="1:4">
      <c r="A128" s="949">
        <v>0.06</v>
      </c>
      <c r="B128">
        <v>0.53320000000000001</v>
      </c>
      <c r="C128">
        <v>63.89</v>
      </c>
      <c r="D128">
        <v>1.0649999999999999</v>
      </c>
    </row>
    <row r="129" spans="1:4">
      <c r="A129" s="949">
        <v>0.08</v>
      </c>
      <c r="B129">
        <v>0.72560000000000002</v>
      </c>
      <c r="C129">
        <v>86.95</v>
      </c>
      <c r="D129">
        <v>1.087</v>
      </c>
    </row>
    <row r="130" spans="1:4">
      <c r="A130" s="949">
        <v>0.1</v>
      </c>
      <c r="B130">
        <v>0.9254</v>
      </c>
      <c r="C130">
        <v>110.9</v>
      </c>
      <c r="D130">
        <v>1.109</v>
      </c>
    </row>
    <row r="131" spans="1:4">
      <c r="A131" s="949">
        <v>0.12</v>
      </c>
      <c r="B131">
        <v>1.133</v>
      </c>
      <c r="C131">
        <v>135.69999999999999</v>
      </c>
      <c r="D131">
        <v>1.131</v>
      </c>
    </row>
    <row r="132" spans="1:4">
      <c r="A132" s="949">
        <v>0.14000000000000001</v>
      </c>
      <c r="B132">
        <v>1.347</v>
      </c>
      <c r="C132">
        <v>161.4</v>
      </c>
      <c r="D132">
        <v>1.153</v>
      </c>
    </row>
    <row r="133" spans="1:4">
      <c r="A133" s="949">
        <v>0.16</v>
      </c>
      <c r="B133">
        <v>1.569</v>
      </c>
      <c r="C133">
        <v>188</v>
      </c>
      <c r="D133">
        <v>1.175</v>
      </c>
    </row>
    <row r="134" spans="1:4">
      <c r="A134" s="949">
        <v>0.18</v>
      </c>
      <c r="B134">
        <v>1.798</v>
      </c>
      <c r="C134">
        <v>215.5</v>
      </c>
      <c r="D134">
        <v>1.1970000000000001</v>
      </c>
    </row>
    <row r="135" spans="1:4">
      <c r="A135" s="949">
        <v>0.2</v>
      </c>
      <c r="B135">
        <v>2.0350000000000001</v>
      </c>
      <c r="C135">
        <v>243.8</v>
      </c>
      <c r="D135">
        <v>1.2190000000000001</v>
      </c>
    </row>
    <row r="136" spans="1:4">
      <c r="A136" s="949">
        <v>0.22</v>
      </c>
      <c r="B136">
        <v>2.2789999999999999</v>
      </c>
      <c r="C136">
        <v>273</v>
      </c>
      <c r="D136">
        <v>1.2410000000000001</v>
      </c>
    </row>
    <row r="137" spans="1:4">
      <c r="A137" s="949">
        <v>0.24</v>
      </c>
      <c r="B137">
        <v>2.5289999999999999</v>
      </c>
      <c r="C137">
        <v>303.10000000000002</v>
      </c>
      <c r="D137">
        <v>1.2629999999999999</v>
      </c>
    </row>
    <row r="138" spans="1:4">
      <c r="A138" s="949">
        <v>0.25</v>
      </c>
      <c r="B138">
        <v>2.66</v>
      </c>
      <c r="C138">
        <v>318.7</v>
      </c>
      <c r="D138">
        <v>1.278</v>
      </c>
    </row>
    <row r="139" spans="1:4">
      <c r="A139" s="949">
        <v>0.26</v>
      </c>
      <c r="B139">
        <v>2.7879999999999998</v>
      </c>
      <c r="C139">
        <v>334</v>
      </c>
      <c r="D139">
        <v>1.2849999999999999</v>
      </c>
    </row>
    <row r="140" spans="1:4">
      <c r="A140" s="949">
        <v>0.28000000000000003</v>
      </c>
      <c r="B140">
        <v>3.0529999999999999</v>
      </c>
      <c r="C140">
        <v>365.8</v>
      </c>
      <c r="D140">
        <v>1.306</v>
      </c>
    </row>
    <row r="141" spans="1:4">
      <c r="A141" s="949">
        <v>0.3</v>
      </c>
      <c r="B141">
        <v>3.3239999999999998</v>
      </c>
      <c r="C141">
        <v>398.4</v>
      </c>
      <c r="D141">
        <v>1.3280000000000001</v>
      </c>
    </row>
    <row r="142" spans="1:4">
      <c r="A142" s="949">
        <v>0.32</v>
      </c>
      <c r="B142">
        <v>3.6019999999999999</v>
      </c>
      <c r="C142">
        <v>431.7</v>
      </c>
      <c r="D142">
        <v>1.349</v>
      </c>
    </row>
    <row r="143" spans="1:4">
      <c r="A143" s="949">
        <v>0.34</v>
      </c>
      <c r="B143">
        <v>3.8860000000000001</v>
      </c>
      <c r="C143">
        <v>465.7</v>
      </c>
      <c r="D143">
        <v>1.37</v>
      </c>
    </row>
    <row r="144" spans="1:4">
      <c r="A144" s="949">
        <v>0.36</v>
      </c>
      <c r="B144">
        <v>4.1760000000000002</v>
      </c>
      <c r="C144">
        <v>500.4</v>
      </c>
      <c r="D144">
        <v>1.39</v>
      </c>
    </row>
    <row r="145" spans="1:5">
      <c r="A145" s="949">
        <v>0.38</v>
      </c>
      <c r="B145">
        <v>4.4720000000000004</v>
      </c>
      <c r="C145">
        <v>535.79999999999995</v>
      </c>
      <c r="D145">
        <v>1.41</v>
      </c>
    </row>
    <row r="146" spans="1:5">
      <c r="A146" s="949">
        <v>0.4</v>
      </c>
      <c r="B146">
        <v>4.7729999999999997</v>
      </c>
      <c r="C146">
        <v>572</v>
      </c>
      <c r="D146">
        <v>1.34</v>
      </c>
    </row>
    <row r="147" spans="1:5">
      <c r="A147" s="949">
        <v>0.42</v>
      </c>
      <c r="B147">
        <v>5.08</v>
      </c>
      <c r="C147">
        <v>608.70000000000005</v>
      </c>
      <c r="D147">
        <v>1.4490000000000001</v>
      </c>
    </row>
    <row r="148" spans="1:5">
      <c r="A148" s="949">
        <v>0.44</v>
      </c>
      <c r="B148">
        <v>5.3920000000000003</v>
      </c>
      <c r="C148">
        <v>646.1</v>
      </c>
      <c r="D148">
        <v>1.468</v>
      </c>
    </row>
    <row r="149" spans="1:5">
      <c r="A149" s="949">
        <v>0.46</v>
      </c>
      <c r="B149">
        <v>5.7089999999999996</v>
      </c>
      <c r="C149">
        <v>684.2</v>
      </c>
      <c r="D149">
        <v>1.4870000000000001</v>
      </c>
    </row>
    <row r="150" spans="1:5">
      <c r="A150" s="949">
        <v>0.48</v>
      </c>
      <c r="B150">
        <v>6.0350000000000001</v>
      </c>
      <c r="C150">
        <v>723.1</v>
      </c>
      <c r="D150">
        <v>1.506</v>
      </c>
    </row>
    <row r="151" spans="1:5">
      <c r="A151" s="949">
        <v>0.5</v>
      </c>
      <c r="B151">
        <v>6.3639999999999999</v>
      </c>
      <c r="C151">
        <v>762.7</v>
      </c>
      <c r="D151">
        <v>1.5249999999999999</v>
      </c>
    </row>
    <row r="154" spans="1:5">
      <c r="A154" s="1" t="s">
        <v>4167</v>
      </c>
      <c r="B154" s="526"/>
      <c r="C154" s="526"/>
      <c r="D154" s="526"/>
      <c r="E154" s="526"/>
    </row>
    <row r="155" spans="1:5">
      <c r="A155" t="s">
        <v>4168</v>
      </c>
      <c r="B155" t="s">
        <v>4074</v>
      </c>
      <c r="C155" t="s">
        <v>4169</v>
      </c>
      <c r="D155" t="s">
        <v>4170</v>
      </c>
      <c r="E155" t="s">
        <v>4171</v>
      </c>
    </row>
    <row r="156" spans="1:5">
      <c r="A156" s="945">
        <v>0</v>
      </c>
      <c r="B156" t="s">
        <v>4134</v>
      </c>
      <c r="C156" s="945">
        <v>0</v>
      </c>
      <c r="D156" s="950">
        <v>2.5000000000000001E-2</v>
      </c>
      <c r="E156" s="945">
        <v>0</v>
      </c>
    </row>
    <row r="157" spans="1:5">
      <c r="A157" s="945">
        <v>100000</v>
      </c>
      <c r="B157" t="s">
        <v>4172</v>
      </c>
      <c r="C157" s="945">
        <v>2500</v>
      </c>
      <c r="D157" s="950">
        <v>1.4999999999999999E-2</v>
      </c>
      <c r="E157" s="945">
        <v>100000</v>
      </c>
    </row>
    <row r="158" spans="1:5">
      <c r="A158" s="945">
        <v>500000</v>
      </c>
      <c r="B158" t="s">
        <v>4173</v>
      </c>
      <c r="C158" s="945">
        <v>8500</v>
      </c>
      <c r="D158" s="950">
        <v>0.01</v>
      </c>
      <c r="E158" s="945">
        <v>500000</v>
      </c>
    </row>
    <row r="159" spans="1:5">
      <c r="A159" s="945">
        <v>2500000</v>
      </c>
      <c r="B159" t="s">
        <v>4174</v>
      </c>
      <c r="C159" s="945">
        <v>28500</v>
      </c>
      <c r="D159" s="950">
        <v>7.4999999999999997E-3</v>
      </c>
      <c r="E159" s="945">
        <v>2500000</v>
      </c>
    </row>
    <row r="160" spans="1:5">
      <c r="A160" s="945">
        <v>5000000</v>
      </c>
      <c r="B160" t="s">
        <v>4175</v>
      </c>
      <c r="C160" s="945">
        <v>47250</v>
      </c>
      <c r="D160" s="950">
        <v>7.0000000000000001E-3</v>
      </c>
      <c r="E160" s="945">
        <v>5000000</v>
      </c>
    </row>
    <row r="161" spans="1:5">
      <c r="A161" s="945">
        <v>7500000</v>
      </c>
      <c r="B161" t="s">
        <v>4176</v>
      </c>
      <c r="C161" s="945">
        <v>64750</v>
      </c>
      <c r="D161" s="950">
        <v>6.0000000000000001E-3</v>
      </c>
      <c r="E161" s="945">
        <v>7500000</v>
      </c>
    </row>
    <row r="164" spans="1:5">
      <c r="A164" s="1" t="s">
        <v>4177</v>
      </c>
      <c r="B164" s="526"/>
      <c r="C164" s="526"/>
      <c r="D164" s="526"/>
      <c r="E164" s="526"/>
    </row>
    <row r="165" spans="1:5">
      <c r="A165" s="1" t="s">
        <v>4178</v>
      </c>
      <c r="B165" s="526"/>
      <c r="C165" s="526"/>
      <c r="D165" s="526"/>
      <c r="E165" s="526"/>
    </row>
    <row r="166" spans="1:5">
      <c r="A166" t="s">
        <v>4179</v>
      </c>
      <c r="B166" t="s">
        <v>4149</v>
      </c>
      <c r="C166" s="526"/>
    </row>
    <row r="167" spans="1:5">
      <c r="A167">
        <v>0</v>
      </c>
      <c r="B167">
        <v>0.5</v>
      </c>
    </row>
    <row r="168" spans="1:5">
      <c r="A168">
        <v>2.1</v>
      </c>
      <c r="B168">
        <v>0.75</v>
      </c>
    </row>
    <row r="169" spans="1:5">
      <c r="A169">
        <v>4.0999999999999996</v>
      </c>
      <c r="B169">
        <v>1</v>
      </c>
    </row>
    <row r="170" spans="1:5">
      <c r="A170">
        <v>7.1</v>
      </c>
      <c r="B170">
        <v>1.5</v>
      </c>
    </row>
    <row r="171" spans="1:5">
      <c r="A171">
        <v>21.1</v>
      </c>
      <c r="B171">
        <v>2</v>
      </c>
    </row>
    <row r="172" spans="1:5">
      <c r="A172">
        <v>41.1</v>
      </c>
      <c r="B172">
        <v>2.5</v>
      </c>
    </row>
    <row r="173" spans="1:5">
      <c r="A173">
        <v>66.099999999999994</v>
      </c>
      <c r="B173">
        <v>3</v>
      </c>
    </row>
    <row r="174" spans="1:5">
      <c r="A174">
        <v>116.1</v>
      </c>
      <c r="B174">
        <v>4</v>
      </c>
    </row>
    <row r="175" spans="1:5">
      <c r="A175">
        <v>238.1</v>
      </c>
      <c r="B175">
        <v>6</v>
      </c>
    </row>
    <row r="176" spans="1:5">
      <c r="A176">
        <v>697.1</v>
      </c>
      <c r="B176">
        <v>8</v>
      </c>
    </row>
    <row r="177" spans="1:15">
      <c r="A177">
        <v>1435.1</v>
      </c>
      <c r="B177">
        <v>10</v>
      </c>
    </row>
    <row r="178" spans="1:15">
      <c r="A178">
        <v>2608.1</v>
      </c>
      <c r="B178">
        <v>12</v>
      </c>
    </row>
    <row r="179" spans="1:15">
      <c r="A179">
        <v>4132.1000000000004</v>
      </c>
      <c r="B179">
        <v>14</v>
      </c>
    </row>
    <row r="180" spans="1:15">
      <c r="A180">
        <v>5299.1</v>
      </c>
      <c r="B180">
        <v>16</v>
      </c>
    </row>
    <row r="181" spans="1:15">
      <c r="A181">
        <v>7528.1</v>
      </c>
      <c r="B181">
        <v>18</v>
      </c>
    </row>
    <row r="182" spans="1:15">
      <c r="A182">
        <v>10265.1</v>
      </c>
      <c r="B182">
        <v>20</v>
      </c>
    </row>
    <row r="183" spans="1:15">
      <c r="A183">
        <v>13643.1</v>
      </c>
      <c r="B183">
        <v>24</v>
      </c>
    </row>
    <row r="184" spans="1:15">
      <c r="A184">
        <v>22174.1</v>
      </c>
      <c r="B184">
        <v>30</v>
      </c>
    </row>
    <row r="185" spans="1:15">
      <c r="A185">
        <v>50561.1</v>
      </c>
      <c r="B185">
        <v>36</v>
      </c>
    </row>
    <row r="186" spans="1:15">
      <c r="A186">
        <v>81777.100000000006</v>
      </c>
      <c r="B186">
        <v>42</v>
      </c>
    </row>
    <row r="187" spans="1:15">
      <c r="A187">
        <v>122025.1</v>
      </c>
      <c r="B187">
        <v>48</v>
      </c>
    </row>
    <row r="190" spans="1:15">
      <c r="A190" s="1" t="s">
        <v>4180</v>
      </c>
      <c r="O190" s="526"/>
    </row>
    <row r="191" spans="1:15">
      <c r="A191" t="s">
        <v>4181</v>
      </c>
      <c r="B191" t="s">
        <v>4182</v>
      </c>
      <c r="C191" t="s">
        <v>4088</v>
      </c>
      <c r="D191" t="s">
        <v>4089</v>
      </c>
      <c r="O191" s="526"/>
    </row>
    <row r="192" spans="1:15">
      <c r="A192">
        <v>0</v>
      </c>
      <c r="B192">
        <v>350</v>
      </c>
      <c r="C192">
        <v>2.5</v>
      </c>
      <c r="D192">
        <v>2.5</v>
      </c>
      <c r="O192" s="526"/>
    </row>
    <row r="193" spans="1:15">
      <c r="A193">
        <v>351</v>
      </c>
      <c r="B193">
        <v>1740</v>
      </c>
      <c r="C193">
        <v>3.75</v>
      </c>
      <c r="D193">
        <v>3.75</v>
      </c>
      <c r="O193" s="526"/>
    </row>
    <row r="194" spans="1:15">
      <c r="A194">
        <v>1741</v>
      </c>
      <c r="B194">
        <v>7000</v>
      </c>
      <c r="C194">
        <v>5</v>
      </c>
      <c r="D194">
        <v>5</v>
      </c>
      <c r="O194" s="526"/>
    </row>
    <row r="195" spans="1:15">
      <c r="A195">
        <v>7001</v>
      </c>
      <c r="B195">
        <v>35000</v>
      </c>
      <c r="C195" s="374">
        <v>7.083333333333333</v>
      </c>
      <c r="D195" s="374">
        <v>7.083333333333333</v>
      </c>
      <c r="O195" s="526"/>
    </row>
    <row r="198" spans="1:15">
      <c r="A198" s="1" t="s">
        <v>4183</v>
      </c>
    </row>
    <row r="199" spans="1:15">
      <c r="A199" t="s">
        <v>3749</v>
      </c>
      <c r="B199" t="s">
        <v>3750</v>
      </c>
      <c r="C199" t="s">
        <v>4184</v>
      </c>
    </row>
    <row r="200" spans="1:15">
      <c r="A200">
        <v>0</v>
      </c>
      <c r="B200">
        <v>16</v>
      </c>
      <c r="C200">
        <v>8</v>
      </c>
    </row>
    <row r="201" spans="1:15">
      <c r="A201">
        <v>16.100000000000001</v>
      </c>
      <c r="B201">
        <v>25</v>
      </c>
      <c r="C201">
        <v>10</v>
      </c>
    </row>
    <row r="202" spans="1:15">
      <c r="A202">
        <v>25.1</v>
      </c>
      <c r="B202">
        <v>40</v>
      </c>
      <c r="C202">
        <v>11.5</v>
      </c>
    </row>
    <row r="203" spans="1:15">
      <c r="A203">
        <v>40.1</v>
      </c>
      <c r="B203">
        <v>70</v>
      </c>
      <c r="C203">
        <v>12</v>
      </c>
    </row>
    <row r="206" spans="1:15">
      <c r="A206" s="2" t="s">
        <v>4185</v>
      </c>
      <c r="B206" s="2" t="s">
        <v>4186</v>
      </c>
      <c r="C206" s="2" t="s">
        <v>4187</v>
      </c>
    </row>
    <row r="207" spans="1:15">
      <c r="A207" s="526" t="s">
        <v>4188</v>
      </c>
      <c r="B207" s="951" t="s">
        <v>4189</v>
      </c>
      <c r="C207" s="526" t="s">
        <v>4190</v>
      </c>
    </row>
    <row r="208" spans="1:15">
      <c r="A208" s="526" t="s">
        <v>4027</v>
      </c>
      <c r="B208" s="951" t="s">
        <v>4191</v>
      </c>
      <c r="C208" s="526" t="s">
        <v>4192</v>
      </c>
    </row>
    <row r="209" spans="1:3">
      <c r="A209" s="526" t="s">
        <v>4026</v>
      </c>
      <c r="B209" s="951" t="s">
        <v>4191</v>
      </c>
      <c r="C209" s="526" t="s">
        <v>4192</v>
      </c>
    </row>
    <row r="210" spans="1:3">
      <c r="A210" s="526" t="s">
        <v>4029</v>
      </c>
      <c r="B210" s="951" t="s">
        <v>4191</v>
      </c>
      <c r="C210" s="526" t="s">
        <v>4192</v>
      </c>
    </row>
    <row r="211" spans="1:3">
      <c r="A211" s="526" t="s">
        <v>4028</v>
      </c>
      <c r="B211" s="951" t="s">
        <v>4191</v>
      </c>
      <c r="C211" s="526" t="s">
        <v>4192</v>
      </c>
    </row>
    <row r="212" spans="1:3">
      <c r="A212" t="s">
        <v>4193</v>
      </c>
      <c r="B212" s="951" t="s">
        <v>4191</v>
      </c>
      <c r="C212" s="526" t="s">
        <v>4192</v>
      </c>
    </row>
    <row r="213" spans="1:3">
      <c r="A213" s="526" t="s">
        <v>4034</v>
      </c>
      <c r="B213" s="951" t="s">
        <v>4194</v>
      </c>
      <c r="C213" s="526" t="s">
        <v>4195</v>
      </c>
    </row>
    <row r="214" spans="1:3">
      <c r="A214" s="526" t="s">
        <v>4033</v>
      </c>
      <c r="B214" s="951" t="s">
        <v>4196</v>
      </c>
      <c r="C214" s="526" t="s">
        <v>4197</v>
      </c>
    </row>
    <row r="215" spans="1:3">
      <c r="A215" s="526" t="s">
        <v>4198</v>
      </c>
      <c r="B215" s="951" t="s">
        <v>4199</v>
      </c>
      <c r="C215" s="526" t="s">
        <v>4200</v>
      </c>
    </row>
    <row r="216" spans="1:3">
      <c r="A216" s="526" t="s">
        <v>4201</v>
      </c>
      <c r="B216" s="951" t="s">
        <v>4202</v>
      </c>
      <c r="C216" s="526" t="s">
        <v>4203</v>
      </c>
    </row>
    <row r="217" spans="1:3">
      <c r="A217" s="526" t="s">
        <v>4204</v>
      </c>
      <c r="B217" s="951" t="s">
        <v>4205</v>
      </c>
      <c r="C217" s="526" t="s">
        <v>4206</v>
      </c>
    </row>
    <row r="218" spans="1:3">
      <c r="A218" s="526" t="s">
        <v>4207</v>
      </c>
      <c r="B218" s="951" t="s">
        <v>4205</v>
      </c>
      <c r="C218" s="526" t="s">
        <v>4206</v>
      </c>
    </row>
    <row r="219" spans="1:3">
      <c r="A219" s="526" t="s">
        <v>4208</v>
      </c>
      <c r="B219" t="s">
        <v>4209</v>
      </c>
      <c r="C219" s="526" t="s">
        <v>4208</v>
      </c>
    </row>
    <row r="220" spans="1:3">
      <c r="A220" s="526" t="s">
        <v>4210</v>
      </c>
      <c r="B220" s="951" t="s">
        <v>4211</v>
      </c>
      <c r="C220" s="526" t="s">
        <v>4212</v>
      </c>
    </row>
    <row r="221" spans="1:3">
      <c r="A221" s="526" t="s">
        <v>4032</v>
      </c>
      <c r="B221" s="951" t="s">
        <v>4211</v>
      </c>
      <c r="C221" s="526" t="s">
        <v>4212</v>
      </c>
    </row>
    <row r="222" spans="1:3">
      <c r="A222" s="526" t="s">
        <v>4198</v>
      </c>
      <c r="B222" s="951" t="s">
        <v>4213</v>
      </c>
      <c r="C222" s="526" t="s">
        <v>4214</v>
      </c>
    </row>
    <row r="223" spans="1:3">
      <c r="A223" s="526" t="s">
        <v>4215</v>
      </c>
      <c r="B223" s="951" t="s">
        <v>4216</v>
      </c>
      <c r="C223" s="526" t="s">
        <v>4217</v>
      </c>
    </row>
    <row r="224" spans="1:3">
      <c r="A224" s="526" t="s">
        <v>4218</v>
      </c>
      <c r="B224" t="s">
        <v>4219</v>
      </c>
      <c r="C224" s="526" t="s">
        <v>4218</v>
      </c>
    </row>
    <row r="225" spans="1:3">
      <c r="A225" s="526" t="s">
        <v>4008</v>
      </c>
      <c r="B225" t="s">
        <v>4220</v>
      </c>
      <c r="C225" s="526" t="s">
        <v>4221</v>
      </c>
    </row>
    <row r="226" spans="1:3">
      <c r="A226" s="526" t="s">
        <v>4198</v>
      </c>
      <c r="B226" s="951" t="s">
        <v>4222</v>
      </c>
      <c r="C226" s="526" t="s">
        <v>4223</v>
      </c>
    </row>
    <row r="227" spans="1:3">
      <c r="A227" s="526" t="s">
        <v>2841</v>
      </c>
      <c r="B227" s="951" t="s">
        <v>4224</v>
      </c>
      <c r="C227" s="526" t="s">
        <v>4225</v>
      </c>
    </row>
    <row r="228" spans="1:3">
      <c r="A228" s="526" t="s">
        <v>4015</v>
      </c>
      <c r="B228" s="951" t="s">
        <v>4224</v>
      </c>
      <c r="C228" s="526" t="s">
        <v>4225</v>
      </c>
    </row>
    <row r="229" spans="1:3">
      <c r="A229" s="526" t="s">
        <v>4014</v>
      </c>
      <c r="B229" s="951" t="s">
        <v>4224</v>
      </c>
      <c r="C229" s="526" t="s">
        <v>4225</v>
      </c>
    </row>
    <row r="230" spans="1:3">
      <c r="A230" s="526" t="s">
        <v>4226</v>
      </c>
      <c r="B230" s="951" t="s">
        <v>4224</v>
      </c>
      <c r="C230" s="526" t="s">
        <v>4225</v>
      </c>
    </row>
    <row r="231" spans="1:3">
      <c r="A231" s="526" t="s">
        <v>4227</v>
      </c>
      <c r="B231" s="951" t="s">
        <v>4224</v>
      </c>
      <c r="C231" s="526" t="s">
        <v>4225</v>
      </c>
    </row>
    <row r="232" spans="1:3">
      <c r="A232" s="526" t="s">
        <v>4228</v>
      </c>
      <c r="B232" s="951" t="s">
        <v>4229</v>
      </c>
      <c r="C232" s="526" t="s">
        <v>4230</v>
      </c>
    </row>
    <row r="233" spans="1:3">
      <c r="A233" s="526" t="s">
        <v>4231</v>
      </c>
      <c r="B233" s="951" t="s">
        <v>4232</v>
      </c>
      <c r="C233" s="526" t="s">
        <v>4233</v>
      </c>
    </row>
    <row r="234" spans="1:3">
      <c r="A234" s="526" t="s">
        <v>4019</v>
      </c>
      <c r="B234" s="951" t="s">
        <v>4232</v>
      </c>
      <c r="C234" s="526" t="s">
        <v>4233</v>
      </c>
    </row>
    <row r="235" spans="1:3">
      <c r="A235" s="526" t="s">
        <v>4198</v>
      </c>
      <c r="B235" s="951" t="s">
        <v>4234</v>
      </c>
      <c r="C235" s="526" t="s">
        <v>4235</v>
      </c>
    </row>
    <row r="236" spans="1:3">
      <c r="A236" s="526" t="s">
        <v>4236</v>
      </c>
      <c r="B236" s="951" t="s">
        <v>4237</v>
      </c>
      <c r="C236" s="526" t="s">
        <v>4238</v>
      </c>
    </row>
    <row r="237" spans="1:3">
      <c r="A237" s="526" t="s">
        <v>4198</v>
      </c>
      <c r="B237" s="951" t="s">
        <v>4239</v>
      </c>
      <c r="C237" s="526" t="s">
        <v>4240</v>
      </c>
    </row>
    <row r="238" spans="1:3">
      <c r="A238" s="526" t="s">
        <v>4241</v>
      </c>
      <c r="B238" s="951" t="s">
        <v>4242</v>
      </c>
      <c r="C238" s="526" t="s">
        <v>4241</v>
      </c>
    </row>
    <row r="239" spans="1:3">
      <c r="A239" s="526" t="s">
        <v>4243</v>
      </c>
      <c r="B239" s="951" t="s">
        <v>4244</v>
      </c>
      <c r="C239" s="526" t="s">
        <v>4245</v>
      </c>
    </row>
    <row r="240" spans="1:3">
      <c r="A240" s="526" t="s">
        <v>4016</v>
      </c>
      <c r="B240" s="951" t="s">
        <v>4246</v>
      </c>
      <c r="C240" s="526" t="s">
        <v>4247</v>
      </c>
    </row>
    <row r="241" spans="1:5">
      <c r="A241" s="526" t="s">
        <v>4198</v>
      </c>
      <c r="B241" s="951" t="s">
        <v>4248</v>
      </c>
      <c r="C241" s="526" t="s">
        <v>4249</v>
      </c>
    </row>
    <row r="242" spans="1:5">
      <c r="A242" s="526" t="s">
        <v>4198</v>
      </c>
      <c r="B242" s="951" t="s">
        <v>4250</v>
      </c>
      <c r="C242" s="526" t="s">
        <v>4251</v>
      </c>
    </row>
    <row r="243" spans="1:5">
      <c r="A243" s="526" t="s">
        <v>4024</v>
      </c>
      <c r="B243" s="951" t="s">
        <v>4252</v>
      </c>
      <c r="C243" s="526" t="s">
        <v>4253</v>
      </c>
    </row>
    <row r="244" spans="1:5">
      <c r="A244" s="526" t="s">
        <v>4254</v>
      </c>
      <c r="B244" s="951" t="s">
        <v>4255</v>
      </c>
      <c r="C244" s="526" t="s">
        <v>4256</v>
      </c>
    </row>
    <row r="245" spans="1:5">
      <c r="A245" s="526" t="s">
        <v>4198</v>
      </c>
      <c r="B245" s="951" t="s">
        <v>4257</v>
      </c>
      <c r="C245" s="526" t="s">
        <v>4258</v>
      </c>
    </row>
    <row r="248" spans="1:5">
      <c r="A248" s="1" t="s">
        <v>4259</v>
      </c>
      <c r="B248" s="526"/>
      <c r="C248" s="526"/>
      <c r="D248" s="526"/>
      <c r="E248" s="526"/>
    </row>
    <row r="249" spans="1:5" ht="14">
      <c r="A249" t="s">
        <v>4260</v>
      </c>
      <c r="B249" s="936" t="s">
        <v>4261</v>
      </c>
      <c r="C249" s="6" t="s">
        <v>4262</v>
      </c>
    </row>
    <row r="250" spans="1:5">
      <c r="A250" s="8" t="s">
        <v>4263</v>
      </c>
      <c r="B250" s="8" t="s">
        <v>4264</v>
      </c>
      <c r="C250" s="8" t="s">
        <v>4265</v>
      </c>
    </row>
    <row r="251" spans="1:5">
      <c r="A251" s="952">
        <v>0</v>
      </c>
      <c r="B251" s="953">
        <v>347.63563037472028</v>
      </c>
      <c r="C251" s="952">
        <v>2</v>
      </c>
    </row>
    <row r="252" spans="1:5">
      <c r="A252" s="952">
        <v>2.1</v>
      </c>
      <c r="B252" s="953">
        <v>681.91181843044774</v>
      </c>
      <c r="C252" s="952">
        <v>3</v>
      </c>
    </row>
    <row r="253" spans="1:5">
      <c r="A253" s="952">
        <v>3.1</v>
      </c>
      <c r="B253" s="953">
        <v>1260.0087440508869</v>
      </c>
      <c r="C253" s="952">
        <v>4</v>
      </c>
    </row>
    <row r="254" spans="1:5">
      <c r="A254" s="952">
        <v>4.0999999999999996</v>
      </c>
      <c r="B254" s="953">
        <v>2835.0196741144964</v>
      </c>
      <c r="C254" s="952">
        <v>6</v>
      </c>
    </row>
    <row r="255" spans="1:5">
      <c r="A255" s="952">
        <v>6.1</v>
      </c>
      <c r="B255" s="953">
        <v>4990.7439767005962</v>
      </c>
      <c r="C255" s="952">
        <v>8</v>
      </c>
    </row>
    <row r="256" spans="1:5">
      <c r="A256" s="952">
        <v>8.1</v>
      </c>
      <c r="B256" s="953">
        <v>7813.4106239126322</v>
      </c>
      <c r="C256" s="952">
        <v>10</v>
      </c>
    </row>
    <row r="257" spans="1:5">
      <c r="A257" s="952">
        <v>10.1</v>
      </c>
      <c r="B257" s="953">
        <v>11192.326806056015</v>
      </c>
      <c r="C257" s="952">
        <v>12</v>
      </c>
    </row>
    <row r="258" spans="1:5">
      <c r="A258" s="952">
        <v>12.1</v>
      </c>
      <c r="B258" s="953">
        <v>15314.284822868764</v>
      </c>
      <c r="C258" s="952">
        <v>14</v>
      </c>
    </row>
    <row r="259" spans="1:5">
      <c r="A259" s="952">
        <v>14.1</v>
      </c>
      <c r="B259" s="953">
        <v>20002.331197216343</v>
      </c>
      <c r="C259" s="952">
        <v>16</v>
      </c>
    </row>
    <row r="260" spans="1:5">
      <c r="A260" s="952">
        <v>16.100000000000001</v>
      </c>
      <c r="B260" s="953">
        <v>25315.450421476933</v>
      </c>
      <c r="C260" s="952">
        <v>18</v>
      </c>
    </row>
    <row r="261" spans="1:5">
      <c r="A261" s="952">
        <v>18.100000000000001</v>
      </c>
      <c r="B261" s="953">
        <v>31130.717767160371</v>
      </c>
      <c r="C261" s="952">
        <v>20</v>
      </c>
    </row>
    <row r="262" spans="1:5">
      <c r="A262" s="952">
        <v>20.100000000000001</v>
      </c>
      <c r="B262" s="953">
        <v>45064.326572600447</v>
      </c>
      <c r="C262" s="952">
        <v>24</v>
      </c>
    </row>
    <row r="263" spans="1:5">
      <c r="A263" s="952">
        <v>24.1</v>
      </c>
      <c r="B263" s="953">
        <v>61050.596681665913</v>
      </c>
      <c r="C263" s="952">
        <v>28</v>
      </c>
    </row>
    <row r="264" spans="1:5">
      <c r="A264" s="952">
        <v>28.1</v>
      </c>
      <c r="B264" s="953">
        <v>70505.385478216151</v>
      </c>
      <c r="C264" s="952">
        <v>30</v>
      </c>
    </row>
    <row r="265" spans="1:5">
      <c r="A265" s="952">
        <v>30.1</v>
      </c>
      <c r="B265" s="953">
        <v>124768.59941751491</v>
      </c>
      <c r="C265" s="952">
        <v>40</v>
      </c>
    </row>
    <row r="266" spans="1:5">
      <c r="A266" s="952">
        <v>40.1</v>
      </c>
      <c r="B266" s="953">
        <v>137828.56340581886</v>
      </c>
      <c r="C266" s="952">
        <v>42</v>
      </c>
    </row>
    <row r="267" spans="1:5">
      <c r="A267" s="952">
        <v>42.1</v>
      </c>
      <c r="B267" s="953">
        <v>180257.30629040179</v>
      </c>
      <c r="C267" s="952">
        <v>48</v>
      </c>
    </row>
    <row r="270" spans="1:5">
      <c r="A270" s="1" t="s">
        <v>4266</v>
      </c>
      <c r="B270" s="526"/>
      <c r="C270" s="526"/>
      <c r="D270" s="526"/>
      <c r="E270" s="526"/>
    </row>
    <row r="271" spans="1:5">
      <c r="A271" s="526" t="s">
        <v>4267</v>
      </c>
    </row>
    <row r="272" spans="1:5">
      <c r="A272" t="s">
        <v>4268</v>
      </c>
    </row>
    <row r="273" spans="1:3">
      <c r="A273" s="44" t="s">
        <v>1352</v>
      </c>
      <c r="B273" s="44" t="s">
        <v>4269</v>
      </c>
      <c r="C273" s="44" t="s">
        <v>4270</v>
      </c>
    </row>
    <row r="274" spans="1:3">
      <c r="A274" s="44" t="s">
        <v>2843</v>
      </c>
      <c r="B274" s="44" t="s">
        <v>2843</v>
      </c>
      <c r="C274" s="44" t="s">
        <v>2843</v>
      </c>
    </row>
    <row r="275" spans="1:3">
      <c r="A275">
        <v>1.5</v>
      </c>
      <c r="B275">
        <v>3</v>
      </c>
      <c r="C275">
        <v>6</v>
      </c>
    </row>
    <row r="276" spans="1:3">
      <c r="A276">
        <v>2</v>
      </c>
      <c r="B276">
        <v>3.5</v>
      </c>
      <c r="C276">
        <v>7.5</v>
      </c>
    </row>
    <row r="277" spans="1:3">
      <c r="A277">
        <v>2.5</v>
      </c>
      <c r="B277">
        <v>4</v>
      </c>
      <c r="C277">
        <v>9</v>
      </c>
    </row>
    <row r="278" spans="1:3">
      <c r="A278">
        <v>3</v>
      </c>
      <c r="B278">
        <v>4</v>
      </c>
      <c r="C278">
        <v>10</v>
      </c>
    </row>
    <row r="279" spans="1:3">
      <c r="A279">
        <v>3.5</v>
      </c>
      <c r="B279">
        <v>4.5</v>
      </c>
      <c r="C279">
        <v>10</v>
      </c>
    </row>
    <row r="280" spans="1:3">
      <c r="A280">
        <v>4</v>
      </c>
      <c r="B280">
        <v>4.5</v>
      </c>
      <c r="C280">
        <v>12</v>
      </c>
    </row>
    <row r="281" spans="1:3">
      <c r="A281">
        <v>4.5</v>
      </c>
      <c r="B281">
        <v>4.5</v>
      </c>
      <c r="C281">
        <v>15</v>
      </c>
    </row>
    <row r="282" spans="1:3">
      <c r="A282">
        <v>5</v>
      </c>
      <c r="B282">
        <v>4.5</v>
      </c>
      <c r="C282">
        <v>15</v>
      </c>
    </row>
    <row r="283" spans="1:3">
      <c r="A283">
        <v>5.5</v>
      </c>
      <c r="B283">
        <v>4.5</v>
      </c>
      <c r="C283">
        <v>15</v>
      </c>
    </row>
    <row r="284" spans="1:3">
      <c r="A284">
        <v>6</v>
      </c>
      <c r="B284">
        <v>4.5</v>
      </c>
      <c r="C284">
        <v>18</v>
      </c>
    </row>
    <row r="285" spans="1:3">
      <c r="A285">
        <v>6.5</v>
      </c>
      <c r="B285">
        <v>5.5</v>
      </c>
      <c r="C285">
        <v>18</v>
      </c>
    </row>
    <row r="286" spans="1:3">
      <c r="A286">
        <v>7</v>
      </c>
      <c r="B286">
        <v>5.5</v>
      </c>
      <c r="C286">
        <v>18</v>
      </c>
    </row>
    <row r="287" spans="1:3">
      <c r="A287">
        <v>7.5</v>
      </c>
      <c r="B287">
        <v>6</v>
      </c>
      <c r="C287">
        <v>18</v>
      </c>
    </row>
    <row r="288" spans="1:3">
      <c r="A288">
        <v>8</v>
      </c>
      <c r="B288">
        <v>6</v>
      </c>
      <c r="C288">
        <v>20</v>
      </c>
    </row>
    <row r="289" spans="1:3">
      <c r="A289">
        <v>8.5</v>
      </c>
      <c r="B289">
        <v>6</v>
      </c>
      <c r="C289">
        <v>20</v>
      </c>
    </row>
    <row r="290" spans="1:3">
      <c r="A290">
        <v>9</v>
      </c>
      <c r="B290">
        <v>6</v>
      </c>
      <c r="C290">
        <v>20</v>
      </c>
    </row>
    <row r="291" spans="1:3">
      <c r="A291">
        <v>9.5</v>
      </c>
      <c r="B291">
        <v>6</v>
      </c>
      <c r="C291">
        <v>20</v>
      </c>
    </row>
    <row r="292" spans="1:3">
      <c r="A292">
        <v>10</v>
      </c>
      <c r="B292">
        <v>6</v>
      </c>
      <c r="C292">
        <v>24</v>
      </c>
    </row>
    <row r="293" spans="1:3">
      <c r="A293">
        <v>10.5</v>
      </c>
      <c r="B293">
        <v>6</v>
      </c>
      <c r="C293">
        <v>24</v>
      </c>
    </row>
    <row r="294" spans="1:3">
      <c r="A294">
        <v>11</v>
      </c>
      <c r="B294">
        <v>6</v>
      </c>
      <c r="C294">
        <v>24</v>
      </c>
    </row>
    <row r="295" spans="1:3">
      <c r="A295">
        <v>11.5</v>
      </c>
      <c r="B295">
        <v>6</v>
      </c>
      <c r="C295">
        <v>24</v>
      </c>
    </row>
    <row r="296" spans="1:3">
      <c r="A296">
        <v>12</v>
      </c>
      <c r="B296">
        <v>6</v>
      </c>
      <c r="C296">
        <v>24</v>
      </c>
    </row>
    <row r="297" spans="1:3">
      <c r="A297">
        <v>14</v>
      </c>
      <c r="B297">
        <v>6</v>
      </c>
      <c r="C297">
        <v>24</v>
      </c>
    </row>
  </sheetData>
  <phoneticPr fontId="84"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119"/>
  <sheetViews>
    <sheetView workbookViewId="0">
      <pane ySplit="2" topLeftCell="A3" activePane="bottomLeft" state="frozen"/>
      <selection pane="bottomLeft"/>
    </sheetView>
  </sheetViews>
  <sheetFormatPr baseColWidth="10" defaultColWidth="8.83203125" defaultRowHeight="13"/>
  <cols>
    <col min="1" max="1" width="18.83203125" customWidth="1"/>
    <col min="2" max="2" width="18" customWidth="1"/>
    <col min="3" max="3" width="19.33203125" customWidth="1"/>
    <col min="4" max="4" width="10.83203125" customWidth="1"/>
  </cols>
  <sheetData>
    <row r="1" spans="1:7">
      <c r="A1" s="1" t="s">
        <v>2964</v>
      </c>
    </row>
    <row r="2" spans="1:7">
      <c r="A2" s="657" t="s">
        <v>2965</v>
      </c>
    </row>
    <row r="3" spans="1:7">
      <c r="A3" s="657"/>
    </row>
    <row r="4" spans="1:7">
      <c r="A4" s="92" t="s">
        <v>3022</v>
      </c>
    </row>
    <row r="5" spans="1:7">
      <c r="A5" s="61" t="s">
        <v>3023</v>
      </c>
    </row>
    <row r="6" spans="1:7">
      <c r="A6" s="61" t="s">
        <v>3024</v>
      </c>
    </row>
    <row r="7" spans="1:7" ht="15">
      <c r="A7" s="2" t="s">
        <v>3025</v>
      </c>
      <c r="B7" s="2" t="s">
        <v>3026</v>
      </c>
      <c r="C7" s="729" t="s">
        <v>3027</v>
      </c>
      <c r="D7" s="729" t="s">
        <v>3028</v>
      </c>
      <c r="E7" s="729" t="s">
        <v>3029</v>
      </c>
      <c r="F7" s="729" t="s">
        <v>3030</v>
      </c>
      <c r="G7" s="729" t="s">
        <v>3031</v>
      </c>
    </row>
    <row r="8" spans="1:7" ht="16">
      <c r="A8" s="526" t="s">
        <v>3032</v>
      </c>
      <c r="B8" s="526" t="s">
        <v>3033</v>
      </c>
      <c r="C8" s="526">
        <v>-6.0880000000000001</v>
      </c>
      <c r="D8" s="526">
        <v>4471</v>
      </c>
      <c r="E8" s="526"/>
      <c r="F8" s="526">
        <v>1.7059999999999999E-2</v>
      </c>
      <c r="G8" s="526"/>
    </row>
    <row r="9" spans="1:7" ht="16">
      <c r="A9" s="526" t="s">
        <v>3034</v>
      </c>
      <c r="B9" s="526" t="s">
        <v>3035</v>
      </c>
      <c r="C9" s="526">
        <v>356.30900000000003</v>
      </c>
      <c r="D9" s="526">
        <v>-21834.400000000001</v>
      </c>
      <c r="E9" s="526">
        <v>-126.834</v>
      </c>
      <c r="F9" s="526">
        <v>6.0920000000000002E-2</v>
      </c>
      <c r="G9" s="526">
        <v>1685915</v>
      </c>
    </row>
    <row r="10" spans="1:7" ht="16">
      <c r="A10" s="526" t="s">
        <v>3036</v>
      </c>
      <c r="B10" s="526" t="s">
        <v>3037</v>
      </c>
      <c r="C10">
        <v>107.887</v>
      </c>
      <c r="D10">
        <v>-5151.8</v>
      </c>
      <c r="E10">
        <v>-38.926000000000002</v>
      </c>
      <c r="F10">
        <v>3.2528000000000001E-2</v>
      </c>
      <c r="G10">
        <v>563713.9</v>
      </c>
    </row>
    <row r="11" spans="1:7">
      <c r="A11" s="526"/>
      <c r="B11" s="526"/>
    </row>
    <row r="12" spans="1:7">
      <c r="A12" s="3" t="s">
        <v>2893</v>
      </c>
    </row>
    <row r="13" spans="1:7">
      <c r="A13" s="662" t="s">
        <v>2894</v>
      </c>
    </row>
    <row r="14" spans="1:7">
      <c r="A14" s="662" t="s">
        <v>2891</v>
      </c>
    </row>
    <row r="15" spans="1:7">
      <c r="A15" s="662"/>
    </row>
    <row r="16" spans="1:7">
      <c r="A16" s="3" t="s">
        <v>2895</v>
      </c>
    </row>
    <row r="17" spans="1:1">
      <c r="A17" s="662" t="s">
        <v>2892</v>
      </c>
    </row>
    <row r="18" spans="1:1">
      <c r="A18" s="662" t="s">
        <v>2896</v>
      </c>
    </row>
    <row r="19" spans="1:1">
      <c r="A19" s="662"/>
    </row>
    <row r="20" spans="1:1">
      <c r="A20" s="3" t="s">
        <v>2897</v>
      </c>
    </row>
    <row r="21" spans="1:1">
      <c r="A21" s="662" t="s">
        <v>2315</v>
      </c>
    </row>
    <row r="22" spans="1:1">
      <c r="A22" s="662" t="s">
        <v>2316</v>
      </c>
    </row>
    <row r="23" spans="1:1">
      <c r="A23" s="662" t="s">
        <v>2317</v>
      </c>
    </row>
    <row r="24" spans="1:1">
      <c r="A24" s="662"/>
    </row>
    <row r="25" spans="1:1">
      <c r="A25" s="3" t="s">
        <v>2898</v>
      </c>
    </row>
    <row r="26" spans="1:1">
      <c r="A26" s="662" t="s">
        <v>719</v>
      </c>
    </row>
    <row r="27" spans="1:1">
      <c r="A27" s="662" t="s">
        <v>2899</v>
      </c>
    </row>
    <row r="28" spans="1:1">
      <c r="A28" s="662" t="s">
        <v>1300</v>
      </c>
    </row>
    <row r="29" spans="1:1">
      <c r="A29" s="662"/>
    </row>
    <row r="30" spans="1:1">
      <c r="A30" s="3" t="s">
        <v>2900</v>
      </c>
    </row>
    <row r="31" spans="1:1">
      <c r="A31" s="662" t="s">
        <v>2901</v>
      </c>
    </row>
    <row r="32" spans="1:1">
      <c r="A32" s="662" t="s">
        <v>2902</v>
      </c>
    </row>
    <row r="33" spans="1:4">
      <c r="A33" s="662"/>
    </row>
    <row r="34" spans="1:4">
      <c r="A34" s="2" t="s">
        <v>1036</v>
      </c>
      <c r="B34" s="5"/>
      <c r="D34" s="4"/>
    </row>
    <row r="35" spans="1:4">
      <c r="A35" s="3" t="s">
        <v>3504</v>
      </c>
      <c r="B35" s="5"/>
      <c r="D35" s="4"/>
    </row>
    <row r="36" spans="1:4">
      <c r="A36" s="662" t="str">
        <f>IF(regen_type=2,"","brine mixing tanks")</f>
        <v/>
      </c>
      <c r="B36" s="5"/>
      <c r="D36" s="4"/>
    </row>
    <row r="37" spans="1:4">
      <c r="A37" s="662" t="str">
        <f>IF(regen_type=2,"","salt saturator")</f>
        <v/>
      </c>
      <c r="B37" s="5"/>
      <c r="D37" s="4"/>
    </row>
    <row r="38" spans="1:4">
      <c r="A38" s="3" t="s">
        <v>3505</v>
      </c>
      <c r="B38" s="5"/>
      <c r="D38" s="4"/>
    </row>
    <row r="39" spans="1:4">
      <c r="A39" s="662" t="s">
        <v>1820</v>
      </c>
      <c r="B39" s="5"/>
      <c r="D39" s="4"/>
    </row>
    <row r="40" spans="1:4">
      <c r="A40" s="662" t="s">
        <v>922</v>
      </c>
      <c r="B40" s="5"/>
      <c r="D40" s="4"/>
    </row>
    <row r="41" spans="1:4">
      <c r="A41" s="662" t="s">
        <v>1821</v>
      </c>
      <c r="B41" s="5"/>
      <c r="D41" s="4"/>
    </row>
    <row r="42" spans="1:4">
      <c r="A42" s="662" t="s">
        <v>1543</v>
      </c>
      <c r="B42" s="5"/>
      <c r="D42" s="4"/>
    </row>
    <row r="43" spans="1:4">
      <c r="A43" s="3" t="s">
        <v>3506</v>
      </c>
      <c r="B43" s="5"/>
      <c r="D43" s="4"/>
    </row>
    <row r="44" spans="1:4">
      <c r="A44" s="662" t="str">
        <f>IF(res_s2_opt&gt;2,"","holding tank")</f>
        <v/>
      </c>
      <c r="B44" s="5"/>
      <c r="D44" s="4"/>
    </row>
    <row r="45" spans="1:4">
      <c r="A45" s="662" t="str">
        <f>IF(res_s2_opt&gt;2,"","no holding tank")</f>
        <v/>
      </c>
      <c r="B45" s="5"/>
      <c r="D45" s="4"/>
    </row>
    <row r="46" spans="1:4">
      <c r="A46" s="3" t="s">
        <v>3503</v>
      </c>
      <c r="B46" s="3" t="s">
        <v>3509</v>
      </c>
      <c r="D46" s="4"/>
    </row>
    <row r="47" spans="1:4">
      <c r="A47" s="863" t="s">
        <v>3527</v>
      </c>
      <c r="B47" s="864">
        <v>1</v>
      </c>
      <c r="D47" s="4"/>
    </row>
    <row r="48" spans="1:4">
      <c r="A48" s="863" t="s">
        <v>3528</v>
      </c>
      <c r="B48" s="864">
        <v>6</v>
      </c>
      <c r="D48" s="4"/>
    </row>
    <row r="49" spans="1:4">
      <c r="A49" s="863" t="s">
        <v>3499</v>
      </c>
      <c r="B49" s="864">
        <v>2</v>
      </c>
      <c r="D49" s="4"/>
    </row>
    <row r="50" spans="1:4">
      <c r="A50" s="863" t="s">
        <v>3500</v>
      </c>
      <c r="B50" s="864">
        <v>3</v>
      </c>
      <c r="D50" s="4"/>
    </row>
    <row r="51" spans="1:4">
      <c r="A51" s="863" t="s">
        <v>3501</v>
      </c>
      <c r="B51" s="863">
        <v>4</v>
      </c>
      <c r="D51" s="4"/>
    </row>
    <row r="52" spans="1:4">
      <c r="A52" s="863" t="s">
        <v>3502</v>
      </c>
      <c r="B52" s="863">
        <v>5</v>
      </c>
      <c r="D52" s="4"/>
    </row>
    <row r="53" spans="1:4">
      <c r="A53" s="3" t="s">
        <v>3507</v>
      </c>
      <c r="B53" s="5"/>
      <c r="D53" s="4"/>
    </row>
    <row r="54" spans="1:4">
      <c r="A54" s="733" t="str">
        <f>IF(AND(res_s1_opt=2,res_s2_opt&lt;&gt;3),"",IF(res_s2_opt=4,"","non-hazardous"))</f>
        <v/>
      </c>
      <c r="B54" s="5"/>
      <c r="D54" s="4"/>
    </row>
    <row r="55" spans="1:4">
      <c r="A55" s="733" t="str">
        <f>IF(AND(res_s1_opt=2,res_s2_opt&lt;&gt;3),"","hazardous")</f>
        <v>hazardous</v>
      </c>
      <c r="B55" s="5"/>
      <c r="D55" s="4"/>
    </row>
    <row r="56" spans="1:4">
      <c r="A56" s="733" t="str">
        <f>IF(AND(res_s1_opt=2,res_s2_opt&lt;&gt;3),"",IF(res_s2_opt=4,"","radioactive"))</f>
        <v/>
      </c>
      <c r="B56" s="5"/>
      <c r="D56" s="4"/>
    </row>
    <row r="57" spans="1:4">
      <c r="A57" s="733" t="str">
        <f>IF(AND(res_s1_opt=2,res_s2_opt&lt;&gt;3),"","radioactive hazardous")</f>
        <v>radioactive hazardous</v>
      </c>
      <c r="B57" s="5"/>
      <c r="D57" s="4"/>
    </row>
    <row r="58" spans="1:4">
      <c r="A58" s="3" t="s">
        <v>3109</v>
      </c>
    </row>
    <row r="59" spans="1:4">
      <c r="A59" s="733" t="str">
        <f>VLOOKUP(tech_name,TDB_link_table_cl,2,FALSE)</f>
        <v>https://tdb.epa.gov/tdb/treatmentprocess?treatmentProcessId=263654386</v>
      </c>
    </row>
    <row r="60" spans="1:4">
      <c r="A60" s="3" t="s">
        <v>3181</v>
      </c>
    </row>
    <row r="61" spans="1:4">
      <c r="A61" s="662" t="s">
        <v>2901</v>
      </c>
    </row>
    <row r="62" spans="1:4">
      <c r="A62" s="662" t="s">
        <v>2902</v>
      </c>
    </row>
    <row r="63" spans="1:4">
      <c r="A63" s="662"/>
    </row>
    <row r="64" spans="1:4">
      <c r="A64" s="3" t="s">
        <v>3202</v>
      </c>
      <c r="B64" s="3" t="s">
        <v>3207</v>
      </c>
    </row>
    <row r="65" spans="1:4">
      <c r="A65" s="662">
        <v>1</v>
      </c>
      <c r="B65" s="774" t="s">
        <v>3204</v>
      </c>
    </row>
    <row r="66" spans="1:4">
      <c r="A66" s="662">
        <v>2</v>
      </c>
      <c r="B66" s="774" t="s">
        <v>3531</v>
      </c>
    </row>
    <row r="67" spans="1:4">
      <c r="A67" s="662">
        <v>3</v>
      </c>
      <c r="B67" s="774" t="s">
        <v>3532</v>
      </c>
    </row>
    <row r="68" spans="1:4">
      <c r="A68" s="662">
        <v>4</v>
      </c>
      <c r="B68" s="774" t="s">
        <v>3203</v>
      </c>
    </row>
    <row r="69" spans="1:4">
      <c r="A69" s="662">
        <v>5</v>
      </c>
      <c r="B69" s="774" t="s">
        <v>3534</v>
      </c>
    </row>
    <row r="70" spans="1:4">
      <c r="A70" s="662">
        <v>6</v>
      </c>
      <c r="B70" s="774" t="s">
        <v>3533</v>
      </c>
    </row>
    <row r="71" spans="1:4">
      <c r="A71" s="662">
        <v>7</v>
      </c>
      <c r="B71" s="774" t="s">
        <v>3206</v>
      </c>
    </row>
    <row r="73" spans="1:4">
      <c r="A73" s="467" t="s">
        <v>862</v>
      </c>
      <c r="B73" s="205"/>
      <c r="C73" s="205"/>
      <c r="D73" s="4"/>
    </row>
    <row r="74" spans="1:4">
      <c r="A74" s="205"/>
      <c r="B74" s="205" t="s">
        <v>863</v>
      </c>
      <c r="C74" s="205" t="s">
        <v>864</v>
      </c>
      <c r="D74" s="4"/>
    </row>
    <row r="75" spans="1:4">
      <c r="A75" s="340" t="s">
        <v>865</v>
      </c>
      <c r="B75" s="205">
        <v>0</v>
      </c>
      <c r="C75" s="468">
        <v>0</v>
      </c>
      <c r="D75" s="4"/>
    </row>
    <row r="76" spans="1:4">
      <c r="A76" s="205"/>
      <c r="B76" s="205">
        <v>3</v>
      </c>
      <c r="C76" s="468">
        <v>0.05</v>
      </c>
      <c r="D76" s="4"/>
    </row>
    <row r="77" spans="1:4">
      <c r="A77" s="205"/>
      <c r="B77" s="205">
        <v>5</v>
      </c>
      <c r="C77" s="469">
        <v>0.125</v>
      </c>
      <c r="D77" s="4"/>
    </row>
    <row r="78" spans="1:4">
      <c r="A78" s="205"/>
      <c r="B78" s="205">
        <v>7</v>
      </c>
      <c r="C78" s="468">
        <v>0.2</v>
      </c>
      <c r="D78" s="4"/>
    </row>
    <row r="79" spans="1:4">
      <c r="A79" s="205"/>
      <c r="B79" s="205">
        <v>9</v>
      </c>
      <c r="C79" s="468">
        <v>0.3</v>
      </c>
      <c r="D79" s="4"/>
    </row>
    <row r="80" spans="1:4">
      <c r="B80" s="5"/>
      <c r="D80" s="4"/>
    </row>
    <row r="81" spans="1:5">
      <c r="A81" s="467" t="s">
        <v>869</v>
      </c>
      <c r="B81" s="205"/>
      <c r="C81" s="205"/>
      <c r="D81" s="205"/>
      <c r="E81" s="205"/>
    </row>
    <row r="82" spans="1:5">
      <c r="A82" s="205"/>
      <c r="B82" s="205" t="s">
        <v>870</v>
      </c>
      <c r="C82" s="205" t="s">
        <v>871</v>
      </c>
      <c r="D82" s="205" t="s">
        <v>872</v>
      </c>
      <c r="E82" s="462" t="s">
        <v>3508</v>
      </c>
    </row>
    <row r="83" spans="1:5">
      <c r="A83" s="340" t="s">
        <v>873</v>
      </c>
      <c r="B83" s="205">
        <v>0</v>
      </c>
      <c r="C83" s="205">
        <v>0.05</v>
      </c>
      <c r="D83" s="205">
        <v>16</v>
      </c>
      <c r="E83" s="205"/>
    </row>
    <row r="84" spans="1:5">
      <c r="A84" s="205"/>
      <c r="B84" s="205">
        <v>5.0999999999999997E-2</v>
      </c>
      <c r="C84" s="205">
        <v>0.1</v>
      </c>
      <c r="D84" s="205">
        <v>16</v>
      </c>
      <c r="E84" s="205"/>
    </row>
    <row r="85" spans="1:5">
      <c r="A85" s="205"/>
      <c r="B85" s="205">
        <v>0.10100000000000001</v>
      </c>
      <c r="C85" s="205">
        <v>0.2</v>
      </c>
      <c r="D85" s="205">
        <v>16</v>
      </c>
      <c r="E85" s="205"/>
    </row>
    <row r="86" spans="1:5">
      <c r="A86" s="205"/>
      <c r="B86" s="205">
        <v>0.20100000000000001</v>
      </c>
      <c r="C86" s="205">
        <v>0.5</v>
      </c>
      <c r="D86" s="205">
        <v>24</v>
      </c>
      <c r="E86" s="205"/>
    </row>
    <row r="87" spans="1:5">
      <c r="A87" s="205"/>
      <c r="B87" s="205">
        <v>0.501</v>
      </c>
      <c r="C87" s="205">
        <v>1</v>
      </c>
      <c r="D87" s="205">
        <v>24</v>
      </c>
      <c r="E87" s="205"/>
    </row>
    <row r="88" spans="1:5">
      <c r="A88" s="205"/>
      <c r="B88" s="205">
        <v>1.0009999999999999</v>
      </c>
      <c r="C88" s="205">
        <v>2</v>
      </c>
      <c r="D88" s="205">
        <v>24</v>
      </c>
      <c r="E88" s="205"/>
    </row>
    <row r="89" spans="1:5">
      <c r="A89" s="205"/>
      <c r="B89" s="205">
        <v>2.0009999999999999</v>
      </c>
      <c r="C89" s="205">
        <v>5</v>
      </c>
      <c r="D89" s="205">
        <v>24</v>
      </c>
      <c r="E89" s="205"/>
    </row>
    <row r="91" spans="1:5">
      <c r="A91" s="1" t="s">
        <v>3521</v>
      </c>
    </row>
    <row r="92" spans="1:5">
      <c r="A92" s="208" t="s">
        <v>3519</v>
      </c>
      <c r="B92" s="1" t="s">
        <v>3520</v>
      </c>
    </row>
    <row r="93" spans="1:5">
      <c r="A93">
        <v>1995</v>
      </c>
      <c r="B93">
        <v>152.4</v>
      </c>
    </row>
    <row r="94" spans="1:5">
      <c r="A94">
        <v>1996</v>
      </c>
      <c r="B94">
        <v>156.9</v>
      </c>
    </row>
    <row r="95" spans="1:5">
      <c r="A95">
        <v>1997</v>
      </c>
      <c r="B95">
        <v>160.5</v>
      </c>
    </row>
    <row r="96" spans="1:5">
      <c r="A96">
        <v>1998</v>
      </c>
      <c r="B96">
        <v>163</v>
      </c>
    </row>
    <row r="97" spans="1:2">
      <c r="A97">
        <v>1999</v>
      </c>
      <c r="B97">
        <v>166.6</v>
      </c>
    </row>
    <row r="98" spans="1:2">
      <c r="A98">
        <v>2000</v>
      </c>
      <c r="B98">
        <v>172.2</v>
      </c>
    </row>
    <row r="99" spans="1:2">
      <c r="A99">
        <v>2001</v>
      </c>
      <c r="B99">
        <v>177.1</v>
      </c>
    </row>
    <row r="100" spans="1:2">
      <c r="A100">
        <v>2002</v>
      </c>
      <c r="B100">
        <v>179.9</v>
      </c>
    </row>
    <row r="101" spans="1:2">
      <c r="A101">
        <v>2003</v>
      </c>
      <c r="B101">
        <v>184</v>
      </c>
    </row>
    <row r="102" spans="1:2">
      <c r="A102">
        <v>2004</v>
      </c>
      <c r="B102">
        <v>188.9</v>
      </c>
    </row>
    <row r="103" spans="1:2">
      <c r="A103">
        <v>2005</v>
      </c>
      <c r="B103">
        <v>195.3</v>
      </c>
    </row>
    <row r="104" spans="1:2">
      <c r="A104">
        <v>2006</v>
      </c>
      <c r="B104">
        <v>201.6</v>
      </c>
    </row>
    <row r="105" spans="1:2">
      <c r="A105">
        <v>2007</v>
      </c>
      <c r="B105">
        <v>207.34200000000001</v>
      </c>
    </row>
    <row r="106" spans="1:2">
      <c r="A106">
        <v>2008</v>
      </c>
      <c r="B106">
        <v>215.303</v>
      </c>
    </row>
    <row r="107" spans="1:2">
      <c r="A107">
        <v>2009</v>
      </c>
      <c r="B107">
        <v>214.53700000000001</v>
      </c>
    </row>
    <row r="108" spans="1:2">
      <c r="A108">
        <v>2010</v>
      </c>
      <c r="B108">
        <v>218.05600000000001</v>
      </c>
    </row>
    <row r="109" spans="1:2">
      <c r="A109">
        <v>2011</v>
      </c>
      <c r="B109">
        <v>224.93899999999999</v>
      </c>
    </row>
    <row r="110" spans="1:2">
      <c r="A110">
        <v>2012</v>
      </c>
      <c r="B110">
        <v>229.59399999999999</v>
      </c>
    </row>
    <row r="111" spans="1:2">
      <c r="A111">
        <v>2013</v>
      </c>
      <c r="B111">
        <v>232.95699999999999</v>
      </c>
    </row>
    <row r="112" spans="1:2">
      <c r="A112">
        <v>2014</v>
      </c>
      <c r="B112">
        <v>236.73599999999999</v>
      </c>
    </row>
    <row r="113" spans="1:2">
      <c r="A113">
        <v>2015</v>
      </c>
      <c r="B113">
        <v>237.017</v>
      </c>
    </row>
    <row r="114" spans="1:2">
      <c r="A114">
        <v>2016</v>
      </c>
      <c r="B114">
        <v>240.00700000000001</v>
      </c>
    </row>
    <row r="115" spans="1:2">
      <c r="A115">
        <v>2017</v>
      </c>
      <c r="B115">
        <v>245.12</v>
      </c>
    </row>
    <row r="116" spans="1:2">
      <c r="A116">
        <v>2018</v>
      </c>
      <c r="B116">
        <v>251.107</v>
      </c>
    </row>
    <row r="117" spans="1:2">
      <c r="A117">
        <v>2019</v>
      </c>
      <c r="B117">
        <v>255.65700000000001</v>
      </c>
    </row>
    <row r="118" spans="1:2">
      <c r="A118">
        <v>2020</v>
      </c>
      <c r="B118">
        <v>258.81099999999998</v>
      </c>
    </row>
    <row r="119" spans="1:2">
      <c r="A119">
        <v>2021</v>
      </c>
      <c r="B119">
        <v>258.81099999999998</v>
      </c>
    </row>
  </sheetData>
  <phoneticPr fontId="84"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24</vt:i4>
      </vt:variant>
      <vt:variant>
        <vt:lpstr>命名范围</vt:lpstr>
      </vt:variant>
      <vt:variant>
        <vt:i4>1425</vt:i4>
      </vt:variant>
    </vt:vector>
  </HeadingPairs>
  <TitlesOfParts>
    <vt:vector size="1449" baseType="lpstr">
      <vt:lpstr>Title Page</vt:lpstr>
      <vt:lpstr>Index</vt:lpstr>
      <vt:lpstr>INPUT</vt:lpstr>
      <vt:lpstr>OUTPUT</vt:lpstr>
      <vt:lpstr>O&amp;M Assumptions</vt:lpstr>
      <vt:lpstr>Cost Data</vt:lpstr>
      <vt:lpstr>Backwash and Bed Life</vt:lpstr>
      <vt:lpstr>Residuals Management</vt:lpstr>
      <vt:lpstr>Critical Design Assumptions</vt:lpstr>
      <vt:lpstr>Indirect Assumptions</vt:lpstr>
      <vt:lpstr>Vessel Constraints</vt:lpstr>
      <vt:lpstr>pH Adjust</vt:lpstr>
      <vt:lpstr>Pumps Pipe Structure</vt:lpstr>
      <vt:lpstr>Instrumentation and Control</vt:lpstr>
      <vt:lpstr>O&amp;M</vt:lpstr>
      <vt:lpstr>HVAC</vt:lpstr>
      <vt:lpstr>Indirect</vt:lpstr>
      <vt:lpstr>PFAS Reference</vt:lpstr>
      <vt:lpstr>Standard Inputs</vt:lpstr>
      <vt:lpstr>AutoSize</vt:lpstr>
      <vt:lpstr>Cost Equations</vt:lpstr>
      <vt:lpstr>Cost Coefficients</vt:lpstr>
      <vt:lpstr>Engineering Data</vt:lpstr>
      <vt:lpstr>Lookup Tables</vt:lpstr>
      <vt:lpstr>A_slope_lim</vt:lpstr>
      <vt:lpstr>a1_K1</vt:lpstr>
      <vt:lpstr>a1_K2</vt:lpstr>
      <vt:lpstr>a1_Kw</vt:lpstr>
      <vt:lpstr>a2_K1</vt:lpstr>
      <vt:lpstr>a2_K2</vt:lpstr>
      <vt:lpstr>a2_Kw</vt:lpstr>
      <vt:lpstr>a3_K1</vt:lpstr>
      <vt:lpstr>a3_K2</vt:lpstr>
      <vt:lpstr>a3_Kw</vt:lpstr>
      <vt:lpstr>a4_K1</vt:lpstr>
      <vt:lpstr>a4_K2</vt:lpstr>
      <vt:lpstr>a4_Kw</vt:lpstr>
      <vt:lpstr>a5_K1</vt:lpstr>
      <vt:lpstr>a5_K2</vt:lpstr>
      <vt:lpstr>a5_Kw</vt:lpstr>
      <vt:lpstr>active_filters</vt:lpstr>
      <vt:lpstr>add_2nd_building</vt:lpstr>
      <vt:lpstr>add_backwash_freq</vt:lpstr>
      <vt:lpstr>add_cond</vt:lpstr>
      <vt:lpstr>add_ports</vt:lpstr>
      <vt:lpstr>add_res_pipe_length</vt:lpstr>
      <vt:lpstr>add_salt_store</vt:lpstr>
      <vt:lpstr>add_turb</vt:lpstr>
      <vt:lpstr>add_turb_small</vt:lpstr>
      <vt:lpstr>addl_redund_cart_per_flow</vt:lpstr>
      <vt:lpstr>addon_cost</vt:lpstr>
      <vt:lpstr>af_units</vt:lpstr>
      <vt:lpstr>air_changes_build1</vt:lpstr>
      <vt:lpstr>air_changes_build2</vt:lpstr>
      <vt:lpstr>air_changes_chem_storage</vt:lpstr>
      <vt:lpstr>air_changes_contactor</vt:lpstr>
      <vt:lpstr>air_changes_office</vt:lpstr>
      <vt:lpstr>air_changes_pump</vt:lpstr>
      <vt:lpstr>alarm_back</vt:lpstr>
      <vt:lpstr>alarm_brine</vt:lpstr>
      <vt:lpstr>alarm_caustic</vt:lpstr>
      <vt:lpstr>alarm_cost_cl</vt:lpstr>
      <vt:lpstr>alarm_res</vt:lpstr>
      <vt:lpstr>alk_f</vt:lpstr>
      <vt:lpstr>alk_I</vt:lpstr>
      <vt:lpstr>alt_media_disp</vt:lpstr>
      <vt:lpstr>alt_media_disp_haz</vt:lpstr>
      <vt:lpstr>alt_media_disp_year</vt:lpstr>
      <vt:lpstr>analog_inputs</vt:lpstr>
      <vt:lpstr>analog_outputs</vt:lpstr>
      <vt:lpstr>Annualized_Capital_Cost</vt:lpstr>
      <vt:lpstr>Annualized_Cost</vt:lpstr>
      <vt:lpstr>architectural_table_cl</vt:lpstr>
      <vt:lpstr>average_flow</vt:lpstr>
      <vt:lpstr>average_flow_I</vt:lpstr>
      <vt:lpstr>average_flow_rate</vt:lpstr>
      <vt:lpstr>AXOutput</vt:lpstr>
      <vt:lpstr>back_chv_pump</vt:lpstr>
      <vt:lpstr>back_meter_size</vt:lpstr>
      <vt:lpstr>back_MOV_add</vt:lpstr>
      <vt:lpstr>back_MOV_brine</vt:lpstr>
      <vt:lpstr>back_MOV_eductor</vt:lpstr>
      <vt:lpstr>back_MOV_pump</vt:lpstr>
      <vt:lpstr>back_MOV_tank</vt:lpstr>
      <vt:lpstr>back_MOV_vessel</vt:lpstr>
      <vt:lpstr>back_pipe_diam</vt:lpstr>
      <vt:lpstr>back_pipe_length</vt:lpstr>
      <vt:lpstr>back_pipe_mult</vt:lpstr>
      <vt:lpstr>back_pump_cost_cl</vt:lpstr>
      <vt:lpstr>back_pump_energy</vt:lpstr>
      <vt:lpstr>back_pump_hp</vt:lpstr>
      <vt:lpstr>back_pump_mtl</vt:lpstr>
      <vt:lpstr>back_pump_op_hours</vt:lpstr>
      <vt:lpstr>back_pump_rating</vt:lpstr>
      <vt:lpstr>back_tank_fp</vt:lpstr>
      <vt:lpstr>back_tank_vol</vt:lpstr>
      <vt:lpstr>back_tanks</vt:lpstr>
      <vt:lpstr>back_valve_size</vt:lpstr>
      <vt:lpstr>backfill_cost_cl</vt:lpstr>
      <vt:lpstr>backwash_pump_head</vt:lpstr>
      <vt:lpstr>backwash_pump_valid</vt:lpstr>
      <vt:lpstr>backwash_pumps</vt:lpstr>
      <vt:lpstr>backwash_storage_valid</vt:lpstr>
      <vt:lpstr>backwash_time</vt:lpstr>
      <vt:lpstr>backwash_yr</vt:lpstr>
      <vt:lpstr>bearing_area</vt:lpstr>
      <vt:lpstr>bed_depth</vt:lpstr>
      <vt:lpstr>bed_expansion</vt:lpstr>
      <vt:lpstr>bedding_cost_cl</vt:lpstr>
      <vt:lpstr>bedding_depth</vt:lpstr>
      <vt:lpstr>bedding_pct</vt:lpstr>
      <vt:lpstr>bedding_vol</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booster_pump_efficiency</vt:lpstr>
      <vt:lpstr>booster_pump_head</vt:lpstr>
      <vt:lpstr>booster_pump_maintenance</vt:lpstr>
      <vt:lpstr>booster_pumps</vt:lpstr>
      <vt:lpstr>bore_cost_cl</vt:lpstr>
      <vt:lpstr>bore_depth</vt:lpstr>
      <vt:lpstr>bore_depth_max</vt:lpstr>
      <vt:lpstr>bore_depth_min</vt:lpstr>
      <vt:lpstr>bore_depth_nobasin</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brine_conc</vt:lpstr>
      <vt:lpstr>brine_conc_sat</vt:lpstr>
      <vt:lpstr>brine_dilution_gpm</vt:lpstr>
      <vt:lpstr>brine_dilution_vol</vt:lpstr>
      <vt:lpstr>brine_load</vt:lpstr>
      <vt:lpstr>brine_method</vt:lpstr>
      <vt:lpstr>brine_method_I</vt:lpstr>
      <vt:lpstr>brine_method_valid</vt:lpstr>
      <vt:lpstr>brine_MOV_tank</vt:lpstr>
      <vt:lpstr>brine_MOV_vessel</vt:lpstr>
      <vt:lpstr>brine_pipe_diam</vt:lpstr>
      <vt:lpstr>brine_pipe_length</vt:lpstr>
      <vt:lpstr>brine_valve_size</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BV_definition</vt:lpstr>
      <vt:lpstr>BV_regen</vt:lpstr>
      <vt:lpstr>BV_regen_calculated</vt:lpstr>
      <vt:lpstr>BV_units</vt:lpstr>
      <vt:lpstr>bypass_valve_size</vt:lpstr>
      <vt:lpstr>C_T_i</vt:lpstr>
      <vt:lpstr>cart_cost_cl</vt:lpstr>
      <vt:lpstr>cart_dim_table_cl</vt:lpstr>
      <vt:lpstr>cart_disp_freq</vt:lpstr>
      <vt:lpstr>cart_disp_wt</vt:lpstr>
      <vt:lpstr>cart_disposal_fee</vt:lpstr>
      <vt:lpstr>cart_eq</vt:lpstr>
      <vt:lpstr>cart_filter_discount_table</vt:lpstr>
      <vt:lpstr>cart_fp</vt:lpstr>
      <vt:lpstr>cart_labor</vt:lpstr>
      <vt:lpstr>cart_life</vt:lpstr>
      <vt:lpstr>cart_per_flow</vt:lpstr>
      <vt:lpstr>cart_replace_cost_ro_cl</vt:lpstr>
      <vt:lpstr>cart_replace_eq_ro</vt:lpstr>
      <vt:lpstr>cart_wt_table</vt:lpstr>
      <vt:lpstr>caustic_chv_pump</vt:lpstr>
      <vt:lpstr>caustic_conc_lb</vt:lpstr>
      <vt:lpstr>caustic_MOV_pump</vt:lpstr>
      <vt:lpstr>caustic_pipe_diam</vt:lpstr>
      <vt:lpstr>caustic_pipe_flow</vt:lpstr>
      <vt:lpstr>caustic_pipe_length</vt:lpstr>
      <vt:lpstr>caustic_valve_size</vt:lpstr>
      <vt:lpstr>ceiling_clearance</vt:lpstr>
      <vt:lpstr>chem_break_table_cl</vt:lpstr>
      <vt:lpstr>chem_cost_cl</vt:lpstr>
      <vt:lpstr>chem_pipe_mult</vt:lpstr>
      <vt:lpstr>ci_bfv_cost_cl</vt:lpstr>
      <vt:lpstr>ci_bfv_eq</vt:lpstr>
      <vt:lpstr>ci_bfv_eq_proc</vt:lpstr>
      <vt:lpstr>ci_chv_cost_cl</vt:lpstr>
      <vt:lpstr>ci_chv_eq</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cmix_per_tank</vt:lpstr>
      <vt:lpstr>cmix_size</vt:lpstr>
      <vt:lpstr>cmixers</vt:lpstr>
      <vt:lpstr>cmount_mix_eq</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coag_fp</vt:lpstr>
      <vt:lpstr>coag_pct</vt:lpstr>
      <vt:lpstr>coag_pipe_diam</vt:lpstr>
      <vt:lpstr>coag_pipe_flow</vt:lpstr>
      <vt:lpstr>coag_pipe_length</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comp_level_valid</vt:lpstr>
      <vt:lpstr>comp_max_horiz_bed_depth</vt:lpstr>
      <vt:lpstr>comp_max_horiz_diam</vt:lpstr>
      <vt:lpstr>comp_max_horiz_length</vt:lpstr>
      <vt:lpstr>comp_max_horiz_sa</vt:lpstr>
      <vt:lpstr>comp_max_sa_vessel</vt:lpstr>
      <vt:lpstr>comp_max_vert_bed_depth</vt:lpstr>
      <vt:lpstr>comp_max_vert_diam</vt:lpstr>
      <vt:lpstr>comp_max_vert_height</vt:lpstr>
      <vt:lpstr>comp_max_vol</vt:lpstr>
      <vt:lpstr>comp_max_vol_length</vt:lpstr>
      <vt:lpstr>comp_min_horiz_bed_depth</vt:lpstr>
      <vt:lpstr>comp_min_horiz_diam</vt:lpstr>
      <vt:lpstr>comp_min_horiz_length</vt:lpstr>
      <vt:lpstr>comp_min_sa_vessel</vt:lpstr>
      <vt:lpstr>comp_min_vert_bed_depth</vt:lpstr>
      <vt:lpstr>comp_min_vert_diam</vt:lpstr>
      <vt:lpstr>comp_min_vert_height</vt:lpstr>
      <vt:lpstr>comp_nlines_extra_search</vt:lpstr>
      <vt:lpstr>comp_out_success</vt:lpstr>
      <vt:lpstr>comp_pv_max_sizes</vt:lpstr>
      <vt:lpstr>comp_round_sa</vt:lpstr>
      <vt:lpstr>comp_sa_max</vt:lpstr>
      <vt:lpstr>comp_sa_min</vt:lpstr>
      <vt:lpstr>comp_sa_required_horiz</vt:lpstr>
      <vt:lpstr>comp_sa_required_vert</vt:lpstr>
      <vt:lpstr>comp_tank_geom</vt:lpstr>
      <vt:lpstr>comp_target_bed_depth_horiz</vt:lpstr>
      <vt:lpstr>comp_target_bed_depth_vert</vt:lpstr>
      <vt:lpstr>comp_vert_bed_depth</vt:lpstr>
      <vt:lpstr>comp_vert_diam</vt:lpstr>
      <vt:lpstr>comp_vert_height</vt:lpstr>
      <vt:lpstr>comp_vert_max_media</vt:lpstr>
      <vt:lpstr>comp_vert_max_sa</vt:lpstr>
      <vt:lpstr>comp_vert_min_number</vt:lpstr>
      <vt:lpstr>comp_vol_required</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cond_tank</vt:lpstr>
      <vt:lpstr>conduct_meter_cost_cl</vt:lpstr>
      <vt:lpstr>construction_mgt_table_cl</vt:lpstr>
      <vt:lpstr>contact_mat_per_vessel</vt:lpstr>
      <vt:lpstr>contact_material</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cpvc_pipe_eq_brine</vt:lpstr>
      <vt:lpstr>cpvc_pipe_eq_caustic</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cst_heat_cost_cl</vt:lpstr>
      <vt:lpstr>cst_insul_cost_cl</vt:lpstr>
      <vt:lpstr>cstore_days</vt:lpstr>
      <vt:lpstr>ct_coating_gal</vt:lpstr>
      <vt:lpstr>ct_cont_fp</vt:lpstr>
      <vt:lpstr>ct_cont_volume</vt:lpstr>
      <vt:lpstr>ct_curb_concrete</vt:lpstr>
      <vt:lpstr>ct_curb_height</vt:lpstr>
      <vt:lpstr>ct_curb_len_long</vt:lpstr>
      <vt:lpstr>ct_curb_len_short</vt:lpstr>
      <vt:lpstr>ct_curb_thick</vt:lpstr>
      <vt:lpstr>ct_heat_eq</vt:lpstr>
      <vt:lpstr>ct_insul_eq</vt:lpstr>
      <vt:lpstr>cul_indir_add_table</vt:lpstr>
      <vt:lpstr>cul_indir_mult_table</vt:lpstr>
      <vt:lpstr>cul_om_table</vt:lpstr>
      <vt:lpstr>current_year_cl</vt:lpstr>
      <vt:lpstr>curve</vt:lpstr>
      <vt:lpstr>D_dielectric</vt:lpstr>
      <vt:lpstr>day_heat_eq</vt:lpstr>
      <vt:lpstr>day_insul_eq</vt:lpstr>
      <vt:lpstr>day_tank_needed</vt:lpstr>
      <vt:lpstr>deep_bore_need</vt:lpstr>
      <vt:lpstr>des_NaOH_flow</vt:lpstr>
      <vt:lpstr>design_flow</vt:lpstr>
      <vt:lpstr>design_flow_I</vt:lpstr>
      <vt:lpstr>design_flow_rate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dimp_mix_eq</vt:lpstr>
      <vt:lpstr>direct_cost</vt:lpstr>
      <vt:lpstr>direct_for_UL</vt:lpstr>
      <vt:lpstr>discharge_valid</vt:lpstr>
      <vt:lpstr>Discount_rate</vt:lpstr>
      <vt:lpstr>discrete_inputs</vt:lpstr>
      <vt:lpstr>discrete_outputs</vt:lpstr>
      <vt:lpstr>disp_freq</vt:lpstr>
      <vt:lpstr>disposal_fee</vt:lpstr>
      <vt:lpstr>disposal_miles</vt:lpstr>
      <vt:lpstr>disposal_shipments</vt:lpstr>
      <vt:lpstr>distance_above</vt:lpstr>
      <vt:lpstr>dmix_per_tank</vt:lpstr>
      <vt:lpstr>dmix_size</vt:lpstr>
      <vt:lpstr>dmixers</vt:lpstr>
      <vt:lpstr>dmount_mix_eq</vt:lpstr>
      <vt:lpstr>dredging_freq</vt:lpstr>
      <vt:lpstr>dt_coating_gal</vt:lpstr>
      <vt:lpstr>dt_cont_fp</vt:lpstr>
      <vt:lpstr>dt_cont_volume</vt:lpstr>
      <vt:lpstr>dt_curb_concrete</vt:lpstr>
      <vt:lpstr>dt_curb_height</vt:lpstr>
      <vt:lpstr>dt_curb_len_long</vt:lpstr>
      <vt:lpstr>dt_curb_len_short</vt:lpstr>
      <vt:lpstr>dt_curb_thick</vt:lpstr>
      <vt:lpstr>EBCT</vt:lpstr>
      <vt:lpstr>EBCT_I</vt:lpstr>
      <vt:lpstr>EBCT_tank</vt:lpstr>
      <vt:lpstr>eductor_eq</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esc_factor_table</vt:lpstr>
      <vt:lpstr>evap_ratio</vt:lpstr>
      <vt:lpstr>ex_TSS_total</vt:lpstr>
      <vt:lpstr>excavate_cost_cl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FeCl3_purchase</vt:lpstr>
      <vt:lpstr>fg_bwt_cost_cl</vt:lpstr>
      <vt:lpstr>fg_bwt_eq</vt:lpstr>
      <vt:lpstr>fg_coag_st_eq</vt:lpstr>
      <vt:lpstr>fg_cst_cost_cl</vt:lpstr>
      <vt:lpstr>fg_cst_eq</vt:lpstr>
      <vt:lpstr>fg_ct_eq</vt:lpstr>
      <vt:lpstr>fg_day_eq</vt:lpstr>
      <vt:lpstr>fg_ht_eq</vt:lpstr>
      <vt:lpstr>fg_polymer_st_eq</vt:lpstr>
      <vt:lpstr>fg_pv_cost_cl</vt:lpstr>
      <vt:lpstr>fg_pv_eq</vt:lpstr>
      <vt:lpstr>fg_saltbox_cost_cl</vt:lpstr>
      <vt:lpstr>fg_saltbox_eq</vt:lpstr>
      <vt:lpstr>filter_elements</vt:lpstr>
      <vt:lpstr>filter_len</vt:lpstr>
      <vt:lpstr>filter_size</vt:lpstr>
      <vt:lpstr>filter_wid</vt:lpstr>
      <vt:lpstr>final_num_tanks</vt:lpstr>
      <vt:lpstr>finance_pct</vt:lpstr>
      <vt:lpstr>finance_pct_small</vt:lpstr>
      <vt:lpstr>fire_buffer</vt:lpstr>
      <vt:lpstr>flow_per_vessel</vt:lpstr>
      <vt:lpstr>fm_back</vt:lpstr>
      <vt:lpstr>fm_lkp_back</vt:lpstr>
      <vt:lpstr>fm_lkp_io</vt:lpstr>
      <vt:lpstr>fm_lkp_proc</vt:lpstr>
      <vt:lpstr>fm_lkp_res</vt:lpstr>
      <vt:lpstr>fm_proc</vt:lpstr>
      <vt:lpstr>fp_required</vt:lpstr>
      <vt:lpstr>free_board</vt:lpstr>
      <vt:lpstr>freeboard_horiz_void</vt:lpstr>
      <vt:lpstr>frost</vt:lpstr>
      <vt:lpstr>gac_slurry_cost_cl</vt:lpstr>
      <vt:lpstr>gal_NaOH_day</vt:lpstr>
      <vt:lpstr>gal_NaOH_store</vt:lpstr>
      <vt:lpstr>gamma_1</vt:lpstr>
      <vt:lpstr>gamma_2</vt:lpstr>
      <vt:lpstr>gas_cost_cl</vt:lpstr>
      <vt:lpstr>gas_eff</vt:lpstr>
      <vt:lpstr>gas_non_eff</vt:lpstr>
      <vt:lpstr>General_Oper_Labor</vt:lpstr>
      <vt:lpstr>geotech_cost</vt:lpstr>
      <vt:lpstr>h2oflush_backwash_rate</vt:lpstr>
      <vt:lpstr>haz_disposal_cost_cl</vt:lpstr>
      <vt:lpstr>haz_incin_cost_per_ton</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headloss_cart</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holding_haz_valid</vt:lpstr>
      <vt:lpstr>holding_ratio</vt:lpstr>
      <vt:lpstr>holding_tank_valid</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hrs_filter</vt:lpstr>
      <vt:lpstr>ht_clean_freq</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I_ion_str</vt:lpstr>
      <vt:lpstr>imp_mix_cost_cl</vt:lpstr>
      <vt:lpstr>in_meter_size</vt:lpstr>
      <vt:lpstr>in_out_pipe_diam</vt:lpstr>
      <vt:lpstr>in_out_pipe_flow</vt:lpstr>
      <vt:lpstr>in_out_pipe_length</vt:lpstr>
      <vt:lpstr>in_out_pipe_mult</vt:lpstr>
      <vt:lpstr>in_pipe_diam</vt:lpstr>
      <vt:lpstr>in_valve_size</vt:lpstr>
      <vt:lpstr>incin_cost_per_ton</vt:lpstr>
      <vt:lpstr>include_arch</vt:lpstr>
      <vt:lpstr>include_arch_small</vt:lpstr>
      <vt:lpstr>include_back_maint</vt:lpstr>
      <vt:lpstr>include_bond</vt:lpstr>
      <vt:lpstr>include_buildings</vt:lpstr>
      <vt:lpstr>include_buildings_I</vt:lpstr>
      <vt:lpstr>include_cart</vt:lpstr>
      <vt:lpstr>include_cm</vt:lpstr>
      <vt:lpstr>include_cm_pre</vt:lpstr>
      <vt:lpstr>include_cmix</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init_NRD_cart</vt:lpstr>
      <vt:lpstr>inp_autosize</vt:lpstr>
      <vt:lpstr>inp_sel</vt:lpstr>
      <vt:lpstr>inp_used</vt:lpstr>
      <vt:lpstr>inp_used_minimal</vt:lpstr>
      <vt:lpstr>inp_used_nonvessel1</vt:lpstr>
      <vt:lpstr>inp_used_nonvessel2</vt:lpstr>
      <vt:lpstr>inp_used_usersel</vt:lpstr>
      <vt:lpstr>inp_used_vessels</vt:lpstr>
      <vt:lpstr>input_checks</vt:lpstr>
      <vt:lpstr>input_complete</vt:lpstr>
      <vt:lpstr>input_status</vt:lpstr>
      <vt:lpstr>input_vol_vess</vt:lpstr>
      <vt:lpstr>inst_pct</vt:lpstr>
      <vt:lpstr>K_1</vt:lpstr>
      <vt:lpstr>K_2</vt:lpstr>
      <vt:lpstr>K_w</vt:lpstr>
      <vt:lpstr>labor_table_cl</vt:lpstr>
      <vt:lpstr>land_cost</vt:lpstr>
      <vt:lpstr>land_cost_cl</vt:lpstr>
      <vt:lpstr>land_required</vt:lpstr>
      <vt:lpstr>laser_printer_cost_cl</vt:lpstr>
      <vt:lpstr>lb_NaOH_day</vt:lpstr>
      <vt:lpstr>lb_NaOH_store</vt:lpstr>
      <vt:lpstr>legal_pct</vt:lpstr>
      <vt:lpstr>length_diam_ratio</vt:lpstr>
      <vt:lpstr>level_switch</vt:lpstr>
      <vt:lpstr>level_switch_small</vt:lpstr>
      <vt:lpstr>lhaz_disposal_cost_cl</vt:lpstr>
      <vt:lpstr>lhaz_fee</vt:lpstr>
      <vt:lpstr>lhaz_trans_min_cost_cl</vt:lpstr>
      <vt:lpstr>lhaz_transportation_cost_cl</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link_dcc</vt:lpstr>
      <vt:lpstr>link_dim_constraints</vt:lpstr>
      <vt:lpstr>link_icc</vt:lpstr>
      <vt:lpstr>link_load</vt:lpstr>
      <vt:lpstr>link_omc</vt:lpstr>
      <vt:lpstr>link_output</vt:lpstr>
      <vt:lpstr>link_tcc</vt:lpstr>
      <vt:lpstr>load_max</vt:lpstr>
      <vt:lpstr>load_min</vt:lpstr>
      <vt:lpstr>log_gamma_1</vt:lpstr>
      <vt:lpstr>log_gamma_2</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max_back_flow</vt:lpstr>
      <vt:lpstr>max_back_tank_size</vt:lpstr>
      <vt:lpstr>max_bed_depth</vt:lpstr>
      <vt:lpstr>max_chem_tank_size</vt:lpstr>
      <vt:lpstr>max_chem_tank_size_noSS</vt:lpstr>
      <vt:lpstr>max_cm_pump_size</vt:lpstr>
      <vt:lpstr>max_cm_pump_size_noSS</vt:lpstr>
      <vt:lpstr>max_comm_height</vt:lpstr>
      <vt:lpstr>max_cool_cl</vt:lpstr>
      <vt:lpstr>max_diam</vt:lpstr>
      <vt:lpstr>max_diam_override</vt:lpstr>
      <vt:lpstr>max_diam_std_size</vt:lpstr>
      <vt:lpstr>max_eductor_size</vt:lpstr>
      <vt:lpstr>max_ep_cell_area</vt:lpstr>
      <vt:lpstr>max_excav_depth</vt:lpstr>
      <vt:lpstr>max_haz_ship</vt:lpstr>
      <vt:lpstr>max_hazrad_ship</vt:lpstr>
      <vt:lpstr>max_heat_cl</vt:lpstr>
      <vt:lpstr>max_height</vt:lpstr>
      <vt:lpstr>max_htank_size</vt:lpstr>
      <vt:lpstr>max_length</vt:lpstr>
      <vt:lpstr>max_lhaz_ship</vt:lpstr>
      <vt:lpstr>max_pump_size</vt:lpstr>
      <vt:lpstr>max_rad_ship</vt:lpstr>
      <vt:lpstr>max_sa</vt:lpstr>
      <vt:lpstr>max_saltbox</vt:lpstr>
      <vt:lpstr>max_space_vessels</vt:lpstr>
      <vt:lpstr>max_space_vessels_cust</vt:lpstr>
      <vt:lpstr>max_space_vessels_pre</vt:lpstr>
      <vt:lpstr>max_vessel_diam_cl</vt:lpstr>
      <vt:lpstr>media_changes_cf</vt:lpstr>
      <vt:lpstr>media_density</vt:lpstr>
      <vt:lpstr>media_haz</vt:lpstr>
      <vt:lpstr>media_haz_I</vt:lpstr>
      <vt:lpstr>media_per_vessel</vt:lpstr>
      <vt:lpstr>media_volume</vt:lpstr>
      <vt:lpstr>media_volume_expanded</vt:lpstr>
      <vt:lpstr>media_volume_gal</vt:lpstr>
      <vt:lpstr>metal_cost_cl</vt:lpstr>
      <vt:lpstr>min_avg_flow</vt:lpstr>
      <vt:lpstr>min_bed_depth</vt:lpstr>
      <vt:lpstr>min_cart</vt:lpstr>
      <vt:lpstr>min_chem_flow</vt:lpstr>
      <vt:lpstr>min_cmix_hp</vt:lpstr>
      <vt:lpstr>min_comm_height</vt:lpstr>
      <vt:lpstr>min_diam</vt:lpstr>
      <vt:lpstr>min_ep_cells</vt:lpstr>
      <vt:lpstr>min_hmix_hp</vt:lpstr>
      <vt:lpstr>min_holes</vt:lpstr>
      <vt:lpstr>min_res_pipe_size</vt:lpstr>
      <vt:lpstr>min_saltbox</vt:lpstr>
      <vt:lpstr>min_standby</vt:lpstr>
      <vt:lpstr>min_trench_depth</vt:lpstr>
      <vt:lpstr>min_vessel_diam_cl</vt:lpstr>
      <vt:lpstr>misc_pct</vt:lpstr>
      <vt:lpstr>Missing_Cost</vt:lpstr>
      <vt:lpstr>mix_coating_gal</vt:lpstr>
      <vt:lpstr>mix_cont_fp</vt:lpstr>
      <vt:lpstr>mix_cont_volume</vt:lpstr>
      <vt:lpstr>mix_curb_concrete</vt:lpstr>
      <vt:lpstr>mix_curb_height</vt:lpstr>
      <vt:lpstr>mix_curb_len_long</vt:lpstr>
      <vt:lpstr>mix_curb_len_short</vt:lpstr>
      <vt:lpstr>mix_curb_thick</vt:lpstr>
      <vt:lpstr>mix_tank_fp</vt:lpstr>
      <vt:lpstr>mix_tank_vol</vt:lpstr>
      <vt:lpstr>mix_tank_vol_tot</vt:lpstr>
      <vt:lpstr>mix_tanks</vt:lpstr>
      <vt:lpstr>mixer_size</vt:lpstr>
      <vt:lpstr>mixers</vt:lpstr>
      <vt:lpstr>mob_pct_large</vt:lpstr>
      <vt:lpstr>mob_pct_medium</vt:lpstr>
      <vt:lpstr>mob_pct_small</vt:lpstr>
      <vt:lpstr>mount_mix_cost_cl</vt:lpstr>
      <vt:lpstr>mount_mix_eq</vt:lpstr>
      <vt:lpstr>mx_diam</vt:lpstr>
      <vt:lpstr>NaOH_day_tank_vol</vt:lpstr>
      <vt:lpstr>NaOH_day_tank_vol_needed</vt:lpstr>
      <vt:lpstr>NaOH_day_tanks</vt:lpstr>
      <vt:lpstr>NaOH_lbs</vt:lpstr>
      <vt:lpstr>NaOH_pct</vt:lpstr>
      <vt:lpstr>NaOH_purchase</vt:lpstr>
      <vt:lpstr>NaOH_spgr</vt:lpstr>
      <vt:lpstr>NaOH_table_cl</vt:lpstr>
      <vt:lpstr>NaOH_tank_fp</vt:lpstr>
      <vt:lpstr>NaOH_tank_vol</vt:lpstr>
      <vt:lpstr>NaOH_tanks</vt:lpstr>
      <vt:lpstr>NaOH_tot</vt:lpstr>
      <vt:lpstr>NaOH_year</vt:lpstr>
      <vt:lpstr>NaOHday_tank_fp</vt:lpstr>
      <vt:lpstr>NaOHdaytank_diam</vt:lpstr>
      <vt:lpstr>NaOHtank_diam</vt:lpstr>
      <vt:lpstr>need_cool</vt:lpstr>
      <vt:lpstr>need_heat</vt:lpstr>
      <vt:lpstr>NEPA_cost_cl</vt:lpstr>
      <vt:lpstr>NEPA_SW_cost_cl</vt:lpstr>
      <vt:lpstr>next_loc_marker</vt:lpstr>
      <vt:lpstr>no_back_tank</vt:lpstr>
      <vt:lpstr>no_back_tank_I</vt:lpstr>
      <vt:lpstr>no_backwash</vt:lpstr>
      <vt:lpstr>no_backwash_I</vt:lpstr>
      <vt:lpstr>no_equation</vt:lpstr>
      <vt:lpstr>non_fire_buffer</vt:lpstr>
      <vt:lpstr>non_haz_miles</vt:lpstr>
      <vt:lpstr>nonhaz_disposal_cost_cl</vt:lpstr>
      <vt:lpstr>nonhaz_transportation_cost_cl</vt:lpstr>
      <vt:lpstr>NPDES_permit_cost_cl</vt:lpstr>
      <vt:lpstr>NRD</vt:lpstr>
      <vt:lpstr>NRD_back_pumps</vt:lpstr>
      <vt:lpstr>NRD_cm_pump</vt:lpstr>
      <vt:lpstr>NRD_filters</vt:lpstr>
      <vt:lpstr>NRD_I</vt:lpstr>
      <vt:lpstr>NRD_pH_pumps</vt:lpstr>
      <vt:lpstr>NRD_pumps</vt:lpstr>
      <vt:lpstr>NRD_res_pump</vt:lpstr>
      <vt:lpstr>NRD_small</vt:lpstr>
      <vt:lpstr>NRD_small_1</vt:lpstr>
      <vt:lpstr>num_filters</vt:lpstr>
      <vt:lpstr>num_holes</vt:lpstr>
      <vt:lpstr>num_pits</vt:lpstr>
      <vt:lpstr>num_salt_box</vt:lpstr>
      <vt:lpstr>Num_tanks</vt:lpstr>
      <vt:lpstr>num_tanks_I</vt:lpstr>
      <vt:lpstr>num_treat_lines</vt:lpstr>
      <vt:lpstr>office_fp</vt:lpstr>
      <vt:lpstr>OH_tot</vt:lpstr>
      <vt:lpstr>OM_City_Index</vt:lpstr>
      <vt:lpstr>OM_cost</vt:lpstr>
      <vt:lpstr>op_fm_cost_cl</vt:lpstr>
      <vt:lpstr>op_fm_eq_back</vt:lpstr>
      <vt:lpstr>op_fm_eq_in</vt:lpstr>
      <vt:lpstr>op_fm_eq_proc</vt:lpstr>
      <vt:lpstr>op_fm_eq_res</vt:lpstr>
      <vt:lpstr>op_interface_software_cost_cl</vt:lpstr>
      <vt:lpstr>op_num_tanks</vt:lpstr>
      <vt:lpstr>Operator_LOE</vt:lpstr>
      <vt:lpstr>orp_anal_cost_cl</vt:lpstr>
      <vt:lpstr>ORP_sensor</vt:lpstr>
      <vt:lpstr>output_db</vt:lpstr>
      <vt:lpstr>output_page</vt:lpstr>
      <vt:lpstr>overexcavate</vt:lpstr>
      <vt:lpstr>pad_thick</vt:lpstr>
      <vt:lpstr>pad_thick_small</vt:lpstr>
      <vt:lpstr>pan_evap</vt:lpstr>
      <vt:lpstr>pc_workstation_cost_cl</vt:lpstr>
      <vt:lpstr>performance_bond_table_cl</vt:lpstr>
      <vt:lpstr>permit_cost</vt:lpstr>
      <vt:lpstr>pH_adj</vt:lpstr>
      <vt:lpstr>pH_controls</vt:lpstr>
      <vt:lpstr>pH_corr</vt:lpstr>
      <vt:lpstr>pH_meter_cost_cl</vt:lpstr>
      <vt:lpstr>pH_nocorr</vt:lpstr>
      <vt:lpstr>pH_pump_rating</vt:lpstr>
      <vt:lpstr>pH_pumps</vt:lpstr>
      <vt:lpstr>pHf</vt:lpstr>
      <vt:lpstr>pHo</vt:lpstr>
      <vt:lpstr>pilot_cost_large_cl</vt:lpstr>
      <vt:lpstr>pilot_cost_medium_cl</vt:lpstr>
      <vt:lpstr>pilot_cost_small_cl</vt:lpstr>
      <vt:lpstr>pipe_size_table_cl</vt:lpstr>
      <vt:lpstr>pit_cost_cl</vt:lpstr>
      <vt:lpstr>pit_depth</vt:lpstr>
      <vt:lpstr>pit_length</vt:lpstr>
      <vt:lpstr>pit_width</vt:lpstr>
      <vt:lpstr>pK_1</vt:lpstr>
      <vt:lpstr>pK_2</vt:lpstr>
      <vt:lpstr>pK_w</vt:lpstr>
      <vt:lpstr>pl_coag_st_eq</vt:lpstr>
      <vt:lpstr>pl_cst_cost_cl</vt:lpstr>
      <vt:lpstr>pl_cst_eq</vt:lpstr>
      <vt:lpstr>pl_ct_eq</vt:lpstr>
      <vt:lpstr>pl_day_eq</vt:lpstr>
      <vt:lpstr>pl_eductor_cost_cl</vt:lpstr>
      <vt:lpstr>pl_eductor_eq</vt:lpstr>
      <vt:lpstr>pl_polymer_st_eq</vt:lpstr>
      <vt:lpstr>pl_saltbox_cost_cl</vt:lpstr>
      <vt:lpstr>pl_saltbox_eq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pp_chv_eq_brine</vt:lpstr>
      <vt:lpstr>pp_chv_eq_caustic</vt:lpstr>
      <vt:lpstr>pp_chv_eq_coag</vt:lpstr>
      <vt:lpstr>pp_chv_eq_in</vt:lpstr>
      <vt:lpstr>pp_chv_eq_polymer</vt:lpstr>
      <vt:lpstr>pp_chv_eq_res</vt:lpstr>
      <vt:lpstr>pp_man_cost_cl</vt:lpstr>
      <vt:lpstr>pp_man_eq</vt:lpstr>
      <vt:lpstr>pp_man_eq_back</vt:lpstr>
      <vt:lpstr>pp_man_eq_bp</vt:lpstr>
      <vt:lpstr>pp_man_eq_brine</vt:lpstr>
      <vt:lpstr>pp_man_eq_caustic</vt:lpstr>
      <vt:lpstr>pp_man_eq_coag</vt:lpstr>
      <vt:lpstr>pp_man_eq_polymer</vt:lpstr>
      <vt:lpstr>pp_man_eq_proc</vt:lpstr>
      <vt:lpstr>pp_man_eq_res</vt:lpstr>
      <vt:lpstr>pp_mov_cost_cl</vt:lpstr>
      <vt:lpstr>pp_mov_eq_back</vt:lpstr>
      <vt:lpstr>pp_mov_eq_bp</vt:lpstr>
      <vt:lpstr>pp_mov_eq_brine</vt:lpstr>
      <vt:lpstr>pp_mov_eq_caustic</vt:lpstr>
      <vt:lpstr>pp_mov_eq_coag</vt:lpstr>
      <vt:lpstr>pp_mov_eq_polymer</vt:lpstr>
      <vt:lpstr>pp_mov_eq_res</vt:lpstr>
      <vt:lpstr>pp_mov_eq_tank</vt:lpstr>
      <vt:lpstr>pre_filter_replacement</vt:lpstr>
      <vt:lpstr>precip</vt:lpstr>
      <vt:lpstr>pretreat_permit_cost_cl</vt:lpstr>
      <vt:lpstr>'Critical Design Assumptions'!Print_Area</vt:lpstr>
      <vt:lpstr>INPUT!Print_Area</vt:lpstr>
      <vt:lpstr>OUTPUT!Print_Area</vt:lpstr>
      <vt:lpstr>OUTPUT!Print_Titles</vt:lpstr>
      <vt:lpstr>printer_ratio</vt:lpstr>
      <vt:lpstr>printers</vt:lpstr>
      <vt:lpstr>proc_man_vessel</vt:lpstr>
      <vt:lpstr>proc_man_vessel_cont</vt:lpstr>
      <vt:lpstr>proc_meter_size</vt:lpstr>
      <vt:lpstr>proc_MOV_pump</vt:lpstr>
      <vt:lpstr>proc_MOV_vessel</vt:lpstr>
      <vt:lpstr>proc_pipe_diam</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pump_eq_ph</vt:lpstr>
      <vt:lpstr>pump_fp</vt:lpstr>
      <vt:lpstr>pump_hp</vt:lpstr>
      <vt:lpstr>pump_mtl</vt:lpstr>
      <vt:lpstr>pump_rating</vt:lpstr>
      <vt:lpstr>pump_safety_factor</vt:lpstr>
      <vt:lpstr>pvc_coag_empump_eq</vt:lpstr>
      <vt:lpstr>pvc_coag_mmpump_eq</vt:lpstr>
      <vt:lpstr>pvc_empump_cost_cl</vt:lpstr>
      <vt:lpstr>pvc_empump_eq</vt:lpstr>
      <vt:lpstr>pvc_mmpump_cost_cl</vt:lpstr>
      <vt:lpstr>pvc_mmpump_eq</vt:lpstr>
      <vt:lpstr>pvc_pipe_cost_cl</vt:lpstr>
      <vt:lpstr>pvc_pipe_eq_back</vt:lpstr>
      <vt:lpstr>pvc_pipe_eq_bp</vt:lpstr>
      <vt:lpstr>pvc_pipe_eq_brine</vt:lpstr>
      <vt:lpstr>pvc_pipe_eq_caustic</vt:lpstr>
      <vt:lpstr>pvc_pipe_eq_coag</vt:lpstr>
      <vt:lpstr>pvc_pipe_eq_in_out</vt:lpstr>
      <vt:lpstr>pvc_pipe_eq_polymer</vt:lpstr>
      <vt:lpstr>pvc_pipe_eq_proc</vt:lpstr>
      <vt:lpstr>pvc_pipe_eq_res</vt:lpstr>
      <vt:lpstr>pvc_polymer_empump_eq</vt:lpstr>
      <vt:lpstr>pvc_polymer_mmpump_eq</vt:lpstr>
      <vt:lpstr>R_ceiling</vt:lpstr>
      <vt:lpstr>R_wall</vt:lpstr>
      <vt:lpstr>rad_annual_fee_cl</vt:lpstr>
      <vt:lpstr>rad_disposal_cost_cl</vt:lpstr>
      <vt:lpstr>rad_miles</vt:lpstr>
      <vt:lpstr>rad_trans_min_cost_cl</vt:lpstr>
      <vt:lpstr>rad_transportation_cost_cl</vt:lpstr>
      <vt:lpstr>Reduction</vt:lpstr>
      <vt:lpstr>redund_freq</vt:lpstr>
      <vt:lpstr>regen_days</vt:lpstr>
      <vt:lpstr>regen_flow_annual</vt:lpstr>
      <vt:lpstr>regen_freq</vt:lpstr>
      <vt:lpstr>regen_months</vt:lpstr>
      <vt:lpstr>regen_per_month</vt:lpstr>
      <vt:lpstr>regen_pump_mtl</vt:lpstr>
      <vt:lpstr>regen_rate</vt:lpstr>
      <vt:lpstr>regen_redun</vt:lpstr>
      <vt:lpstr>regen_reuse</vt:lpstr>
      <vt:lpstr>regen_type</vt:lpstr>
      <vt:lpstr>regen_vol</vt:lpstr>
      <vt:lpstr>regen_yr</vt:lpstr>
      <vt:lpstr>regeneration_downtime</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res_MOV_ep</vt:lpstr>
      <vt:lpstr>res_MOV_pump</vt:lpstr>
      <vt:lpstr>res_MOV_tank</vt:lpstr>
      <vt:lpstr>res_outcycle_flow</vt:lpstr>
      <vt:lpstr>res_outcycle_flow_actual</vt:lpstr>
      <vt:lpstr>res_outcycle_stagger_time</vt:lpstr>
      <vt:lpstr>res_outcycle_vol</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resin_haz_table</vt:lpstr>
      <vt:lpstr>resin_haz_valid</vt:lpstr>
      <vt:lpstr>resin_life</vt:lpstr>
      <vt:lpstr>resin_loss_annual</vt:lpstr>
      <vt:lpstr>resin_loss_vol_annual</vt:lpstr>
      <vt:lpstr>resin_volume_total</vt:lpstr>
      <vt:lpstr>resin_yr</vt:lpstr>
      <vt:lpstr>resist_eff</vt:lpstr>
      <vt:lpstr>rinse_BV</vt:lpstr>
      <vt:lpstr>rinse_gpm</vt:lpstr>
      <vt:lpstr>rinse_rate</vt:lpstr>
      <vt:lpstr>rinse_time</vt:lpstr>
      <vt:lpstr>rinse_vol</vt:lpstr>
      <vt:lpstr>S_back_pump</vt:lpstr>
      <vt:lpstr>S_booster_pump</vt:lpstr>
      <vt:lpstr>S_cm_pump</vt:lpstr>
      <vt:lpstr>S_eductor</vt:lpstr>
      <vt:lpstr>S_mixer</vt:lpstr>
      <vt:lpstr>S_res_pump</vt:lpstr>
      <vt:lpstr>SA</vt:lpstr>
      <vt:lpstr>salt_box_days</vt:lpstr>
      <vt:lpstr>salt_box_need</vt:lpstr>
      <vt:lpstr>salt_box_size</vt:lpstr>
      <vt:lpstr>salt_density</vt:lpstr>
      <vt:lpstr>salt_purchase</vt:lpstr>
      <vt:lpstr>salt_regen</vt:lpstr>
      <vt:lpstr>salt_store</vt:lpstr>
      <vt:lpstr>salt_year</vt:lpstr>
      <vt:lpstr>saltbox_dim_table_cl</vt:lpstr>
      <vt:lpstr>saltbox_fp</vt:lpstr>
      <vt:lpstr>sba_res_cost_cl</vt:lpstr>
      <vt:lpstr>sec_cont_coating_cvg</vt:lpstr>
      <vt:lpstr>sec_cont_freeboard</vt:lpstr>
      <vt:lpstr>sec_cont_max_thick</vt:lpstr>
      <vt:lpstr>sec_cont_pct_of_largest</vt:lpstr>
      <vt:lpstr>sec_cont_pct_of_total</vt:lpstr>
      <vt:lpstr>seductor_cost_cl</vt:lpstr>
      <vt:lpstr>shifts_day</vt:lpstr>
      <vt:lpstr>sitework_cost</vt:lpstr>
      <vt:lpstr>sitework_sf_cl</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space_NaOHdaytank</vt:lpstr>
      <vt:lpstr>space_NaOHtank</vt:lpstr>
      <vt:lpstr>space_office</vt:lpstr>
      <vt:lpstr>space_office_small</vt:lpstr>
      <vt:lpstr>space_other_equip</vt:lpstr>
      <vt:lpstr>space_polymer_st</vt:lpstr>
      <vt:lpstr>space_pumps</vt:lpstr>
      <vt:lpstr>space_pumps_cust</vt:lpstr>
      <vt:lpstr>space_pumps_pre</vt:lpstr>
      <vt:lpstr>space_ss</vt:lpstr>
      <vt:lpstr>space_st</vt:lpstr>
      <vt:lpstr>space_vessels</vt:lpstr>
      <vt:lpstr>spent_media</vt:lpstr>
      <vt:lpstr>spent_media_yr</vt:lpstr>
      <vt:lpstr>ss_cat</vt:lpstr>
      <vt:lpstr>ss_cat2</vt:lpstr>
      <vt:lpstr>ss_chv_cost_cl</vt:lpstr>
      <vt:lpstr>ss_chv_eq</vt:lpstr>
      <vt:lpstr>ss_chv_eq_bp</vt:lpstr>
      <vt:lpstr>ss_chv_eq_brine</vt:lpstr>
      <vt:lpstr>ss_chv_eq_caustic</vt:lpstr>
      <vt:lpstr>ss_chv_eq_in</vt:lpstr>
      <vt:lpstr>ss_chv_eq_polymer</vt:lpstr>
      <vt:lpstr>ss_chv_eq_res</vt:lpstr>
      <vt:lpstr>ss_cst_cost_cl</vt:lpstr>
      <vt:lpstr>ss_cst_eq</vt:lpstr>
      <vt:lpstr>ss_ct_eq</vt:lpstr>
      <vt:lpstr>ss_day_eq</vt:lpstr>
      <vt:lpstr>ss_diam</vt:lpstr>
      <vt:lpstr>ss_eductor_cost_cl</vt:lpstr>
      <vt:lpstr>ss_eductor_eq</vt:lpstr>
      <vt:lpstr>ss_empump_cost_cl</vt:lpstr>
      <vt:lpstr>ss_empump_eq</vt:lpstr>
      <vt:lpstr>ss_man_cost_cl</vt:lpstr>
      <vt:lpstr>ss_man_eq</vt:lpstr>
      <vt:lpstr>ss_man_eq_back</vt:lpstr>
      <vt:lpstr>ss_man_eq_bp</vt:lpstr>
      <vt:lpstr>ss_man_eq_brine</vt:lpstr>
      <vt:lpstr>ss_man_eq_caustic</vt:lpstr>
      <vt:lpstr>ss_man_eq_polymer</vt:lpstr>
      <vt:lpstr>ss_man_eq_proc</vt:lpstr>
      <vt:lpstr>ss_man_eq_res</vt:lpstr>
      <vt:lpstr>ss_mmpump_cost_cl</vt:lpstr>
      <vt:lpstr>ss_mmpump_eq</vt:lpstr>
      <vt:lpstr>ss_mov_cost_cl</vt:lpstr>
      <vt:lpstr>ss_mov_eq_back</vt:lpstr>
      <vt:lpstr>ss_mov_eq_bp</vt:lpstr>
      <vt:lpstr>ss_mov_eq_brine</vt:lpstr>
      <vt:lpstr>ss_mov_eq_caustic</vt:lpstr>
      <vt:lpstr>ss_mov_eq_polymer</vt:lpstr>
      <vt:lpstr>ss_mov_eq_res</vt:lpstr>
      <vt:lpstr>ss_mov_eq_tank</vt:lpstr>
      <vt:lpstr>ss_pipe_cost_cl</vt:lpstr>
      <vt:lpstr>ss_pipe_eq_back</vt:lpstr>
      <vt:lpstr>ss_pipe_eq_bp</vt:lpstr>
      <vt:lpstr>ss_pipe_eq_brine</vt:lpstr>
      <vt:lpstr>ss_pipe_eq_caustic</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st_ht_eq</vt:lpstr>
      <vt:lpstr>st_pipe_cost_cl</vt:lpstr>
      <vt:lpstr>st_pipe_eq_back</vt:lpstr>
      <vt:lpstr>st_pipe_eq_bp</vt:lpstr>
      <vt:lpstr>st_pipe_eq_in_out</vt:lpstr>
      <vt:lpstr>st_pipe_eq_polymer</vt:lpstr>
      <vt:lpstr>st_pipe_eq_proc</vt:lpstr>
      <vt:lpstr>st_pipe_eq_res</vt:lpstr>
      <vt:lpstr>stake_out_cost_cl</vt:lpstr>
      <vt:lpstr>std_base</vt:lpstr>
      <vt:lpstr>std_cool</vt:lpstr>
      <vt:lpstr>std_design_params</vt:lpstr>
      <vt:lpstr>std_gen_cost_cl</vt:lpstr>
      <vt:lpstr>std_heat</vt:lpstr>
      <vt:lpstr>std_power</vt:lpstr>
      <vt:lpstr>std_power_cost</vt:lpstr>
      <vt:lpstr>std_safety_factor</vt:lpstr>
      <vt:lpstr>storage_height</vt:lpstr>
      <vt:lpstr>store_fp</vt:lpstr>
      <vt:lpstr>SW_permit_cost_cl</vt:lpstr>
      <vt:lpstr>switch_cost_cl</vt:lpstr>
      <vt:lpstr>system_automation_valid</vt:lpstr>
      <vt:lpstr>system_cost</vt:lpstr>
      <vt:lpstr>t_I</vt:lpstr>
      <vt:lpstr>T_K</vt:lpstr>
      <vt:lpstr>t_minus25</vt:lpstr>
      <vt:lpstr>TAC_pct_cap</vt:lpstr>
      <vt:lpstr>TAC_pct_OM</vt:lpstr>
      <vt:lpstr>tank_geom</vt:lpstr>
      <vt:lpstr>tank_geom_I</vt:lpstr>
      <vt:lpstr>tank_valve_size</vt:lpstr>
      <vt:lpstr>target_bed_depth_horiz</vt:lpstr>
      <vt:lpstr>target_bed_depth_over</vt:lpstr>
      <vt:lpstr>target_bed_depth_under</vt:lpstr>
      <vt:lpstr>tax_pct</vt:lpstr>
      <vt:lpstr>TDB_link</vt:lpstr>
      <vt:lpstr>TDB_link_table_cl</vt:lpstr>
      <vt:lpstr>TDS_I</vt:lpstr>
      <vt:lpstr>tech_fp</vt:lpstr>
      <vt:lpstr>tech_name</vt:lpstr>
      <vt:lpstr>temp_meter_cost_cl</vt:lpstr>
      <vt:lpstr>temp_meters</vt:lpstr>
      <vt:lpstr>temp_meters_small</vt:lpstr>
      <vt:lpstr>term1_f</vt:lpstr>
      <vt:lpstr>term1_i</vt:lpstr>
      <vt:lpstr>term2_f</vt:lpstr>
      <vt:lpstr>term2_i</vt:lpstr>
      <vt:lpstr>term3_f</vt:lpstr>
      <vt:lpstr>term3_i</vt:lpstr>
      <vt:lpstr>term4_f</vt:lpstr>
      <vt:lpstr>term4_i</vt:lpstr>
      <vt:lpstr>term5_f</vt:lpstr>
      <vt:lpstr>term5_i</vt:lpstr>
      <vt:lpstr>term6_i</vt:lpstr>
      <vt:lpstr>throwaway_I</vt:lpstr>
      <vt:lpstr>thrust_block_table_cl</vt:lpstr>
      <vt:lpstr>thrust_force</vt:lpstr>
      <vt:lpstr>time_regen</vt:lpstr>
      <vt:lpstr>Top_bottom_Vessel_space</vt:lpstr>
      <vt:lpstr>tot_back_alarm</vt:lpstr>
      <vt:lpstr>tot_back_chv</vt:lpstr>
      <vt:lpstr>tot_back_man</vt:lpstr>
      <vt:lpstr>tot_back_MOVs</vt:lpstr>
      <vt:lpstr>tot_bp_chv</vt:lpstr>
      <vt:lpstr>tot_bp_chv_small</vt:lpstr>
      <vt:lpstr>tot_bp_man</vt:lpstr>
      <vt:lpstr>tot_bp_MOVs</vt:lpstr>
      <vt:lpstr>tot_brine_alarm</vt:lpstr>
      <vt:lpstr>tot_brine_man</vt:lpstr>
      <vt:lpstr>tot_brine_MOVs</vt:lpstr>
      <vt:lpstr>tot_caustic_alarm</vt:lpstr>
      <vt:lpstr>tot_caustic_chv</vt:lpstr>
      <vt:lpstr>tot_caustic_man</vt:lpstr>
      <vt:lpstr>tot_caustic_MOVs</vt:lpstr>
      <vt:lpstr>tot_chem</vt:lpstr>
      <vt:lpstr>tot_coag_chv</vt:lpstr>
      <vt:lpstr>tot_coag_man</vt:lpstr>
      <vt:lpstr>tot_coag_MOVs</vt:lpstr>
      <vt:lpstr>tot_cond_meters</vt:lpstr>
      <vt:lpstr>tot_fm_back</vt:lpstr>
      <vt:lpstr>tot_fm_in</vt:lpstr>
      <vt:lpstr>tot_fm_proc</vt:lpstr>
      <vt:lpstr>tot_fm_res</vt:lpstr>
      <vt:lpstr>tot_head_sens</vt:lpstr>
      <vt:lpstr>tot_in_chv</vt:lpstr>
      <vt:lpstr>tot_inst</vt:lpstr>
      <vt:lpstr>tot_inst_maint</vt:lpstr>
      <vt:lpstr>tot_level_switch</vt:lpstr>
      <vt:lpstr>tot_man_valves</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tot_turb_meters</vt:lpstr>
      <vt:lpstr>tot_valves</vt:lpstr>
      <vt:lpstr>total_backwash</vt:lpstr>
      <vt:lpstr>total_booster_pumps</vt:lpstr>
      <vt:lpstr>total_direct_depreciation</vt:lpstr>
      <vt:lpstr>total_downtime</vt:lpstr>
      <vt:lpstr>total_fp</vt:lpstr>
      <vt:lpstr>total_hvol_ft</vt:lpstr>
      <vt:lpstr>total_media</vt:lpstr>
      <vt:lpstr>total_res_man</vt:lpstr>
      <vt:lpstr>total_res_MOVs</vt:lpstr>
      <vt:lpstr>transfer_time</vt:lpstr>
      <vt:lpstr>treated_water_corr_ctrl_valid</vt:lpstr>
      <vt:lpstr>trench_angle</vt:lpstr>
      <vt:lpstr>trench_area</vt:lpstr>
      <vt:lpstr>trench_depth</vt:lpstr>
      <vt:lpstr>trench_vol</vt:lpstr>
      <vt:lpstr>TSS_residuals</vt:lpstr>
      <vt:lpstr>TSS_residuals_dis</vt:lpstr>
      <vt:lpstr>turb_tank</vt:lpstr>
      <vt:lpstr>turb_tank_small</vt:lpstr>
      <vt:lpstr>turbidimeter_cost_cl</vt:lpstr>
      <vt:lpstr>UBC_mult_table_cl</vt:lpstr>
      <vt:lpstr>uloe_autoregen</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ups_cost_cl</vt:lpstr>
      <vt:lpstr>use_autosize</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void_above</vt:lpstr>
      <vt:lpstr>vol_brine</vt:lpstr>
      <vt:lpstr>vol_brine_sat</vt:lpstr>
      <vt:lpstr>vol_regen</vt:lpstr>
      <vt:lpstr>vol_vessel</vt:lpstr>
      <vt:lpstr>waste_heat_bw_pumps</vt:lpstr>
      <vt:lpstr>waste_heat_pumps</vt:lpstr>
      <vt:lpstr>water_flush</vt:lpstr>
      <vt:lpstr>waterflush_vol</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Ion Exchange for PFAS Removal</dc:title>
  <dc:creator>U.S. EPA Office of Ground Water and Drinking Water</dc:creator>
  <cp:lastModifiedBy>Bingzheng Wang</cp:lastModifiedBy>
  <cp:lastPrinted>2019-05-09T15:01:41Z</cp:lastPrinted>
  <dcterms:created xsi:type="dcterms:W3CDTF">2001-05-01T17:41:48Z</dcterms:created>
  <dcterms:modified xsi:type="dcterms:W3CDTF">2025-03-11T00:28:30Z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4478.564046121</vt:r8>
  </property>
  <property fmtid="{D5CDD505-2E9C-101B-9397-08002B2CF9AE}" pid="3" name="fm_eq_in" linkTarget="prop_fm_eq_in">
    <vt:r8>6008.286119701</vt:r8>
  </property>
  <property fmtid="{D5CDD505-2E9C-101B-9397-08002B2CF9AE}" pid="4" name="fm_eq_proc" linkTarget="prop_fm_eq_proc">
    <vt:r8>6008.286119701</vt:r8>
  </property>
  <property fmtid="{D5CDD505-2E9C-101B-9397-08002B2CF9AE}" pid="5" name="fm_eq_res" linkTarget="prop_fm_eq_res">
    <vt:r8>2075.735445466</vt:r8>
  </property>
  <property fmtid="{D5CDD505-2E9C-101B-9397-08002B2CF9AE}" pid="6" name="fm_cost_cl" linkTarget="prop_fm_cost_cl">
    <vt:r8>0</vt:r8>
  </property>
</Properties>
</file>