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5.xml" ContentType="application/vnd.openxmlformats-officedocument.drawing+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omments21.xml" ContentType="application/vnd.openxmlformats-officedocument.spreadsheetml.comments+xml"/>
  <Override PartName="/xl/comments22.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fileSharing readOnlyRecommended="1"/>
  <workbookPr codeName="ThisWorkbook"/>
  <mc:AlternateContent xmlns:mc="http://schemas.openxmlformats.org/markup-compatibility/2006">
    <mc:Choice Requires="x15">
      <x15ac:absPath xmlns:x15ac="http://schemas.microsoft.com/office/spreadsheetml/2010/11/ac" url="https://cornellprod-my.sharepoint.com/personal/bw537_cornell_edu/Documents/1A-PFAS/work/Cost-basic model/RO/"/>
    </mc:Choice>
  </mc:AlternateContent>
  <xr:revisionPtr revIDLastSave="18956" documentId="14_{65CC20C7-9164-45A9-8867-BB5972DE0FDE}" xr6:coauthVersionLast="47" xr6:coauthVersionMax="47" xr10:uidLastSave="{9CD8EEBF-9301-C649-884D-AFBFD13C4CC0}"/>
  <bookViews>
    <workbookView xWindow="10080" yWindow="760" windowWidth="10000" windowHeight="17460" tabRatio="898" activeTab="3" xr2:uid="{00000000-000D-0000-FFFF-FFFF00000000}"/>
  </bookViews>
  <sheets>
    <sheet name="Title Page" sheetId="62607" r:id="rId1"/>
    <sheet name="Index" sheetId="62603" r:id="rId2"/>
    <sheet name="INPUT" sheetId="2" r:id="rId3"/>
    <sheet name="OUTPUT" sheetId="4" r:id="rId4"/>
    <sheet name="Cost Data" sheetId="62604" r:id="rId5"/>
    <sheet name="O&amp;M" sheetId="1445" r:id="rId6"/>
    <sheet name="Residuals Management" sheetId="62590" r:id="rId7"/>
    <sheet name="Critical Design Assumptions" sheetId="61860" r:id="rId8"/>
    <sheet name="Calc System" sheetId="62583" r:id="rId9"/>
    <sheet name="O&amp;M Assumptions" sheetId="62573" r:id="rId10"/>
    <sheet name="Indirect Assumptions" sheetId="62574" r:id="rId11"/>
    <sheet name="Influent and Booster Pumping" sheetId="152" r:id="rId12"/>
    <sheet name="Pretreatment" sheetId="3079" r:id="rId13"/>
    <sheet name="Feed Water" sheetId="62588" r:id="rId14"/>
    <sheet name="Train Design" sheetId="62594" r:id="rId15"/>
    <sheet name="Pressure Tuning" sheetId="62596" r:id="rId16"/>
    <sheet name="Calc One Element" sheetId="62582" r:id="rId17"/>
    <sheet name="Membrane Capital" sheetId="777" r:id="rId18"/>
    <sheet name="Cleaning" sheetId="267" r:id="rId19"/>
    <sheet name="Pipes and Structure" sheetId="62593" r:id="rId20"/>
    <sheet name="Instrumentation and Control" sheetId="62592" r:id="rId21"/>
    <sheet name="HVAC" sheetId="62601" r:id="rId22"/>
    <sheet name="Indirect" sheetId="62575" r:id="rId23"/>
    <sheet name="Conversions" sheetId="62584" r:id="rId24"/>
    <sheet name="Water Specs" sheetId="62587" r:id="rId25"/>
    <sheet name="Membrane Specs" sheetId="62586" r:id="rId26"/>
    <sheet name="Concentrate Scaling" sheetId="62597" r:id="rId27"/>
    <sheet name="Standard Inputs" sheetId="62591" r:id="rId28"/>
    <sheet name="Cost Equations" sheetId="101" r:id="rId29"/>
    <sheet name="Cost Coefficients" sheetId="62606" r:id="rId30"/>
    <sheet name="Engineering Data" sheetId="62605" r:id="rId31"/>
    <sheet name="Lookup Tables" sheetId="2560" r:id="rId32"/>
  </sheets>
  <functionGroups builtInGroupCount="19"/>
  <definedNames>
    <definedName name="A_diff">'Calc One Element'!$C$334</definedName>
    <definedName name="A_firstguess">'Train Design'!$C$114</definedName>
    <definedName name="A_guess">'Train Design'!$C$118</definedName>
    <definedName name="A_out">'Calc System'!$D$195:$AC$195</definedName>
    <definedName name="A_pctdiff">'Calc One Element'!$C$335</definedName>
    <definedName name="A_pres_corr_guess">'Train Design'!$C$117</definedName>
    <definedName name="A_press_corr">'Calc One Element'!$C$69</definedName>
    <definedName name="A_sal_corr">'Calc One Element'!$C$261</definedName>
    <definedName name="A_sal_corr_firstguess">'Calc One Element'!$C$96</definedName>
    <definedName name="A_temp_coeff_pguess">'Train Design'!$C$112</definedName>
    <definedName name="A_temp_corr">'Calc One Element'!$C$68</definedName>
    <definedName name="A_temp_corr_pguess">'Train Design'!$C$113</definedName>
    <definedName name="acid_clncst_diam">'Pipes and Structure'!$C$52</definedName>
    <definedName name="acid_clncst_fp">'Pipes and Structure'!$C$56</definedName>
    <definedName name="acid_day">Pretreatment!$C$14</definedName>
    <definedName name="acid_day_tank_fp">'Pipes and Structure'!$C$42</definedName>
    <definedName name="acid_day_tank_vol">Pretreatment!$C$42</definedName>
    <definedName name="acid_day_tank_vol_needed">Pretreatment!$C$40</definedName>
    <definedName name="acid_day_tanks">Pretreatment!$C$41</definedName>
    <definedName name="acid_density">Pretreatment!$C$9</definedName>
    <definedName name="acid_dose">Pretreatment!$C$8</definedName>
    <definedName name="acid_dt_coating_gal">Pretreatment!$C$87</definedName>
    <definedName name="acid_dt_cont_fp">Pretreatment!$C$81</definedName>
    <definedName name="acid_dt_cont_volume">Pretreatment!$C$80</definedName>
    <definedName name="acid_dt_curb_concrete">Pretreatment!$C$86</definedName>
    <definedName name="acid_dt_curb_height">Pretreatment!$C$82</definedName>
    <definedName name="acid_dt_curb_len_long">Pretreatment!$C$84</definedName>
    <definedName name="acid_dt_curb_len_short">Pretreatment!$C$85</definedName>
    <definedName name="acid_dt_curb_thick">Pretreatment!$C$83</definedName>
    <definedName name="acid_dt_diam">'Pipes and Structure'!$C$40</definedName>
    <definedName name="acid_mpump_rating">Pretreatment!$C$27</definedName>
    <definedName name="acid_mpumps">Pretreatment!$C$26</definedName>
    <definedName name="acid_st_coating_gal">Pretreatment!$C$77</definedName>
    <definedName name="acid_st_cont_fp">Pretreatment!$C$71</definedName>
    <definedName name="acid_st_cont_volume">Pretreatment!$C$70</definedName>
    <definedName name="acid_st_curb_concrete">Pretreatment!$C$76</definedName>
    <definedName name="acid_st_curb_height">Pretreatment!$C$72</definedName>
    <definedName name="acid_st_curb_len_long">Pretreatment!$C$74</definedName>
    <definedName name="acid_st_curb_len_short">Pretreatment!$C$75</definedName>
    <definedName name="acid_st_curb_thick">Pretreatment!$C$73</definedName>
    <definedName name="acid_strength_H2SO4">'Critical Design Assumptions'!$C$59</definedName>
    <definedName name="acid_strength_HCl">'Critical Design Assumptions'!$C$58</definedName>
    <definedName name="acid_tank_coating_gal">Cleaning!$C$125</definedName>
    <definedName name="acid_tank_cont_fp">Cleaning!$C$119</definedName>
    <definedName name="acid_tank_cont_volume">Cleaning!$C$118</definedName>
    <definedName name="acid_tank_curb_concrete">Cleaning!$C$124</definedName>
    <definedName name="acid_tank_curb_height">Cleaning!$C$120</definedName>
    <definedName name="acid_tank_curb_len_long">Cleaning!$C$122</definedName>
    <definedName name="acid_tank_curb_len_short">Cleaning!$C$123</definedName>
    <definedName name="acid_tank_curb_thick">Cleaning!$C$121</definedName>
    <definedName name="acid_tank_diam">'Pipes and Structure'!$C$33</definedName>
    <definedName name="acid_tank_fp">'Pipes and Structure'!$C$35</definedName>
    <definedName name="acid_tank_size">Pretreatment!$C$20</definedName>
    <definedName name="acid_tanks">Pretreatment!$C$19</definedName>
    <definedName name="acid_yr">'O&amp;M'!$C$13</definedName>
    <definedName name="active_filters">Pretreatment!$C$32</definedName>
    <definedName name="add_2nd_building">'Critical Design Assumptions'!$C$219</definedName>
    <definedName name="add_3rd_building">'Critical Design Assumptions'!$C$220</definedName>
    <definedName name="add_ports">'Critical Design Assumptions'!$C$54</definedName>
    <definedName name="add_res_pipe_length">'Critical Design Assumptions'!$C$239</definedName>
    <definedName name="add_res_pipe_length_direct">'Critical Design Assumptions'!$C$240</definedName>
    <definedName name="Additional_redundant_cartridge_filter_per_x_MGD_design_flow">'Critical Design Assumptions'!$B$65</definedName>
    <definedName name="addl_height">'Membrane Capital'!$C$30</definedName>
    <definedName name="addl_length">'Membrane Capital'!$C$24</definedName>
    <definedName name="addl_redund_cart_per_flow">'Critical Design Assumptions'!$C$65</definedName>
    <definedName name="addon_cost">OUTPUT!$C$370</definedName>
    <definedName name="af_unit_list">'Lookup Tables'!$C$93:$C$95</definedName>
    <definedName name="af_units">INPUT!$H$70</definedName>
    <definedName name="air_changes_build1">HVAC!$C$13</definedName>
    <definedName name="air_changes_build2">HVAC!$C$14</definedName>
    <definedName name="air_changes_build3">HVAC!$C$15</definedName>
    <definedName name="Air_changes_chem_storage">'O&amp;M Assumptions'!$C$44</definedName>
    <definedName name="Air_changes_contactor">'O&amp;M Assumptions'!$C$42</definedName>
    <definedName name="Air_changes_office">'O&amp;M Assumptions'!$C$45</definedName>
    <definedName name="Air_changes_pump">'O&amp;M Assumptions'!$C$43</definedName>
    <definedName name="alarm_cost_cl">'Cost Data'!$B$7:$F$7</definedName>
    <definedName name="alarm_res">'Critical Design Assumptions'!$C$245</definedName>
    <definedName name="alk_delta_tfeed">'Feed Water'!$C$186</definedName>
    <definedName name="analog_inputs">'Instrumentation and Control'!$C$82</definedName>
    <definedName name="analog_outputs">'Instrumentation and Control'!$C$83</definedName>
    <definedName name="anion_balance">'Calc One Element'!$C$174</definedName>
    <definedName name="Annualized_Capital_Cost">OUTPUT!$C$463</definedName>
    <definedName name="Annualized_Cost">OUTPUT!$C$465</definedName>
    <definedName name="anti_day">Pretreatment!$C$15</definedName>
    <definedName name="anti_day_tank_fp">'Pipes and Structure'!$C$45</definedName>
    <definedName name="anti_day_tank_vol">Pretreatment!$C$45</definedName>
    <definedName name="anti_day_tank_vol_needed">Pretreatment!$C$43</definedName>
    <definedName name="anti_day_tanks">Pretreatment!$C$44</definedName>
    <definedName name="anti_density">'Critical Design Assumptions'!$C$67</definedName>
    <definedName name="anti_dose">Pretreatment!$C$12</definedName>
    <definedName name="anti_dose_conc">'Critical Design Assumptions'!$C$66</definedName>
    <definedName name="anti_dt_coating_gal">Pretreatment!$C$107</definedName>
    <definedName name="anti_dt_cont_fp">Pretreatment!$C$101</definedName>
    <definedName name="anti_dt_cont_volume">Pretreatment!$C$100</definedName>
    <definedName name="anti_dt_curb_concrete">Pretreatment!$C$106</definedName>
    <definedName name="anti_dt_curb_height">Pretreatment!$C$102</definedName>
    <definedName name="anti_dt_curb_len_long">Pretreatment!$C$104</definedName>
    <definedName name="anti_dt_curb_len_short">Pretreatment!$C$105</definedName>
    <definedName name="anti_dt_curb_thick">Pretreatment!$C$103</definedName>
    <definedName name="anti_dt_diam">'Pipes and Structure'!$C$43</definedName>
    <definedName name="anti_mpump_rating">Pretreatment!$C$29</definedName>
    <definedName name="anti_mpumps">Pretreatment!$C$28</definedName>
    <definedName name="anti_purchase">Pretreatment!$C$67</definedName>
    <definedName name="anti_st_coating_gal">Pretreatment!$C$97</definedName>
    <definedName name="anti_st_cont_fp">Pretreatment!$C$91</definedName>
    <definedName name="anti_st_cont_volume">Pretreatment!$C$90</definedName>
    <definedName name="anti_st_curb_concrete">Pretreatment!$C$96</definedName>
    <definedName name="anti_st_curb_height">Pretreatment!$C$92</definedName>
    <definedName name="anti_st_curb_len_long">Pretreatment!$C$94</definedName>
    <definedName name="anti_st_curb_len_short">Pretreatment!$C$95</definedName>
    <definedName name="anti_st_curb_thick">Pretreatment!$C$93</definedName>
    <definedName name="anti_tank_diam">'Pipes and Structure'!$C$36</definedName>
    <definedName name="anti_tank_fp">'Pipes and Structure'!$C$38</definedName>
    <definedName name="anti_tank_size">Pretreatment!$C$24</definedName>
    <definedName name="anti_tanks">Pretreatment!$C$23</definedName>
    <definedName name="anti_yr_basic">'O&amp;M'!$C$14</definedName>
    <definedName name="anti_yr_premium">'O&amp;M'!$C$15</definedName>
    <definedName name="antiscalant_valve_size">'Instrumentation and Control'!$C$11</definedName>
    <definedName name="architectural_table_cl">'Engineering Data'!$A$6:$C$12</definedName>
    <definedName name="area_avail_23">'Pressure Tuning'!$C$27</definedName>
    <definedName name="area_avail_3">'Pressure Tuning'!$C$36</definedName>
    <definedName name="area_per_train_calc">'Calc System'!$D$101</definedName>
    <definedName name="area_per_vess">'Train Design'!$C$25</definedName>
    <definedName name="area_train">'Train Design'!$C$98</definedName>
    <definedName name="auto_clean_screen_eq">'Cost Equations'!$C$193</definedName>
    <definedName name="auto_list">'Lookup Tables'!$C$109:$C$112</definedName>
    <definedName name="auto_prescreen_cost_cl">'Cost Data'!$B$12:$F$23</definedName>
    <definedName name="auto_table">'Lookup Tables'!$C$109:$D$111</definedName>
    <definedName name="average_flow">'Influent and Booster Pumping'!$C$6</definedName>
    <definedName name="average_flow_I">INPUT!$G$70</definedName>
    <definedName name="average_flow_rate">'Influent and Booster Pumping'!$C$8</definedName>
    <definedName name="average_inflow">'Influent and Booster Pumping'!$C$13</definedName>
    <definedName name="average_inflow_rate">'Influent and Booster Pumping'!$C$15</definedName>
    <definedName name="average_rej_flow">'Residuals Management'!$C$11</definedName>
    <definedName name="average_scs_flow">'Residuals Management'!$C$17</definedName>
    <definedName name="avg_flow">'Calc One Element'!$C$122</definedName>
    <definedName name="avg_perm_flow">'Train Design'!$C$50</definedName>
    <definedName name="avg_tds">'Calc One Element'!$C$252</definedName>
    <definedName name="avg_visc">'Calc One Element'!$C$265</definedName>
    <definedName name="avg_Y_el">'Train Design'!$C$27</definedName>
    <definedName name="avg_Y_el_targ">'Train Design'!$C$19</definedName>
    <definedName name="avg_Y_el_targ_frac">'Critical Design Assumptions'!$C$164</definedName>
    <definedName name="avg_Y_vess">'Train Design'!$C$41</definedName>
    <definedName name="B_diff">'Calc One Element'!$C$340</definedName>
    <definedName name="B_out">'Calc System'!$D$196:$AC$196</definedName>
    <definedName name="B_over_A_guess">'Calc One Element'!$C$104</definedName>
    <definedName name="B_pctdiff">'Calc One Element'!$C$341</definedName>
    <definedName name="B_sal_corr">'Calc One Element'!$C$262</definedName>
    <definedName name="B_sal_corr_firstguess">'Calc One Element'!$C$98</definedName>
    <definedName name="B_temp_corr">'Calc One Element'!$C$71</definedName>
    <definedName name="backfill_cost_cl">'Cost Data'!$B$28:$F$28</definedName>
    <definedName name="bar_per_atm">Conversions!$C$24</definedName>
    <definedName name="base_salt_passage">'Calc One Element'!$C$124</definedName>
    <definedName name="baso4_bad_with_anti">'Concentrate Scaling'!$C$20</definedName>
    <definedName name="baso4_bad_without_anti">'Concentrate Scaling'!$C$19</definedName>
    <definedName name="baso4_recommend">'Concentrate Scaling'!$C$21</definedName>
    <definedName name="bearing_area">Indirect!$C$59</definedName>
    <definedName name="bedding_cost_cl">'Cost Data'!$B$33:$F$33</definedName>
    <definedName name="bedding_depth">'Indirect Assumptions'!$C$37</definedName>
    <definedName name="bedding_pct">'Indirect Assumptions'!$C$38</definedName>
    <definedName name="bedding_vol">Indirect!$C$73</definedName>
    <definedName name="bldg_hi_cost_cl">'Cost Data'!$B$1363:$F$1387</definedName>
    <definedName name="bldg_hi_eq_1">'Cost Equations'!$C$248</definedName>
    <definedName name="bldg_hi_eq_2">'Cost Equations'!$C$261</definedName>
    <definedName name="bldg_hi_eq_3">'Cost Equations'!$C$274</definedName>
    <definedName name="bldg_lo_cost_cl">'Cost Data'!$B$1392:$F$1416</definedName>
    <definedName name="bldg_lo_eq_1">'Cost Equations'!$C$246</definedName>
    <definedName name="bldg_lo_eq_2">'Cost Equations'!$C$259</definedName>
    <definedName name="bldg_lo_eq_3">'Cost Equations'!$C$272</definedName>
    <definedName name="bldg_maint_cost">'O&amp;M'!$C$70</definedName>
    <definedName name="bldg_mid_cost_cl">'Cost Data'!$B$1421:$F$1445</definedName>
    <definedName name="bldg_mid_eq_1">'Cost Equations'!$C$247</definedName>
    <definedName name="bldg_mid_eq_2">'Cost Equations'!$C$260</definedName>
    <definedName name="bldg_mid_eq_3">'Cost Equations'!$C$273</definedName>
    <definedName name="bldg_shed_cost_cl">'Cost Data'!$B$1450:$F$1451</definedName>
    <definedName name="blend_gas_concs">'Calc System'!$D$141</definedName>
    <definedName name="blend_ion_concs">'Calc System'!$D$129:$D$141</definedName>
    <definedName name="blend_TDS">'Calc System'!$D$143</definedName>
    <definedName name="blend_TDS_180c">'Calc System'!$D$144</definedName>
    <definedName name="block_vol">Indirect!$C$64</definedName>
    <definedName name="boost_2_class">'Influent and Booster Pumping'!$C$39</definedName>
    <definedName name="boost_2_energy">'O&amp;M'!$C$77</definedName>
    <definedName name="boost_2_fp">'Pipes and Structure'!$C$23</definedName>
    <definedName name="boost_2_max_pump_size">'Influent and Booster Pumping'!$C$41</definedName>
    <definedName name="boost_2_op_hp">'O&amp;M'!$C$76</definedName>
    <definedName name="boost_2_pump_choose">'Influent and Booster Pumping'!$C$40</definedName>
    <definedName name="boost_2_pump_lkp_costs">'Influent and Booster Pumping'!$C$79:$G$85</definedName>
    <definedName name="boost_3_class">'Influent and Booster Pumping'!$C$51</definedName>
    <definedName name="boost_3_energy">'O&amp;M'!$C$79</definedName>
    <definedName name="boost_3_fp">'Pipes and Structure'!$C$24</definedName>
    <definedName name="boost_3_max_pump_size">'Influent and Booster Pumping'!$C$53</definedName>
    <definedName name="boost_3_op_hp">'O&amp;M'!$C$78</definedName>
    <definedName name="boost_3_pump_choose">'Influent and Booster Pumping'!$C$52</definedName>
    <definedName name="boost_3_pump_lkp_costs">'Influent and Booster Pumping'!$C$88:$G$94</definedName>
    <definedName name="boost_flow_2">'Influent and Booster Pumping'!$C$42</definedName>
    <definedName name="boost_flow_3">'Influent and Booster Pumping'!$C$54</definedName>
    <definedName name="boost_headloss">'Critical Design Assumptions'!$C$13</definedName>
    <definedName name="boost_pump_2_gpm">'Influent and Booster Pumping'!$C$44</definedName>
    <definedName name="boost_pump_2_hp">'Influent and Booster Pumping'!$C$46</definedName>
    <definedName name="boost_pump_2_mgd">'Influent and Booster Pumping'!$C$45</definedName>
    <definedName name="boost_pump_2_psi">'Influent and Booster Pumping'!$C$38</definedName>
    <definedName name="boost_pump_3_gpm">'Influent and Booster Pumping'!$C$56</definedName>
    <definedName name="boost_pump_3_hp">'Influent and Booster Pumping'!$C$58</definedName>
    <definedName name="boost_pump_3_mgd">'Influent and Booster Pumping'!$C$57</definedName>
    <definedName name="boost_pump_3_psi">'Influent and Booster Pumping'!$C$50</definedName>
    <definedName name="boost_pump_fp">'Pipes and Structure'!$C$25</definedName>
    <definedName name="boost_pumps_2_op">'Influent and Booster Pumping'!$C$43</definedName>
    <definedName name="boost_pumps_2_tot">'Influent and Booster Pumping'!$C$47</definedName>
    <definedName name="boost_pumps_3_op">'Influent and Booster Pumping'!$C$55</definedName>
    <definedName name="boost_pumps_3_tot">'Influent and Booster Pumping'!$C$59</definedName>
    <definedName name="boost_valve_2_diam">'Instrumentation and Control'!$C$14</definedName>
    <definedName name="boost_valve_3_diam">'Instrumentation and Control'!$C$15</definedName>
    <definedName name="boost2_pump_eq">'Cost Equations'!$C$170</definedName>
    <definedName name="boost3_pump_eq">'Cost Equations'!$C$178</definedName>
    <definedName name="bore_cost_cl">'Cost Data'!$B$38:$F$38</definedName>
    <definedName name="bore_depth">Indirect!$C$38</definedName>
    <definedName name="bore_depth_max">'Indirect Assumptions'!$C$52</definedName>
    <definedName name="bore_depth_min">'Indirect Assumptions'!$C$51</definedName>
    <definedName name="bore_depth_p">'Indirect Assumptions'!$C$50</definedName>
    <definedName name="bore_draw_cost_cl">'Cost Data'!$B$43:$F$43</definedName>
    <definedName name="bore_mob_cost_cl">'Cost Data'!$B$48:$F$48</definedName>
    <definedName name="bore_need">'Indirect Assumptions'!$C$53</definedName>
    <definedName name="bore_report_cost_cl">'Cost Data'!$B$53:$F$53</definedName>
    <definedName name="bore_rig_cost_cl">'Cost Data'!$B$58:$F$58</definedName>
    <definedName name="bp_flow_rate">'Influent and Booster Pumping'!$C$9</definedName>
    <definedName name="bp_flow_rate_avg">'Influent and Booster Pumping'!$C$10</definedName>
    <definedName name="bp_pct">'Critical Design Assumptions'!$C$17</definedName>
    <definedName name="bp_pipe_diam">'Pipes and Structure'!$C$16</definedName>
    <definedName name="bp_pipe_length">'Pipes and Structure'!$C$15</definedName>
    <definedName name="bp_pipe_mult">'Critical Design Assumptions'!$C$24</definedName>
    <definedName name="bp_pump_eff">'Critical Design Assumptions'!$C$19</definedName>
    <definedName name="bp_pump_energy">'O&amp;M'!$C$85</definedName>
    <definedName name="bp_pump_eq">'Cost Equations'!$C$161</definedName>
    <definedName name="bp_pump_head">'Critical Design Assumptions'!$C$18</definedName>
    <definedName name="bp_pump_hp">'O&amp;M'!$C$83</definedName>
    <definedName name="bp_pump_materials">'O&amp;M'!$C$7</definedName>
    <definedName name="bp_pump_rating">'Influent and Booster Pumping'!$C$65</definedName>
    <definedName name="bp_pump_rating_sizing">'Influent and Booster Pumping'!$C$63</definedName>
    <definedName name="br_ins_pct">'Indirect Assumptions'!$C$98</definedName>
    <definedName name="build_UL">OUTPUT!$Y$360</definedName>
    <definedName name="build1_cfm">HVAC!$C$21</definedName>
    <definedName name="build1_cool">HVAC!$C$164</definedName>
    <definedName name="build1_cool_options">HVAC!$A$137:$L$138</definedName>
    <definedName name="build1_cool_zones">HVAC!$C$74</definedName>
    <definedName name="build1_cooling_loss_hr">HVAC!$C$69</definedName>
    <definedName name="build1_cooling_loss_yr">HVAC!$C$68</definedName>
    <definedName name="build1_cooling_req">HVAC!$C$71</definedName>
    <definedName name="build1_cooling_tons">HVAC!$C$73</definedName>
    <definedName name="build1_cooling_yr">HVAC!$C$72</definedName>
    <definedName name="build1_elec_cool">Indirect!$C$24</definedName>
    <definedName name="build1_elec_cool_power">Indirect!$C$25</definedName>
    <definedName name="build1_elec_heat">Indirect!$C$16</definedName>
    <definedName name="build1_elec_heat_power">Indirect!$C$17</definedName>
    <definedName name="build1_fp">'Pipes and Structure'!$C$81</definedName>
    <definedName name="build1_heat">HVAC!$C$163</definedName>
    <definedName name="build1_heat_loss_yr">HVAC!$C$37</definedName>
    <definedName name="build1_heat_mbh">HVAC!$C$38</definedName>
    <definedName name="build1_heat_options">HVAC!$A$109:$L$114</definedName>
    <definedName name="build1_heat_zones">HVAC!$C$39</definedName>
    <definedName name="build1_need_cool">HVAC!$C$27</definedName>
    <definedName name="build1_need_heat">HVAC!$C$26</definedName>
    <definedName name="build1_row">HVAC!$C$162</definedName>
    <definedName name="build1_side">HVAC!$C$7</definedName>
    <definedName name="build1_zones">HVAC!$C$99</definedName>
    <definedName name="build2_cfm">HVAC!$C$22</definedName>
    <definedName name="build2_cool">HVAC!$C$178</definedName>
    <definedName name="build2_cool_options">HVAC!$A$142:$L$143</definedName>
    <definedName name="build2_cool_zones">HVAC!$C$85</definedName>
    <definedName name="build2_cooling_loss_hr">HVAC!$C$80</definedName>
    <definedName name="build2_cooling_loss_yr">HVAC!$C$79</definedName>
    <definedName name="build2_cooling_req">HVAC!$C$82</definedName>
    <definedName name="build2_cooling_tons">HVAC!$C$84</definedName>
    <definedName name="build2_cooling_yr">HVAC!$C$83</definedName>
    <definedName name="build2_elec_cool">Indirect!$C$26</definedName>
    <definedName name="build2_elec_cool_power">Indirect!$C$27</definedName>
    <definedName name="build2_elec_heat">Indirect!$C$18</definedName>
    <definedName name="build2_elec_heat_power">Indirect!$C$19</definedName>
    <definedName name="build2_fp">'Pipes and Structure'!$C$82</definedName>
    <definedName name="build2_heat">HVAC!$C$177</definedName>
    <definedName name="build2_heat_loss_yr">HVAC!$C$44</definedName>
    <definedName name="build2_heat_mbh">HVAC!$C$45</definedName>
    <definedName name="build2_heat_options">HVAC!$A$118:$L$123</definedName>
    <definedName name="build2_heat_zones">HVAC!$C$46</definedName>
    <definedName name="build2_need_cool">HVAC!$C$29</definedName>
    <definedName name="build2_need_heat">HVAC!$C$28</definedName>
    <definedName name="build2_row">HVAC!$C$176</definedName>
    <definedName name="build2_side">HVAC!$C$8</definedName>
    <definedName name="build2_zones">HVAC!$C$100</definedName>
    <definedName name="build3_cfm">HVAC!$C$23</definedName>
    <definedName name="build3_cool">HVAC!$C$192</definedName>
    <definedName name="build3_cool_options">HVAC!$A$147:$L$148</definedName>
    <definedName name="build3_cool_zones">HVAC!$C$96</definedName>
    <definedName name="build3_cooling_loss_hr">HVAC!$C$91</definedName>
    <definedName name="build3_cooling_loss_yr">HVAC!$C$90</definedName>
    <definedName name="build3_cooling_req">HVAC!$C$93</definedName>
    <definedName name="build3_cooling_tons">HVAC!$C$95</definedName>
    <definedName name="build3_cooling_yr">HVAC!$C$94</definedName>
    <definedName name="build3_elec_cool">Indirect!$C$28</definedName>
    <definedName name="build3_elec_cool_power">Indirect!$C$29</definedName>
    <definedName name="build3_elec_heat">Indirect!$C$20</definedName>
    <definedName name="build3_elec_heat_power">Indirect!$C$21</definedName>
    <definedName name="build3_fp">'Pipes and Structure'!$C$83</definedName>
    <definedName name="build3_heat">HVAC!$C$191</definedName>
    <definedName name="build3_heat_loss_yr">HVAC!$C$51</definedName>
    <definedName name="build3_heat_mbh">HVAC!$C$52</definedName>
    <definedName name="build3_heat_options">HVAC!$A$127:$L$132</definedName>
    <definedName name="build3_heat_zones">HVAC!$C$53</definedName>
    <definedName name="build3_need_cool">HVAC!$C$31</definedName>
    <definedName name="build3_need_heat">HVAC!$C$30</definedName>
    <definedName name="build3_row">HVAC!$C$190</definedName>
    <definedName name="build3_side">HVAC!$C$9</definedName>
    <definedName name="build3_zones">HVAC!$C$101</definedName>
    <definedName name="building_cost">OUTPUT!$C$362</definedName>
    <definedName name="Building_height">'Critical Design Assumptions'!$C$212</definedName>
    <definedName name="building_matl_rate_cl">'Cost Data'!$D$1544</definedName>
    <definedName name="buried_res_pipe_length">'Residuals Management'!$C$116</definedName>
    <definedName name="bypass_pump_fp">'Pipes and Structure'!$C$28</definedName>
    <definedName name="bypass_valve_size">'Instrumentation and Control'!$C$23</definedName>
    <definedName name="c_dP_out">'Calc System'!$D$192:$AC$192</definedName>
    <definedName name="c_perm_conc_out">'Calc System'!$D$262:$AC$274</definedName>
    <definedName name="c_perm_flow_out">'Calc System'!$D$182:$AC$182</definedName>
    <definedName name="c_perm_tds_out">'Calc System'!$D$202:$AC$202</definedName>
    <definedName name="c_recovery_out">'Calc System'!$D$183:$AC$183</definedName>
    <definedName name="c_recovery_v">'Calc System'!$D$157:$F$157</definedName>
    <definedName name="c_salt_rej_out">'Calc System'!$D$204:$AC$204</definedName>
    <definedName name="caf2_bad_with_anti">'Concentrate Scaling'!$C$32</definedName>
    <definedName name="caf2_bad_without_anti">'Concentrate Scaling'!$C$31</definedName>
    <definedName name="caf2_ksp">'Feed Water'!$C$159</definedName>
    <definedName name="caf2_ksp_base">'Feed Water'!$C$158</definedName>
    <definedName name="caf2_pksp_base">'Feed Water'!$C$157</definedName>
    <definedName name="caf2_recommend">'Concentrate Scaling'!$C$33</definedName>
    <definedName name="caf2_vanthoff_corr">'Feed Water'!$C$156</definedName>
    <definedName name="calc_result">'Calc System'!$D$82</definedName>
    <definedName name="carbon_feed_mol">'Feed Water'!$C$62</definedName>
    <definedName name="cart_cost_cl">'Cost Data'!$B$63:$F$72</definedName>
    <definedName name="cart_dim_table_cl">'Engineering Data'!$A$17:$G$23</definedName>
    <definedName name="cart_disp_freq">'Residuals Management'!$C$36</definedName>
    <definedName name="cart_disp_wt">'Residuals Management'!$C$37</definedName>
    <definedName name="cart_disposal_fee">'Residuals Management'!$C$166</definedName>
    <definedName name="cart_eq">'Cost Equations'!$C$190</definedName>
    <definedName name="cart_filter_discount_table">'Lookup Tables'!$B$6:$C$10</definedName>
    <definedName name="cart_filter_per_chem">'Critical Design Assumptions'!$C$190</definedName>
    <definedName name="cart_life">'O&amp;M'!$C$11</definedName>
    <definedName name="cart_life_long">'O&amp;M Assumptions'!$C$7</definedName>
    <definedName name="cart_life_sdi_cutover">'O&amp;M Assumptions'!$C$8</definedName>
    <definedName name="cart_life_short">'O&amp;M Assumptions'!$C$6</definedName>
    <definedName name="cart_replace_cost_nf_cl">'Cost Data'!$B$77:$F$84</definedName>
    <definedName name="cart_replace_cost_ro_cl">'Cost Data'!$B$89:$F$96</definedName>
    <definedName name="cart_replace_eq_nf">'Cost Equations'!$C$195</definedName>
    <definedName name="cart_replace_eq_ro">'Cost Equations'!$C$196</definedName>
    <definedName name="cart_wt_table">'Lookup Tables'!$B$25:$D$31</definedName>
    <definedName name="cartridge_fp">'Pipes and Structure'!$C$32</definedName>
    <definedName name="caso4_bad_with_anti">'Concentrate Scaling'!$C$14</definedName>
    <definedName name="caso4_bad_without_anti">'Concentrate Scaling'!$C$13</definedName>
    <definedName name="caso4_recommend">'Concentrate Scaling'!$C$15</definedName>
    <definedName name="cation_balance">'Calc One Element'!$C$173</definedName>
    <definedName name="caustic_clncst_diam">'Pipes and Structure'!$C$54</definedName>
    <definedName name="caustic_clncst_fp">'Pipes and Structure'!$C$57</definedName>
    <definedName name="caustic_coating_gal">Cleaning!$C$135</definedName>
    <definedName name="caustic_cont_fp">Cleaning!$C$129</definedName>
    <definedName name="caustic_cont_volume">Cleaning!$C$128</definedName>
    <definedName name="caustic_curb_concrete">Cleaning!$C$134</definedName>
    <definedName name="caustic_curb_height">Cleaning!$C$130</definedName>
    <definedName name="caustic_curb_len_long">Cleaning!$C$132</definedName>
    <definedName name="caustic_curb_len_short">Cleaning!$C$133</definedName>
    <definedName name="caustic_curb_thick">Cleaning!$C$131</definedName>
    <definedName name="caustic_need">'Critical Design Assumptions'!$C$198</definedName>
    <definedName name="caustic_strength">'Critical Design Assumptions'!$C$60</definedName>
    <definedName name="ceiling_clearance">'Critical Design Assumptions'!$C$213</definedName>
    <definedName name="chem_alarm_cst">'Critical Design Assumptions'!$C$41</definedName>
    <definedName name="chem_alarm_pre">'Critical Design Assumptions'!$C$42</definedName>
    <definedName name="chem_break_table_cl">'Engineering Data'!$A$28:$B$72</definedName>
    <definedName name="chem_cost_cl">'Cost Data'!$B$101:$F$160</definedName>
    <definedName name="chem_per_sys">Cleaning!$C$10</definedName>
    <definedName name="chem_pipe_mult">'Critical Design Assumptions'!$C$25</definedName>
    <definedName name="chem_pump_cost_cl">'Cost Data'!$B$165:$F$176</definedName>
    <definedName name="chem_pump_feed_table">'Lookup Tables'!$B$35:$D$38</definedName>
    <definedName name="chem_pump_gph">Cleaning!$C$31</definedName>
    <definedName name="chem_pump_rating">Cleaning!$C$30</definedName>
    <definedName name="chem_pumps_per_sys">Cleaning!$C$29</definedName>
    <definedName name="chem_tank_vol">Cleaning!$C$18</definedName>
    <definedName name="ci_bfv_cost_cl">'Cost Data'!$B$181:$F$195</definedName>
    <definedName name="ci_bfv_eq">'Cost Equations'!$C$106</definedName>
    <definedName name="ci_bfv_eq_b2">'Cost Equations'!$C$118</definedName>
    <definedName name="ci_bfv_eq_b3">'Cost Equations'!$C$121</definedName>
    <definedName name="ci_bfv_eq_bp">'Cost Equations'!$C$132</definedName>
    <definedName name="ci_bfv_eq_conc">'Cost Equations'!$C$115</definedName>
    <definedName name="ci_bfv_eq_feed">'Cost Equations'!$C$113</definedName>
    <definedName name="ci_bfv_eq_res">'Cost Equations'!$C$135</definedName>
    <definedName name="ci_chv_cost_cl">'Cost Data'!$B$200:$F$208</definedName>
    <definedName name="ci_chv_eq_bp">'Cost Equations'!$C$145</definedName>
    <definedName name="ci_chv_eq_cln">'Cost Equations'!$C$151</definedName>
    <definedName name="ci_chv_eq_feed">'Cost Equations'!$C$148</definedName>
    <definedName name="ci_chv_eq_in">'Cost Equations'!$C$142</definedName>
    <definedName name="ci_chv_eq_res">'Cost Equations'!$C$139</definedName>
    <definedName name="ci_mov_cost_cl">'Cost Data'!$B$213:$F$226</definedName>
    <definedName name="ci_mov_eq_b2">'Cost Equations'!$C$85</definedName>
    <definedName name="ci_mov_eq_b3">'Cost Equations'!$C$88</definedName>
    <definedName name="ci_mov_eq_bp">'Cost Equations'!$C$99</definedName>
    <definedName name="ci_mov_eq_conc">'Cost Equations'!$C$81</definedName>
    <definedName name="ci_mov_eq_feed">'Cost Equations'!$C$79</definedName>
    <definedName name="ci_mov_eq_res">'Cost Equations'!$C$102</definedName>
    <definedName name="cimp_mix_eq">'Cost Equations'!$C$239</definedName>
    <definedName name="citric_density">'Critical Design Assumptions'!$C$194</definedName>
    <definedName name="citric_need">'Critical Design Assumptions'!$C$195</definedName>
    <definedName name="citric_per_cycle">Cleaning!$C$62</definedName>
    <definedName name="citric_purchase">Cleaning!$C$97</definedName>
    <definedName name="citric_store">Cleaning!$C$64</definedName>
    <definedName name="citric_store_cuft">Cleaning!$C$65</definedName>
    <definedName name="citric_yr">Cleaning!$C$63</definedName>
    <definedName name="city_index">OUTPUT!$C$394</definedName>
    <definedName name="Cl_delta_tfeed">'Feed Water'!$C$187</definedName>
    <definedName name="Cl_delta_tfeed_ppm">'Feed Water'!$C$189</definedName>
    <definedName name="clean_acid">'Critical Design Assumptions'!$C$193</definedName>
    <definedName name="clean_acid_store_tank_size">Cleaning!$C$72</definedName>
    <definedName name="clean_acid_store_tanks">Cleaning!$C$71</definedName>
    <definedName name="clean_cart_eq">'Cost Equations'!$C$194</definedName>
    <definedName name="clean_cart_filter_flow">Cleaning!$C$50</definedName>
    <definedName name="clean_caustic_store_tank_size">Cleaning!$C$84</definedName>
    <definedName name="clean_caustic_store_tanks">Cleaning!$C$83</definedName>
    <definedName name="clean_chem_fp">'Pipes and Structure'!$C$58</definedName>
    <definedName name="clean_feed_fp">'Pipes and Structure'!$C$59</definedName>
    <definedName name="clean_filt_fp">'Pipes and Structure'!$C$60</definedName>
    <definedName name="clean_filter_elements">Cleaning!$C$53</definedName>
    <definedName name="clean_filter_len">Cleaning!$C$51</definedName>
    <definedName name="clean_filter_replacement">'O&amp;M'!$C$26</definedName>
    <definedName name="clean_filter_wid">Cleaning!$C$52</definedName>
    <definedName name="clean_fp">'Pipes and Structure'!$C$62</definedName>
    <definedName name="clean_high_pH">'Critical Design Assumptions'!$C$197</definedName>
    <definedName name="clean_interval_override">INPUT!$G$95</definedName>
    <definedName name="clean_labor">'O&amp;M'!$C$54</definedName>
    <definedName name="clean_materials">'O&amp;M'!$C$25</definedName>
    <definedName name="clean_meter_size">'Instrumentation and Control'!$C$60</definedName>
    <definedName name="clean_offline_frac">Cleaning!$C$8</definedName>
    <definedName name="clean_pipe_diam">'Pipes and Structure'!$C$14</definedName>
    <definedName name="clean_pipe_flow">'Pipes and Structure'!$C$13</definedName>
    <definedName name="clean_pipe_length">'Pipes and Structure'!$C$12</definedName>
    <definedName name="clean_screen_eq">'Cost Equations'!$C$191</definedName>
    <definedName name="clean_screen_fp">'Pipes and Structure'!$C$61</definedName>
    <definedName name="clean_tank_diam">'Pipes and Structure'!$C$49</definedName>
    <definedName name="clean_tank_fp">'Pipes and Structure'!$C$51</definedName>
    <definedName name="clean_valve_size">'Instrumentation and Control'!$C$22</definedName>
    <definedName name="cleaning_chv">'Critical Design Assumptions'!$C$33</definedName>
    <definedName name="cleaning_cycle">'Critical Design Assumptions'!$C$183</definedName>
    <definedName name="cleaning_freq_change">'Critical Design Assumptions'!$C$176</definedName>
    <definedName name="cleaning_freq_max">'Critical Design Assumptions'!$C$177</definedName>
    <definedName name="cleaning_freq_min">'Critical Design Assumptions'!$C$178</definedName>
    <definedName name="cleaning_freq_SDI2">'Critical Design Assumptions'!$C$175</definedName>
    <definedName name="cleaning_heat_time">'Critical Design Assumptions'!$C$186</definedName>
    <definedName name="cleaning_interval">Cleaning!$C$7</definedName>
    <definedName name="cleaning_temp">'Critical Design Assumptions'!$C$185</definedName>
    <definedName name="Clerical_LOE">'O&amp;M'!$C$60</definedName>
    <definedName name="Clerical_percent">'O&amp;M Assumptions'!$C$25</definedName>
    <definedName name="cm_cost">Indirect!$C$100</definedName>
    <definedName name="cmix_hp_max">Pretreatment!$C$48</definedName>
    <definedName name="cmix_hp_per">'Critical Design Assumptions'!$C$71</definedName>
    <definedName name="cmix_per_tank">Pretreatment!$C$49</definedName>
    <definedName name="cmix_size">Pretreatment!$C$51</definedName>
    <definedName name="cmixers">Pretreatment!$C$50</definedName>
    <definedName name="cmount_mix_eq">'Cost Equations'!$C$238</definedName>
    <definedName name="CO2_feed_mol">'Feed Water'!$C$60</definedName>
    <definedName name="CO2_tfeed_meq">'Feed Water'!$C$185</definedName>
    <definedName name="CO3_feed_mol">'Feed Water'!$C$59</definedName>
    <definedName name="CO3_tfeed_meq">'Feed Water'!$C$184</definedName>
    <definedName name="Coeff_Kp">'Indirect Assumptions'!$C$35</definedName>
    <definedName name="cols_per_conc_hdr">'Critical Design Assumptions'!$C$147</definedName>
    <definedName name="cols_per_feed_hdr">'Critical Design Assumptions'!$C$146</definedName>
    <definedName name="cols_per_perm_hdr">'Critical Design Assumptions'!$C$148</definedName>
    <definedName name="comp_in_prog">'Calc System'!$D$81</definedName>
    <definedName name="complexity">'Indirect Assumptions'!$C$77</definedName>
    <definedName name="component_level">'Instrumentation and Control'!$C$5</definedName>
    <definedName name="component_level_I">INPUT!$G$104</definedName>
    <definedName name="component_level_list">'Lookup Tables'!$C$85:$C$88</definedName>
    <definedName name="component_level_table">'Lookup Tables'!$C$85:$D$87</definedName>
    <definedName name="conc_alkalinity">'Calc One Element'!$C$290</definedName>
    <definedName name="conc_basin_cost_cl">'Cost Data'!$B$231:$F$231</definedName>
    <definedName name="conc_baso4_ip">'Calc One Element'!$C$304</definedName>
    <definedName name="conc_baso4_ksp">'Calc One Element'!$C$303</definedName>
    <definedName name="conc_BaSO4_sat_out">'Calc System'!$D$211:$AC$211</definedName>
    <definedName name="conc_baso4_sat_pct">'Calc One Element'!$C$305</definedName>
    <definedName name="conc_BaSO4_sat_sys">'Calc System'!$D$107</definedName>
    <definedName name="conc_Ca">'Calc One Element'!$C$292</definedName>
    <definedName name="conc_ca_corr">'Calc One Element'!$C$313</definedName>
    <definedName name="conc_ca_molL">'Calc One Element'!$C$315</definedName>
    <definedName name="conc_caf2_ip">'Calc One Element'!$C$317</definedName>
    <definedName name="conc_CaF2_sat_out">'Calc System'!$D$213:$AC$213</definedName>
    <definedName name="conc_caf2_sat_pct">'Calc One Element'!$C$318</definedName>
    <definedName name="conc_CaF2_sat_sys">'Calc System'!$D$109</definedName>
    <definedName name="conc_caso4_ip">'Calc One Element'!$C$299</definedName>
    <definedName name="conc_caso4_ksp">'Calc One Element'!$C$298</definedName>
    <definedName name="conc_CaSO4_sat_out">'Calc System'!$D$210:$AC$210</definedName>
    <definedName name="conc_caso4_sat_pct">'Calc One Element'!$C$300</definedName>
    <definedName name="conc_CaSO4_sat_sys">'Calc System'!$D$106</definedName>
    <definedName name="conc_co3_corr">'Calc One Element'!$C$280</definedName>
    <definedName name="conc_coating_cost_cl">'Cost Data'!$B$236:$F$236</definedName>
    <definedName name="conc_conc_out">'Calc System'!$D$247:$AC$259</definedName>
    <definedName name="conc_f_corr">'Calc One Element'!$C$314</definedName>
    <definedName name="conc_f_molL">'Calc One Element'!$C$316</definedName>
    <definedName name="conc_flow">'Calc One Element'!$C$119</definedName>
    <definedName name="conc_flow_out">'Calc System'!$D$178:$AC$178</definedName>
    <definedName name="conc_flow_sys">'Calc System'!$D$90</definedName>
    <definedName name="conc_flow_v">'Calc System'!$D$152:$F$152</definedName>
    <definedName name="conc_gas_out">'Calc System'!$D$259:$AC$259</definedName>
    <definedName name="conc_gas_ppm">'Calc One Element'!$C$234</definedName>
    <definedName name="conc_hco3_corr">'Calc One Element'!$C$279</definedName>
    <definedName name="conc_hdr_diam">'Membrane Capital'!$C$65</definedName>
    <definedName name="conc_hdr_length">'Membrane Capital'!$C$66</definedName>
    <definedName name="conc_Hplus">'Calc One Element'!$C$285</definedName>
    <definedName name="conc_ionstrength">'Calc One Element'!$C$275</definedName>
    <definedName name="conc_ionstrength_out">'Calc System'!$D$208:$AC$208</definedName>
    <definedName name="conc_K1">'Calc One Element'!$C$283</definedName>
    <definedName name="conc_K2">'Calc One Element'!$C$284</definedName>
    <definedName name="conc_LSI">'Calc One Element'!$C$295</definedName>
    <definedName name="conc_LSI_out">'Calc System'!$D$209:$AC$209</definedName>
    <definedName name="conc_LSI_sys">'Calc System'!$D$105</definedName>
    <definedName name="conc_meq">'Calc One Element'!$C$207:$C$219</definedName>
    <definedName name="conc_meter_size">'Instrumentation and Control'!$C$58</definedName>
    <definedName name="conc_OHminus">'Calc One Element'!$C$289</definedName>
    <definedName name="conc_pad_cost_cl">'Cost Data'!$B$241:$F$241</definedName>
    <definedName name="conc_pAlk">'Calc One Element'!$C$291</definedName>
    <definedName name="conc_pCa">'Calc One Element'!$C$293</definedName>
    <definedName name="conc_pH">'Calc One Element'!$C$286</definedName>
    <definedName name="conc_pH_out">'Calc System'!$D$207:$AC$207</definedName>
    <definedName name="conc_pH_s">'Calc One Element'!$C$294</definedName>
    <definedName name="conc_pipe_diam">'Pipes and Structure'!$C$11</definedName>
    <definedName name="conc_pipe_flow">'Pipes and Structure'!$C$10</definedName>
    <definedName name="conc_pipe_len">'Membrane Capital'!$C$70</definedName>
    <definedName name="conc_pK_corr">'Calc One Element'!$C$278</definedName>
    <definedName name="conc_pK1">'Calc One Element'!$C$281</definedName>
    <definedName name="conc_pK2">'Calc One Element'!$C$282</definedName>
    <definedName name="conc_pol">'Calc One Element'!$C$125</definedName>
    <definedName name="conc_pol_out">'Calc System'!$D$197:$AC$197</definedName>
    <definedName name="conc_ppm">'Calc One Element'!$C$222:$C$234</definedName>
    <definedName name="conc_SiO2_conc_sys">'Calc System'!$D$110</definedName>
    <definedName name="conc_sio2_sat">'Calc One Element'!$C$322</definedName>
    <definedName name="conc_sio2_sat_corr">'Calc One Element'!$C$321</definedName>
    <definedName name="conc_SiO2_sat_out">'Calc System'!$D$214:$AC$214</definedName>
    <definedName name="conc_sio2_sat_pct">'Calc One Element'!$C$323</definedName>
    <definedName name="conc_SiO2_sat_sys">'Calc System'!$D$111</definedName>
    <definedName name="conc_srso4_ip">'Calc One Element'!$C$309</definedName>
    <definedName name="conc_srso4_ksp">'Calc One Element'!$C$308</definedName>
    <definedName name="conc_SrSO4_sat_out">'Calc System'!$D$212:$AC$212</definedName>
    <definedName name="conc_srso4_sat_pct">'Calc One Element'!$C$310</definedName>
    <definedName name="conc_SrSO4_sat_sys">'Calc System'!$D$108</definedName>
    <definedName name="conc_tds">'Calc One Element'!$C$251</definedName>
    <definedName name="conc_tds_out">'Calc System'!$D$201:$AC$201</definedName>
    <definedName name="conc_tds_sys">'Calc System'!$D$96</definedName>
    <definedName name="conc_tds_v">'Calc System'!$D$162:$F$162</definedName>
    <definedName name="conc_thick">'Critical Design Assumptions'!$C$230</definedName>
    <definedName name="conc_valve_size">'Instrumentation and Control'!$C$13</definedName>
    <definedName name="conc_visc">'Calc One Element'!$C$264</definedName>
    <definedName name="concrete">'Pipes and Structure'!$C$88</definedName>
    <definedName name="concrete_pumps">'Pipes and Structure'!$C$86</definedName>
    <definedName name="concrete_racks">'Pipes and Structure'!$C$87</definedName>
    <definedName name="cond_rack">'Critical Design Assumptions'!$C$47</definedName>
    <definedName name="conduct_meter_cost_cl">'Cost Data'!$B$246:$F$246</definedName>
    <definedName name="conn_feed_diam">'Membrane Capital'!$C$47</definedName>
    <definedName name="conn_feed_PV">'Critical Design Assumptions'!$C$143</definedName>
    <definedName name="conn_feed_total">'Membrane Capital'!$C$45</definedName>
    <definedName name="conn_perm_diam">'Membrane Capital'!$C$48</definedName>
    <definedName name="conn_perm_PV">'Critical Design Assumptions'!$C$144</definedName>
    <definedName name="conn_perm_total">'Membrane Capital'!$C$46</definedName>
    <definedName name="construction_mgt_table_cl">'Engineering Data'!$A$77:$C$82</definedName>
    <definedName name="contingency_table_cl">'Engineering Data'!$A$87:$C$92</definedName>
    <definedName name="cool_DD">'O&amp;M Assumptions'!$C$60</definedName>
    <definedName name="cool_viload">'O&amp;M Assumptions'!$C$62</definedName>
    <definedName name="cooling">'O&amp;M'!$C$103</definedName>
    <definedName name="cooling_hp">'O&amp;M'!$C$104</definedName>
    <definedName name="cooling_matl_rate_cl">'Cost Data'!$D$1547</definedName>
    <definedName name="cooling_table">'Indirect Assumptions'!$A$119:$E$121</definedName>
    <definedName name="cooling_table_shed">'Indirect Assumptions'!$A$123:$E$125</definedName>
    <definedName name="COP">'O&amp;M Assumptions'!$C$64</definedName>
    <definedName name="cost_buildup_error">OUTPUT!$C$493</definedName>
    <definedName name="cost_level_link">INPUT!$G$4</definedName>
    <definedName name="cpvc_pipe_cost_cl">'Cost Data'!$B$251:$F$266</definedName>
    <definedName name="cpvc_pipe_eq_bp">'Cost Equations'!$C$67</definedName>
    <definedName name="cpvc_pipe_eq_clean">'Cost Equations'!$C$58</definedName>
    <definedName name="cpvc_pipe_eq_feed">'Cost Equations'!$C$43</definedName>
    <definedName name="cpvc_pipe_eq_in_out">'Cost Equations'!$C$53</definedName>
    <definedName name="cpvc_pipe_eq_perm">'Cost Equations'!$C$48</definedName>
    <definedName name="cpvc_pipe_eq_res">'Cost Equations'!$C$62</definedName>
    <definedName name="cst_heat_cost_cl">'Cost Data'!$B$271:$F$310</definedName>
    <definedName name="cst_heat_eq">'Cost Equations'!$C$27</definedName>
    <definedName name="cst_insul_cost_cl">'Cost Data'!$B$315:$F$354</definedName>
    <definedName name="cst_insul_eq">'Cost Equations'!$C$28</definedName>
    <definedName name="cstore_days">'Critical Design Assumptions'!$C$68</definedName>
    <definedName name="cul_indir_add_table">OUTPUT!$B$471:$C$471,OUTPUT!$B$486:$C$486,OUTPUT!$B$480:'OUTPUT'!$C$481,OUTPUT!$B$474:$C$478,OUTPUT!$B$472:$C$472,OUTPUT!$B$368:$C$369,OUTPUT!$B$367:$C$367</definedName>
    <definedName name="cul_indir_mult_table">OUTPUT!$B$473:$C$473,OUTPUT!$B$479:$C$479,OUTPUT!$B$482:$C$485</definedName>
    <definedName name="cul_indir_overall_mult">OUTPUT!$B$394:$C$394</definedName>
    <definedName name="cul_om_table">OUTPUT!$B$406:$H$451</definedName>
    <definedName name="current_element_position">'Calc One Element'!$C$7</definedName>
    <definedName name="current_element_stage">'Calc One Element'!$C$6</definedName>
    <definedName name="current_year_cl">'Cost Data'!$C$358</definedName>
    <definedName name="curve">'Critical Design Assumptions'!$C$5</definedName>
    <definedName name="cycles_yr">Cleaning!$C$55</definedName>
    <definedName name="d_per_min">Conversions!$C$7</definedName>
    <definedName name="d_per_sec">Conversions!$C$6</definedName>
    <definedName name="day_tank_needed">'Critical Design Assumptions'!$C$69</definedName>
    <definedName name="default_cleaning_interval">Cleaning!$C$6</definedName>
    <definedName name="deltaP">'Calc One Element'!$C$267</definedName>
    <definedName name="deltaP_firstguess">'Calc One Element'!$C$101</definedName>
    <definedName name="deltaP_remaining">'Calc One Element'!$C$383</definedName>
    <definedName name="deltaP_v">'Calc System'!$D$159:$F$159</definedName>
    <definedName name="deltaP_vessel">'Calc One Element'!$C$269</definedName>
    <definedName name="design_flow">'Influent and Booster Pumping'!$C$5</definedName>
    <definedName name="design_flow_I">INPUT!$G$69</definedName>
    <definedName name="design_flow_rate">'Influent and Booster Pumping'!$C$7</definedName>
    <definedName name="design_flux">INPUT!$G$81</definedName>
    <definedName name="design_inflow">'Influent and Booster Pumping'!$C$12</definedName>
    <definedName name="design_inflow_rate">'Influent and Booster Pumping'!$C$14</definedName>
    <definedName name="design_Qfeed">'Train Design'!$C$37</definedName>
    <definedName name="design_Qfeed_full">'Train Design'!$C$9</definedName>
    <definedName name="design_Qperm">'Train Design'!$C$38</definedName>
    <definedName name="design_Qperm_full">'Train Design'!$C$10</definedName>
    <definedName name="design_rej_flow">'Residuals Management'!$C$10</definedName>
    <definedName name="design_scs_flow">'Residuals Management'!$C$16</definedName>
    <definedName name="df_unit_list">'Lookup Tables'!$C$90:$C$91</definedName>
    <definedName name="df_units">INPUT!$H$69</definedName>
    <definedName name="di_pipe_cost_cl">'Cost Data'!$B$363:$F$377</definedName>
    <definedName name="di_pipe_eq_feed">'Cost Equations'!$C$42</definedName>
    <definedName name="di_pipe_eq_in_out">'Cost Equations'!$C$52</definedName>
    <definedName name="diag_horiz_length">'Membrane Capital'!$C$37</definedName>
    <definedName name="diag_length">'Membrane Capital'!$C$38</definedName>
    <definedName name="diag_members">'Membrane Capital'!$C$36</definedName>
    <definedName name="diesel_cost_cl">'Cost Data'!$D$1550</definedName>
    <definedName name="diesel_eff">'O&amp;M Assumptions'!$C$68</definedName>
    <definedName name="diesel_heat_content">'O&amp;M Assumptions'!$C$72</definedName>
    <definedName name="diesel_non_eff">'O&amp;M Assumptions'!$C$67</definedName>
    <definedName name="diff_meq">'Calc One Element'!$C$237:$C$249</definedName>
    <definedName name="dike_volume">'Residuals Management'!$C$99</definedName>
    <definedName name="dike_xsection">'Critical Design Assumptions'!$C$276</definedName>
    <definedName name="dimp_mix_eq">'Cost Equations'!$C$243</definedName>
    <definedName name="direct_cost">OUTPUT!$C$363</definedName>
    <definedName name="direct_for_UL">OUTPUT!$W$360</definedName>
    <definedName name="discount_rate">OUTPUT!$C$456</definedName>
    <definedName name="discrete_inputs">'Instrumentation and Control'!$C$80</definedName>
    <definedName name="discrete_outputs">'Instrumentation and Control'!$C$81</definedName>
    <definedName name="dmix_per_tank">Pretreatment!$C$52</definedName>
    <definedName name="dmix_size">Pretreatment!$C$54</definedName>
    <definedName name="dmixers">Pretreatment!$C$53</definedName>
    <definedName name="dmount_mix_eq">'Cost Equations'!$C$242</definedName>
    <definedName name="dP_1_guess">'Train Design'!$C$108</definedName>
    <definedName name="dP_2_guess">'Train Design'!$C$109</definedName>
    <definedName name="dP_3_guess">'Train Design'!$C$110</definedName>
    <definedName name="dP_out">'Calc System'!$D$191:$AC$191</definedName>
    <definedName name="dP_tot_guess">'Train Design'!$C$111</definedName>
    <definedName name="dPves_pctchange">'Calc One Element'!$C$374</definedName>
    <definedName name="drain_rate_frac">'Critical Design Assumptions'!$C$201</definedName>
    <definedName name="dredging_freq">'Critical Design Assumptions'!$C$274</definedName>
    <definedName name="eductor_size_table_cl">'Engineering Data'!$A$97:$B$103</definedName>
    <definedName name="EER">'O&amp;M Assumptions'!$C$69</definedName>
    <definedName name="effluent_TSS">'Critical Design Assumptions'!$C$247</definedName>
    <definedName name="el_1_1">'Calc System'!$E$176:$E$277</definedName>
    <definedName name="el_1_2">'Calc System'!$F$176:$F$277</definedName>
    <definedName name="el_1_3">'Calc System'!$G$176:$G$277</definedName>
    <definedName name="el_1_4">'Calc System'!$H$176:$H$277</definedName>
    <definedName name="el_1_5">'Calc System'!$I$176:$I$277</definedName>
    <definedName name="el_1_6">'Calc System'!$J$176:$J$277</definedName>
    <definedName name="el_1_7">'Calc System'!$K$176:$K$277</definedName>
    <definedName name="el_1_8">'Calc System'!$L$176:$L$277</definedName>
    <definedName name="el_2_1">'Calc System'!$N$176:$N$277</definedName>
    <definedName name="el_2_2">'Calc System'!$O$176:$O$277</definedName>
    <definedName name="el_2_3">'Calc System'!$P$176:$P$277</definedName>
    <definedName name="el_2_4">'Calc System'!$Q$176:$Q$277</definedName>
    <definedName name="el_2_5">'Calc System'!$R$176:$R$277</definedName>
    <definedName name="el_2_6">'Calc System'!$S$176:$S$277</definedName>
    <definedName name="el_2_7">'Calc System'!$T$176:$T$277</definedName>
    <definedName name="el_2_8">'Calc System'!$U$176:$U$277</definedName>
    <definedName name="el_3_1">'Calc System'!$W$176:$W$277</definedName>
    <definedName name="el_3_2">'Calc System'!$X$176:$X$277</definedName>
    <definedName name="el_3_3">'Calc System'!$Y$176:$Y$277</definedName>
    <definedName name="el_3_4">'Calc System'!$Z$176:$Z$277</definedName>
    <definedName name="el_3_5">'Calc System'!$AA$176:$AA$277</definedName>
    <definedName name="el_3_6">'Calc System'!$AB$176:$AB$277</definedName>
    <definedName name="el_3_7">'Calc System'!$AC$176:$AC$277</definedName>
    <definedName name="el_3_8">'Calc System'!$AD$176:$AD$277</definedName>
    <definedName name="el_length_stg">'Membrane Capital'!$C$23</definedName>
    <definedName name="el_per_train_prelim">'Train Design'!$C$35</definedName>
    <definedName name="el_per_vess">'Train Design'!$C$24</definedName>
    <definedName name="el_per_vess_max">'Train Design'!$C$21</definedName>
    <definedName name="el_per_vess_max_16">'Critical Design Assumptions'!$C$166</definedName>
    <definedName name="el_per_vess_max_8">'Critical Design Assumptions'!$C$168</definedName>
    <definedName name="el_per_vess_std">'Train Design'!$C$22</definedName>
    <definedName name="el_per_vess_std_16">'Critical Design Assumptions'!$C$165</definedName>
    <definedName name="el_per_vess_std_8">'Critical Design Assumptions'!$C$167</definedName>
    <definedName name="el_series">'Train Design'!$C$26</definedName>
    <definedName name="elec_encl_cost_cl">'Cost Data'!$B$382:$F$382</definedName>
    <definedName name="elect_area_table_cl">'Engineering Data'!$A$108:$C$110</definedName>
    <definedName name="elect_pct">'Indirect Assumptions'!$C$68</definedName>
    <definedName name="electric_encl">'Critical Design Assumptions'!$C$55</definedName>
    <definedName name="elem_disp_freq">'Residuals Management'!$C$40</definedName>
    <definedName name="elem_disp_wt">'Residuals Management'!$C$42</definedName>
    <definedName name="elem_disposal_fee">'Residuals Management'!$C$176</definedName>
    <definedName name="elem_disposal_miles">'Residuals Management'!$C$173</definedName>
    <definedName name="elem_disposal_shipments">'Residuals Management'!$C$170</definedName>
    <definedName name="elem_out_template">'Calc System'!$D$176:$D$277</definedName>
    <definedName name="elem_wt">'Residuals Management'!$C$41</definedName>
    <definedName name="elem_wt_16">'Critical Design Assumptions'!$C$255</definedName>
    <definedName name="elem_wt_4">'Critical Design Assumptions'!$C$253</definedName>
    <definedName name="elem_wt_8">'Critical Design Assumptions'!$C$254</definedName>
    <definedName name="element_A">'Calc One Element'!$C$111</definedName>
    <definedName name="element_A_base">'Calc One Element'!$C$70</definedName>
    <definedName name="element_A_firstguess">'Calc One Element'!$C$97</definedName>
    <definedName name="element_A_I">'Calc One Element'!$C$13</definedName>
    <definedName name="element_A_new">'Calc One Element'!$C$332</definedName>
    <definedName name="element_A_next">'Calc One Element'!$C$336</definedName>
    <definedName name="element_A_P_coeff">'Calc One Element'!$C$20</definedName>
    <definedName name="element_A_ref">'Calc One Element'!$C$59</definedName>
    <definedName name="element_A_S_coeff">'Calc One Element'!$C$62</definedName>
    <definedName name="element_A_S_coeff_I">'Calc One Element'!$C$21</definedName>
    <definedName name="element_A_T_coeff">'Calc One Element'!$C$64</definedName>
    <definedName name="element_A_T_coeff_hi">'Calc One Element'!$C$19</definedName>
    <definedName name="element_A_T_coeff_lo">'Calc One Element'!$C$18</definedName>
    <definedName name="element_area">'Calc One Element'!$C$74</definedName>
    <definedName name="element_area_I">'Calc One Element'!$C$12</definedName>
    <definedName name="element_B">'Calc One Element'!$C$112</definedName>
    <definedName name="element_B_base">'Calc One Element'!$C$72</definedName>
    <definedName name="element_B_firstguess">'Calc One Element'!$C$99</definedName>
    <definedName name="element_B_max">'Calc One Element'!$C$73</definedName>
    <definedName name="element_B_max_I">'Calc One Element'!$C$15</definedName>
    <definedName name="element_B_max_ref">'Calc One Element'!$C$61</definedName>
    <definedName name="element_B_min_I">'Calc One Element'!$C$14</definedName>
    <definedName name="element_B_new">'Calc One Element'!$C$338</definedName>
    <definedName name="element_B_next">'Calc One Element'!$C$342</definedName>
    <definedName name="element_B_ref">'Calc One Element'!$C$60</definedName>
    <definedName name="element_B_S_coeff_hi">'Calc One Element'!$C$25</definedName>
    <definedName name="element_B_S_coeff_lo">'Calc One Element'!$C$24</definedName>
    <definedName name="element_B_T_coeff">'Calc One Element'!$C$22</definedName>
    <definedName name="element_beta_coeff">'Calc One Element'!$C$28</definedName>
    <definedName name="element_class">'Train Design'!$C$15</definedName>
    <definedName name="element_cost">'Membrane Capital'!$C$73</definedName>
    <definedName name="element_diam">'Calc One Element'!$C$11</definedName>
    <definedName name="element_dp_coeff">'Calc One Element'!$C$63</definedName>
    <definedName name="element_dp_coeff_I">'Calc One Element'!$C$16</definedName>
    <definedName name="element_dp_exp">'Calc One Element'!$C$17</definedName>
    <definedName name="element_extra_space">'Critical Design Assumptions'!$C$209</definedName>
    <definedName name="element_I">INPUT!$G$78</definedName>
    <definedName name="element_index">'Calc System'!$D$6</definedName>
    <definedName name="element_length">'Calc One Element'!$C$10</definedName>
    <definedName name="element_names">'Membrane Specs'!$B$47:$B$55</definedName>
    <definedName name="element_ref_TDS">'Calc One Element'!$C$27</definedName>
    <definedName name="element_ref_temp">'Calc One Element'!$C$26</definedName>
    <definedName name="element_replace">'O&amp;M'!$C$20</definedName>
    <definedName name="element_replace_cost">'O&amp;M'!$C$22</definedName>
    <definedName name="element_replace_disc">'O&amp;M'!$C$21</definedName>
    <definedName name="element_sal_min_B">'Calc One Element'!$C$23</definedName>
    <definedName name="element_table">'Membrane Specs'!$E$10:$N$41</definedName>
    <definedName name="element_table_count">'Membrane Specs'!$C$5</definedName>
    <definedName name="element_table_name_row">OFFSET(element_table,element_table_name_row_number-1,1,1,element_table_count)</definedName>
    <definedName name="element_table_name_row_number">'Membrane Specs'!$C$6</definedName>
    <definedName name="element_type">'Calc One Element'!$C$29</definedName>
    <definedName name="elements_per_train_calc">'Calc System'!$D$100</definedName>
    <definedName name="eloss_bypass_pumps">HVAC!$C$58</definedName>
    <definedName name="eloss_inf_pumps">HVAC!$C$56</definedName>
    <definedName name="eloss_stg2_pumps">HVAC!$C$60</definedName>
    <definedName name="eloss_stg3_pumps">HVAC!$C$62</definedName>
    <definedName name="energy_cost_cl">'Cost Data'!$D$1553</definedName>
    <definedName name="eng_pct_large">'Indirect Assumptions'!$C$82</definedName>
    <definedName name="eng_pct_medium">'Indirect Assumptions'!$C$81</definedName>
    <definedName name="eng_pct_small">'Indirect Assumptions'!$C$80</definedName>
    <definedName name="ep_backfill_vol">'Residuals Management'!$C$98</definedName>
    <definedName name="ep_cell_side">'Residuals Management'!$C$96</definedName>
    <definedName name="ep_cells">'Residuals Management'!$C$95</definedName>
    <definedName name="ep_climate_params">'Critical Design Assumptions'!$C$265:$C$268</definedName>
    <definedName name="ep_depth">'Residuals Management'!$C$94</definedName>
    <definedName name="ep_dike_construct_cl">'Cost Data'!$D$386</definedName>
    <definedName name="ep_excavation_vol">'Residuals Management'!$C$97</definedName>
    <definedName name="ep_fp">'Pipes and Structure'!$C$92</definedName>
    <definedName name="ep_freeboard">'Critical Design Assumptions'!$C$272</definedName>
    <definedName name="ep_liner_cost_cl">'Cost Data'!$B$391:$F$391</definedName>
    <definedName name="ep_overexcavate">'Critical Design Assumptions'!$C$273</definedName>
    <definedName name="ep_safety_factor">'Critical Design Assumptions'!$C$269</definedName>
    <definedName name="ep_solids">'Residuals Management'!$C$31</definedName>
    <definedName name="ep_solids_density">'Critical Design Assumptions'!$C$275</definedName>
    <definedName name="ep_solids_depth">'Residuals Management'!$C$92</definedName>
    <definedName name="ep_total_sa">'Residuals Management'!$C$91</definedName>
    <definedName name="ep_water_depth">'Residuals Management'!$C$93</definedName>
    <definedName name="eq_table_cl">'Cost Coefficients'!$A$7:$Q$70</definedName>
    <definedName name="error_stg1">'Pressure Tuning'!$C$46</definedName>
    <definedName name="error_stg2">'Pressure Tuning'!$C$67</definedName>
    <definedName name="error_stg3">'Pressure Tuning'!$C$92</definedName>
    <definedName name="evap_ratio">'Critical Design Assumptions'!$C$266</definedName>
    <definedName name="ex_TSS_total">'Residuals Management'!$C$150</definedName>
    <definedName name="excavate_cost_cl">'Cost Data'!$B$396:$F$396</definedName>
    <definedName name="extra_rack_height">'Critical Design Assumptions'!$C$156</definedName>
    <definedName name="extra_rack_length">'Critical Design Assumptions'!$C$150</definedName>
    <definedName name="extra_rack_width">'Critical Design Assumptions'!$C$155</definedName>
    <definedName name="facil_length">'Pipes and Structure'!$C$89</definedName>
    <definedName name="failure_message">'Calc One Element'!$C$353</definedName>
    <definedName name="fan_days_build1_large">'O&amp;M Assumptions'!$C$53</definedName>
    <definedName name="fan_days_build1_medium">'O&amp;M Assumptions'!$C$50</definedName>
    <definedName name="fan_days_build1_small">'O&amp;M Assumptions'!$C$47</definedName>
    <definedName name="fan_days_build2_large">'O&amp;M Assumptions'!$C$54</definedName>
    <definedName name="fan_days_build2_medium">'O&amp;M Assumptions'!$C$51</definedName>
    <definedName name="fan_days_build2_small">'O&amp;M Assumptions'!$C$48</definedName>
    <definedName name="fan_days_build3_large">'O&amp;M Assumptions'!$C$55</definedName>
    <definedName name="fan_days_build3_medium">'O&amp;M Assumptions'!$C$52</definedName>
    <definedName name="fan_days_build3_small">'O&amp;M Assumptions'!$C$49</definedName>
    <definedName name="Fan_pressure_drop">'O&amp;M Assumptions'!$C$46</definedName>
    <definedName name="feed_alkalinity">'Feed Water'!$C$137</definedName>
    <definedName name="feed_an_bal">'Feed Water'!$C$98</definedName>
    <definedName name="feed_anions">'Feed Water'!$C$95</definedName>
    <definedName name="feed_baso4_ip">'Feed Water'!$C$169</definedName>
    <definedName name="feed_baso4_ksp">'Feed Water'!$C$168</definedName>
    <definedName name="feed_baso4_sat_pct">'Feed Water'!$C$170</definedName>
    <definedName name="feed_Ca">'Feed Water'!$C$139</definedName>
    <definedName name="feed_ca_corr">'Feed Water'!$C$160</definedName>
    <definedName name="feed_ca_molL">'Feed Water'!$C$162</definedName>
    <definedName name="feed_caf2_ip">'Feed Water'!$C$164</definedName>
    <definedName name="feed_caf2_sat_pct">'Feed Water'!$C$165</definedName>
    <definedName name="feed_caso4_ip">'Feed Water'!$C$152</definedName>
    <definedName name="feed_caso4_ksp">'Feed Water'!$C$151</definedName>
    <definedName name="feed_caso4_sat_pct">'Feed Water'!$C$153</definedName>
    <definedName name="feed_cat_bal">'Feed Water'!$C$97</definedName>
    <definedName name="feed_cations">'Feed Water'!$C$94</definedName>
    <definedName name="feed_co3_corr">'Feed Water'!$C$136</definedName>
    <definedName name="feed_conc_I">'Feed Water'!$C$9:$C$21</definedName>
    <definedName name="feed_conc_I_meq">'Feed Water'!$C$27:$C$39</definedName>
    <definedName name="feed_conc_out">'Calc System'!$D$217:$AC$229</definedName>
    <definedName name="feed_difference">'Feed Water'!$C$96</definedName>
    <definedName name="feed_f_corr">'Feed Water'!$C$161</definedName>
    <definedName name="feed_f_molL">'Feed Water'!$C$163</definedName>
    <definedName name="feed_flow_out">'Calc System'!$D$176:$AC$176</definedName>
    <definedName name="feed_flow_sys">'Calc System'!$D$89</definedName>
    <definedName name="feed_flow_v">'Calc System'!$D$150:$F$150</definedName>
    <definedName name="feed_gas_bal">'Feed Water'!$C$128</definedName>
    <definedName name="feed_gas_out">'Calc System'!$D$229:$AC$229</definedName>
    <definedName name="feed_gas_ppm">'Calc One Element'!$C$45</definedName>
    <definedName name="feed_hco3_corr">'Feed Water'!$C$135</definedName>
    <definedName name="feed_hdr_diam">'Membrane Capital'!$C$57</definedName>
    <definedName name="feed_hdr_length">'Membrane Capital'!$C$58</definedName>
    <definedName name="feed_ion_strength">'Feed Water'!$C$42</definedName>
    <definedName name="feed_LSI">'Feed Water'!$C$142</definedName>
    <definedName name="feed_meq">'Calc One Element'!$C$78:$C$90</definedName>
    <definedName name="feed_meq_bal">'Feed Water'!$C$101:$C$113</definedName>
    <definedName name="feed_meq_unbal">'Feed Water'!$C$80:$C$92</definedName>
    <definedName name="feed_meter_size">'Instrumentation and Control'!$C$54</definedName>
    <definedName name="feed_OHminus">'Feed Water'!$C$134</definedName>
    <definedName name="feed_pAlk">'Feed Water'!$C$138</definedName>
    <definedName name="feed_pCa">'Feed Water'!$C$140</definedName>
    <definedName name="feed_pH">'Feed Water'!$C$22</definedName>
    <definedName name="feed_pH_s">'Feed Water'!$C$141</definedName>
    <definedName name="feed_pipe_flow">'Pipes and Structure'!$C$8</definedName>
    <definedName name="feed_pipe_len">'Membrane Capital'!$C$68</definedName>
    <definedName name="feed_pK_corr">'Feed Water'!$C$47</definedName>
    <definedName name="feed_port_diam_16">'Critical Design Assumptions'!$C$139</definedName>
    <definedName name="feed_port_diam_4">'Critical Design Assumptions'!$C$137</definedName>
    <definedName name="feed_port_diam_8">'Critical Design Assumptions'!$C$138</definedName>
    <definedName name="feed_ppm">'Calc One Element'!$C$33:$C$45</definedName>
    <definedName name="feed_ppm_bal">'Feed Water'!$C$116:$C$128</definedName>
    <definedName name="feed_ppm_unbal">'Feed Water'!$C$65:$C$77</definedName>
    <definedName name="feed_sdi">'Feed Water'!$C$24</definedName>
    <definedName name="feed_sio2_sat">'Feed Water'!$C$147</definedName>
    <definedName name="feed_sio2_sat_corr">'Feed Water'!$C$146</definedName>
    <definedName name="feed_sio2_sat_pct">'Feed Water'!$C$148</definedName>
    <definedName name="feed_srso4_ip">'Feed Water'!$C$174</definedName>
    <definedName name="feed_srso4_ksp">'Feed Water'!$C$173</definedName>
    <definedName name="feed_srso4_sat_pct">'Feed Water'!$C$175</definedName>
    <definedName name="feed_tds">'Calc One Element'!$C$65</definedName>
    <definedName name="feed_tds_out">'Calc System'!$D$199:$AC$199</definedName>
    <definedName name="feed_tds_sys">'Calc System'!$D$93</definedName>
    <definedName name="feed_tds_v">'Calc System'!$D$160:$F$160</definedName>
    <definedName name="feed_valve_size">'Instrumentation and Control'!$C$12</definedName>
    <definedName name="feed_visc">'Calc One Element'!$C$92</definedName>
    <definedName name="feed_water_type">'Feed Water'!$C$23</definedName>
    <definedName name="feedpump_chv">'Critical Design Assumptions'!$C$32</definedName>
    <definedName name="fg_acid_day_eq">'Cost Equations'!$C$35</definedName>
    <definedName name="fg_anti_day_eq">'Cost Equations'!$C$38</definedName>
    <definedName name="fg_bwt_cost_cl">'Cost Data'!$B$401:$F$432</definedName>
    <definedName name="fg_clncst_eq_acid">'Cost Equations'!$C$23</definedName>
    <definedName name="fg_clncst_eq_caustic">'Cost Equations'!$C$25</definedName>
    <definedName name="fg_cst_cost_cl">'Cost Data'!$B$437:$F$466</definedName>
    <definedName name="fg_cst_eq">'Cost Equations'!$C$23</definedName>
    <definedName name="fg_cst_eq_acid">'Cost Equations'!$C$12</definedName>
    <definedName name="fg_cst_eq_anti">'Cost Equations'!$C$15</definedName>
    <definedName name="fg_ht_eq">'Cost Equations'!$C$31</definedName>
    <definedName name="fg_makeup_eq">'Cost Equations'!$C$19</definedName>
    <definedName name="filter_discount_table">'Lookup Tables'!$B$14:$C$21</definedName>
    <definedName name="filter_elements">Pretreatment!$C$38</definedName>
    <definedName name="filter_len">Pretreatment!$C$36</definedName>
    <definedName name="filter_replacement">'O&amp;M'!$C$28</definedName>
    <definedName name="filter_size">Pretreatment!$C$35</definedName>
    <definedName name="filter_wid">Pretreatment!$C$37</definedName>
    <definedName name="finance_pct">'Indirect Assumptions'!$C$94</definedName>
    <definedName name="finance_pct_small">'Indirect Assumptions'!$C$95</definedName>
    <definedName name="fire_buffer">'Critical Design Assumptions'!$C$210</definedName>
    <definedName name="flow_equalization">'Residuals Management'!$C$20</definedName>
    <definedName name="flow_feed">'Calc One Element'!$C$58</definedName>
    <definedName name="flow_feed_I">'Calc One Element'!$C$50</definedName>
    <definedName name="flow_feed_ves_I">'Calc One Element'!$C$51</definedName>
    <definedName name="flow_per_cart">Pretreatment!$C$31</definedName>
    <definedName name="flow_per_well">'Residuals Management'!$C$104</definedName>
    <definedName name="flow_per_well_pump">'Residuals Management'!$C$108</definedName>
    <definedName name="flush_rate">'Residuals Management'!$C$14</definedName>
    <definedName name="flush_time">'Critical Design Assumptions'!$C$202</definedName>
    <definedName name="flux_diff_1">'Pressure Tuning'!$C$21</definedName>
    <definedName name="flux_diff_2">'Pressure Tuning'!$C$30</definedName>
    <definedName name="flux_diff_3">'Pressure Tuning'!$C$39</definedName>
    <definedName name="flux_incr_dPves">'Calc One Element'!$C$379</definedName>
    <definedName name="flux_limits">'Critical Design Assumptions'!$C$103:$C$114</definedName>
    <definedName name="flux_max">'Train Design'!$C$6</definedName>
    <definedName name="flux_max_SDI1_GW">'Critical Design Assumptions'!$C$104</definedName>
    <definedName name="flux_max_SDI1_SW">'Critical Design Assumptions'!$C$110</definedName>
    <definedName name="flux_max_SDI3_GW">'Critical Design Assumptions'!$C$106</definedName>
    <definedName name="flux_max_SDI3_SW">'Critical Design Assumptions'!$C$112</definedName>
    <definedName name="flux_max_SDI5_GW">'Critical Design Assumptions'!$C$108</definedName>
    <definedName name="flux_max_SDI5_SW">'Critical Design Assumptions'!$C$114</definedName>
    <definedName name="flux_min">'Train Design'!$C$5</definedName>
    <definedName name="flux_min_SDI1_GW">'Critical Design Assumptions'!$C$103</definedName>
    <definedName name="flux_min_SDI1_SW">'Critical Design Assumptions'!$C$109</definedName>
    <definedName name="flux_min_SDI3_GW">'Critical Design Assumptions'!$C$105</definedName>
    <definedName name="flux_min_SDI3_SW">'Critical Design Assumptions'!$C$111</definedName>
    <definedName name="flux_min_SDI5_GW">'Critical Design Assumptions'!$C$107</definedName>
    <definedName name="flux_min_SDI5_SW">'Critical Design Assumptions'!$C$113</definedName>
    <definedName name="flux_pctdiff_1">'Pressure Tuning'!$C$22</definedName>
    <definedName name="flux_pctdiff_2">'Pressure Tuning'!$C$31</definedName>
    <definedName name="flux_pctdiff_3">'Pressure Tuning'!$C$40</definedName>
    <definedName name="flux_result_1">'Pressure Tuning'!$C$20</definedName>
    <definedName name="flux_result_2">'Pressure Tuning'!$C$29</definedName>
    <definedName name="flux_result_3">'Pressure Tuning'!$C$38</definedName>
    <definedName name="flux_targ_1">'Pressure Tuning'!$C$19</definedName>
    <definedName name="flux_targ_23">'Pressure Tuning'!$C$28</definedName>
    <definedName name="flux_targ_3">'Pressure Tuning'!$C$37</definedName>
    <definedName name="flux_tol_hi">'Critical Design Assumptions'!$C$171</definedName>
    <definedName name="flux_tol_lo">'Critical Design Assumptions'!$C$172</definedName>
    <definedName name="fm_clean">'Critical Design Assumptions'!$C$39</definedName>
    <definedName name="fm_lkp_clean">'Instrumentation and Control'!$C$78</definedName>
    <definedName name="fm_lkp_conc">'Instrumentation and Control'!$C$77</definedName>
    <definedName name="fm_lkp_feed">'Instrumentation and Control'!$C$75</definedName>
    <definedName name="fm_lkp_io">'Instrumentation and Control'!$C$74</definedName>
    <definedName name="fm_lkp_perm">'Instrumentation and Control'!$C$76</definedName>
    <definedName name="fm_lkp_res">'Instrumentation and Control'!$C$79</definedName>
    <definedName name="fm_rack_conc">'Critical Design Assumptions'!$C$38</definedName>
    <definedName name="fm_rack_feed">'Critical Design Assumptions'!$C$36</definedName>
    <definedName name="fm_rack_perm">'Critical Design Assumptions'!$C$37</definedName>
    <definedName name="fouling_factor">'Critical Design Assumptions'!$C$101</definedName>
    <definedName name="fp_required">'Pipes and Structure'!$C$79</definedName>
    <definedName name="frac_CO2_feed">'Feed Water'!$C$56</definedName>
    <definedName name="frac_CO2_tfeed">'Feed Water'!$C$182</definedName>
    <definedName name="frac_CO3_feed">'Feed Water'!$C$55</definedName>
    <definedName name="frac_CO3_tfeed">'Feed Water'!$C$181</definedName>
    <definedName name="frac_HCO3_feed">'Feed Water'!$C$54</definedName>
    <definedName name="frac_HCO3_tfeed">'Feed Water'!$C$180</definedName>
    <definedName name="frost">'Indirect Assumptions'!$C$32</definedName>
    <definedName name="gac_slurry_cost_cl">'Cost Data'!$B$471:$F$483</definedName>
    <definedName name="gal_per_ft3">Conversions!$C$14</definedName>
    <definedName name="gal_per_m3">Conversions!$C$15</definedName>
    <definedName name="gas_cost_cl">'Cost Data'!$D$1556</definedName>
    <definedName name="gas_eff">'O&amp;M Assumptions'!$C$66</definedName>
    <definedName name="gas_non_eff">'O&amp;M Assumptions'!$C$65</definedName>
    <definedName name="General_Oper_Labor">'O&amp;M'!$C$46</definedName>
    <definedName name="geotech_cost">Indirect!$C$50</definedName>
    <definedName name="gfd_per_mps">Conversions!$C$20</definedName>
    <definedName name="gfdpsi_per_msatm">Conversions!$C$27</definedName>
    <definedName name="gpm_per_m3hr">Conversions!$C$17</definedName>
    <definedName name="gpm_per_m3s">Conversions!$C$16</definedName>
    <definedName name="H_feed">'Feed Water'!$C$52</definedName>
    <definedName name="H_tfeed">'Feed Water'!$C$179</definedName>
    <definedName name="H2SO4_feed_conc">'Feed Water'!$C$192</definedName>
    <definedName name="h2so4_table_cl">'Engineering Data'!$A$115:$D$136</definedName>
    <definedName name="haz_disposal_cost_cl">'Cost Data'!$D$1559</definedName>
    <definedName name="haz_miles">'Critical Design Assumptions'!$C$262</definedName>
    <definedName name="haz_trans_min_cost_cl">'Cost Data'!$D$1562</definedName>
    <definedName name="haz_transportation_cost_cl">'Cost Data'!$D$1565</definedName>
    <definedName name="hazrad_annual_fee_cl">'Cost Data'!$B$1570:$C$1572</definedName>
    <definedName name="hazrad_disposal_cost_cl">'Cost Data'!$D$1575</definedName>
    <definedName name="hazrad_miles">'Critical Design Assumptions'!$C$264</definedName>
    <definedName name="hazrad_trans_min_cost_cl">'Cost Data'!$D$1578</definedName>
    <definedName name="hazrad_transportation_cost_cl">'Cost Data'!$D$1581</definedName>
    <definedName name="hbasin_backfill_vol">'Residuals Management'!$C$58</definedName>
    <definedName name="hbasin_conc_vol">'Residuals Management'!$C$56</definedName>
    <definedName name="hbasin_depth">'Residuals Management'!$C$54</definedName>
    <definedName name="hbasin_excavation_vol">'Residuals Management'!$C$57</definedName>
    <definedName name="hbasin_fp">'Pipes and Structure'!$C$90</definedName>
    <definedName name="hbasin_freeboard">'Critical Design Assumptions'!$C$227</definedName>
    <definedName name="hbasin_length">'Residuals Management'!$C$53</definedName>
    <definedName name="hbasin_op_depth">'Residuals Management'!$C$51</definedName>
    <definedName name="hbasin_op_vol">'Residuals Management'!$C$50</definedName>
    <definedName name="hbasin_railing">'Residuals Management'!$C$59</definedName>
    <definedName name="hbasin_ratio">'Critical Design Assumptions'!$C$226</definedName>
    <definedName name="hbasin_vol">'Residuals Management'!$C$55</definedName>
    <definedName name="hbasin_width">'Residuals Management'!$C$52</definedName>
    <definedName name="hbasins">'Residuals Management'!$C$49</definedName>
    <definedName name="HCl_feed_conc">'Feed Water'!$C$191</definedName>
    <definedName name="HCl_need">'Critical Design Assumptions'!$C$196</definedName>
    <definedName name="HCl_per_cycle">Cleaning!$C$57</definedName>
    <definedName name="HCl_purchase">Cleaning!$C$91</definedName>
    <definedName name="HCl_quant_RMP">'Indirect Assumptions'!$C$9</definedName>
    <definedName name="HCl_store">Cleaning!$C$59</definedName>
    <definedName name="HCl_store_gal">Cleaning!$C$60</definedName>
    <definedName name="HCl_strength_RMP">'Indirect Assumptions'!$C$8</definedName>
    <definedName name="hcl_table_cl">'Engineering Data'!$A$141:$D$161</definedName>
    <definedName name="HCl_yr">Cleaning!$C$58</definedName>
    <definedName name="HCO3_feed_mol">'Feed Water'!$C$58</definedName>
    <definedName name="HCO3_tfeed_meq">'Feed Water'!$C$183</definedName>
    <definedName name="hdpe_bwt_cost_cl">'Cost Data'!$B$488:$F$505</definedName>
    <definedName name="hdpe_ht_eq">'Cost Equations'!$C$32</definedName>
    <definedName name="head_rack">'Critical Design Assumptions'!$C$48</definedName>
    <definedName name="headloss_cart">'Critical Design Assumptions'!$C$49</definedName>
    <definedName name="headloss_cost_cl">'Cost Data'!$B$510:$F$510</definedName>
    <definedName name="heat_DD">'O&amp;M Assumptions'!$C$59</definedName>
    <definedName name="heat_viload">'O&amp;M Assumptions'!$C$61</definedName>
    <definedName name="heater_power">Cleaning!$C$38</definedName>
    <definedName name="heaters_per_tank">Cleaning!$C$36</definedName>
    <definedName name="heating">'O&amp;M'!$C$95</definedName>
    <definedName name="heating_diesel">'O&amp;M'!$C$99</definedName>
    <definedName name="heating_diesel_non">'O&amp;M'!$C$98</definedName>
    <definedName name="heating_gas">'O&amp;M'!$C$97</definedName>
    <definedName name="heating_gas_non">'O&amp;M'!$C$96</definedName>
    <definedName name="heating_hp">'O&amp;M'!$C$100</definedName>
    <definedName name="heating_matl_rate_cl">'Cost Data'!$D$1584</definedName>
    <definedName name="heating_table">'Indirect Assumptions'!$A$108:$E$110</definedName>
    <definedName name="heating_table_shed">'Indirect Assumptions'!$A$112:$E$114</definedName>
    <definedName name="hh_size">OUTPUT!$C$458</definedName>
    <definedName name="high_circ_flow">Cleaning!$C$22</definedName>
    <definedName name="high_circ_flow_PV">Cleaning!$C$21</definedName>
    <definedName name="high_circ_flow_PV_16">'Critical Design Assumptions'!$C$181</definedName>
    <definedName name="high_circ_flow_PV_4">'Critical Design Assumptions'!$C$179</definedName>
    <definedName name="high_circ_flow_PV_8">'Critical Design Assumptions'!$C$180</definedName>
    <definedName name="hl_backfill_vol">'Residuals Management'!$C$68</definedName>
    <definedName name="hl_depth">'Residuals Management'!$C$66</definedName>
    <definedName name="hl_dike_volume">'Residuals Management'!$C$69</definedName>
    <definedName name="hl_excavation_vol">'Residuals Management'!$C$67</definedName>
    <definedName name="hl_freeboard">'Critical Design Assumptions'!$C$233</definedName>
    <definedName name="hl_liner_area">'Residuals Management'!$C$70</definedName>
    <definedName name="hl_op_depth">'Residuals Management'!$C$64</definedName>
    <definedName name="hl_overexcavate">'Critical Design Assumptions'!$C$234</definedName>
    <definedName name="hl_side">'Residuals Management'!$C$65</definedName>
    <definedName name="hl_vol">'Residuals Management'!$C$63</definedName>
    <definedName name="hlagoon_fp">'Pipes and Structure'!$C$91</definedName>
    <definedName name="hlagoons">'Residuals Management'!$C$62</definedName>
    <definedName name="hold_cap">'Residuals Management'!$C$24</definedName>
    <definedName name="hole_per_day">'Indirect Assumptions'!$C$57</definedName>
    <definedName name="hole_per_job">'Indirect Assumptions'!$C$56</definedName>
    <definedName name="hole_per_sf">'Indirect Assumptions'!$C$55</definedName>
    <definedName name="households">OUTPUT!$C$462</definedName>
    <definedName name="hp_EER">'O&amp;M Assumptions'!$C$70</definedName>
    <definedName name="hp_max_cool_cl">'Engineering Data'!$C$164</definedName>
    <definedName name="hp_max_heat_cl">'Engineering Data'!$C$167</definedName>
    <definedName name="hp_ok_1">HVAC!$C$103</definedName>
    <definedName name="hp_ok_2">HVAC!$C$104</definedName>
    <definedName name="hp_ok_3">HVAC!$C$105</definedName>
    <definedName name="hrs_filter">'O&amp;M Assumptions'!$C$15</definedName>
    <definedName name="ht_diam">'Pipes and Structure'!$C$69</definedName>
    <definedName name="ht_solids_density">'Critical Design Assumptions'!$C$223</definedName>
    <definedName name="htank_fp">'Pipes and Structure'!$C$71</definedName>
    <definedName name="htank_vol">'Residuals Management'!$C$47</definedName>
    <definedName name="htanks">'Residuals Management'!$C$46</definedName>
    <definedName name="hvac_ac_cost_cl">'Cost Data'!$B$1456:$F$1459</definedName>
    <definedName name="hvac_ac_eq_1">'Cost Equations'!$C$256</definedName>
    <definedName name="hvac_ac_eq_2">'Cost Equations'!$C$269</definedName>
    <definedName name="hvac_ac_eq_3">'Cost Equations'!$C$282</definedName>
    <definedName name="hvac_elec_cost_cl">'Cost Data'!$B$1464:$F$1473</definedName>
    <definedName name="hvac_elec_eq_1">'Cost Equations'!$C$250</definedName>
    <definedName name="hvac_elec_eq_2">'Cost Equations'!$C$263</definedName>
    <definedName name="hvac_elec_eq_3">'Cost Equations'!$C$276</definedName>
    <definedName name="hvac_gas_cost_cl">'Cost Data'!$B$1478:$F$1484</definedName>
    <definedName name="hvac_gas_eq_1">'Cost Equations'!$C$252</definedName>
    <definedName name="hvac_gas_eq_2">'Cost Equations'!$C$265</definedName>
    <definedName name="hvac_gas_eq_3">'Cost Equations'!$C$278</definedName>
    <definedName name="hvac_gas_non_cost_cl">'Cost Data'!$B$1489:$F$1495</definedName>
    <definedName name="hvac_gas_non_eq_1">'Cost Equations'!$C$251</definedName>
    <definedName name="hvac_gas_non_eq_2">'Cost Equations'!$C$264</definedName>
    <definedName name="hvac_gas_non_eq_3">'Cost Equations'!$C$277</definedName>
    <definedName name="hvac_hp_cost_cl">'Cost Data'!$B$1500:$F$1519</definedName>
    <definedName name="hvac_hp_eq_1">'Cost Equations'!$C$257</definedName>
    <definedName name="hvac_hp_eq_2">'Cost Equations'!$C$270</definedName>
    <definedName name="hvac_hp_eq_3">'Cost Equations'!$C$283</definedName>
    <definedName name="hvac_oil_mid_cost_cl">'Cost Data'!$B$1524:$F$1530</definedName>
    <definedName name="hvac_oil_mid_eq_1">'Cost Equations'!$C$254</definedName>
    <definedName name="hvac_oil_mid_eq_2">'Cost Equations'!$C$267</definedName>
    <definedName name="hvac_oil_mid_eq_3">'Cost Equations'!$C$280</definedName>
    <definedName name="hvac_oil_std_cost_cl">'Cost Data'!$B$1535:$F$1541</definedName>
    <definedName name="hvac_oil_std_eq_1">'Cost Equations'!$C$253</definedName>
    <definedName name="hvac_oil_std_eq_2">'Cost Equations'!$C$266</definedName>
    <definedName name="hvac_oil_std_eq_3">'Cost Equations'!$C$279</definedName>
    <definedName name="i_c_pct">'Indirect Assumptions'!$C$71</definedName>
    <definedName name="immersion_heaters">Cleaning!$C$37</definedName>
    <definedName name="imp_mix_cost_cl">'Cost Data'!$B$515:$F$524</definedName>
    <definedName name="in_meter_size">'Instrumentation and Control'!$C$53</definedName>
    <definedName name="in_out_pipe_diam">'Pipes and Structure'!$C$7</definedName>
    <definedName name="in_out_pipe_flow">'Pipes and Structure'!$C$6</definedName>
    <definedName name="in_out_pipe_length">'Pipes and Structure'!$C$5</definedName>
    <definedName name="in_out_pipe_mult">'Critical Design Assumptions'!$C$23</definedName>
    <definedName name="in_valve_size">'Instrumentation and Control'!$C$9</definedName>
    <definedName name="include_arch">'Indirect Assumptions'!$C$21</definedName>
    <definedName name="include_arch_small">'Indirect Assumptions'!$C$22</definedName>
    <definedName name="include_bond">'Indirect Assumptions'!$C$99</definedName>
    <definedName name="include_buildings">Indirect!$C$5</definedName>
    <definedName name="include_buildings_I">INPUT!$G$106</definedName>
    <definedName name="include_cm">'Indirect Assumptions'!$C$100</definedName>
    <definedName name="include_cmix">'Critical Design Assumptions'!$C$70</definedName>
    <definedName name="include_conting_high">'Indirect Assumptions'!$C$76</definedName>
    <definedName name="include_conting_low">'Indirect Assumptions'!$C$74</definedName>
    <definedName name="include_conting_medium">'Indirect Assumptions'!$C$75</definedName>
    <definedName name="include_geo_high">'Indirect Assumptions'!$C$46</definedName>
    <definedName name="include_geo_low">'Indirect Assumptions'!$C$44</definedName>
    <definedName name="include_geo_medium">'Indirect Assumptions'!$C$45</definedName>
    <definedName name="include_geotech">Indirect!$C$51</definedName>
    <definedName name="include_HVAC">HVAC!$C$10</definedName>
    <definedName name="include_HVAC_I">INPUT!$G$107</definedName>
    <definedName name="include_land">Indirect!$C$6</definedName>
    <definedName name="include_land_I">INPUT!$G$108</definedName>
    <definedName name="include_NEPA">'Indirect Assumptions'!$C$7</definedName>
    <definedName name="include_pad">'Indirect Assumptions'!$C$103</definedName>
    <definedName name="include_permits">'Indirect Assumptions'!$C$6</definedName>
    <definedName name="include_pilot">'Indirect Assumptions'!$C$12</definedName>
    <definedName name="include_sec_cont">'Critical Design Assumptions'!$C$89</definedName>
    <definedName name="include_sitework">'Indirect Assumptions'!$C$28</definedName>
    <definedName name="include_standby">'Indirect Assumptions'!$C$60</definedName>
    <definedName name="include_standby_small">'Indirect Assumptions'!$C$61</definedName>
    <definedName name="include_yardpipe">'Indirect Assumptions'!$C$31</definedName>
    <definedName name="indirect_cost">OUTPUT!$C$390</definedName>
    <definedName name="indirect_cost_add">OUTPUT!$C$488</definedName>
    <definedName name="indirect_cost_mult">OUTPUT!$C$487</definedName>
    <definedName name="inf_dim_table_cl">'Engineering Data'!$A$172:$D$180</definedName>
    <definedName name="inf_max_pump_size">'Influent and Booster Pumping'!$C$28</definedName>
    <definedName name="inf_pump_choose">'Influent and Booster Pumping'!$C$27</definedName>
    <definedName name="inf_pump_class">'Influent and Booster Pumping'!$C$26</definedName>
    <definedName name="inf_pump_energy">'O&amp;M'!$C$75</definedName>
    <definedName name="inf_pump_eq">'Cost Equations'!$C$162</definedName>
    <definedName name="inf_pump_gpm">'Influent and Booster Pumping'!$C$31</definedName>
    <definedName name="inf_pump_gpm_sizing">'Influent and Booster Pumping'!$C$29</definedName>
    <definedName name="inf_pump_hp">'Influent and Booster Pumping'!$C$33</definedName>
    <definedName name="inf_pump_lkp_costs">'Influent and Booster Pumping'!$C$70:$G$76</definedName>
    <definedName name="inf_pump_op_hp">'O&amp;M'!$C$74</definedName>
    <definedName name="inf_pump_psi">'Influent and Booster Pumping'!$C$25</definedName>
    <definedName name="inf_pump_rating">'Influent and Booster Pumping'!$C$32</definedName>
    <definedName name="inf_pumps">'Influent and Booster Pumping'!$C$30</definedName>
    <definedName name="influent_fp">'Pipes and Structure'!$C$20</definedName>
    <definedName name="influent_headloss">'Critical Design Assumptions'!$C$10</definedName>
    <definedName name="influent_TSS">'Critical Design Assumptions'!$C$246</definedName>
    <definedName name="init_acid">Pretreatment!$C$17</definedName>
    <definedName name="init_acid_lbs">Pretreatment!$C$18</definedName>
    <definedName name="init_anti">Pretreatment!$C$21</definedName>
    <definedName name="init_anti_lbs">Pretreatment!$C$22</definedName>
    <definedName name="init_NRD_cart">'Critical Design Assumptions'!$C$64</definedName>
    <definedName name="injection_well_coeff_depth_cl">'Cost Data'!$D$528</definedName>
    <definedName name="injection_well_coeff_diam_cl">'Cost Data'!$D$532</definedName>
    <definedName name="injection_well_cost">'Residuals Management'!$C$110</definedName>
    <definedName name="injection_well_depth">'Critical Design Assumptions'!$C$279</definedName>
    <definedName name="injection_well_flow_speed">'Critical Design Assumptions'!$C$280</definedName>
    <definedName name="injection_well_intercept_cl">'Cost Data'!$D$536</definedName>
    <definedName name="injection_well_max_flow">'Critical Design Assumptions'!$C$281</definedName>
    <definedName name="injection_well_UL_large_cl">'Cost Data'!$D$540</definedName>
    <definedName name="injection_well_UL_small_cl">'Cost Data'!$D$544</definedName>
    <definedName name="inout_cond_meter">'Critical Design Assumptions'!$C$46</definedName>
    <definedName name="inout_TDS_monitor">'Critical Design Assumptions'!$C$46</definedName>
    <definedName name="inp_sel">'Standard Inputs'!$A$91:$X$91</definedName>
    <definedName name="inp_used">'Standard Inputs'!$C$90:$X$90</definedName>
    <definedName name="inp_used_minimal">'Standard Inputs'!$C$90:$F$90</definedName>
    <definedName name="inp_used_usersel">'Standard Inputs'!$A$90</definedName>
    <definedName name="input_checks">OUTPUT!$C$491</definedName>
    <definedName name="input_complete">INPUT!$C$27</definedName>
    <definedName name="input_status">INPUT!$G$28</definedName>
    <definedName name="inputs_are_current">'Calc System'!$E$289</definedName>
    <definedName name="inputs_ok">INPUT!$C$28</definedName>
    <definedName name="inst_pct">'Indirect Assumptions'!$C$25</definedName>
    <definedName name="ion_abs_charge">'Lookup Tables'!$D$69:$D$81</definedName>
    <definedName name="ion_ba">'Lookup Tables'!$B$73:$I$73</definedName>
    <definedName name="ion_ca">'Lookup Tables'!$B$69:$I$69</definedName>
    <definedName name="ion_charge">'Lookup Tables'!$C$69:$C$81</definedName>
    <definedName name="ion_cl">'Lookup Tables'!$B$77:$I$77</definedName>
    <definedName name="ion_co2">'Lookup Tables'!$B$81:$I$81</definedName>
    <definedName name="ion_co3">'Lookup Tables'!$B$76:$I$76</definedName>
    <definedName name="ion_conc_pol_coeffs_nf">'Lookup Tables'!$H$69:$H$81</definedName>
    <definedName name="ion_conc_pol_coeffs_ro">'Lookup Tables'!$G$69:$G$81</definedName>
    <definedName name="ion_f">'Lookup Tables'!$B$79:$I$79</definedName>
    <definedName name="ion_hco3">'Lookup Tables'!$B$75:$I$75</definedName>
    <definedName name="ion_k">'Lookup Tables'!$B$72:$I$72</definedName>
    <definedName name="ion_meq_weights">'Lookup Tables'!$F$69:$F$81</definedName>
    <definedName name="ion_mg">'Lookup Tables'!$B$70:$I$70</definedName>
    <definedName name="ion_mol_wt">'Lookup Tables'!$E$69:$E$81</definedName>
    <definedName name="ion_na">'Lookup Tables'!$B$71:$I$71</definedName>
    <definedName name="ion_names">'Lookup Tables'!$B$69:$B$81</definedName>
    <definedName name="ion_offset">'Lookup Tables'!$I$69:$I$81</definedName>
    <definedName name="ion_passage_coeffs">'Calc System'!$D$43:$D$55</definedName>
    <definedName name="ion_sio2">'Lookup Tables'!$B$80:$I$80</definedName>
    <definedName name="ion_so4">'Lookup Tables'!$B$78:$I$78</definedName>
    <definedName name="ion_sr">'Lookup Tables'!$B$74:$I$74</definedName>
    <definedName name="is_PV_long">'Membrane Capital'!$C$33</definedName>
    <definedName name="K1_feed">'Feed Water'!$C$50</definedName>
    <definedName name="K2_feed">'Feed Water'!$C$51</definedName>
    <definedName name="labor_simplex_screen">'O&amp;M Assumptions'!$C$16</definedName>
    <definedName name="labor_table">'Lookup Tables'!$B$57:$D$64</definedName>
    <definedName name="labor_table_cl">'Cost Data'!$B$1589:$G$1596</definedName>
    <definedName name="land_cost">'Pipes and Structure'!$C$95</definedName>
    <definedName name="land_cost_cl">'Cost Data'!$B$1602:$D$1609</definedName>
    <definedName name="land_required">'Pipes and Structure'!$C$93</definedName>
    <definedName name="largeY_pctchange">'Calc One Element'!$C$359</definedName>
    <definedName name="laser_printer_cost_cl">'Cost Data'!$B$549:$F$549</definedName>
    <definedName name="ldike_xsection">'Critical Design Assumptions'!$C$235</definedName>
    <definedName name="legal_pct">'Indirect Assumptions'!$C$88</definedName>
    <definedName name="level_switch_clean_tank">'Critical Design Assumptions'!$C$40</definedName>
    <definedName name="lhaz_disposal_cost_cl">'Cost Data'!$D$1612</definedName>
    <definedName name="lhaz_fee">'Residuals Management'!$C$161</definedName>
    <definedName name="lhaz_trans_min_cost_cl">'Cost Data'!$D$1615</definedName>
    <definedName name="lhaz_transportation_cost_cl">'Cost Data'!$D$1618</definedName>
    <definedName name="lighting">'O&amp;M'!$C$91</definedName>
    <definedName name="lighting_energy_1">'O&amp;M'!$C$88</definedName>
    <definedName name="lighting_energy_2">'O&amp;M'!$C$89</definedName>
    <definedName name="lighting_energy_3">'O&amp;M'!$C$90</definedName>
    <definedName name="lighting_power_high">'O&amp;M Assumptions'!$C$40</definedName>
    <definedName name="lighting_power_low">'O&amp;M Assumptions'!$C$38</definedName>
    <definedName name="lighting_power_mid">'O&amp;M Assumptions'!$C$39</definedName>
    <definedName name="liner_area">'Residuals Management'!$C$100</definedName>
    <definedName name="link_annc">OUTPUT!$A$454:$L$467</definedName>
    <definedName name="link_aoc">OUTPUT!$A$365:$G$370</definedName>
    <definedName name="link_dcc">OUTPUT!$A$30:$L$363</definedName>
    <definedName name="link_icc">OUTPUT!$A$372:$K$390</definedName>
    <definedName name="link_omc">OUTPUT!$A$402:$L$452</definedName>
    <definedName name="link_output">OUTPUT!$A$1</definedName>
    <definedName name="link_tcc">OUTPUT!$A$392:$L$400</definedName>
    <definedName name="lp40_pump_cost_cl">'Cost Data'!$B$554:$F$564</definedName>
    <definedName name="lsi_bad_with_anti">'Concentrate Scaling'!$C$8</definedName>
    <definedName name="lsi_bad_without_anti">'Concentrate Scaling'!$C$7</definedName>
    <definedName name="lsi_recommend">'Concentrate Scaling'!$C$9</definedName>
    <definedName name="m_per_ft">Conversions!$C$10</definedName>
    <definedName name="m2_per_ft2">Conversions!$C$11</definedName>
    <definedName name="mag_fm_cost_cl">'Cost Data'!$B$569:$F$587</definedName>
    <definedName name="mag_fm_eq_clean">'Cost Equations'!$C$230</definedName>
    <definedName name="mag_fm_eq_conc">'Cost Equations'!$C$225</definedName>
    <definedName name="mag_fm_eq_feed">'Cost Equations'!$C$215</definedName>
    <definedName name="mag_fm_eq_in">'Cost Equations'!$C$210</definedName>
    <definedName name="mag_fm_eq_perm">'Cost Equations'!$C$220</definedName>
    <definedName name="mag_fm_eq_res">'Cost Equations'!$C$235</definedName>
    <definedName name="Manager_LOE">'O&amp;M'!$C$59</definedName>
    <definedName name="Manager_percent">'O&amp;M Assumptions'!$C$24</definedName>
    <definedName name="manual">'Instrumentation and Control'!$C$6</definedName>
    <definedName name="manual_I">INPUT!$G$105</definedName>
    <definedName name="mat_pct">'O&amp;M Assumptions'!$C$9</definedName>
    <definedName name="mat_pct_train">'O&amp;M Assumptions'!$C$10</definedName>
    <definedName name="max_baso4_antiscalant">'Critical Design Assumptions'!$C$77</definedName>
    <definedName name="max_baso4_no_antiscalant">'Critical Design Assumptions'!$C$83</definedName>
    <definedName name="max_bp_pump_size">'Influent and Booster Pumping'!$C$62</definedName>
    <definedName name="max_caf2_antiscalant">'Critical Design Assumptions'!$C$79</definedName>
    <definedName name="max_caf2_no_antiscalant">'Critical Design Assumptions'!$C$85</definedName>
    <definedName name="max_caso4_antiscalant">'Critical Design Assumptions'!$C$76</definedName>
    <definedName name="max_caso4_no_antiscalant">'Critical Design Assumptions'!$C$82</definedName>
    <definedName name="max_chem_pump_size">Cleaning!$C$24</definedName>
    <definedName name="max_chem_tank_size">Pretreatment!$C$4</definedName>
    <definedName name="max_chem_tank_size_noSS">Pretreatment!$C$5</definedName>
    <definedName name="max_clean_flow">Cleaning!$C$47</definedName>
    <definedName name="max_cm_pump_size">Pretreatment!$C$6</definedName>
    <definedName name="max_cm_pump_size_noSS">Pretreatment!$C$7</definedName>
    <definedName name="max_cool_cl">'Engineering Data'!$C$183</definedName>
    <definedName name="max_deltaP_el_I">'Calc System'!$D$39</definedName>
    <definedName name="max_deltaP_ves_I">'Calc System'!$D$40</definedName>
    <definedName name="max_eductor_size">'Residuals Management'!$C$81</definedName>
    <definedName name="max_element_dP">'Train Design'!$C$48</definedName>
    <definedName name="max_element_Qavg">'Train Design'!$C$49</definedName>
    <definedName name="max_ep_cell_area">'Critical Design Assumptions'!$C$270</definedName>
    <definedName name="max_excav_depth">Indirect!$C$37</definedName>
    <definedName name="max_feed_flow">'Train Design'!$C$63</definedName>
    <definedName name="max_feed_flow_dP_el">'Train Design'!$C$51</definedName>
    <definedName name="max_feed_flow_dP_ves">'Train Design'!$C$56</definedName>
    <definedName name="max_feed_flow_I">'Calc System'!$D$34</definedName>
    <definedName name="max_feed_flow_spec">'Train Design'!$C$45</definedName>
    <definedName name="max_feed_SDI">'Calc System'!$D$36</definedName>
    <definedName name="max_flow_rack">'Train Design'!$C$32</definedName>
    <definedName name="max_flow_rack_16">'Critical Design Assumptions'!$C$118</definedName>
    <definedName name="max_flow_rack_4">'Critical Design Assumptions'!$C$116</definedName>
    <definedName name="max_flow_rack_8">'Critical Design Assumptions'!$C$117</definedName>
    <definedName name="max_haz_ship">'Critical Design Assumptions'!$C$257</definedName>
    <definedName name="max_hazrad_ship">'Critical Design Assumptions'!$C$260</definedName>
    <definedName name="max_hbasin_size">'Critical Design Assumptions'!$C$225</definedName>
    <definedName name="max_heat_cl">'Engineering Data'!$C$186</definedName>
    <definedName name="max_heater_power">Cleaning!$C$25</definedName>
    <definedName name="max_hl_cell_area">'Critical Design Assumptions'!$C$231</definedName>
    <definedName name="max_hl_depth">'Critical Design Assumptions'!$C$232</definedName>
    <definedName name="max_hl_vol">'Residuals Management'!$C$61</definedName>
    <definedName name="max_htank_size">'Residuals Management'!$C$48</definedName>
    <definedName name="max_iter_pressure">'Critical Design Assumptions'!$C$163</definedName>
    <definedName name="max_lhaz_ship">'Critical Design Assumptions'!$C$258</definedName>
    <definedName name="max_lsi_antiscalant">'Critical Design Assumptions'!$C$75</definedName>
    <definedName name="max_lsi_no_antiscalant">'Critical Design Assumptions'!$C$81</definedName>
    <definedName name="max_P_feed_I">'Calc System'!$D$32</definedName>
    <definedName name="max_pump_size_ro100">'Influent and Booster Pumping'!$C$18</definedName>
    <definedName name="max_pump_size_ro150">'Influent and Booster Pumping'!$C$19</definedName>
    <definedName name="max_pump_size_ro200">'Influent and Booster Pumping'!$C$20</definedName>
    <definedName name="max_pump_size_ro250">'Influent and Booster Pumping'!$C$21</definedName>
    <definedName name="max_pump_size_ro300">'Influent and Booster Pumping'!$C$22</definedName>
    <definedName name="max_pump_size_ro350">'Influent and Booster Pumping'!$C$23</definedName>
    <definedName name="max_pump_size_ro500">'Influent and Booster Pumping'!$C$24</definedName>
    <definedName name="max_rad_ship">'Critical Design Assumptions'!$C$259</definedName>
    <definedName name="max_recovery">'Calc System'!$D$33</definedName>
    <definedName name="max_res_flow">'Residuals Management'!$C$21</definedName>
    <definedName name="max_res_pump_size">'Residuals Management'!$C$73</definedName>
    <definedName name="max_simplex_screen_flow">Cleaning!$C$26</definedName>
    <definedName name="max_sio2_conc_antiscalant">'Critical Design Assumptions'!$C$80</definedName>
    <definedName name="max_sio2_sat_no_antiscalant">'Critical Design Assumptions'!$C$86</definedName>
    <definedName name="max_space_tanks_large">'Critical Design Assumptions'!$C$206</definedName>
    <definedName name="max_space_tanks_small">'Critical Design Assumptions'!$C$205</definedName>
    <definedName name="max_space_vessels">'Pipes and Structure'!$C$31</definedName>
    <definedName name="max_srso4_antiscalant">'Critical Design Assumptions'!$C$78</definedName>
    <definedName name="max_srso4_no_antiscalant">'Critical Design Assumptions'!$C$84</definedName>
    <definedName name="max_sys_recovery">'Calc System'!$D$29</definedName>
    <definedName name="max_temp">'Calc System'!$D$38</definedName>
    <definedName name="max_vessel_dP">'Train Design'!$C$54</definedName>
    <definedName name="max_vessel_Qavg">'Train Design'!$C$55</definedName>
    <definedName name="max_well_pump_size">'Critical Design Assumptions'!$C$282</definedName>
    <definedName name="max_Y_el">'Train Design'!$C$18</definedName>
    <definedName name="membrane_fp">'Pipes and Structure'!$C$66</definedName>
    <definedName name="membrane_labor">'O&amp;M'!$C$50</definedName>
    <definedName name="membrane_life">'O&amp;M'!$C$19</definedName>
    <definedName name="membrane_life_nf">'O&amp;M Assumptions'!$C$11</definedName>
    <definedName name="membrane_life_ro">'O&amp;M Assumptions'!$C$12</definedName>
    <definedName name="membrane_materials">'O&amp;M'!$C$18</definedName>
    <definedName name="metal_cost_cl">'Cost Data'!$B$592:$F$595</definedName>
    <definedName name="min_avg_flow">'Critical Design Assumptions'!$C$6</definedName>
    <definedName name="min_cart">'Critical Design Assumptions'!$C$63</definedName>
    <definedName name="min_chem_flow">'Critical Design Assumptions'!$C$14</definedName>
    <definedName name="min_chem_tank_vol">'Critical Design Assumptions'!$C$192</definedName>
    <definedName name="min_cmix_hp">'Critical Design Assumptions'!$C$72</definedName>
    <definedName name="min_conc_flow_I">'Calc System'!$D$35</definedName>
    <definedName name="min_conc_flow_spec">'Train Design'!$C$59</definedName>
    <definedName name="min_ep_cells">'Critical Design Assumptions'!$C$271</definedName>
    <definedName name="min_feed_flow">'Train Design'!$C$64</definedName>
    <definedName name="min_feed_flow_conc">'Train Design'!$C$60</definedName>
    <definedName name="min_feed_pH">'Calc System'!$D$37</definedName>
    <definedName name="min_holes">'Indirect Assumptions'!$C$54</definedName>
    <definedName name="min_op_trains">'Critical Design Assumptions'!$C$119</definedName>
    <definedName name="min_res_pipe_size">'Critical Design Assumptions'!$C$241</definedName>
    <definedName name="min_standby">'Indirect Assumptions'!$C$65</definedName>
    <definedName name="min_sys_recovery">'Calc System'!$D$28</definedName>
    <definedName name="min_trench_depth">'Indirect Assumptions'!$C$33</definedName>
    <definedName name="misc_pct">'Indirect Assumptions'!$C$85</definedName>
    <definedName name="missing_cost">OUTPUT!$C$492</definedName>
    <definedName name="mob_pct_large">'Indirect Assumptions'!$C$17</definedName>
    <definedName name="mob_pct_medium">'Indirect Assumptions'!$C$16</definedName>
    <definedName name="mob_pct_small">'Indirect Assumptions'!$C$15</definedName>
    <definedName name="mob_pct_well">'Indirect Assumptions'!$C$18</definedName>
    <definedName name="mod_col_nmodules">1</definedName>
    <definedName name="monthly_labor_auto_screen">'O&amp;M Assumptions'!$C$17</definedName>
    <definedName name="mount_mix_cost_cl">'Cost Data'!$B$600:$F$607</definedName>
    <definedName name="n_el_series">'Train Design'!$C$20</definedName>
    <definedName name="n_elements">'Train Design'!$C$29</definedName>
    <definedName name="n_stages">'Train Design'!$C$23</definedName>
    <definedName name="n_vessels">'Train Design'!$C$28</definedName>
    <definedName name="NaOH_per_cycle">Cleaning!$C$74</definedName>
    <definedName name="NaOH_purchase">Cleaning!$C$109</definedName>
    <definedName name="NaOH_store">Cleaning!$C$76</definedName>
    <definedName name="NaOH_store_gal">Cleaning!$C$77</definedName>
    <definedName name="NaOH_table_cl">'Engineering Data'!$A$191:$D$216</definedName>
    <definedName name="NaOH_yr">Cleaning!$C$75</definedName>
    <definedName name="ndp_avg">'Pressure Tuning'!$C$127</definedName>
    <definedName name="ndp_avg_1">'Pressure Tuning'!$C$23</definedName>
    <definedName name="ndp_avg_2">'Pressure Tuning'!$C$32</definedName>
    <definedName name="ndp_avg_3">'Pressure Tuning'!$C$41</definedName>
    <definedName name="ndp_req_firstguess">'Train Design'!$C$115</definedName>
    <definedName name="need_cool">'Indirect Assumptions'!$C$64</definedName>
    <definedName name="need_heat">'Indirect Assumptions'!$C$63</definedName>
    <definedName name="NEPA_cost_cl">'Cost Data'!$B$1623:$C$1624</definedName>
    <definedName name="NEPA_SW_cost_cl">'Cost Data'!$D$1627</definedName>
    <definedName name="next_loc_marker">'Cost Data'!$A$1892</definedName>
    <definedName name="nfro_element_cost_cl">'Cost Data'!$B$612:$F$620</definedName>
    <definedName name="non_fire_buffer">'Critical Design Assumptions'!$C$211</definedName>
    <definedName name="non_haz_miles">'Critical Design Assumptions'!$C$261</definedName>
    <definedName name="nonhaz_disposal_cost_cl">'Cost Data'!$D$1630</definedName>
    <definedName name="nonhaz_transportation_cost_cl">'Cost Data'!$D$1633</definedName>
    <definedName name="NPDES_permit_cost_cl">'Cost Data'!$B$1639:$C$1641</definedName>
    <definedName name="NRD_acid_mpumps">'Critical Design Assumptions'!$C$73</definedName>
    <definedName name="NRD_anti_mpumps">'Critical Design Assumptions'!$C$74</definedName>
    <definedName name="NRD_bp_pumps">'Critical Design Assumptions'!$C$20</definedName>
    <definedName name="NRD_cart_filter">'Critical Design Assumptions'!$C$191</definedName>
    <definedName name="NRD_chem_pump">'Critical Design Assumptions'!$C$184</definedName>
    <definedName name="NRD_filters">Pretreatment!$C$33</definedName>
    <definedName name="NRD_immersion_heaters">'Critical Design Assumptions'!$C$187</definedName>
    <definedName name="NRD_inf_pumps">'Critical Design Assumptions'!$C$11</definedName>
    <definedName name="NRD_res_pump">'Critical Design Assumptions'!$C$237</definedName>
    <definedName name="NRD_sec_screen">'Critical Design Assumptions'!$C$189</definedName>
    <definedName name="NRD_trains">'Critical Design Assumptions'!$C$120</definedName>
    <definedName name="NRD_trains_used">'Membrane Capital'!$C$13</definedName>
    <definedName name="NRD_well_pump">'Critical Design Assumptions'!$C$283</definedName>
    <definedName name="NRD_wells">'Critical Design Assumptions'!$C$284</definedName>
    <definedName name="num_buildings">'Pipes and Structure'!$C$80</definedName>
    <definedName name="num_clean_sys">Cleaning!$C$9</definedName>
    <definedName name="num_filters">Pretreatment!$C$34</definedName>
    <definedName name="num_holes">Indirect!$C$40</definedName>
    <definedName name="num_iterations">'Calc One Element'!$C$390</definedName>
    <definedName name="num_iterations_out">'Calc System'!$D$276:$AC$276</definedName>
    <definedName name="num_iterations_pressure">'Pressure Tuning'!$C$154</definedName>
    <definedName name="num_neut_tanks">'Residuals Management'!$C$57</definedName>
    <definedName name="num_pits">Indirect!$C$39</definedName>
    <definedName name="num_stages_out">'Calc System'!$D$83</definedName>
    <definedName name="num_vess_1_out">'Calc System'!$D$86</definedName>
    <definedName name="num_vess_2_out">'Calc System'!$D$87</definedName>
    <definedName name="num_vess_3_out">'Calc System'!$D$88</definedName>
    <definedName name="num_well_pumps">'Residuals Management'!$C$107</definedName>
    <definedName name="num_wells">'Residuals Management'!$C$103</definedName>
    <definedName name="nves_1">'Train Design'!$C$70</definedName>
    <definedName name="nves_1_max">'Train Design'!$C$69</definedName>
    <definedName name="nves_1_min">'Train Design'!$C$68</definedName>
    <definedName name="nves_1_targ">'Train Design'!$C$67</definedName>
    <definedName name="nves_2">'Train Design'!$C$80</definedName>
    <definedName name="nves_2_max">'Train Design'!$C$79</definedName>
    <definedName name="nves_2_min">'Train Design'!$C$78</definedName>
    <definedName name="nves_2_targ">'Train Design'!$C$77</definedName>
    <definedName name="nves_3">'Train Design'!$C$90</definedName>
    <definedName name="nves_3_max">'Train Design'!$C$89</definedName>
    <definedName name="nves_3_min">'Train Design'!$C$88</definedName>
    <definedName name="nves_3_targ">'Train Design'!$C$87</definedName>
    <definedName name="office_fp">'Pipes and Structure'!$C$77</definedName>
    <definedName name="old_average_flow">'Calc System'!$E$282</definedName>
    <definedName name="old_design_flow">'Calc System'!$E$281</definedName>
    <definedName name="old_design_flux">'Calc System'!$E$286</definedName>
    <definedName name="old_element_index">'Calc System'!$E$283</definedName>
    <definedName name="old_pretreat_acid_I">'Calc System'!$E$287</definedName>
    <definedName name="old_T_feed">'Calc System'!$E$284</definedName>
    <definedName name="old_target_recovery">'Calc System'!$E$285</definedName>
    <definedName name="old_treated_feed_pH">'Calc System'!$E$288</definedName>
    <definedName name="old_water_index">'Calc System'!$E$280</definedName>
    <definedName name="OM_City_Index">OUTPUT!$C$404</definedName>
    <definedName name="OM_cost">OUTPUT!$G$452</definedName>
    <definedName name="op_area">'Membrane Capital'!$C$10</definedName>
    <definedName name="op_cart_filters">Cleaning!$C$48</definedName>
    <definedName name="op_elements">'Membrane Capital'!$C$9</definedName>
    <definedName name="op_fm_cost_cl">'Cost Data'!$B$625:$F$632</definedName>
    <definedName name="op_fm_eq_clean">'Cost Equations'!$C$227</definedName>
    <definedName name="op_fm_eq_conc">'Cost Equations'!$C$222</definedName>
    <definedName name="op_fm_eq_feed">'Cost Equations'!$C$212</definedName>
    <definedName name="op_fm_eq_in">'Cost Equations'!$C$207</definedName>
    <definedName name="op_fm_eq_perm">'Cost Equations'!$C$217</definedName>
    <definedName name="op_fm_eq_res">'Cost Equations'!$C$232</definedName>
    <definedName name="op_interface_software_cost_cl">'Cost Data'!$B$637:$F$637</definedName>
    <definedName name="op_num_bp_pumps">'Influent and Booster Pumping'!$C$64</definedName>
    <definedName name="op_PVs">'Membrane Capital'!$C$7</definedName>
    <definedName name="op_racks">'Membrane Capital'!$C$6</definedName>
    <definedName name="op_sec_screens">Cleaning!$C$41</definedName>
    <definedName name="op_trains">'Train Design'!$C$33</definedName>
    <definedName name="op_trains_I">INPUT!$G$79</definedName>
    <definedName name="op_well_pumps">'Residuals Management'!$C$106</definedName>
    <definedName name="Operator_LOE">'O&amp;M'!$C$58</definedName>
    <definedName name="output_db">OUTPUT!$A$34:$V$358</definedName>
    <definedName name="overexcavate">'Critical Design Assumptions'!$C$229</definedName>
    <definedName name="P_adj_method_12">'Critical Design Assumptions'!$C$169</definedName>
    <definedName name="P_adj_method_23">'Critical Design Assumptions'!$C$170</definedName>
    <definedName name="P_adjust_2_new">'Pressure Tuning'!$C$147</definedName>
    <definedName name="P_adjust_2_try">'Pressure Tuning'!$C$9</definedName>
    <definedName name="P_adjust_3_new">'Pressure Tuning'!$C$148</definedName>
    <definedName name="P_adjust_3_try">'Pressure Tuning'!$C$10</definedName>
    <definedName name="P_applied">'Calc One Element'!$C$57</definedName>
    <definedName name="P_avg_applied_guess">'Calc One Element'!$C$102</definedName>
    <definedName name="P_boost_2_try">'Pressure Tuning'!$C$16</definedName>
    <definedName name="P_boost_3_try">'Pressure Tuning'!$C$17</definedName>
    <definedName name="P_change_required">'Calc One Element'!$C$388</definedName>
    <definedName name="P_conc">'Calc One Element'!$C$272</definedName>
    <definedName name="P_decr_required">'Calc One Element'!$C$387</definedName>
    <definedName name="P_feed">'Calc One Element'!$C$55</definedName>
    <definedName name="P_feed_I">'Calc One Element'!$C$48</definedName>
    <definedName name="P_feed_out">'Calc System'!$D$185:$AC$185</definedName>
    <definedName name="P_feed_try">'Pressure Tuning'!$C$12</definedName>
    <definedName name="P_feed_v">'Calc System'!$D$158:$F$158</definedName>
    <definedName name="P_incr_required">'Calc One Element'!$C$386</definedName>
    <definedName name="P_net">'Calc One Element'!$C$113</definedName>
    <definedName name="P_net_diff">'Calc One Element'!$C$328</definedName>
    <definedName name="P_net_feed_guess">'Calc One Element'!$C$103</definedName>
    <definedName name="P_net_firstguess">'Calc One Element'!$C$107</definedName>
    <definedName name="P_net_guess_det">'Calc One Element'!$C$105</definedName>
    <definedName name="P_net_guess_fixed">'Calc One Element'!$C$106</definedName>
    <definedName name="P_net_new">'Calc One Element'!$C$326</definedName>
    <definedName name="P_net_next">'Calc One Element'!$C$330</definedName>
    <definedName name="P_net_out">'Calc System'!$D$193:$AC$193</definedName>
    <definedName name="P_net_pctdiff">'Calc One Element'!$C$329</definedName>
    <definedName name="P_stg1_new">'Pressure Tuning'!$C$146</definedName>
    <definedName name="P_stg1_try">'Pressure Tuning'!$C$8</definedName>
    <definedName name="P_throttle">'Calc One Element'!$C$56</definedName>
    <definedName name="P_throttle_1_try">'Pressure Tuning'!$C$13</definedName>
    <definedName name="P_throttle_2_try">'Pressure Tuning'!$C$14</definedName>
    <definedName name="P_throttle_3_try">'Pressure Tuning'!$C$15</definedName>
    <definedName name="P_throttle_I">'Calc One Element'!$C$49</definedName>
    <definedName name="P_throttle_out">'Calc System'!$D$186:$AC$186</definedName>
    <definedName name="pad_thick">'Critical Design Assumptions'!$C$215</definedName>
    <definedName name="pad_thick_small">'Critical Design Assumptions'!$C$216</definedName>
    <definedName name="pad_vessels">'Critical Design Assumptions'!$C$217</definedName>
    <definedName name="pan_evap">'Critical Design Assumptions'!$C$265</definedName>
    <definedName name="pc_workstation_cost_cl">'Cost Data'!$B$642:$F$642</definedName>
    <definedName name="Pchange_conv">'Calc One Element'!$C$384</definedName>
    <definedName name="Pchange_dPves">'Calc One Element'!$C$380</definedName>
    <definedName name="Pchange_flow">'Pressure Tuning'!$C$128</definedName>
    <definedName name="Pchange_flow_pct">'Pressure Tuning'!$C$126</definedName>
    <definedName name="Pchange_large_dPel">'Calc One Element'!$C$371</definedName>
    <definedName name="Pchange_largeY">'Calc One Element'!$C$360</definedName>
    <definedName name="Pchange_negPnet">'Calc One Element'!$C$356</definedName>
    <definedName name="Pchange_smallQconc">'Calc One Element'!$C$365</definedName>
    <definedName name="performance_bond_table_cl">'Engineering Data'!$A$221:$E$226</definedName>
    <definedName name="perm_anions">'Calc One Element'!$C$171</definedName>
    <definedName name="perm_carbon">'Calc One Element'!$C$150</definedName>
    <definedName name="perm_cations">'Calc One Element'!$C$170</definedName>
    <definedName name="perm_conc_out">'Calc System'!$D$232:$AC$244</definedName>
    <definedName name="perm_difference">'Calc One Element'!$C$172</definedName>
    <definedName name="perm_flow">'Calc One Element'!$C$117</definedName>
    <definedName name="perm_flow_abs_tol">'Critical Design Assumptions'!$C$162</definedName>
    <definedName name="perm_flow_ok">'Pressure Tuning'!$C$124</definedName>
    <definedName name="perm_flow_out">'Calc System'!$D$177:$AC$177</definedName>
    <definedName name="perm_flow_rack_1">'Instrumentation and Control'!$C$16</definedName>
    <definedName name="perm_flow_rack_2">'Instrumentation and Control'!$C$18</definedName>
    <definedName name="perm_flow_rack_3">'Instrumentation and Control'!$C$20</definedName>
    <definedName name="perm_flow_sys">'Calc System'!$D$91</definedName>
    <definedName name="perm_flow_tol">'Critical Design Assumptions'!$C$161</definedName>
    <definedName name="perm_flow_v">'Calc System'!$D$151:$F$151</definedName>
    <definedName name="perm_flux">'Calc One Element'!$C$115</definedName>
    <definedName name="perm_flux_out">'Calc System'!$D$179:$AC$179</definedName>
    <definedName name="perm_flux_v">'Calc System'!$D$153:$F$153</definedName>
    <definedName name="perm_frac_co2">'Calc One Element'!$C$153</definedName>
    <definedName name="perm_frac_co3">'Calc One Element'!$C$152</definedName>
    <definedName name="perm_frac_hco3">'Calc One Element'!$C$151</definedName>
    <definedName name="perm_gas_concs">'Calc System'!$D$126</definedName>
    <definedName name="perm_gas_out">'Calc System'!$D$244:$AC$244</definedName>
    <definedName name="perm_gas_ppm">'Calc One Element'!$C$204</definedName>
    <definedName name="perm_hdr_diam">'Membrane Capital'!$C$61</definedName>
    <definedName name="perm_hdr_length">'Membrane Capital'!$C$62</definedName>
    <definedName name="perm_Hplus">'Calc One Element'!$C$148</definedName>
    <definedName name="perm_ion_concs">'Calc System'!$D$114:$D$126</definedName>
    <definedName name="perm_ionstrength">'Calc One Element'!$C$142</definedName>
    <definedName name="perm_K1">'Calc One Element'!$C$146</definedName>
    <definedName name="perm_K2">'Calc One Element'!$C$147</definedName>
    <definedName name="perm_meq">'Calc One Element'!$C$177:$C$189</definedName>
    <definedName name="perm_meq_carbbal">'Calc One Element'!$C$156:$C$168</definedName>
    <definedName name="perm_meq_unbal">'Calc One Element'!$C$128:$C$140</definedName>
    <definedName name="perm_meter_size">'Instrumentation and Control'!$C$56</definedName>
    <definedName name="perm_pH">'Calc One Element'!$C$149</definedName>
    <definedName name="perm_pH_out">'Calc System'!$D$206:$AC$206</definedName>
    <definedName name="perm_pipe_flow">'Pipes and Structure'!$C$9</definedName>
    <definedName name="perm_pipe_len">'Membrane Capital'!$C$69</definedName>
    <definedName name="perm_pK_corr">'Calc One Element'!$C$143</definedName>
    <definedName name="perm_pK1">'Calc One Element'!$C$144</definedName>
    <definedName name="perm_pK2">'Calc One Element'!$C$145</definedName>
    <definedName name="perm_port_diam_16">'Critical Design Assumptions'!$C$142</definedName>
    <definedName name="perm_port_diam_4">'Critical Design Assumptions'!$C$140</definedName>
    <definedName name="perm_port_diam_8">'Critical Design Assumptions'!$C$141</definedName>
    <definedName name="perm_ppm">'Calc One Element'!$C$192:$C$204</definedName>
    <definedName name="perm_tds">'Calc One Element'!$C$254</definedName>
    <definedName name="perm_tds_out">'Calc System'!$D$200:$AC$200</definedName>
    <definedName name="perm_tds_sys">'Calc System'!$D$94</definedName>
    <definedName name="perm_tds_sys_180c">'Calc System'!$D$95</definedName>
    <definedName name="perm_tds_v">'Calc System'!$D$161:$F$161</definedName>
    <definedName name="perm_valve_1_diam">'Instrumentation and Control'!$C$17</definedName>
    <definedName name="perm_valve_2_diam">'Instrumentation and Control'!$C$19</definedName>
    <definedName name="perm_valve_3_diam">'Instrumentation and Control'!$C$21</definedName>
    <definedName name="permit_cost">Indirect!$C$93</definedName>
    <definedName name="Pfeed_firstguess">'Train Design'!$C$116</definedName>
    <definedName name="Pfeed_guess">'Train Design'!$C$120</definedName>
    <definedName name="pH_controls_acid">'Critical Design Assumptions'!$C$43</definedName>
    <definedName name="pH_meter_cost_cl">'Cost Data'!$B$647:$F$647</definedName>
    <definedName name="pi_avg">'Calc One Element'!$C$257</definedName>
    <definedName name="pi_avg_diff">'Calc One Element'!$C$258</definedName>
    <definedName name="pi_avg_guess">'Train Design'!$C$107</definedName>
    <definedName name="pi_conc">'Calc One Element'!$C$255</definedName>
    <definedName name="pi_conc_guess">'Train Design'!$C$106</definedName>
    <definedName name="PI_conc_out">'Calc System'!$D$188:$AC$188</definedName>
    <definedName name="pi_feed">'Calc One Element'!$C$93</definedName>
    <definedName name="PI_feed_out">'Calc System'!$D$187:$AC$187</definedName>
    <definedName name="pi_feed_sys">'Train Design'!$C$105</definedName>
    <definedName name="pi_perm">'Calc One Element'!$C$256</definedName>
    <definedName name="PI_perm_out">'Calc System'!$D$189:$AC$189</definedName>
    <definedName name="PI_tm_out">'Calc System'!$D$190:$AC$190</definedName>
    <definedName name="pilot_cost_large_cl">'Cost Data'!$B$1706:$C$1733</definedName>
    <definedName name="pilot_cost_medium_cl">'Cost Data'!$B$1769:$C$1796</definedName>
    <definedName name="pilot_cost_small_cl">'Cost Data'!$B$1803:$C$1830</definedName>
    <definedName name="pipe_size_table_cl">'Engineering Data'!$A$232:$B$252</definedName>
    <definedName name="pipe_vol_frac">'Critical Design Assumptions'!$C$182</definedName>
    <definedName name="pit_cost_cl">'Cost Data'!$B$652:$F$652</definedName>
    <definedName name="pit_depth">'Indirect Assumptions'!$C$49</definedName>
    <definedName name="pit_length">'Indirect Assumptions'!$C$47</definedName>
    <definedName name="pit_width">'Indirect Assumptions'!$C$48</definedName>
    <definedName name="pK1_feed">'Feed Water'!$C$48</definedName>
    <definedName name="pK1_tfeed">'Feed Water'!$C$235</definedName>
    <definedName name="pK1_uncorr_feed">'Feed Water'!$C$43</definedName>
    <definedName name="pK2_feed">'Feed Water'!$C$49</definedName>
    <definedName name="pK2_tfeed">'Feed Water'!$C$236</definedName>
    <definedName name="pK2_uncorr_feed">'Feed Water'!$C$44</definedName>
    <definedName name="pKSo_feed">'Feed Water'!$C$45</definedName>
    <definedName name="pKWater_feed">'Feed Water'!$C$46</definedName>
    <definedName name="pl_acid_day_eq">'Cost Equations'!$C$34</definedName>
    <definedName name="pl_anti_day_eq">'Cost Equations'!$C$37</definedName>
    <definedName name="pl_clncst_eq_acid">'Cost Equations'!$C$22</definedName>
    <definedName name="pl_clncst_eq_caustic">'Cost Equations'!$C$24</definedName>
    <definedName name="pl_cst_cost_cl">'Cost Data'!$B$657:$F$683</definedName>
    <definedName name="pl_cst_eq">'Cost Equations'!$C$22</definedName>
    <definedName name="pl_cst_eq_acid">'Cost Equations'!$C$11</definedName>
    <definedName name="pl_cst_eq_anti">'Cost Equations'!$C$14</definedName>
    <definedName name="pl_makeup_eq">'Cost Equations'!$C$18</definedName>
    <definedName name="plant_intel_software_cost_cl">'Cost Data'!$B$688:$F$688</definedName>
    <definedName name="plc_base_expansion">'Instrumentation and Control'!$C$90</definedName>
    <definedName name="plc_base_expansion_controller">'Instrumentation and Control'!$C$91</definedName>
    <definedName name="plc_base_expansion_controller_cost_cl">'Cost Data'!$B$693:$F$693</definedName>
    <definedName name="plc_base_expansion_cost_cl">'Cost Data'!$B$698:$F$698</definedName>
    <definedName name="plc_combination_analog">'Instrumentation and Control'!$C$86</definedName>
    <definedName name="plc_combination_analog_cost_cl">'Cost Data'!$B$703:$F$703</definedName>
    <definedName name="plc_cpu">'Critical Design Assumptions'!$C$301</definedName>
    <definedName name="plc_cpu_cost_cl">'Cost Data'!$B$708:$F$708</definedName>
    <definedName name="plc_data_software_cost_cl">'Cost Data'!$B$713:$F$713</definedName>
    <definedName name="plc_discrete_input">'Instrumentation and Control'!$C$85</definedName>
    <definedName name="plc_discrete_input_cost_cl">'Cost Data'!$B$718:$F$718</definedName>
    <definedName name="plc_discrete_output">'Instrumentation and Control'!$C$84</definedName>
    <definedName name="plc_discrete_output_cost_cl">'Cost Data'!$B$723:$F$723</definedName>
    <definedName name="plc_ethernet">'Critical Design Assumptions'!$C$302</definedName>
    <definedName name="plc_ethernet_cost_cl">'Cost Data'!$B$728:$F$728</definedName>
    <definedName name="plc_expansions">'Instrumentation and Control'!$C$88</definedName>
    <definedName name="plc_interface">'Critical Design Assumptions'!$C$303</definedName>
    <definedName name="plc_op_interface_cost_cl">'Cost Data'!$B$733:$F$734</definedName>
    <definedName name="plc_rack">'Instrumentation and Control'!$C$89</definedName>
    <definedName name="plc_rack_cost_cl">'Cost Data'!$B$739:$F$739</definedName>
    <definedName name="plc_slots">'Instrumentation and Control'!$C$87</definedName>
    <definedName name="plc_software_cost_cl">'Cost Data'!$B$744:$F$744</definedName>
    <definedName name="Pnet_guess">'Train Design'!$C$119</definedName>
    <definedName name="port_mix_cost_cl">'Cost Data'!$B$749:$F$750</definedName>
    <definedName name="port_table">'Critical Design Assumptions'!$B$350:$F$361</definedName>
    <definedName name="ports">'Instrumentation and Control'!$C$70</definedName>
    <definedName name="ports_bp">'Critical Design Assumptions'!$C$53</definedName>
    <definedName name="ports_cart">'Critical Design Assumptions'!$C$50</definedName>
    <definedName name="ports_PV">'Critical Design Assumptions'!$C$52</definedName>
    <definedName name="ports_rack">'Critical Design Assumptions'!$C$51</definedName>
    <definedName name="POTW_base_cost_avg_cl">'Cost Data'!$D$1833</definedName>
    <definedName name="POTW_base_cost_typ_cl">'Cost Data'!$D$1836</definedName>
    <definedName name="POTW_base_fee">'Critical Design Assumptions'!$C$249</definedName>
    <definedName name="POTW_fee">'Residuals Management'!$C$154</definedName>
    <definedName name="POTW_rate_type">'Critical Design Assumptions'!$C$248</definedName>
    <definedName name="POTW_TSS_cost_avg_cl">'Cost Data'!$D$1839</definedName>
    <definedName name="POTW_TSS_cost_typ_cl">'Cost Data'!$D$1842</definedName>
    <definedName name="POTW_TSS_fee">'Critical Design Assumptions'!$C$251</definedName>
    <definedName name="POTW_TSS_limit">'Critical Design Assumptions'!$C$252</definedName>
    <definedName name="POTW_vol_cost_avg_cl">'Cost Data'!$D$1845</definedName>
    <definedName name="POTW_vol_cost_typ_cl">'Cost Data'!$D$1848</definedName>
    <definedName name="POTW_volume_fee">'Critical Design Assumptions'!$C$250</definedName>
    <definedName name="pp_chv_cost_cl">'Cost Data'!$B$755:$F$766</definedName>
    <definedName name="pp_chv_eq_bp">'Cost Equations'!$C$143</definedName>
    <definedName name="pp_chv_eq_cln">'Cost Equations'!$C$149</definedName>
    <definedName name="pp_chv_eq_feed">'Cost Equations'!$C$146</definedName>
    <definedName name="pp_chv_eq_in">'Cost Equations'!$C$140</definedName>
    <definedName name="pp_chv_eq_res">'Cost Equations'!$C$137</definedName>
    <definedName name="pp_man_cost_cl">'Cost Data'!$B$771:$F$787</definedName>
    <definedName name="pp_man_eq">'Cost Equations'!$C$104</definedName>
    <definedName name="pp_man_eq_acid">'Cost Equations'!$C$107</definedName>
    <definedName name="pp_man_eq_anti">'Cost Equations'!$C$109</definedName>
    <definedName name="pp_man_eq_b2">'Cost Equations'!$C$116</definedName>
    <definedName name="pp_man_eq_b3">'Cost Equations'!$C$119</definedName>
    <definedName name="pp_man_eq_bp">'Cost Equations'!$C$130</definedName>
    <definedName name="pp_man_eq_clean">'Cost Equations'!$C$128</definedName>
    <definedName name="pp_man_eq_feed">'Cost Equations'!$C$111</definedName>
    <definedName name="pp_man_eq_pt1">'Cost Equations'!$C$122</definedName>
    <definedName name="pp_man_eq_pt2">'Cost Equations'!$C$124</definedName>
    <definedName name="pp_man_eq_pt3">'Cost Equations'!$C$126</definedName>
    <definedName name="pp_man_eq_res">'Cost Equations'!$C$133</definedName>
    <definedName name="pp_mov_cost_cl">'Cost Data'!$B$792:$F$809</definedName>
    <definedName name="pp_mov_eq_acid">'Cost Equations'!$C$73</definedName>
    <definedName name="pp_mov_eq_anti">'Cost Equations'!$C$75</definedName>
    <definedName name="pp_mov_eq_b2">'Cost Equations'!$C$83</definedName>
    <definedName name="pp_mov_eq_b3">'Cost Equations'!$C$86</definedName>
    <definedName name="pp_mov_eq_bp">'Cost Equations'!$C$97</definedName>
    <definedName name="pp_mov_eq_clean">'Cost Equations'!$C$95</definedName>
    <definedName name="pp_mov_eq_conc">'Cost Equations'!$C$82</definedName>
    <definedName name="pp_mov_eq_feed">'Cost Equations'!$C$77</definedName>
    <definedName name="pp_mov_eq_pt1">'Cost Equations'!$C$89</definedName>
    <definedName name="pp_mov_eq_pt2">'Cost Equations'!$C$91</definedName>
    <definedName name="pp_mov_eq_pt3">'Cost Equations'!$C$93</definedName>
    <definedName name="pp_mov_eq_res">'Cost Equations'!$C$100</definedName>
    <definedName name="pre_chem_fp">'Pipes and Structure'!$C$39</definedName>
    <definedName name="pre_filter_replacement">'O&amp;M'!$C$12</definedName>
    <definedName name="precip">'Critical Design Assumptions'!$C$267</definedName>
    <definedName name="prescreen_dim_table_cl">'Engineering Data'!$A$257:$G$263</definedName>
    <definedName name="pressure_err_msg">'Pressure Tuning'!$C$151</definedName>
    <definedName name="pressure_error">'Pressure Tuning'!$C$150</definedName>
    <definedName name="pressure_error_flow">'Pressure Tuning'!$C$142</definedName>
    <definedName name="pressure_error_stg1">'Pressure Tuning'!$C$64</definedName>
    <definedName name="pressure_error_stg2">'Pressure Tuning'!$C$89</definedName>
    <definedName name="pressure_error_stg3">'Pressure Tuning'!$C$118</definedName>
    <definedName name="pretreat_acid">'Feed Water'!$C$178</definedName>
    <definedName name="pretreat_acid_I">INPUT!$G$89</definedName>
    <definedName name="pretreat_acid_list">'Lookup Tables'!$C$100:$C$102</definedName>
    <definedName name="pretreat_acid_table">'Lookup Tables'!$C$100:$D$102</definedName>
    <definedName name="pretreat_acid_valve_size">'Instrumentation and Control'!$C$10</definedName>
    <definedName name="pretreat_fp">'Pipes and Structure'!$C$46</definedName>
    <definedName name="pretreat_labor">'O&amp;M'!$C$49</definedName>
    <definedName name="pretreat_materials">'O&amp;M'!$C$10</definedName>
    <definedName name="pretreat_permit_cost_cl">'Cost Data'!$C$1851</definedName>
    <definedName name="prev_deltaP_I">'Calc One Element'!$C$52</definedName>
    <definedName name="printer_ratio">'Critical Design Assumptions'!$C$307</definedName>
    <definedName name="printers">'Instrumentation and Control'!$C$93</definedName>
    <definedName name="process_cost">OUTPUT!$C$361</definedName>
    <definedName name="prop_acid_per_cycle">Cleaning!$C$67</definedName>
    <definedName name="prop_acid_purchase">Cleaning!$C$103</definedName>
    <definedName name="prop_acid_store_gal">Cleaning!$C$69</definedName>
    <definedName name="prop_acid_yr">Cleaning!$C$68</definedName>
    <definedName name="prop_deterg_per_cycle">Cleaning!$C$79</definedName>
    <definedName name="prop_deterg_purchase">Cleaning!$C$115</definedName>
    <definedName name="prop_deterg_store_gal">Cleaning!$C$81</definedName>
    <definedName name="prop_deterg_yr">Cleaning!$C$80</definedName>
    <definedName name="prop_fm_cost_cl">'Cost Data'!$B$814:$F$828</definedName>
    <definedName name="prop_fm_eq_clean">'Cost Equations'!$C$228</definedName>
    <definedName name="prop_fm_eq_conc">'Cost Equations'!$C$223</definedName>
    <definedName name="prop_fm_eq_feed">'Cost Equations'!$C$213</definedName>
    <definedName name="prop_fm_eq_in">'Cost Equations'!$C$208</definedName>
    <definedName name="prop_fm_eq_perm">'Cost Equations'!$C$218</definedName>
    <definedName name="prop_fm_eq_res">'Cost Equations'!$C$233</definedName>
    <definedName name="proprietary_dilution_highpH">'Critical Design Assumptions'!$C$200</definedName>
    <definedName name="proprietary_dilution_lowpH">'Critical Design Assumptions'!$C$199</definedName>
    <definedName name="psi_per_atm">Conversions!$C$23</definedName>
    <definedName name="ptfe_imm_htr_cost_cl">'Cost Data'!$B$833:$F$847</definedName>
    <definedName name="ptfe_imm_htr_eq">'Cost Equations'!$C$204</definedName>
    <definedName name="pump_cost_cl">'Cost Data'!$B$852:$F$865</definedName>
    <definedName name="pump_dim_table_cl">'Engineering Data'!$A$268:$D$271</definedName>
    <definedName name="pump_effcy">'Critical Design Assumptions'!$C$12</definedName>
    <definedName name="pump_energy">'O&amp;M'!$C$80</definedName>
    <definedName name="pump_eq_chem">'Cost Equations'!$C$186</definedName>
    <definedName name="pump_materials">'O&amp;M'!$C$6</definedName>
    <definedName name="pump_safety_factor">'Critical Design Assumptions'!$C$9</definedName>
    <definedName name="pumps_per_chem">Cleaning!$C$28</definedName>
    <definedName name="pv_arrangement_ratio">'Critical Design Assumptions'!$C$122</definedName>
    <definedName name="pv_base_cost">'Membrane Capital'!$C$50</definedName>
    <definedName name="pv_clean_sys">Cleaning!$C$5</definedName>
    <definedName name="PV_cols">'Membrane Capital'!$C$22</definedName>
    <definedName name="pv_conn_galv_cost_cl">'Cost Data'!$B$870:$F$878</definedName>
    <definedName name="pv_conn_paint_cost_cl">'Cost Data'!$B$883:$F$891</definedName>
    <definedName name="pv_cost">'Membrane Capital'!$C$52</definedName>
    <definedName name="pv_element_cost">'Membrane Capital'!$C$51</definedName>
    <definedName name="pv_per_rack">'Membrane Capital'!$C$8</definedName>
    <definedName name="pv_rack_member_cost_cl">'Cost Data'!$B$896:$F$896</definedName>
    <definedName name="PV_rating">'Membrane Capital'!$C$44</definedName>
    <definedName name="PV_rating_req">'Membrane Capital'!$C$43</definedName>
    <definedName name="PV_rating_sf">'Critical Design Assumptions'!$C$135</definedName>
    <definedName name="pv_rating_table_cl">'Engineering Data'!$A$276:$B$279</definedName>
    <definedName name="PV_rows">'Membrane Capital'!$C$21</definedName>
    <definedName name="pv_rows_max">'Critical Design Assumptions'!$C$123</definedName>
    <definedName name="PV_spacing_16">'Critical Design Assumptions'!$C$154</definedName>
    <definedName name="PV_spacing_4">'Critical Design Assumptions'!$C$152</definedName>
    <definedName name="PV_spacing_8">'Critical Design Assumptions'!$C$153</definedName>
    <definedName name="pv_supports">'Membrane Capital'!$C$34</definedName>
    <definedName name="pv1618_base_cost_cl">'Cost Data'!$B$901:$F$903</definedName>
    <definedName name="pv1618_element_cost_cl">'Cost Data'!$B$908:$F$910</definedName>
    <definedName name="pv4_base_cost_cl">'Cost Data'!$B$915:$F$917</definedName>
    <definedName name="pv4_element_cost_cl">'Cost Data'!$B$922:$F$924</definedName>
    <definedName name="pv8_base_cost_cl">'Cost Data'!$B$929:$F$932</definedName>
    <definedName name="pv8_element_cost_cl">'Cost Data'!$B$937:$F$940</definedName>
    <definedName name="pvc_empump_cost_cl">'Cost Data'!$B$945:$F$956</definedName>
    <definedName name="pvc_empump_eq_acid">'Cost Equations'!$C$155</definedName>
    <definedName name="pvc_empump_eq_anti">'Cost Equations'!$C$159</definedName>
    <definedName name="pvc_mmpump_cost_cl">'Cost Data'!$B$961:$F$973</definedName>
    <definedName name="pvc_mmpump_eq_acid">'Cost Equations'!$C$154</definedName>
    <definedName name="pvc_mmpump_eq_anti">'Cost Equations'!$C$157</definedName>
    <definedName name="pvc_pipe_cost_cl">'Cost Data'!$B$978:$F$999</definedName>
    <definedName name="pvc_pipe_eq_bp">'Cost Equations'!$C$68</definedName>
    <definedName name="pvc_pipe_eq_clean">'Cost Equations'!$C$59</definedName>
    <definedName name="pvc_pipe_eq_feed">'Cost Equations'!$C$44</definedName>
    <definedName name="pvc_pipe_eq_in_out">'Cost Equations'!$C$54</definedName>
    <definedName name="pvc_pipe_eq_perm">'Cost Equations'!$C$49</definedName>
    <definedName name="pvc_pipe_eq_perm_rack">'Cost Equations'!$C$7</definedName>
    <definedName name="pvc_pipe_eq_res">'Cost Equations'!$C$63</definedName>
    <definedName name="PVs_per_train">'Train Design'!$C$97</definedName>
    <definedName name="PVs_per_train_calc">'Calc System'!$D$99</definedName>
    <definedName name="PVs_per_train_prelim">'Train Design'!$C$34</definedName>
    <definedName name="Qavg_1_guess">'Train Design'!$C$73</definedName>
    <definedName name="Qavg_2_guess">'Train Design'!$C$83</definedName>
    <definedName name="Qavg_3_guess">'Train Design'!$C$93</definedName>
    <definedName name="Qavg_max_dPel">'Calc One Element'!$C$368</definedName>
    <definedName name="Qavg_pctchange_dPves">'Calc One Element'!$C$375</definedName>
    <definedName name="Qavg_vessel_cur">'Calc One Element'!$C$377</definedName>
    <definedName name="Qconc_1_guess">'Train Design'!$C$72</definedName>
    <definedName name="Qconc_1_total_guess">'Train Design'!$C$75</definedName>
    <definedName name="Qconc_2_guess">'Train Design'!$C$82</definedName>
    <definedName name="Qconc_2_total_guess">'Train Design'!$C$85</definedName>
    <definedName name="Qconc_3_guess">'Train Design'!$C$92</definedName>
    <definedName name="Qconc_3_total_guess">'Train Design'!$C$95</definedName>
    <definedName name="Qconc_hdr">'Membrane Capital'!$C$64</definedName>
    <definedName name="Qconc_PV_avg">'Membrane Capital'!$C$63</definedName>
    <definedName name="Qfeed_1_guess">'Train Design'!$C$71</definedName>
    <definedName name="Qfeed_2_guess">'Train Design'!$C$81</definedName>
    <definedName name="Qfeed_3_guess">'Train Design'!$C$91</definedName>
    <definedName name="Qfeed_hdr">'Membrane Capital'!$C$56</definedName>
    <definedName name="Qfeed_PV_avg">'Membrane Capital'!$C$55</definedName>
    <definedName name="Qfeed_stg1_try">'Pressure Tuning'!$C$7</definedName>
    <definedName name="Qperm_1">'Pressure Tuning'!$C$25</definedName>
    <definedName name="Qperm_1_guess">'Train Design'!$C$74</definedName>
    <definedName name="Qperm_12">'Pressure Tuning'!$C$34</definedName>
    <definedName name="Qperm_2_guess">'Train Design'!$C$84</definedName>
    <definedName name="Qperm_3_guess">'Train Design'!$C$94</definedName>
    <definedName name="Qperm_diff">'Pressure Tuning'!$C$122</definedName>
    <definedName name="Qperm_hdr">'Membrane Capital'!$C$60</definedName>
    <definedName name="Qperm_incr_dPves">'Calc One Element'!$C$378</definedName>
    <definedName name="Qperm_min_dPel">'Calc One Element'!$C$369</definedName>
    <definedName name="Qperm_need_23">'Pressure Tuning'!$C$26</definedName>
    <definedName name="Qperm_need_3">'Pressure Tuning'!$C$35</definedName>
    <definedName name="Qperm_pctchange_dPel">'Calc One Element'!$C$370</definedName>
    <definedName name="Qperm_pctchange_Qconc">'Calc One Element'!$C$364</definedName>
    <definedName name="Qperm_pctdiff">'Pressure Tuning'!$C$123</definedName>
    <definedName name="Qperm_PV_avg">'Membrane Capital'!$C$59</definedName>
    <definedName name="Qperm_result">'Pressure Tuning'!$C$121</definedName>
    <definedName name="Qperm_vessel_cur">'Calc One Element'!$C$376</definedName>
    <definedName name="R_ceiling">'O&amp;M Assumptions'!$C$58</definedName>
    <definedName name="R_wall">'O&amp;M Assumptions'!$C$57</definedName>
    <definedName name="rack_assembly_markup">'Critical Design Assumptions'!$C$158</definedName>
    <definedName name="rack_beam_length">'Membrane Capital'!$C$39</definedName>
    <definedName name="Rack_cost_for_UL">OUTPUT!$W$362</definedName>
    <definedName name="Rack_depreciation">OUTPUT!$X$362</definedName>
    <definedName name="rack_height">'Membrane Capital'!$C$31</definedName>
    <definedName name="rack_length">'Membrane Capital'!$C$25</definedName>
    <definedName name="rack_table_16">'Lookup Tables'!$B$50:$D$53</definedName>
    <definedName name="rack_table_8">'Lookup Tables'!$B$42:$D$46</definedName>
    <definedName name="rack_width">'Membrane Capital'!$C$28</definedName>
    <definedName name="rad_annual_fee_cl">'Cost Data'!$B$1856:$C$1858</definedName>
    <definedName name="rad_disposal_cost_cl">'Cost Data'!$D$1861</definedName>
    <definedName name="rad_miles">'Critical Design Assumptions'!$C$263</definedName>
    <definedName name="rad_trans_min_cost_cl">'Cost Data'!$D$1864</definedName>
    <definedName name="rad_transportation_cost_cl">'Cost Data'!$D$1867</definedName>
    <definedName name="ratio_curr_v">'Calc System'!$D$154:$F$154</definedName>
    <definedName name="ratio_next_v">'Calc System'!$D$155:$F$155</definedName>
    <definedName name="recov_max_nf">'Critical Design Assumptions'!$C$100</definedName>
    <definedName name="recov_max_ro">'Critical Design Assumptions'!$C$98</definedName>
    <definedName name="recov_min_nf">'Critical Design Assumptions'!$C$99</definedName>
    <definedName name="recov_min_ro">'Critical Design Assumptions'!$C$97</definedName>
    <definedName name="recovery">'Calc One Element'!$C$121</definedName>
    <definedName name="recovery_out">'Calc System'!$D$180:$AC$180</definedName>
    <definedName name="recovery_rate">'Calc System'!$D$92</definedName>
    <definedName name="recovery_v">'Calc System'!$D$156:$F$156</definedName>
    <definedName name="Reduction">'Indirect Assumptions'!$C$36</definedName>
    <definedName name="redundancy">'Membrane Capital'!$C$12</definedName>
    <definedName name="redundancy_I">INPUT!$G$72</definedName>
    <definedName name="redundancy_list">'Lookup Tables'!$C$97:$C$98</definedName>
    <definedName name="redundancy_table">'Lookup Tables'!$C$97:$D$98</definedName>
    <definedName name="replacement_access">'Pipes and Structure'!$C$65</definedName>
    <definedName name="res_bearing_area">'Residuals Management'!$C$119</definedName>
    <definedName name="res_block_vol">'Residuals Management'!$C$124</definedName>
    <definedName name="res_bw_dis_list">'Lookup Tables'!$C$131:$C$134</definedName>
    <definedName name="res_bw_dis_table">'Lookup Tables'!$C$131:$D$134</definedName>
    <definedName name="res_cap_factor">'Critical Design Assumptions'!$C$224</definedName>
    <definedName name="res_chv_no_pump">'Critical Design Assumptions'!$C$243</definedName>
    <definedName name="res_chv_pump">'Critical Design Assumptions'!$C$242</definedName>
    <definedName name="res_eductor_size">'Residuals Management'!$C$84</definedName>
    <definedName name="res_eductors">'Residuals Management'!$C$82</definedName>
    <definedName name="res_eff_transfer_rate">'Residuals Management'!$C$83</definedName>
    <definedName name="res_flow">'Residuals Management'!$C$22</definedName>
    <definedName name="res_flow_actual">'Residuals Management'!$C$23</definedName>
    <definedName name="res_flow_annual">'Residuals Management'!$C$25</definedName>
    <definedName name="res_fp">'Pipes and Structure'!$C$74</definedName>
    <definedName name="res_meter_size">'Residuals Management'!$C$137</definedName>
    <definedName name="res_pipe_bedding_vol">'Residuals Management'!$C$129</definedName>
    <definedName name="res_pipe_diam">'Residuals Management'!$C$115</definedName>
    <definedName name="res_pipe_length">'Residuals Management'!$C$114</definedName>
    <definedName name="res_pipe_mult">'Critical Design Assumptions'!$C$238</definedName>
    <definedName name="res_pump_energy">'Residuals Management'!$C$145</definedName>
    <definedName name="res_pump_eq">'Cost Equations'!$C$187</definedName>
    <definedName name="res_pump_fp">'Pipes and Structure'!$C$72</definedName>
    <definedName name="res_pump_mtl">'Residuals Management'!$C$146</definedName>
    <definedName name="res_pump_psi">'O&amp;M Assumptions'!$C$34</definedName>
    <definedName name="res_pump_rating">'Residuals Management'!$C$75</definedName>
    <definedName name="res_pumps">'Residuals Management'!$C$74</definedName>
    <definedName name="res_reg_opt">'Residuals Management'!$C$10</definedName>
    <definedName name="res_s1_opt">'Residuals Management'!$C$6</definedName>
    <definedName name="res_s1_opt_I">INPUT!$G$100</definedName>
    <definedName name="res_s1_opt_list">'Lookup Tables'!$C$121:$C$124</definedName>
    <definedName name="res_s1_opt_table">'Lookup Tables'!$C$121:$D$124</definedName>
    <definedName name="res_s2_opt">'Residuals Management'!$C$5</definedName>
    <definedName name="res_s2_opt_I">INPUT!$G$99</definedName>
    <definedName name="res_s2_opt_list">'Lookup Tables'!$C$114:$C$119</definedName>
    <definedName name="res_s2_opt_table">'Lookup Tables'!$C$114:$D$119</definedName>
    <definedName name="res_seductor_eq">'Cost Equations'!$C$202</definedName>
    <definedName name="res_slurry_eq">'Cost Equations'!$C$201</definedName>
    <definedName name="res_slurry_pumps">'Residuals Management'!$C$80</definedName>
    <definedName name="res_solids">'Residuals Management'!$C$32</definedName>
    <definedName name="res_solids_xfer_fp">'Pipes and Structure'!$C$73</definedName>
    <definedName name="res_stagger_time1">'Residuals Management'!$C$20</definedName>
    <definedName name="res_thrust_force">'Residuals Management'!$C$118</definedName>
    <definedName name="res_transfer_method">'Critical Design Assumptions'!$C$236</definedName>
    <definedName name="res_transfer_rate">'Residuals Management'!$C$78</definedName>
    <definedName name="res_transfer_rate_gal">'Residuals Management'!$C$79</definedName>
    <definedName name="res_trench_area">'Residuals Management'!$C$125</definedName>
    <definedName name="res_trench_vol">'Residuals Management'!$C$127</definedName>
    <definedName name="res_trn_depth">'Residuals Management'!$C$117</definedName>
    <definedName name="res_valve_size">'Residuals Management'!$C$132</definedName>
    <definedName name="res_vol1">'Residuals Management'!$C$19</definedName>
    <definedName name="resist_eff">'O&amp;M Assumptions'!$C$63</definedName>
    <definedName name="risers">'Critical Design Assumptions'!$C$228</definedName>
    <definedName name="RMP_cost_cl">'Cost Data'!$C$1870</definedName>
    <definedName name="ro100_pump_cost_cl">'Cost Data'!$B$1004:$F$1011</definedName>
    <definedName name="ro150_pump_cost_cl">'Cost Data'!$B$1016:$F$1024</definedName>
    <definedName name="ro200_pump_cost_cl">'Cost Data'!$B$1029:$F$1037</definedName>
    <definedName name="ro250_pump_cost_cl">'Cost Data'!$B$1042:$F$1050</definedName>
    <definedName name="ro300_pump_cost_cl">'Cost Data'!$B$1055:$F$1064</definedName>
    <definedName name="ro350_pump_cost_cl">'Cost Data'!$B$1069:$F$1075</definedName>
    <definedName name="ro500_pump_cost_cl">'Cost Data'!$B$1080:$F$1083</definedName>
    <definedName name="RONF_alarm_software_cost_addl_cl">'Cost Data'!$B$1088:$F$1088</definedName>
    <definedName name="RONF_alarm_software_cost_first_cl">'Cost Data'!$B$1093:$F$1093</definedName>
    <definedName name="S_anti_pump">'Critical Design Assumptions'!$C$295</definedName>
    <definedName name="S_booster_pump">'Critical Design Assumptions'!$C$291</definedName>
    <definedName name="S_bypass_pump">'Critical Design Assumptions'!$C$293</definedName>
    <definedName name="S_chem_pump">'Critical Design Assumptions'!$C$296</definedName>
    <definedName name="S_cm_pump">'Critical Design Assumptions'!$C$294</definedName>
    <definedName name="S_eductor">'Critical Design Assumptions'!$C$297</definedName>
    <definedName name="S_feed_pump">'Critical Design Assumptions'!$C$290</definedName>
    <definedName name="S_mix">'Critical Design Assumptions'!$C$299</definedName>
    <definedName name="S_res_pump">'Critical Design Assumptions'!$C$292</definedName>
    <definedName name="S_slurry">'Critical Design Assumptions'!$C$298</definedName>
    <definedName name="salt_rej_out">'Calc System'!$D$203:$AC$203</definedName>
    <definedName name="salt_rej_sys">'Calc System'!$D$97</definedName>
    <definedName name="salt_rej_v">'Calc System'!$D$163:$F$163</definedName>
    <definedName name="scaling_recommend">'Concentrate Scaling'!$C$42</definedName>
    <definedName name="scs_vol">'Residuals Management'!$C$15</definedName>
    <definedName name="sec_cont_coating_cvg">'Critical Design Assumptions'!$C$94</definedName>
    <definedName name="sec_cont_freeboard">'Critical Design Assumptions'!$C$92</definedName>
    <definedName name="sec_cont_max_thick">'Critical Design Assumptions'!$C$93</definedName>
    <definedName name="sec_cont_pct_of_largest">'Critical Design Assumptions'!$C$90</definedName>
    <definedName name="sec_cont_pct_of_total">'Critical Design Assumptions'!$C$91</definedName>
    <definedName name="sec_screen_flow">Cleaning!$C$43</definedName>
    <definedName name="sec_screen_len">Cleaning!$C$44</definedName>
    <definedName name="sec_screen_per_chem">'Critical Design Assumptions'!$C$188</definedName>
    <definedName name="sec_screen_wid">Cleaning!$C$45</definedName>
    <definedName name="seductor_cost_cl">'Cost Data'!$B$1098:$F$1105</definedName>
    <definedName name="sept_trench_bot_area">'Residuals Management'!$C$139</definedName>
    <definedName name="sept_trench_l">'Residuals Management'!$C$141</definedName>
    <definedName name="sept_trenches">'Residuals Management'!$C$140</definedName>
    <definedName name="shifts_day">'Critical Design Assumptions'!$C$306</definedName>
    <definedName name="short_max_el_16">'Critical Design Assumptions'!$C$133</definedName>
    <definedName name="short_max_el_4">'Critical Design Assumptions'!$C$127</definedName>
    <definedName name="short_max_el_8">'Critical Design Assumptions'!$C$130</definedName>
    <definedName name="short_PV_extra_length_max">'Critical Design Assumptions'!$C$151</definedName>
    <definedName name="simplex_clean_screen_eq">'Cost Equations'!$C$192</definedName>
    <definedName name="simplex_prescreen_cost_cl">'Cost Data'!$B$1110:$F$1122</definedName>
    <definedName name="simplex_screens">Cleaning!$C$40</definedName>
    <definedName name="sio2_bad_with_anti">'Concentrate Scaling'!$C$39</definedName>
    <definedName name="sio2_bad_without_anti">'Concentrate Scaling'!$C$38</definedName>
    <definedName name="sio2_recommend">'Concentrate Scaling'!$C$40</definedName>
    <definedName name="sio2_sat_base">'Feed Water'!$C$145</definedName>
    <definedName name="sitework_cost">Indirect!$C$53</definedName>
    <definedName name="sitework_sf_cl">'Cost Data'!$D$1126</definedName>
    <definedName name="sizing_inputs_are_current">'Calc System'!$E$290</definedName>
    <definedName name="smallQconc_change">'Calc One Element'!$C$363</definedName>
    <definedName name="SO4_delta_tfeed">'Feed Water'!$C$188</definedName>
    <definedName name="SO4_delta_tfeed_ppm">'Feed Water'!$C$190</definedName>
    <definedName name="soil_dens">'Indirect Assumptions'!$C$34</definedName>
    <definedName name="sol_disp_freq">'Residuals Management'!$C$33</definedName>
    <definedName name="sol_disposal_fee">'Residuals Management'!$C$186</definedName>
    <definedName name="sol_disposal_miles">'Residuals Management'!$C$183</definedName>
    <definedName name="sol_disposal_shipments">'Residuals Management'!$C$180</definedName>
    <definedName name="solids_haz">'Residuals Management'!$C$7</definedName>
    <definedName name="solids_haz_I">INPUT!$G$101</definedName>
    <definedName name="solids_haz_list">'Lookup Tables'!$C$126:$C$129</definedName>
    <definedName name="solids_haz_table">'Lookup Tables'!$C$126:$D$129</definedName>
    <definedName name="solids_method">'Critical Design Assumptions'!$C$256</definedName>
    <definedName name="solids_pad_area">'Residuals Management'!$C$87</definedName>
    <definedName name="solids_pad_concrete">'Residuals Management'!$C$88</definedName>
    <definedName name="solids_storage_height">'Critical Design Assumptions'!$C$278</definedName>
    <definedName name="soln_success">'Calc One Element'!$C$352</definedName>
    <definedName name="source_select">OUTPUT!$C$457</definedName>
    <definedName name="sp_horiz">'Membrane Capital'!$C$26</definedName>
    <definedName name="sp_vert">'Membrane Capital'!$C$29</definedName>
    <definedName name="space_acid_dt">'Pipes and Structure'!$C$41</definedName>
    <definedName name="space_anti">'Pipes and Structure'!$C$37</definedName>
    <definedName name="space_anti_dt">'Pipes and Structure'!$C$44</definedName>
    <definedName name="space_at">'Pipes and Structure'!$C$34</definedName>
    <definedName name="space_clncst_acid">'Pipes and Structure'!$C$53</definedName>
    <definedName name="space_clncst_caustic">'Pipes and Structure'!$C$55</definedName>
    <definedName name="space_ct">'Pipes and Structure'!$C$50</definedName>
    <definedName name="space_ht">'Pipes and Structure'!$C$70</definedName>
    <definedName name="space_office">'Critical Design Assumptions'!$C$214</definedName>
    <definedName name="space_other_equip">'Critical Design Assumptions'!$C$208</definedName>
    <definedName name="space_pumps">'Critical Design Assumptions'!$C$207</definedName>
    <definedName name="srso4_bad_with_anti">'Concentrate Scaling'!$C$26</definedName>
    <definedName name="srso4_bad_without_anti">'Concentrate Scaling'!$C$25</definedName>
    <definedName name="srso4_recommend">'Concentrate Scaling'!$C$27</definedName>
    <definedName name="ss_anti_day_eq">'Cost Equations'!$C$39</definedName>
    <definedName name="ss_cat">OUTPUT!$C$4</definedName>
    <definedName name="ss_cat2">HVAC!$C$5</definedName>
    <definedName name="ss_chv_cost_cl">'Cost Data'!$B$1131:$F$1145</definedName>
    <definedName name="ss_chv_eq_bp">'Cost Equations'!$C$144</definedName>
    <definedName name="ss_chv_eq_cln">'Cost Equations'!$C$150</definedName>
    <definedName name="ss_chv_eq_feed">'Cost Equations'!$C$147</definedName>
    <definedName name="ss_chv_eq_in">'Cost Equations'!$C$141</definedName>
    <definedName name="ss_chv_eq_res">'Cost Equations'!$C$138</definedName>
    <definedName name="ss_clncst_eq_caustic">'Cost Equations'!$C$26</definedName>
    <definedName name="ss_cst_cost_cl">'Cost Data'!$B$1150:$F$1159</definedName>
    <definedName name="ss_cst_eq_anti">'Cost Equations'!$C$16</definedName>
    <definedName name="ss_empump_cost_cl">'Cost Data'!$B$1164:$F$1177</definedName>
    <definedName name="ss_empump_eq_anti">'Cost Equations'!$C$160</definedName>
    <definedName name="ss_makeup_eq">'Cost Equations'!$C$20</definedName>
    <definedName name="ss_man_cost_cl">'Cost Data'!$B$1182:$F$1190</definedName>
    <definedName name="ss_man_eq">'Cost Equations'!$C$105</definedName>
    <definedName name="ss_man_eq_acid">'Cost Equations'!$C$108</definedName>
    <definedName name="ss_man_eq_anti">'Cost Equations'!$C$110</definedName>
    <definedName name="ss_man_eq_b2">'Cost Equations'!$C$117</definedName>
    <definedName name="ss_man_eq_b3">'Cost Equations'!$C$120</definedName>
    <definedName name="ss_man_eq_bp">'Cost Equations'!$C$131</definedName>
    <definedName name="ss_man_eq_clean">'Cost Equations'!$C$129</definedName>
    <definedName name="ss_man_eq_conc">'Cost Equations'!$C$114</definedName>
    <definedName name="ss_man_eq_feed">'Cost Equations'!$C$112</definedName>
    <definedName name="ss_man_eq_pt1">'Cost Equations'!$C$123</definedName>
    <definedName name="ss_man_eq_pt2">'Cost Equations'!$C$125</definedName>
    <definedName name="ss_man_eq_pt3">'Cost Equations'!$C$127</definedName>
    <definedName name="ss_man_eq_res">'Cost Equations'!$C$134</definedName>
    <definedName name="ss_mmpump_cost_cl">'Cost Data'!$B$1195:$F$1207</definedName>
    <definedName name="ss_mmpump_eq_anti">'Cost Equations'!$C$158</definedName>
    <definedName name="ss_mov_cost_cl">'Cost Data'!$B$1212:$F$1227</definedName>
    <definedName name="ss_mov_eq_acid">'Cost Equations'!$C$74</definedName>
    <definedName name="ss_mov_eq_anti">'Cost Equations'!$C$76</definedName>
    <definedName name="ss_mov_eq_b2">'Cost Equations'!$C$84</definedName>
    <definedName name="ss_mov_eq_b3">'Cost Equations'!$C$87</definedName>
    <definedName name="ss_mov_eq_bp">'Cost Equations'!$C$98</definedName>
    <definedName name="ss_mov_eq_clean">'Cost Equations'!$C$96</definedName>
    <definedName name="ss_mov_eq_conc">'Cost Equations'!$C$80</definedName>
    <definedName name="ss_mov_eq_feed">'Cost Equations'!$C$78</definedName>
    <definedName name="ss_mov_eq_pt1">'Cost Equations'!$C$90</definedName>
    <definedName name="ss_mov_eq_pt2">'Cost Equations'!$C$92</definedName>
    <definedName name="ss_mov_eq_pt3">'Cost Equations'!$C$94</definedName>
    <definedName name="ss_mov_eq_res">'Cost Equations'!$C$101</definedName>
    <definedName name="ss_pipe_cost_cl">'Cost Data'!$B$1232:$F$1249</definedName>
    <definedName name="ss_pipe_eq_bp">'Cost Equations'!$C$69</definedName>
    <definedName name="ss_pipe_eq_clean">'Cost Equations'!$C$60</definedName>
    <definedName name="ss_pipe_eq_conc_rack">'Cost Equations'!$C$8</definedName>
    <definedName name="ss_pipe_eq_feed">'Cost Equations'!$C$45</definedName>
    <definedName name="ss_pipe_eq_feed_rack">'Cost Equations'!$C$6</definedName>
    <definedName name="ss_pipe_eq_in_out">'Cost Equations'!$C$55</definedName>
    <definedName name="ss_pipe_eq_perm">'Cost Equations'!$C$50</definedName>
    <definedName name="ss_pipe_eq_res">'Cost Equations'!$C$64</definedName>
    <definedName name="st_bwt_cost_cl">'Cost Data'!$B$1254:$F$1263</definedName>
    <definedName name="st_ht_eq">'Cost Equations'!$C$30</definedName>
    <definedName name="st_pipe_cost_cl">'Cost Data'!$B$1268:$F$1286</definedName>
    <definedName name="st_pipe_eq_bp">'Cost Equations'!$C$70</definedName>
    <definedName name="st_pipe_eq_feed">'Cost Equations'!$C$46</definedName>
    <definedName name="st_pipe_eq_in_out">'Cost Equations'!$C$56</definedName>
    <definedName name="st_pipe_eq_res">'Cost Equations'!$C$65</definedName>
    <definedName name="stage_1_2_ratio">'Calc System'!$D$84</definedName>
    <definedName name="stage_2_3_ratio">'Calc System'!$D$85</definedName>
    <definedName name="stage_adjust">'Pressure Tuning'!$C$145</definedName>
    <definedName name="stage_ratio_table">'Lookup Tables'!$A$147:$D$168</definedName>
    <definedName name="stage1_out">'Calc System'!$E$174:$K$174</definedName>
    <definedName name="stage2_out">'Calc System'!$N$174:$T$174</definedName>
    <definedName name="stage3_out">'Calc System'!$W$174:$AC$174</definedName>
    <definedName name="stake_out_cost_cl">'Cost Data'!$B$1291:$F$1291</definedName>
    <definedName name="std_base">Indirect!$C$14</definedName>
    <definedName name="std_cool">Indirect!$C$30</definedName>
    <definedName name="std_design_params">'Standard Inputs'!$A$8:$X$88</definedName>
    <definedName name="std_gen_cost_cl">'Cost Data'!$B$1296:$F$1316</definedName>
    <definedName name="std_heat">Indirect!$C$22</definedName>
    <definedName name="std_power">Indirect!$C$32</definedName>
    <definedName name="std_power_cost">Indirect!$C$33</definedName>
    <definedName name="std_safety_factor">'Indirect Assumptions'!$C$62</definedName>
    <definedName name="stg_1">'Calc System'!$D$150:$D$163</definedName>
    <definedName name="stg_2">'Calc System'!$E$150:$E$163</definedName>
    <definedName name="stg_3">'Calc System'!$F$150:$F$163</definedName>
    <definedName name="stg1_adjust_1">'Pressure Tuning'!$C$62</definedName>
    <definedName name="stg1_adjust_2">'Pressure Tuning'!$C$83</definedName>
    <definedName name="stg1_adjust_3">'Pressure Tuning'!$C$108</definedName>
    <definedName name="stg1_adjust_flow">'Pressure Tuning'!$C$132</definedName>
    <definedName name="stg1_in_spec">'Pressure Tuning'!$C$47</definedName>
    <definedName name="stg1_max_pres">'Pressure Tuning'!$C$49</definedName>
    <definedName name="stg1_max_pres_new">'Pressure Tuning'!$C$58</definedName>
    <definedName name="stg1_min_pres">'Pressure Tuning'!$C$48</definedName>
    <definedName name="stg1_min_pres_new">'Pressure Tuning'!$C$57</definedName>
    <definedName name="stg1_newP_fix1">'Pressure Tuning'!$C$60</definedName>
    <definedName name="stg1_newP_fix1_OK">'Pressure Tuning'!$C$61</definedName>
    <definedName name="stg1_newP_fix2">'Pressure Tuning'!$C$81</definedName>
    <definedName name="stg1_newP_fix2_OK">'Pressure Tuning'!$C$82</definedName>
    <definedName name="stg1_newP_fix3">'Pressure Tuning'!$C$106</definedName>
    <definedName name="stg1_newP_fix3_OK">'Pressure Tuning'!$C$107</definedName>
    <definedName name="stg1_newP_flow">'Pressure Tuning'!$C$130</definedName>
    <definedName name="stg1_newP_flow_OK">'Pressure Tuning'!$C$131</definedName>
    <definedName name="stg1_Pchange">'Pressure Tuning'!$C$55</definedName>
    <definedName name="stg1_Pchange_err">'Pressure Tuning'!$C$52</definedName>
    <definedName name="stg1_Pchange_spec">'Pressure Tuning'!$C$54</definedName>
    <definedName name="stg1_Pchange_spec_pct">'Pressure Tuning'!$C$53</definedName>
    <definedName name="stg2_adjust_2">'Pressure Tuning'!$C$87</definedName>
    <definedName name="stg2_adjust_3">'Pressure Tuning'!$C$116</definedName>
    <definedName name="stg2_adjust_flow">'Pressure Tuning'!$C$136</definedName>
    <definedName name="stg2_in_spec">'Pressure Tuning'!$C$68</definedName>
    <definedName name="stg2_max_pres">'Pressure Tuning'!$C$71</definedName>
    <definedName name="stg2_max_pres_new">'Pressure Tuning'!$C$79</definedName>
    <definedName name="stg2_min_pres">'Pressure Tuning'!$C$70</definedName>
    <definedName name="stg2_min_pres_new">'Pressure Tuning'!$C$78</definedName>
    <definedName name="stg2_newP_fix2">'Pressure Tuning'!$C$85</definedName>
    <definedName name="stg2_newP_fix2_OK">'Pressure Tuning'!$C$86</definedName>
    <definedName name="stg2_newP_fix3">'Pressure Tuning'!$C$114</definedName>
    <definedName name="stg2_newP_fix3_OK">'Pressure Tuning'!$C$115</definedName>
    <definedName name="stg2_newP_flow">'Pressure Tuning'!$C$134</definedName>
    <definedName name="stg2_newP_flow_OK">'Pressure Tuning'!$C$135</definedName>
    <definedName name="stg2_Pchange">'Pressure Tuning'!$C$76</definedName>
    <definedName name="stg2_Pchange_err">'Pressure Tuning'!$C$73</definedName>
    <definedName name="stg2_Pchange_spec">'Pressure Tuning'!$C$75</definedName>
    <definedName name="stg2_Pchange_spec_pct">'Pressure Tuning'!$C$74</definedName>
    <definedName name="stg2_Pstart">'Pressure Tuning'!$C$69</definedName>
    <definedName name="stg3_adjust_3">'Pressure Tuning'!$C$112</definedName>
    <definedName name="stg3_adjust_flow">'Pressure Tuning'!$C$140</definedName>
    <definedName name="stg3_in_spec">'Pressure Tuning'!$C$93</definedName>
    <definedName name="stg3_max_pres">'Pressure Tuning'!$C$96</definedName>
    <definedName name="stg3_max_pres_new">'Pressure Tuning'!$C$104</definedName>
    <definedName name="stg3_min_pres">'Pressure Tuning'!$C$95</definedName>
    <definedName name="stg3_min_pres_new">'Pressure Tuning'!$C$103</definedName>
    <definedName name="stg3_newP_fix3">'Pressure Tuning'!$C$110</definedName>
    <definedName name="stg3_newP_fix3_OK">'Pressure Tuning'!$C$111</definedName>
    <definedName name="stg3_newP_flow">'Pressure Tuning'!$C$138</definedName>
    <definedName name="stg3_newP_flow_OK">'Pressure Tuning'!$C$139</definedName>
    <definedName name="stg3_Pchange">'Pressure Tuning'!$C$101</definedName>
    <definedName name="stg3_Pchange_err">'Pressure Tuning'!$C$98</definedName>
    <definedName name="stg3_Pchange_spec">'Pressure Tuning'!$C$100</definedName>
    <definedName name="stg3_Pchange_spec_pct">'Pressure Tuning'!$C$99</definedName>
    <definedName name="stg3_Pstart">'Pressure Tuning'!$C$94</definedName>
    <definedName name="storage_height">'Critical Design Assumptions'!$C$218</definedName>
    <definedName name="sulfuric_purchase">Pretreatment!$C$61</definedName>
    <definedName name="supports_long_16">'Critical Design Assumptions'!$C$132</definedName>
    <definedName name="supports_long_4">'Critical Design Assumptions'!$C$126</definedName>
    <definedName name="supports_long_8">'Critical Design Assumptions'!$C$129</definedName>
    <definedName name="supports_short_16">'Critical Design Assumptions'!$C$131</definedName>
    <definedName name="supports_short_4">'Critical Design Assumptions'!$C$125</definedName>
    <definedName name="supports_short_8">'Critical Design Assumptions'!$C$128</definedName>
    <definedName name="surf_tds">'Calc One Element'!$C$253</definedName>
    <definedName name="SW_permit_cost_cl">'Cost Data'!$B$1875:$C$1877</definedName>
    <definedName name="switch_cost_cl">'Cost Data'!$B$1321:$F$1321</definedName>
    <definedName name="sys_element_A_I">'Calc System'!$D$11</definedName>
    <definedName name="sys_element_A_P_coeff">'Calc System'!$D$18</definedName>
    <definedName name="sys_element_A_S_coeff_I">'Calc System'!$D$19</definedName>
    <definedName name="sys_element_A_T_coeff_hi">'Calc System'!$D$17</definedName>
    <definedName name="sys_element_A_T_coeff_lo">'Calc System'!$D$16</definedName>
    <definedName name="sys_element_area_I">'Calc System'!$D$10</definedName>
    <definedName name="sys_element_B_max_I">'Calc System'!$D$13</definedName>
    <definedName name="sys_element_B_min_I">'Calc System'!$D$12</definedName>
    <definedName name="sys_element_B_S_coeff_hi">'Calc System'!$D$23</definedName>
    <definedName name="sys_element_B_S_coeff_lo">'Calc System'!$D$22</definedName>
    <definedName name="sys_element_B_T_coeff">'Calc System'!$D$20</definedName>
    <definedName name="sys_element_beta_coeff">'Calc System'!$D$26</definedName>
    <definedName name="sys_element_diam">'Calc System'!$D$9</definedName>
    <definedName name="sys_element_dp_coeff_I">'Calc System'!$D$14</definedName>
    <definedName name="sys_element_dp_exp">'Calc System'!$D$15</definedName>
    <definedName name="sys_element_length">'Calc System'!$D$8</definedName>
    <definedName name="sys_element_name">'Calc System'!$D$7</definedName>
    <definedName name="sys_element_ref_TDS">'Calc System'!$D$25</definedName>
    <definedName name="sys_element_ref_temp">'Calc System'!$D$24</definedName>
    <definedName name="sys_element_sal_min_B">'Calc System'!$D$21</definedName>
    <definedName name="sys_element_type">'Calc System'!$D$27</definedName>
    <definedName name="sys_feed_gas_ppm">'Calc System'!$D$71</definedName>
    <definedName name="sys_feed_ppm">'Calc System'!$D$59:$D$71</definedName>
    <definedName name="sys_iter_precision">'Calc System'!$D$78:$D$78</definedName>
    <definedName name="sys_max_dP_flow">'Calc System'!$D$74</definedName>
    <definedName name="sys_step_factor">'Calc System'!$D$77</definedName>
    <definedName name="system_cost">OUTPUT!$C$400</definedName>
    <definedName name="T_feed">INPUT!$G$71</definedName>
    <definedName name="TAC_pct_cap">Indirect!$C$103</definedName>
    <definedName name="TAC_pct_OM">Indirect!$C$104</definedName>
    <definedName name="target_flux">'Train Design'!$C$100</definedName>
    <definedName name="target_recovery">INPUT!$G$80</definedName>
    <definedName name="target_staging_ratio">'Train Design'!$C$40</definedName>
    <definedName name="tax_pct">'Indirect Assumptions'!$C$91</definedName>
    <definedName name="TDB_link">'Lookup Tables'!$A$141</definedName>
    <definedName name="TDB_link_table_cl">'Engineering Data'!$A$283:$B$321</definedName>
    <definedName name="TDS_monitor_cost_cl">'Cost Data'!$B$1326:$F$1326</definedName>
    <definedName name="tech_fp">Indirect!$C$36</definedName>
    <definedName name="tech_name">OUTPUT!$C$3</definedName>
    <definedName name="temp_K">'Feed Water'!$C$4</definedName>
    <definedName name="temp_meter_clean">'Critical Design Assumptions'!$C$45</definedName>
    <definedName name="temp_meter_cost_cl">'Cost Data'!$B$1331:$F$1331</definedName>
    <definedName name="temp_meter_in">'Critical Design Assumptions'!$C$44</definedName>
    <definedName name="temp_rise">Cleaning!$C$34</definedName>
    <definedName name="tfeed_alkalinity">'Feed Water'!$C$240</definedName>
    <definedName name="tfeed_baso4_ip">'Feed Water'!$C$267</definedName>
    <definedName name="tfeed_baso4_ksp">'Feed Water'!$C$266</definedName>
    <definedName name="tfeed_baso4_sat_pct">'Feed Water'!$C$268</definedName>
    <definedName name="tfeed_Ca">'Feed Water'!$C$242</definedName>
    <definedName name="tfeed_ca_corr">'Feed Water'!$C$258</definedName>
    <definedName name="tfeed_ca_molL">'Feed Water'!$C$260</definedName>
    <definedName name="tfeed_caf2_ip">'Feed Water'!$C$262</definedName>
    <definedName name="tfeed_caf2_sat_pct">'Feed Water'!$C$263</definedName>
    <definedName name="tfeed_caso4_ip">'Feed Water'!$C$254</definedName>
    <definedName name="tfeed_caso4_ksp">'Feed Water'!$C$253</definedName>
    <definedName name="tfeed_caso4_sat_pct">'Feed Water'!$C$255</definedName>
    <definedName name="tfeed_co3_corr">'Feed Water'!$C$239</definedName>
    <definedName name="tfeed_f_corr">'Feed Water'!$C$259</definedName>
    <definedName name="tfeed_f_molL">'Feed Water'!$C$261</definedName>
    <definedName name="tfeed_gas_bal">'Feed Water'!$C$222</definedName>
    <definedName name="tfeed_hco3_corr">'Feed Water'!$C$238</definedName>
    <definedName name="tfeed_ion_strength">'Feed Water'!$C$231</definedName>
    <definedName name="tfeed_LSI">'Feed Water'!$C$245</definedName>
    <definedName name="tfeed_meq_bal">'Feed Water'!$C$195:$C$207</definedName>
    <definedName name="tfeed_OHminus">'Feed Water'!$C$237</definedName>
    <definedName name="tfeed_pAlk">'Feed Water'!$C$241</definedName>
    <definedName name="tfeed_pCa">'Feed Water'!$C$243</definedName>
    <definedName name="tfeed_pH_s">'Feed Water'!$C$244</definedName>
    <definedName name="tfeed_pK_corr">'Feed Water'!$C$234</definedName>
    <definedName name="tfeed_ppm_bal">'Feed Water'!$C$210:$C$222</definedName>
    <definedName name="tfeed_sio2_sat">'Feed Water'!$C$249</definedName>
    <definedName name="tfeed_sio2_sat_corr">'Feed Water'!$C$248</definedName>
    <definedName name="tfeed_sio2_sat_pct">'Feed Water'!$C$250</definedName>
    <definedName name="tfeed_srso4_ip">'Feed Water'!$C$272</definedName>
    <definedName name="tfeed_srso4_ksp">'Feed Water'!$C$271</definedName>
    <definedName name="tfeed_srso4_sat_pct">'Feed Water'!$C$273</definedName>
    <definedName name="thrust_block_table_cl">'Engineering Data'!$A$327:$B$343</definedName>
    <definedName name="thrust_force">Indirect!$C$58</definedName>
    <definedName name="tot_antiscalant_man">'Instrumentation and Control'!$C$39</definedName>
    <definedName name="tot_antiscalant_MOVs">'Instrumentation and Control'!$C$26</definedName>
    <definedName name="tot_boost_2_man">'Instrumentation and Control'!$C$42</definedName>
    <definedName name="tot_boost_2_MOVs">'Instrumentation and Control'!$C$29</definedName>
    <definedName name="tot_boost_3_man">'Instrumentation and Control'!$C$43</definedName>
    <definedName name="tot_boost_3_MOVs">'Instrumentation and Control'!$C$30</definedName>
    <definedName name="tot_bp_chv">'Critical Design Assumptions'!$C$31</definedName>
    <definedName name="tot_bp_man">'Instrumentation and Control'!$C$48</definedName>
    <definedName name="tot_bp_MOVs">'Instrumentation and Control'!$C$35</definedName>
    <definedName name="tot_chem">'O&amp;M'!$C$36</definedName>
    <definedName name="tot_clean_man">'Instrumentation and Control'!$C$47</definedName>
    <definedName name="tot_clean_MOVs">'Instrumentation and Control'!$C$34</definedName>
    <definedName name="tot_cleaning_chv">'Instrumentation and Control'!$C$50</definedName>
    <definedName name="tot_conc_man">'Instrumentation and Control'!$C$41</definedName>
    <definedName name="tot_conc_MOVs">'Instrumentation and Control'!$C$28</definedName>
    <definedName name="tot_cond_meters">'Instrumentation and Control'!$C$68</definedName>
    <definedName name="tot_cst_alarm">'Instrumentation and Control'!$C$65</definedName>
    <definedName name="tot_feed_man">'Instrumentation and Control'!$C$40</definedName>
    <definedName name="tot_feed_MOVs">'Instrumentation and Control'!$C$27</definedName>
    <definedName name="tot_feedpump_chv">'Instrumentation and Control'!$C$51</definedName>
    <definedName name="tot_fm_clean">'Instrumentation and Control'!$C$61</definedName>
    <definedName name="tot_fm_conc">'Instrumentation and Control'!$C$59</definedName>
    <definedName name="tot_fm_feed">'Instrumentation and Control'!$C$55</definedName>
    <definedName name="tot_fm_in">'Critical Design Assumptions'!$C$35</definedName>
    <definedName name="tot_fm_perm">'Instrumentation and Control'!$C$57</definedName>
    <definedName name="tot_fm_res">'Critical Design Assumptions'!$C$244</definedName>
    <definedName name="tot_headloss_sensors">'Instrumentation and Control'!$C$69</definedName>
    <definedName name="tot_in_chv">'Critical Design Assumptions'!$C$30</definedName>
    <definedName name="tot_inst">'O&amp;M'!$C$31</definedName>
    <definedName name="tot_inst_maint">'O&amp;M'!$C$32</definedName>
    <definedName name="tot_level_switch">'Instrumentation and Control'!$C$63</definedName>
    <definedName name="tot_man_valves">'Critical Design Assumptions'!$C$29</definedName>
    <definedName name="tot_MOVs">'Instrumentation and Control'!$C$36</definedName>
    <definedName name="tot_num_bp_pumps">'Influent and Booster Pumping'!$C$66</definedName>
    <definedName name="tot_perm_1_man">'Instrumentation and Control'!$C$44</definedName>
    <definedName name="tot_perm_1_MOVs">'Instrumentation and Control'!$C$31</definedName>
    <definedName name="tot_perm_2_man">'Instrumentation and Control'!$C$45</definedName>
    <definedName name="tot_perm_2_MOVs">'Instrumentation and Control'!$C$32</definedName>
    <definedName name="tot_perm_3_man">'Instrumentation and Control'!$C$46</definedName>
    <definedName name="tot_perm_3_MOVs">'Instrumentation and Control'!$C$33</definedName>
    <definedName name="tot_pH_controls">'Instrumentation and Control'!$C$66</definedName>
    <definedName name="tot_pre_alarm">'Instrumentation and Control'!$C$64</definedName>
    <definedName name="tot_pretreat_acid_man">'Instrumentation and Control'!$C$38</definedName>
    <definedName name="tot_pretreat_acid_MOVs">'Instrumentation and Control'!$C$25</definedName>
    <definedName name="tot_pumps">'O&amp;M'!$C$33</definedName>
    <definedName name="tot_pumps_maint">'O&amp;M'!$C$34</definedName>
    <definedName name="tot_res_alarm">'Residuals Management'!$C$136</definedName>
    <definedName name="tot_res_chv">'Residuals Management'!$C$135</definedName>
    <definedName name="tot_switches">'Instrumentation and Control'!$C$71</definedName>
    <definedName name="tot_temp_meters">'Instrumentation and Control'!$C$67</definedName>
    <definedName name="tot_valves">'O&amp;M'!$C$35</definedName>
    <definedName name="tot_vessel_vol">Cleaning!$C$16</definedName>
    <definedName name="total_area">'Membrane Capital'!$C$18</definedName>
    <definedName name="total_area_op">'Train Design'!$C$99</definedName>
    <definedName name="total_area_req">'Train Design'!$C$11</definedName>
    <definedName name="total_beam_length">'Membrane Capital'!$C$40</definedName>
    <definedName name="total_chem_pump_gph">Cleaning!$C$27</definedName>
    <definedName name="total_chem_pumps">Cleaning!$C$32</definedName>
    <definedName name="total_chem_tanks">Cleaning!$C$19</definedName>
    <definedName name="total_clean_cart_filters">Cleaning!$C$49</definedName>
    <definedName name="total_direct_depreciation">OUTPUT!$X$360</definedName>
    <definedName name="total_elements">'Membrane Capital'!$C$17</definedName>
    <definedName name="total_elements_req">'Train Design'!$C$13</definedName>
    <definedName name="total_fp">'Pipes and Structure'!$C$84</definedName>
    <definedName name="total_HCl_store">Cleaning!$C$87</definedName>
    <definedName name="total_heater_power">Cleaning!$C$35</definedName>
    <definedName name="total_inf_pumps">'Influent and Booster Pumping'!$C$34</definedName>
    <definedName name="total_injection_well_cost">'Residuals Management'!$C$111</definedName>
    <definedName name="total_iterations_sys">'Calc System'!$D$103</definedName>
    <definedName name="total_PVs">'Membrane Capital'!$C$16</definedName>
    <definedName name="total_racks">'Membrane Capital'!$C$15</definedName>
    <definedName name="total_res_man">'Residuals Management'!$C$134</definedName>
    <definedName name="total_res_MOVs">'Residuals Management'!$C$133</definedName>
    <definedName name="total_sec_screens">Cleaning!$C$42</definedName>
    <definedName name="total_trains">'Membrane Capital'!$C$14</definedName>
    <definedName name="train_config">'Train Design'!$C$102</definedName>
    <definedName name="train_configuration">'Calc System'!$D$98</definedName>
    <definedName name="train_eq">'Cost Equations'!$C$6</definedName>
    <definedName name="transfer_time">'Critical Design Assumptions'!$C$277</definedName>
    <definedName name="treated_feed_pH">INPUT!$G$90</definedName>
    <definedName name="treated_feed_tds">'Feed Water'!$C$224</definedName>
    <definedName name="trench_angle">'Indirect Assumptions'!$C$39</definedName>
    <definedName name="trench_area">Indirect!$C$65</definedName>
    <definedName name="trench_depth">Indirect!$C$57</definedName>
    <definedName name="trench_vol">Indirect!$C$70</definedName>
    <definedName name="TSS_residuals">'Residuals Management'!$C$28</definedName>
    <definedName name="TSS_residuals_dis">'Residuals Management'!$C$149</definedName>
    <definedName name="tune_in_prog">'Pressure Tuning'!$C$5</definedName>
    <definedName name="tuning_complete">'Pressure Tuning'!$C$152</definedName>
    <definedName name="UBC_mult_table_cl">'Cost Data'!$B$1882:$D$1889</definedName>
    <definedName name="uloe_chem_maint">'O&amp;M Assumptions'!$C$31</definedName>
    <definedName name="uloe_fp">'O&amp;M Assumptions'!$C$22</definedName>
    <definedName name="uloe_inst">'O&amp;M Assumptions'!$C$18</definedName>
    <definedName name="uloe_inst_auto">'O&amp;M Assumptions'!$C$19</definedName>
    <definedName name="uloe_inst_maint">'O&amp;M Assumptions'!$C$28</definedName>
    <definedName name="uloe_pump">'O&amp;M Assumptions'!$C$20</definedName>
    <definedName name="uloe_pump_maint">'O&amp;M Assumptions'!$C$29</definedName>
    <definedName name="uloe_solids">'O&amp;M Assumptions'!$C$23</definedName>
    <definedName name="uloe_valve">'O&amp;M Assumptions'!$C$21</definedName>
    <definedName name="uloe_valve_maint">'O&amp;M Assumptions'!$C$30</definedName>
    <definedName name="untreated_feed_tds">'Feed Water'!$C$130</definedName>
    <definedName name="ups">'Critical Design Assumptions'!$C$304</definedName>
    <definedName name="ups_cost_cl">'Cost Data'!$B$1336:$F$1336</definedName>
    <definedName name="use_antiscalant">Pretreatment!$C$11</definedName>
    <definedName name="use_antiscalant_I">INPUT!$G$91</definedName>
    <definedName name="use_antiscalant_list">'Lookup Tables'!$C$104:$C$106</definedName>
    <definedName name="use_antiscalant_table">'Lookup Tables'!$C$104:$D$106</definedName>
    <definedName name="use_column">OUTPUT!$L$31:$L$358</definedName>
    <definedName name="useful_life">OUTPUT!$C$461</definedName>
    <definedName name="valve_table">'Critical Design Assumptions'!$B$313:$E$344</definedName>
    <definedName name="ven_fm_cost_cl">'Cost Data'!$B$1341:$F$1358</definedName>
    <definedName name="ven_fm_eq_clean">'Cost Equations'!$C$229</definedName>
    <definedName name="ven_fm_eq_conc">'Cost Equations'!$C$224</definedName>
    <definedName name="ven_fm_eq_feed">'Cost Equations'!$C$214</definedName>
    <definedName name="ven_fm_eq_in">'Cost Equations'!$C$209</definedName>
    <definedName name="ven_fm_eq_perm">'Cost Equations'!$C$219</definedName>
    <definedName name="ven_fm_eq_res">'Cost Equations'!$C$234</definedName>
    <definedName name="ventilation">HVAC!$C$19</definedName>
    <definedName name="vert_members">'Membrane Capital'!$C$35</definedName>
    <definedName name="vessel_diameter">Cleaning!$C$13</definedName>
    <definedName name="vessel_length">Cleaning!$C$14</definedName>
    <definedName name="visc_feed">'Feed Water'!$C$227</definedName>
    <definedName name="visc_ratio_feed">'Feed Water'!$C$228</definedName>
    <definedName name="visc_ref">'Feed Water'!$C$226</definedName>
    <definedName name="vol_clean_pipes">Cleaning!$C$17</definedName>
    <definedName name="vol_vessel">Cleaning!$C$15</definedName>
    <definedName name="warnings">'Calc One Element'!$C$345:$C$350</definedName>
    <definedName name="waste_heat_bypass_pumps">HVAC!$C$59</definedName>
    <definedName name="waste_heat_inf_pumps">HVAC!$C$57</definedName>
    <definedName name="waste_heat_stg2_pumps">HVAC!$C$61</definedName>
    <definedName name="waste_heat_stg3_pumps">HVAC!$C$63</definedName>
    <definedName name="water_index">'Feed Water'!$C$6</definedName>
    <definedName name="water_names">OFFSET(water_table,0,0,,1)</definedName>
    <definedName name="water_table">'Water Specs'!$A$6:$O$15</definedName>
    <definedName name="well_diam">'Residuals Management'!$C$105</definedName>
    <definedName name="well_pump_eq">'Cost Equations'!$C$188</definedName>
    <definedName name="well_pump_psi">'O&amp;M Assumptions'!$C$35</definedName>
    <definedName name="well_pump_rating">'Residuals Management'!$C$109</definedName>
    <definedName name="winter_days">'Critical Design Assumptions'!$C$268</definedName>
    <definedName name="workstation_ratio">'Critical Design Assumptions'!$C$305</definedName>
    <definedName name="workstations">'Instrumentation and Control'!$C$92</definedName>
    <definedName name="wt_elem">'Critical Design Assumptions'!$C$253</definedName>
    <definedName name="yard_cost">Indirect!$C$81</definedName>
    <definedName name="yard_in">'Indirect Assumptions'!$C$40</definedName>
    <definedName name="yard_out">'Indirect Assumptions'!$C$41</definedName>
    <definedName name="yard_pipe_diam">Indirect!$C$56</definedName>
    <definedName name="yard_pipe_length">Indirect!$C$71</definedName>
    <definedName name="yes_no_valid">'Lookup Tables'!$C$136:$C$138</definedName>
    <definedName name="zeroC_in_K">Conversions!$C$30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9" i="62583" l="1"/>
  <c r="D111" i="62583"/>
  <c r="D110" i="62583"/>
  <c r="D106" i="62583"/>
  <c r="D105" i="62583"/>
  <c r="D93" i="62583"/>
  <c r="E162" i="62583"/>
  <c r="D96" i="62583" s="1"/>
  <c r="E160" i="62583"/>
  <c r="E158" i="62583"/>
  <c r="E152" i="62583"/>
  <c r="D90" i="62583" s="1"/>
  <c r="E150" i="62583"/>
  <c r="S201" i="62583"/>
  <c r="S200" i="62583"/>
  <c r="S199" i="62583"/>
  <c r="S196" i="62583"/>
  <c r="S195" i="62583"/>
  <c r="S193" i="62583"/>
  <c r="S191" i="62583"/>
  <c r="S190" i="62583"/>
  <c r="S189" i="62583"/>
  <c r="S188" i="62583"/>
  <c r="S187" i="62583"/>
  <c r="S186" i="62583"/>
  <c r="S185" i="62583"/>
  <c r="S179" i="62583"/>
  <c r="S178" i="62583"/>
  <c r="S177" i="62583"/>
  <c r="S176" i="62583"/>
  <c r="C52" i="62582"/>
  <c r="C48" i="62582"/>
  <c r="C50" i="62582"/>
  <c r="R201" i="62583"/>
  <c r="R200" i="62583"/>
  <c r="R199" i="62583"/>
  <c r="R196" i="62583"/>
  <c r="R195" i="62583"/>
  <c r="R193" i="62583"/>
  <c r="R191" i="62583"/>
  <c r="R190" i="62583"/>
  <c r="R189" i="62583"/>
  <c r="R188" i="62583"/>
  <c r="R187" i="62583"/>
  <c r="R186" i="62583"/>
  <c r="R185" i="62583"/>
  <c r="R179" i="62583"/>
  <c r="R178" i="62583"/>
  <c r="R177" i="62583"/>
  <c r="R176" i="62583"/>
  <c r="Q201" i="62583"/>
  <c r="Q200" i="62583"/>
  <c r="Q199" i="62583"/>
  <c r="Q196" i="62583"/>
  <c r="Q195" i="62583"/>
  <c r="Q193" i="62583"/>
  <c r="Q191" i="62583"/>
  <c r="Q190" i="62583"/>
  <c r="Q189" i="62583"/>
  <c r="Q188" i="62583"/>
  <c r="Q187" i="62583"/>
  <c r="Q186" i="62583"/>
  <c r="Q185" i="62583"/>
  <c r="Q179" i="62583"/>
  <c r="Q178" i="62583"/>
  <c r="Q177" i="62583"/>
  <c r="Q180" i="62583" s="1"/>
  <c r="Q176" i="62583"/>
  <c r="P201" i="62583"/>
  <c r="P200" i="62583"/>
  <c r="P199" i="62583"/>
  <c r="P196" i="62583"/>
  <c r="P195" i="62583"/>
  <c r="P193" i="62583"/>
  <c r="P191" i="62583"/>
  <c r="P190" i="62583"/>
  <c r="P189" i="62583"/>
  <c r="P188" i="62583"/>
  <c r="P187" i="62583"/>
  <c r="P186" i="62583"/>
  <c r="P185" i="62583"/>
  <c r="P179" i="62583"/>
  <c r="P178" i="62583"/>
  <c r="P177" i="62583"/>
  <c r="P180" i="62583" s="1"/>
  <c r="P176" i="62583"/>
  <c r="O201" i="62583"/>
  <c r="O200" i="62583"/>
  <c r="O199" i="62583"/>
  <c r="O196" i="62583"/>
  <c r="O195" i="62583"/>
  <c r="O193" i="62583"/>
  <c r="O191" i="62583"/>
  <c r="O190" i="62583"/>
  <c r="O189" i="62583"/>
  <c r="O188" i="62583"/>
  <c r="O187" i="62583"/>
  <c r="O186" i="62583"/>
  <c r="O185" i="62583"/>
  <c r="O179" i="62583"/>
  <c r="O178" i="62583"/>
  <c r="O177" i="62583"/>
  <c r="O180" i="62583" s="1"/>
  <c r="O176" i="62583"/>
  <c r="N262" i="62583" a="1"/>
  <c r="N262" i="62583" s="1"/>
  <c r="N263" i="62583"/>
  <c r="N264" i="62583"/>
  <c r="N265" i="62583"/>
  <c r="N266" i="62583"/>
  <c r="N267" i="62583"/>
  <c r="N268" i="62583"/>
  <c r="N269" i="62583"/>
  <c r="N270" i="62583"/>
  <c r="N271" i="62583"/>
  <c r="N273" i="62583"/>
  <c r="N274" i="62583"/>
  <c r="N201" i="62583"/>
  <c r="N200" i="62583"/>
  <c r="N199" i="62583"/>
  <c r="N196" i="62583"/>
  <c r="N195" i="62583"/>
  <c r="N193" i="62583"/>
  <c r="N191" i="62583"/>
  <c r="N192" i="62583" s="1"/>
  <c r="N190" i="62583"/>
  <c r="N189" i="62583"/>
  <c r="N188" i="62583"/>
  <c r="N187" i="62583"/>
  <c r="N186" i="62583"/>
  <c r="N185" i="62583"/>
  <c r="N179" i="62583"/>
  <c r="N178" i="62583"/>
  <c r="N177" i="62583"/>
  <c r="N180" i="62583" s="1"/>
  <c r="N176" i="62583"/>
  <c r="D158" i="62583"/>
  <c r="D152" i="62583"/>
  <c r="D150" i="62583"/>
  <c r="D89" i="62583" s="1"/>
  <c r="J201" i="62583"/>
  <c r="D162" i="62583" s="1"/>
  <c r="J200" i="62583"/>
  <c r="J199" i="62583"/>
  <c r="J196" i="62583"/>
  <c r="J195" i="62583"/>
  <c r="J193" i="62583"/>
  <c r="J191" i="62583"/>
  <c r="J190" i="62583"/>
  <c r="J189" i="62583"/>
  <c r="J188" i="62583"/>
  <c r="J187" i="62583"/>
  <c r="J186" i="62583"/>
  <c r="J185" i="62583"/>
  <c r="J179" i="62583"/>
  <c r="J178" i="62583"/>
  <c r="J177" i="62583"/>
  <c r="J180" i="62583" s="1"/>
  <c r="J176" i="62583"/>
  <c r="I201" i="62583"/>
  <c r="I200" i="62583"/>
  <c r="I199" i="62583"/>
  <c r="I196" i="62583"/>
  <c r="I195" i="62583"/>
  <c r="I193" i="62583"/>
  <c r="I191" i="62583"/>
  <c r="I190" i="62583"/>
  <c r="I189" i="62583"/>
  <c r="I188" i="62583"/>
  <c r="I187" i="62583"/>
  <c r="I186" i="62583"/>
  <c r="I185" i="62583"/>
  <c r="I179" i="62583"/>
  <c r="I178" i="62583"/>
  <c r="I177" i="62583"/>
  <c r="I180" i="62583" s="1"/>
  <c r="I176" i="62583"/>
  <c r="H201" i="62583"/>
  <c r="H200" i="62583"/>
  <c r="H199" i="62583"/>
  <c r="H196" i="62583"/>
  <c r="H195" i="62583"/>
  <c r="H193" i="62583"/>
  <c r="H191" i="62583"/>
  <c r="H190" i="62583"/>
  <c r="H189" i="62583"/>
  <c r="H188" i="62583"/>
  <c r="H187" i="62583"/>
  <c r="H186" i="62583"/>
  <c r="H185" i="62583"/>
  <c r="H179" i="62583"/>
  <c r="H178" i="62583"/>
  <c r="H177" i="62583"/>
  <c r="H180" i="62583" s="1"/>
  <c r="H176" i="62583"/>
  <c r="G201" i="62583"/>
  <c r="G200" i="62583"/>
  <c r="G199" i="62583"/>
  <c r="G196" i="62583"/>
  <c r="G195" i="62583"/>
  <c r="G193" i="62583"/>
  <c r="G191" i="62583"/>
  <c r="G190" i="62583"/>
  <c r="G189" i="62583"/>
  <c r="G188" i="62583"/>
  <c r="G187" i="62583"/>
  <c r="G186" i="62583"/>
  <c r="G185" i="62583"/>
  <c r="G179" i="62583"/>
  <c r="G178" i="62583"/>
  <c r="G177" i="62583"/>
  <c r="G180" i="62583" s="1"/>
  <c r="G176" i="62583"/>
  <c r="F201" i="62583"/>
  <c r="F200" i="62583"/>
  <c r="F199" i="62583"/>
  <c r="F196" i="62583"/>
  <c r="F195" i="62583"/>
  <c r="F193" i="62583"/>
  <c r="F191" i="62583"/>
  <c r="F190" i="62583"/>
  <c r="F189" i="62583"/>
  <c r="F188" i="62583"/>
  <c r="F187" i="62583"/>
  <c r="F186" i="62583"/>
  <c r="F185" i="62583"/>
  <c r="F179" i="62583"/>
  <c r="F178" i="62583"/>
  <c r="F177" i="62583"/>
  <c r="F180" i="62583" s="1"/>
  <c r="F176" i="62583"/>
  <c r="E262" i="62583" a="1"/>
  <c r="E262" i="62583"/>
  <c r="E263" i="62583"/>
  <c r="E264" i="62583"/>
  <c r="E265" i="62583"/>
  <c r="E266" i="62583"/>
  <c r="E267" i="62583"/>
  <c r="E268" i="62583"/>
  <c r="E269" i="62583"/>
  <c r="E270" i="62583"/>
  <c r="E271" i="62583"/>
  <c r="E272" i="62583"/>
  <c r="E273" i="62583"/>
  <c r="E274" i="62583"/>
  <c r="E201" i="62583"/>
  <c r="E200" i="62583"/>
  <c r="E202" i="62583" s="1"/>
  <c r="E199" i="62583"/>
  <c r="D160" i="62583" s="1"/>
  <c r="E196" i="62583"/>
  <c r="E195" i="62583"/>
  <c r="E193" i="62583"/>
  <c r="E191" i="62583"/>
  <c r="E192" i="62583" s="1"/>
  <c r="E190" i="62583"/>
  <c r="E189" i="62583"/>
  <c r="E188" i="62583"/>
  <c r="E187" i="62583"/>
  <c r="E186" i="62583"/>
  <c r="E185" i="62583"/>
  <c r="E179" i="62583"/>
  <c r="E178" i="62583"/>
  <c r="E177" i="62583"/>
  <c r="E180" i="62583" s="1"/>
  <c r="E176" i="62583"/>
  <c r="D91" i="62583" l="1"/>
  <c r="D92" i="62583" s="1"/>
  <c r="D94" i="62583"/>
  <c r="D97" i="62583" s="1"/>
  <c r="R203" i="62583"/>
  <c r="E157" i="62583"/>
  <c r="S203" i="62583"/>
  <c r="S180" i="62583"/>
  <c r="R180" i="62583"/>
  <c r="Q203" i="62583"/>
  <c r="O192" i="62583"/>
  <c r="P192" i="62583" s="1"/>
  <c r="Q192" i="62583" s="1"/>
  <c r="R192" i="62583" s="1"/>
  <c r="S192" i="62583" s="1"/>
  <c r="E159" i="62583" s="1"/>
  <c r="P203" i="62583"/>
  <c r="O203" i="62583"/>
  <c r="N203" i="62583"/>
  <c r="N182" i="62583"/>
  <c r="N183" i="62583" s="1"/>
  <c r="J203" i="62583"/>
  <c r="N272" i="62583"/>
  <c r="N202" i="62583"/>
  <c r="I203" i="62583"/>
  <c r="H203" i="62583"/>
  <c r="G203" i="62583"/>
  <c r="F203" i="62583"/>
  <c r="F192" i="62583"/>
  <c r="G192" i="62583" s="1"/>
  <c r="H192" i="62583" s="1"/>
  <c r="I192" i="62583" s="1"/>
  <c r="J192" i="62583" s="1"/>
  <c r="D159" i="62583" s="1"/>
  <c r="E204" i="62583"/>
  <c r="E203" i="62583"/>
  <c r="E182" i="62583"/>
  <c r="E183" i="62583" s="1"/>
  <c r="O182" i="62583" l="1"/>
  <c r="N204" i="62583"/>
  <c r="O202" i="62583"/>
  <c r="O262" i="62583" a="1"/>
  <c r="F182" i="62583"/>
  <c r="F262" i="62583" a="1"/>
  <c r="O204" i="62583" l="1"/>
  <c r="O183" i="62583"/>
  <c r="P182" i="62583"/>
  <c r="O271" i="62583"/>
  <c r="O264" i="62583"/>
  <c r="O268" i="62583"/>
  <c r="O269" i="62583"/>
  <c r="O262" i="62583"/>
  <c r="O272" i="62583"/>
  <c r="O265" i="62583"/>
  <c r="O267" i="62583"/>
  <c r="O263" i="62583"/>
  <c r="O273" i="62583"/>
  <c r="O274" i="62583"/>
  <c r="O270" i="62583"/>
  <c r="O266" i="62583"/>
  <c r="F183" i="62583"/>
  <c r="G182" i="62583"/>
  <c r="F202" i="62583"/>
  <c r="F271" i="62583"/>
  <c r="F264" i="62583"/>
  <c r="F262" i="62583"/>
  <c r="F272" i="62583"/>
  <c r="F265" i="62583"/>
  <c r="F266" i="62583"/>
  <c r="F263" i="62583"/>
  <c r="F273" i="62583"/>
  <c r="F274" i="62583"/>
  <c r="F267" i="62583"/>
  <c r="F269" i="62583"/>
  <c r="F270" i="62583"/>
  <c r="F268" i="62583"/>
  <c r="A141" i="2560"/>
  <c r="Q282" i="101"/>
  <c r="P282" i="101"/>
  <c r="O282" i="101"/>
  <c r="N282" i="101"/>
  <c r="M282" i="101"/>
  <c r="L282" i="101"/>
  <c r="K282" i="101"/>
  <c r="J282" i="101"/>
  <c r="I282" i="101"/>
  <c r="H282" i="101"/>
  <c r="G282" i="101"/>
  <c r="F282" i="101"/>
  <c r="Q281" i="101"/>
  <c r="P281" i="101"/>
  <c r="O281" i="101"/>
  <c r="N281" i="101"/>
  <c r="M281" i="101"/>
  <c r="L281" i="101"/>
  <c r="K281" i="101"/>
  <c r="J281" i="101"/>
  <c r="I281" i="101"/>
  <c r="H281" i="101"/>
  <c r="G281" i="101"/>
  <c r="F281" i="101"/>
  <c r="Q280" i="101"/>
  <c r="P280" i="101"/>
  <c r="O280" i="101"/>
  <c r="N280" i="101"/>
  <c r="M280" i="101"/>
  <c r="L280" i="101"/>
  <c r="K280" i="101"/>
  <c r="J280" i="101"/>
  <c r="I280" i="101"/>
  <c r="H280" i="101"/>
  <c r="G280" i="101"/>
  <c r="F280" i="101"/>
  <c r="Q279" i="101"/>
  <c r="P279" i="101"/>
  <c r="O279" i="101"/>
  <c r="N279" i="101"/>
  <c r="M279" i="101"/>
  <c r="L279" i="101"/>
  <c r="K279" i="101"/>
  <c r="J279" i="101"/>
  <c r="I279" i="101"/>
  <c r="H279" i="101"/>
  <c r="G279" i="101"/>
  <c r="F279" i="101"/>
  <c r="Q278" i="101"/>
  <c r="P278" i="101"/>
  <c r="O278" i="101"/>
  <c r="N278" i="101"/>
  <c r="M278" i="101"/>
  <c r="L278" i="101"/>
  <c r="K278" i="101"/>
  <c r="J278" i="101"/>
  <c r="I278" i="101"/>
  <c r="H278" i="101"/>
  <c r="G278" i="101"/>
  <c r="F278" i="101"/>
  <c r="Q277" i="101"/>
  <c r="P277" i="101"/>
  <c r="O277" i="101"/>
  <c r="N277" i="101"/>
  <c r="M277" i="101"/>
  <c r="L277" i="101"/>
  <c r="K277" i="101"/>
  <c r="J277" i="101"/>
  <c r="I277" i="101"/>
  <c r="H277" i="101"/>
  <c r="G277" i="101"/>
  <c r="F277" i="101"/>
  <c r="Q276" i="101"/>
  <c r="P276" i="101"/>
  <c r="O276" i="101"/>
  <c r="N276" i="101"/>
  <c r="M276" i="101"/>
  <c r="L276" i="101"/>
  <c r="K276" i="101"/>
  <c r="J276" i="101"/>
  <c r="I276" i="101"/>
  <c r="H276" i="101"/>
  <c r="G276" i="101"/>
  <c r="F276" i="101"/>
  <c r="Q274" i="101"/>
  <c r="P274" i="101"/>
  <c r="O274" i="101"/>
  <c r="N274" i="101"/>
  <c r="M274" i="101"/>
  <c r="L274" i="101"/>
  <c r="K274" i="101"/>
  <c r="J274" i="101"/>
  <c r="I274" i="101"/>
  <c r="H274" i="101"/>
  <c r="G274" i="101"/>
  <c r="F274" i="101"/>
  <c r="Q273" i="101"/>
  <c r="P273" i="101"/>
  <c r="O273" i="101"/>
  <c r="N273" i="101"/>
  <c r="M273" i="101"/>
  <c r="L273" i="101"/>
  <c r="K273" i="101"/>
  <c r="J273" i="101"/>
  <c r="I273" i="101"/>
  <c r="H273" i="101"/>
  <c r="G273" i="101"/>
  <c r="F273" i="101"/>
  <c r="Q272" i="101"/>
  <c r="P272" i="101"/>
  <c r="O272" i="101"/>
  <c r="N272" i="101"/>
  <c r="M272" i="101"/>
  <c r="L272" i="101"/>
  <c r="K272" i="101"/>
  <c r="J272" i="101"/>
  <c r="I272" i="101"/>
  <c r="H272" i="101"/>
  <c r="G272" i="101"/>
  <c r="F272" i="101"/>
  <c r="Q271" i="101"/>
  <c r="P271" i="101"/>
  <c r="O271" i="101"/>
  <c r="N271" i="101"/>
  <c r="M271" i="101"/>
  <c r="L271" i="101"/>
  <c r="K271" i="101"/>
  <c r="J271" i="101"/>
  <c r="I271" i="101"/>
  <c r="H271" i="101"/>
  <c r="G271" i="101"/>
  <c r="F271" i="101"/>
  <c r="Q269" i="101"/>
  <c r="P269" i="101"/>
  <c r="O269" i="101"/>
  <c r="N269" i="101"/>
  <c r="M269" i="101"/>
  <c r="L269" i="101"/>
  <c r="K269" i="101"/>
  <c r="J269" i="101"/>
  <c r="I269" i="101"/>
  <c r="H269" i="101"/>
  <c r="G269" i="101"/>
  <c r="F269" i="101"/>
  <c r="Q268" i="101"/>
  <c r="P268" i="101"/>
  <c r="O268" i="101"/>
  <c r="N268" i="101"/>
  <c r="M268" i="101"/>
  <c r="L268" i="101"/>
  <c r="K268" i="101"/>
  <c r="J268" i="101"/>
  <c r="I268" i="101"/>
  <c r="H268" i="101"/>
  <c r="G268" i="101"/>
  <c r="F268" i="101"/>
  <c r="Q267" i="101"/>
  <c r="P267" i="101"/>
  <c r="O267" i="101"/>
  <c r="N267" i="101"/>
  <c r="M267" i="101"/>
  <c r="L267" i="101"/>
  <c r="K267" i="101"/>
  <c r="J267" i="101"/>
  <c r="I267" i="101"/>
  <c r="H267" i="101"/>
  <c r="G267" i="101"/>
  <c r="F267" i="101"/>
  <c r="Q266" i="101"/>
  <c r="P266" i="101"/>
  <c r="O266" i="101"/>
  <c r="N266" i="101"/>
  <c r="M266" i="101"/>
  <c r="L266" i="101"/>
  <c r="K266" i="101"/>
  <c r="J266" i="101"/>
  <c r="I266" i="101"/>
  <c r="H266" i="101"/>
  <c r="G266" i="101"/>
  <c r="F266" i="101"/>
  <c r="Q265" i="101"/>
  <c r="P265" i="101"/>
  <c r="O265" i="101"/>
  <c r="N265" i="101"/>
  <c r="M265" i="101"/>
  <c r="L265" i="101"/>
  <c r="K265" i="101"/>
  <c r="J265" i="101"/>
  <c r="I265" i="101"/>
  <c r="H265" i="101"/>
  <c r="G265" i="101"/>
  <c r="F265" i="101"/>
  <c r="Q264" i="101"/>
  <c r="P264" i="101"/>
  <c r="O264" i="101"/>
  <c r="N264" i="101"/>
  <c r="M264" i="101"/>
  <c r="L264" i="101"/>
  <c r="K264" i="101"/>
  <c r="J264" i="101"/>
  <c r="I264" i="101"/>
  <c r="H264" i="101"/>
  <c r="G264" i="101"/>
  <c r="F264" i="101"/>
  <c r="Q263" i="101"/>
  <c r="P263" i="101"/>
  <c r="O263" i="101"/>
  <c r="N263" i="101"/>
  <c r="M263" i="101"/>
  <c r="L263" i="101"/>
  <c r="K263" i="101"/>
  <c r="J263" i="101"/>
  <c r="I263" i="101"/>
  <c r="H263" i="101"/>
  <c r="G263" i="101"/>
  <c r="F263" i="101"/>
  <c r="Q261" i="101"/>
  <c r="P261" i="101"/>
  <c r="O261" i="101"/>
  <c r="N261" i="101"/>
  <c r="M261" i="101"/>
  <c r="L261" i="101"/>
  <c r="K261" i="101"/>
  <c r="J261" i="101"/>
  <c r="I261" i="101"/>
  <c r="H261" i="101"/>
  <c r="G261" i="101"/>
  <c r="F261" i="101"/>
  <c r="Q260" i="101"/>
  <c r="P260" i="101"/>
  <c r="O260" i="101"/>
  <c r="N260" i="101"/>
  <c r="M260" i="101"/>
  <c r="L260" i="101"/>
  <c r="K260" i="101"/>
  <c r="J260" i="101"/>
  <c r="I260" i="101"/>
  <c r="H260" i="101"/>
  <c r="G260" i="101"/>
  <c r="F260" i="101"/>
  <c r="Q259" i="101"/>
  <c r="P259" i="101"/>
  <c r="O259" i="101"/>
  <c r="N259" i="101"/>
  <c r="M259" i="101"/>
  <c r="L259" i="101"/>
  <c r="K259" i="101"/>
  <c r="J259" i="101"/>
  <c r="I259" i="101"/>
  <c r="H259" i="101"/>
  <c r="G259" i="101"/>
  <c r="F259" i="101"/>
  <c r="Q258" i="101"/>
  <c r="P258" i="101"/>
  <c r="O258" i="101"/>
  <c r="N258" i="101"/>
  <c r="M258" i="101"/>
  <c r="L258" i="101"/>
  <c r="K258" i="101"/>
  <c r="J258" i="101"/>
  <c r="I258" i="101"/>
  <c r="H258" i="101"/>
  <c r="G258" i="101"/>
  <c r="F258" i="101"/>
  <c r="Q256" i="101"/>
  <c r="P256" i="101"/>
  <c r="O256" i="101"/>
  <c r="N256" i="101"/>
  <c r="M256" i="101"/>
  <c r="L256" i="101"/>
  <c r="K256" i="101"/>
  <c r="J256" i="101"/>
  <c r="I256" i="101"/>
  <c r="H256" i="101"/>
  <c r="G256" i="101"/>
  <c r="F256" i="101"/>
  <c r="Q255" i="101"/>
  <c r="P255" i="101"/>
  <c r="O255" i="101"/>
  <c r="N255" i="101"/>
  <c r="M255" i="101"/>
  <c r="L255" i="101"/>
  <c r="K255" i="101"/>
  <c r="J255" i="101"/>
  <c r="I255" i="101"/>
  <c r="H255" i="101"/>
  <c r="G255" i="101"/>
  <c r="F255" i="101"/>
  <c r="Q254" i="101"/>
  <c r="P254" i="101"/>
  <c r="O254" i="101"/>
  <c r="N254" i="101"/>
  <c r="M254" i="101"/>
  <c r="L254" i="101"/>
  <c r="K254" i="101"/>
  <c r="J254" i="101"/>
  <c r="I254" i="101"/>
  <c r="H254" i="101"/>
  <c r="G254" i="101"/>
  <c r="F254" i="101"/>
  <c r="Q253" i="101"/>
  <c r="P253" i="101"/>
  <c r="O253" i="101"/>
  <c r="N253" i="101"/>
  <c r="M253" i="101"/>
  <c r="L253" i="101"/>
  <c r="K253" i="101"/>
  <c r="J253" i="101"/>
  <c r="I253" i="101"/>
  <c r="H253" i="101"/>
  <c r="G253" i="101"/>
  <c r="F253" i="101"/>
  <c r="Q252" i="101"/>
  <c r="P252" i="101"/>
  <c r="O252" i="101"/>
  <c r="N252" i="101"/>
  <c r="M252" i="101"/>
  <c r="L252" i="101"/>
  <c r="K252" i="101"/>
  <c r="J252" i="101"/>
  <c r="I252" i="101"/>
  <c r="H252" i="101"/>
  <c r="G252" i="101"/>
  <c r="F252" i="101"/>
  <c r="Q251" i="101"/>
  <c r="P251" i="101"/>
  <c r="O251" i="101"/>
  <c r="N251" i="101"/>
  <c r="M251" i="101"/>
  <c r="L251" i="101"/>
  <c r="K251" i="101"/>
  <c r="J251" i="101"/>
  <c r="I251" i="101"/>
  <c r="H251" i="101"/>
  <c r="G251" i="101"/>
  <c r="F251" i="101"/>
  <c r="Q250" i="101"/>
  <c r="P250" i="101"/>
  <c r="O250" i="101"/>
  <c r="N250" i="101"/>
  <c r="M250" i="101"/>
  <c r="L250" i="101"/>
  <c r="K250" i="101"/>
  <c r="J250" i="101"/>
  <c r="I250" i="101"/>
  <c r="H250" i="101"/>
  <c r="G250" i="101"/>
  <c r="F250" i="101"/>
  <c r="Q249" i="101"/>
  <c r="P249" i="101"/>
  <c r="O249" i="101"/>
  <c r="N249" i="101"/>
  <c r="M249" i="101"/>
  <c r="L249" i="101"/>
  <c r="K249" i="101"/>
  <c r="J249" i="101"/>
  <c r="I249" i="101"/>
  <c r="H249" i="101"/>
  <c r="G249" i="101"/>
  <c r="F249" i="101"/>
  <c r="Q248" i="101"/>
  <c r="P248" i="101"/>
  <c r="O248" i="101"/>
  <c r="N248" i="101"/>
  <c r="M248" i="101"/>
  <c r="L248" i="101"/>
  <c r="K248" i="101"/>
  <c r="J248" i="101"/>
  <c r="I248" i="101"/>
  <c r="H248" i="101"/>
  <c r="G248" i="101"/>
  <c r="F248" i="101"/>
  <c r="Q247" i="101"/>
  <c r="P247" i="101"/>
  <c r="O247" i="101"/>
  <c r="N247" i="101"/>
  <c r="M247" i="101"/>
  <c r="L247" i="101"/>
  <c r="K247" i="101"/>
  <c r="J247" i="101"/>
  <c r="I247" i="101"/>
  <c r="H247" i="101"/>
  <c r="G247" i="101"/>
  <c r="F247" i="101"/>
  <c r="Q246" i="101"/>
  <c r="P246" i="101"/>
  <c r="O246" i="101"/>
  <c r="N246" i="101"/>
  <c r="M246" i="101"/>
  <c r="L246" i="101"/>
  <c r="K246" i="101"/>
  <c r="J246" i="101"/>
  <c r="I246" i="101"/>
  <c r="H246" i="101"/>
  <c r="G246" i="101"/>
  <c r="F246" i="101"/>
  <c r="Q245" i="101"/>
  <c r="P245" i="101"/>
  <c r="O245" i="101"/>
  <c r="N245" i="101"/>
  <c r="M245" i="101"/>
  <c r="L245" i="101"/>
  <c r="K245" i="101"/>
  <c r="J245" i="101"/>
  <c r="I245" i="101"/>
  <c r="H245" i="101"/>
  <c r="G245" i="101"/>
  <c r="F245" i="101"/>
  <c r="Q244" i="101"/>
  <c r="P244" i="101"/>
  <c r="O244" i="101"/>
  <c r="N244" i="101"/>
  <c r="M244" i="101"/>
  <c r="L244" i="101"/>
  <c r="K244" i="101"/>
  <c r="J244" i="101"/>
  <c r="I244" i="101"/>
  <c r="H244" i="101"/>
  <c r="G244" i="101"/>
  <c r="F244" i="101"/>
  <c r="Q243" i="101"/>
  <c r="P243" i="101"/>
  <c r="O243" i="101"/>
  <c r="N243" i="101"/>
  <c r="M243" i="101"/>
  <c r="L243" i="101"/>
  <c r="K243" i="101"/>
  <c r="J243" i="101"/>
  <c r="I243" i="101"/>
  <c r="H243" i="101"/>
  <c r="G243" i="101"/>
  <c r="F243" i="101"/>
  <c r="Q242" i="101"/>
  <c r="P242" i="101"/>
  <c r="O242" i="101"/>
  <c r="N242" i="101"/>
  <c r="M242" i="101"/>
  <c r="L242" i="101"/>
  <c r="K242" i="101"/>
  <c r="J242" i="101"/>
  <c r="I242" i="101"/>
  <c r="H242" i="101"/>
  <c r="G242" i="101"/>
  <c r="F242" i="101"/>
  <c r="Q239" i="101"/>
  <c r="P239" i="101"/>
  <c r="O239" i="101"/>
  <c r="N239" i="101"/>
  <c r="M239" i="101"/>
  <c r="L239" i="101"/>
  <c r="K239" i="101"/>
  <c r="J239" i="101"/>
  <c r="I239" i="101"/>
  <c r="H239" i="101"/>
  <c r="G239" i="101"/>
  <c r="F239" i="101"/>
  <c r="Q238" i="101"/>
  <c r="P238" i="101"/>
  <c r="O238" i="101"/>
  <c r="N238" i="101"/>
  <c r="M238" i="101"/>
  <c r="L238" i="101"/>
  <c r="K238" i="101"/>
  <c r="J238" i="101"/>
  <c r="I238" i="101"/>
  <c r="H238" i="101"/>
  <c r="G238" i="101"/>
  <c r="F238" i="101"/>
  <c r="Q235" i="101"/>
  <c r="P235" i="101"/>
  <c r="O235" i="101"/>
  <c r="N235" i="101"/>
  <c r="M235" i="101"/>
  <c r="L235" i="101"/>
  <c r="K235" i="101"/>
  <c r="J235" i="101"/>
  <c r="I235" i="101"/>
  <c r="H235" i="101"/>
  <c r="G235" i="101"/>
  <c r="F235" i="101"/>
  <c r="Q234" i="101"/>
  <c r="P234" i="101"/>
  <c r="O234" i="101"/>
  <c r="N234" i="101"/>
  <c r="M234" i="101"/>
  <c r="L234" i="101"/>
  <c r="K234" i="101"/>
  <c r="J234" i="101"/>
  <c r="I234" i="101"/>
  <c r="H234" i="101"/>
  <c r="G234" i="101"/>
  <c r="F234" i="101"/>
  <c r="Q233" i="101"/>
  <c r="P233" i="101"/>
  <c r="O233" i="101"/>
  <c r="N233" i="101"/>
  <c r="M233" i="101"/>
  <c r="L233" i="101"/>
  <c r="K233" i="101"/>
  <c r="J233" i="101"/>
  <c r="I233" i="101"/>
  <c r="H233" i="101"/>
  <c r="G233" i="101"/>
  <c r="F233" i="101"/>
  <c r="Q232" i="101"/>
  <c r="P232" i="101"/>
  <c r="O232" i="101"/>
  <c r="N232" i="101"/>
  <c r="M232" i="101"/>
  <c r="L232" i="101"/>
  <c r="K232" i="101"/>
  <c r="J232" i="101"/>
  <c r="I232" i="101"/>
  <c r="H232" i="101"/>
  <c r="G232" i="101"/>
  <c r="F232" i="101"/>
  <c r="Q230" i="101"/>
  <c r="P230" i="101"/>
  <c r="O230" i="101"/>
  <c r="N230" i="101"/>
  <c r="M230" i="101"/>
  <c r="L230" i="101"/>
  <c r="K230" i="101"/>
  <c r="J230" i="101"/>
  <c r="I230" i="101"/>
  <c r="H230" i="101"/>
  <c r="G230" i="101"/>
  <c r="F230" i="101"/>
  <c r="Q229" i="101"/>
  <c r="P229" i="101"/>
  <c r="O229" i="101"/>
  <c r="N229" i="101"/>
  <c r="M229" i="101"/>
  <c r="L229" i="101"/>
  <c r="K229" i="101"/>
  <c r="J229" i="101"/>
  <c r="I229" i="101"/>
  <c r="H229" i="101"/>
  <c r="G229" i="101"/>
  <c r="F229" i="101"/>
  <c r="Q228" i="101"/>
  <c r="P228" i="101"/>
  <c r="O228" i="101"/>
  <c r="N228" i="101"/>
  <c r="M228" i="101"/>
  <c r="L228" i="101"/>
  <c r="K228" i="101"/>
  <c r="J228" i="101"/>
  <c r="I228" i="101"/>
  <c r="H228" i="101"/>
  <c r="G228" i="101"/>
  <c r="F228" i="101"/>
  <c r="Q227" i="101"/>
  <c r="P227" i="101"/>
  <c r="O227" i="101"/>
  <c r="N227" i="101"/>
  <c r="M227" i="101"/>
  <c r="L227" i="101"/>
  <c r="K227" i="101"/>
  <c r="J227" i="101"/>
  <c r="I227" i="101"/>
  <c r="H227" i="101"/>
  <c r="G227" i="101"/>
  <c r="F227" i="101"/>
  <c r="Q225" i="101"/>
  <c r="P225" i="101"/>
  <c r="O225" i="101"/>
  <c r="N225" i="101"/>
  <c r="M225" i="101"/>
  <c r="L225" i="101"/>
  <c r="K225" i="101"/>
  <c r="J225" i="101"/>
  <c r="I225" i="101"/>
  <c r="H225" i="101"/>
  <c r="G225" i="101"/>
  <c r="F225" i="101"/>
  <c r="Q224" i="101"/>
  <c r="P224" i="101"/>
  <c r="O224" i="101"/>
  <c r="N224" i="101"/>
  <c r="M224" i="101"/>
  <c r="L224" i="101"/>
  <c r="K224" i="101"/>
  <c r="J224" i="101"/>
  <c r="I224" i="101"/>
  <c r="H224" i="101"/>
  <c r="G224" i="101"/>
  <c r="F224" i="101"/>
  <c r="Q223" i="101"/>
  <c r="P223" i="101"/>
  <c r="O223" i="101"/>
  <c r="N223" i="101"/>
  <c r="M223" i="101"/>
  <c r="L223" i="101"/>
  <c r="K223" i="101"/>
  <c r="J223" i="101"/>
  <c r="I223" i="101"/>
  <c r="H223" i="101"/>
  <c r="G223" i="101"/>
  <c r="F223" i="101"/>
  <c r="Q222" i="101"/>
  <c r="P222" i="101"/>
  <c r="O222" i="101"/>
  <c r="N222" i="101"/>
  <c r="M222" i="101"/>
  <c r="L222" i="101"/>
  <c r="K222" i="101"/>
  <c r="J222" i="101"/>
  <c r="I222" i="101"/>
  <c r="H222" i="101"/>
  <c r="G222" i="101"/>
  <c r="F222" i="101"/>
  <c r="Q220" i="101"/>
  <c r="P220" i="101"/>
  <c r="O220" i="101"/>
  <c r="N220" i="101"/>
  <c r="M220" i="101"/>
  <c r="L220" i="101"/>
  <c r="K220" i="101"/>
  <c r="J220" i="101"/>
  <c r="I220" i="101"/>
  <c r="H220" i="101"/>
  <c r="G220" i="101"/>
  <c r="F220" i="101"/>
  <c r="Q219" i="101"/>
  <c r="P219" i="101"/>
  <c r="O219" i="101"/>
  <c r="N219" i="101"/>
  <c r="M219" i="101"/>
  <c r="L219" i="101"/>
  <c r="K219" i="101"/>
  <c r="J219" i="101"/>
  <c r="I219" i="101"/>
  <c r="H219" i="101"/>
  <c r="G219" i="101"/>
  <c r="F219" i="101"/>
  <c r="Q218" i="101"/>
  <c r="P218" i="101"/>
  <c r="O218" i="101"/>
  <c r="N218" i="101"/>
  <c r="M218" i="101"/>
  <c r="L218" i="101"/>
  <c r="K218" i="101"/>
  <c r="J218" i="101"/>
  <c r="I218" i="101"/>
  <c r="H218" i="101"/>
  <c r="G218" i="101"/>
  <c r="F218" i="101"/>
  <c r="Q217" i="101"/>
  <c r="P217" i="101"/>
  <c r="O217" i="101"/>
  <c r="N217" i="101"/>
  <c r="M217" i="101"/>
  <c r="L217" i="101"/>
  <c r="K217" i="101"/>
  <c r="J217" i="101"/>
  <c r="I217" i="101"/>
  <c r="H217" i="101"/>
  <c r="G217" i="101"/>
  <c r="F217" i="101"/>
  <c r="Q215" i="101"/>
  <c r="P215" i="101"/>
  <c r="O215" i="101"/>
  <c r="N215" i="101"/>
  <c r="M215" i="101"/>
  <c r="L215" i="101"/>
  <c r="K215" i="101"/>
  <c r="J215" i="101"/>
  <c r="I215" i="101"/>
  <c r="H215" i="101"/>
  <c r="G215" i="101"/>
  <c r="F215" i="101"/>
  <c r="Q214" i="101"/>
  <c r="P214" i="101"/>
  <c r="O214" i="101"/>
  <c r="N214" i="101"/>
  <c r="M214" i="101"/>
  <c r="L214" i="101"/>
  <c r="K214" i="101"/>
  <c r="J214" i="101"/>
  <c r="I214" i="101"/>
  <c r="H214" i="101"/>
  <c r="G214" i="101"/>
  <c r="F214" i="101"/>
  <c r="Q213" i="101"/>
  <c r="P213" i="101"/>
  <c r="O213" i="101"/>
  <c r="N213" i="101"/>
  <c r="M213" i="101"/>
  <c r="L213" i="101"/>
  <c r="K213" i="101"/>
  <c r="J213" i="101"/>
  <c r="I213" i="101"/>
  <c r="H213" i="101"/>
  <c r="G213" i="101"/>
  <c r="F213" i="101"/>
  <c r="Q212" i="101"/>
  <c r="P212" i="101"/>
  <c r="O212" i="101"/>
  <c r="N212" i="101"/>
  <c r="M212" i="101"/>
  <c r="L212" i="101"/>
  <c r="K212" i="101"/>
  <c r="J212" i="101"/>
  <c r="I212" i="101"/>
  <c r="H212" i="101"/>
  <c r="G212" i="101"/>
  <c r="F212" i="101"/>
  <c r="Q210" i="101"/>
  <c r="P210" i="101"/>
  <c r="O210" i="101"/>
  <c r="N210" i="101"/>
  <c r="M210" i="101"/>
  <c r="L210" i="101"/>
  <c r="K210" i="101"/>
  <c r="J210" i="101"/>
  <c r="I210" i="101"/>
  <c r="H210" i="101"/>
  <c r="G210" i="101"/>
  <c r="F210" i="101"/>
  <c r="Q209" i="101"/>
  <c r="P209" i="101"/>
  <c r="O209" i="101"/>
  <c r="N209" i="101"/>
  <c r="M209" i="101"/>
  <c r="L209" i="101"/>
  <c r="K209" i="101"/>
  <c r="J209" i="101"/>
  <c r="I209" i="101"/>
  <c r="H209" i="101"/>
  <c r="G209" i="101"/>
  <c r="F209" i="101"/>
  <c r="Q208" i="101"/>
  <c r="P208" i="101"/>
  <c r="O208" i="101"/>
  <c r="N208" i="101"/>
  <c r="M208" i="101"/>
  <c r="L208" i="101"/>
  <c r="K208" i="101"/>
  <c r="J208" i="101"/>
  <c r="I208" i="101"/>
  <c r="H208" i="101"/>
  <c r="G208" i="101"/>
  <c r="F208" i="101"/>
  <c r="Q207" i="101"/>
  <c r="P207" i="101"/>
  <c r="O207" i="101"/>
  <c r="N207" i="101"/>
  <c r="M207" i="101"/>
  <c r="L207" i="101"/>
  <c r="K207" i="101"/>
  <c r="J207" i="101"/>
  <c r="I207" i="101"/>
  <c r="H207" i="101"/>
  <c r="G207" i="101"/>
  <c r="F207" i="101"/>
  <c r="Q204" i="101"/>
  <c r="P204" i="101"/>
  <c r="O204" i="101"/>
  <c r="N204" i="101"/>
  <c r="M204" i="101"/>
  <c r="L204" i="101"/>
  <c r="K204" i="101"/>
  <c r="J204" i="101"/>
  <c r="I204" i="101"/>
  <c r="H204" i="101"/>
  <c r="G204" i="101"/>
  <c r="F204" i="101"/>
  <c r="Q202" i="101"/>
  <c r="P202" i="101"/>
  <c r="O202" i="101"/>
  <c r="N202" i="101"/>
  <c r="M202" i="101"/>
  <c r="L202" i="101"/>
  <c r="K202" i="101"/>
  <c r="J202" i="101"/>
  <c r="I202" i="101"/>
  <c r="H202" i="101"/>
  <c r="G202" i="101"/>
  <c r="F202" i="101"/>
  <c r="Q201" i="101"/>
  <c r="P201" i="101"/>
  <c r="O201" i="101"/>
  <c r="N201" i="101"/>
  <c r="M201" i="101"/>
  <c r="L201" i="101"/>
  <c r="K201" i="101"/>
  <c r="J201" i="101"/>
  <c r="I201" i="101"/>
  <c r="H201" i="101"/>
  <c r="G201" i="101"/>
  <c r="F201" i="101"/>
  <c r="Q196" i="101"/>
  <c r="P196" i="101"/>
  <c r="O196" i="101"/>
  <c r="N196" i="101"/>
  <c r="M196" i="101"/>
  <c r="L196" i="101"/>
  <c r="K196" i="101"/>
  <c r="J196" i="101"/>
  <c r="I196" i="101"/>
  <c r="H196" i="101"/>
  <c r="G196" i="101"/>
  <c r="F196" i="101"/>
  <c r="Q195" i="101"/>
  <c r="P195" i="101"/>
  <c r="O195" i="101"/>
  <c r="N195" i="101"/>
  <c r="M195" i="101"/>
  <c r="L195" i="101"/>
  <c r="K195" i="101"/>
  <c r="J195" i="101"/>
  <c r="I195" i="101"/>
  <c r="H195" i="101"/>
  <c r="G195" i="101"/>
  <c r="F195" i="101"/>
  <c r="Q194" i="101"/>
  <c r="P194" i="101"/>
  <c r="O194" i="101"/>
  <c r="N194" i="101"/>
  <c r="M194" i="101"/>
  <c r="L194" i="101"/>
  <c r="K194" i="101"/>
  <c r="J194" i="101"/>
  <c r="I194" i="101"/>
  <c r="H194" i="101"/>
  <c r="G194" i="101"/>
  <c r="F194" i="101"/>
  <c r="Q193" i="101"/>
  <c r="P193" i="101"/>
  <c r="O193" i="101"/>
  <c r="N193" i="101"/>
  <c r="M193" i="101"/>
  <c r="L193" i="101"/>
  <c r="K193" i="101"/>
  <c r="J193" i="101"/>
  <c r="I193" i="101"/>
  <c r="H193" i="101"/>
  <c r="G193" i="101"/>
  <c r="F193" i="101"/>
  <c r="Q192" i="101"/>
  <c r="P192" i="101"/>
  <c r="O192" i="101"/>
  <c r="N192" i="101"/>
  <c r="M192" i="101"/>
  <c r="L192" i="101"/>
  <c r="K192" i="101"/>
  <c r="J192" i="101"/>
  <c r="I192" i="101"/>
  <c r="H192" i="101"/>
  <c r="G192" i="101"/>
  <c r="F192" i="101"/>
  <c r="Q190" i="101"/>
  <c r="P190" i="101"/>
  <c r="O190" i="101"/>
  <c r="N190" i="101"/>
  <c r="M190" i="101"/>
  <c r="L190" i="101"/>
  <c r="K190" i="101"/>
  <c r="J190" i="101"/>
  <c r="I190" i="101"/>
  <c r="H190" i="101"/>
  <c r="G190" i="101"/>
  <c r="F190" i="101"/>
  <c r="Q188" i="101"/>
  <c r="P188" i="101"/>
  <c r="O188" i="101"/>
  <c r="N188" i="101"/>
  <c r="M188" i="101"/>
  <c r="L188" i="101"/>
  <c r="K188" i="101"/>
  <c r="J188" i="101"/>
  <c r="I188" i="101"/>
  <c r="H188" i="101"/>
  <c r="G188" i="101"/>
  <c r="F188" i="101"/>
  <c r="Q187" i="101"/>
  <c r="P187" i="101"/>
  <c r="O187" i="101"/>
  <c r="N187" i="101"/>
  <c r="M187" i="101"/>
  <c r="L187" i="101"/>
  <c r="K187" i="101"/>
  <c r="J187" i="101"/>
  <c r="I187" i="101"/>
  <c r="H187" i="101"/>
  <c r="G187" i="101"/>
  <c r="F187" i="101"/>
  <c r="Q186" i="101"/>
  <c r="P186" i="101"/>
  <c r="O186" i="101"/>
  <c r="N186" i="101"/>
  <c r="M186" i="101"/>
  <c r="L186" i="101"/>
  <c r="K186" i="101"/>
  <c r="J186" i="101"/>
  <c r="I186" i="101"/>
  <c r="H186" i="101"/>
  <c r="G186" i="101"/>
  <c r="F186" i="101"/>
  <c r="Q185" i="101"/>
  <c r="P185" i="101"/>
  <c r="O185" i="101"/>
  <c r="N185" i="101"/>
  <c r="M185" i="101"/>
  <c r="L185" i="101"/>
  <c r="K185" i="101"/>
  <c r="J185" i="101"/>
  <c r="I185" i="101"/>
  <c r="H185" i="101"/>
  <c r="G185" i="101"/>
  <c r="F185" i="101"/>
  <c r="Q184" i="101"/>
  <c r="P184" i="101"/>
  <c r="O184" i="101"/>
  <c r="N184" i="101"/>
  <c r="M184" i="101"/>
  <c r="L184" i="101"/>
  <c r="K184" i="101"/>
  <c r="J184" i="101"/>
  <c r="I184" i="101"/>
  <c r="H184" i="101"/>
  <c r="G184" i="101"/>
  <c r="F184" i="101"/>
  <c r="Q183" i="101"/>
  <c r="P183" i="101"/>
  <c r="O183" i="101"/>
  <c r="N183" i="101"/>
  <c r="M183" i="101"/>
  <c r="L183" i="101"/>
  <c r="K183" i="101"/>
  <c r="J183" i="101"/>
  <c r="I183" i="101"/>
  <c r="H183" i="101"/>
  <c r="G183" i="101"/>
  <c r="F183" i="101"/>
  <c r="Q182" i="101"/>
  <c r="P182" i="101"/>
  <c r="O182" i="101"/>
  <c r="N182" i="101"/>
  <c r="M182" i="101"/>
  <c r="L182" i="101"/>
  <c r="K182" i="101"/>
  <c r="J182" i="101"/>
  <c r="I182" i="101"/>
  <c r="H182" i="101"/>
  <c r="G182" i="101"/>
  <c r="F182" i="101"/>
  <c r="Q181" i="101"/>
  <c r="P181" i="101"/>
  <c r="O181" i="101"/>
  <c r="N181" i="101"/>
  <c r="M181" i="101"/>
  <c r="L181" i="101"/>
  <c r="K181" i="101"/>
  <c r="J181" i="101"/>
  <c r="I181" i="101"/>
  <c r="H181" i="101"/>
  <c r="G181" i="101"/>
  <c r="F181" i="101"/>
  <c r="Q180" i="101"/>
  <c r="P180" i="101"/>
  <c r="O180" i="101"/>
  <c r="N180" i="101"/>
  <c r="M180" i="101"/>
  <c r="L180" i="101"/>
  <c r="K180" i="101"/>
  <c r="J180" i="101"/>
  <c r="I180" i="101"/>
  <c r="H180" i="101"/>
  <c r="G180" i="101"/>
  <c r="F180" i="101"/>
  <c r="Q179" i="101"/>
  <c r="P179" i="101"/>
  <c r="O179" i="101"/>
  <c r="N179" i="101"/>
  <c r="M179" i="101"/>
  <c r="L179" i="101"/>
  <c r="K179" i="101"/>
  <c r="J179" i="101"/>
  <c r="I179" i="101"/>
  <c r="H179" i="101"/>
  <c r="G179" i="101"/>
  <c r="F179" i="101"/>
  <c r="Q177" i="101"/>
  <c r="P177" i="101"/>
  <c r="O177" i="101"/>
  <c r="N177" i="101"/>
  <c r="M177" i="101"/>
  <c r="L177" i="101"/>
  <c r="K177" i="101"/>
  <c r="J177" i="101"/>
  <c r="I177" i="101"/>
  <c r="H177" i="101"/>
  <c r="G177" i="101"/>
  <c r="F177" i="101"/>
  <c r="Q176" i="101"/>
  <c r="P176" i="101"/>
  <c r="O176" i="101"/>
  <c r="N176" i="101"/>
  <c r="M176" i="101"/>
  <c r="L176" i="101"/>
  <c r="K176" i="101"/>
  <c r="J176" i="101"/>
  <c r="I176" i="101"/>
  <c r="H176" i="101"/>
  <c r="G176" i="101"/>
  <c r="F176" i="101"/>
  <c r="Q175" i="101"/>
  <c r="P175" i="101"/>
  <c r="O175" i="101"/>
  <c r="N175" i="101"/>
  <c r="M175" i="101"/>
  <c r="L175" i="101"/>
  <c r="K175" i="101"/>
  <c r="J175" i="101"/>
  <c r="I175" i="101"/>
  <c r="H175" i="101"/>
  <c r="G175" i="101"/>
  <c r="F175" i="101"/>
  <c r="Q174" i="101"/>
  <c r="P174" i="101"/>
  <c r="O174" i="101"/>
  <c r="N174" i="101"/>
  <c r="M174" i="101"/>
  <c r="L174" i="101"/>
  <c r="K174" i="101"/>
  <c r="J174" i="101"/>
  <c r="I174" i="101"/>
  <c r="H174" i="101"/>
  <c r="G174" i="101"/>
  <c r="F174" i="101"/>
  <c r="Q173" i="101"/>
  <c r="P173" i="101"/>
  <c r="O173" i="101"/>
  <c r="N173" i="101"/>
  <c r="M173" i="101"/>
  <c r="L173" i="101"/>
  <c r="K173" i="101"/>
  <c r="J173" i="101"/>
  <c r="I173" i="101"/>
  <c r="H173" i="101"/>
  <c r="G173" i="101"/>
  <c r="F173" i="101"/>
  <c r="Q172" i="101"/>
  <c r="P172" i="101"/>
  <c r="O172" i="101"/>
  <c r="N172" i="101"/>
  <c r="M172" i="101"/>
  <c r="L172" i="101"/>
  <c r="K172" i="101"/>
  <c r="J172" i="101"/>
  <c r="I172" i="101"/>
  <c r="H172" i="101"/>
  <c r="G172" i="101"/>
  <c r="F172" i="101"/>
  <c r="Q171" i="101"/>
  <c r="P171" i="101"/>
  <c r="O171" i="101"/>
  <c r="N171" i="101"/>
  <c r="M171" i="101"/>
  <c r="L171" i="101"/>
  <c r="K171" i="101"/>
  <c r="J171" i="101"/>
  <c r="I171" i="101"/>
  <c r="H171" i="101"/>
  <c r="G171" i="101"/>
  <c r="F171" i="101"/>
  <c r="Q169" i="101"/>
  <c r="P169" i="101"/>
  <c r="O169" i="101"/>
  <c r="N169" i="101"/>
  <c r="M169" i="101"/>
  <c r="L169" i="101"/>
  <c r="K169" i="101"/>
  <c r="J169" i="101"/>
  <c r="I169" i="101"/>
  <c r="H169" i="101"/>
  <c r="G169" i="101"/>
  <c r="F169" i="101"/>
  <c r="Q168" i="101"/>
  <c r="P168" i="101"/>
  <c r="O168" i="101"/>
  <c r="N168" i="101"/>
  <c r="M168" i="101"/>
  <c r="L168" i="101"/>
  <c r="K168" i="101"/>
  <c r="J168" i="101"/>
  <c r="I168" i="101"/>
  <c r="H168" i="101"/>
  <c r="G168" i="101"/>
  <c r="F168" i="101"/>
  <c r="Q167" i="101"/>
  <c r="P167" i="101"/>
  <c r="O167" i="101"/>
  <c r="N167" i="101"/>
  <c r="M167" i="101"/>
  <c r="L167" i="101"/>
  <c r="K167" i="101"/>
  <c r="J167" i="101"/>
  <c r="I167" i="101"/>
  <c r="H167" i="101"/>
  <c r="G167" i="101"/>
  <c r="F167" i="101"/>
  <c r="Q166" i="101"/>
  <c r="P166" i="101"/>
  <c r="O166" i="101"/>
  <c r="N166" i="101"/>
  <c r="M166" i="101"/>
  <c r="L166" i="101"/>
  <c r="K166" i="101"/>
  <c r="J166" i="101"/>
  <c r="I166" i="101"/>
  <c r="H166" i="101"/>
  <c r="G166" i="101"/>
  <c r="F166" i="101"/>
  <c r="Q165" i="101"/>
  <c r="P165" i="101"/>
  <c r="O165" i="101"/>
  <c r="N165" i="101"/>
  <c r="M165" i="101"/>
  <c r="L165" i="101"/>
  <c r="K165" i="101"/>
  <c r="J165" i="101"/>
  <c r="I165" i="101"/>
  <c r="H165" i="101"/>
  <c r="G165" i="101"/>
  <c r="F165" i="101"/>
  <c r="Q164" i="101"/>
  <c r="P164" i="101"/>
  <c r="O164" i="101"/>
  <c r="N164" i="101"/>
  <c r="M164" i="101"/>
  <c r="L164" i="101"/>
  <c r="K164" i="101"/>
  <c r="J164" i="101"/>
  <c r="I164" i="101"/>
  <c r="H164" i="101"/>
  <c r="G164" i="101"/>
  <c r="F164" i="101"/>
  <c r="Q163" i="101"/>
  <c r="P163" i="101"/>
  <c r="O163" i="101"/>
  <c r="N163" i="101"/>
  <c r="M163" i="101"/>
  <c r="L163" i="101"/>
  <c r="K163" i="101"/>
  <c r="J163" i="101"/>
  <c r="I163" i="101"/>
  <c r="H163" i="101"/>
  <c r="G163" i="101"/>
  <c r="F163" i="101"/>
  <c r="Q161" i="101"/>
  <c r="P161" i="101"/>
  <c r="O161" i="101"/>
  <c r="N161" i="101"/>
  <c r="M161" i="101"/>
  <c r="L161" i="101"/>
  <c r="K161" i="101"/>
  <c r="J161" i="101"/>
  <c r="I161" i="101"/>
  <c r="H161" i="101"/>
  <c r="G161" i="101"/>
  <c r="F161" i="101"/>
  <c r="Q160" i="101"/>
  <c r="P160" i="101"/>
  <c r="O160" i="101"/>
  <c r="N160" i="101"/>
  <c r="M160" i="101"/>
  <c r="L160" i="101"/>
  <c r="K160" i="101"/>
  <c r="J160" i="101"/>
  <c r="I160" i="101"/>
  <c r="H160" i="101"/>
  <c r="G160" i="101"/>
  <c r="F160" i="101"/>
  <c r="Q159" i="101"/>
  <c r="P159" i="101"/>
  <c r="O159" i="101"/>
  <c r="N159" i="101"/>
  <c r="M159" i="101"/>
  <c r="L159" i="101"/>
  <c r="K159" i="101"/>
  <c r="J159" i="101"/>
  <c r="I159" i="101"/>
  <c r="H159" i="101"/>
  <c r="G159" i="101"/>
  <c r="F159" i="101"/>
  <c r="Q158" i="101"/>
  <c r="P158" i="101"/>
  <c r="O158" i="101"/>
  <c r="N158" i="101"/>
  <c r="M158" i="101"/>
  <c r="L158" i="101"/>
  <c r="K158" i="101"/>
  <c r="J158" i="101"/>
  <c r="I158" i="101"/>
  <c r="H158" i="101"/>
  <c r="G158" i="101"/>
  <c r="F158" i="101"/>
  <c r="Q157" i="101"/>
  <c r="P157" i="101"/>
  <c r="O157" i="101"/>
  <c r="N157" i="101"/>
  <c r="M157" i="101"/>
  <c r="L157" i="101"/>
  <c r="K157" i="101"/>
  <c r="J157" i="101"/>
  <c r="I157" i="101"/>
  <c r="H157" i="101"/>
  <c r="G157" i="101"/>
  <c r="F157" i="101"/>
  <c r="Q155" i="101"/>
  <c r="P155" i="101"/>
  <c r="O155" i="101"/>
  <c r="N155" i="101"/>
  <c r="M155" i="101"/>
  <c r="L155" i="101"/>
  <c r="K155" i="101"/>
  <c r="J155" i="101"/>
  <c r="I155" i="101"/>
  <c r="H155" i="101"/>
  <c r="G155" i="101"/>
  <c r="F155" i="101"/>
  <c r="Q154" i="101"/>
  <c r="P154" i="101"/>
  <c r="O154" i="101"/>
  <c r="N154" i="101"/>
  <c r="M154" i="101"/>
  <c r="L154" i="101"/>
  <c r="K154" i="101"/>
  <c r="J154" i="101"/>
  <c r="I154" i="101"/>
  <c r="H154" i="101"/>
  <c r="G154" i="101"/>
  <c r="F154" i="101"/>
  <c r="Q151" i="101"/>
  <c r="P151" i="101"/>
  <c r="O151" i="101"/>
  <c r="N151" i="101"/>
  <c r="M151" i="101"/>
  <c r="L151" i="101"/>
  <c r="K151" i="101"/>
  <c r="J151" i="101"/>
  <c r="I151" i="101"/>
  <c r="H151" i="101"/>
  <c r="G151" i="101"/>
  <c r="F151" i="101"/>
  <c r="Q150" i="101"/>
  <c r="P150" i="101"/>
  <c r="O150" i="101"/>
  <c r="N150" i="101"/>
  <c r="M150" i="101"/>
  <c r="L150" i="101"/>
  <c r="K150" i="101"/>
  <c r="J150" i="101"/>
  <c r="I150" i="101"/>
  <c r="H150" i="101"/>
  <c r="G150" i="101"/>
  <c r="F150" i="101"/>
  <c r="Q149" i="101"/>
  <c r="P149" i="101"/>
  <c r="O149" i="101"/>
  <c r="N149" i="101"/>
  <c r="M149" i="101"/>
  <c r="L149" i="101"/>
  <c r="K149" i="101"/>
  <c r="J149" i="101"/>
  <c r="I149" i="101"/>
  <c r="H149" i="101"/>
  <c r="G149" i="101"/>
  <c r="F149" i="101"/>
  <c r="Q148" i="101"/>
  <c r="P148" i="101"/>
  <c r="O148" i="101"/>
  <c r="N148" i="101"/>
  <c r="M148" i="101"/>
  <c r="L148" i="101"/>
  <c r="K148" i="101"/>
  <c r="J148" i="101"/>
  <c r="I148" i="101"/>
  <c r="H148" i="101"/>
  <c r="G148" i="101"/>
  <c r="F148" i="101"/>
  <c r="Q147" i="101"/>
  <c r="P147" i="101"/>
  <c r="O147" i="101"/>
  <c r="N147" i="101"/>
  <c r="M147" i="101"/>
  <c r="L147" i="101"/>
  <c r="K147" i="101"/>
  <c r="J147" i="101"/>
  <c r="I147" i="101"/>
  <c r="H147" i="101"/>
  <c r="G147" i="101"/>
  <c r="F147" i="101"/>
  <c r="Q146" i="101"/>
  <c r="P146" i="101"/>
  <c r="O146" i="101"/>
  <c r="N146" i="101"/>
  <c r="M146" i="101"/>
  <c r="L146" i="101"/>
  <c r="K146" i="101"/>
  <c r="J146" i="101"/>
  <c r="I146" i="101"/>
  <c r="H146" i="101"/>
  <c r="G146" i="101"/>
  <c r="F146" i="101"/>
  <c r="Q145" i="101"/>
  <c r="P145" i="101"/>
  <c r="O145" i="101"/>
  <c r="N145" i="101"/>
  <c r="M145" i="101"/>
  <c r="L145" i="101"/>
  <c r="K145" i="101"/>
  <c r="J145" i="101"/>
  <c r="I145" i="101"/>
  <c r="H145" i="101"/>
  <c r="G145" i="101"/>
  <c r="F145" i="101"/>
  <c r="Q144" i="101"/>
  <c r="P144" i="101"/>
  <c r="O144" i="101"/>
  <c r="N144" i="101"/>
  <c r="M144" i="101"/>
  <c r="L144" i="101"/>
  <c r="K144" i="101"/>
  <c r="J144" i="101"/>
  <c r="I144" i="101"/>
  <c r="H144" i="101"/>
  <c r="G144" i="101"/>
  <c r="F144" i="101"/>
  <c r="Q143" i="101"/>
  <c r="P143" i="101"/>
  <c r="O143" i="101"/>
  <c r="N143" i="101"/>
  <c r="M143" i="101"/>
  <c r="L143" i="101"/>
  <c r="K143" i="101"/>
  <c r="J143" i="101"/>
  <c r="I143" i="101"/>
  <c r="H143" i="101"/>
  <c r="G143" i="101"/>
  <c r="F143" i="101"/>
  <c r="Q142" i="101"/>
  <c r="P142" i="101"/>
  <c r="O142" i="101"/>
  <c r="N142" i="101"/>
  <c r="M142" i="101"/>
  <c r="L142" i="101"/>
  <c r="K142" i="101"/>
  <c r="J142" i="101"/>
  <c r="I142" i="101"/>
  <c r="H142" i="101"/>
  <c r="G142" i="101"/>
  <c r="F142" i="101"/>
  <c r="Q141" i="101"/>
  <c r="P141" i="101"/>
  <c r="O141" i="101"/>
  <c r="N141" i="101"/>
  <c r="M141" i="101"/>
  <c r="L141" i="101"/>
  <c r="K141" i="101"/>
  <c r="J141" i="101"/>
  <c r="I141" i="101"/>
  <c r="H141" i="101"/>
  <c r="G141" i="101"/>
  <c r="F141" i="101"/>
  <c r="Q140" i="101"/>
  <c r="P140" i="101"/>
  <c r="O140" i="101"/>
  <c r="N140" i="101"/>
  <c r="M140" i="101"/>
  <c r="L140" i="101"/>
  <c r="K140" i="101"/>
  <c r="J140" i="101"/>
  <c r="I140" i="101"/>
  <c r="H140" i="101"/>
  <c r="G140" i="101"/>
  <c r="F140" i="101"/>
  <c r="Q139" i="101"/>
  <c r="P139" i="101"/>
  <c r="O139" i="101"/>
  <c r="N139" i="101"/>
  <c r="M139" i="101"/>
  <c r="L139" i="101"/>
  <c r="K139" i="101"/>
  <c r="J139" i="101"/>
  <c r="I139" i="101"/>
  <c r="H139" i="101"/>
  <c r="G139" i="101"/>
  <c r="F139" i="101"/>
  <c r="Q138" i="101"/>
  <c r="P138" i="101"/>
  <c r="O138" i="101"/>
  <c r="N138" i="101"/>
  <c r="M138" i="101"/>
  <c r="L138" i="101"/>
  <c r="K138" i="101"/>
  <c r="J138" i="101"/>
  <c r="I138" i="101"/>
  <c r="H138" i="101"/>
  <c r="G138" i="101"/>
  <c r="F138" i="101"/>
  <c r="Q137" i="101"/>
  <c r="P137" i="101"/>
  <c r="O137" i="101"/>
  <c r="N137" i="101"/>
  <c r="M137" i="101"/>
  <c r="L137" i="101"/>
  <c r="K137" i="101"/>
  <c r="J137" i="101"/>
  <c r="I137" i="101"/>
  <c r="H137" i="101"/>
  <c r="G137" i="101"/>
  <c r="F137" i="101"/>
  <c r="Q134" i="101"/>
  <c r="P134" i="101"/>
  <c r="O134" i="101"/>
  <c r="N134" i="101"/>
  <c r="M134" i="101"/>
  <c r="L134" i="101"/>
  <c r="K134" i="101"/>
  <c r="J134" i="101"/>
  <c r="I134" i="101"/>
  <c r="H134" i="101"/>
  <c r="G134" i="101"/>
  <c r="F134" i="101"/>
  <c r="Q131" i="101"/>
  <c r="P131" i="101"/>
  <c r="O131" i="101"/>
  <c r="N131" i="101"/>
  <c r="M131" i="101"/>
  <c r="L131" i="101"/>
  <c r="K131" i="101"/>
  <c r="J131" i="101"/>
  <c r="I131" i="101"/>
  <c r="H131" i="101"/>
  <c r="G131" i="101"/>
  <c r="F131" i="101"/>
  <c r="Q129" i="101"/>
  <c r="P129" i="101"/>
  <c r="O129" i="101"/>
  <c r="N129" i="101"/>
  <c r="M129" i="101"/>
  <c r="L129" i="101"/>
  <c r="K129" i="101"/>
  <c r="J129" i="101"/>
  <c r="I129" i="101"/>
  <c r="H129" i="101"/>
  <c r="G129" i="101"/>
  <c r="F129" i="101"/>
  <c r="Q127" i="101"/>
  <c r="P127" i="101"/>
  <c r="O127" i="101"/>
  <c r="N127" i="101"/>
  <c r="M127" i="101"/>
  <c r="L127" i="101"/>
  <c r="K127" i="101"/>
  <c r="J127" i="101"/>
  <c r="I127" i="101"/>
  <c r="H127" i="101"/>
  <c r="G127" i="101"/>
  <c r="F127" i="101"/>
  <c r="Q125" i="101"/>
  <c r="P125" i="101"/>
  <c r="O125" i="101"/>
  <c r="N125" i="101"/>
  <c r="M125" i="101"/>
  <c r="L125" i="101"/>
  <c r="K125" i="101"/>
  <c r="J125" i="101"/>
  <c r="I125" i="101"/>
  <c r="H125" i="101"/>
  <c r="G125" i="101"/>
  <c r="F125" i="101"/>
  <c r="Q123" i="101"/>
  <c r="P123" i="101"/>
  <c r="O123" i="101"/>
  <c r="N123" i="101"/>
  <c r="M123" i="101"/>
  <c r="L123" i="101"/>
  <c r="K123" i="101"/>
  <c r="J123" i="101"/>
  <c r="I123" i="101"/>
  <c r="H123" i="101"/>
  <c r="G123" i="101"/>
  <c r="F123" i="101"/>
  <c r="Q120" i="101"/>
  <c r="P120" i="101"/>
  <c r="O120" i="101"/>
  <c r="N120" i="101"/>
  <c r="M120" i="101"/>
  <c r="L120" i="101"/>
  <c r="K120" i="101"/>
  <c r="J120" i="101"/>
  <c r="I120" i="101"/>
  <c r="H120" i="101"/>
  <c r="G120" i="101"/>
  <c r="F120" i="101"/>
  <c r="Q117" i="101"/>
  <c r="P117" i="101"/>
  <c r="O117" i="101"/>
  <c r="N117" i="101"/>
  <c r="M117" i="101"/>
  <c r="L117" i="101"/>
  <c r="K117" i="101"/>
  <c r="J117" i="101"/>
  <c r="I117" i="101"/>
  <c r="H117" i="101"/>
  <c r="G117" i="101"/>
  <c r="F117" i="101"/>
  <c r="Q114" i="101"/>
  <c r="P114" i="101"/>
  <c r="O114" i="101"/>
  <c r="N114" i="101"/>
  <c r="M114" i="101"/>
  <c r="L114" i="101"/>
  <c r="K114" i="101"/>
  <c r="J114" i="101"/>
  <c r="I114" i="101"/>
  <c r="H114" i="101"/>
  <c r="G114" i="101"/>
  <c r="F114" i="101"/>
  <c r="Q112" i="101"/>
  <c r="P112" i="101"/>
  <c r="O112" i="101"/>
  <c r="N112" i="101"/>
  <c r="M112" i="101"/>
  <c r="L112" i="101"/>
  <c r="K112" i="101"/>
  <c r="J112" i="101"/>
  <c r="I112" i="101"/>
  <c r="H112" i="101"/>
  <c r="G112" i="101"/>
  <c r="F112" i="101"/>
  <c r="Q110" i="101"/>
  <c r="P110" i="101"/>
  <c r="O110" i="101"/>
  <c r="N110" i="101"/>
  <c r="M110" i="101"/>
  <c r="L110" i="101"/>
  <c r="K110" i="101"/>
  <c r="J110" i="101"/>
  <c r="I110" i="101"/>
  <c r="H110" i="101"/>
  <c r="G110" i="101"/>
  <c r="F110" i="101"/>
  <c r="Q108" i="101"/>
  <c r="P108" i="101"/>
  <c r="O108" i="101"/>
  <c r="N108" i="101"/>
  <c r="M108" i="101"/>
  <c r="L108" i="101"/>
  <c r="K108" i="101"/>
  <c r="J108" i="101"/>
  <c r="I108" i="101"/>
  <c r="H108" i="101"/>
  <c r="G108" i="101"/>
  <c r="F108" i="101"/>
  <c r="Q105" i="101"/>
  <c r="P105" i="101"/>
  <c r="O105" i="101"/>
  <c r="N105" i="101"/>
  <c r="M105" i="101"/>
  <c r="L105" i="101"/>
  <c r="K105" i="101"/>
  <c r="J105" i="101"/>
  <c r="I105" i="101"/>
  <c r="H105" i="101"/>
  <c r="G105" i="101"/>
  <c r="F105" i="101"/>
  <c r="Q102" i="101"/>
  <c r="P102" i="101"/>
  <c r="O102" i="101"/>
  <c r="N102" i="101"/>
  <c r="M102" i="101"/>
  <c r="L102" i="101"/>
  <c r="K102" i="101"/>
  <c r="J102" i="101"/>
  <c r="I102" i="101"/>
  <c r="H102" i="101"/>
  <c r="G102" i="101"/>
  <c r="F102" i="101"/>
  <c r="Q101" i="101"/>
  <c r="P101" i="101"/>
  <c r="O101" i="101"/>
  <c r="N101" i="101"/>
  <c r="M101" i="101"/>
  <c r="L101" i="101"/>
  <c r="K101" i="101"/>
  <c r="J101" i="101"/>
  <c r="I101" i="101"/>
  <c r="H101" i="101"/>
  <c r="G101" i="101"/>
  <c r="F101" i="101"/>
  <c r="Q99" i="101"/>
  <c r="P99" i="101"/>
  <c r="O99" i="101"/>
  <c r="N99" i="101"/>
  <c r="M99" i="101"/>
  <c r="L99" i="101"/>
  <c r="K99" i="101"/>
  <c r="J99" i="101"/>
  <c r="I99" i="101"/>
  <c r="H99" i="101"/>
  <c r="G99" i="101"/>
  <c r="F99" i="101"/>
  <c r="Q98" i="101"/>
  <c r="P98" i="101"/>
  <c r="O98" i="101"/>
  <c r="N98" i="101"/>
  <c r="M98" i="101"/>
  <c r="L98" i="101"/>
  <c r="K98" i="101"/>
  <c r="J98" i="101"/>
  <c r="I98" i="101"/>
  <c r="H98" i="101"/>
  <c r="G98" i="101"/>
  <c r="F98" i="101"/>
  <c r="Q96" i="101"/>
  <c r="P96" i="101"/>
  <c r="O96" i="101"/>
  <c r="N96" i="101"/>
  <c r="M96" i="101"/>
  <c r="L96" i="101"/>
  <c r="K96" i="101"/>
  <c r="J96" i="101"/>
  <c r="I96" i="101"/>
  <c r="H96" i="101"/>
  <c r="G96" i="101"/>
  <c r="F96" i="101"/>
  <c r="Q94" i="101"/>
  <c r="P94" i="101"/>
  <c r="O94" i="101"/>
  <c r="N94" i="101"/>
  <c r="M94" i="101"/>
  <c r="L94" i="101"/>
  <c r="K94" i="101"/>
  <c r="J94" i="101"/>
  <c r="I94" i="101"/>
  <c r="H94" i="101"/>
  <c r="G94" i="101"/>
  <c r="F94" i="101"/>
  <c r="Q92" i="101"/>
  <c r="P92" i="101"/>
  <c r="O92" i="101"/>
  <c r="N92" i="101"/>
  <c r="M92" i="101"/>
  <c r="L92" i="101"/>
  <c r="K92" i="101"/>
  <c r="J92" i="101"/>
  <c r="I92" i="101"/>
  <c r="H92" i="101"/>
  <c r="G92" i="101"/>
  <c r="F92" i="101"/>
  <c r="Q90" i="101"/>
  <c r="P90" i="101"/>
  <c r="O90" i="101"/>
  <c r="N90" i="101"/>
  <c r="M90" i="101"/>
  <c r="L90" i="101"/>
  <c r="K90" i="101"/>
  <c r="J90" i="101"/>
  <c r="I90" i="101"/>
  <c r="H90" i="101"/>
  <c r="G90" i="101"/>
  <c r="F90" i="101"/>
  <c r="Q88" i="101"/>
  <c r="P88" i="101"/>
  <c r="O88" i="101"/>
  <c r="N88" i="101"/>
  <c r="M88" i="101"/>
  <c r="L88" i="101"/>
  <c r="K88" i="101"/>
  <c r="J88" i="101"/>
  <c r="I88" i="101"/>
  <c r="H88" i="101"/>
  <c r="G88" i="101"/>
  <c r="F88" i="101"/>
  <c r="Q87" i="101"/>
  <c r="P87" i="101"/>
  <c r="O87" i="101"/>
  <c r="N87" i="101"/>
  <c r="M87" i="101"/>
  <c r="L87" i="101"/>
  <c r="K87" i="101"/>
  <c r="J87" i="101"/>
  <c r="I87" i="101"/>
  <c r="H87" i="101"/>
  <c r="G87" i="101"/>
  <c r="F87" i="101"/>
  <c r="Q85" i="101"/>
  <c r="P85" i="101"/>
  <c r="O85" i="101"/>
  <c r="N85" i="101"/>
  <c r="M85" i="101"/>
  <c r="L85" i="101"/>
  <c r="K85" i="101"/>
  <c r="J85" i="101"/>
  <c r="I85" i="101"/>
  <c r="H85" i="101"/>
  <c r="G85" i="101"/>
  <c r="F85" i="101"/>
  <c r="Q84" i="101"/>
  <c r="P84" i="101"/>
  <c r="O84" i="101"/>
  <c r="N84" i="101"/>
  <c r="M84" i="101"/>
  <c r="L84" i="101"/>
  <c r="K84" i="101"/>
  <c r="J84" i="101"/>
  <c r="I84" i="101"/>
  <c r="H84" i="101"/>
  <c r="G84" i="101"/>
  <c r="F84" i="101"/>
  <c r="Q81" i="101"/>
  <c r="P81" i="101"/>
  <c r="O81" i="101"/>
  <c r="N81" i="101"/>
  <c r="M81" i="101"/>
  <c r="L81" i="101"/>
  <c r="K81" i="101"/>
  <c r="J81" i="101"/>
  <c r="I81" i="101"/>
  <c r="H81" i="101"/>
  <c r="G81" i="101"/>
  <c r="F81" i="101"/>
  <c r="Q80" i="101"/>
  <c r="P80" i="101"/>
  <c r="O80" i="101"/>
  <c r="N80" i="101"/>
  <c r="M80" i="101"/>
  <c r="L80" i="101"/>
  <c r="K80" i="101"/>
  <c r="J80" i="101"/>
  <c r="I80" i="101"/>
  <c r="H80" i="101"/>
  <c r="G80" i="101"/>
  <c r="F80" i="101"/>
  <c r="Q79" i="101"/>
  <c r="P79" i="101"/>
  <c r="O79" i="101"/>
  <c r="N79" i="101"/>
  <c r="M79" i="101"/>
  <c r="L79" i="101"/>
  <c r="K79" i="101"/>
  <c r="J79" i="101"/>
  <c r="I79" i="101"/>
  <c r="H79" i="101"/>
  <c r="G79" i="101"/>
  <c r="F79" i="101"/>
  <c r="Q78" i="101"/>
  <c r="P78" i="101"/>
  <c r="O78" i="101"/>
  <c r="N78" i="101"/>
  <c r="M78" i="101"/>
  <c r="L78" i="101"/>
  <c r="K78" i="101"/>
  <c r="J78" i="101"/>
  <c r="I78" i="101"/>
  <c r="H78" i="101"/>
  <c r="G78" i="101"/>
  <c r="F78" i="101"/>
  <c r="Q76" i="101"/>
  <c r="P76" i="101"/>
  <c r="O76" i="101"/>
  <c r="N76" i="101"/>
  <c r="M76" i="101"/>
  <c r="L76" i="101"/>
  <c r="K76" i="101"/>
  <c r="J76" i="101"/>
  <c r="I76" i="101"/>
  <c r="H76" i="101"/>
  <c r="G76" i="101"/>
  <c r="F76" i="101"/>
  <c r="Q74" i="101"/>
  <c r="P74" i="101"/>
  <c r="O74" i="101"/>
  <c r="N74" i="101"/>
  <c r="M74" i="101"/>
  <c r="L74" i="101"/>
  <c r="K74" i="101"/>
  <c r="J74" i="101"/>
  <c r="I74" i="101"/>
  <c r="H74" i="101"/>
  <c r="G74" i="101"/>
  <c r="F74" i="101"/>
  <c r="Q70" i="101"/>
  <c r="P70" i="101"/>
  <c r="O70" i="101"/>
  <c r="N70" i="101"/>
  <c r="M70" i="101"/>
  <c r="L70" i="101"/>
  <c r="K70" i="101"/>
  <c r="J70" i="101"/>
  <c r="I70" i="101"/>
  <c r="H70" i="101"/>
  <c r="G70" i="101"/>
  <c r="F70" i="101"/>
  <c r="Q69" i="101"/>
  <c r="P69" i="101"/>
  <c r="O69" i="101"/>
  <c r="N69" i="101"/>
  <c r="M69" i="101"/>
  <c r="L69" i="101"/>
  <c r="K69" i="101"/>
  <c r="J69" i="101"/>
  <c r="I69" i="101"/>
  <c r="H69" i="101"/>
  <c r="G69" i="101"/>
  <c r="F69" i="101"/>
  <c r="Q68" i="101"/>
  <c r="P68" i="101"/>
  <c r="O68" i="101"/>
  <c r="N68" i="101"/>
  <c r="M68" i="101"/>
  <c r="L68" i="101"/>
  <c r="K68" i="101"/>
  <c r="J68" i="101"/>
  <c r="I68" i="101"/>
  <c r="H68" i="101"/>
  <c r="G68" i="101"/>
  <c r="F68" i="101"/>
  <c r="Q67" i="101"/>
  <c r="P67" i="101"/>
  <c r="O67" i="101"/>
  <c r="N67" i="101"/>
  <c r="M67" i="101"/>
  <c r="L67" i="101"/>
  <c r="K67" i="101"/>
  <c r="J67" i="101"/>
  <c r="I67" i="101"/>
  <c r="H67" i="101"/>
  <c r="G67" i="101"/>
  <c r="F67" i="101"/>
  <c r="Q65" i="101"/>
  <c r="P65" i="101"/>
  <c r="O65" i="101"/>
  <c r="N65" i="101"/>
  <c r="M65" i="101"/>
  <c r="L65" i="101"/>
  <c r="K65" i="101"/>
  <c r="J65" i="101"/>
  <c r="I65" i="101"/>
  <c r="H65" i="101"/>
  <c r="G65" i="101"/>
  <c r="F65" i="101"/>
  <c r="Q64" i="101"/>
  <c r="P64" i="101"/>
  <c r="O64" i="101"/>
  <c r="N64" i="101"/>
  <c r="M64" i="101"/>
  <c r="L64" i="101"/>
  <c r="K64" i="101"/>
  <c r="J64" i="101"/>
  <c r="I64" i="101"/>
  <c r="H64" i="101"/>
  <c r="G64" i="101"/>
  <c r="F64" i="101"/>
  <c r="Q63" i="101"/>
  <c r="P63" i="101"/>
  <c r="O63" i="101"/>
  <c r="N63" i="101"/>
  <c r="M63" i="101"/>
  <c r="L63" i="101"/>
  <c r="K63" i="101"/>
  <c r="J63" i="101"/>
  <c r="I63" i="101"/>
  <c r="H63" i="101"/>
  <c r="G63" i="101"/>
  <c r="F63" i="101"/>
  <c r="Q62" i="101"/>
  <c r="P62" i="101"/>
  <c r="O62" i="101"/>
  <c r="N62" i="101"/>
  <c r="M62" i="101"/>
  <c r="L62" i="101"/>
  <c r="K62" i="101"/>
  <c r="J62" i="101"/>
  <c r="I62" i="101"/>
  <c r="H62" i="101"/>
  <c r="G62" i="101"/>
  <c r="F62" i="101"/>
  <c r="Q60" i="101"/>
  <c r="P60" i="101"/>
  <c r="O60" i="101"/>
  <c r="N60" i="101"/>
  <c r="M60" i="101"/>
  <c r="L60" i="101"/>
  <c r="K60" i="101"/>
  <c r="J60" i="101"/>
  <c r="I60" i="101"/>
  <c r="H60" i="101"/>
  <c r="G60" i="101"/>
  <c r="F60" i="101"/>
  <c r="Q59" i="101"/>
  <c r="P59" i="101"/>
  <c r="O59" i="101"/>
  <c r="N59" i="101"/>
  <c r="M59" i="101"/>
  <c r="L59" i="101"/>
  <c r="K59" i="101"/>
  <c r="J59" i="101"/>
  <c r="I59" i="101"/>
  <c r="H59" i="101"/>
  <c r="G59" i="101"/>
  <c r="F59" i="101"/>
  <c r="Q58" i="101"/>
  <c r="P58" i="101"/>
  <c r="O58" i="101"/>
  <c r="N58" i="101"/>
  <c r="M58" i="101"/>
  <c r="L58" i="101"/>
  <c r="K58" i="101"/>
  <c r="J58" i="101"/>
  <c r="I58" i="101"/>
  <c r="H58" i="101"/>
  <c r="G58" i="101"/>
  <c r="F58" i="101"/>
  <c r="Q56" i="101"/>
  <c r="P56" i="101"/>
  <c r="O56" i="101"/>
  <c r="N56" i="101"/>
  <c r="M56" i="101"/>
  <c r="L56" i="101"/>
  <c r="K56" i="101"/>
  <c r="J56" i="101"/>
  <c r="I56" i="101"/>
  <c r="H56" i="101"/>
  <c r="G56" i="101"/>
  <c r="F56" i="101"/>
  <c r="Q55" i="101"/>
  <c r="P55" i="101"/>
  <c r="O55" i="101"/>
  <c r="N55" i="101"/>
  <c r="M55" i="101"/>
  <c r="L55" i="101"/>
  <c r="K55" i="101"/>
  <c r="J55" i="101"/>
  <c r="I55" i="101"/>
  <c r="H55" i="101"/>
  <c r="G55" i="101"/>
  <c r="F55" i="101"/>
  <c r="Q54" i="101"/>
  <c r="P54" i="101"/>
  <c r="O54" i="101"/>
  <c r="N54" i="101"/>
  <c r="M54" i="101"/>
  <c r="L54" i="101"/>
  <c r="K54" i="101"/>
  <c r="J54" i="101"/>
  <c r="I54" i="101"/>
  <c r="H54" i="101"/>
  <c r="G54" i="101"/>
  <c r="F54" i="101"/>
  <c r="Q53" i="101"/>
  <c r="P53" i="101"/>
  <c r="O53" i="101"/>
  <c r="N53" i="101"/>
  <c r="M53" i="101"/>
  <c r="L53" i="101"/>
  <c r="K53" i="101"/>
  <c r="J53" i="101"/>
  <c r="I53" i="101"/>
  <c r="H53" i="101"/>
  <c r="G53" i="101"/>
  <c r="F53" i="101"/>
  <c r="Q52" i="101"/>
  <c r="P52" i="101"/>
  <c r="O52" i="101"/>
  <c r="N52" i="101"/>
  <c r="M52" i="101"/>
  <c r="L52" i="101"/>
  <c r="K52" i="101"/>
  <c r="J52" i="101"/>
  <c r="I52" i="101"/>
  <c r="H52" i="101"/>
  <c r="G52" i="101"/>
  <c r="F52" i="101"/>
  <c r="Q50" i="101"/>
  <c r="P50" i="101"/>
  <c r="O50" i="101"/>
  <c r="N50" i="101"/>
  <c r="M50" i="101"/>
  <c r="L50" i="101"/>
  <c r="K50" i="101"/>
  <c r="J50" i="101"/>
  <c r="I50" i="101"/>
  <c r="H50" i="101"/>
  <c r="G50" i="101"/>
  <c r="F50" i="101"/>
  <c r="Q49" i="101"/>
  <c r="P49" i="101"/>
  <c r="O49" i="101"/>
  <c r="N49" i="101"/>
  <c r="M49" i="101"/>
  <c r="L49" i="101"/>
  <c r="K49" i="101"/>
  <c r="J49" i="101"/>
  <c r="I49" i="101"/>
  <c r="H49" i="101"/>
  <c r="G49" i="101"/>
  <c r="F49" i="101"/>
  <c r="Q48" i="101"/>
  <c r="P48" i="101"/>
  <c r="O48" i="101"/>
  <c r="N48" i="101"/>
  <c r="M48" i="101"/>
  <c r="L48" i="101"/>
  <c r="K48" i="101"/>
  <c r="J48" i="101"/>
  <c r="I48" i="101"/>
  <c r="H48" i="101"/>
  <c r="G48" i="101"/>
  <c r="F48" i="101"/>
  <c r="Q46" i="101"/>
  <c r="P46" i="101"/>
  <c r="O46" i="101"/>
  <c r="N46" i="101"/>
  <c r="M46" i="101"/>
  <c r="L46" i="101"/>
  <c r="K46" i="101"/>
  <c r="J46" i="101"/>
  <c r="I46" i="101"/>
  <c r="H46" i="101"/>
  <c r="G46" i="101"/>
  <c r="F46" i="101"/>
  <c r="Q45" i="101"/>
  <c r="P45" i="101"/>
  <c r="O45" i="101"/>
  <c r="N45" i="101"/>
  <c r="M45" i="101"/>
  <c r="L45" i="101"/>
  <c r="K45" i="101"/>
  <c r="J45" i="101"/>
  <c r="I45" i="101"/>
  <c r="H45" i="101"/>
  <c r="G45" i="101"/>
  <c r="F45" i="101"/>
  <c r="Q44" i="101"/>
  <c r="P44" i="101"/>
  <c r="O44" i="101"/>
  <c r="N44" i="101"/>
  <c r="M44" i="101"/>
  <c r="L44" i="101"/>
  <c r="K44" i="101"/>
  <c r="J44" i="101"/>
  <c r="I44" i="101"/>
  <c r="H44" i="101"/>
  <c r="G44" i="101"/>
  <c r="F44" i="101"/>
  <c r="Q43" i="101"/>
  <c r="P43" i="101"/>
  <c r="O43" i="101"/>
  <c r="N43" i="101"/>
  <c r="M43" i="101"/>
  <c r="L43" i="101"/>
  <c r="K43" i="101"/>
  <c r="J43" i="101"/>
  <c r="I43" i="101"/>
  <c r="H43" i="101"/>
  <c r="G43" i="101"/>
  <c r="F43" i="101"/>
  <c r="Q42" i="101"/>
  <c r="P42" i="101"/>
  <c r="O42" i="101"/>
  <c r="N42" i="101"/>
  <c r="M42" i="101"/>
  <c r="L42" i="101"/>
  <c r="K42" i="101"/>
  <c r="J42" i="101"/>
  <c r="I42" i="101"/>
  <c r="H42" i="101"/>
  <c r="G42" i="101"/>
  <c r="F42" i="101"/>
  <c r="Q39" i="101"/>
  <c r="P39" i="101"/>
  <c r="O39" i="101"/>
  <c r="N39" i="101"/>
  <c r="M39" i="101"/>
  <c r="L39" i="101"/>
  <c r="K39" i="101"/>
  <c r="J39" i="101"/>
  <c r="I39" i="101"/>
  <c r="H39" i="101"/>
  <c r="G39" i="101"/>
  <c r="F39" i="101"/>
  <c r="Q38" i="101"/>
  <c r="P38" i="101"/>
  <c r="O38" i="101"/>
  <c r="N38" i="101"/>
  <c r="M38" i="101"/>
  <c r="L38" i="101"/>
  <c r="K38" i="101"/>
  <c r="J38" i="101"/>
  <c r="I38" i="101"/>
  <c r="H38" i="101"/>
  <c r="G38" i="101"/>
  <c r="F38" i="101"/>
  <c r="Q37" i="101"/>
  <c r="P37" i="101"/>
  <c r="O37" i="101"/>
  <c r="N37" i="101"/>
  <c r="M37" i="101"/>
  <c r="L37" i="101"/>
  <c r="K37" i="101"/>
  <c r="J37" i="101"/>
  <c r="I37" i="101"/>
  <c r="H37" i="101"/>
  <c r="G37" i="101"/>
  <c r="F37" i="101"/>
  <c r="Q35" i="101"/>
  <c r="P35" i="101"/>
  <c r="O35" i="101"/>
  <c r="N35" i="101"/>
  <c r="M35" i="101"/>
  <c r="L35" i="101"/>
  <c r="K35" i="101"/>
  <c r="J35" i="101"/>
  <c r="I35" i="101"/>
  <c r="H35" i="101"/>
  <c r="G35" i="101"/>
  <c r="F35" i="101"/>
  <c r="Q34" i="101"/>
  <c r="P34" i="101"/>
  <c r="O34" i="101"/>
  <c r="N34" i="101"/>
  <c r="M34" i="101"/>
  <c r="L34" i="101"/>
  <c r="K34" i="101"/>
  <c r="J34" i="101"/>
  <c r="I34" i="101"/>
  <c r="H34" i="101"/>
  <c r="G34" i="101"/>
  <c r="F34" i="101"/>
  <c r="Q32" i="101"/>
  <c r="P32" i="101"/>
  <c r="O32" i="101"/>
  <c r="N32" i="101"/>
  <c r="M32" i="101"/>
  <c r="L32" i="101"/>
  <c r="K32" i="101"/>
  <c r="J32" i="101"/>
  <c r="I32" i="101"/>
  <c r="H32" i="101"/>
  <c r="G32" i="101"/>
  <c r="F32" i="101"/>
  <c r="Q31" i="101"/>
  <c r="P31" i="101"/>
  <c r="O31" i="101"/>
  <c r="N31" i="101"/>
  <c r="M31" i="101"/>
  <c r="L31" i="101"/>
  <c r="K31" i="101"/>
  <c r="J31" i="101"/>
  <c r="I31" i="101"/>
  <c r="H31" i="101"/>
  <c r="G31" i="101"/>
  <c r="F31" i="101"/>
  <c r="Q30" i="101"/>
  <c r="P30" i="101"/>
  <c r="O30" i="101"/>
  <c r="N30" i="101"/>
  <c r="M30" i="101"/>
  <c r="L30" i="101"/>
  <c r="K30" i="101"/>
  <c r="J30" i="101"/>
  <c r="I30" i="101"/>
  <c r="H30" i="101"/>
  <c r="G30" i="101"/>
  <c r="F30" i="101"/>
  <c r="Q28" i="101"/>
  <c r="P28" i="101"/>
  <c r="O28" i="101"/>
  <c r="N28" i="101"/>
  <c r="M28" i="101"/>
  <c r="L28" i="101"/>
  <c r="K28" i="101"/>
  <c r="J28" i="101"/>
  <c r="I28" i="101"/>
  <c r="H28" i="101"/>
  <c r="G28" i="101"/>
  <c r="F28" i="101"/>
  <c r="Q27" i="101"/>
  <c r="P27" i="101"/>
  <c r="O27" i="101"/>
  <c r="N27" i="101"/>
  <c r="M27" i="101"/>
  <c r="L27" i="101"/>
  <c r="K27" i="101"/>
  <c r="J27" i="101"/>
  <c r="I27" i="101"/>
  <c r="H27" i="101"/>
  <c r="G27" i="101"/>
  <c r="F27" i="101"/>
  <c r="Q26" i="101"/>
  <c r="P26" i="101"/>
  <c r="O26" i="101"/>
  <c r="N26" i="101"/>
  <c r="M26" i="101"/>
  <c r="L26" i="101"/>
  <c r="K26" i="101"/>
  <c r="J26" i="101"/>
  <c r="I26" i="101"/>
  <c r="H26" i="101"/>
  <c r="G26" i="101"/>
  <c r="F26" i="101"/>
  <c r="Q25" i="101"/>
  <c r="P25" i="101"/>
  <c r="O25" i="101"/>
  <c r="N25" i="101"/>
  <c r="M25" i="101"/>
  <c r="L25" i="101"/>
  <c r="K25" i="101"/>
  <c r="J25" i="101"/>
  <c r="I25" i="101"/>
  <c r="H25" i="101"/>
  <c r="G25" i="101"/>
  <c r="F25" i="101"/>
  <c r="Q24" i="101"/>
  <c r="P24" i="101"/>
  <c r="O24" i="101"/>
  <c r="N24" i="101"/>
  <c r="M24" i="101"/>
  <c r="L24" i="101"/>
  <c r="K24" i="101"/>
  <c r="J24" i="101"/>
  <c r="I24" i="101"/>
  <c r="H24" i="101"/>
  <c r="G24" i="101"/>
  <c r="F24" i="101"/>
  <c r="Q23" i="101"/>
  <c r="P23" i="101"/>
  <c r="O23" i="101"/>
  <c r="N23" i="101"/>
  <c r="M23" i="101"/>
  <c r="L23" i="101"/>
  <c r="K23" i="101"/>
  <c r="J23" i="101"/>
  <c r="I23" i="101"/>
  <c r="H23" i="101"/>
  <c r="G23" i="101"/>
  <c r="F23" i="101"/>
  <c r="Q22" i="101"/>
  <c r="P22" i="101"/>
  <c r="O22" i="101"/>
  <c r="N22" i="101"/>
  <c r="M22" i="101"/>
  <c r="L22" i="101"/>
  <c r="K22" i="101"/>
  <c r="J22" i="101"/>
  <c r="I22" i="101"/>
  <c r="H22" i="101"/>
  <c r="G22" i="101"/>
  <c r="F22" i="101"/>
  <c r="Q20" i="101"/>
  <c r="P20" i="101"/>
  <c r="O20" i="101"/>
  <c r="N20" i="101"/>
  <c r="M20" i="101"/>
  <c r="L20" i="101"/>
  <c r="K20" i="101"/>
  <c r="J20" i="101"/>
  <c r="I20" i="101"/>
  <c r="H20" i="101"/>
  <c r="G20" i="101"/>
  <c r="F20" i="101"/>
  <c r="Q19" i="101"/>
  <c r="P19" i="101"/>
  <c r="O19" i="101"/>
  <c r="N19" i="101"/>
  <c r="M19" i="101"/>
  <c r="L19" i="101"/>
  <c r="K19" i="101"/>
  <c r="J19" i="101"/>
  <c r="I19" i="101"/>
  <c r="H19" i="101"/>
  <c r="G19" i="101"/>
  <c r="F19" i="101"/>
  <c r="Q18" i="101"/>
  <c r="P18" i="101"/>
  <c r="O18" i="101"/>
  <c r="N18" i="101"/>
  <c r="M18" i="101"/>
  <c r="L18" i="101"/>
  <c r="K18" i="101"/>
  <c r="J18" i="101"/>
  <c r="I18" i="101"/>
  <c r="H18" i="101"/>
  <c r="G18" i="101"/>
  <c r="F18" i="101"/>
  <c r="Q16" i="101"/>
  <c r="P16" i="101"/>
  <c r="O16" i="101"/>
  <c r="N16" i="101"/>
  <c r="M16" i="101"/>
  <c r="L16" i="101"/>
  <c r="K16" i="101"/>
  <c r="J16" i="101"/>
  <c r="I16" i="101"/>
  <c r="H16" i="101"/>
  <c r="G16" i="101"/>
  <c r="F16" i="101"/>
  <c r="Q15" i="101"/>
  <c r="P15" i="101"/>
  <c r="O15" i="101"/>
  <c r="N15" i="101"/>
  <c r="M15" i="101"/>
  <c r="L15" i="101"/>
  <c r="K15" i="101"/>
  <c r="J15" i="101"/>
  <c r="I15" i="101"/>
  <c r="H15" i="101"/>
  <c r="G15" i="101"/>
  <c r="F15" i="101"/>
  <c r="Q14" i="101"/>
  <c r="P14" i="101"/>
  <c r="O14" i="101"/>
  <c r="N14" i="101"/>
  <c r="M14" i="101"/>
  <c r="L14" i="101"/>
  <c r="K14" i="101"/>
  <c r="J14" i="101"/>
  <c r="I14" i="101"/>
  <c r="H14" i="101"/>
  <c r="G14" i="101"/>
  <c r="F14" i="101"/>
  <c r="Q12" i="101"/>
  <c r="P12" i="101"/>
  <c r="O12" i="101"/>
  <c r="N12" i="101"/>
  <c r="M12" i="101"/>
  <c r="L12" i="101"/>
  <c r="K12" i="101"/>
  <c r="J12" i="101"/>
  <c r="I12" i="101"/>
  <c r="H12" i="101"/>
  <c r="G12" i="101"/>
  <c r="F12" i="101"/>
  <c r="Q11" i="101"/>
  <c r="P11" i="101"/>
  <c r="O11" i="101"/>
  <c r="N11" i="101"/>
  <c r="M11" i="101"/>
  <c r="L11" i="101"/>
  <c r="K11" i="101"/>
  <c r="J11" i="101"/>
  <c r="I11" i="101"/>
  <c r="H11" i="101"/>
  <c r="G11" i="101"/>
  <c r="F11" i="101"/>
  <c r="Q8" i="101"/>
  <c r="P8" i="101"/>
  <c r="O8" i="101"/>
  <c r="N8" i="101"/>
  <c r="M8" i="101"/>
  <c r="L8" i="101"/>
  <c r="K8" i="101"/>
  <c r="J8" i="101"/>
  <c r="I8" i="101"/>
  <c r="H8" i="101"/>
  <c r="G8" i="101"/>
  <c r="F8" i="101"/>
  <c r="Q7" i="101"/>
  <c r="P7" i="101"/>
  <c r="O7" i="101"/>
  <c r="N7" i="101"/>
  <c r="M7" i="101"/>
  <c r="L7" i="101"/>
  <c r="K7" i="101"/>
  <c r="J7" i="101"/>
  <c r="I7" i="101"/>
  <c r="H7" i="101"/>
  <c r="G7" i="101"/>
  <c r="F7" i="101"/>
  <c r="Q6" i="101"/>
  <c r="P6" i="101"/>
  <c r="O6" i="101"/>
  <c r="N6" i="101"/>
  <c r="M6" i="101"/>
  <c r="L6" i="101"/>
  <c r="K6" i="101"/>
  <c r="J6" i="101"/>
  <c r="I6" i="101"/>
  <c r="H6" i="101"/>
  <c r="G6" i="101"/>
  <c r="F6" i="101"/>
  <c r="I148" i="62601"/>
  <c r="I147" i="62601"/>
  <c r="I143" i="62601"/>
  <c r="I142" i="62601"/>
  <c r="I138" i="62601"/>
  <c r="I137" i="62601"/>
  <c r="I132" i="62601"/>
  <c r="I131" i="62601"/>
  <c r="I130" i="62601"/>
  <c r="I129" i="62601"/>
  <c r="I128" i="62601"/>
  <c r="I127" i="62601"/>
  <c r="I123" i="62601"/>
  <c r="I122" i="62601"/>
  <c r="I121" i="62601"/>
  <c r="I120" i="62601"/>
  <c r="I119" i="62601"/>
  <c r="I118" i="62601"/>
  <c r="I114" i="62601"/>
  <c r="I113" i="62601"/>
  <c r="I112" i="62601"/>
  <c r="I111" i="62601"/>
  <c r="I110" i="62601"/>
  <c r="I109" i="62601"/>
  <c r="C151" i="62590"/>
  <c r="C84" i="62590"/>
  <c r="C81" i="62590"/>
  <c r="C73" i="62590"/>
  <c r="C48" i="62590"/>
  <c r="C21" i="62592"/>
  <c r="C16" i="62593"/>
  <c r="C114" i="267"/>
  <c r="C113" i="267"/>
  <c r="C112" i="267"/>
  <c r="C108" i="267"/>
  <c r="C107" i="267"/>
  <c r="C106" i="267"/>
  <c r="C102" i="267"/>
  <c r="C101" i="267"/>
  <c r="C100" i="267"/>
  <c r="C96" i="267"/>
  <c r="C95" i="267"/>
  <c r="C94" i="267"/>
  <c r="C90" i="267"/>
  <c r="C89" i="267"/>
  <c r="C88" i="267"/>
  <c r="C26" i="267"/>
  <c r="C25" i="267"/>
  <c r="C24" i="267"/>
  <c r="C60" i="3079"/>
  <c r="C59" i="3079"/>
  <c r="C58" i="3079"/>
  <c r="C48" i="3079"/>
  <c r="C31" i="3079"/>
  <c r="C7" i="3079"/>
  <c r="C6" i="3079"/>
  <c r="C5" i="3079"/>
  <c r="C4" i="3079"/>
  <c r="C62" i="152"/>
  <c r="C24" i="152"/>
  <c r="C23" i="152"/>
  <c r="C22" i="152"/>
  <c r="C21" i="152"/>
  <c r="C20" i="152"/>
  <c r="C19" i="152"/>
  <c r="C18" i="152"/>
  <c r="E445" i="4"/>
  <c r="E444" i="4"/>
  <c r="E443" i="4"/>
  <c r="E442" i="4"/>
  <c r="E441" i="4"/>
  <c r="E440" i="4"/>
  <c r="E438" i="4"/>
  <c r="E437" i="4"/>
  <c r="E435" i="4"/>
  <c r="E434" i="4"/>
  <c r="E431" i="4"/>
  <c r="I348" i="4"/>
  <c r="I282" i="4"/>
  <c r="I278" i="4"/>
  <c r="I277" i="4"/>
  <c r="I276" i="4"/>
  <c r="I275" i="4"/>
  <c r="I47" i="4"/>
  <c r="B18" i="4"/>
  <c r="I32" i="2"/>
  <c r="P183" i="62583" l="1"/>
  <c r="Q182" i="62583"/>
  <c r="P202" i="62583"/>
  <c r="P262" i="62583" a="1"/>
  <c r="G183" i="62583"/>
  <c r="H182" i="62583"/>
  <c r="G262" i="62583" a="1"/>
  <c r="F204" i="62583"/>
  <c r="G202" i="62583"/>
  <c r="C15" i="62593"/>
  <c r="Q183" i="62583" l="1"/>
  <c r="R182" i="62583"/>
  <c r="P204" i="62583"/>
  <c r="Q202" i="62583"/>
  <c r="P271" i="62583"/>
  <c r="P264" i="62583"/>
  <c r="P265" i="62583"/>
  <c r="P268" i="62583"/>
  <c r="P262" i="62583"/>
  <c r="P272" i="62583"/>
  <c r="P274" i="62583"/>
  <c r="P266" i="62583"/>
  <c r="P263" i="62583"/>
  <c r="P273" i="62583"/>
  <c r="P270" i="62583"/>
  <c r="P267" i="62583"/>
  <c r="P269" i="62583"/>
  <c r="H183" i="62583"/>
  <c r="I182" i="62583"/>
  <c r="G204" i="62583"/>
  <c r="H202" i="62583"/>
  <c r="G271" i="62583"/>
  <c r="G266" i="62583"/>
  <c r="G267" i="62583"/>
  <c r="G262" i="62583"/>
  <c r="G272" i="62583"/>
  <c r="G263" i="62583"/>
  <c r="G273" i="62583"/>
  <c r="G264" i="62583"/>
  <c r="G274" i="62583"/>
  <c r="G265" i="62583"/>
  <c r="G269" i="62583"/>
  <c r="G270" i="62583"/>
  <c r="G268" i="62583"/>
  <c r="C78" i="62592"/>
  <c r="C77" i="62592"/>
  <c r="C79" i="62592"/>
  <c r="R183" i="62583" l="1"/>
  <c r="S182" i="62583"/>
  <c r="Q204" i="62583"/>
  <c r="R202" i="62583"/>
  <c r="Q262" i="62583" a="1"/>
  <c r="I183" i="62583"/>
  <c r="J182" i="62583"/>
  <c r="H204" i="62583"/>
  <c r="I202" i="62583"/>
  <c r="H262" i="62583" a="1"/>
  <c r="C26" i="62597"/>
  <c r="C25" i="62597"/>
  <c r="S183" i="62583" l="1"/>
  <c r="E156" i="62583" s="1"/>
  <c r="E151" i="62583"/>
  <c r="R204" i="62583"/>
  <c r="S202" i="62583"/>
  <c r="Q271" i="62583"/>
  <c r="Q264" i="62583"/>
  <c r="Q274" i="62583"/>
  <c r="Q262" i="62583"/>
  <c r="Q272" i="62583"/>
  <c r="Q265" i="62583"/>
  <c r="Q267" i="62583"/>
  <c r="Q263" i="62583"/>
  <c r="Q273" i="62583"/>
  <c r="Q268" i="62583"/>
  <c r="Q269" i="62583"/>
  <c r="Q270" i="62583"/>
  <c r="Q266" i="62583"/>
  <c r="J183" i="62583"/>
  <c r="D156" i="62583" s="1"/>
  <c r="D151" i="62583"/>
  <c r="D157" i="62583" s="1"/>
  <c r="I204" i="62583"/>
  <c r="J202" i="62583"/>
  <c r="H271" i="62583"/>
  <c r="H274" i="62583"/>
  <c r="H268" i="62583"/>
  <c r="H269" i="62583"/>
  <c r="H262" i="62583"/>
  <c r="H272" i="62583"/>
  <c r="H264" i="62583"/>
  <c r="H266" i="62583"/>
  <c r="H267" i="62583"/>
  <c r="H263" i="62583"/>
  <c r="H273" i="62583"/>
  <c r="H265" i="62583"/>
  <c r="H270" i="62583"/>
  <c r="M95" i="4"/>
  <c r="M94" i="4"/>
  <c r="M93" i="4"/>
  <c r="M92" i="4"/>
  <c r="M91" i="4"/>
  <c r="M90" i="4"/>
  <c r="M89" i="4"/>
  <c r="M88" i="4"/>
  <c r="M87" i="4"/>
  <c r="S204" i="62583" l="1"/>
  <c r="E163" i="62583" s="1"/>
  <c r="E161" i="62583"/>
  <c r="R262" i="62583" a="1"/>
  <c r="J204" i="62583"/>
  <c r="D163" i="62583" s="1"/>
  <c r="D161" i="62583"/>
  <c r="I262" i="62583" a="1"/>
  <c r="C6" i="62575"/>
  <c r="C5" i="62575"/>
  <c r="C10" i="62601"/>
  <c r="X90" i="62591"/>
  <c r="W90" i="62591"/>
  <c r="V90" i="62591"/>
  <c r="U90" i="62591"/>
  <c r="M53" i="4"/>
  <c r="M54" i="4"/>
  <c r="M64" i="4"/>
  <c r="M65" i="4"/>
  <c r="M58" i="4"/>
  <c r="M59" i="4"/>
  <c r="M70" i="4"/>
  <c r="M71" i="4"/>
  <c r="C178" i="62588"/>
  <c r="C9" i="3079" s="1"/>
  <c r="C62" i="267"/>
  <c r="C57" i="267"/>
  <c r="C10" i="267"/>
  <c r="M90" i="62591"/>
  <c r="C89" i="2"/>
  <c r="D89" i="2" s="1"/>
  <c r="F287" i="62583"/>
  <c r="M35" i="4"/>
  <c r="C72" i="61860"/>
  <c r="R271" i="62583" l="1"/>
  <c r="R266" i="62583"/>
  <c r="R262" i="62583"/>
  <c r="R272" i="62583"/>
  <c r="R274" i="62583"/>
  <c r="R263" i="62583"/>
  <c r="R273" i="62583"/>
  <c r="R264" i="62583"/>
  <c r="R265" i="62583"/>
  <c r="R268" i="62583"/>
  <c r="R269" i="62583"/>
  <c r="R270" i="62583"/>
  <c r="R267" i="62583"/>
  <c r="I271" i="62583"/>
  <c r="I264" i="62583"/>
  <c r="I266" i="62583"/>
  <c r="I262" i="62583"/>
  <c r="I272" i="62583"/>
  <c r="I274" i="62583"/>
  <c r="I265" i="62583"/>
  <c r="I263" i="62583"/>
  <c r="I273" i="62583"/>
  <c r="I268" i="62583"/>
  <c r="I269" i="62583"/>
  <c r="I270" i="62583"/>
  <c r="I267" i="62583"/>
  <c r="B90" i="2"/>
  <c r="H90" i="2" s="1"/>
  <c r="S262" i="62583" l="1" a="1"/>
  <c r="J262" i="62583" a="1"/>
  <c r="C6" i="62586"/>
  <c r="C5" i="62586"/>
  <c r="C24" i="62588"/>
  <c r="C6" i="267" s="1"/>
  <c r="C7" i="267" s="1"/>
  <c r="C8" i="267" s="1"/>
  <c r="C15" i="62588"/>
  <c r="C58" i="62588" s="1"/>
  <c r="C22" i="62588"/>
  <c r="C52" i="62588" s="1"/>
  <c r="C179" i="62588" s="1"/>
  <c r="C20" i="62588"/>
  <c r="C19" i="62588"/>
  <c r="C18" i="62588"/>
  <c r="C17" i="62588"/>
  <c r="C9" i="62588"/>
  <c r="C10" i="62588"/>
  <c r="C11" i="62588"/>
  <c r="C12" i="62588"/>
  <c r="C13" i="62588"/>
  <c r="C14" i="62588"/>
  <c r="C11" i="3079"/>
  <c r="C12" i="3079"/>
  <c r="C31" i="62597"/>
  <c r="G63" i="2"/>
  <c r="C12" i="62597"/>
  <c r="C6" i="62597"/>
  <c r="C43" i="777"/>
  <c r="C44" i="777" s="1"/>
  <c r="P12" i="62587"/>
  <c r="Q12" i="62587" s="1"/>
  <c r="H3" i="2"/>
  <c r="Y81" i="62591"/>
  <c r="Y73" i="62591"/>
  <c r="Y65" i="62591"/>
  <c r="Y57" i="62591"/>
  <c r="Y49" i="62591"/>
  <c r="Y41" i="62591"/>
  <c r="Y33" i="62591"/>
  <c r="Y25" i="62591"/>
  <c r="Y17" i="62591"/>
  <c r="Y9" i="62591"/>
  <c r="C8" i="4"/>
  <c r="C55" i="62582"/>
  <c r="W76" i="4"/>
  <c r="X76" i="4" s="1"/>
  <c r="W72" i="4"/>
  <c r="X72" i="4" s="1"/>
  <c r="W66" i="4"/>
  <c r="X66" i="4" s="1"/>
  <c r="W55" i="4"/>
  <c r="X55" i="4" s="1"/>
  <c r="M69" i="4"/>
  <c r="M83" i="4"/>
  <c r="M63" i="4"/>
  <c r="D202" i="101"/>
  <c r="C6" i="62584"/>
  <c r="C7" i="62584"/>
  <c r="C11" i="62584"/>
  <c r="C16" i="62584"/>
  <c r="C17" i="62584"/>
  <c r="B43" i="2560"/>
  <c r="B44" i="2560"/>
  <c r="B45" i="2560"/>
  <c r="B46" i="2560"/>
  <c r="B51" i="2560"/>
  <c r="B52" i="2560"/>
  <c r="B53" i="2560"/>
  <c r="D53" i="2560"/>
  <c r="B58" i="2560"/>
  <c r="B59" i="2560"/>
  <c r="B60" i="2560"/>
  <c r="B61" i="2560"/>
  <c r="B62" i="2560"/>
  <c r="B63" i="2560"/>
  <c r="B64" i="2560"/>
  <c r="D69" i="2560"/>
  <c r="F69" i="2560" s="1"/>
  <c r="D70" i="2560"/>
  <c r="F70" i="2560" s="1"/>
  <c r="I70" i="2560"/>
  <c r="I71" i="2560" s="1"/>
  <c r="I72" i="2560" s="1"/>
  <c r="I73" i="2560" s="1"/>
  <c r="I74" i="2560" s="1"/>
  <c r="I75" i="2560" s="1"/>
  <c r="I76" i="2560" s="1"/>
  <c r="I77" i="2560" s="1"/>
  <c r="I78" i="2560" s="1"/>
  <c r="I79" i="2560" s="1"/>
  <c r="I80" i="2560" s="1"/>
  <c r="D71" i="2560"/>
  <c r="F71" i="2560" s="1"/>
  <c r="D72" i="2560"/>
  <c r="F72" i="2560" s="1"/>
  <c r="D73" i="2560"/>
  <c r="F73" i="2560" s="1"/>
  <c r="D74" i="2560"/>
  <c r="F74" i="2560" s="1"/>
  <c r="D75" i="2560"/>
  <c r="F75" i="2560" s="1"/>
  <c r="D76" i="2560"/>
  <c r="F76" i="2560"/>
  <c r="D77" i="2560"/>
  <c r="F77" i="2560" s="1"/>
  <c r="D78" i="2560"/>
  <c r="F78" i="2560" s="1"/>
  <c r="D79" i="2560"/>
  <c r="F79" i="2560" s="1"/>
  <c r="D80" i="2560"/>
  <c r="D81" i="2560"/>
  <c r="F81" i="2560" s="1"/>
  <c r="A147" i="2560"/>
  <c r="D147" i="2560"/>
  <c r="A148" i="2560"/>
  <c r="D148" i="2560"/>
  <c r="A149" i="2560"/>
  <c r="D149" i="2560"/>
  <c r="A150" i="2560"/>
  <c r="D150" i="2560"/>
  <c r="A151" i="2560"/>
  <c r="D151" i="2560"/>
  <c r="A152" i="2560"/>
  <c r="D152" i="2560"/>
  <c r="A153" i="2560"/>
  <c r="D153" i="2560"/>
  <c r="A154" i="2560"/>
  <c r="D154" i="2560"/>
  <c r="A155" i="2560"/>
  <c r="D155" i="2560"/>
  <c r="A156" i="2560"/>
  <c r="D156" i="2560"/>
  <c r="A157" i="2560"/>
  <c r="D157" i="2560"/>
  <c r="A158" i="2560"/>
  <c r="D158" i="2560"/>
  <c r="A159" i="2560"/>
  <c r="D159" i="2560"/>
  <c r="A160" i="2560"/>
  <c r="D160" i="2560"/>
  <c r="A161" i="2560"/>
  <c r="D161" i="2560"/>
  <c r="A162" i="2560"/>
  <c r="D162" i="2560"/>
  <c r="A163" i="2560"/>
  <c r="D163" i="2560"/>
  <c r="A164" i="2560"/>
  <c r="D164" i="2560"/>
  <c r="A165" i="2560"/>
  <c r="D165" i="2560"/>
  <c r="A166" i="2560"/>
  <c r="D166" i="2560"/>
  <c r="A167" i="2560"/>
  <c r="D167" i="2560"/>
  <c r="A168" i="2560"/>
  <c r="D168" i="2560"/>
  <c r="C57" i="62575"/>
  <c r="C6" i="62601"/>
  <c r="C5" i="62590"/>
  <c r="C61" i="62590"/>
  <c r="C80" i="62590"/>
  <c r="C82" i="62590"/>
  <c r="C83" i="62590" s="1"/>
  <c r="C117" i="62590"/>
  <c r="C5" i="62592"/>
  <c r="C6" i="62592"/>
  <c r="C33" i="62592"/>
  <c r="C157" i="4" s="1"/>
  <c r="C35" i="62592"/>
  <c r="C160" i="4" s="1"/>
  <c r="C46" i="62592"/>
  <c r="C188" i="4" s="1"/>
  <c r="C48" i="62592"/>
  <c r="C192" i="4" s="1"/>
  <c r="C74" i="62592"/>
  <c r="C75" i="62592"/>
  <c r="C76" i="62592"/>
  <c r="C133" i="4"/>
  <c r="C73" i="62593"/>
  <c r="C12" i="777"/>
  <c r="E84" i="2" s="1"/>
  <c r="C27" i="777"/>
  <c r="C30" i="777"/>
  <c r="C5" i="152"/>
  <c r="C6" i="152"/>
  <c r="C462" i="4" s="1"/>
  <c r="C70" i="152"/>
  <c r="C71" i="152"/>
  <c r="C72" i="152"/>
  <c r="C73" i="152"/>
  <c r="C74" i="152"/>
  <c r="C75" i="152"/>
  <c r="C76" i="152"/>
  <c r="C79" i="152"/>
  <c r="C80" i="152"/>
  <c r="C81" i="152"/>
  <c r="C82" i="152"/>
  <c r="C83" i="152"/>
  <c r="C84" i="152"/>
  <c r="C85" i="152"/>
  <c r="C88" i="152"/>
  <c r="C89" i="152"/>
  <c r="C90" i="152"/>
  <c r="C91" i="152"/>
  <c r="C92" i="152"/>
  <c r="C93" i="152"/>
  <c r="C94" i="152"/>
  <c r="C56" i="62582"/>
  <c r="C62" i="62582"/>
  <c r="C64" i="62582"/>
  <c r="C65" i="62582"/>
  <c r="C98" i="62582" s="1"/>
  <c r="C115" i="62582"/>
  <c r="C124" i="62582"/>
  <c r="C345" i="62582"/>
  <c r="C350" i="62582"/>
  <c r="C356" i="62582"/>
  <c r="D98" i="62583"/>
  <c r="D99" i="62583"/>
  <c r="C5" i="777" s="1"/>
  <c r="D103" i="62583"/>
  <c r="D107" i="62583"/>
  <c r="C20" i="62597" s="1"/>
  <c r="D108" i="62583"/>
  <c r="C24" i="62597" s="1"/>
  <c r="F280" i="62583"/>
  <c r="G280" i="62583" s="1"/>
  <c r="F284" i="62583"/>
  <c r="G284" i="62583" s="1"/>
  <c r="F285" i="62583"/>
  <c r="G285" i="62583" s="1"/>
  <c r="F286" i="62583"/>
  <c r="G286" i="62583" s="1"/>
  <c r="G287" i="62583"/>
  <c r="F288" i="62583"/>
  <c r="G288" i="62583" s="1"/>
  <c r="C12" i="62596"/>
  <c r="C13" i="62596"/>
  <c r="C31" i="62592" s="1"/>
  <c r="C152" i="4" s="1"/>
  <c r="C14" i="62596"/>
  <c r="C45" i="62592" s="1"/>
  <c r="C16" i="62596"/>
  <c r="C38" i="152" s="1"/>
  <c r="C17" i="62596"/>
  <c r="C54" i="152" s="1"/>
  <c r="C56" i="152" s="1"/>
  <c r="C4" i="62588"/>
  <c r="C71" i="62582" s="1"/>
  <c r="C23" i="62588"/>
  <c r="C145" i="62588"/>
  <c r="C156" i="62588"/>
  <c r="C158" i="62588"/>
  <c r="C248" i="62588"/>
  <c r="C41" i="267"/>
  <c r="C34" i="267"/>
  <c r="C39" i="62574"/>
  <c r="C23" i="62573"/>
  <c r="C215" i="61860"/>
  <c r="C216" i="61860"/>
  <c r="C226" i="61860"/>
  <c r="C492" i="4"/>
  <c r="C493" i="4"/>
  <c r="C7" i="4"/>
  <c r="W34" i="4"/>
  <c r="X34" i="4" s="1"/>
  <c r="W35" i="4"/>
  <c r="X35" i="4" s="1"/>
  <c r="M36" i="4"/>
  <c r="W37" i="4"/>
  <c r="X37" i="4" s="1"/>
  <c r="M38" i="4"/>
  <c r="M39" i="4"/>
  <c r="W40" i="4"/>
  <c r="X40" i="4" s="1"/>
  <c r="M41" i="4"/>
  <c r="M42" i="4"/>
  <c r="W43" i="4"/>
  <c r="X43" i="4" s="1"/>
  <c r="M44" i="4"/>
  <c r="M45" i="4"/>
  <c r="M46" i="4"/>
  <c r="M47" i="4"/>
  <c r="M48" i="4"/>
  <c r="W49" i="4"/>
  <c r="X49" i="4" s="1"/>
  <c r="W50" i="4"/>
  <c r="X50" i="4" s="1"/>
  <c r="M51" i="4"/>
  <c r="M52" i="4"/>
  <c r="W60" i="4"/>
  <c r="X60" i="4" s="1"/>
  <c r="M61" i="4"/>
  <c r="M62" i="4"/>
  <c r="W80" i="4"/>
  <c r="X80" i="4" s="1"/>
  <c r="M81" i="4"/>
  <c r="M82" i="4"/>
  <c r="W84" i="4"/>
  <c r="X84" i="4" s="1"/>
  <c r="M85" i="4"/>
  <c r="M86" i="4"/>
  <c r="W96" i="4"/>
  <c r="X96" i="4" s="1"/>
  <c r="M97" i="4"/>
  <c r="M98" i="4"/>
  <c r="M99" i="4"/>
  <c r="W100" i="4"/>
  <c r="X100" i="4" s="1"/>
  <c r="M101" i="4"/>
  <c r="M102" i="4"/>
  <c r="M103" i="4"/>
  <c r="M104" i="4"/>
  <c r="M105" i="4"/>
  <c r="W106" i="4"/>
  <c r="X106" i="4" s="1"/>
  <c r="M107" i="4"/>
  <c r="M108" i="4"/>
  <c r="M109" i="4"/>
  <c r="M110" i="4"/>
  <c r="M56" i="4"/>
  <c r="M57" i="4"/>
  <c r="M67" i="4"/>
  <c r="M68" i="4"/>
  <c r="M73" i="4"/>
  <c r="M74" i="4"/>
  <c r="M75" i="4"/>
  <c r="M77" i="4"/>
  <c r="M78" i="4"/>
  <c r="M79" i="4"/>
  <c r="W111" i="4"/>
  <c r="X111" i="4" s="1"/>
  <c r="W112" i="4"/>
  <c r="X112" i="4" s="1"/>
  <c r="M113" i="4"/>
  <c r="M114" i="4"/>
  <c r="M115" i="4"/>
  <c r="M116" i="4"/>
  <c r="M117" i="4"/>
  <c r="W118" i="4"/>
  <c r="X118" i="4" s="1"/>
  <c r="M119" i="4"/>
  <c r="M120" i="4"/>
  <c r="M121" i="4"/>
  <c r="W122" i="4"/>
  <c r="X122" i="4" s="1"/>
  <c r="M123" i="4"/>
  <c r="M124" i="4"/>
  <c r="M125" i="4"/>
  <c r="M126" i="4"/>
  <c r="M127" i="4"/>
  <c r="M128" i="4"/>
  <c r="M129" i="4"/>
  <c r="M130" i="4"/>
  <c r="W131" i="4"/>
  <c r="X131" i="4" s="1"/>
  <c r="M132" i="4"/>
  <c r="M133" i="4"/>
  <c r="M134" i="4"/>
  <c r="M135" i="4"/>
  <c r="W136" i="4"/>
  <c r="X136" i="4" s="1"/>
  <c r="W137" i="4"/>
  <c r="X137" i="4" s="1"/>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W166" i="4"/>
  <c r="X166" i="4" s="1"/>
  <c r="C167" i="4"/>
  <c r="H167" i="4" s="1"/>
  <c r="M167" i="4"/>
  <c r="C168" i="4"/>
  <c r="F168" i="4" s="1"/>
  <c r="M168" i="4"/>
  <c r="C169" i="4"/>
  <c r="H169" i="4" s="1"/>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W197" i="4"/>
  <c r="X197" i="4" s="1"/>
  <c r="M198" i="4"/>
  <c r="M199" i="4"/>
  <c r="M200" i="4"/>
  <c r="C201" i="4"/>
  <c r="H201" i="4" s="1"/>
  <c r="M201" i="4"/>
  <c r="C202" i="4"/>
  <c r="F202" i="4" s="1"/>
  <c r="M202" i="4"/>
  <c r="C203" i="4"/>
  <c r="F203" i="4" s="1"/>
  <c r="M203" i="4"/>
  <c r="C204" i="4"/>
  <c r="M204" i="4"/>
  <c r="C205" i="4"/>
  <c r="M205" i="4"/>
  <c r="C206" i="4"/>
  <c r="M206" i="4"/>
  <c r="M207" i="4"/>
  <c r="M208" i="4"/>
  <c r="M209" i="4"/>
  <c r="M210" i="4"/>
  <c r="M211" i="4"/>
  <c r="M212" i="4"/>
  <c r="W213" i="4"/>
  <c r="X213" i="4" s="1"/>
  <c r="W214" i="4"/>
  <c r="X214" i="4" s="1"/>
  <c r="M215" i="4"/>
  <c r="M216" i="4"/>
  <c r="W217" i="4"/>
  <c r="X217" i="4" s="1"/>
  <c r="M218" i="4"/>
  <c r="M219" i="4"/>
  <c r="M220" i="4"/>
  <c r="M221" i="4"/>
  <c r="M222" i="4"/>
  <c r="M223" i="4"/>
  <c r="M224" i="4"/>
  <c r="M225" i="4"/>
  <c r="M226" i="4"/>
  <c r="M227" i="4"/>
  <c r="M228" i="4"/>
  <c r="W229" i="4"/>
  <c r="X229" i="4" s="1"/>
  <c r="M230" i="4"/>
  <c r="W231" i="4"/>
  <c r="X231" i="4" s="1"/>
  <c r="M232" i="4"/>
  <c r="M233" i="4"/>
  <c r="M234" i="4"/>
  <c r="W235" i="4"/>
  <c r="X235" i="4" s="1"/>
  <c r="W236" i="4"/>
  <c r="X236" i="4" s="1"/>
  <c r="B237" i="4"/>
  <c r="M237" i="4" s="1"/>
  <c r="W238" i="4"/>
  <c r="X238" i="4" s="1"/>
  <c r="M239" i="4"/>
  <c r="W240" i="4"/>
  <c r="X240" i="4" s="1"/>
  <c r="W241" i="4"/>
  <c r="X241" i="4" s="1"/>
  <c r="C242" i="4"/>
  <c r="M242" i="4"/>
  <c r="C243" i="4"/>
  <c r="M243" i="4"/>
  <c r="C244" i="4"/>
  <c r="M244" i="4"/>
  <c r="C245" i="4"/>
  <c r="M245" i="4"/>
  <c r="W246" i="4"/>
  <c r="X246" i="4" s="1"/>
  <c r="M247" i="4"/>
  <c r="M248" i="4"/>
  <c r="M249" i="4"/>
  <c r="M250" i="4"/>
  <c r="W251" i="4"/>
  <c r="X251" i="4" s="1"/>
  <c r="M252" i="4"/>
  <c r="M253" i="4"/>
  <c r="M254" i="4"/>
  <c r="M255" i="4"/>
  <c r="M257" i="4"/>
  <c r="M258" i="4"/>
  <c r="M259" i="4"/>
  <c r="M260" i="4"/>
  <c r="W261" i="4"/>
  <c r="X261" i="4" s="1"/>
  <c r="M262" i="4"/>
  <c r="M263" i="4"/>
  <c r="M264" i="4"/>
  <c r="M265" i="4"/>
  <c r="W266" i="4"/>
  <c r="X266" i="4" s="1"/>
  <c r="C267" i="4"/>
  <c r="M267" i="4"/>
  <c r="C268" i="4"/>
  <c r="M268" i="4"/>
  <c r="C269" i="4"/>
  <c r="M269" i="4"/>
  <c r="C270" i="4"/>
  <c r="M270" i="4"/>
  <c r="M271" i="4"/>
  <c r="M272" i="4"/>
  <c r="M273" i="4"/>
  <c r="M274" i="4"/>
  <c r="M275" i="4"/>
  <c r="M276" i="4"/>
  <c r="M277" i="4"/>
  <c r="M278" i="4"/>
  <c r="W279" i="4"/>
  <c r="X279" i="4" s="1"/>
  <c r="M280" i="4"/>
  <c r="M281" i="4"/>
  <c r="C282" i="4"/>
  <c r="K282" i="4" s="1"/>
  <c r="M282" i="4"/>
  <c r="W283" i="4"/>
  <c r="X283" i="4" s="1"/>
  <c r="W284" i="4"/>
  <c r="X284" i="4" s="1"/>
  <c r="W294" i="4"/>
  <c r="X294" i="4" s="1"/>
  <c r="W299" i="4"/>
  <c r="X299" i="4" s="1"/>
  <c r="W305" i="4"/>
  <c r="X305" i="4" s="1"/>
  <c r="W306" i="4"/>
  <c r="X306" i="4" s="1"/>
  <c r="M307" i="4"/>
  <c r="N307" i="4"/>
  <c r="O307" i="4"/>
  <c r="P307" i="4"/>
  <c r="Q307" i="4"/>
  <c r="R307" i="4"/>
  <c r="S307" i="4"/>
  <c r="T307" i="4"/>
  <c r="U307" i="4"/>
  <c r="V307" i="4"/>
  <c r="M308" i="4"/>
  <c r="N308" i="4"/>
  <c r="Q308" i="4"/>
  <c r="T308" i="4"/>
  <c r="M309" i="4"/>
  <c r="O309" i="4"/>
  <c r="R309" i="4"/>
  <c r="U309" i="4"/>
  <c r="M310" i="4"/>
  <c r="P310" i="4"/>
  <c r="S310" i="4"/>
  <c r="V310" i="4"/>
  <c r="W311" i="4"/>
  <c r="X311" i="4" s="1"/>
  <c r="W317" i="4"/>
  <c r="X317" i="4" s="1"/>
  <c r="W320" i="4"/>
  <c r="X320" i="4" s="1"/>
  <c r="M321" i="4"/>
  <c r="N321" i="4"/>
  <c r="O321" i="4"/>
  <c r="P321" i="4"/>
  <c r="Q321" i="4"/>
  <c r="R321" i="4"/>
  <c r="S321" i="4"/>
  <c r="T321" i="4"/>
  <c r="U321" i="4"/>
  <c r="V321" i="4"/>
  <c r="M322" i="4"/>
  <c r="N322" i="4"/>
  <c r="Q322" i="4"/>
  <c r="T322" i="4"/>
  <c r="M323" i="4"/>
  <c r="O323" i="4"/>
  <c r="R323" i="4"/>
  <c r="U323" i="4"/>
  <c r="M324" i="4"/>
  <c r="P324" i="4"/>
  <c r="S324" i="4"/>
  <c r="V324" i="4"/>
  <c r="W325" i="4"/>
  <c r="X325" i="4" s="1"/>
  <c r="W331" i="4"/>
  <c r="X331" i="4" s="1"/>
  <c r="W334" i="4"/>
  <c r="X334" i="4" s="1"/>
  <c r="M335" i="4"/>
  <c r="N335" i="4"/>
  <c r="O335" i="4"/>
  <c r="P335" i="4"/>
  <c r="Q335" i="4"/>
  <c r="R335" i="4"/>
  <c r="S335" i="4"/>
  <c r="T335" i="4"/>
  <c r="U335" i="4"/>
  <c r="V335" i="4"/>
  <c r="M336" i="4"/>
  <c r="N336" i="4"/>
  <c r="Q336" i="4"/>
  <c r="T336" i="4"/>
  <c r="M337" i="4"/>
  <c r="O337" i="4"/>
  <c r="R337" i="4"/>
  <c r="U337" i="4"/>
  <c r="M338" i="4"/>
  <c r="P338" i="4"/>
  <c r="S338" i="4"/>
  <c r="V338" i="4"/>
  <c r="W339" i="4"/>
  <c r="X339" i="4" s="1"/>
  <c r="W345" i="4"/>
  <c r="X345" i="4" s="1"/>
  <c r="M348" i="4"/>
  <c r="N348" i="4"/>
  <c r="O348" i="4"/>
  <c r="P348" i="4"/>
  <c r="Q348" i="4"/>
  <c r="R348" i="4"/>
  <c r="S348" i="4"/>
  <c r="T348" i="4"/>
  <c r="U348" i="4"/>
  <c r="V348" i="4"/>
  <c r="W349" i="4"/>
  <c r="X349" i="4" s="1"/>
  <c r="M350" i="4"/>
  <c r="M351" i="4"/>
  <c r="M352" i="4"/>
  <c r="M353" i="4"/>
  <c r="W354" i="4"/>
  <c r="X354" i="4" s="1"/>
  <c r="M355" i="4"/>
  <c r="W356" i="4"/>
  <c r="X356" i="4" s="1"/>
  <c r="M357" i="4"/>
  <c r="D376" i="4"/>
  <c r="C473" i="4" s="1"/>
  <c r="D381" i="4"/>
  <c r="D382" i="4"/>
  <c r="C479" i="4" s="1"/>
  <c r="D385" i="4"/>
  <c r="C482" i="4" s="1"/>
  <c r="D386" i="4"/>
  <c r="C483" i="4" s="1"/>
  <c r="D387" i="4"/>
  <c r="C484" i="4" s="1"/>
  <c r="C451" i="4"/>
  <c r="G48" i="2"/>
  <c r="H48" i="2"/>
  <c r="G49" i="2"/>
  <c r="H49" i="2"/>
  <c r="C69" i="2"/>
  <c r="D69" i="2" s="1"/>
  <c r="H74" i="2"/>
  <c r="I74" i="2"/>
  <c r="H75" i="2"/>
  <c r="I83" i="2"/>
  <c r="C95" i="2"/>
  <c r="D95" i="2" s="1"/>
  <c r="A90" i="62591"/>
  <c r="C90" i="62591"/>
  <c r="D90" i="62591"/>
  <c r="E90" i="62591"/>
  <c r="F90" i="62591"/>
  <c r="G90" i="62591"/>
  <c r="H90" i="62591"/>
  <c r="I90" i="62591"/>
  <c r="J90" i="62591"/>
  <c r="K90" i="62591"/>
  <c r="L90" i="62591"/>
  <c r="N90" i="62591"/>
  <c r="O90" i="62591"/>
  <c r="P90" i="62591"/>
  <c r="Q90" i="62591"/>
  <c r="R90" i="62591"/>
  <c r="S90" i="62591"/>
  <c r="T90" i="62591"/>
  <c r="F25" i="62586"/>
  <c r="G25" i="62586"/>
  <c r="H25" i="62586"/>
  <c r="I25" i="62586"/>
  <c r="J25" i="62586"/>
  <c r="K25" i="62586"/>
  <c r="L25" i="62586"/>
  <c r="M25" i="62586"/>
  <c r="N25" i="62586"/>
  <c r="F26" i="62586"/>
  <c r="G26" i="62586"/>
  <c r="H26" i="62586"/>
  <c r="I26" i="62586"/>
  <c r="J26" i="62586"/>
  <c r="K26" i="62586"/>
  <c r="L26" i="62586"/>
  <c r="M26" i="62586"/>
  <c r="N26" i="62586"/>
  <c r="N34" i="62586"/>
  <c r="N35" i="62586"/>
  <c r="F41" i="62586"/>
  <c r="G41" i="62586"/>
  <c r="H41" i="62586"/>
  <c r="I41" i="62586"/>
  <c r="J41" i="62586"/>
  <c r="K41" i="62586"/>
  <c r="L41" i="62586"/>
  <c r="M41" i="62586"/>
  <c r="N41" i="62586"/>
  <c r="P6" i="62587"/>
  <c r="Q6" i="62587"/>
  <c r="P7" i="62587"/>
  <c r="Q7" i="62587"/>
  <c r="P8" i="62587"/>
  <c r="Q8" i="62587" s="1"/>
  <c r="P9" i="62587"/>
  <c r="Q9" i="62587" s="1"/>
  <c r="P10" i="62587"/>
  <c r="Q10" i="62587" s="1"/>
  <c r="P11" i="62587"/>
  <c r="Q11" i="62587" s="1"/>
  <c r="P13" i="62587"/>
  <c r="Q13" i="62587"/>
  <c r="P14" i="62587"/>
  <c r="Q14" i="62587" s="1"/>
  <c r="P15" i="62587"/>
  <c r="Q15" i="62587"/>
  <c r="C7" i="62590"/>
  <c r="C74" i="62582"/>
  <c r="C23" i="62596"/>
  <c r="C20" i="62592"/>
  <c r="D127" i="101"/>
  <c r="C127" i="101" s="1"/>
  <c r="C384" i="62582"/>
  <c r="C226" i="62588"/>
  <c r="S271" i="62583" l="1"/>
  <c r="S264" i="62583"/>
  <c r="S268" i="62583"/>
  <c r="S262" i="62583"/>
  <c r="S272" i="62583"/>
  <c r="S274" i="62583"/>
  <c r="S265" i="62583"/>
  <c r="S263" i="62583"/>
  <c r="S273" i="62583"/>
  <c r="S266" i="62583"/>
  <c r="S267" i="62583"/>
  <c r="S269" i="62583"/>
  <c r="S270" i="62583"/>
  <c r="J271" i="62583"/>
  <c r="J265" i="62583"/>
  <c r="J262" i="62583"/>
  <c r="J272" i="62583"/>
  <c r="J268" i="62583"/>
  <c r="J263" i="62583"/>
  <c r="J273" i="62583"/>
  <c r="J264" i="62583"/>
  <c r="J274" i="62583"/>
  <c r="J267" i="62583"/>
  <c r="J270" i="62583"/>
  <c r="J266" i="62583"/>
  <c r="J269" i="62583"/>
  <c r="G206" i="4"/>
  <c r="K206" i="4"/>
  <c r="W206" i="4" s="1"/>
  <c r="X206" i="4" s="1"/>
  <c r="I206" i="4"/>
  <c r="J206" i="4" s="1"/>
  <c r="K133" i="4"/>
  <c r="I133" i="4"/>
  <c r="J133" i="4" s="1"/>
  <c r="G133" i="4"/>
  <c r="K205" i="4"/>
  <c r="W205" i="4" s="1"/>
  <c r="X205" i="4" s="1"/>
  <c r="I205" i="4"/>
  <c r="J205" i="4" s="1"/>
  <c r="G205" i="4"/>
  <c r="K204" i="4"/>
  <c r="W204" i="4" s="1"/>
  <c r="X204" i="4" s="1"/>
  <c r="I204" i="4"/>
  <c r="J204" i="4" s="1"/>
  <c r="G204" i="4"/>
  <c r="G94" i="152"/>
  <c r="G92" i="152"/>
  <c r="G90" i="152"/>
  <c r="G88" i="152"/>
  <c r="C15" i="62592"/>
  <c r="F94" i="152"/>
  <c r="F92" i="152"/>
  <c r="F90" i="152"/>
  <c r="F88" i="152"/>
  <c r="E94" i="152"/>
  <c r="E92" i="152"/>
  <c r="E90" i="152"/>
  <c r="E88" i="152"/>
  <c r="D94" i="152"/>
  <c r="D92" i="152"/>
  <c r="D90" i="152"/>
  <c r="D88" i="152"/>
  <c r="G93" i="152"/>
  <c r="G91" i="152"/>
  <c r="G89" i="152"/>
  <c r="F93" i="152"/>
  <c r="F91" i="152"/>
  <c r="F89" i="152"/>
  <c r="E93" i="152"/>
  <c r="E91" i="152"/>
  <c r="E89" i="152"/>
  <c r="D93" i="152"/>
  <c r="D91" i="152"/>
  <c r="D89" i="152"/>
  <c r="K160" i="4"/>
  <c r="W160" i="4" s="1"/>
  <c r="X160" i="4" s="1"/>
  <c r="I160" i="4"/>
  <c r="J160" i="4" s="1"/>
  <c r="G160" i="4"/>
  <c r="C92" i="62575"/>
  <c r="C89" i="62575"/>
  <c r="C110" i="62590"/>
  <c r="G152" i="4"/>
  <c r="K152" i="4"/>
  <c r="W152" i="4" s="1"/>
  <c r="X152" i="4" s="1"/>
  <c r="I152" i="4"/>
  <c r="J152" i="4" s="1"/>
  <c r="I157" i="4"/>
  <c r="J157" i="4" s="1"/>
  <c r="G157" i="4"/>
  <c r="K157" i="4"/>
  <c r="W157" i="4" s="1"/>
  <c r="X157" i="4" s="1"/>
  <c r="C17" i="4"/>
  <c r="I302" i="4"/>
  <c r="I295" i="4"/>
  <c r="I288" i="4"/>
  <c r="I300" i="4"/>
  <c r="I301" i="4"/>
  <c r="I287" i="4"/>
  <c r="I293" i="4"/>
  <c r="I298" i="4"/>
  <c r="I291" i="4"/>
  <c r="I285" i="4"/>
  <c r="I292" i="4"/>
  <c r="I297" i="4"/>
  <c r="I286" i="4"/>
  <c r="I290" i="4"/>
  <c r="I289" i="4"/>
  <c r="C175" i="62590"/>
  <c r="C172" i="62590"/>
  <c r="C171" i="62590"/>
  <c r="C182" i="62590"/>
  <c r="C181" i="62590"/>
  <c r="E409" i="4"/>
  <c r="C77" i="62593"/>
  <c r="E408" i="4"/>
  <c r="C95" i="62593"/>
  <c r="E410" i="4"/>
  <c r="K192" i="4"/>
  <c r="W192" i="4" s="1"/>
  <c r="X192" i="4" s="1"/>
  <c r="G192" i="4"/>
  <c r="I192" i="4"/>
  <c r="J192" i="4" s="1"/>
  <c r="C66" i="3079"/>
  <c r="C65" i="3079"/>
  <c r="C64" i="3079"/>
  <c r="K188" i="4"/>
  <c r="W188" i="4" s="1"/>
  <c r="X188" i="4" s="1"/>
  <c r="I188" i="4"/>
  <c r="J188" i="4" s="1"/>
  <c r="G188" i="4"/>
  <c r="G109" i="2"/>
  <c r="C16" i="4"/>
  <c r="D183" i="101"/>
  <c r="C183" i="101" s="1"/>
  <c r="D185" i="101"/>
  <c r="C185" i="101" s="1"/>
  <c r="D184" i="101"/>
  <c r="C184" i="101" s="1"/>
  <c r="D181" i="101"/>
  <c r="C181" i="101" s="1"/>
  <c r="D180" i="101"/>
  <c r="C180" i="101" s="1"/>
  <c r="D182" i="101"/>
  <c r="C182" i="101" s="1"/>
  <c r="D179" i="101"/>
  <c r="C179" i="101" s="1"/>
  <c r="W133" i="4"/>
  <c r="X133" i="4" s="1"/>
  <c r="C7" i="152"/>
  <c r="C9" i="62594" s="1"/>
  <c r="W282" i="4"/>
  <c r="X282" i="4" s="1"/>
  <c r="F204" i="4"/>
  <c r="F188" i="4"/>
  <c r="E157" i="4"/>
  <c r="C20" i="62584"/>
  <c r="E101" i="2"/>
  <c r="C183" i="62590"/>
  <c r="C63" i="62582"/>
  <c r="C99" i="2"/>
  <c r="I99" i="2" s="1"/>
  <c r="AA81" i="62591" a="1"/>
  <c r="Z74" i="62591" a="1"/>
  <c r="Z67" i="62591" a="1"/>
  <c r="Z67" i="62591" s="1"/>
  <c r="Z60" i="62591" a="1"/>
  <c r="Z33" i="62591" a="1"/>
  <c r="AA45" i="62591" a="1"/>
  <c r="AA45" i="62591" s="1"/>
  <c r="Z9" i="62591" a="1"/>
  <c r="Z9" i="62591" s="1"/>
  <c r="Z17" i="62591" a="1"/>
  <c r="Z17" i="62591" s="1"/>
  <c r="AA12" i="62591" a="1"/>
  <c r="AA12" i="62591" s="1"/>
  <c r="AA47" i="62591" a="1"/>
  <c r="AA47" i="62591" s="1"/>
  <c r="AA70" i="62591" a="1"/>
  <c r="AA70" i="62591" s="1"/>
  <c r="Z44" i="62591" a="1"/>
  <c r="AA39" i="62591" a="1"/>
  <c r="AA39" i="62591" s="1"/>
  <c r="AA59" i="62591" a="1"/>
  <c r="AA59" i="62591" s="1"/>
  <c r="Z56" i="62591" a="1"/>
  <c r="Z56" i="62591" s="1"/>
  <c r="Z45" i="62591" a="1"/>
  <c r="Z45" i="62591" s="1"/>
  <c r="AA20" i="62591" a="1"/>
  <c r="AA20" i="62591" s="1"/>
  <c r="Z76" i="62591" a="1"/>
  <c r="Z76" i="62591" s="1"/>
  <c r="AA72" i="62591" a="1"/>
  <c r="AA72" i="62591" s="1"/>
  <c r="Z73" i="62591" a="1"/>
  <c r="Z73" i="62591" s="1"/>
  <c r="Z25" i="62591" a="1"/>
  <c r="AA87" i="62591" a="1"/>
  <c r="AA87" i="62591" s="1"/>
  <c r="AA75" i="62591" a="1"/>
  <c r="AA75" i="62591" s="1"/>
  <c r="Z68" i="62591" a="1"/>
  <c r="Z68" i="62591" s="1"/>
  <c r="C103" i="267"/>
  <c r="B427" i="4" s="1"/>
  <c r="E427" i="4" s="1"/>
  <c r="F205" i="4"/>
  <c r="H205" i="4"/>
  <c r="E205" i="4"/>
  <c r="H203" i="4"/>
  <c r="E206" i="4"/>
  <c r="F206" i="4"/>
  <c r="C173" i="62590"/>
  <c r="F167" i="4"/>
  <c r="H206" i="4"/>
  <c r="F169" i="4"/>
  <c r="H168" i="4"/>
  <c r="C135" i="4"/>
  <c r="F201" i="4"/>
  <c r="C50" i="1445"/>
  <c r="C13" i="777"/>
  <c r="C11" i="62594"/>
  <c r="C91" i="2"/>
  <c r="D91" i="2" s="1"/>
  <c r="E83" i="2"/>
  <c r="G53" i="2"/>
  <c r="C42" i="1445"/>
  <c r="B447" i="4"/>
  <c r="Z43" i="62591" a="1"/>
  <c r="Z43" i="62591" s="1"/>
  <c r="AA29" i="62591" a="1"/>
  <c r="AA29" i="62591" s="1"/>
  <c r="Z23" i="62591" a="1"/>
  <c r="Z23" i="62591" s="1"/>
  <c r="Z12" i="62591" a="1"/>
  <c r="Z12" i="62591" s="1"/>
  <c r="AA38" i="62591" a="1"/>
  <c r="AA38" i="62591" s="1"/>
  <c r="Z21" i="62591" a="1"/>
  <c r="Z21" i="62591" s="1"/>
  <c r="AA84" i="62591" a="1"/>
  <c r="AA84" i="62591" s="1"/>
  <c r="E204" i="4"/>
  <c r="Z65" i="62591" a="1"/>
  <c r="Z65" i="62591" s="1"/>
  <c r="AA71" i="62591" a="1"/>
  <c r="AA71" i="62591" s="1"/>
  <c r="Z59" i="62591" a="1"/>
  <c r="Z59" i="62591" s="1"/>
  <c r="Z72" i="62591" a="1"/>
  <c r="Z72" i="62591" s="1"/>
  <c r="Z29" i="62591" a="1"/>
  <c r="Z29" i="62591" s="1"/>
  <c r="AA28" i="62591" a="1"/>
  <c r="AA28" i="62591" s="1"/>
  <c r="AA18" i="62591" a="1"/>
  <c r="AA18" i="62591" s="1"/>
  <c r="AA34" i="62591" a="1"/>
  <c r="AA34" i="62591" s="1"/>
  <c r="Z81" i="62591" a="1"/>
  <c r="Z81" i="62591" s="1"/>
  <c r="AA16" i="62591" a="1"/>
  <c r="AA16" i="62591" s="1"/>
  <c r="Z35" i="62591" a="1"/>
  <c r="Z35" i="62591" s="1"/>
  <c r="Z91" i="62591" a="1"/>
  <c r="Z91" i="62591" s="1"/>
  <c r="Z39" i="62591" a="1"/>
  <c r="Z39" i="62591" s="1"/>
  <c r="Z31" i="62591" a="1"/>
  <c r="Z31" i="62591" s="1"/>
  <c r="AA36" i="62591" a="1"/>
  <c r="AA36" i="62591" s="1"/>
  <c r="AA23" i="62591" a="1"/>
  <c r="AA23" i="62591" s="1"/>
  <c r="AA31" i="62591" a="1"/>
  <c r="AA31" i="62591" s="1"/>
  <c r="F282" i="62583"/>
  <c r="G282" i="62583" s="1"/>
  <c r="H202" i="4"/>
  <c r="AA68" i="62591" a="1"/>
  <c r="AA68" i="62591" s="1"/>
  <c r="Z69" i="62591" a="1"/>
  <c r="Z69" i="62591" s="1"/>
  <c r="AA57" i="62591" a="1"/>
  <c r="AA57" i="62591" s="1"/>
  <c r="AA73" i="62591" a="1"/>
  <c r="AA73" i="62591" s="1"/>
  <c r="AA66" i="62591" a="1"/>
  <c r="AA66" i="62591" s="1"/>
  <c r="Z63" i="62591" a="1"/>
  <c r="Z63" i="62591" s="1"/>
  <c r="Z58" i="62591" a="1"/>
  <c r="Z58" i="62591" s="1"/>
  <c r="J282" i="4"/>
  <c r="Z86" i="62591" a="1"/>
  <c r="Z86" i="62591" s="1"/>
  <c r="AA27" i="62591" a="1"/>
  <c r="AA27" i="62591" s="1"/>
  <c r="Z83" i="62591" a="1"/>
  <c r="Z83" i="62591" s="1"/>
  <c r="AA77" i="62591" a="1"/>
  <c r="AA77" i="62591" s="1"/>
  <c r="C58" i="62582"/>
  <c r="Z19" i="62591" a="1"/>
  <c r="Z19" i="62591" s="1"/>
  <c r="Z32" i="62591" a="1"/>
  <c r="Z32" i="62591" s="1"/>
  <c r="AA61" i="62591" a="1"/>
  <c r="AA61" i="62591" s="1"/>
  <c r="Z71" i="62591" a="1"/>
  <c r="Z88" i="62591" a="1"/>
  <c r="Z88" i="62591" s="1"/>
  <c r="AA37" i="62591" a="1"/>
  <c r="AA37" i="62591" s="1"/>
  <c r="AA86" i="62591" a="1"/>
  <c r="AA86" i="62591" s="1"/>
  <c r="Z40" i="62591" a="1"/>
  <c r="Z40" i="62591" s="1"/>
  <c r="AA17" i="62591" a="1"/>
  <c r="AA17" i="62591" s="1"/>
  <c r="Z85" i="62591" a="1"/>
  <c r="Z85" i="62591" s="1"/>
  <c r="H204" i="4"/>
  <c r="AA80" i="62591" a="1"/>
  <c r="AA80" i="62591" s="1"/>
  <c r="AA63" i="62591" a="1"/>
  <c r="AA63" i="62591" s="1"/>
  <c r="AA79" i="62591" a="1"/>
  <c r="AA78" i="62591" a="1"/>
  <c r="AA78" i="62591" s="1"/>
  <c r="Z75" i="62591" a="1"/>
  <c r="Z75" i="62591" s="1"/>
  <c r="Z64" i="62591" a="1"/>
  <c r="Z64" i="62591" s="1"/>
  <c r="Z80" i="62591" a="1"/>
  <c r="Z80" i="62591" s="1"/>
  <c r="C159" i="62588"/>
  <c r="Z87" i="62591" a="1"/>
  <c r="AA33" i="62591" a="1"/>
  <c r="AA33" i="62591" s="1"/>
  <c r="Z77" i="62591" a="1"/>
  <c r="Z77" i="62591" s="1"/>
  <c r="Z62" i="62591" a="1"/>
  <c r="Z62" i="62591" s="1"/>
  <c r="AA43" i="62591" a="1"/>
  <c r="AA43" i="62591" s="1"/>
  <c r="AA41" i="62591" a="1"/>
  <c r="AA41" i="62591" s="1"/>
  <c r="AA83" i="62591" a="1"/>
  <c r="AA83" i="62591" s="1"/>
  <c r="Z84" i="62591" a="1"/>
  <c r="Z84" i="62591" s="1"/>
  <c r="Z11" i="62591" a="1"/>
  <c r="Z11" i="62591" s="1"/>
  <c r="Z16" i="62591" a="1"/>
  <c r="Z16" i="62591" s="1"/>
  <c r="C104" i="2"/>
  <c r="D104" i="2" s="1"/>
  <c r="Z79" i="62591" a="1"/>
  <c r="Z79" i="62591" s="1"/>
  <c r="Z15" i="62591" a="1"/>
  <c r="Z15" i="62591" s="1"/>
  <c r="Z27" i="62591" a="1"/>
  <c r="Z27" i="62591" s="1"/>
  <c r="AA13" i="62591" a="1"/>
  <c r="AA13" i="62591" s="1"/>
  <c r="AA15" i="62591" a="1"/>
  <c r="AA15" i="62591" s="1"/>
  <c r="AA25" i="62591" a="1"/>
  <c r="AA40" i="62591" a="1"/>
  <c r="AA40" i="62591" s="1"/>
  <c r="AA21" i="62591" a="1"/>
  <c r="AA21" i="62591" s="1"/>
  <c r="Z20" i="62591" a="1"/>
  <c r="Z20" i="62591" s="1"/>
  <c r="Z18" i="62591" a="1"/>
  <c r="Z18" i="62591" s="1"/>
  <c r="Z48" i="62591" a="1"/>
  <c r="Z48" i="62591" s="1"/>
  <c r="Z13" i="62591" a="1"/>
  <c r="Z13" i="62591" s="1"/>
  <c r="AA85" i="62591" a="1"/>
  <c r="AA85" i="62591" s="1"/>
  <c r="AA52" i="62591" a="1"/>
  <c r="AA52" i="62591" s="1"/>
  <c r="Z53" i="62591" a="1"/>
  <c r="Z53" i="62591" s="1"/>
  <c r="AA49" i="62591" a="1"/>
  <c r="AA49" i="62591" s="1"/>
  <c r="AA65" i="62591" a="1"/>
  <c r="AA65" i="62591" s="1"/>
  <c r="AA50" i="62591" a="1"/>
  <c r="AA50" i="62591" s="1"/>
  <c r="Z49" i="62591" a="1"/>
  <c r="Z49" i="62591" s="1"/>
  <c r="Z50" i="62591" a="1"/>
  <c r="Z50" i="62591" s="1"/>
  <c r="Z66" i="62591" a="1"/>
  <c r="Z66" i="62591" s="1"/>
  <c r="Z47" i="62591" a="1"/>
  <c r="Z47" i="62591" s="1"/>
  <c r="AA76" i="62591" a="1"/>
  <c r="AA76" i="62591" s="1"/>
  <c r="Z24" i="62591" a="1"/>
  <c r="Z24" i="62591" s="1"/>
  <c r="AA9" i="62591" a="1"/>
  <c r="AA9" i="62591" s="1"/>
  <c r="AA11" i="62591" a="1"/>
  <c r="AA11" i="62591" s="1"/>
  <c r="AA35" i="62591" a="1"/>
  <c r="AA35" i="62591" s="1"/>
  <c r="Z34" i="62591" a="1"/>
  <c r="Z34" i="62591" s="1"/>
  <c r="Z28" i="62591" a="1"/>
  <c r="Z38" i="62591" a="1"/>
  <c r="Z38" i="62591" s="1"/>
  <c r="AA24" i="62591" a="1"/>
  <c r="AA24" i="62591" s="1"/>
  <c r="Z26" i="62591" a="1"/>
  <c r="Z26" i="62591" s="1"/>
  <c r="AA42" i="62591" a="1"/>
  <c r="AA42" i="62591" s="1"/>
  <c r="AA48" i="62591" a="1"/>
  <c r="AA48" i="62591" s="1"/>
  <c r="Z30" i="62591" a="1"/>
  <c r="Z30" i="62591" s="1"/>
  <c r="C27" i="62584"/>
  <c r="C42" i="152"/>
  <c r="AA56" i="62591" a="1"/>
  <c r="AA56" i="62591" s="1"/>
  <c r="Z57" i="62591" a="1"/>
  <c r="Z57" i="62591" s="1"/>
  <c r="AA51" i="62591" a="1"/>
  <c r="AA51" i="62591" s="1"/>
  <c r="AA67" i="62591" a="1"/>
  <c r="AA54" i="62591" a="1"/>
  <c r="AA54" i="62591" s="1"/>
  <c r="Z51" i="62591" a="1"/>
  <c r="Z51" i="62591" s="1"/>
  <c r="Z52" i="62591" a="1"/>
  <c r="C116" i="62582"/>
  <c r="Z41" i="62591" a="1"/>
  <c r="Z41" i="62591" s="1"/>
  <c r="AA74" i="62591" a="1"/>
  <c r="AA74" i="62591" s="1"/>
  <c r="Z78" i="62591" a="1"/>
  <c r="Z78" i="62591" s="1"/>
  <c r="Z10" i="62591" a="1"/>
  <c r="Z10" i="62591" s="1"/>
  <c r="Z22" i="62591" a="1"/>
  <c r="Z22" i="62591" s="1"/>
  <c r="AA46" i="62591" a="1"/>
  <c r="AA46" i="62591" s="1"/>
  <c r="Z42" i="62591" a="1"/>
  <c r="Z42" i="62591" s="1"/>
  <c r="AA88" i="62591" a="1"/>
  <c r="AA88" i="62591" s="1"/>
  <c r="Z46" i="62591" a="1"/>
  <c r="Z46" i="62591" s="1"/>
  <c r="Z82" i="62591" a="1"/>
  <c r="Z82" i="62591" s="1"/>
  <c r="AA10" i="62591" a="1"/>
  <c r="AA10" i="62591" s="1"/>
  <c r="AA82" i="62591" a="1"/>
  <c r="AA82" i="62591" s="1"/>
  <c r="AA14" i="62591" a="1"/>
  <c r="AA14" i="62591" s="1"/>
  <c r="AA26" i="62591" a="1"/>
  <c r="AA26" i="62591" s="1"/>
  <c r="Z14" i="62591" a="1"/>
  <c r="Z14" i="62591" s="1"/>
  <c r="C60" i="62582"/>
  <c r="C72" i="62582" s="1"/>
  <c r="AA60" i="62591" a="1"/>
  <c r="AA60" i="62591" s="1"/>
  <c r="Z61" i="62591" a="1"/>
  <c r="Z61" i="62591" s="1"/>
  <c r="AA53" i="62591" a="1"/>
  <c r="AA53" i="62591" s="1"/>
  <c r="AA69" i="62591" a="1"/>
  <c r="AA69" i="62591" s="1"/>
  <c r="AA58" i="62591" a="1"/>
  <c r="AA58" i="62591" s="1"/>
  <c r="Z55" i="62591" a="1"/>
  <c r="Z55" i="62591" s="1"/>
  <c r="Z54" i="62591" a="1"/>
  <c r="Z54" i="62591" s="1"/>
  <c r="Z70" i="62591" a="1"/>
  <c r="Z70" i="62591" s="1"/>
  <c r="AA19" i="62591" a="1"/>
  <c r="AA19" i="62591" s="1"/>
  <c r="AA44" i="62591" a="1"/>
  <c r="AA44" i="62591" s="1"/>
  <c r="AA32" i="62591" a="1"/>
  <c r="AA32" i="62591" s="1"/>
  <c r="AA30" i="62591" a="1"/>
  <c r="AA30" i="62591" s="1"/>
  <c r="AA22" i="62591" a="1"/>
  <c r="AA22" i="62591" s="1"/>
  <c r="Z37" i="62591" a="1"/>
  <c r="Z37" i="62591" s="1"/>
  <c r="Z36" i="62591" a="1"/>
  <c r="Z36" i="62591" s="1"/>
  <c r="AA64" i="62591" a="1"/>
  <c r="AA64" i="62591" s="1"/>
  <c r="AA55" i="62591" a="1"/>
  <c r="AA55" i="62591" s="1"/>
  <c r="AA62" i="62591" a="1"/>
  <c r="AA62" i="62591" s="1"/>
  <c r="H157" i="4"/>
  <c r="C156" i="4"/>
  <c r="C193" i="4"/>
  <c r="C101" i="2"/>
  <c r="D101" i="2" s="1"/>
  <c r="C37" i="62597"/>
  <c r="I81" i="2560"/>
  <c r="C78" i="62582" a="1"/>
  <c r="C27" i="62588" a="1"/>
  <c r="C36" i="62588" s="1"/>
  <c r="R357" i="4"/>
  <c r="I100" i="2"/>
  <c r="O357" i="4"/>
  <c r="C162" i="4"/>
  <c r="V357" i="4"/>
  <c r="C161" i="4"/>
  <c r="I101" i="2"/>
  <c r="C116" i="62590"/>
  <c r="B100" i="2"/>
  <c r="H100" i="2" s="1"/>
  <c r="N357" i="4"/>
  <c r="C132" i="4"/>
  <c r="C134" i="4"/>
  <c r="C97" i="267"/>
  <c r="B426" i="4" s="1"/>
  <c r="E426" i="4" s="1"/>
  <c r="C115" i="267"/>
  <c r="B429" i="4" s="1"/>
  <c r="E429" i="4" s="1"/>
  <c r="C50" i="152"/>
  <c r="C52" i="152" s="1"/>
  <c r="F157" i="4"/>
  <c r="C191" i="4"/>
  <c r="C40" i="1445"/>
  <c r="C249" i="62588"/>
  <c r="E192" i="4"/>
  <c r="C38" i="1445"/>
  <c r="Z28" i="62591"/>
  <c r="C5" i="62601"/>
  <c r="F281" i="62583"/>
  <c r="G281" i="62583" s="1"/>
  <c r="C187" i="4"/>
  <c r="C293" i="4"/>
  <c r="AA81" i="62591"/>
  <c r="Z60" i="62591"/>
  <c r="C290" i="4"/>
  <c r="Z33" i="62591"/>
  <c r="C5" i="4"/>
  <c r="G74" i="2"/>
  <c r="C4" i="4"/>
  <c r="I303" i="4" s="1"/>
  <c r="C70" i="2"/>
  <c r="D70" i="2" s="1"/>
  <c r="C32" i="62592"/>
  <c r="G55" i="2"/>
  <c r="I38" i="2"/>
  <c r="D94" i="101"/>
  <c r="C94" i="101" s="1"/>
  <c r="C8" i="62597"/>
  <c r="G61" i="2"/>
  <c r="C57" i="62582"/>
  <c r="C69" i="62582" s="1"/>
  <c r="C40" i="152"/>
  <c r="C39" i="152"/>
  <c r="C44" i="62592"/>
  <c r="G54" i="2"/>
  <c r="C13" i="4"/>
  <c r="G52" i="2"/>
  <c r="C26" i="152"/>
  <c r="C27" i="152"/>
  <c r="G51" i="2"/>
  <c r="C14" i="62597"/>
  <c r="G62" i="2"/>
  <c r="C32" i="62597"/>
  <c r="C33" i="62597" s="1"/>
  <c r="C117" i="62582"/>
  <c r="G59" i="2"/>
  <c r="C38" i="62597"/>
  <c r="C36" i="62597"/>
  <c r="C30" i="62597"/>
  <c r="C18" i="62597"/>
  <c r="D126" i="101"/>
  <c r="D93" i="101"/>
  <c r="G58" i="2"/>
  <c r="C7" i="62597"/>
  <c r="G60" i="2"/>
  <c r="C153" i="4"/>
  <c r="F152" i="4"/>
  <c r="C97" i="2"/>
  <c r="E160" i="4"/>
  <c r="F160" i="4"/>
  <c r="C68" i="62582"/>
  <c r="F192" i="4"/>
  <c r="H192" i="4"/>
  <c r="E152" i="4"/>
  <c r="H152" i="4"/>
  <c r="H160" i="4"/>
  <c r="Z52" i="62591"/>
  <c r="AA67" i="62591"/>
  <c r="Z71" i="62591"/>
  <c r="C45" i="62588"/>
  <c r="C46" i="62588"/>
  <c r="C237" i="62588" s="1"/>
  <c r="C44" i="62588"/>
  <c r="C43" i="62588"/>
  <c r="C186" i="4"/>
  <c r="C185" i="4"/>
  <c r="Z74" i="62591"/>
  <c r="AA79" i="62591"/>
  <c r="AA25" i="62591"/>
  <c r="Z87" i="62591"/>
  <c r="Z25" i="62591"/>
  <c r="Z44" i="62591"/>
  <c r="C8" i="152"/>
  <c r="C10" i="152" s="1"/>
  <c r="C6" i="4"/>
  <c r="B450" i="4"/>
  <c r="Q357" i="4"/>
  <c r="C33" i="62590"/>
  <c r="T357" i="4"/>
  <c r="U357" i="4"/>
  <c r="H450" i="4"/>
  <c r="F447" i="4"/>
  <c r="S357" i="4"/>
  <c r="C6" i="62590"/>
  <c r="P357" i="4"/>
  <c r="H188" i="4"/>
  <c r="E188" i="4"/>
  <c r="C105" i="2"/>
  <c r="G110" i="2"/>
  <c r="C286" i="4"/>
  <c r="C296" i="4"/>
  <c r="C68" i="62588"/>
  <c r="H8" i="2"/>
  <c r="C19" i="62597"/>
  <c r="C21" i="62597" s="1"/>
  <c r="C13" i="62597"/>
  <c r="C67" i="62588"/>
  <c r="C59" i="152"/>
  <c r="C74" i="62588"/>
  <c r="B47" i="62586" a="1"/>
  <c r="B54" i="62586" s="1"/>
  <c r="C73" i="62588"/>
  <c r="C71" i="62588"/>
  <c r="C66" i="62588"/>
  <c r="C11" i="1445"/>
  <c r="C36" i="62590" s="1"/>
  <c r="G96" i="2"/>
  <c r="C65" i="62588"/>
  <c r="C146" i="62588"/>
  <c r="C147" i="62588" s="1"/>
  <c r="C76" i="62588"/>
  <c r="C69" i="62588"/>
  <c r="C6" i="62594"/>
  <c r="H7" i="2"/>
  <c r="C75" i="62588"/>
  <c r="C70" i="62588"/>
  <c r="E133" i="4"/>
  <c r="F133" i="4"/>
  <c r="H133" i="4"/>
  <c r="C23" i="62592"/>
  <c r="D69" i="101"/>
  <c r="C69" i="101" s="1"/>
  <c r="D70" i="101"/>
  <c r="C70" i="101" s="1"/>
  <c r="D68" i="101"/>
  <c r="C68" i="101" s="1"/>
  <c r="D67" i="101"/>
  <c r="C67" i="101" s="1"/>
  <c r="C57" i="152"/>
  <c r="E36" i="4"/>
  <c r="G36" i="4"/>
  <c r="H6" i="2"/>
  <c r="C5" i="62594"/>
  <c r="C92" i="62582"/>
  <c r="C41" i="152"/>
  <c r="K290" i="4" l="1"/>
  <c r="K296" i="4"/>
  <c r="K134" i="4"/>
  <c r="W134" i="4" s="1"/>
  <c r="X134" i="4" s="1"/>
  <c r="I134" i="4"/>
  <c r="J134" i="4" s="1"/>
  <c r="G134" i="4"/>
  <c r="K286" i="4"/>
  <c r="W286" i="4" s="1"/>
  <c r="I132" i="4"/>
  <c r="J132" i="4" s="1"/>
  <c r="K132" i="4"/>
  <c r="W132" i="4" s="1"/>
  <c r="X132" i="4" s="1"/>
  <c r="G132" i="4"/>
  <c r="G135" i="4"/>
  <c r="I135" i="4"/>
  <c r="J135" i="4" s="1"/>
  <c r="K135" i="4"/>
  <c r="W135" i="4" s="1"/>
  <c r="X135" i="4" s="1"/>
  <c r="I296" i="4"/>
  <c r="J296" i="4" s="1"/>
  <c r="G162" i="4"/>
  <c r="K162" i="4"/>
  <c r="W162" i="4" s="1"/>
  <c r="X162" i="4" s="1"/>
  <c r="I162" i="4"/>
  <c r="J162" i="4" s="1"/>
  <c r="I193" i="4"/>
  <c r="J193" i="4" s="1"/>
  <c r="G193" i="4"/>
  <c r="K193" i="4"/>
  <c r="W193" i="4" s="1"/>
  <c r="X193" i="4" s="1"/>
  <c r="G186" i="4"/>
  <c r="K186" i="4"/>
  <c r="W186" i="4" s="1"/>
  <c r="X186" i="4" s="1"/>
  <c r="I186" i="4"/>
  <c r="J186" i="4" s="1"/>
  <c r="K293" i="4"/>
  <c r="W293" i="4" s="1"/>
  <c r="I156" i="4"/>
  <c r="J156" i="4" s="1"/>
  <c r="K156" i="4"/>
  <c r="W156" i="4" s="1"/>
  <c r="X156" i="4" s="1"/>
  <c r="G156" i="4"/>
  <c r="K185" i="4"/>
  <c r="W185" i="4" s="1"/>
  <c r="X185" i="4" s="1"/>
  <c r="I185" i="4"/>
  <c r="J185" i="4" s="1"/>
  <c r="G185" i="4"/>
  <c r="I153" i="4"/>
  <c r="J153" i="4" s="1"/>
  <c r="G153" i="4"/>
  <c r="K153" i="4"/>
  <c r="W153" i="4" s="1"/>
  <c r="X153" i="4" s="1"/>
  <c r="K357" i="4"/>
  <c r="W357" i="4" s="1"/>
  <c r="X357" i="4" s="1"/>
  <c r="K348" i="4"/>
  <c r="W348" i="4" s="1"/>
  <c r="K47" i="4"/>
  <c r="W47" i="4" s="1"/>
  <c r="K187" i="4"/>
  <c r="W187" i="4" s="1"/>
  <c r="X187" i="4" s="1"/>
  <c r="I187" i="4"/>
  <c r="J187" i="4" s="1"/>
  <c r="G187" i="4"/>
  <c r="K191" i="4"/>
  <c r="W191" i="4" s="1"/>
  <c r="X191" i="4" s="1"/>
  <c r="I191" i="4"/>
  <c r="J191" i="4" s="1"/>
  <c r="G191" i="4"/>
  <c r="K161" i="4"/>
  <c r="W161" i="4" s="1"/>
  <c r="X161" i="4" s="1"/>
  <c r="I161" i="4"/>
  <c r="J161" i="4" s="1"/>
  <c r="G161" i="4"/>
  <c r="W290" i="4"/>
  <c r="C178" i="101"/>
  <c r="W296" i="4"/>
  <c r="E93" i="101"/>
  <c r="C93" i="101"/>
  <c r="E126" i="101"/>
  <c r="C126" i="101"/>
  <c r="C61" i="62582"/>
  <c r="C73" i="62582" s="1"/>
  <c r="C99" i="62582" s="1"/>
  <c r="C10" i="62594"/>
  <c r="C9" i="152"/>
  <c r="C65" i="152" s="1"/>
  <c r="D161" i="101" s="1"/>
  <c r="C161" i="101" s="1"/>
  <c r="H156" i="4"/>
  <c r="F153" i="4"/>
  <c r="E135" i="4"/>
  <c r="D99" i="2"/>
  <c r="AB13" i="62591"/>
  <c r="AC9" i="62591"/>
  <c r="AC16" i="62591"/>
  <c r="AB15" i="62591"/>
  <c r="AB16" i="62591"/>
  <c r="AB11" i="62591"/>
  <c r="AB14" i="62591"/>
  <c r="AC10" i="62591"/>
  <c r="AC11" i="62591"/>
  <c r="AB9" i="62591"/>
  <c r="AC15" i="62591"/>
  <c r="AB10" i="62591"/>
  <c r="AC13" i="62591"/>
  <c r="AC12" i="62591"/>
  <c r="AC14" i="62591"/>
  <c r="AB12" i="62591"/>
  <c r="F135" i="4"/>
  <c r="H135" i="4"/>
  <c r="C51" i="152"/>
  <c r="C58" i="152"/>
  <c r="C24" i="62593" s="1"/>
  <c r="C119" i="62582"/>
  <c r="C122" i="62582" s="1"/>
  <c r="C123" i="62582" s="1"/>
  <c r="H161" i="4"/>
  <c r="F193" i="4"/>
  <c r="E156" i="4"/>
  <c r="J293" i="4"/>
  <c r="C59" i="62582"/>
  <c r="C70" i="62582" s="1"/>
  <c r="C101" i="62582"/>
  <c r="C102" i="62582" s="1"/>
  <c r="C39" i="62597"/>
  <c r="C40" i="62597" s="1"/>
  <c r="H193" i="4"/>
  <c r="E193" i="4"/>
  <c r="C35" i="62588"/>
  <c r="F156" i="4"/>
  <c r="C28" i="62588"/>
  <c r="C34" i="62588"/>
  <c r="C39" i="62588"/>
  <c r="C32" i="62588"/>
  <c r="C38" i="62588"/>
  <c r="C29" i="62588"/>
  <c r="E162" i="4"/>
  <c r="H162" i="4"/>
  <c r="F162" i="4"/>
  <c r="C30" i="62588"/>
  <c r="C87" i="62582"/>
  <c r="C81" i="62582"/>
  <c r="C82" i="62582"/>
  <c r="C88" i="62582"/>
  <c r="C84" i="62582"/>
  <c r="C90" i="62582"/>
  <c r="C78" i="62582"/>
  <c r="C85" i="62582"/>
  <c r="C86" i="62582"/>
  <c r="C89" i="62582"/>
  <c r="C79" i="62582"/>
  <c r="C83" i="62582"/>
  <c r="C80" i="62582"/>
  <c r="C33" i="62588"/>
  <c r="C27" i="62588"/>
  <c r="E161" i="4"/>
  <c r="F161" i="4"/>
  <c r="C37" i="62588"/>
  <c r="C31" i="62588"/>
  <c r="F132" i="4"/>
  <c r="E132" i="4"/>
  <c r="H132" i="4"/>
  <c r="J286" i="4"/>
  <c r="H134" i="4"/>
  <c r="E134" i="4"/>
  <c r="F134" i="4"/>
  <c r="F191" i="4"/>
  <c r="E191" i="4"/>
  <c r="H191" i="4"/>
  <c r="C134" i="62588"/>
  <c r="K280" i="4"/>
  <c r="W280" i="4" s="1"/>
  <c r="K281" i="4"/>
  <c r="W281" i="4" s="1"/>
  <c r="J290" i="4"/>
  <c r="E187" i="4"/>
  <c r="F187" i="4"/>
  <c r="H187" i="4"/>
  <c r="C300" i="4"/>
  <c r="K300" i="4" s="1"/>
  <c r="D384" i="4"/>
  <c r="C31" i="62593"/>
  <c r="D374" i="4"/>
  <c r="D388" i="4"/>
  <c r="C485" i="4" s="1"/>
  <c r="C487" i="4" s="1"/>
  <c r="C155" i="4"/>
  <c r="C154" i="4"/>
  <c r="C9" i="62597"/>
  <c r="C27" i="62597"/>
  <c r="C43" i="152"/>
  <c r="C44" i="152" s="1"/>
  <c r="C184" i="4"/>
  <c r="C183" i="4"/>
  <c r="C121" i="62582"/>
  <c r="C125" i="62582" s="1"/>
  <c r="C118" i="62582"/>
  <c r="C15" i="62597"/>
  <c r="E153" i="4"/>
  <c r="H153" i="4"/>
  <c r="D105" i="2"/>
  <c r="D111" i="2"/>
  <c r="C111" i="2"/>
  <c r="F185" i="4"/>
  <c r="E185" i="4"/>
  <c r="H185" i="4"/>
  <c r="C20" i="62590"/>
  <c r="C100" i="2"/>
  <c r="F450" i="4"/>
  <c r="H186" i="4"/>
  <c r="E186" i="4"/>
  <c r="F186" i="4"/>
  <c r="D97" i="2"/>
  <c r="G97" i="2" s="1"/>
  <c r="B48" i="62586"/>
  <c r="B47" i="62586"/>
  <c r="B53" i="62586"/>
  <c r="B55" i="62586"/>
  <c r="C225" i="4"/>
  <c r="C30" i="62592"/>
  <c r="C43" i="62592"/>
  <c r="B52" i="62586"/>
  <c r="B49" i="62586"/>
  <c r="B51" i="62586"/>
  <c r="B50" i="62586"/>
  <c r="D120" i="101"/>
  <c r="D88" i="101"/>
  <c r="D87" i="101"/>
  <c r="D119" i="101"/>
  <c r="D121" i="101"/>
  <c r="D86" i="101"/>
  <c r="I81" i="2"/>
  <c r="C81" i="2"/>
  <c r="D81" i="2" s="1"/>
  <c r="D98" i="101"/>
  <c r="C98" i="101" s="1"/>
  <c r="D143" i="101"/>
  <c r="C143" i="101" s="1"/>
  <c r="D131" i="101"/>
  <c r="C131" i="101" s="1"/>
  <c r="D144" i="101"/>
  <c r="C144" i="101" s="1"/>
  <c r="D97" i="101"/>
  <c r="C97" i="101" s="1"/>
  <c r="D99" i="101"/>
  <c r="C99" i="101" s="1"/>
  <c r="D132" i="101"/>
  <c r="C132" i="101" s="1"/>
  <c r="D145" i="101"/>
  <c r="C145" i="101" s="1"/>
  <c r="D130" i="101"/>
  <c r="C130" i="101" s="1"/>
  <c r="C93" i="62582"/>
  <c r="C42" i="62588"/>
  <c r="C53" i="152"/>
  <c r="C28" i="152"/>
  <c r="H17" i="2" l="1"/>
  <c r="J126" i="101"/>
  <c r="Q126" i="101"/>
  <c r="I126" i="101"/>
  <c r="P126" i="101"/>
  <c r="H126" i="101"/>
  <c r="O126" i="101"/>
  <c r="G126" i="101"/>
  <c r="N126" i="101"/>
  <c r="F126" i="101"/>
  <c r="M126" i="101"/>
  <c r="L126" i="101"/>
  <c r="K126" i="101"/>
  <c r="J93" i="101"/>
  <c r="Q93" i="101"/>
  <c r="I93" i="101"/>
  <c r="P93" i="101"/>
  <c r="H93" i="101"/>
  <c r="O93" i="101"/>
  <c r="G93" i="101"/>
  <c r="N93" i="101"/>
  <c r="F93" i="101"/>
  <c r="M93" i="101"/>
  <c r="L93" i="101"/>
  <c r="K93" i="101"/>
  <c r="E84" i="152"/>
  <c r="E82" i="152"/>
  <c r="E80" i="152"/>
  <c r="D84" i="152"/>
  <c r="D82" i="152"/>
  <c r="D80" i="152"/>
  <c r="G85" i="152"/>
  <c r="G83" i="152"/>
  <c r="G81" i="152"/>
  <c r="G79" i="152"/>
  <c r="F85" i="152"/>
  <c r="F83" i="152"/>
  <c r="F81" i="152"/>
  <c r="F79" i="152"/>
  <c r="E85" i="152"/>
  <c r="E83" i="152"/>
  <c r="E81" i="152"/>
  <c r="E79" i="152"/>
  <c r="D85" i="152"/>
  <c r="D83" i="152"/>
  <c r="D81" i="152"/>
  <c r="D79" i="152"/>
  <c r="C14" i="62592"/>
  <c r="D84" i="101" s="1"/>
  <c r="G84" i="152"/>
  <c r="G82" i="152"/>
  <c r="G80" i="152"/>
  <c r="F84" i="152"/>
  <c r="F82" i="152"/>
  <c r="F80" i="152"/>
  <c r="K155" i="4"/>
  <c r="W155" i="4" s="1"/>
  <c r="X155" i="4" s="1"/>
  <c r="I155" i="4"/>
  <c r="J155" i="4" s="1"/>
  <c r="G155" i="4"/>
  <c r="K184" i="4"/>
  <c r="W184" i="4" s="1"/>
  <c r="X184" i="4" s="1"/>
  <c r="I184" i="4"/>
  <c r="J184" i="4" s="1"/>
  <c r="G184" i="4"/>
  <c r="I183" i="4"/>
  <c r="J183" i="4" s="1"/>
  <c r="G183" i="4"/>
  <c r="K183" i="4"/>
  <c r="W183" i="4" s="1"/>
  <c r="X183" i="4" s="1"/>
  <c r="K154" i="4"/>
  <c r="W154" i="4" s="1"/>
  <c r="X154" i="4" s="1"/>
  <c r="I154" i="4"/>
  <c r="J154" i="4" s="1"/>
  <c r="G154" i="4"/>
  <c r="D175" i="101"/>
  <c r="C175" i="101" s="1"/>
  <c r="D177" i="101"/>
  <c r="C177" i="101" s="1"/>
  <c r="D176" i="101"/>
  <c r="C176" i="101" s="1"/>
  <c r="D174" i="101"/>
  <c r="C174" i="101" s="1"/>
  <c r="D173" i="101"/>
  <c r="C173" i="101" s="1"/>
  <c r="D172" i="101"/>
  <c r="C172" i="101" s="1"/>
  <c r="D171" i="101"/>
  <c r="C171" i="101" s="1"/>
  <c r="K225" i="4"/>
  <c r="W225" i="4" s="1"/>
  <c r="X225" i="4" s="1"/>
  <c r="C63" i="152"/>
  <c r="C66" i="152"/>
  <c r="C28" i="62593" s="1"/>
  <c r="G75" i="2"/>
  <c r="C64" i="152"/>
  <c r="C83" i="1445" s="1"/>
  <c r="C84" i="1445" s="1"/>
  <c r="C85" i="1445" s="1"/>
  <c r="C432" i="4" s="1"/>
  <c r="E432" i="4" s="1"/>
  <c r="W300" i="4"/>
  <c r="C46" i="152"/>
  <c r="C45" i="152"/>
  <c r="C47" i="152"/>
  <c r="C42" i="62592" s="1"/>
  <c r="C179" i="4" s="1"/>
  <c r="C15" i="152"/>
  <c r="H21" i="2"/>
  <c r="H19" i="2"/>
  <c r="H24" i="2"/>
  <c r="H22" i="2"/>
  <c r="H23" i="2"/>
  <c r="H18" i="2"/>
  <c r="H25" i="2"/>
  <c r="H20" i="2"/>
  <c r="C55" i="152"/>
  <c r="C120" i="62582"/>
  <c r="C376" i="62582"/>
  <c r="C377" i="62582" s="1"/>
  <c r="X286" i="4"/>
  <c r="X296" i="4"/>
  <c r="X293" i="4"/>
  <c r="C96" i="62582"/>
  <c r="C97" i="62582" s="1"/>
  <c r="C104" i="62582" s="1"/>
  <c r="C103" i="62582"/>
  <c r="C160" i="62588"/>
  <c r="C161" i="62588"/>
  <c r="C47" i="62588"/>
  <c r="C49" i="62588" s="1"/>
  <c r="C51" i="62588" s="1"/>
  <c r="C151" i="62588"/>
  <c r="C136" i="62588"/>
  <c r="C173" i="62588"/>
  <c r="C168" i="62588"/>
  <c r="C135" i="62588"/>
  <c r="X290" i="4"/>
  <c r="J300" i="4"/>
  <c r="E154" i="4"/>
  <c r="F154" i="4"/>
  <c r="H154" i="4"/>
  <c r="H155" i="4"/>
  <c r="E155" i="4"/>
  <c r="F155" i="4"/>
  <c r="C42" i="62597"/>
  <c r="C64" i="2" s="1"/>
  <c r="E183" i="4"/>
  <c r="H183" i="4"/>
  <c r="F183" i="4"/>
  <c r="E184" i="4"/>
  <c r="H184" i="4"/>
  <c r="F184" i="4"/>
  <c r="D100" i="2"/>
  <c r="D102" i="2" s="1"/>
  <c r="C102" i="2"/>
  <c r="G111" i="2"/>
  <c r="D6" i="62583"/>
  <c r="D9" i="62583" s="1"/>
  <c r="C13" i="267" s="1"/>
  <c r="C182" i="4"/>
  <c r="C181" i="4"/>
  <c r="C151" i="4"/>
  <c r="C150" i="4"/>
  <c r="H225" i="4"/>
  <c r="F225" i="4"/>
  <c r="I225" i="4"/>
  <c r="J225" i="4" s="1"/>
  <c r="E225" i="4"/>
  <c r="G225" i="4"/>
  <c r="E130" i="101"/>
  <c r="E132" i="101"/>
  <c r="E119" i="101"/>
  <c r="E86" i="101"/>
  <c r="E97" i="101"/>
  <c r="E121" i="101"/>
  <c r="N121" i="101" l="1"/>
  <c r="F121" i="101"/>
  <c r="M121" i="101"/>
  <c r="L121" i="101"/>
  <c r="K121" i="101"/>
  <c r="J121" i="101"/>
  <c r="Q121" i="101"/>
  <c r="I121" i="101"/>
  <c r="P121" i="101"/>
  <c r="H121" i="101"/>
  <c r="O121" i="101"/>
  <c r="G121" i="101"/>
  <c r="N86" i="101"/>
  <c r="F86" i="101"/>
  <c r="M86" i="101"/>
  <c r="L86" i="101"/>
  <c r="K86" i="101"/>
  <c r="J86" i="101"/>
  <c r="Q86" i="101"/>
  <c r="I86" i="101"/>
  <c r="P86" i="101"/>
  <c r="H86" i="101"/>
  <c r="O86" i="101"/>
  <c r="G86" i="101"/>
  <c r="N119" i="101"/>
  <c r="F119" i="101"/>
  <c r="M119" i="101"/>
  <c r="L119" i="101"/>
  <c r="K119" i="101"/>
  <c r="J119" i="101"/>
  <c r="Q119" i="101"/>
  <c r="I119" i="101"/>
  <c r="P119" i="101"/>
  <c r="H119" i="101"/>
  <c r="O119" i="101"/>
  <c r="G119" i="101"/>
  <c r="C23" i="62593"/>
  <c r="C25" i="62593" s="1"/>
  <c r="N97" i="101"/>
  <c r="F97" i="101"/>
  <c r="K97" i="101"/>
  <c r="M97" i="101"/>
  <c r="L97" i="101"/>
  <c r="J97" i="101"/>
  <c r="Q97" i="101"/>
  <c r="I97" i="101"/>
  <c r="P97" i="101"/>
  <c r="H97" i="101"/>
  <c r="O97" i="101"/>
  <c r="G97" i="101"/>
  <c r="N130" i="101"/>
  <c r="F130" i="101"/>
  <c r="M130" i="101"/>
  <c r="L130" i="101"/>
  <c r="J130" i="101"/>
  <c r="Q130" i="101"/>
  <c r="I130" i="101"/>
  <c r="K130" i="101"/>
  <c r="P130" i="101"/>
  <c r="H130" i="101"/>
  <c r="O130" i="101"/>
  <c r="G130" i="101"/>
  <c r="K179" i="4"/>
  <c r="W179" i="4" s="1"/>
  <c r="X179" i="4" s="1"/>
  <c r="I179" i="4"/>
  <c r="J179" i="4" s="1"/>
  <c r="G179" i="4"/>
  <c r="K150" i="4"/>
  <c r="W150" i="4" s="1"/>
  <c r="X150" i="4" s="1"/>
  <c r="I150" i="4"/>
  <c r="J150" i="4" s="1"/>
  <c r="G150" i="4"/>
  <c r="N132" i="101"/>
  <c r="F132" i="101"/>
  <c r="M132" i="101"/>
  <c r="L132" i="101"/>
  <c r="J132" i="101"/>
  <c r="K132" i="101"/>
  <c r="Q132" i="101"/>
  <c r="I132" i="101"/>
  <c r="P132" i="101"/>
  <c r="H132" i="101"/>
  <c r="O132" i="101"/>
  <c r="G132" i="101"/>
  <c r="K151" i="4"/>
  <c r="W151" i="4" s="1"/>
  <c r="X151" i="4" s="1"/>
  <c r="I151" i="4"/>
  <c r="J151" i="4" s="1"/>
  <c r="G151" i="4"/>
  <c r="K181" i="4"/>
  <c r="W181" i="4" s="1"/>
  <c r="X181" i="4" s="1"/>
  <c r="I181" i="4"/>
  <c r="J181" i="4" s="1"/>
  <c r="G181" i="4"/>
  <c r="I182" i="4"/>
  <c r="J182" i="4" s="1"/>
  <c r="K182" i="4"/>
  <c r="W182" i="4" s="1"/>
  <c r="X182" i="4" s="1"/>
  <c r="G182" i="4"/>
  <c r="I222" i="4"/>
  <c r="G222" i="4"/>
  <c r="C170" i="101"/>
  <c r="K224" i="4"/>
  <c r="W224" i="4" s="1"/>
  <c r="C58" i="62601"/>
  <c r="C59" i="62601" s="1"/>
  <c r="C222" i="4"/>
  <c r="F432" i="4"/>
  <c r="G432" i="4"/>
  <c r="H432" i="4"/>
  <c r="X300" i="4"/>
  <c r="D85" i="101"/>
  <c r="D83" i="101"/>
  <c r="D117" i="101"/>
  <c r="D116" i="101"/>
  <c r="F179" i="4"/>
  <c r="H179" i="4"/>
  <c r="E179" i="4"/>
  <c r="C180" i="4"/>
  <c r="C29" i="62592"/>
  <c r="C148" i="4" s="1"/>
  <c r="C224" i="4"/>
  <c r="H224" i="4" s="1"/>
  <c r="D118" i="101"/>
  <c r="G43" i="2"/>
  <c r="C14" i="152"/>
  <c r="C6" i="62593" s="1"/>
  <c r="C7" i="62593" s="1"/>
  <c r="C13" i="152"/>
  <c r="C14" i="1445" s="1"/>
  <c r="C423" i="4" s="1"/>
  <c r="H423" i="4" s="1"/>
  <c r="C12" i="152"/>
  <c r="C15" i="3079" s="1"/>
  <c r="C10" i="4"/>
  <c r="C121" i="62596"/>
  <c r="G47" i="2"/>
  <c r="C48" i="62588"/>
  <c r="C50" i="62588" s="1"/>
  <c r="D64" i="2"/>
  <c r="G64" i="2" s="1"/>
  <c r="G102" i="2"/>
  <c r="C106" i="62582"/>
  <c r="C105" i="62582"/>
  <c r="D20" i="62583"/>
  <c r="D26" i="62583"/>
  <c r="D11" i="62583"/>
  <c r="D12" i="62583"/>
  <c r="D7" i="62583"/>
  <c r="D37" i="62583"/>
  <c r="C90" i="2" s="1"/>
  <c r="D8" i="62583"/>
  <c r="C65" i="62593" s="1"/>
  <c r="D17" i="62583"/>
  <c r="D13" i="62583"/>
  <c r="D10" i="62583"/>
  <c r="G82" i="2" s="1"/>
  <c r="F283" i="62583"/>
  <c r="G283" i="62583" s="1"/>
  <c r="E290" i="62583" s="1"/>
  <c r="D15" i="62583"/>
  <c r="D33" i="62583"/>
  <c r="D38" i="62583"/>
  <c r="C71" i="2" s="1"/>
  <c r="C76" i="2" s="1"/>
  <c r="D18" i="62583"/>
  <c r="D24" i="62583"/>
  <c r="D39" i="62583"/>
  <c r="C48" i="62594" s="1"/>
  <c r="D36" i="62583"/>
  <c r="C78" i="2" s="1"/>
  <c r="D78" i="2" s="1"/>
  <c r="D21" i="62583"/>
  <c r="D35" i="62583"/>
  <c r="C347" i="62582" s="1"/>
  <c r="D32" i="62583"/>
  <c r="D16" i="62583"/>
  <c r="D14" i="62583"/>
  <c r="D27" i="62583"/>
  <c r="D28" i="62583" s="1"/>
  <c r="D22" i="62583"/>
  <c r="D19" i="62583"/>
  <c r="D40" i="62583"/>
  <c r="C54" i="62594" s="1"/>
  <c r="D25" i="62583"/>
  <c r="D34" i="62583"/>
  <c r="C45" i="62594" s="1"/>
  <c r="D23" i="62583"/>
  <c r="H150" i="4"/>
  <c r="F150" i="4"/>
  <c r="E150" i="4"/>
  <c r="E181" i="4"/>
  <c r="H181" i="4"/>
  <c r="F181" i="4"/>
  <c r="C15" i="62594"/>
  <c r="H151" i="4"/>
  <c r="E151" i="4"/>
  <c r="F151" i="4"/>
  <c r="H182" i="4"/>
  <c r="E182" i="4"/>
  <c r="F182" i="4"/>
  <c r="C73" i="777" l="1"/>
  <c r="I148" i="4"/>
  <c r="K148" i="4"/>
  <c r="W148" i="4" s="1"/>
  <c r="G148" i="4"/>
  <c r="K180" i="4"/>
  <c r="W180" i="4" s="1"/>
  <c r="X180" i="4" s="1"/>
  <c r="I180" i="4"/>
  <c r="J180" i="4" s="1"/>
  <c r="G180" i="4"/>
  <c r="G115" i="4"/>
  <c r="G117" i="4"/>
  <c r="G116" i="4"/>
  <c r="G114" i="4"/>
  <c r="G113" i="4"/>
  <c r="C50" i="777"/>
  <c r="C51" i="777"/>
  <c r="E222" i="4"/>
  <c r="K222" i="4"/>
  <c r="W222" i="4" s="1"/>
  <c r="X222" i="4" s="1"/>
  <c r="C121" i="101"/>
  <c r="E118" i="101"/>
  <c r="E83" i="101"/>
  <c r="E116" i="101"/>
  <c r="F222" i="4"/>
  <c r="H222" i="4"/>
  <c r="J222" i="4"/>
  <c r="C7" i="1445" s="1"/>
  <c r="G418" i="4" s="1"/>
  <c r="H418" i="4" s="1"/>
  <c r="E148" i="4"/>
  <c r="C26" i="777"/>
  <c r="G224" i="4"/>
  <c r="C149" i="4"/>
  <c r="E180" i="4"/>
  <c r="H148" i="4"/>
  <c r="F180" i="4"/>
  <c r="E224" i="4"/>
  <c r="H180" i="4"/>
  <c r="F148" i="4"/>
  <c r="F224" i="4"/>
  <c r="C15" i="1445"/>
  <c r="C424" i="4" s="1"/>
  <c r="H424" i="4" s="1"/>
  <c r="C78" i="1445"/>
  <c r="C79" i="1445" s="1"/>
  <c r="C76" i="1445"/>
  <c r="C77" i="1445" s="1"/>
  <c r="C29" i="152"/>
  <c r="C30" i="152" s="1"/>
  <c r="C43" i="3079"/>
  <c r="C44" i="3079" s="1"/>
  <c r="C52" i="3079" s="1"/>
  <c r="C53" i="3079" s="1"/>
  <c r="C54" i="3079" s="1"/>
  <c r="C32" i="3079"/>
  <c r="C33" i="3079"/>
  <c r="C15" i="4"/>
  <c r="G44" i="2"/>
  <c r="D90" i="2"/>
  <c r="D93" i="2" s="1"/>
  <c r="C56" i="62588"/>
  <c r="C182" i="62588"/>
  <c r="C180" i="62588"/>
  <c r="C181" i="62588"/>
  <c r="C55" i="62588"/>
  <c r="C54" i="62588"/>
  <c r="C107" i="62582"/>
  <c r="C93" i="2"/>
  <c r="D29" i="62583"/>
  <c r="I80" i="2" s="1"/>
  <c r="C48" i="777"/>
  <c r="C22" i="62594"/>
  <c r="C32" i="62594"/>
  <c r="C33" i="62594" s="1"/>
  <c r="C10" i="62590" s="1"/>
  <c r="E289" i="62583"/>
  <c r="C3" i="4"/>
  <c r="C368" i="4" s="1"/>
  <c r="D74" i="62583"/>
  <c r="C59" i="62594"/>
  <c r="C18" i="62594"/>
  <c r="C19" i="62594" s="1"/>
  <c r="C20" i="62594" s="1"/>
  <c r="C40" i="62590"/>
  <c r="C363" i="62582"/>
  <c r="C364" i="62582" s="1"/>
  <c r="D43" i="62583" a="1"/>
  <c r="D49" i="62583" s="1"/>
  <c r="C112" i="62594"/>
  <c r="C113" i="62594" s="1"/>
  <c r="C114" i="62594" s="1"/>
  <c r="C359" i="62582"/>
  <c r="C12" i="62594"/>
  <c r="C13" i="62594"/>
  <c r="C29" i="777"/>
  <c r="C346" i="62582"/>
  <c r="D71" i="2"/>
  <c r="D76" i="2" s="1"/>
  <c r="G76" i="2" s="1"/>
  <c r="C21" i="62594"/>
  <c r="C21" i="267"/>
  <c r="C41" i="62590"/>
  <c r="C47" i="777"/>
  <c r="C28" i="3079"/>
  <c r="C21" i="3079"/>
  <c r="C23" i="3079" s="1"/>
  <c r="C49" i="3079" s="1"/>
  <c r="C22" i="3079"/>
  <c r="C67" i="3079" s="1"/>
  <c r="D54" i="101"/>
  <c r="E117" i="4"/>
  <c r="E114" i="4"/>
  <c r="E115" i="4"/>
  <c r="D56" i="101"/>
  <c r="E113" i="4"/>
  <c r="D52" i="101"/>
  <c r="C53" i="62592"/>
  <c r="D55" i="101"/>
  <c r="C9" i="62592"/>
  <c r="E116" i="4"/>
  <c r="D53" i="101"/>
  <c r="I35" i="4" l="1"/>
  <c r="C31" i="152"/>
  <c r="G76" i="152" s="1"/>
  <c r="C33" i="152"/>
  <c r="C74" i="1445" s="1"/>
  <c r="C14" i="777"/>
  <c r="C16" i="777" s="1"/>
  <c r="C11" i="62590"/>
  <c r="J116" i="101"/>
  <c r="Q116" i="101"/>
  <c r="I116" i="101"/>
  <c r="P116" i="101"/>
  <c r="H116" i="101"/>
  <c r="O116" i="101"/>
  <c r="G116" i="101"/>
  <c r="N116" i="101"/>
  <c r="F116" i="101"/>
  <c r="M116" i="101"/>
  <c r="L116" i="101"/>
  <c r="K116" i="101"/>
  <c r="J118" i="101"/>
  <c r="Q118" i="101"/>
  <c r="I118" i="101"/>
  <c r="P118" i="101"/>
  <c r="H118" i="101"/>
  <c r="O118" i="101"/>
  <c r="G118" i="101"/>
  <c r="N118" i="101"/>
  <c r="F118" i="101"/>
  <c r="M118" i="101"/>
  <c r="L118" i="101"/>
  <c r="K118" i="101"/>
  <c r="J83" i="101"/>
  <c r="Q83" i="101"/>
  <c r="I83" i="101"/>
  <c r="P83" i="101"/>
  <c r="H83" i="101"/>
  <c r="O83" i="101"/>
  <c r="G83" i="101"/>
  <c r="N83" i="101"/>
  <c r="F83" i="101"/>
  <c r="M83" i="101"/>
  <c r="L83" i="101"/>
  <c r="K83" i="101"/>
  <c r="I149" i="4"/>
  <c r="G149" i="4"/>
  <c r="K149" i="4"/>
  <c r="W149" i="4" s="1"/>
  <c r="X149" i="4" s="1"/>
  <c r="K203" i="4"/>
  <c r="W203" i="4" s="1"/>
  <c r="G169" i="4"/>
  <c r="G203" i="4"/>
  <c r="K168" i="4"/>
  <c r="W168" i="4" s="1"/>
  <c r="K202" i="4"/>
  <c r="W202" i="4" s="1"/>
  <c r="G168" i="4"/>
  <c r="G202" i="4"/>
  <c r="K167" i="4"/>
  <c r="W167" i="4" s="1"/>
  <c r="K201" i="4"/>
  <c r="W201" i="4" s="1"/>
  <c r="G167" i="4"/>
  <c r="G201" i="4"/>
  <c r="K169" i="4"/>
  <c r="W169" i="4" s="1"/>
  <c r="K244" i="4"/>
  <c r="W244" i="4" s="1"/>
  <c r="G244" i="4"/>
  <c r="K243" i="4"/>
  <c r="W243" i="4" s="1"/>
  <c r="G243" i="4"/>
  <c r="K242" i="4"/>
  <c r="W242" i="4" s="1"/>
  <c r="G242" i="4"/>
  <c r="K245" i="4"/>
  <c r="W245" i="4" s="1"/>
  <c r="G245" i="4"/>
  <c r="E70" i="152"/>
  <c r="E149" i="4"/>
  <c r="F149" i="4"/>
  <c r="H149" i="4"/>
  <c r="C60" i="62601"/>
  <c r="C61" i="62601" s="1"/>
  <c r="C62" i="62601"/>
  <c r="C63" i="62601" s="1"/>
  <c r="C34" i="152"/>
  <c r="C51" i="62592" s="1"/>
  <c r="C67" i="4"/>
  <c r="C68" i="4"/>
  <c r="C69" i="4"/>
  <c r="C34" i="3079"/>
  <c r="C230" i="4" s="1"/>
  <c r="C35" i="3079"/>
  <c r="C45" i="3079"/>
  <c r="C24" i="3079"/>
  <c r="C90" i="3079" s="1"/>
  <c r="C61" i="4"/>
  <c r="C60" i="62588"/>
  <c r="C77" i="62588" s="1"/>
  <c r="C29" i="3079"/>
  <c r="C11" i="62592" s="1"/>
  <c r="C50" i="3079"/>
  <c r="C51" i="3079" s="1"/>
  <c r="G93" i="2"/>
  <c r="C59" i="62588"/>
  <c r="C72" i="62588" s="1"/>
  <c r="B424" i="4"/>
  <c r="E424" i="4" s="1"/>
  <c r="B423" i="4"/>
  <c r="E423" i="4" s="1"/>
  <c r="C7" i="777"/>
  <c r="D53" i="62583"/>
  <c r="D48" i="62583"/>
  <c r="C23" i="62594"/>
  <c r="G84" i="2"/>
  <c r="C4" i="777"/>
  <c r="C37" i="62594"/>
  <c r="C6" i="777"/>
  <c r="C38" i="62594"/>
  <c r="C122" i="62596" s="1"/>
  <c r="D54" i="62583"/>
  <c r="D45" i="62583"/>
  <c r="D50" i="62583"/>
  <c r="D51" i="62583"/>
  <c r="D44" i="62583"/>
  <c r="D43" i="62583"/>
  <c r="D52" i="62583"/>
  <c r="D46" i="62583"/>
  <c r="D55" i="62583"/>
  <c r="D47" i="62583"/>
  <c r="C56" i="62575"/>
  <c r="C58" i="62575" s="1"/>
  <c r="C219" i="4"/>
  <c r="C220" i="4"/>
  <c r="C218" i="4"/>
  <c r="C26" i="62592"/>
  <c r="C39" i="62592"/>
  <c r="C221" i="4"/>
  <c r="D210" i="101"/>
  <c r="E245" i="4"/>
  <c r="D208" i="101"/>
  <c r="E242" i="4"/>
  <c r="D207" i="101"/>
  <c r="D209" i="101"/>
  <c r="E243" i="4"/>
  <c r="E244" i="4"/>
  <c r="D105" i="101"/>
  <c r="E203" i="4"/>
  <c r="D104" i="101"/>
  <c r="D106" i="101"/>
  <c r="D141" i="101"/>
  <c r="E167" i="4"/>
  <c r="E201" i="4"/>
  <c r="E168" i="4"/>
  <c r="D142" i="101"/>
  <c r="E202" i="4"/>
  <c r="D140" i="101"/>
  <c r="E169" i="4"/>
  <c r="C62" i="4"/>
  <c r="C63" i="4"/>
  <c r="C32" i="152" l="1"/>
  <c r="C20" i="62593" s="1"/>
  <c r="C86" i="62593" s="1"/>
  <c r="E72" i="152"/>
  <c r="D74" i="152"/>
  <c r="E75" i="152"/>
  <c r="D72" i="152"/>
  <c r="G72" i="152"/>
  <c r="F74" i="152"/>
  <c r="D167" i="101"/>
  <c r="G74" i="152"/>
  <c r="D166" i="101"/>
  <c r="D169" i="101"/>
  <c r="D168" i="101"/>
  <c r="F76" i="152"/>
  <c r="F71" i="152"/>
  <c r="K223" i="4" s="1"/>
  <c r="W223" i="4" s="1"/>
  <c r="D70" i="152"/>
  <c r="F72" i="152"/>
  <c r="D75" i="152"/>
  <c r="G75" i="152"/>
  <c r="D163" i="101"/>
  <c r="F70" i="152"/>
  <c r="D73" i="152"/>
  <c r="F75" i="152"/>
  <c r="E73" i="152"/>
  <c r="D164" i="101"/>
  <c r="E71" i="152"/>
  <c r="G73" i="152"/>
  <c r="E76" i="152"/>
  <c r="G70" i="152"/>
  <c r="E223" i="4"/>
  <c r="D165" i="101"/>
  <c r="D71" i="152"/>
  <c r="F73" i="152"/>
  <c r="D76" i="152"/>
  <c r="G71" i="152"/>
  <c r="E74" i="152"/>
  <c r="C75" i="1445"/>
  <c r="C80" i="1445" s="1"/>
  <c r="C15" i="777"/>
  <c r="C41" i="62592" s="1"/>
  <c r="G230" i="4"/>
  <c r="C37" i="3079"/>
  <c r="C38" i="3079"/>
  <c r="C12" i="1445" s="1"/>
  <c r="C49" i="1445" s="1"/>
  <c r="C36" i="3079"/>
  <c r="K218" i="4"/>
  <c r="W218" i="4" s="1"/>
  <c r="G218" i="4"/>
  <c r="G220" i="4"/>
  <c r="K220" i="4"/>
  <c r="W220" i="4" s="1"/>
  <c r="K219" i="4"/>
  <c r="W219" i="4" s="1"/>
  <c r="G219" i="4"/>
  <c r="K221" i="4"/>
  <c r="W221" i="4" s="1"/>
  <c r="G221" i="4"/>
  <c r="K69" i="4"/>
  <c r="W69" i="4" s="1"/>
  <c r="G69" i="4"/>
  <c r="K68" i="4"/>
  <c r="W68" i="4" s="1"/>
  <c r="G68" i="4"/>
  <c r="G62" i="4"/>
  <c r="K62" i="4"/>
  <c r="W62" i="4" s="1"/>
  <c r="G67" i="4"/>
  <c r="K67" i="4"/>
  <c r="W67" i="4" s="1"/>
  <c r="K63" i="4"/>
  <c r="W63" i="4" s="1"/>
  <c r="G63" i="4"/>
  <c r="K61" i="4"/>
  <c r="W61" i="4" s="1"/>
  <c r="G61" i="4"/>
  <c r="C118" i="101"/>
  <c r="E104" i="101"/>
  <c r="C100" i="3079"/>
  <c r="C43" i="62593"/>
  <c r="C44" i="62593" s="1"/>
  <c r="C45" i="62593" s="1"/>
  <c r="C72" i="62575"/>
  <c r="C59" i="62575"/>
  <c r="C61" i="62575" s="1"/>
  <c r="C60" i="62575" s="1"/>
  <c r="C63" i="62575" s="1"/>
  <c r="D160" i="101"/>
  <c r="D109" i="101"/>
  <c r="E230" i="4"/>
  <c r="K230" i="4" s="1"/>
  <c r="G423" i="4"/>
  <c r="G424" i="4"/>
  <c r="F67" i="4"/>
  <c r="F69" i="4"/>
  <c r="G223" i="4"/>
  <c r="H67" i="4"/>
  <c r="C223" i="4"/>
  <c r="H69" i="4"/>
  <c r="C40" i="62592"/>
  <c r="C174" i="4" s="1"/>
  <c r="K174" i="4" s="1"/>
  <c r="E68" i="4"/>
  <c r="D39" i="101"/>
  <c r="E69" i="4"/>
  <c r="D195" i="101"/>
  <c r="C195" i="101" s="1"/>
  <c r="D38" i="101"/>
  <c r="E67" i="4"/>
  <c r="D37" i="101"/>
  <c r="C56" i="62601"/>
  <c r="C57" i="62601" s="1"/>
  <c r="H68" i="4"/>
  <c r="F68" i="4"/>
  <c r="C27" i="62592"/>
  <c r="C143" i="4" s="1"/>
  <c r="D190" i="101"/>
  <c r="D196" i="101"/>
  <c r="C196" i="101" s="1"/>
  <c r="D157" i="101"/>
  <c r="D158" i="101"/>
  <c r="D159" i="101"/>
  <c r="C80" i="62588" a="1"/>
  <c r="C82" i="62588" s="1"/>
  <c r="C36" i="62593"/>
  <c r="C62" i="62588"/>
  <c r="C65" i="62575"/>
  <c r="C69" i="62575" s="1"/>
  <c r="C24" i="62594"/>
  <c r="C26" i="62594" s="1"/>
  <c r="C27" i="62594" s="1"/>
  <c r="C80" i="2"/>
  <c r="D80" i="2" s="1"/>
  <c r="D16" i="101"/>
  <c r="C62" i="62575"/>
  <c r="D15" i="101"/>
  <c r="D14" i="101"/>
  <c r="C40" i="62594"/>
  <c r="C41" i="62594" s="1"/>
  <c r="C60" i="62594" s="1"/>
  <c r="C64" i="62594" s="1"/>
  <c r="C69" i="62594" s="1"/>
  <c r="C8" i="777"/>
  <c r="C5" i="267" s="1"/>
  <c r="C22" i="267" s="1"/>
  <c r="C128" i="62582" a="1"/>
  <c r="C129" i="62582" s="1"/>
  <c r="C157" i="62582" s="1"/>
  <c r="E62" i="4"/>
  <c r="H62" i="4"/>
  <c r="F62" i="4"/>
  <c r="E106" i="101"/>
  <c r="F218" i="4"/>
  <c r="H218" i="4"/>
  <c r="E218" i="4"/>
  <c r="E221" i="4"/>
  <c r="H221" i="4"/>
  <c r="F221" i="4"/>
  <c r="H220" i="4"/>
  <c r="E220" i="4"/>
  <c r="F220" i="4"/>
  <c r="H63" i="4"/>
  <c r="F63" i="4"/>
  <c r="E63" i="4"/>
  <c r="C141" i="4"/>
  <c r="C140" i="4"/>
  <c r="H61" i="4"/>
  <c r="E61" i="4"/>
  <c r="F61" i="4"/>
  <c r="C209" i="4"/>
  <c r="C207" i="4"/>
  <c r="C208" i="4"/>
  <c r="C172" i="4"/>
  <c r="C173" i="4"/>
  <c r="E219" i="4"/>
  <c r="F219" i="4"/>
  <c r="H219" i="4"/>
  <c r="C123" i="62596"/>
  <c r="C126" i="62596" s="1"/>
  <c r="C36" i="4"/>
  <c r="K36" i="4" s="1"/>
  <c r="C45" i="777"/>
  <c r="C46" i="777"/>
  <c r="C9" i="267" l="1"/>
  <c r="C19" i="267" s="1"/>
  <c r="C9" i="62593"/>
  <c r="C68" i="62592"/>
  <c r="C277" i="4" s="1"/>
  <c r="K277" i="4" s="1"/>
  <c r="W277" i="4" s="1"/>
  <c r="C69" i="62592"/>
  <c r="C278" i="4" s="1"/>
  <c r="K278" i="4" s="1"/>
  <c r="W278" i="4" s="1"/>
  <c r="C70" i="62592"/>
  <c r="C281" i="4" s="1"/>
  <c r="J281" i="4" s="1"/>
  <c r="X281" i="4" s="1"/>
  <c r="C28" i="62592"/>
  <c r="C145" i="4" s="1"/>
  <c r="C48" i="4"/>
  <c r="C59" i="62592"/>
  <c r="C260" i="4" s="1"/>
  <c r="C57" i="62592"/>
  <c r="C252" i="4" s="1"/>
  <c r="C55" i="62592"/>
  <c r="C250" i="4" s="1"/>
  <c r="C8" i="62593"/>
  <c r="C14" i="4"/>
  <c r="G56" i="2"/>
  <c r="C9" i="62575"/>
  <c r="C431" i="4"/>
  <c r="G431" i="4" s="1"/>
  <c r="J106" i="101"/>
  <c r="O106" i="101"/>
  <c r="G106" i="101"/>
  <c r="Q106" i="101"/>
  <c r="I106" i="101"/>
  <c r="P106" i="101"/>
  <c r="H106" i="101"/>
  <c r="N106" i="101"/>
  <c r="F106" i="101"/>
  <c r="M106" i="101"/>
  <c r="L106" i="101"/>
  <c r="K106" i="101"/>
  <c r="J104" i="101"/>
  <c r="O104" i="101"/>
  <c r="Q104" i="101"/>
  <c r="I104" i="101"/>
  <c r="P104" i="101"/>
  <c r="H104" i="101"/>
  <c r="N104" i="101"/>
  <c r="F104" i="101"/>
  <c r="G104" i="101"/>
  <c r="M104" i="101"/>
  <c r="L104" i="101"/>
  <c r="K104" i="101"/>
  <c r="I172" i="4"/>
  <c r="J172" i="4" s="1"/>
  <c r="G172" i="4"/>
  <c r="K172" i="4"/>
  <c r="W172" i="4" s="1"/>
  <c r="X172" i="4" s="1"/>
  <c r="K141" i="4"/>
  <c r="W141" i="4" s="1"/>
  <c r="G141" i="4"/>
  <c r="K173" i="4"/>
  <c r="W173" i="4" s="1"/>
  <c r="X173" i="4" s="1"/>
  <c r="I173" i="4"/>
  <c r="J173" i="4" s="1"/>
  <c r="G173" i="4"/>
  <c r="K140" i="4"/>
  <c r="W140" i="4" s="1"/>
  <c r="G140" i="4"/>
  <c r="G174" i="4"/>
  <c r="I174" i="4"/>
  <c r="J174" i="4" s="1"/>
  <c r="W174" i="4"/>
  <c r="X174" i="4" s="1"/>
  <c r="W230" i="4"/>
  <c r="C175" i="4"/>
  <c r="K175" i="4" s="1"/>
  <c r="C32" i="62593"/>
  <c r="C176" i="4"/>
  <c r="K176" i="4" s="1"/>
  <c r="C142" i="4"/>
  <c r="C35" i="1445"/>
  <c r="C43" i="1445" s="1"/>
  <c r="C144" i="4"/>
  <c r="C101" i="3079"/>
  <c r="C102" i="3079" s="1"/>
  <c r="C103" i="3079" s="1"/>
  <c r="C104" i="3079" s="1"/>
  <c r="C105" i="3079"/>
  <c r="D110" i="101"/>
  <c r="D75" i="101"/>
  <c r="D76" i="101"/>
  <c r="C87" i="62588"/>
  <c r="C89" i="62588"/>
  <c r="C85" i="62588"/>
  <c r="C90" i="62588"/>
  <c r="C92" i="62588"/>
  <c r="C83" i="62588"/>
  <c r="C88" i="62588"/>
  <c r="C80" i="62588"/>
  <c r="C81" i="62588"/>
  <c r="C91" i="62588"/>
  <c r="C86" i="62588"/>
  <c r="C84" i="62588"/>
  <c r="C37" i="62593"/>
  <c r="C38" i="62593" s="1"/>
  <c r="C66" i="62575"/>
  <c r="C33" i="777"/>
  <c r="C34" i="777" s="1"/>
  <c r="C35" i="777" s="1"/>
  <c r="C36" i="777" s="1"/>
  <c r="C64" i="62575"/>
  <c r="C79" i="62575" s="1"/>
  <c r="D100" i="62583"/>
  <c r="C9" i="777" s="1"/>
  <c r="C14" i="267"/>
  <c r="C15" i="267" s="1"/>
  <c r="C16" i="267" s="1"/>
  <c r="C52" i="777"/>
  <c r="I36" i="4" s="1"/>
  <c r="J36" i="4" s="1"/>
  <c r="C12" i="4"/>
  <c r="C25" i="62594"/>
  <c r="C28" i="62594"/>
  <c r="C34" i="62594" s="1"/>
  <c r="C67" i="62594" s="1"/>
  <c r="G86" i="2"/>
  <c r="C23" i="777"/>
  <c r="C24" i="777" s="1"/>
  <c r="C25" i="777" s="1"/>
  <c r="C21" i="777"/>
  <c r="C31" i="777" s="1"/>
  <c r="C58" i="777"/>
  <c r="C62" i="777"/>
  <c r="C69" i="777" s="1"/>
  <c r="C45" i="4" s="1"/>
  <c r="C66" i="777"/>
  <c r="C70" i="777" s="1"/>
  <c r="C46" i="4" s="1"/>
  <c r="C140" i="62582"/>
  <c r="C134" i="62582"/>
  <c r="C131" i="62582"/>
  <c r="C159" i="62582" s="1"/>
  <c r="C130" i="62582"/>
  <c r="C158" i="62582" s="1"/>
  <c r="C136" i="62582"/>
  <c r="C164" i="62582" s="1"/>
  <c r="C128" i="62582"/>
  <c r="C156" i="62582" s="1"/>
  <c r="C139" i="62582"/>
  <c r="C167" i="62582" s="1"/>
  <c r="C132" i="62582"/>
  <c r="C160" i="62582" s="1"/>
  <c r="C138" i="62582"/>
  <c r="C166" i="62582" s="1"/>
  <c r="C137" i="62582"/>
  <c r="C165" i="62582" s="1"/>
  <c r="C133" i="62582"/>
  <c r="C161" i="62582" s="1"/>
  <c r="C135" i="62582"/>
  <c r="E172" i="4"/>
  <c r="H172" i="4"/>
  <c r="F172" i="4"/>
  <c r="F209" i="4"/>
  <c r="H209" i="4"/>
  <c r="F208" i="4"/>
  <c r="H208" i="4"/>
  <c r="H140" i="4"/>
  <c r="F140" i="4"/>
  <c r="E140" i="4"/>
  <c r="H173" i="4"/>
  <c r="F173" i="4"/>
  <c r="E173" i="4"/>
  <c r="H207" i="4"/>
  <c r="F207" i="4"/>
  <c r="H141" i="4"/>
  <c r="F141" i="4"/>
  <c r="E141" i="4"/>
  <c r="E109" i="101"/>
  <c r="H174" i="4"/>
  <c r="E174" i="4"/>
  <c r="F174" i="4"/>
  <c r="H143" i="4"/>
  <c r="F143" i="4"/>
  <c r="C124" i="62596"/>
  <c r="C178" i="4"/>
  <c r="K178" i="4" s="1"/>
  <c r="C177" i="4"/>
  <c r="K177" i="4" s="1"/>
  <c r="W36" i="4"/>
  <c r="C39" i="4"/>
  <c r="K39" i="4" s="1"/>
  <c r="C38" i="4"/>
  <c r="K38" i="4" s="1"/>
  <c r="C43" i="267"/>
  <c r="C40" i="267"/>
  <c r="C27" i="267"/>
  <c r="C28" i="267" s="1"/>
  <c r="C29" i="267" s="1"/>
  <c r="C14" i="62590"/>
  <c r="C16" i="62590" s="1"/>
  <c r="C21" i="62590" s="1"/>
  <c r="C22" i="62590" s="1"/>
  <c r="C115" i="62590" s="1"/>
  <c r="C118" i="62590" s="1"/>
  <c r="C47" i="267"/>
  <c r="C42" i="4"/>
  <c r="K42" i="4" s="1"/>
  <c r="C41" i="4"/>
  <c r="K41" i="4" s="1"/>
  <c r="C55" i="267"/>
  <c r="C142" i="62582"/>
  <c r="D153" i="62583" l="1"/>
  <c r="E153" i="62583"/>
  <c r="C42" i="267"/>
  <c r="C32" i="267"/>
  <c r="C226" i="4" s="1"/>
  <c r="C280" i="4"/>
  <c r="J280" i="4" s="1"/>
  <c r="X280" i="4" s="1"/>
  <c r="J277" i="4"/>
  <c r="X277" i="4" s="1"/>
  <c r="H431" i="4"/>
  <c r="C10" i="62593"/>
  <c r="C11" i="62593" s="1"/>
  <c r="C13" i="62592" s="1"/>
  <c r="E145" i="4" s="1"/>
  <c r="C248" i="4"/>
  <c r="C254" i="4"/>
  <c r="C253" i="4"/>
  <c r="C255" i="4"/>
  <c r="C257" i="4"/>
  <c r="F257" i="4" s="1"/>
  <c r="C259" i="4"/>
  <c r="C258" i="4"/>
  <c r="C146" i="4"/>
  <c r="F146" i="4" s="1"/>
  <c r="C249" i="4"/>
  <c r="C247" i="4"/>
  <c r="F247" i="4" s="1"/>
  <c r="C147" i="4"/>
  <c r="F147" i="4" s="1"/>
  <c r="J278" i="4"/>
  <c r="X278" i="4" s="1"/>
  <c r="J109" i="101"/>
  <c r="O109" i="101"/>
  <c r="Q109" i="101"/>
  <c r="I109" i="101"/>
  <c r="P109" i="101"/>
  <c r="H109" i="101"/>
  <c r="N109" i="101"/>
  <c r="F109" i="101"/>
  <c r="G109" i="101"/>
  <c r="M109" i="101"/>
  <c r="L109" i="101"/>
  <c r="K109" i="101"/>
  <c r="C44" i="267"/>
  <c r="C45" i="267"/>
  <c r="G178" i="4"/>
  <c r="I178" i="4"/>
  <c r="J178" i="4" s="1"/>
  <c r="G177" i="4"/>
  <c r="I177" i="4"/>
  <c r="J177" i="4" s="1"/>
  <c r="G176" i="4"/>
  <c r="I176" i="4"/>
  <c r="J176" i="4" s="1"/>
  <c r="G175" i="4"/>
  <c r="I175" i="4"/>
  <c r="J175" i="4" s="1"/>
  <c r="G126" i="4"/>
  <c r="K126" i="4"/>
  <c r="G125" i="4"/>
  <c r="K125" i="4"/>
  <c r="G124" i="4"/>
  <c r="K124" i="4"/>
  <c r="G123" i="4"/>
  <c r="K123" i="4"/>
  <c r="G42" i="4"/>
  <c r="I42" i="4"/>
  <c r="J42" i="4" s="1"/>
  <c r="G41" i="4"/>
  <c r="I41" i="4"/>
  <c r="J41" i="4" s="1"/>
  <c r="G39" i="4"/>
  <c r="I39" i="4"/>
  <c r="J39" i="4" s="1"/>
  <c r="G38" i="4"/>
  <c r="I38" i="4"/>
  <c r="J38" i="4" s="1"/>
  <c r="C68" i="777"/>
  <c r="C44" i="4" s="1"/>
  <c r="E75" i="101"/>
  <c r="W177" i="4"/>
  <c r="X177" i="4" s="1"/>
  <c r="W178" i="4"/>
  <c r="X178" i="4" s="1"/>
  <c r="W38" i="4"/>
  <c r="W39" i="4"/>
  <c r="W176" i="4"/>
  <c r="X176" i="4" s="1"/>
  <c r="W41" i="4"/>
  <c r="X41" i="4" s="1"/>
  <c r="W42" i="4"/>
  <c r="X42" i="4" s="1"/>
  <c r="W175" i="4"/>
  <c r="X175" i="4" s="1"/>
  <c r="E176" i="4"/>
  <c r="F46" i="4"/>
  <c r="F144" i="4"/>
  <c r="F142" i="4"/>
  <c r="F45" i="4"/>
  <c r="H175" i="4"/>
  <c r="F175" i="4"/>
  <c r="E175" i="4"/>
  <c r="H176" i="4"/>
  <c r="F176" i="4"/>
  <c r="H144" i="4"/>
  <c r="H142" i="4"/>
  <c r="C18" i="62592"/>
  <c r="C19" i="62592" s="1"/>
  <c r="C74" i="62590"/>
  <c r="C125" i="62590"/>
  <c r="C126" i="62590" s="1"/>
  <c r="C106" i="3079"/>
  <c r="C95" i="3079"/>
  <c r="C91" i="3079"/>
  <c r="C107" i="3079"/>
  <c r="C71" i="4" s="1"/>
  <c r="C112" i="62588" a="1"/>
  <c r="C112" i="62588" s="1"/>
  <c r="C206" i="62588" s="1"/>
  <c r="C95" i="62588"/>
  <c r="C94" i="62588"/>
  <c r="C16" i="62592"/>
  <c r="C17" i="62592" s="1"/>
  <c r="C37" i="777"/>
  <c r="C38" i="777" s="1"/>
  <c r="D101" i="62583"/>
  <c r="C10" i="777" s="1"/>
  <c r="C17" i="777"/>
  <c r="C35" i="62594"/>
  <c r="C50" i="62594" s="1"/>
  <c r="C29" i="62594"/>
  <c r="C42" i="62590" s="1"/>
  <c r="C169" i="62590" s="1"/>
  <c r="C22" i="777"/>
  <c r="C28" i="777" s="1"/>
  <c r="C66" i="62593" s="1"/>
  <c r="C87" i="62593" s="1"/>
  <c r="C79" i="4"/>
  <c r="C77" i="4"/>
  <c r="C78" i="4"/>
  <c r="D239" i="101"/>
  <c r="C239" i="101" s="1"/>
  <c r="D238" i="101"/>
  <c r="C238" i="101" s="1"/>
  <c r="C74" i="4"/>
  <c r="C73" i="4"/>
  <c r="C75" i="4"/>
  <c r="D243" i="101"/>
  <c r="C243" i="101" s="1"/>
  <c r="D242" i="101"/>
  <c r="C242" i="101" s="1"/>
  <c r="C150" i="62582"/>
  <c r="C170" i="62582"/>
  <c r="C143" i="62582"/>
  <c r="X36" i="4"/>
  <c r="H145" i="4"/>
  <c r="F145" i="4"/>
  <c r="E39" i="4"/>
  <c r="H39" i="4"/>
  <c r="F39" i="4"/>
  <c r="C48" i="267"/>
  <c r="C50" i="267" s="1"/>
  <c r="C53" i="267" s="1"/>
  <c r="C52" i="1445"/>
  <c r="C233" i="4"/>
  <c r="K233" i="4" s="1"/>
  <c r="C232" i="4"/>
  <c r="C17" i="267"/>
  <c r="C18" i="267" s="1"/>
  <c r="E41" i="4"/>
  <c r="H41" i="4"/>
  <c r="F41" i="4"/>
  <c r="C77" i="62594"/>
  <c r="C87" i="62594" s="1"/>
  <c r="H42" i="4"/>
  <c r="E42" i="4"/>
  <c r="F42" i="4"/>
  <c r="C58" i="267"/>
  <c r="C63" i="267"/>
  <c r="C82" i="4"/>
  <c r="C83" i="4"/>
  <c r="C67" i="62592"/>
  <c r="C276" i="4" s="1"/>
  <c r="K276" i="4" s="1"/>
  <c r="C81" i="4"/>
  <c r="C63" i="62592"/>
  <c r="C30" i="267"/>
  <c r="D193" i="101"/>
  <c r="D192" i="101"/>
  <c r="H252" i="4"/>
  <c r="F252" i="4"/>
  <c r="H177" i="4"/>
  <c r="F177" i="4"/>
  <c r="E177" i="4"/>
  <c r="F38" i="4"/>
  <c r="E38" i="4"/>
  <c r="H38" i="4"/>
  <c r="F178" i="4"/>
  <c r="E178" i="4"/>
  <c r="H178" i="4"/>
  <c r="C34" i="62592" l="1"/>
  <c r="C159" i="4" s="1"/>
  <c r="C47" i="62592"/>
  <c r="C189" i="4" s="1"/>
  <c r="K189" i="4" s="1"/>
  <c r="C59" i="62593"/>
  <c r="C61" i="62592"/>
  <c r="C264" i="4" s="1"/>
  <c r="C58" i="62592"/>
  <c r="G260" i="4" s="1"/>
  <c r="H146" i="4"/>
  <c r="H257" i="4"/>
  <c r="H147" i="4"/>
  <c r="H247" i="4"/>
  <c r="C18" i="777"/>
  <c r="C9" i="4" s="1"/>
  <c r="C20" i="1445"/>
  <c r="C415" i="4" s="1"/>
  <c r="J75" i="101"/>
  <c r="G75" i="101"/>
  <c r="Q75" i="101"/>
  <c r="I75" i="101"/>
  <c r="P75" i="101"/>
  <c r="H75" i="101"/>
  <c r="N75" i="101"/>
  <c r="F75" i="101"/>
  <c r="O75" i="101"/>
  <c r="M75" i="101"/>
  <c r="L75" i="101"/>
  <c r="K75" i="101"/>
  <c r="C51" i="267"/>
  <c r="C52" i="267"/>
  <c r="K77" i="4"/>
  <c r="W77" i="4" s="1"/>
  <c r="X77" i="4" s="1"/>
  <c r="I77" i="4"/>
  <c r="G77" i="4"/>
  <c r="K79" i="4"/>
  <c r="W79" i="4" s="1"/>
  <c r="X79" i="4" s="1"/>
  <c r="I79" i="4"/>
  <c r="G79" i="4"/>
  <c r="G75" i="4"/>
  <c r="K75" i="4"/>
  <c r="W75" i="4" s="1"/>
  <c r="X75" i="4" s="1"/>
  <c r="I75" i="4"/>
  <c r="K73" i="4"/>
  <c r="W73" i="4" s="1"/>
  <c r="X73" i="4" s="1"/>
  <c r="I73" i="4"/>
  <c r="G73" i="4"/>
  <c r="K74" i="4"/>
  <c r="W74" i="4" s="1"/>
  <c r="I74" i="4"/>
  <c r="G74" i="4"/>
  <c r="I71" i="4"/>
  <c r="J71" i="4" s="1"/>
  <c r="K71" i="4"/>
  <c r="W71" i="4" s="1"/>
  <c r="K78" i="4"/>
  <c r="W78" i="4" s="1"/>
  <c r="I78" i="4"/>
  <c r="G78" i="4"/>
  <c r="G233" i="4"/>
  <c r="I233" i="4"/>
  <c r="J233" i="4" s="1"/>
  <c r="K147" i="4"/>
  <c r="W147" i="4" s="1"/>
  <c r="X147" i="4" s="1"/>
  <c r="G147" i="4"/>
  <c r="K146" i="4"/>
  <c r="W146" i="4" s="1"/>
  <c r="G146" i="4"/>
  <c r="K145" i="4"/>
  <c r="W145" i="4" s="1"/>
  <c r="G145" i="4"/>
  <c r="G83" i="4"/>
  <c r="K83" i="4"/>
  <c r="W83" i="4" s="1"/>
  <c r="G82" i="4"/>
  <c r="K82" i="4"/>
  <c r="W82" i="4" s="1"/>
  <c r="G81" i="4"/>
  <c r="K81" i="4"/>
  <c r="W81" i="4" s="1"/>
  <c r="F44" i="4"/>
  <c r="C70" i="4"/>
  <c r="C26" i="1445"/>
  <c r="W233" i="4"/>
  <c r="X233" i="4" s="1"/>
  <c r="D92" i="101"/>
  <c r="C74" i="267"/>
  <c r="C75" i="267" s="1"/>
  <c r="C31" i="267"/>
  <c r="C449" i="4"/>
  <c r="H449" i="4" s="1"/>
  <c r="C170" i="62590"/>
  <c r="C20" i="62596"/>
  <c r="W123" i="4"/>
  <c r="D62" i="101"/>
  <c r="C132" i="62590"/>
  <c r="D63" i="101"/>
  <c r="C137" i="62590"/>
  <c r="W126" i="4"/>
  <c r="E125" i="4"/>
  <c r="E123" i="4"/>
  <c r="W125" i="4"/>
  <c r="X125" i="4" s="1"/>
  <c r="C119" i="62590"/>
  <c r="C121" i="62590" s="1"/>
  <c r="C120" i="62590" s="1"/>
  <c r="C123" i="62590" s="1"/>
  <c r="W124" i="4"/>
  <c r="C122" i="62590"/>
  <c r="E126" i="4"/>
  <c r="D64" i="101"/>
  <c r="C128" i="62590"/>
  <c r="C129" i="62590" s="1"/>
  <c r="C128" i="4" s="1"/>
  <c r="I128" i="4" s="1"/>
  <c r="D65" i="101"/>
  <c r="E124" i="4"/>
  <c r="C135" i="62590"/>
  <c r="C227" i="4"/>
  <c r="C75" i="62590"/>
  <c r="D187" i="101" s="1"/>
  <c r="C187" i="101" s="1"/>
  <c r="I227" i="4" s="1"/>
  <c r="X39" i="4"/>
  <c r="C67" i="267"/>
  <c r="C68" i="267" s="1"/>
  <c r="C69" i="267" s="1"/>
  <c r="C71" i="267" s="1"/>
  <c r="C49" i="62593"/>
  <c r="C92" i="3079"/>
  <c r="C96" i="62588"/>
  <c r="C97" i="62588" s="1"/>
  <c r="C101" i="62588" s="1" a="1"/>
  <c r="C105" i="62588" s="1"/>
  <c r="C113" i="62588"/>
  <c r="C185" i="62588" s="1"/>
  <c r="C207" i="62588" s="1"/>
  <c r="D89" i="101"/>
  <c r="D122" i="101"/>
  <c r="D123" i="101"/>
  <c r="D90" i="101"/>
  <c r="C35" i="4"/>
  <c r="J35" i="4" s="1"/>
  <c r="C39" i="777"/>
  <c r="C40" i="777" s="1"/>
  <c r="C47" i="4" s="1"/>
  <c r="J47" i="4" s="1"/>
  <c r="X47" i="4" s="1"/>
  <c r="E73" i="4"/>
  <c r="F73" i="4"/>
  <c r="J73" i="4"/>
  <c r="H73" i="4"/>
  <c r="E74" i="4"/>
  <c r="F74" i="4"/>
  <c r="H74" i="4"/>
  <c r="F77" i="4"/>
  <c r="J77" i="4"/>
  <c r="E77" i="4"/>
  <c r="H77" i="4"/>
  <c r="H79" i="4"/>
  <c r="F79" i="4"/>
  <c r="E79" i="4"/>
  <c r="H78" i="4"/>
  <c r="E78" i="4"/>
  <c r="F78" i="4"/>
  <c r="E75" i="4"/>
  <c r="F75" i="4"/>
  <c r="H75" i="4"/>
  <c r="J276" i="4"/>
  <c r="W276" i="4"/>
  <c r="C144" i="62582"/>
  <c r="C146" i="62582" s="1"/>
  <c r="C148" i="62582" s="1"/>
  <c r="C149" i="62582" s="1"/>
  <c r="C145" i="62582"/>
  <c r="C147" i="62582" s="1"/>
  <c r="C61" i="62593"/>
  <c r="E147" i="4"/>
  <c r="D194" i="101"/>
  <c r="D20" i="101"/>
  <c r="E83" i="4"/>
  <c r="C15" i="62590"/>
  <c r="D19" i="101"/>
  <c r="E81" i="4"/>
  <c r="D18" i="101"/>
  <c r="C35" i="267"/>
  <c r="C79" i="267"/>
  <c r="C80" i="267" s="1"/>
  <c r="C81" i="267" s="1"/>
  <c r="E82" i="4"/>
  <c r="X38" i="4"/>
  <c r="C271" i="4"/>
  <c r="C64" i="267"/>
  <c r="C65" i="267" s="1"/>
  <c r="C426" i="4"/>
  <c r="E146" i="4"/>
  <c r="C59" i="267"/>
  <c r="C60" i="267" s="1"/>
  <c r="D114" i="101"/>
  <c r="D82" i="101"/>
  <c r="D115" i="101"/>
  <c r="D81" i="101"/>
  <c r="D80" i="101"/>
  <c r="E232" i="4"/>
  <c r="G232" i="4" s="1"/>
  <c r="F232" i="4"/>
  <c r="H232" i="4"/>
  <c r="C49" i="267"/>
  <c r="C37" i="62590"/>
  <c r="C164" i="62590" s="1"/>
  <c r="D186" i="101"/>
  <c r="C13" i="62593"/>
  <c r="C14" i="62593" s="1"/>
  <c r="E233" i="4"/>
  <c r="F233" i="4"/>
  <c r="H233" i="4"/>
  <c r="C190" i="4" l="1"/>
  <c r="K190" i="4" s="1"/>
  <c r="C158" i="4"/>
  <c r="C265" i="4"/>
  <c r="C263" i="4"/>
  <c r="C262" i="4"/>
  <c r="D224" i="101"/>
  <c r="E259" i="4"/>
  <c r="D225" i="101"/>
  <c r="D222" i="101"/>
  <c r="E260" i="4"/>
  <c r="D223" i="101"/>
  <c r="E258" i="4"/>
  <c r="E257" i="4"/>
  <c r="G257" i="4"/>
  <c r="K257" i="4"/>
  <c r="W257" i="4" s="1"/>
  <c r="X257" i="4" s="1"/>
  <c r="G258" i="4"/>
  <c r="G259" i="4"/>
  <c r="K259" i="4"/>
  <c r="W259" i="4" s="1"/>
  <c r="K258" i="4"/>
  <c r="W258" i="4" s="1"/>
  <c r="K260" i="4"/>
  <c r="W260" i="4" s="1"/>
  <c r="C18" i="1445"/>
  <c r="G414" i="4" s="1"/>
  <c r="H414" i="4" s="1"/>
  <c r="H415" i="4"/>
  <c r="K227" i="4"/>
  <c r="W227" i="4" s="1"/>
  <c r="C72" i="62593"/>
  <c r="G227" i="4"/>
  <c r="C165" i="62590"/>
  <c r="K70" i="4"/>
  <c r="W70" i="4" s="1"/>
  <c r="I70" i="4"/>
  <c r="J70" i="4" s="1"/>
  <c r="I271" i="4"/>
  <c r="J271" i="4" s="1"/>
  <c r="K271" i="4"/>
  <c r="W271" i="4" s="1"/>
  <c r="G270" i="4"/>
  <c r="K270" i="4"/>
  <c r="W270" i="4" s="1"/>
  <c r="G269" i="4"/>
  <c r="K269" i="4"/>
  <c r="W269" i="4" s="1"/>
  <c r="G268" i="4"/>
  <c r="K268" i="4"/>
  <c r="W268" i="4" s="1"/>
  <c r="G267" i="4"/>
  <c r="K267" i="4"/>
  <c r="W267" i="4" s="1"/>
  <c r="K232" i="4"/>
  <c r="W232" i="4" s="1"/>
  <c r="G226" i="4"/>
  <c r="K226" i="4"/>
  <c r="W226" i="4" s="1"/>
  <c r="D100" i="101"/>
  <c r="E100" i="101" s="1"/>
  <c r="G190" i="4"/>
  <c r="I190" i="4"/>
  <c r="J190" i="4" s="1"/>
  <c r="G189" i="4"/>
  <c r="I189" i="4"/>
  <c r="J189" i="4" s="1"/>
  <c r="G121" i="4"/>
  <c r="K121" i="4"/>
  <c r="W121" i="4" s="1"/>
  <c r="G120" i="4"/>
  <c r="K120" i="4"/>
  <c r="W120" i="4" s="1"/>
  <c r="G119" i="4"/>
  <c r="K119" i="4"/>
  <c r="W119" i="4" s="1"/>
  <c r="E122" i="101"/>
  <c r="E89" i="101"/>
  <c r="W190" i="4"/>
  <c r="X190" i="4" s="1"/>
  <c r="W189" i="4"/>
  <c r="X189" i="4" s="1"/>
  <c r="D125" i="101"/>
  <c r="D124" i="101"/>
  <c r="D91" i="101"/>
  <c r="C428" i="4"/>
  <c r="C76" i="267"/>
  <c r="C77" i="267" s="1"/>
  <c r="D235" i="101"/>
  <c r="J128" i="4"/>
  <c r="C174" i="62590"/>
  <c r="C176" i="62590" s="1"/>
  <c r="G449" i="4" s="1"/>
  <c r="E449" i="4" s="1"/>
  <c r="D234" i="101"/>
  <c r="D101" i="101"/>
  <c r="D138" i="101"/>
  <c r="D133" i="101"/>
  <c r="D232" i="101"/>
  <c r="E270" i="4"/>
  <c r="D139" i="101"/>
  <c r="D135" i="101"/>
  <c r="D102" i="101"/>
  <c r="D137" i="101"/>
  <c r="D134" i="101"/>
  <c r="E269" i="4"/>
  <c r="C124" i="62590"/>
  <c r="D233" i="101"/>
  <c r="E267" i="4"/>
  <c r="E268" i="4"/>
  <c r="C17" i="62590"/>
  <c r="C23" i="62590" s="1"/>
  <c r="C24" i="62590"/>
  <c r="F227" i="4"/>
  <c r="H227" i="4"/>
  <c r="C199" i="4"/>
  <c r="G199" i="4" s="1"/>
  <c r="C200" i="4"/>
  <c r="K200" i="4" s="1"/>
  <c r="C198" i="4"/>
  <c r="K198" i="4" s="1"/>
  <c r="E227" i="4"/>
  <c r="C72" i="267"/>
  <c r="C118" i="267" s="1"/>
  <c r="X71" i="4"/>
  <c r="C85" i="4"/>
  <c r="C427" i="4"/>
  <c r="C93" i="3079"/>
  <c r="C102" i="62588"/>
  <c r="C196" i="62588" s="1"/>
  <c r="C98" i="62588"/>
  <c r="C107" i="62588" s="1" a="1"/>
  <c r="C108" i="62588" s="1"/>
  <c r="C184" i="62588" s="1"/>
  <c r="C202" i="62588" s="1"/>
  <c r="C106" i="62588"/>
  <c r="C200" i="62588" s="1"/>
  <c r="C101" i="62588"/>
  <c r="C139" i="62588" s="1"/>
  <c r="C140" i="62588" s="1"/>
  <c r="C104" i="62588"/>
  <c r="C198" i="62588" s="1"/>
  <c r="C103" i="62588"/>
  <c r="C197" i="62588" s="1"/>
  <c r="C86" i="4"/>
  <c r="J48" i="4"/>
  <c r="I48" i="4" s="1"/>
  <c r="C21" i="1445"/>
  <c r="C22" i="1445" s="1"/>
  <c r="X276" i="4"/>
  <c r="C152" i="62582"/>
  <c r="C163" i="62582" s="1"/>
  <c r="C151" i="62582"/>
  <c r="C162" i="62582" s="1"/>
  <c r="C153" i="62582"/>
  <c r="C168" i="62582" s="1"/>
  <c r="C188" i="62582" s="1" a="1"/>
  <c r="C448" i="4"/>
  <c r="H448" i="4" s="1"/>
  <c r="E115" i="101"/>
  <c r="C50" i="62593"/>
  <c r="C51" i="62593" s="1"/>
  <c r="C60" i="62593"/>
  <c r="F159" i="4"/>
  <c r="H159" i="4"/>
  <c r="H158" i="4"/>
  <c r="F158" i="4"/>
  <c r="E226" i="4"/>
  <c r="C234" i="4"/>
  <c r="C50" i="62592"/>
  <c r="E82" i="101"/>
  <c r="H190" i="4"/>
  <c r="E190" i="4"/>
  <c r="F190" i="4"/>
  <c r="C22" i="62592"/>
  <c r="G158" i="4" s="1"/>
  <c r="E120" i="4"/>
  <c r="D59" i="101"/>
  <c r="C60" i="62592"/>
  <c r="D60" i="101"/>
  <c r="E119" i="4"/>
  <c r="D58" i="101"/>
  <c r="E121" i="4"/>
  <c r="C199" i="62588"/>
  <c r="G426" i="4"/>
  <c r="H426" i="4"/>
  <c r="C36" i="267"/>
  <c r="C37" i="267" s="1"/>
  <c r="C239" i="4" s="1"/>
  <c r="F189" i="4"/>
  <c r="H189" i="4"/>
  <c r="E189" i="4"/>
  <c r="C53" i="1445"/>
  <c r="C54" i="1445" s="1"/>
  <c r="C28" i="1445"/>
  <c r="E413" i="4" s="1"/>
  <c r="C83" i="267"/>
  <c r="C429" i="4"/>
  <c r="E415" i="4" l="1"/>
  <c r="G415" i="4" s="1"/>
  <c r="G200" i="4"/>
  <c r="J122" i="101"/>
  <c r="Q122" i="101"/>
  <c r="I122" i="101"/>
  <c r="P122" i="101"/>
  <c r="H122" i="101"/>
  <c r="O122" i="101"/>
  <c r="G122" i="101"/>
  <c r="N122" i="101"/>
  <c r="F122" i="101"/>
  <c r="M122" i="101"/>
  <c r="L122" i="101"/>
  <c r="K122" i="101"/>
  <c r="J89" i="101"/>
  <c r="Q89" i="101"/>
  <c r="I89" i="101"/>
  <c r="P89" i="101"/>
  <c r="H89" i="101"/>
  <c r="O89" i="101"/>
  <c r="G89" i="101"/>
  <c r="N89" i="101"/>
  <c r="F89" i="101"/>
  <c r="M89" i="101"/>
  <c r="L89" i="101"/>
  <c r="K89" i="101"/>
  <c r="G198" i="4"/>
  <c r="P115" i="101"/>
  <c r="Q115" i="101"/>
  <c r="N115" i="101"/>
  <c r="O115" i="101"/>
  <c r="L115" i="101"/>
  <c r="M115" i="101"/>
  <c r="J115" i="101"/>
  <c r="K115" i="101"/>
  <c r="H115" i="101"/>
  <c r="I115" i="101"/>
  <c r="F115" i="101"/>
  <c r="G115" i="101"/>
  <c r="P100" i="101"/>
  <c r="Q100" i="101"/>
  <c r="N100" i="101"/>
  <c r="O100" i="101"/>
  <c r="L100" i="101"/>
  <c r="M100" i="101"/>
  <c r="J100" i="101"/>
  <c r="K100" i="101"/>
  <c r="H100" i="101"/>
  <c r="I100" i="101"/>
  <c r="F100" i="101"/>
  <c r="G100" i="101"/>
  <c r="P82" i="101"/>
  <c r="Q82" i="101"/>
  <c r="N82" i="101"/>
  <c r="O82" i="101"/>
  <c r="L82" i="101"/>
  <c r="M82" i="101"/>
  <c r="J82" i="101"/>
  <c r="K82" i="101"/>
  <c r="H82" i="101"/>
  <c r="I82" i="101"/>
  <c r="F82" i="101"/>
  <c r="G82" i="101"/>
  <c r="K199" i="4"/>
  <c r="W199" i="4" s="1"/>
  <c r="X70" i="4"/>
  <c r="G265" i="4"/>
  <c r="K265" i="4"/>
  <c r="W265" i="4" s="1"/>
  <c r="G264" i="4"/>
  <c r="K264" i="4"/>
  <c r="W264" i="4" s="1"/>
  <c r="G263" i="4"/>
  <c r="K263" i="4"/>
  <c r="W263" i="4" s="1"/>
  <c r="G262" i="4"/>
  <c r="K262" i="4"/>
  <c r="W262" i="4" s="1"/>
  <c r="K159" i="4"/>
  <c r="W159" i="4" s="1"/>
  <c r="G159" i="4"/>
  <c r="K158" i="4"/>
  <c r="W158" i="4" s="1"/>
  <c r="K86" i="4"/>
  <c r="G86" i="4"/>
  <c r="K85" i="4"/>
  <c r="G85" i="4"/>
  <c r="E91" i="101"/>
  <c r="E124" i="101"/>
  <c r="E135" i="101"/>
  <c r="Q135" i="101" s="1"/>
  <c r="E133" i="101"/>
  <c r="Q133" i="101" s="1"/>
  <c r="H428" i="4"/>
  <c r="W200" i="4"/>
  <c r="W198" i="4"/>
  <c r="C109" i="267"/>
  <c r="B428" i="4" s="1"/>
  <c r="E428" i="4" s="1"/>
  <c r="C130" i="4"/>
  <c r="I130" i="4" s="1"/>
  <c r="K128" i="4"/>
  <c r="W128" i="4" s="1"/>
  <c r="X128" i="4" s="1"/>
  <c r="C84" i="267"/>
  <c r="C128" i="267" s="1"/>
  <c r="C95" i="4"/>
  <c r="C94" i="4"/>
  <c r="C65" i="62592"/>
  <c r="C273" i="4" s="1"/>
  <c r="C127" i="62590"/>
  <c r="C127" i="4" s="1"/>
  <c r="I127" i="4" s="1"/>
  <c r="C49" i="62590"/>
  <c r="C62" i="62590"/>
  <c r="H198" i="4"/>
  <c r="F198" i="4"/>
  <c r="E198" i="4"/>
  <c r="H200" i="4"/>
  <c r="F200" i="4"/>
  <c r="E200" i="4"/>
  <c r="C103" i="62590"/>
  <c r="H199" i="4"/>
  <c r="F199" i="4"/>
  <c r="E199" i="4"/>
  <c r="C46" i="62590"/>
  <c r="C89" i="4"/>
  <c r="C90" i="4"/>
  <c r="C195" i="62588"/>
  <c r="C94" i="3079"/>
  <c r="C110" i="62588"/>
  <c r="C111" i="62588"/>
  <c r="C205" i="62588" s="1"/>
  <c r="C109" i="62588"/>
  <c r="C107" i="62588"/>
  <c r="E85" i="4"/>
  <c r="E86" i="4"/>
  <c r="D23" i="101"/>
  <c r="D22" i="101"/>
  <c r="C52" i="62593"/>
  <c r="C171" i="62582"/>
  <c r="C172" i="62582" s="1"/>
  <c r="C173" i="62582" s="1"/>
  <c r="C177" i="62582" s="1" a="1"/>
  <c r="C189" i="62582"/>
  <c r="C188" i="62582"/>
  <c r="C166" i="62590"/>
  <c r="C91" i="4"/>
  <c r="C413" i="4"/>
  <c r="H413" i="4" s="1"/>
  <c r="C38" i="267"/>
  <c r="D227" i="101"/>
  <c r="D228" i="101"/>
  <c r="D230" i="101"/>
  <c r="D229" i="101"/>
  <c r="D149" i="101"/>
  <c r="D151" i="101"/>
  <c r="D96" i="101"/>
  <c r="D95" i="101"/>
  <c r="D128" i="101"/>
  <c r="D129" i="101"/>
  <c r="D150" i="101"/>
  <c r="E263" i="4"/>
  <c r="E265" i="4"/>
  <c r="X271" i="4"/>
  <c r="C211" i="4"/>
  <c r="K211" i="4" s="1"/>
  <c r="C212" i="4"/>
  <c r="K212" i="4" s="1"/>
  <c r="C210" i="4"/>
  <c r="K210" i="4" s="1"/>
  <c r="F262" i="4"/>
  <c r="H262" i="4"/>
  <c r="E262" i="4"/>
  <c r="E159" i="4"/>
  <c r="G429" i="4"/>
  <c r="H429" i="4"/>
  <c r="G427" i="4"/>
  <c r="H427" i="4"/>
  <c r="E264" i="4"/>
  <c r="F234" i="4"/>
  <c r="E234" i="4"/>
  <c r="K234" i="4" s="1"/>
  <c r="H234" i="4"/>
  <c r="E158" i="4"/>
  <c r="C25" i="62590" l="1"/>
  <c r="C152" i="62590" s="1"/>
  <c r="C141" i="62590"/>
  <c r="C142" i="62590" s="1"/>
  <c r="G448" i="4"/>
  <c r="E448" i="4" s="1"/>
  <c r="C28" i="62590"/>
  <c r="C149" i="62590" s="1"/>
  <c r="G94" i="4"/>
  <c r="K94" i="4"/>
  <c r="W94" i="4" s="1"/>
  <c r="X94" i="4" s="1"/>
  <c r="I94" i="4"/>
  <c r="K95" i="4"/>
  <c r="W95" i="4" s="1"/>
  <c r="X95" i="4" s="1"/>
  <c r="I95" i="4"/>
  <c r="G95" i="4"/>
  <c r="J124" i="101"/>
  <c r="Q124" i="101"/>
  <c r="I124" i="101"/>
  <c r="P124" i="101"/>
  <c r="H124" i="101"/>
  <c r="O124" i="101"/>
  <c r="G124" i="101"/>
  <c r="N124" i="101"/>
  <c r="F124" i="101"/>
  <c r="M124" i="101"/>
  <c r="L124" i="101"/>
  <c r="K124" i="101"/>
  <c r="J91" i="101"/>
  <c r="Q91" i="101"/>
  <c r="I91" i="101"/>
  <c r="P91" i="101"/>
  <c r="H91" i="101"/>
  <c r="O91" i="101"/>
  <c r="G91" i="101"/>
  <c r="N91" i="101"/>
  <c r="F91" i="101"/>
  <c r="M91" i="101"/>
  <c r="L91" i="101"/>
  <c r="K91" i="101"/>
  <c r="I104" i="4"/>
  <c r="K103" i="4"/>
  <c r="W103" i="4" s="1"/>
  <c r="X103" i="4" s="1"/>
  <c r="K102" i="4"/>
  <c r="W102" i="4" s="1"/>
  <c r="X102" i="4" s="1"/>
  <c r="I103" i="4"/>
  <c r="I102" i="4"/>
  <c r="K101" i="4"/>
  <c r="W101" i="4" s="1"/>
  <c r="X101" i="4" s="1"/>
  <c r="I105" i="4"/>
  <c r="I101" i="4"/>
  <c r="O135" i="101"/>
  <c r="P135" i="101"/>
  <c r="M135" i="101"/>
  <c r="N135" i="101"/>
  <c r="K135" i="101"/>
  <c r="L135" i="101"/>
  <c r="I135" i="101"/>
  <c r="J135" i="101"/>
  <c r="G135" i="101"/>
  <c r="H135" i="101"/>
  <c r="F135" i="101"/>
  <c r="O133" i="101"/>
  <c r="P133" i="101"/>
  <c r="M133" i="101"/>
  <c r="N133" i="101"/>
  <c r="K133" i="101"/>
  <c r="L133" i="101"/>
  <c r="I133" i="101"/>
  <c r="J133" i="101"/>
  <c r="G133" i="101"/>
  <c r="H133" i="101"/>
  <c r="F133" i="101"/>
  <c r="C88" i="62575"/>
  <c r="I273" i="4"/>
  <c r="J273" i="4" s="1"/>
  <c r="K273" i="4"/>
  <c r="W273" i="4" s="1"/>
  <c r="G234" i="4"/>
  <c r="G212" i="4"/>
  <c r="G211" i="4"/>
  <c r="G210" i="4"/>
  <c r="K91" i="4"/>
  <c r="W91" i="4" s="1"/>
  <c r="G91" i="4"/>
  <c r="K90" i="4"/>
  <c r="W90" i="4" s="1"/>
  <c r="K89" i="4"/>
  <c r="W89" i="4" s="1"/>
  <c r="G90" i="4"/>
  <c r="G89" i="4"/>
  <c r="J95" i="4"/>
  <c r="C115" i="101"/>
  <c r="J94" i="4"/>
  <c r="G428" i="4"/>
  <c r="W210" i="4"/>
  <c r="J130" i="4"/>
  <c r="W212" i="4"/>
  <c r="W211" i="4"/>
  <c r="C104" i="4"/>
  <c r="K104" i="4" s="1"/>
  <c r="W234" i="4"/>
  <c r="H94" i="4"/>
  <c r="E95" i="4"/>
  <c r="E94" i="4"/>
  <c r="F94" i="4"/>
  <c r="H95" i="4"/>
  <c r="F95" i="4"/>
  <c r="C357" i="4"/>
  <c r="D357" i="4" s="1"/>
  <c r="C104" i="62590"/>
  <c r="C129" i="4"/>
  <c r="I129" i="4" s="1"/>
  <c r="C106" i="62590"/>
  <c r="C107" i="62590" s="1"/>
  <c r="C34" i="1445" s="1"/>
  <c r="C41" i="1445" s="1"/>
  <c r="C30" i="62590"/>
  <c r="C91" i="62590"/>
  <c r="C29" i="62590"/>
  <c r="C103" i="4"/>
  <c r="C101" i="4"/>
  <c r="F101" i="4" s="1"/>
  <c r="C50" i="62590"/>
  <c r="C51" i="62590" s="1"/>
  <c r="C105" i="4"/>
  <c r="K105" i="4" s="1"/>
  <c r="C108" i="4"/>
  <c r="C107" i="4"/>
  <c r="C110" i="4"/>
  <c r="C109" i="4"/>
  <c r="C63" i="62590"/>
  <c r="C64" i="62590" s="1"/>
  <c r="C66" i="62590" s="1"/>
  <c r="C52" i="62590"/>
  <c r="C54" i="62590"/>
  <c r="C53" i="62590"/>
  <c r="C99" i="4"/>
  <c r="C97" i="4"/>
  <c r="C98" i="4"/>
  <c r="C47" i="62590"/>
  <c r="K97" i="4" s="1"/>
  <c r="C237" i="4"/>
  <c r="C136" i="62590"/>
  <c r="C274" i="4" s="1"/>
  <c r="C183" i="62588"/>
  <c r="C201" i="62588" s="1"/>
  <c r="C96" i="3079"/>
  <c r="C97" i="3079"/>
  <c r="C65" i="4" s="1"/>
  <c r="C137" i="62588"/>
  <c r="C138" i="62588" s="1"/>
  <c r="C141" i="62588" s="1"/>
  <c r="C142" i="62588" s="1"/>
  <c r="H10" i="2" s="1"/>
  <c r="C116" i="62588" a="1"/>
  <c r="C123" i="62588" s="1"/>
  <c r="C53" i="62593"/>
  <c r="C123" i="267" s="1"/>
  <c r="C174" i="62582"/>
  <c r="C183" i="62582" s="1" a="1"/>
  <c r="C183" i="62582" s="1"/>
  <c r="G413" i="4"/>
  <c r="C181" i="62582"/>
  <c r="C177" i="62582"/>
  <c r="C182" i="62582"/>
  <c r="C178" i="62582"/>
  <c r="C180" i="62582"/>
  <c r="C179" i="62582"/>
  <c r="H210" i="4"/>
  <c r="F210" i="4"/>
  <c r="E210" i="4"/>
  <c r="E128" i="101"/>
  <c r="E239" i="4"/>
  <c r="D204" i="101"/>
  <c r="D26" i="101"/>
  <c r="C54" i="62593"/>
  <c r="D25" i="101"/>
  <c r="D27" i="101"/>
  <c r="D24" i="101"/>
  <c r="D28" i="101"/>
  <c r="F212" i="4"/>
  <c r="E212" i="4"/>
  <c r="H212" i="4"/>
  <c r="W85" i="4"/>
  <c r="F85" i="4"/>
  <c r="H85" i="4"/>
  <c r="E95" i="101"/>
  <c r="E91" i="4"/>
  <c r="F91" i="4"/>
  <c r="H91" i="4"/>
  <c r="E211" i="4"/>
  <c r="H211" i="4"/>
  <c r="F211" i="4"/>
  <c r="W86" i="4"/>
  <c r="H86" i="4"/>
  <c r="F86" i="4"/>
  <c r="F89" i="4"/>
  <c r="H89" i="4"/>
  <c r="E89" i="4"/>
  <c r="K127" i="4"/>
  <c r="W127" i="4" s="1"/>
  <c r="J127" i="4"/>
  <c r="H90" i="4"/>
  <c r="F90" i="4"/>
  <c r="E90" i="4"/>
  <c r="C157" i="62590" l="1"/>
  <c r="C158" i="62590"/>
  <c r="C159" i="62590" s="1"/>
  <c r="C160" i="62590" s="1"/>
  <c r="C150" i="62590"/>
  <c r="C153" i="62590" s="1"/>
  <c r="C154" i="62590" s="1"/>
  <c r="G98" i="4"/>
  <c r="K98" i="4"/>
  <c r="W98" i="4" s="1"/>
  <c r="X98" i="4" s="1"/>
  <c r="G99" i="4"/>
  <c r="G97" i="4"/>
  <c r="K99" i="4"/>
  <c r="W99" i="4" s="1"/>
  <c r="X99" i="4" s="1"/>
  <c r="K109" i="4"/>
  <c r="W109" i="4" s="1"/>
  <c r="X109" i="4" s="1"/>
  <c r="I109" i="4"/>
  <c r="K107" i="4"/>
  <c r="W107" i="4" s="1"/>
  <c r="X107" i="4" s="1"/>
  <c r="I107" i="4"/>
  <c r="K108" i="4"/>
  <c r="I108" i="4"/>
  <c r="K110" i="4"/>
  <c r="W110" i="4" s="1"/>
  <c r="X110" i="4" s="1"/>
  <c r="I110" i="4"/>
  <c r="P128" i="101"/>
  <c r="Q128" i="101"/>
  <c r="N128" i="101"/>
  <c r="O128" i="101"/>
  <c r="L128" i="101"/>
  <c r="M128" i="101"/>
  <c r="J128" i="101"/>
  <c r="K128" i="101"/>
  <c r="H128" i="101"/>
  <c r="I128" i="101"/>
  <c r="F128" i="101"/>
  <c r="G128" i="101"/>
  <c r="P95" i="101"/>
  <c r="Q95" i="101"/>
  <c r="N95" i="101"/>
  <c r="O95" i="101"/>
  <c r="L95" i="101"/>
  <c r="M95" i="101"/>
  <c r="J95" i="101"/>
  <c r="K95" i="101"/>
  <c r="H95" i="101"/>
  <c r="I95" i="101"/>
  <c r="F95" i="101"/>
  <c r="G95" i="101"/>
  <c r="K274" i="4"/>
  <c r="W274" i="4" s="1"/>
  <c r="I274" i="4"/>
  <c r="J274" i="4" s="1"/>
  <c r="K237" i="4"/>
  <c r="W237" i="4" s="1"/>
  <c r="X237" i="4" s="1"/>
  <c r="I237" i="4"/>
  <c r="G237" i="4"/>
  <c r="K65" i="4"/>
  <c r="W65" i="4" s="1"/>
  <c r="I65" i="4"/>
  <c r="J65" i="4" s="1"/>
  <c r="G239" i="4"/>
  <c r="K239" i="4"/>
  <c r="W239" i="4" s="1"/>
  <c r="C64" i="4"/>
  <c r="C135" i="101"/>
  <c r="K130" i="4"/>
  <c r="W130" i="4" s="1"/>
  <c r="X130" i="4" s="1"/>
  <c r="W108" i="4"/>
  <c r="X108" i="4" s="1"/>
  <c r="W104" i="4"/>
  <c r="X104" i="4" s="1"/>
  <c r="H104" i="4"/>
  <c r="F104" i="4"/>
  <c r="W105" i="4"/>
  <c r="X105" i="4" s="1"/>
  <c r="J129" i="4"/>
  <c r="C228" i="4"/>
  <c r="C161" i="62590"/>
  <c r="J103" i="4"/>
  <c r="C108" i="62590"/>
  <c r="H105" i="4"/>
  <c r="G357" i="4"/>
  <c r="C105" i="62590"/>
  <c r="E357" i="4"/>
  <c r="C31" i="62590"/>
  <c r="C32" i="62590" s="1"/>
  <c r="C95" i="62590"/>
  <c r="C96" i="62590" s="1"/>
  <c r="C93" i="62590"/>
  <c r="F105" i="4"/>
  <c r="H101" i="4"/>
  <c r="C90" i="62593"/>
  <c r="C65" i="62590"/>
  <c r="F109" i="4"/>
  <c r="H109" i="4"/>
  <c r="H110" i="4"/>
  <c r="F110" i="4"/>
  <c r="H107" i="4"/>
  <c r="F107" i="4"/>
  <c r="F108" i="4"/>
  <c r="H108" i="4"/>
  <c r="C55" i="62590"/>
  <c r="C57" i="62590"/>
  <c r="C59" i="62590"/>
  <c r="C102" i="4" s="1"/>
  <c r="J102" i="4" s="1"/>
  <c r="C56" i="62590"/>
  <c r="C37" i="62575"/>
  <c r="C38" i="62575" s="1"/>
  <c r="J237" i="4"/>
  <c r="E237" i="4"/>
  <c r="F237" i="4"/>
  <c r="H237" i="4"/>
  <c r="D31" i="101"/>
  <c r="C31" i="101" s="1"/>
  <c r="I98" i="4" s="1"/>
  <c r="D32" i="101"/>
  <c r="C32" i="101" s="1"/>
  <c r="I99" i="4" s="1"/>
  <c r="D30" i="101"/>
  <c r="C30" i="101" s="1"/>
  <c r="I97" i="4" s="1"/>
  <c r="C69" i="62593"/>
  <c r="W97" i="4"/>
  <c r="H97" i="4"/>
  <c r="F97" i="4"/>
  <c r="E97" i="4"/>
  <c r="E98" i="4"/>
  <c r="H98" i="4"/>
  <c r="F98" i="4"/>
  <c r="F99" i="4"/>
  <c r="E99" i="4"/>
  <c r="H99" i="4"/>
  <c r="C186" i="62588"/>
  <c r="C56" i="62593"/>
  <c r="C121" i="62588"/>
  <c r="C128" i="62588"/>
  <c r="C117" i="62588"/>
  <c r="C122" i="62588"/>
  <c r="C127" i="62588"/>
  <c r="C148" i="62588" s="1"/>
  <c r="H15" i="2" s="1"/>
  <c r="C125" i="62588"/>
  <c r="C119" i="62588"/>
  <c r="C116" i="62588"/>
  <c r="C162" i="62588" s="1"/>
  <c r="C118" i="62588"/>
  <c r="C120" i="62588"/>
  <c r="C124" i="62588"/>
  <c r="C126" i="62588"/>
  <c r="C163" i="62588" s="1"/>
  <c r="C55" i="62593"/>
  <c r="C133" i="267" s="1"/>
  <c r="X273" i="4"/>
  <c r="C187" i="62582"/>
  <c r="C186" i="62582"/>
  <c r="C185" i="62582"/>
  <c r="C184" i="62582"/>
  <c r="X127" i="4"/>
  <c r="C256" i="62582"/>
  <c r="C188" i="62588" l="1"/>
  <c r="C190" i="62588" s="1"/>
  <c r="C192" i="62588" s="1"/>
  <c r="C187" i="62588"/>
  <c r="C179" i="62590"/>
  <c r="C185" i="62590"/>
  <c r="K228" i="4"/>
  <c r="W228" i="4" s="1"/>
  <c r="X228" i="4" s="1"/>
  <c r="I228" i="4"/>
  <c r="G228" i="4"/>
  <c r="K64" i="4"/>
  <c r="W64" i="4" s="1"/>
  <c r="I64" i="4"/>
  <c r="J64" i="4" s="1"/>
  <c r="J101" i="4"/>
  <c r="F228" i="4"/>
  <c r="K129" i="4"/>
  <c r="W129" i="4" s="1"/>
  <c r="X129" i="4" s="1"/>
  <c r="C180" i="62590"/>
  <c r="C92" i="62590"/>
  <c r="C94" i="62590" s="1"/>
  <c r="C97" i="62590" s="1"/>
  <c r="C98" i="62590" s="1"/>
  <c r="H228" i="4"/>
  <c r="I357" i="4"/>
  <c r="J357" i="4" s="1"/>
  <c r="C111" i="62590"/>
  <c r="C109" i="62590"/>
  <c r="C143" i="62590"/>
  <c r="C144" i="62590" s="1"/>
  <c r="C145" i="62590" s="1"/>
  <c r="C433" i="4" s="1"/>
  <c r="E433" i="4" s="1"/>
  <c r="C99" i="62590"/>
  <c r="C353" i="4"/>
  <c r="C350" i="4"/>
  <c r="C92" i="62593"/>
  <c r="C351" i="4"/>
  <c r="C352" i="4"/>
  <c r="C133" i="62590"/>
  <c r="C51" i="62575"/>
  <c r="C78" i="62590"/>
  <c r="I450" i="4"/>
  <c r="C450" i="4"/>
  <c r="C87" i="62590"/>
  <c r="C55" i="1445"/>
  <c r="X274" i="4"/>
  <c r="C69" i="62590"/>
  <c r="C70" i="62590"/>
  <c r="C91" i="62593"/>
  <c r="C67" i="62590"/>
  <c r="C58" i="62590"/>
  <c r="E104" i="4"/>
  <c r="J104" i="4" s="1"/>
  <c r="G104" i="4"/>
  <c r="C134" i="62590"/>
  <c r="E101" i="4"/>
  <c r="G101" i="4"/>
  <c r="C70" i="62593"/>
  <c r="C71" i="62593" s="1"/>
  <c r="C74" i="62593" s="1"/>
  <c r="C204" i="62588"/>
  <c r="X65" i="4"/>
  <c r="C119" i="267"/>
  <c r="C120" i="267" s="1"/>
  <c r="C57" i="62593"/>
  <c r="C164" i="62588"/>
  <c r="C165" i="62588" s="1"/>
  <c r="H14" i="2" s="1"/>
  <c r="C174" i="62588"/>
  <c r="C175" i="62588" s="1"/>
  <c r="H13" i="2" s="1"/>
  <c r="C169" i="62588"/>
  <c r="C170" i="62588" s="1"/>
  <c r="H12" i="2" s="1"/>
  <c r="C152" i="62588"/>
  <c r="C153" i="62588" s="1"/>
  <c r="H11" i="2" s="1"/>
  <c r="C130" i="62588"/>
  <c r="C207" i="62582" a="1"/>
  <c r="C210" i="62582" s="1"/>
  <c r="C192" i="62582" a="1"/>
  <c r="C204" i="62582" s="1"/>
  <c r="C203" i="62588" l="1"/>
  <c r="C210" i="62588" s="1" a="1"/>
  <c r="C189" i="62588"/>
  <c r="C191" i="62588" s="1"/>
  <c r="C8" i="3079" s="1"/>
  <c r="I352" i="4"/>
  <c r="K352" i="4"/>
  <c r="W352" i="4" s="1"/>
  <c r="K351" i="4"/>
  <c r="I351" i="4"/>
  <c r="I350" i="4"/>
  <c r="K350" i="4"/>
  <c r="W350" i="4" s="1"/>
  <c r="K353" i="4"/>
  <c r="W353" i="4" s="1"/>
  <c r="I353" i="4"/>
  <c r="X64" i="4"/>
  <c r="W351" i="4"/>
  <c r="C184" i="62590"/>
  <c r="C186" i="62590" s="1"/>
  <c r="H433" i="4"/>
  <c r="F433" i="4"/>
  <c r="G433" i="4"/>
  <c r="D188" i="101"/>
  <c r="C188" i="101" s="1"/>
  <c r="E228" i="4"/>
  <c r="G450" i="4"/>
  <c r="E450" i="4" s="1"/>
  <c r="E351" i="4"/>
  <c r="G351" i="4"/>
  <c r="F351" i="4"/>
  <c r="H351" i="4"/>
  <c r="F350" i="4"/>
  <c r="E350" i="4"/>
  <c r="H350" i="4"/>
  <c r="G350" i="4"/>
  <c r="C79" i="62590"/>
  <c r="D201" i="101"/>
  <c r="C201" i="101" s="1"/>
  <c r="E353" i="4"/>
  <c r="G353" i="4"/>
  <c r="H353" i="4"/>
  <c r="F353" i="4"/>
  <c r="H352" i="4"/>
  <c r="F352" i="4"/>
  <c r="C100" i="62590"/>
  <c r="E352" i="4" s="1"/>
  <c r="C355" i="4"/>
  <c r="C88" i="62590"/>
  <c r="C164" i="4"/>
  <c r="C165" i="4"/>
  <c r="C163" i="4"/>
  <c r="C68" i="62590"/>
  <c r="G107" i="4"/>
  <c r="E107" i="4"/>
  <c r="J107" i="4" s="1"/>
  <c r="E109" i="4"/>
  <c r="J109" i="4" s="1"/>
  <c r="G109" i="4"/>
  <c r="G110" i="4"/>
  <c r="E110" i="4"/>
  <c r="J110" i="4" s="1"/>
  <c r="C195" i="4"/>
  <c r="C194" i="4"/>
  <c r="C196" i="4"/>
  <c r="G105" i="4"/>
  <c r="E105" i="4"/>
  <c r="J105" i="4" s="1"/>
  <c r="C58" i="62593"/>
  <c r="C62" i="62593" s="1"/>
  <c r="C129" i="267"/>
  <c r="C130" i="267" s="1"/>
  <c r="C131" i="267" s="1"/>
  <c r="C132" i="267" s="1"/>
  <c r="C134" i="267" s="1"/>
  <c r="C196" i="62582"/>
  <c r="C207" i="62582"/>
  <c r="C200" i="62582"/>
  <c r="C198" i="62582"/>
  <c r="C194" i="62582"/>
  <c r="C217" i="62582"/>
  <c r="C193" i="62582"/>
  <c r="C202" i="62582"/>
  <c r="C197" i="62582"/>
  <c r="C209" i="62582"/>
  <c r="C192" i="62582"/>
  <c r="C203" i="62582"/>
  <c r="C199" i="62582"/>
  <c r="C218" i="62582"/>
  <c r="C212" i="62582"/>
  <c r="C214" i="62582"/>
  <c r="C195" i="62582"/>
  <c r="C201" i="62582"/>
  <c r="C211" i="62582"/>
  <c r="C215" i="62582"/>
  <c r="C213" i="62582"/>
  <c r="C219" i="62582"/>
  <c r="C208" i="62582"/>
  <c r="C216" i="62582"/>
  <c r="C255" i="62582"/>
  <c r="C231" i="62588"/>
  <c r="C105" i="62594"/>
  <c r="C275" i="62582"/>
  <c r="C253" i="62588" l="1"/>
  <c r="C234" i="62588"/>
  <c r="C235" i="62588" s="1"/>
  <c r="C239" i="62588"/>
  <c r="C242" i="62588" s="1"/>
  <c r="C243" i="62588" s="1"/>
  <c r="C271" i="62588"/>
  <c r="C258" i="62588"/>
  <c r="C238" i="62588"/>
  <c r="C259" i="62588"/>
  <c r="C266" i="62588"/>
  <c r="C106" i="62594"/>
  <c r="C107" i="62594" s="1"/>
  <c r="G92" i="2"/>
  <c r="C13" i="1445"/>
  <c r="C40" i="3079"/>
  <c r="C41" i="3079" s="1"/>
  <c r="C42" i="3079" s="1"/>
  <c r="C40" i="62593" s="1"/>
  <c r="C14" i="3079"/>
  <c r="C17" i="3079" s="1"/>
  <c r="C19" i="3079" s="1"/>
  <c r="I355" i="4"/>
  <c r="K355" i="4"/>
  <c r="W355" i="4" s="1"/>
  <c r="K194" i="4"/>
  <c r="W194" i="4" s="1"/>
  <c r="X194" i="4" s="1"/>
  <c r="I194" i="4"/>
  <c r="J194" i="4" s="1"/>
  <c r="G194" i="4"/>
  <c r="K195" i="4"/>
  <c r="W195" i="4" s="1"/>
  <c r="X195" i="4" s="1"/>
  <c r="I195" i="4"/>
  <c r="J195" i="4" s="1"/>
  <c r="G195" i="4"/>
  <c r="K163" i="4"/>
  <c r="W163" i="4" s="1"/>
  <c r="G163" i="4"/>
  <c r="G165" i="4"/>
  <c r="K165" i="4"/>
  <c r="W165" i="4" s="1"/>
  <c r="G196" i="4"/>
  <c r="K196" i="4"/>
  <c r="W196" i="4" s="1"/>
  <c r="X196" i="4" s="1"/>
  <c r="I196" i="4"/>
  <c r="J196" i="4" s="1"/>
  <c r="K164" i="4"/>
  <c r="W164" i="4" s="1"/>
  <c r="G164" i="4"/>
  <c r="J350" i="4"/>
  <c r="X350" i="4" s="1"/>
  <c r="J352" i="4"/>
  <c r="X352" i="4" s="1"/>
  <c r="J353" i="4"/>
  <c r="X353" i="4" s="1"/>
  <c r="J351" i="4"/>
  <c r="X351" i="4" s="1"/>
  <c r="G352" i="4"/>
  <c r="F163" i="4"/>
  <c r="H163" i="4"/>
  <c r="E163" i="4"/>
  <c r="E165" i="4"/>
  <c r="H165" i="4"/>
  <c r="F165" i="4"/>
  <c r="H164" i="4"/>
  <c r="E164" i="4"/>
  <c r="F164" i="4"/>
  <c r="E355" i="4"/>
  <c r="F355" i="4" s="1"/>
  <c r="G355" i="4"/>
  <c r="H355" i="4" s="1"/>
  <c r="E108" i="4"/>
  <c r="J108" i="4" s="1"/>
  <c r="G108" i="4"/>
  <c r="F196" i="4"/>
  <c r="H196" i="4"/>
  <c r="E196" i="4"/>
  <c r="H194" i="4"/>
  <c r="F194" i="4"/>
  <c r="E194" i="4"/>
  <c r="E195" i="4"/>
  <c r="H195" i="4"/>
  <c r="F195" i="4"/>
  <c r="C222" i="62588"/>
  <c r="C216" i="62588"/>
  <c r="C219" i="62588"/>
  <c r="C221" i="62588"/>
  <c r="C250" i="62588" s="1"/>
  <c r="C213" i="62588"/>
  <c r="C212" i="62588"/>
  <c r="C218" i="62588"/>
  <c r="C211" i="62588"/>
  <c r="C210" i="62588"/>
  <c r="C217" i="62588"/>
  <c r="C220" i="62588"/>
  <c r="C215" i="62588"/>
  <c r="C214" i="62588"/>
  <c r="C92" i="4"/>
  <c r="C135" i="267"/>
  <c r="C93" i="4" s="1"/>
  <c r="C121" i="267"/>
  <c r="C254" i="62582"/>
  <c r="C222" i="62582" a="1"/>
  <c r="C233" i="62582" s="1"/>
  <c r="C323" i="62582" s="1"/>
  <c r="C257" i="62582"/>
  <c r="C261" i="62582" s="1"/>
  <c r="C332" i="62582" s="1"/>
  <c r="C334" i="62582" s="1"/>
  <c r="C335" i="62582" s="1"/>
  <c r="C314" i="62582"/>
  <c r="C279" i="62582"/>
  <c r="C278" i="62582"/>
  <c r="C282" i="62582" s="1"/>
  <c r="C284" i="62582" s="1"/>
  <c r="C298" i="62582"/>
  <c r="C308" i="62582"/>
  <c r="C303" i="62582"/>
  <c r="C313" i="62582"/>
  <c r="C280" i="62582"/>
  <c r="C292" i="62582" s="1"/>
  <c r="C293" i="62582" s="1"/>
  <c r="C237" i="62582" a="1"/>
  <c r="C238" i="62582" s="1"/>
  <c r="C240" i="62588" l="1"/>
  <c r="C241" i="62588" s="1"/>
  <c r="C244" i="62588" s="1"/>
  <c r="C245" i="62588" s="1"/>
  <c r="C57" i="4"/>
  <c r="F57" i="4" s="1"/>
  <c r="C56" i="4"/>
  <c r="H56" i="4" s="1"/>
  <c r="C236" i="62588"/>
  <c r="C18" i="3079"/>
  <c r="C87" i="267" s="1"/>
  <c r="C26" i="3079"/>
  <c r="C71" i="62592" s="1"/>
  <c r="C295" i="4" s="1"/>
  <c r="K295" i="4" s="1"/>
  <c r="C261" i="62588"/>
  <c r="C422" i="4"/>
  <c r="H422" i="4" s="1"/>
  <c r="C425" i="4"/>
  <c r="H425" i="4" s="1"/>
  <c r="I93" i="4"/>
  <c r="J93" i="4" s="1"/>
  <c r="K93" i="4"/>
  <c r="W93" i="4" s="1"/>
  <c r="I92" i="4"/>
  <c r="J92" i="4" s="1"/>
  <c r="K92" i="4"/>
  <c r="W92" i="4" s="1"/>
  <c r="J355" i="4"/>
  <c r="X355" i="4" s="1"/>
  <c r="D59" i="62583" a="1"/>
  <c r="D59" i="62583" s="1"/>
  <c r="C20" i="3079"/>
  <c r="C272" i="62588"/>
  <c r="C273" i="62588" s="1"/>
  <c r="C267" i="62588"/>
  <c r="C268" i="62588" s="1"/>
  <c r="C260" i="62588"/>
  <c r="C224" i="62588"/>
  <c r="C254" i="62588"/>
  <c r="C255" i="62588" s="1"/>
  <c r="C80" i="3079"/>
  <c r="D34" i="101"/>
  <c r="D35" i="101"/>
  <c r="C51" i="4"/>
  <c r="C52" i="4"/>
  <c r="C64" i="62592"/>
  <c r="C36" i="1445"/>
  <c r="C45" i="1445" s="1"/>
  <c r="C122" i="267"/>
  <c r="C281" i="62582"/>
  <c r="C283" i="62582" s="1"/>
  <c r="C285" i="62582" s="1"/>
  <c r="C286" i="62582" s="1"/>
  <c r="C289" i="62582" s="1"/>
  <c r="C290" i="62582" s="1"/>
  <c r="C291" i="62582" s="1"/>
  <c r="C294" i="62582" s="1"/>
  <c r="C295" i="62582" s="1"/>
  <c r="C249" i="62582"/>
  <c r="C247" i="62582"/>
  <c r="C336" i="62582"/>
  <c r="C241" i="62582"/>
  <c r="C227" i="62582"/>
  <c r="C224" i="62582"/>
  <c r="C223" i="62582"/>
  <c r="C333" i="62582"/>
  <c r="C222" i="62582"/>
  <c r="C315" i="62582" s="1"/>
  <c r="C225" i="62582"/>
  <c r="C228" i="62582"/>
  <c r="C239" i="62582"/>
  <c r="C245" i="62582"/>
  <c r="C231" i="62582"/>
  <c r="C226" i="62582"/>
  <c r="C232" i="62582"/>
  <c r="C316" i="62582" s="1"/>
  <c r="C248" i="62582"/>
  <c r="C240" i="62582"/>
  <c r="C229" i="62582"/>
  <c r="C230" i="62582"/>
  <c r="C234" i="62582"/>
  <c r="C244" i="62582"/>
  <c r="C237" i="62582"/>
  <c r="C242" i="62582"/>
  <c r="C243" i="62582"/>
  <c r="C246" i="62582"/>
  <c r="C227" i="62588"/>
  <c r="C258" i="62582"/>
  <c r="K56" i="4" l="1"/>
  <c r="W56" i="4" s="1"/>
  <c r="E57" i="4"/>
  <c r="G57" i="4"/>
  <c r="K57" i="4"/>
  <c r="W57" i="4" s="1"/>
  <c r="H57" i="4"/>
  <c r="C57" i="3079"/>
  <c r="C61" i="3079" s="1"/>
  <c r="B422" i="4" s="1"/>
  <c r="E422" i="4" s="1"/>
  <c r="G422" i="4" s="1"/>
  <c r="E56" i="4"/>
  <c r="G56" i="4"/>
  <c r="C27" i="3079"/>
  <c r="C10" i="62592" s="1"/>
  <c r="F56" i="4"/>
  <c r="C66" i="62592"/>
  <c r="C32" i="1445" s="1"/>
  <c r="C39" i="1445" s="1"/>
  <c r="C25" i="62592"/>
  <c r="C36" i="62592" s="1"/>
  <c r="C215" i="4"/>
  <c r="C216" i="4"/>
  <c r="C38" i="62592"/>
  <c r="C170" i="4" s="1"/>
  <c r="K170" i="4" s="1"/>
  <c r="C262" i="62588"/>
  <c r="C263" i="62588" s="1"/>
  <c r="C33" i="1445"/>
  <c r="C91" i="62575"/>
  <c r="C91" i="267"/>
  <c r="B425" i="4" s="1"/>
  <c r="E425" i="4" s="1"/>
  <c r="G425" i="4" s="1"/>
  <c r="K52" i="4"/>
  <c r="W52" i="4" s="1"/>
  <c r="G52" i="4"/>
  <c r="K51" i="4"/>
  <c r="W51" i="4" s="1"/>
  <c r="G51" i="4"/>
  <c r="C33" i="62593"/>
  <c r="C34" i="62593" s="1"/>
  <c r="C75" i="3079" s="1"/>
  <c r="H52" i="4"/>
  <c r="F51" i="4"/>
  <c r="C272" i="4"/>
  <c r="D63" i="62583"/>
  <c r="D69" i="62583"/>
  <c r="D64" i="62583"/>
  <c r="D70" i="62583"/>
  <c r="D62" i="62583"/>
  <c r="D67" i="62583"/>
  <c r="D65" i="62583"/>
  <c r="D66" i="62583"/>
  <c r="D68" i="62583"/>
  <c r="D60" i="62583"/>
  <c r="D71" i="62583"/>
  <c r="D61" i="62583"/>
  <c r="C70" i="3079"/>
  <c r="D12" i="101"/>
  <c r="D11" i="101"/>
  <c r="F52" i="4"/>
  <c r="H51" i="4"/>
  <c r="C228" i="62588"/>
  <c r="E51" i="4"/>
  <c r="H9" i="2"/>
  <c r="J295" i="4"/>
  <c r="W295" i="4"/>
  <c r="C41" i="62593"/>
  <c r="C42" i="62593" s="1"/>
  <c r="E52" i="4"/>
  <c r="X93" i="4"/>
  <c r="X92" i="4"/>
  <c r="C124" i="267"/>
  <c r="C125" i="267"/>
  <c r="C88" i="4" s="1"/>
  <c r="C321" i="62582"/>
  <c r="C322" i="62582" s="1"/>
  <c r="C304" i="62582"/>
  <c r="C305" i="62582" s="1"/>
  <c r="C309" i="62582"/>
  <c r="C310" i="62582" s="1"/>
  <c r="C317" i="62582"/>
  <c r="C318" i="62582" s="1"/>
  <c r="C251" i="62582"/>
  <c r="C252" i="62582" s="1"/>
  <c r="C253" i="62582" s="1"/>
  <c r="C262" i="62582" s="1"/>
  <c r="C338" i="62582" s="1"/>
  <c r="C299" i="62582"/>
  <c r="C300" i="62582" s="1"/>
  <c r="C259" i="62582"/>
  <c r="C264" i="62582"/>
  <c r="D114" i="62583" l="1" a="1"/>
  <c r="D123" i="62583" s="1"/>
  <c r="G215" i="4"/>
  <c r="G216" i="4"/>
  <c r="D155" i="101"/>
  <c r="D154" i="101"/>
  <c r="C82" i="62592"/>
  <c r="C275" i="4"/>
  <c r="K275" i="4" s="1"/>
  <c r="W275" i="4" s="1"/>
  <c r="C83" i="62592"/>
  <c r="C31" i="1445"/>
  <c r="C80" i="62592"/>
  <c r="C85" i="62592" s="1"/>
  <c r="C287" i="4" s="1"/>
  <c r="K287" i="4" s="1"/>
  <c r="C138" i="4"/>
  <c r="K138" i="4" s="1"/>
  <c r="W138" i="4" s="1"/>
  <c r="C81" i="62592"/>
  <c r="C84" i="62592" s="1"/>
  <c r="C288" i="4" s="1"/>
  <c r="K288" i="4" s="1"/>
  <c r="C139" i="4"/>
  <c r="K139" i="4" s="1"/>
  <c r="W139" i="4" s="1"/>
  <c r="F215" i="4"/>
  <c r="H215" i="4"/>
  <c r="E215" i="4"/>
  <c r="K215" i="4"/>
  <c r="W215" i="4" s="1"/>
  <c r="F216" i="4"/>
  <c r="E216" i="4"/>
  <c r="H216" i="4"/>
  <c r="K216" i="4"/>
  <c r="W216" i="4" s="1"/>
  <c r="C171" i="4"/>
  <c r="K171" i="4" s="1"/>
  <c r="W171" i="4" s="1"/>
  <c r="X171" i="4" s="1"/>
  <c r="I272" i="4"/>
  <c r="J272" i="4" s="1"/>
  <c r="K272" i="4"/>
  <c r="W272" i="4" s="1"/>
  <c r="G170" i="4"/>
  <c r="I170" i="4"/>
  <c r="J170" i="4" s="1"/>
  <c r="I88" i="4"/>
  <c r="K88" i="4"/>
  <c r="C87" i="4"/>
  <c r="K87" i="4" s="1"/>
  <c r="W170" i="4"/>
  <c r="X170" i="4" s="1"/>
  <c r="C81" i="3079"/>
  <c r="C82" i="3079" s="1"/>
  <c r="C83" i="3079" s="1"/>
  <c r="C84" i="3079" s="1"/>
  <c r="C35" i="62593"/>
  <c r="C85" i="3079"/>
  <c r="X295" i="4"/>
  <c r="E170" i="4"/>
  <c r="F170" i="4"/>
  <c r="H170" i="4"/>
  <c r="D108" i="101"/>
  <c r="D107" i="101"/>
  <c r="D74" i="101"/>
  <c r="D73" i="101"/>
  <c r="C55" i="62594"/>
  <c r="C56" i="62594" s="1"/>
  <c r="C49" i="62594"/>
  <c r="C51" i="62594" s="1"/>
  <c r="C265" i="62582"/>
  <c r="C383" i="62582" s="1"/>
  <c r="C342" i="62582"/>
  <c r="C339" i="62582"/>
  <c r="C340" i="62582"/>
  <c r="C341" i="62582" s="1"/>
  <c r="D122" i="62583" l="1"/>
  <c r="D125" i="62583"/>
  <c r="D115" i="62583"/>
  <c r="D120" i="62583"/>
  <c r="D95" i="62583" s="1"/>
  <c r="G45" i="2" s="1"/>
  <c r="D119" i="62583"/>
  <c r="D117" i="62583"/>
  <c r="D116" i="62583"/>
  <c r="D124" i="62583"/>
  <c r="D114" i="62583"/>
  <c r="D118" i="62583"/>
  <c r="D121" i="62583"/>
  <c r="D126" i="62583"/>
  <c r="G46" i="2" s="1"/>
  <c r="J275" i="4"/>
  <c r="X275" i="4" s="1"/>
  <c r="C86" i="62592"/>
  <c r="C289" i="4" s="1"/>
  <c r="K289" i="4" s="1"/>
  <c r="W289" i="4" s="1"/>
  <c r="E138" i="4"/>
  <c r="G138" i="4"/>
  <c r="F138" i="4"/>
  <c r="H138" i="4"/>
  <c r="G139" i="4"/>
  <c r="H139" i="4"/>
  <c r="E139" i="4"/>
  <c r="F139" i="4"/>
  <c r="G171" i="4"/>
  <c r="H171" i="4"/>
  <c r="F171" i="4"/>
  <c r="I171" i="4"/>
  <c r="J171" i="4" s="1"/>
  <c r="E171" i="4"/>
  <c r="I87" i="4"/>
  <c r="E107" i="101"/>
  <c r="Q107" i="101" s="1"/>
  <c r="E73" i="101"/>
  <c r="Q73" i="101" s="1"/>
  <c r="X272" i="4"/>
  <c r="C87" i="3079"/>
  <c r="C59" i="4" s="1"/>
  <c r="C71" i="3079"/>
  <c r="C72" i="3079" s="1"/>
  <c r="C73" i="3079" s="1"/>
  <c r="C39" i="62593"/>
  <c r="C46" i="62593" s="1"/>
  <c r="C79" i="62593" s="1"/>
  <c r="C80" i="62593" s="1"/>
  <c r="C81" i="62593" s="1"/>
  <c r="D247" i="101" s="1"/>
  <c r="C63" i="62594"/>
  <c r="C68" i="62594" s="1"/>
  <c r="C70" i="62594" s="1"/>
  <c r="C25" i="62596" s="1"/>
  <c r="W287" i="4"/>
  <c r="J287" i="4"/>
  <c r="J288" i="4"/>
  <c r="W288" i="4"/>
  <c r="C86" i="3079"/>
  <c r="C267" i="62582"/>
  <c r="C268" i="62582" s="1"/>
  <c r="C368" i="62582"/>
  <c r="C369" i="62582" s="1"/>
  <c r="C370" i="62582" s="1"/>
  <c r="J289" i="4" l="1"/>
  <c r="X289" i="4" s="1"/>
  <c r="C87" i="62592"/>
  <c r="C88" i="62592" s="1"/>
  <c r="C91" i="62592" s="1"/>
  <c r="C292" i="4" s="1"/>
  <c r="K292" i="4" s="1"/>
  <c r="W292" i="4" s="1"/>
  <c r="O107" i="101"/>
  <c r="P107" i="101"/>
  <c r="M107" i="101"/>
  <c r="N107" i="101"/>
  <c r="K107" i="101"/>
  <c r="L107" i="101"/>
  <c r="I107" i="101"/>
  <c r="J107" i="101"/>
  <c r="G107" i="101"/>
  <c r="H107" i="101"/>
  <c r="F107" i="101"/>
  <c r="O73" i="101"/>
  <c r="P73" i="101"/>
  <c r="M73" i="101"/>
  <c r="N73" i="101"/>
  <c r="K73" i="101"/>
  <c r="L73" i="101"/>
  <c r="I73" i="101"/>
  <c r="J73" i="101"/>
  <c r="G73" i="101"/>
  <c r="H73" i="101"/>
  <c r="F73" i="101"/>
  <c r="I59" i="4"/>
  <c r="J59" i="4" s="1"/>
  <c r="K59" i="4"/>
  <c r="W59" i="4" s="1"/>
  <c r="C58" i="4"/>
  <c r="K58" i="4" s="1"/>
  <c r="D129" i="62583" a="1"/>
  <c r="D137" i="62583" s="1"/>
  <c r="F114" i="62583" a="1"/>
  <c r="G308" i="4"/>
  <c r="G307" i="4"/>
  <c r="C88" i="62593"/>
  <c r="C66" i="62601"/>
  <c r="G309" i="4"/>
  <c r="D248" i="101"/>
  <c r="C308" i="4"/>
  <c r="K308" i="4" s="1"/>
  <c r="D246" i="101"/>
  <c r="C35" i="62601"/>
  <c r="E310" i="4"/>
  <c r="E307" i="4"/>
  <c r="C88" i="1445"/>
  <c r="E308" i="4"/>
  <c r="C67" i="62575"/>
  <c r="C310" i="4"/>
  <c r="K310" i="4" s="1"/>
  <c r="C82" i="62593"/>
  <c r="C14" i="62601" s="1"/>
  <c r="C13" i="62601"/>
  <c r="C11" i="62575" s="1"/>
  <c r="C309" i="4"/>
  <c r="K309" i="4" s="1"/>
  <c r="G310" i="4"/>
  <c r="C307" i="4"/>
  <c r="E309" i="4"/>
  <c r="C7" i="62601"/>
  <c r="C65" i="62601" s="1"/>
  <c r="C83" i="62593"/>
  <c r="E338" i="4" s="1"/>
  <c r="C27" i="62601"/>
  <c r="C65" i="1445" s="1"/>
  <c r="C26" i="62601"/>
  <c r="C64" i="1445" s="1"/>
  <c r="C71" i="62594"/>
  <c r="C7" i="62596" s="1"/>
  <c r="X288" i="4"/>
  <c r="X287" i="4"/>
  <c r="C272" i="62582"/>
  <c r="C326" i="62582" s="1"/>
  <c r="C327" i="62582" s="1"/>
  <c r="C269" i="62582"/>
  <c r="C374" i="62582" s="1"/>
  <c r="C375" i="62582" s="1"/>
  <c r="C378" i="62582" s="1"/>
  <c r="C379" i="62582" s="1"/>
  <c r="C380" i="62582" s="1"/>
  <c r="C348" i="62582"/>
  <c r="C90" i="62592" l="1"/>
  <c r="C291" i="4" s="1"/>
  <c r="K291" i="4" s="1"/>
  <c r="W291" i="4" s="1"/>
  <c r="J292" i="4"/>
  <c r="X292" i="4" s="1"/>
  <c r="C89" i="62592"/>
  <c r="C285" i="4" s="1"/>
  <c r="K285" i="4" s="1"/>
  <c r="W285" i="4" s="1"/>
  <c r="I307" i="4"/>
  <c r="J307" i="4" s="1"/>
  <c r="K307" i="4"/>
  <c r="W307" i="4" s="1"/>
  <c r="I58" i="4"/>
  <c r="J58" i="4" s="1"/>
  <c r="W58" i="4"/>
  <c r="W309" i="4"/>
  <c r="Y309" i="4" s="1"/>
  <c r="W310" i="4"/>
  <c r="Y310" i="4" s="1"/>
  <c r="W308" i="4"/>
  <c r="Y308" i="4" s="1"/>
  <c r="G348" i="4"/>
  <c r="D135" i="62583"/>
  <c r="D138" i="62583"/>
  <c r="D136" i="62583"/>
  <c r="D132" i="62583"/>
  <c r="D131" i="62583"/>
  <c r="D134" i="62583"/>
  <c r="D130" i="62583"/>
  <c r="D141" i="62583"/>
  <c r="D133" i="62583"/>
  <c r="D139" i="62583"/>
  <c r="D140" i="62583"/>
  <c r="D129" i="62583"/>
  <c r="F114" i="62583"/>
  <c r="F115" i="62583"/>
  <c r="F121" i="62583"/>
  <c r="F116" i="62583"/>
  <c r="F120" i="62583"/>
  <c r="F118" i="62583"/>
  <c r="F124" i="62583"/>
  <c r="F123" i="62583"/>
  <c r="F125" i="62583"/>
  <c r="F117" i="62583"/>
  <c r="F122" i="62583"/>
  <c r="F119" i="62583"/>
  <c r="F126" i="62583"/>
  <c r="C15" i="62601"/>
  <c r="C13" i="62575" s="1"/>
  <c r="C68" i="62575"/>
  <c r="C70" i="62575" s="1"/>
  <c r="E324" i="4"/>
  <c r="E348" i="4"/>
  <c r="J348" i="4" s="1"/>
  <c r="X348" i="4" s="1"/>
  <c r="C338" i="4"/>
  <c r="C21" i="62601"/>
  <c r="C36" i="62601" s="1"/>
  <c r="E336" i="4"/>
  <c r="C88" i="62601"/>
  <c r="D272" i="101"/>
  <c r="C272" i="101" s="1"/>
  <c r="C323" i="4"/>
  <c r="D261" i="101"/>
  <c r="C261" i="101" s="1"/>
  <c r="E322" i="4"/>
  <c r="C322" i="4"/>
  <c r="C28" i="62601"/>
  <c r="C66" i="1445" s="1"/>
  <c r="G337" i="4"/>
  <c r="C71" i="62575"/>
  <c r="C73" i="62575" s="1"/>
  <c r="C76" i="62575" s="1"/>
  <c r="D260" i="101"/>
  <c r="C260" i="101" s="1"/>
  <c r="C90" i="1445"/>
  <c r="C321" i="4"/>
  <c r="C49" i="62601"/>
  <c r="G335" i="4"/>
  <c r="C324" i="4"/>
  <c r="C12" i="62575"/>
  <c r="C337" i="4"/>
  <c r="G323" i="4"/>
  <c r="G321" i="4"/>
  <c r="C29" i="62601"/>
  <c r="C67" i="1445" s="1"/>
  <c r="C9" i="62601"/>
  <c r="C87" i="62601" s="1"/>
  <c r="C93" i="62593"/>
  <c r="C90" i="62575" s="1"/>
  <c r="C22" i="62601"/>
  <c r="C43" i="62601" s="1"/>
  <c r="D259" i="101"/>
  <c r="C259" i="101" s="1"/>
  <c r="C89" i="1445"/>
  <c r="C77" i="62601"/>
  <c r="C16" i="62601"/>
  <c r="C17" i="62601"/>
  <c r="C42" i="62601"/>
  <c r="E335" i="4"/>
  <c r="E323" i="4"/>
  <c r="E321" i="4"/>
  <c r="C34" i="62601"/>
  <c r="G322" i="4"/>
  <c r="C8" i="62601"/>
  <c r="C76" i="62601" s="1"/>
  <c r="G324" i="4"/>
  <c r="E337" i="4"/>
  <c r="G336" i="4"/>
  <c r="D274" i="101"/>
  <c r="C274" i="101" s="1"/>
  <c r="C30" i="62601"/>
  <c r="C68" i="1445" s="1"/>
  <c r="C335" i="4"/>
  <c r="C31" i="62601"/>
  <c r="C69" i="1445" s="1"/>
  <c r="C84" i="62593"/>
  <c r="C63" i="1445" s="1"/>
  <c r="G338" i="4"/>
  <c r="D273" i="101"/>
  <c r="C273" i="101" s="1"/>
  <c r="C336" i="4"/>
  <c r="C72" i="62594"/>
  <c r="C75" i="62594" s="1"/>
  <c r="C79" i="62594" s="1"/>
  <c r="X59" i="4"/>
  <c r="C328" i="62582"/>
  <c r="C329" i="62582" s="1"/>
  <c r="C270" i="62582"/>
  <c r="C349" i="62582"/>
  <c r="C352" i="62582" s="1" a="1"/>
  <c r="C352" i="62582" s="1"/>
  <c r="C67" i="62596" s="1"/>
  <c r="J291" i="4" l="1"/>
  <c r="X291" i="4" s="1"/>
  <c r="J285" i="4"/>
  <c r="X285" i="4" s="1"/>
  <c r="C77" i="62575"/>
  <c r="C78" i="62575"/>
  <c r="I338" i="4"/>
  <c r="K338" i="4"/>
  <c r="W338" i="4" s="1"/>
  <c r="Y338" i="4" s="1"/>
  <c r="I337" i="4"/>
  <c r="K337" i="4"/>
  <c r="W337" i="4" s="1"/>
  <c r="Y337" i="4" s="1"/>
  <c r="I336" i="4"/>
  <c r="K336" i="4"/>
  <c r="W336" i="4" s="1"/>
  <c r="Y336" i="4" s="1"/>
  <c r="I335" i="4"/>
  <c r="J335" i="4" s="1"/>
  <c r="K335" i="4"/>
  <c r="W335" i="4" s="1"/>
  <c r="I324" i="4"/>
  <c r="K324" i="4"/>
  <c r="W324" i="4" s="1"/>
  <c r="Y324" i="4" s="1"/>
  <c r="I323" i="4"/>
  <c r="K323" i="4"/>
  <c r="W323" i="4" s="1"/>
  <c r="Y323" i="4" s="1"/>
  <c r="I322" i="4"/>
  <c r="K322" i="4"/>
  <c r="W322" i="4" s="1"/>
  <c r="Y322" i="4" s="1"/>
  <c r="I321" i="4"/>
  <c r="J321" i="4" s="1"/>
  <c r="K321" i="4"/>
  <c r="W321" i="4" s="1"/>
  <c r="Y321" i="4" s="1"/>
  <c r="X58" i="4"/>
  <c r="Y307" i="4"/>
  <c r="X307" i="4"/>
  <c r="C420" i="4"/>
  <c r="C70" i="1445"/>
  <c r="G420" i="4" s="1"/>
  <c r="H420" i="4" s="1"/>
  <c r="D143" i="62583"/>
  <c r="D144" i="62583" s="1"/>
  <c r="C23" i="62601"/>
  <c r="C89" i="62601" s="1"/>
  <c r="C90" i="62601" s="1"/>
  <c r="C91" i="62601" s="1"/>
  <c r="C93" i="62601" s="1"/>
  <c r="C94" i="62601" s="1"/>
  <c r="G147" i="62601" s="1"/>
  <c r="K147" i="62601" s="1"/>
  <c r="C18" i="62601"/>
  <c r="C19" i="62601" s="1"/>
  <c r="C435" i="4" s="1"/>
  <c r="G435" i="4" s="1"/>
  <c r="C67" i="62601"/>
  <c r="C68" i="62601" s="1"/>
  <c r="C69" i="62601" s="1"/>
  <c r="C71" i="62601" s="1"/>
  <c r="C73" i="62601" s="1"/>
  <c r="C74" i="62601" s="1"/>
  <c r="C37" i="62601"/>
  <c r="G112" i="62601" s="1"/>
  <c r="K112" i="62601" s="1"/>
  <c r="C369" i="4"/>
  <c r="C48" i="62601"/>
  <c r="C78" i="62601"/>
  <c r="C79" i="62601" s="1"/>
  <c r="C80" i="62601" s="1"/>
  <c r="C82" i="62601" s="1"/>
  <c r="C10" i="62575"/>
  <c r="C14" i="62575" s="1"/>
  <c r="C74" i="62594"/>
  <c r="D369" i="4"/>
  <c r="C80" i="62575"/>
  <c r="C41" i="62601"/>
  <c r="C44" i="62601" s="1"/>
  <c r="G121" i="62601" s="1"/>
  <c r="K121" i="62601" s="1"/>
  <c r="C36" i="62575"/>
  <c r="C53" i="62575" s="1"/>
  <c r="C73" i="62594"/>
  <c r="C108" i="62594" s="1"/>
  <c r="C89" i="62593"/>
  <c r="C44" i="1445"/>
  <c r="C78" i="62594"/>
  <c r="C80" i="62594" s="1"/>
  <c r="C90" i="62594"/>
  <c r="C330" i="62582"/>
  <c r="C360" i="62582" s="1"/>
  <c r="C353" i="62582"/>
  <c r="C92" i="62596"/>
  <c r="C46" i="62596"/>
  <c r="C69" i="62596" s="1"/>
  <c r="C94" i="62596"/>
  <c r="C114" i="62590" l="1"/>
  <c r="C5" i="62593"/>
  <c r="C12" i="62593"/>
  <c r="Y335" i="4"/>
  <c r="Y360" i="4" s="1"/>
  <c r="X335" i="4"/>
  <c r="C46" i="1445"/>
  <c r="C58" i="1445" s="1"/>
  <c r="C92" i="62592" s="1"/>
  <c r="C50" i="62601"/>
  <c r="C51" i="62601" s="1"/>
  <c r="G132" i="62601" s="1"/>
  <c r="K132" i="62601" s="1"/>
  <c r="C72" i="62601"/>
  <c r="G137" i="62601" s="1"/>
  <c r="K137" i="62601" s="1"/>
  <c r="G114" i="62601"/>
  <c r="K114" i="62601" s="1"/>
  <c r="G111" i="62601"/>
  <c r="K111" i="62601" s="1"/>
  <c r="C81" i="62575"/>
  <c r="C378" i="4" s="1"/>
  <c r="C475" i="4" s="1"/>
  <c r="G109" i="62601"/>
  <c r="K109" i="62601" s="1"/>
  <c r="C38" i="62601"/>
  <c r="G113" i="62601"/>
  <c r="K113" i="62601" s="1"/>
  <c r="H435" i="4"/>
  <c r="C95" i="62601"/>
  <c r="C96" i="62601" s="1"/>
  <c r="C84" i="62601"/>
  <c r="C85" i="62601" s="1"/>
  <c r="C83" i="62601"/>
  <c r="G142" i="62601" s="1"/>
  <c r="K142" i="62601" s="1"/>
  <c r="X321" i="4"/>
  <c r="C45" i="62601"/>
  <c r="G122" i="62601"/>
  <c r="K122" i="62601" s="1"/>
  <c r="G120" i="62601"/>
  <c r="K120" i="62601" s="1"/>
  <c r="G123" i="62601"/>
  <c r="K123" i="62601" s="1"/>
  <c r="G118" i="62601"/>
  <c r="K118" i="62601" s="1"/>
  <c r="C26" i="62596"/>
  <c r="C29" i="62596" s="1"/>
  <c r="C32" i="62596"/>
  <c r="E420" i="4"/>
  <c r="C34" i="62596"/>
  <c r="C81" i="62594"/>
  <c r="C39" i="62575"/>
  <c r="C49" i="62575" s="1"/>
  <c r="C40" i="62575"/>
  <c r="C48" i="62575" s="1"/>
  <c r="C377" i="4"/>
  <c r="C474" i="4" s="1"/>
  <c r="C36" i="62596"/>
  <c r="C41" i="62596"/>
  <c r="C35" i="62596"/>
  <c r="C59" i="777"/>
  <c r="C60" i="777" s="1"/>
  <c r="C55" i="777"/>
  <c r="C56" i="777" s="1"/>
  <c r="C102" i="62594"/>
  <c r="C63" i="777"/>
  <c r="C64" i="777" s="1"/>
  <c r="C65" i="777" s="1"/>
  <c r="C97" i="62594"/>
  <c r="C98" i="62594" s="1"/>
  <c r="C99" i="62594" s="1"/>
  <c r="C27" i="62596"/>
  <c r="C371" i="62582"/>
  <c r="C386" i="62582" s="1"/>
  <c r="C365" i="62582"/>
  <c r="C387" i="62582" s="1"/>
  <c r="C98" i="62596"/>
  <c r="C44" i="62575" l="1"/>
  <c r="C47" i="62575"/>
  <c r="C45" i="62575"/>
  <c r="C46" i="62575"/>
  <c r="C43" i="62575"/>
  <c r="C46" i="62601"/>
  <c r="C104" i="62601"/>
  <c r="C39" i="62601"/>
  <c r="C103" i="62601"/>
  <c r="C61" i="777"/>
  <c r="C56" i="62592" s="1"/>
  <c r="C57" i="777"/>
  <c r="C54" i="62592" s="1"/>
  <c r="C60" i="1445"/>
  <c r="C409" i="4" s="1"/>
  <c r="G409" i="4" s="1"/>
  <c r="C91" i="1445"/>
  <c r="C434" i="4" s="1"/>
  <c r="G434" i="4" s="1"/>
  <c r="C410" i="4"/>
  <c r="H410" i="4" s="1"/>
  <c r="C59" i="1445"/>
  <c r="C408" i="4" s="1"/>
  <c r="G408" i="4" s="1"/>
  <c r="C93" i="62592"/>
  <c r="C297" i="4"/>
  <c r="K297" i="4" s="1"/>
  <c r="C303" i="4"/>
  <c r="K303" i="4" s="1"/>
  <c r="C302" i="4"/>
  <c r="K302" i="4" s="1"/>
  <c r="C301" i="4"/>
  <c r="K301" i="4" s="1"/>
  <c r="C304" i="4"/>
  <c r="C79" i="2"/>
  <c r="C87" i="2" s="1"/>
  <c r="D79" i="2"/>
  <c r="C52" i="62601"/>
  <c r="G129" i="62601"/>
  <c r="K129" i="62601" s="1"/>
  <c r="G131" i="62601"/>
  <c r="K131" i="62601" s="1"/>
  <c r="G127" i="62601"/>
  <c r="K127" i="62601" s="1"/>
  <c r="G130" i="62601"/>
  <c r="K130" i="62601" s="1"/>
  <c r="C127" i="62596"/>
  <c r="C128" i="62596" s="1"/>
  <c r="C130" i="62596" s="1"/>
  <c r="C131" i="62596" s="1"/>
  <c r="C82" i="62594"/>
  <c r="C85" i="62594" s="1"/>
  <c r="C123" i="4"/>
  <c r="C124" i="4"/>
  <c r="C126" i="4"/>
  <c r="C125" i="4"/>
  <c r="C121" i="4"/>
  <c r="C119" i="4"/>
  <c r="C120" i="4"/>
  <c r="C113" i="4"/>
  <c r="K113" i="4" s="1"/>
  <c r="C114" i="4"/>
  <c r="K114" i="4" s="1"/>
  <c r="C115" i="4"/>
  <c r="K115" i="4" s="1"/>
  <c r="C117" i="4"/>
  <c r="K117" i="4" s="1"/>
  <c r="C116" i="4"/>
  <c r="K116" i="4" s="1"/>
  <c r="G83" i="2"/>
  <c r="C100" i="62594"/>
  <c r="C38" i="62596"/>
  <c r="D8" i="101"/>
  <c r="E46" i="4"/>
  <c r="K46" i="4" s="1"/>
  <c r="G46" i="4"/>
  <c r="C11" i="4"/>
  <c r="H85" i="2"/>
  <c r="G85" i="2"/>
  <c r="C388" i="62582"/>
  <c r="C52" i="62596" s="1"/>
  <c r="C53" i="62601" l="1"/>
  <c r="C105" i="62601"/>
  <c r="G44" i="4"/>
  <c r="E44" i="4"/>
  <c r="K44" i="4" s="1"/>
  <c r="W44" i="4" s="1"/>
  <c r="D6" i="101"/>
  <c r="D7" i="101"/>
  <c r="G45" i="4"/>
  <c r="E45" i="4"/>
  <c r="K45" i="4" s="1"/>
  <c r="W45" i="4" s="1"/>
  <c r="D45" i="101"/>
  <c r="D46" i="101"/>
  <c r="D42" i="101"/>
  <c r="C12" i="62592"/>
  <c r="K209" i="4" s="1"/>
  <c r="W209" i="4" s="1"/>
  <c r="D50" i="101"/>
  <c r="D49" i="101"/>
  <c r="D48" i="101"/>
  <c r="D44" i="101"/>
  <c r="K253" i="4"/>
  <c r="W253" i="4" s="1"/>
  <c r="D217" i="101"/>
  <c r="G252" i="4"/>
  <c r="D219" i="101"/>
  <c r="K252" i="4"/>
  <c r="W252" i="4" s="1"/>
  <c r="X252" i="4" s="1"/>
  <c r="D218" i="101"/>
  <c r="G255" i="4"/>
  <c r="E254" i="4"/>
  <c r="K255" i="4"/>
  <c r="W255" i="4" s="1"/>
  <c r="E255" i="4"/>
  <c r="G254" i="4"/>
  <c r="E252" i="4"/>
  <c r="K254" i="4"/>
  <c r="W254" i="4" s="1"/>
  <c r="E253" i="4"/>
  <c r="G253" i="4"/>
  <c r="D220" i="101"/>
  <c r="D43" i="101"/>
  <c r="G247" i="4"/>
  <c r="K247" i="4"/>
  <c r="W247" i="4" s="1"/>
  <c r="X247" i="4" s="1"/>
  <c r="G250" i="4"/>
  <c r="K250" i="4"/>
  <c r="W250" i="4" s="1"/>
  <c r="G249" i="4"/>
  <c r="K249" i="4"/>
  <c r="W249" i="4" s="1"/>
  <c r="G248" i="4"/>
  <c r="K248" i="4"/>
  <c r="W248" i="4" s="1"/>
  <c r="J304" i="4"/>
  <c r="I304" i="4" s="1"/>
  <c r="K304" i="4"/>
  <c r="W304" i="4" s="1"/>
  <c r="E248" i="4"/>
  <c r="E249" i="4"/>
  <c r="E247" i="4"/>
  <c r="D215" i="101"/>
  <c r="E250" i="4"/>
  <c r="D213" i="101"/>
  <c r="D212" i="101"/>
  <c r="D214" i="101"/>
  <c r="W116" i="4"/>
  <c r="W115" i="4"/>
  <c r="W114" i="4"/>
  <c r="W301" i="4"/>
  <c r="J302" i="4"/>
  <c r="W302" i="4"/>
  <c r="J303" i="4"/>
  <c r="W303" i="4"/>
  <c r="W113" i="4"/>
  <c r="X113" i="4" s="1"/>
  <c r="W117" i="4"/>
  <c r="X117" i="4" s="1"/>
  <c r="W297" i="4"/>
  <c r="H434" i="4"/>
  <c r="H408" i="4"/>
  <c r="G410" i="4"/>
  <c r="H409" i="4"/>
  <c r="J297" i="4"/>
  <c r="J301" i="4"/>
  <c r="C298" i="4"/>
  <c r="K298" i="4" s="1"/>
  <c r="C89" i="62594"/>
  <c r="C88" i="62594"/>
  <c r="C91" i="62594"/>
  <c r="C28" i="2"/>
  <c r="D87" i="2"/>
  <c r="H87" i="2" s="1"/>
  <c r="C138" i="62596"/>
  <c r="C139" i="62596" s="1"/>
  <c r="C134" i="62596"/>
  <c r="C135" i="62596" s="1"/>
  <c r="C84" i="62594"/>
  <c r="C83" i="62594"/>
  <c r="C109" i="62594" s="1"/>
  <c r="C50" i="62575"/>
  <c r="C379" i="4" s="1"/>
  <c r="C476" i="4" s="1"/>
  <c r="C115" i="62594"/>
  <c r="C37" i="62596"/>
  <c r="C39" i="62596" s="1"/>
  <c r="C40" i="62596" s="1"/>
  <c r="C19" i="62596"/>
  <c r="C28" i="62596"/>
  <c r="H46" i="4"/>
  <c r="W46" i="4"/>
  <c r="C73" i="62596"/>
  <c r="C58" i="62596"/>
  <c r="C103" i="62596"/>
  <c r="C78" i="62596"/>
  <c r="C79" i="62596"/>
  <c r="C104" i="62596"/>
  <c r="C57" i="62596"/>
  <c r="K208" i="4" l="1"/>
  <c r="W208" i="4" s="1"/>
  <c r="E144" i="4"/>
  <c r="E207" i="4"/>
  <c r="D112" i="101"/>
  <c r="D146" i="101"/>
  <c r="E209" i="4"/>
  <c r="G143" i="4"/>
  <c r="D113" i="101"/>
  <c r="E113" i="101" s="1"/>
  <c r="Q113" i="101" s="1"/>
  <c r="H44" i="4"/>
  <c r="D78" i="101"/>
  <c r="G207" i="4"/>
  <c r="K142" i="4"/>
  <c r="W142" i="4" s="1"/>
  <c r="H45" i="4"/>
  <c r="D147" i="101"/>
  <c r="K144" i="4"/>
  <c r="W144" i="4" s="1"/>
  <c r="E208" i="4"/>
  <c r="G209" i="4"/>
  <c r="D77" i="101"/>
  <c r="E77" i="101" s="1"/>
  <c r="Q77" i="101" s="1"/>
  <c r="E142" i="4"/>
  <c r="G144" i="4"/>
  <c r="E143" i="4"/>
  <c r="K143" i="4"/>
  <c r="W143" i="4" s="1"/>
  <c r="D79" i="101"/>
  <c r="G208" i="4"/>
  <c r="D111" i="101"/>
  <c r="E111" i="101" s="1"/>
  <c r="Q111" i="101" s="1"/>
  <c r="D148" i="101"/>
  <c r="G142" i="4"/>
  <c r="K207" i="4"/>
  <c r="W207" i="4" s="1"/>
  <c r="X302" i="4"/>
  <c r="X303" i="4"/>
  <c r="X297" i="4"/>
  <c r="X301" i="4"/>
  <c r="X304" i="4"/>
  <c r="W298" i="4"/>
  <c r="J298" i="4"/>
  <c r="C92" i="62594"/>
  <c r="C93" i="62594"/>
  <c r="C110" i="62594" s="1"/>
  <c r="C111" i="62594" s="1"/>
  <c r="C116" i="62594" s="1"/>
  <c r="C117" i="62594" s="1"/>
  <c r="C118" i="62594" s="1"/>
  <c r="C119" i="62594" s="1"/>
  <c r="C120" i="62594" s="1"/>
  <c r="E34" i="2"/>
  <c r="C41" i="2"/>
  <c r="C27" i="2" s="1"/>
  <c r="G39" i="2"/>
  <c r="C491" i="4"/>
  <c r="C142" i="62596"/>
  <c r="C30" i="62596"/>
  <c r="C31" i="62596" s="1"/>
  <c r="C68" i="62596"/>
  <c r="C21" i="62596"/>
  <c r="C22" i="62596" s="1"/>
  <c r="C47" i="62596"/>
  <c r="C93" i="62596"/>
  <c r="O113" i="101" l="1"/>
  <c r="P113" i="101"/>
  <c r="M113" i="101"/>
  <c r="N113" i="101"/>
  <c r="K113" i="101"/>
  <c r="L113" i="101"/>
  <c r="I113" i="101"/>
  <c r="J113" i="101"/>
  <c r="G113" i="101"/>
  <c r="H113" i="101"/>
  <c r="F113" i="101"/>
  <c r="O111" i="101"/>
  <c r="P111" i="101"/>
  <c r="M111" i="101"/>
  <c r="N111" i="101"/>
  <c r="K111" i="101"/>
  <c r="L111" i="101"/>
  <c r="I111" i="101"/>
  <c r="J111" i="101"/>
  <c r="G111" i="101"/>
  <c r="H111" i="101"/>
  <c r="F111" i="101"/>
  <c r="O77" i="101"/>
  <c r="P77" i="101"/>
  <c r="M77" i="101"/>
  <c r="N77" i="101"/>
  <c r="K77" i="101"/>
  <c r="L77" i="101"/>
  <c r="I77" i="101"/>
  <c r="J77" i="101"/>
  <c r="G77" i="101"/>
  <c r="H77" i="101"/>
  <c r="F77" i="101"/>
  <c r="X298" i="4"/>
  <c r="G28" i="2"/>
  <c r="C95" i="62594"/>
  <c r="C94" i="62594"/>
  <c r="C74" i="62596"/>
  <c r="C75" i="62596" s="1"/>
  <c r="C76" i="62596" s="1"/>
  <c r="C99" i="62596"/>
  <c r="C100" i="62596" s="1"/>
  <c r="C101" i="62596"/>
  <c r="C62" i="62596"/>
  <c r="C53" i="62596"/>
  <c r="C54" i="62596" s="1"/>
  <c r="C55" i="62596" s="1"/>
  <c r="C60" i="62596" s="1"/>
  <c r="C61" i="62596" s="1"/>
  <c r="C64" i="62596" s="1"/>
  <c r="C113" i="101" l="1"/>
  <c r="E19" i="4"/>
  <c r="C81" i="62596"/>
  <c r="C82" i="62596" s="1"/>
  <c r="C83" i="62596" s="1"/>
  <c r="C85" i="62596"/>
  <c r="C86" i="62596" s="1"/>
  <c r="C106" i="62596"/>
  <c r="C107" i="62596" s="1"/>
  <c r="C118" i="62596" s="1"/>
  <c r="C110" i="62596"/>
  <c r="C111" i="62596" s="1"/>
  <c r="C114" i="62596"/>
  <c r="C115" i="62596" s="1"/>
  <c r="C89" i="62596" l="1"/>
  <c r="C150" i="62596" s="1"/>
  <c r="C151" i="62596" s="1"/>
  <c r="C87" i="62596"/>
  <c r="C108" i="62596" s="1"/>
  <c r="C112" i="62596" l="1"/>
  <c r="C116" i="62596" s="1"/>
  <c r="C132" i="62596" l="1"/>
  <c r="C136" i="62596" l="1"/>
  <c r="C140" i="62596" s="1"/>
  <c r="C148" i="62596" s="1"/>
  <c r="C146" i="62596"/>
  <c r="C147" i="62596" l="1"/>
  <c r="C145" i="62596"/>
  <c r="C152" i="62596" s="1"/>
  <c r="C74" i="3079" l="1"/>
  <c r="C77" i="3079" l="1"/>
  <c r="C76" i="3079"/>
  <c r="C54" i="4" l="1"/>
  <c r="C53" i="4"/>
  <c r="I54" i="4" l="1"/>
  <c r="J54" i="4" s="1"/>
  <c r="K54" i="4"/>
  <c r="W54" i="4" s="1"/>
  <c r="I53" i="4"/>
  <c r="J53" i="4" s="1"/>
  <c r="K53" i="4"/>
  <c r="W53" i="4" s="1"/>
  <c r="W87" i="4"/>
  <c r="J87" i="4"/>
  <c r="W88" i="4"/>
  <c r="J88" i="4"/>
  <c r="X53" i="4" l="1"/>
  <c r="X54" i="4"/>
  <c r="J148" i="4" l="1"/>
  <c r="X148" i="4" s="1"/>
  <c r="J149" i="4"/>
  <c r="X244" i="4" l="1"/>
  <c r="I224" i="4" l="1"/>
  <c r="J224" i="4" s="1"/>
  <c r="X224" i="4" s="1"/>
  <c r="J74" i="4" l="1"/>
  <c r="X74" i="4" s="1"/>
  <c r="J337" i="4"/>
  <c r="X337" i="4" s="1"/>
  <c r="J324" i="4"/>
  <c r="X324" i="4" s="1"/>
  <c r="J322" i="4"/>
  <c r="J227" i="4"/>
  <c r="X227" i="4" s="1"/>
  <c r="J228" i="4"/>
  <c r="J336" i="4"/>
  <c r="J99" i="4"/>
  <c r="C146" i="62590" l="1"/>
  <c r="G419" i="4" s="1"/>
  <c r="H419" i="4" s="1"/>
  <c r="X336" i="4"/>
  <c r="X322" i="4"/>
  <c r="C73" i="101" l="1"/>
  <c r="C107" i="101"/>
  <c r="C151" i="101"/>
  <c r="C148" i="101"/>
  <c r="C142" i="101"/>
  <c r="C139" i="101"/>
  <c r="J79" i="4"/>
  <c r="J75" i="4"/>
  <c r="C28" i="101"/>
  <c r="C27" i="101"/>
  <c r="C82" i="101"/>
  <c r="C100" i="101"/>
  <c r="I163" i="4" s="1"/>
  <c r="J163" i="4" s="1"/>
  <c r="X163" i="4" s="1"/>
  <c r="C77" i="101"/>
  <c r="C86" i="101"/>
  <c r="C91" i="101"/>
  <c r="C75" i="101"/>
  <c r="C95" i="101"/>
  <c r="C83" i="101"/>
  <c r="C89" i="101"/>
  <c r="C202" i="101"/>
  <c r="C111" i="101"/>
  <c r="C124" i="101"/>
  <c r="C133" i="101"/>
  <c r="C109" i="101"/>
  <c r="C122" i="101"/>
  <c r="C128" i="101"/>
  <c r="C119" i="101"/>
  <c r="C116" i="101"/>
  <c r="C169" i="101"/>
  <c r="C42" i="101"/>
  <c r="C52" i="101"/>
  <c r="C193" i="101"/>
  <c r="J97" i="4"/>
  <c r="X97" i="4" s="1"/>
  <c r="C106" i="101"/>
  <c r="C102" i="101"/>
  <c r="I165" i="4" s="1"/>
  <c r="J165" i="4" s="1"/>
  <c r="X165" i="4" s="1"/>
  <c r="C88" i="101"/>
  <c r="C79" i="101"/>
  <c r="C85" i="101"/>
  <c r="C81" i="101"/>
  <c r="J78" i="4"/>
  <c r="X78" i="4" s="1"/>
  <c r="J338" i="4"/>
  <c r="C39" i="101"/>
  <c r="C26" i="101"/>
  <c r="C16" i="101"/>
  <c r="C20" i="101"/>
  <c r="J98" i="4"/>
  <c r="C147" i="101"/>
  <c r="C141" i="101"/>
  <c r="C150" i="101"/>
  <c r="C138" i="101"/>
  <c r="J323" i="4"/>
  <c r="C112" i="101" l="1"/>
  <c r="I169" i="4"/>
  <c r="J169" i="4" s="1"/>
  <c r="X169" i="4" s="1"/>
  <c r="I212" i="4"/>
  <c r="J212" i="4" s="1"/>
  <c r="X212" i="4" s="1"/>
  <c r="I211" i="4"/>
  <c r="J211" i="4" s="1"/>
  <c r="X211" i="4" s="1"/>
  <c r="I209" i="4"/>
  <c r="J209" i="4" s="1"/>
  <c r="X209" i="4" s="1"/>
  <c r="I208" i="4"/>
  <c r="J208" i="4" s="1"/>
  <c r="X208" i="4" s="1"/>
  <c r="I203" i="4"/>
  <c r="J203" i="4" s="1"/>
  <c r="X203" i="4" s="1"/>
  <c r="I202" i="4"/>
  <c r="J202" i="4" s="1"/>
  <c r="X202" i="4" s="1"/>
  <c r="I200" i="4"/>
  <c r="J200" i="4" s="1"/>
  <c r="X200" i="4" s="1"/>
  <c r="I199" i="4"/>
  <c r="J199" i="4" s="1"/>
  <c r="X199" i="4" s="1"/>
  <c r="I158" i="4"/>
  <c r="J158" i="4" s="1"/>
  <c r="X158" i="4" s="1"/>
  <c r="I147" i="4"/>
  <c r="J147" i="4" s="1"/>
  <c r="I146" i="4"/>
  <c r="J146" i="4" s="1"/>
  <c r="X146" i="4" s="1"/>
  <c r="I144" i="4"/>
  <c r="J144" i="4" s="1"/>
  <c r="X144" i="4" s="1"/>
  <c r="I142" i="4"/>
  <c r="J142" i="4" s="1"/>
  <c r="X142" i="4" s="1"/>
  <c r="I140" i="4"/>
  <c r="J140" i="4" s="1"/>
  <c r="X140" i="4" s="1"/>
  <c r="I138" i="4"/>
  <c r="J138" i="4" s="1"/>
  <c r="X138" i="4" s="1"/>
  <c r="I113" i="4"/>
  <c r="J113" i="4" s="1"/>
  <c r="I91" i="4"/>
  <c r="J91" i="4" s="1"/>
  <c r="X91" i="4" s="1"/>
  <c r="I83" i="4"/>
  <c r="J83" i="4" s="1"/>
  <c r="X83" i="4" s="1"/>
  <c r="I69" i="4"/>
  <c r="J69" i="4" s="1"/>
  <c r="X69" i="4" s="1"/>
  <c r="I63" i="4"/>
  <c r="J63" i="4" s="1"/>
  <c r="X63" i="4" s="1"/>
  <c r="C63" i="101"/>
  <c r="C210" i="101"/>
  <c r="I265" i="4" s="1"/>
  <c r="C230" i="101"/>
  <c r="C246" i="101"/>
  <c r="C84" i="101"/>
  <c r="C110" i="101"/>
  <c r="C12" i="101"/>
  <c r="C25" i="101"/>
  <c r="C49" i="101"/>
  <c r="C104" i="101"/>
  <c r="C125" i="101"/>
  <c r="C167" i="101"/>
  <c r="C101" i="101"/>
  <c r="I164" i="4" s="1"/>
  <c r="J164" i="4" s="1"/>
  <c r="X164" i="4" s="1"/>
  <c r="C154" i="101"/>
  <c r="C186" i="101"/>
  <c r="C35" i="101"/>
  <c r="C157" i="101"/>
  <c r="C168" i="101"/>
  <c r="C87" i="101"/>
  <c r="C105" i="101"/>
  <c r="C220" i="101"/>
  <c r="C7" i="101"/>
  <c r="C96" i="101"/>
  <c r="C164" i="101"/>
  <c r="C134" i="101"/>
  <c r="C59" i="101"/>
  <c r="C194" i="101"/>
  <c r="C159" i="101"/>
  <c r="C19" i="101"/>
  <c r="C155" i="101"/>
  <c r="C163" i="101"/>
  <c r="C80" i="101"/>
  <c r="C215" i="101"/>
  <c r="C37" i="101"/>
  <c r="C248" i="101"/>
  <c r="C23" i="101"/>
  <c r="C166" i="101"/>
  <c r="C158" i="101"/>
  <c r="C165" i="101"/>
  <c r="C190" i="101"/>
  <c r="C11" i="101"/>
  <c r="C18" i="101"/>
  <c r="C22" i="101"/>
  <c r="C120" i="101"/>
  <c r="C117" i="101"/>
  <c r="C108" i="101"/>
  <c r="C92" i="101"/>
  <c r="C74" i="101"/>
  <c r="C44" i="101"/>
  <c r="C90" i="101"/>
  <c r="C15" i="101"/>
  <c r="C24" i="101"/>
  <c r="C228" i="101"/>
  <c r="C34" i="101"/>
  <c r="X308" i="4"/>
  <c r="C204" i="101"/>
  <c r="C247" i="101"/>
  <c r="X338" i="4"/>
  <c r="X323" i="4"/>
  <c r="C6" i="101"/>
  <c r="C146" i="101"/>
  <c r="C64" i="101"/>
  <c r="C58" i="101"/>
  <c r="C234" i="101"/>
  <c r="C222" i="101"/>
  <c r="C137" i="101"/>
  <c r="C8" i="101"/>
  <c r="C62" i="101"/>
  <c r="C212" i="101"/>
  <c r="C192" i="101"/>
  <c r="C101" i="62601"/>
  <c r="C346" i="4" s="1"/>
  <c r="K346" i="4" s="1"/>
  <c r="C100" i="62601"/>
  <c r="C332" i="4" s="1"/>
  <c r="K332" i="4" s="1"/>
  <c r="C99" i="62601"/>
  <c r="C318" i="4" s="1"/>
  <c r="K318" i="4" s="1"/>
  <c r="C224" i="101"/>
  <c r="C213" i="101"/>
  <c r="C149" i="101"/>
  <c r="C46" i="101"/>
  <c r="C45" i="101"/>
  <c r="C14" i="101"/>
  <c r="C229" i="101"/>
  <c r="C218" i="101"/>
  <c r="C56" i="101"/>
  <c r="C38" i="101"/>
  <c r="C235" i="101"/>
  <c r="C209" i="101"/>
  <c r="C223" i="101"/>
  <c r="C54" i="101"/>
  <c r="C50" i="101"/>
  <c r="C214" i="101"/>
  <c r="C227" i="101"/>
  <c r="C160" i="101"/>
  <c r="G110" i="62601"/>
  <c r="K110" i="62601" s="1"/>
  <c r="C55" i="101"/>
  <c r="C48" i="101"/>
  <c r="C232" i="101"/>
  <c r="C233" i="101"/>
  <c r="C65" i="101"/>
  <c r="C78" i="101"/>
  <c r="C140" i="101"/>
  <c r="C114" i="101"/>
  <c r="C225" i="101"/>
  <c r="C60" i="101"/>
  <c r="C53" i="101"/>
  <c r="C207" i="101"/>
  <c r="G128" i="62601"/>
  <c r="K128" i="62601" s="1"/>
  <c r="G119" i="62601"/>
  <c r="K119" i="62601" s="1"/>
  <c r="C76" i="101"/>
  <c r="C129" i="101"/>
  <c r="C123" i="101"/>
  <c r="C43" i="101"/>
  <c r="C219" i="101"/>
  <c r="C217" i="101"/>
  <c r="C208" i="101"/>
  <c r="C319" i="4" l="1"/>
  <c r="K319" i="4" s="1"/>
  <c r="W319" i="4" s="1"/>
  <c r="G346" i="4"/>
  <c r="I346" i="4"/>
  <c r="G332" i="4"/>
  <c r="G318" i="4"/>
  <c r="I310" i="4"/>
  <c r="J310" i="4" s="1"/>
  <c r="X310" i="4" s="1"/>
  <c r="I309" i="4"/>
  <c r="J309" i="4" s="1"/>
  <c r="I308" i="4"/>
  <c r="J308" i="4" s="1"/>
  <c r="I270" i="4"/>
  <c r="J270" i="4" s="1"/>
  <c r="X270" i="4" s="1"/>
  <c r="I269" i="4"/>
  <c r="J269" i="4" s="1"/>
  <c r="X269" i="4" s="1"/>
  <c r="I268" i="4"/>
  <c r="J268" i="4" s="1"/>
  <c r="X268" i="4" s="1"/>
  <c r="I267" i="4"/>
  <c r="J267" i="4" s="1"/>
  <c r="X267" i="4" s="1"/>
  <c r="I244" i="4"/>
  <c r="J244" i="4" s="1"/>
  <c r="I264" i="4"/>
  <c r="J264" i="4" s="1"/>
  <c r="X264" i="4" s="1"/>
  <c r="I243" i="4"/>
  <c r="J243" i="4" s="1"/>
  <c r="X243" i="4" s="1"/>
  <c r="I263" i="4"/>
  <c r="J263" i="4" s="1"/>
  <c r="X263" i="4" s="1"/>
  <c r="I262" i="4"/>
  <c r="J262" i="4" s="1"/>
  <c r="X262" i="4" s="1"/>
  <c r="I260" i="4"/>
  <c r="J260" i="4" s="1"/>
  <c r="X260" i="4" s="1"/>
  <c r="I259" i="4"/>
  <c r="J259" i="4" s="1"/>
  <c r="X259" i="4" s="1"/>
  <c r="I258" i="4"/>
  <c r="J258" i="4" s="1"/>
  <c r="X258" i="4" s="1"/>
  <c r="I257" i="4"/>
  <c r="J257" i="4" s="1"/>
  <c r="I255" i="4"/>
  <c r="J255" i="4" s="1"/>
  <c r="X255" i="4" s="1"/>
  <c r="I254" i="4"/>
  <c r="J254" i="4" s="1"/>
  <c r="X254" i="4" s="1"/>
  <c r="I253" i="4"/>
  <c r="J253" i="4" s="1"/>
  <c r="X253" i="4" s="1"/>
  <c r="I252" i="4"/>
  <c r="J252" i="4" s="1"/>
  <c r="I250" i="4"/>
  <c r="J250" i="4" s="1"/>
  <c r="X250" i="4" s="1"/>
  <c r="I249" i="4"/>
  <c r="J249" i="4" s="1"/>
  <c r="X249" i="4" s="1"/>
  <c r="I248" i="4"/>
  <c r="J248" i="4" s="1"/>
  <c r="X248" i="4" s="1"/>
  <c r="I247" i="4"/>
  <c r="J247" i="4" s="1"/>
  <c r="I245" i="4"/>
  <c r="J245" i="4" s="1"/>
  <c r="X245" i="4" s="1"/>
  <c r="I242" i="4"/>
  <c r="J242" i="4" s="1"/>
  <c r="X242" i="4" s="1"/>
  <c r="I239" i="4"/>
  <c r="J239" i="4" s="1"/>
  <c r="X239" i="4" s="1"/>
  <c r="I234" i="4"/>
  <c r="J234" i="4" s="1"/>
  <c r="X234" i="4" s="1"/>
  <c r="I232" i="4"/>
  <c r="J232" i="4" s="1"/>
  <c r="X232" i="4" s="1"/>
  <c r="I230" i="4"/>
  <c r="J230" i="4" s="1"/>
  <c r="X230" i="4" s="1"/>
  <c r="I226" i="4"/>
  <c r="J226" i="4" s="1"/>
  <c r="I221" i="4"/>
  <c r="J221" i="4" s="1"/>
  <c r="X221" i="4" s="1"/>
  <c r="I220" i="4"/>
  <c r="J220" i="4" s="1"/>
  <c r="X220" i="4" s="1"/>
  <c r="I219" i="4"/>
  <c r="J219" i="4" s="1"/>
  <c r="X219" i="4" s="1"/>
  <c r="I218" i="4"/>
  <c r="J218" i="4" s="1"/>
  <c r="X218" i="4" s="1"/>
  <c r="I216" i="4"/>
  <c r="J216" i="4" s="1"/>
  <c r="X216" i="4" s="1"/>
  <c r="I215" i="4"/>
  <c r="J215" i="4" s="1"/>
  <c r="I210" i="4"/>
  <c r="J210" i="4" s="1"/>
  <c r="X210" i="4" s="1"/>
  <c r="I207" i="4"/>
  <c r="J207" i="4" s="1"/>
  <c r="X207" i="4" s="1"/>
  <c r="I201" i="4"/>
  <c r="J201" i="4" s="1"/>
  <c r="X201" i="4" s="1"/>
  <c r="I198" i="4"/>
  <c r="J198" i="4" s="1"/>
  <c r="X198" i="4" s="1"/>
  <c r="I168" i="4"/>
  <c r="J168" i="4" s="1"/>
  <c r="X168" i="4" s="1"/>
  <c r="I167" i="4"/>
  <c r="J167" i="4" s="1"/>
  <c r="X167" i="4" s="1"/>
  <c r="I159" i="4"/>
  <c r="J159" i="4" s="1"/>
  <c r="X159" i="4" s="1"/>
  <c r="I145" i="4"/>
  <c r="J145" i="4" s="1"/>
  <c r="X145" i="4" s="1"/>
  <c r="I143" i="4"/>
  <c r="J143" i="4" s="1"/>
  <c r="X143" i="4" s="1"/>
  <c r="I141" i="4"/>
  <c r="J141" i="4" s="1"/>
  <c r="X141" i="4" s="1"/>
  <c r="I139" i="4"/>
  <c r="J139" i="4" s="1"/>
  <c r="X139" i="4" s="1"/>
  <c r="I126" i="4"/>
  <c r="J126" i="4" s="1"/>
  <c r="X126" i="4" s="1"/>
  <c r="I125" i="4"/>
  <c r="J125" i="4" s="1"/>
  <c r="I124" i="4"/>
  <c r="J124" i="4" s="1"/>
  <c r="X124" i="4" s="1"/>
  <c r="I123" i="4"/>
  <c r="J123" i="4" s="1"/>
  <c r="X123" i="4" s="1"/>
  <c r="I121" i="4"/>
  <c r="J121" i="4" s="1"/>
  <c r="X121" i="4" s="1"/>
  <c r="I120" i="4"/>
  <c r="J120" i="4" s="1"/>
  <c r="X120" i="4" s="1"/>
  <c r="I119" i="4"/>
  <c r="J119" i="4" s="1"/>
  <c r="X119" i="4" s="1"/>
  <c r="I117" i="4"/>
  <c r="J117" i="4" s="1"/>
  <c r="I116" i="4"/>
  <c r="J116" i="4" s="1"/>
  <c r="X116" i="4" s="1"/>
  <c r="I115" i="4"/>
  <c r="J115" i="4" s="1"/>
  <c r="X115" i="4" s="1"/>
  <c r="I114" i="4"/>
  <c r="J114" i="4" s="1"/>
  <c r="X114" i="4" s="1"/>
  <c r="I90" i="4"/>
  <c r="J90" i="4" s="1"/>
  <c r="X90" i="4" s="1"/>
  <c r="I89" i="4"/>
  <c r="J89" i="4" s="1"/>
  <c r="X89" i="4" s="1"/>
  <c r="I86" i="4"/>
  <c r="J86" i="4" s="1"/>
  <c r="X86" i="4" s="1"/>
  <c r="I85" i="4"/>
  <c r="J85" i="4" s="1"/>
  <c r="X85" i="4" s="1"/>
  <c r="I82" i="4"/>
  <c r="J82" i="4" s="1"/>
  <c r="X82" i="4" s="1"/>
  <c r="I81" i="4"/>
  <c r="J81" i="4" s="1"/>
  <c r="X81" i="4" s="1"/>
  <c r="I68" i="4"/>
  <c r="J68" i="4" s="1"/>
  <c r="X68" i="4" s="1"/>
  <c r="I67" i="4"/>
  <c r="J67" i="4" s="1"/>
  <c r="X67" i="4" s="1"/>
  <c r="I62" i="4"/>
  <c r="J62" i="4" s="1"/>
  <c r="X62" i="4" s="1"/>
  <c r="I61" i="4"/>
  <c r="J61" i="4" s="1"/>
  <c r="X61" i="4" s="1"/>
  <c r="I57" i="4"/>
  <c r="J57" i="4" s="1"/>
  <c r="X57" i="4" s="1"/>
  <c r="I56" i="4"/>
  <c r="J56" i="4" s="1"/>
  <c r="X56" i="4" s="1"/>
  <c r="I52" i="4"/>
  <c r="J52" i="4" s="1"/>
  <c r="X52" i="4" s="1"/>
  <c r="I51" i="4"/>
  <c r="J51" i="4" s="1"/>
  <c r="X51" i="4" s="1"/>
  <c r="I46" i="4"/>
  <c r="J46" i="4" s="1"/>
  <c r="X46" i="4" s="1"/>
  <c r="I45" i="4"/>
  <c r="J45" i="4" s="1"/>
  <c r="X45" i="4" s="1"/>
  <c r="I44" i="4"/>
  <c r="J44" i="4" s="1"/>
  <c r="J265" i="4"/>
  <c r="X265" i="4" s="1"/>
  <c r="C347" i="4"/>
  <c r="L128" i="62601"/>
  <c r="B188" i="62601"/>
  <c r="D346" i="4"/>
  <c r="H346" i="4"/>
  <c r="W346" i="4"/>
  <c r="E346" i="4"/>
  <c r="F346" i="4"/>
  <c r="C333" i="4"/>
  <c r="E332" i="4"/>
  <c r="H332" i="4"/>
  <c r="W332" i="4"/>
  <c r="F332" i="4"/>
  <c r="D332" i="4"/>
  <c r="L119" i="62601"/>
  <c r="B174" i="62601"/>
  <c r="C162" i="101"/>
  <c r="I223" i="4" s="1"/>
  <c r="J223" i="4" s="1"/>
  <c r="C6" i="1445" s="1"/>
  <c r="G417" i="4" s="1"/>
  <c r="H417" i="4" s="1"/>
  <c r="L110" i="62601"/>
  <c r="B160" i="62601"/>
  <c r="W318" i="4"/>
  <c r="E318" i="4"/>
  <c r="H318" i="4"/>
  <c r="D318" i="4"/>
  <c r="F318" i="4"/>
  <c r="X309" i="4"/>
  <c r="B111" i="62601"/>
  <c r="D253" i="101"/>
  <c r="C253" i="101" s="1"/>
  <c r="D113" i="62601" s="1"/>
  <c r="D254" i="101"/>
  <c r="C254" i="101" s="1"/>
  <c r="D114" i="62601" s="1"/>
  <c r="B114" i="62601"/>
  <c r="B112" i="62601"/>
  <c r="B113" i="62601"/>
  <c r="D250" i="101"/>
  <c r="C250" i="101" s="1"/>
  <c r="D109" i="62601" s="1"/>
  <c r="D252" i="101"/>
  <c r="C252" i="101" s="1"/>
  <c r="D112" i="62601" s="1"/>
  <c r="D251" i="101"/>
  <c r="C251" i="101" s="1"/>
  <c r="D111" i="62601" s="1"/>
  <c r="D257" i="101"/>
  <c r="B137" i="62601"/>
  <c r="B109" i="62601"/>
  <c r="D256" i="101"/>
  <c r="C256" i="101" s="1"/>
  <c r="D137" i="62601" s="1"/>
  <c r="B138" i="62601"/>
  <c r="C138" i="62601" s="1"/>
  <c r="G138" i="62601" s="1"/>
  <c r="K138" i="62601" s="1"/>
  <c r="D270" i="101"/>
  <c r="D266" i="101"/>
  <c r="C266" i="101" s="1"/>
  <c r="D265" i="101"/>
  <c r="C265" i="101" s="1"/>
  <c r="B118" i="62601"/>
  <c r="B142" i="62601"/>
  <c r="D264" i="101"/>
  <c r="C264" i="101" s="1"/>
  <c r="D263" i="101"/>
  <c r="C263" i="101" s="1"/>
  <c r="B122" i="62601"/>
  <c r="B120" i="62601"/>
  <c r="B123" i="62601"/>
  <c r="D269" i="101"/>
  <c r="C269" i="101" s="1"/>
  <c r="D147" i="62601" s="1"/>
  <c r="B143" i="62601"/>
  <c r="C143" i="62601" s="1"/>
  <c r="D267" i="101"/>
  <c r="C267" i="101" s="1"/>
  <c r="B121" i="62601"/>
  <c r="D283" i="101"/>
  <c r="D280" i="101"/>
  <c r="C280" i="101" s="1"/>
  <c r="D279" i="101"/>
  <c r="C279" i="101" s="1"/>
  <c r="B127" i="62601"/>
  <c r="D278" i="101"/>
  <c r="C278" i="101" s="1"/>
  <c r="D277" i="101"/>
  <c r="C277" i="101" s="1"/>
  <c r="B129" i="62601"/>
  <c r="D282" i="101"/>
  <c r="C282" i="101" s="1"/>
  <c r="D276" i="101"/>
  <c r="C276" i="101" s="1"/>
  <c r="B130" i="62601"/>
  <c r="B132" i="62601"/>
  <c r="B147" i="62601"/>
  <c r="B131" i="62601"/>
  <c r="B148" i="62601"/>
  <c r="C148" i="62601" s="1"/>
  <c r="C361" i="4" l="1"/>
  <c r="C381" i="4" s="1"/>
  <c r="C478" i="4" s="1"/>
  <c r="I332" i="4"/>
  <c r="J332" i="4" s="1"/>
  <c r="X332" i="4" s="1"/>
  <c r="D319" i="4"/>
  <c r="E319" i="4"/>
  <c r="F319" i="4"/>
  <c r="H319" i="4"/>
  <c r="G319" i="4"/>
  <c r="E138" i="62601"/>
  <c r="D148" i="62601"/>
  <c r="E148" i="62601"/>
  <c r="C147" i="62601"/>
  <c r="E147" i="62601"/>
  <c r="D143" i="62601"/>
  <c r="E143" i="62601"/>
  <c r="C142" i="62601"/>
  <c r="E142" i="62601"/>
  <c r="D142" i="62601"/>
  <c r="C137" i="62601"/>
  <c r="E137" i="62601"/>
  <c r="F137" i="62601" s="1"/>
  <c r="L137" i="62601" s="1"/>
  <c r="C132" i="62601"/>
  <c r="E132" i="62601"/>
  <c r="D123" i="62601"/>
  <c r="D132" i="62601"/>
  <c r="C131" i="62601"/>
  <c r="E131" i="62601"/>
  <c r="D122" i="62601"/>
  <c r="D131" i="62601"/>
  <c r="C130" i="62601"/>
  <c r="E130" i="62601"/>
  <c r="D121" i="62601"/>
  <c r="D130" i="62601"/>
  <c r="C129" i="62601"/>
  <c r="E129" i="62601"/>
  <c r="D120" i="62601"/>
  <c r="D129" i="62601"/>
  <c r="C127" i="62601"/>
  <c r="E127" i="62601"/>
  <c r="D118" i="62601"/>
  <c r="D127" i="62601"/>
  <c r="C123" i="62601"/>
  <c r="E123" i="62601"/>
  <c r="C122" i="62601"/>
  <c r="E122" i="62601"/>
  <c r="C121" i="62601"/>
  <c r="E121" i="62601"/>
  <c r="C120" i="62601"/>
  <c r="E120" i="62601"/>
  <c r="C118" i="62601"/>
  <c r="E118" i="62601"/>
  <c r="C114" i="62601"/>
  <c r="E114" i="62601"/>
  <c r="F114" i="62601" s="1"/>
  <c r="L114" i="62601" s="1"/>
  <c r="B159" i="62601" s="1"/>
  <c r="C113" i="62601"/>
  <c r="E113" i="62601"/>
  <c r="F113" i="62601" s="1"/>
  <c r="L113" i="62601" s="1"/>
  <c r="B158" i="62601" s="1"/>
  <c r="C112" i="62601"/>
  <c r="E112" i="62601"/>
  <c r="F112" i="62601" s="1"/>
  <c r="L112" i="62601" s="1"/>
  <c r="B157" i="62601" s="1"/>
  <c r="C111" i="62601"/>
  <c r="E111" i="62601"/>
  <c r="F111" i="62601" s="1"/>
  <c r="L111" i="62601" s="1"/>
  <c r="B156" i="62601" s="1"/>
  <c r="C109" i="62601"/>
  <c r="E109" i="62601"/>
  <c r="F109" i="62601" s="1"/>
  <c r="L109" i="62601" s="1"/>
  <c r="B155" i="62601" s="1"/>
  <c r="J346" i="4"/>
  <c r="I347" i="4"/>
  <c r="K347" i="4"/>
  <c r="W347" i="4" s="1"/>
  <c r="X347" i="4" s="1"/>
  <c r="D347" i="4"/>
  <c r="G347" i="4"/>
  <c r="I333" i="4"/>
  <c r="K333" i="4"/>
  <c r="W333" i="4" s="1"/>
  <c r="H333" i="4"/>
  <c r="G333" i="4"/>
  <c r="I318" i="4"/>
  <c r="J318" i="4" s="1"/>
  <c r="X318" i="4" s="1"/>
  <c r="X226" i="4"/>
  <c r="C25" i="1445"/>
  <c r="G416" i="4" s="1"/>
  <c r="H416" i="4" s="1"/>
  <c r="X215" i="4"/>
  <c r="C10" i="1445"/>
  <c r="G412" i="4" s="1"/>
  <c r="H412" i="4" s="1"/>
  <c r="X44" i="4"/>
  <c r="X362" i="4" s="1"/>
  <c r="W362" i="4"/>
  <c r="F347" i="4"/>
  <c r="X346" i="4"/>
  <c r="H347" i="4"/>
  <c r="E347" i="4"/>
  <c r="F333" i="4"/>
  <c r="E333" i="4"/>
  <c r="D333" i="4"/>
  <c r="X223" i="4"/>
  <c r="G143" i="62601"/>
  <c r="K143" i="62601" s="1"/>
  <c r="G148" i="62601"/>
  <c r="K148" i="62601" s="1"/>
  <c r="E257" i="101"/>
  <c r="E270" i="101"/>
  <c r="E283" i="101"/>
  <c r="P283" i="101" l="1"/>
  <c r="Q283" i="101"/>
  <c r="N283" i="101"/>
  <c r="O283" i="101"/>
  <c r="L283" i="101"/>
  <c r="M283" i="101"/>
  <c r="J283" i="101"/>
  <c r="K283" i="101"/>
  <c r="H283" i="101"/>
  <c r="I283" i="101"/>
  <c r="F283" i="101"/>
  <c r="G283" i="101"/>
  <c r="P270" i="101"/>
  <c r="Q270" i="101"/>
  <c r="N270" i="101"/>
  <c r="O270" i="101"/>
  <c r="L270" i="101"/>
  <c r="M270" i="101"/>
  <c r="J270" i="101"/>
  <c r="K270" i="101"/>
  <c r="H270" i="101"/>
  <c r="I270" i="101"/>
  <c r="F270" i="101"/>
  <c r="G270" i="101"/>
  <c r="P257" i="101"/>
  <c r="Q257" i="101"/>
  <c r="N257" i="101"/>
  <c r="O257" i="101"/>
  <c r="L257" i="101"/>
  <c r="M257" i="101"/>
  <c r="J257" i="101"/>
  <c r="K257" i="101"/>
  <c r="H257" i="101"/>
  <c r="I257" i="101"/>
  <c r="F257" i="101"/>
  <c r="G257" i="101"/>
  <c r="K48" i="4"/>
  <c r="W48" i="4" s="1"/>
  <c r="X48" i="4" s="1"/>
  <c r="F129" i="62601"/>
  <c r="L129" i="62601" s="1"/>
  <c r="B184" i="62601" s="1"/>
  <c r="F132" i="62601"/>
  <c r="L132" i="62601" s="1"/>
  <c r="B187" i="62601" s="1"/>
  <c r="F131" i="62601"/>
  <c r="L131" i="62601" s="1"/>
  <c r="B186" i="62601" s="1"/>
  <c r="D158" i="62601"/>
  <c r="E158" i="62601" s="1"/>
  <c r="D157" i="62601"/>
  <c r="E157" i="62601" s="1"/>
  <c r="D155" i="62601"/>
  <c r="E155" i="62601" s="1"/>
  <c r="D159" i="62601"/>
  <c r="E159" i="62601" s="1"/>
  <c r="D156" i="62601"/>
  <c r="E156" i="62601" s="1"/>
  <c r="F118" i="62601"/>
  <c r="L118" i="62601" s="1"/>
  <c r="B169" i="62601" s="1"/>
  <c r="F130" i="62601"/>
  <c r="L130" i="62601" s="1"/>
  <c r="B185" i="62601" s="1"/>
  <c r="F120" i="62601"/>
  <c r="L120" i="62601" s="1"/>
  <c r="B170" i="62601" s="1"/>
  <c r="F123" i="62601"/>
  <c r="L123" i="62601" s="1"/>
  <c r="B173" i="62601" s="1"/>
  <c r="F122" i="62601"/>
  <c r="L122" i="62601" s="1"/>
  <c r="B172" i="62601" s="1"/>
  <c r="F121" i="62601"/>
  <c r="L121" i="62601" s="1"/>
  <c r="B171" i="62601" s="1"/>
  <c r="F142" i="62601"/>
  <c r="L142" i="62601" s="1"/>
  <c r="F147" i="62601"/>
  <c r="L147" i="62601" s="1"/>
  <c r="F127" i="62601"/>
  <c r="L127" i="62601" s="1"/>
  <c r="B183" i="62601" s="1"/>
  <c r="C283" i="101" l="1"/>
  <c r="J347" i="4" s="1"/>
  <c r="D184" i="62601"/>
  <c r="E184" i="62601" s="1"/>
  <c r="D185" i="62601"/>
  <c r="E185" i="62601" s="1"/>
  <c r="D183" i="62601"/>
  <c r="E183" i="62601" s="1"/>
  <c r="D186" i="62601"/>
  <c r="E186" i="62601" s="1"/>
  <c r="D187" i="62601"/>
  <c r="E187" i="62601" s="1"/>
  <c r="D171" i="62601"/>
  <c r="E171" i="62601" s="1"/>
  <c r="D169" i="62601"/>
  <c r="E169" i="62601" s="1"/>
  <c r="D173" i="62601"/>
  <c r="E173" i="62601" s="1"/>
  <c r="D170" i="62601"/>
  <c r="E170" i="62601" s="1"/>
  <c r="D172" i="62601"/>
  <c r="E172" i="62601" s="1"/>
  <c r="C270" i="101"/>
  <c r="F148" i="62601" s="1"/>
  <c r="L148" i="62601" s="1"/>
  <c r="D188" i="62601" s="1"/>
  <c r="E188" i="62601" s="1"/>
  <c r="C257" i="101"/>
  <c r="I319" i="4" l="1"/>
  <c r="J319" i="4" s="1"/>
  <c r="X319" i="4" s="1"/>
  <c r="D138" i="62601"/>
  <c r="F138" i="62601" s="1"/>
  <c r="L138" i="62601" s="1"/>
  <c r="D160" i="62601" s="1"/>
  <c r="E160" i="62601" s="1"/>
  <c r="C162" i="62601" s="1"/>
  <c r="C164" i="62601" s="1"/>
  <c r="Q319" i="4" s="1"/>
  <c r="C190" i="62601"/>
  <c r="J333" i="4"/>
  <c r="X333" i="4" s="1"/>
  <c r="F143" i="62601"/>
  <c r="L143" i="62601" s="1"/>
  <c r="D174" i="62601" s="1"/>
  <c r="E174" i="62601" s="1"/>
  <c r="C176" i="62601" s="1"/>
  <c r="N319" i="4" l="1"/>
  <c r="R318" i="4"/>
  <c r="Q318" i="4"/>
  <c r="U318" i="4"/>
  <c r="S318" i="4"/>
  <c r="S319" i="4"/>
  <c r="C24" i="62575"/>
  <c r="C25" i="62575" s="1"/>
  <c r="P319" i="4"/>
  <c r="V318" i="4"/>
  <c r="O319" i="4"/>
  <c r="U319" i="4"/>
  <c r="R319" i="4"/>
  <c r="C163" i="62601"/>
  <c r="N312" i="4" s="1"/>
  <c r="T318" i="4"/>
  <c r="V319" i="4"/>
  <c r="T319" i="4"/>
  <c r="P318" i="4"/>
  <c r="O318" i="4"/>
  <c r="N318" i="4"/>
  <c r="C191" i="62601"/>
  <c r="C192" i="62601"/>
  <c r="C178" i="62601"/>
  <c r="C177" i="62601"/>
  <c r="S312" i="4" l="1"/>
  <c r="O315" i="4"/>
  <c r="Q313" i="4"/>
  <c r="R316" i="4"/>
  <c r="C16" i="62575"/>
  <c r="C17" i="62575" s="1"/>
  <c r="T313" i="4"/>
  <c r="O314" i="4"/>
  <c r="P316" i="4"/>
  <c r="R313" i="4"/>
  <c r="N314" i="4"/>
  <c r="P312" i="4"/>
  <c r="V316" i="4"/>
  <c r="U313" i="4"/>
  <c r="V312" i="4"/>
  <c r="R315" i="4"/>
  <c r="C316" i="4"/>
  <c r="K316" i="4" s="1"/>
  <c r="W316" i="4" s="1"/>
  <c r="X316" i="4" s="1"/>
  <c r="P313" i="4"/>
  <c r="N313" i="4"/>
  <c r="P315" i="4"/>
  <c r="T316" i="4"/>
  <c r="R314" i="4"/>
  <c r="B311" i="4"/>
  <c r="M312" i="4" s="1"/>
  <c r="N315" i="4"/>
  <c r="R312" i="4"/>
  <c r="T314" i="4"/>
  <c r="O313" i="4"/>
  <c r="Q316" i="4"/>
  <c r="V314" i="4"/>
  <c r="C313" i="4"/>
  <c r="D313" i="4" s="1"/>
  <c r="U316" i="4"/>
  <c r="C314" i="4"/>
  <c r="K314" i="4" s="1"/>
  <c r="W314" i="4" s="1"/>
  <c r="Q315" i="4"/>
  <c r="U315" i="4"/>
  <c r="S316" i="4"/>
  <c r="V313" i="4"/>
  <c r="T315" i="4"/>
  <c r="Q314" i="4"/>
  <c r="C312" i="4"/>
  <c r="K312" i="4" s="1"/>
  <c r="W312" i="4" s="1"/>
  <c r="X312" i="4" s="1"/>
  <c r="S313" i="4"/>
  <c r="U312" i="4"/>
  <c r="S315" i="4"/>
  <c r="T312" i="4"/>
  <c r="S314" i="4"/>
  <c r="N316" i="4"/>
  <c r="O316" i="4"/>
  <c r="Q312" i="4"/>
  <c r="O312" i="4"/>
  <c r="U314" i="4"/>
  <c r="P314" i="4"/>
  <c r="V315" i="4"/>
  <c r="C315" i="4"/>
  <c r="E315" i="4" s="1"/>
  <c r="C98" i="1445"/>
  <c r="C444" i="4" s="1"/>
  <c r="G444" i="4" s="1"/>
  <c r="N346" i="4"/>
  <c r="T346" i="4"/>
  <c r="S347" i="4"/>
  <c r="R346" i="4"/>
  <c r="V347" i="4"/>
  <c r="T347" i="4"/>
  <c r="R347" i="4"/>
  <c r="O347" i="4"/>
  <c r="P347" i="4"/>
  <c r="Q346" i="4"/>
  <c r="U347" i="4"/>
  <c r="U346" i="4"/>
  <c r="O346" i="4"/>
  <c r="V346" i="4"/>
  <c r="Q347" i="4"/>
  <c r="N347" i="4"/>
  <c r="C28" i="62575"/>
  <c r="C29" i="62575" s="1"/>
  <c r="S346" i="4"/>
  <c r="P346" i="4"/>
  <c r="Q342" i="4"/>
  <c r="C20" i="62575"/>
  <c r="C21" i="62575" s="1"/>
  <c r="S340" i="4"/>
  <c r="O341" i="4"/>
  <c r="T342" i="4"/>
  <c r="P344" i="4"/>
  <c r="U344" i="4"/>
  <c r="B339" i="4"/>
  <c r="R340" i="4"/>
  <c r="T341" i="4"/>
  <c r="S341" i="4"/>
  <c r="S343" i="4"/>
  <c r="U342" i="4"/>
  <c r="Q341" i="4"/>
  <c r="P341" i="4"/>
  <c r="T344" i="4"/>
  <c r="U341" i="4"/>
  <c r="V341" i="4"/>
  <c r="U340" i="4"/>
  <c r="N340" i="4"/>
  <c r="U343" i="4"/>
  <c r="T343" i="4"/>
  <c r="Q344" i="4"/>
  <c r="N341" i="4"/>
  <c r="V342" i="4"/>
  <c r="C340" i="4"/>
  <c r="K340" i="4" s="1"/>
  <c r="T340" i="4"/>
  <c r="N342" i="4"/>
  <c r="C342" i="4"/>
  <c r="K342" i="4" s="1"/>
  <c r="N344" i="4"/>
  <c r="B345" i="4"/>
  <c r="C343" i="4"/>
  <c r="K343" i="4" s="1"/>
  <c r="O342" i="4"/>
  <c r="Q343" i="4"/>
  <c r="Q340" i="4"/>
  <c r="V344" i="4"/>
  <c r="C344" i="4"/>
  <c r="K344" i="4" s="1"/>
  <c r="N343" i="4"/>
  <c r="C341" i="4"/>
  <c r="K341" i="4" s="1"/>
  <c r="V343" i="4"/>
  <c r="O340" i="4"/>
  <c r="P343" i="4"/>
  <c r="O343" i="4"/>
  <c r="R343" i="4"/>
  <c r="P342" i="4"/>
  <c r="V340" i="4"/>
  <c r="R344" i="4"/>
  <c r="O344" i="4"/>
  <c r="S342" i="4"/>
  <c r="R341" i="4"/>
  <c r="P340" i="4"/>
  <c r="S344" i="4"/>
  <c r="R342" i="4"/>
  <c r="C96" i="1445"/>
  <c r="C442" i="4" s="1"/>
  <c r="G442" i="4" s="1"/>
  <c r="C95" i="1445"/>
  <c r="C440" i="4" s="1"/>
  <c r="H440" i="4" s="1"/>
  <c r="C99" i="1445"/>
  <c r="C445" i="4" s="1"/>
  <c r="H445" i="4" s="1"/>
  <c r="C97" i="1445"/>
  <c r="C443" i="4" s="1"/>
  <c r="H443" i="4" s="1"/>
  <c r="C100" i="1445"/>
  <c r="C441" i="4" s="1"/>
  <c r="G441" i="4" s="1"/>
  <c r="S328" i="4"/>
  <c r="U330" i="4"/>
  <c r="C330" i="4"/>
  <c r="K330" i="4" s="1"/>
  <c r="C327" i="4"/>
  <c r="K327" i="4" s="1"/>
  <c r="V326" i="4"/>
  <c r="B317" i="4"/>
  <c r="U328" i="4"/>
  <c r="V330" i="4"/>
  <c r="B325" i="4"/>
  <c r="U327" i="4"/>
  <c r="O330" i="4"/>
  <c r="N327" i="4"/>
  <c r="N329" i="4"/>
  <c r="V328" i="4"/>
  <c r="C18" i="62575"/>
  <c r="C19" i="62575" s="1"/>
  <c r="R327" i="4"/>
  <c r="P326" i="4"/>
  <c r="Q328" i="4"/>
  <c r="T330" i="4"/>
  <c r="N326" i="4"/>
  <c r="C328" i="4"/>
  <c r="K328" i="4" s="1"/>
  <c r="R328" i="4"/>
  <c r="P327" i="4"/>
  <c r="R326" i="4"/>
  <c r="R329" i="4"/>
  <c r="N330" i="4"/>
  <c r="S330" i="4"/>
  <c r="O327" i="4"/>
  <c r="P330" i="4"/>
  <c r="V329" i="4"/>
  <c r="T326" i="4"/>
  <c r="S327" i="4"/>
  <c r="S326" i="4"/>
  <c r="R330" i="4"/>
  <c r="C329" i="4"/>
  <c r="K329" i="4" s="1"/>
  <c r="O328" i="4"/>
  <c r="Q330" i="4"/>
  <c r="T329" i="4"/>
  <c r="S329" i="4"/>
  <c r="P328" i="4"/>
  <c r="U329" i="4"/>
  <c r="U326" i="4"/>
  <c r="Q327" i="4"/>
  <c r="V327" i="4"/>
  <c r="N328" i="4"/>
  <c r="P329" i="4"/>
  <c r="T327" i="4"/>
  <c r="B331" i="4"/>
  <c r="Q326" i="4"/>
  <c r="C326" i="4"/>
  <c r="K326" i="4" s="1"/>
  <c r="T328" i="4"/>
  <c r="O326" i="4"/>
  <c r="O329" i="4"/>
  <c r="Q329" i="4"/>
  <c r="U332" i="4"/>
  <c r="C26" i="62575"/>
  <c r="C27" i="62575" s="1"/>
  <c r="U333" i="4"/>
  <c r="R332" i="4"/>
  <c r="P332" i="4"/>
  <c r="N333" i="4"/>
  <c r="N332" i="4"/>
  <c r="V333" i="4"/>
  <c r="R333" i="4"/>
  <c r="T333" i="4"/>
  <c r="C104" i="1445"/>
  <c r="C438" i="4" s="1"/>
  <c r="C103" i="1445"/>
  <c r="C437" i="4" s="1"/>
  <c r="S333" i="4"/>
  <c r="S332" i="4"/>
  <c r="V332" i="4"/>
  <c r="T332" i="4"/>
  <c r="O332" i="4"/>
  <c r="P333" i="4"/>
  <c r="Q333" i="4"/>
  <c r="Q332" i="4"/>
  <c r="O333" i="4"/>
  <c r="E314" i="4"/>
  <c r="M315" i="4" l="1"/>
  <c r="E313" i="4"/>
  <c r="F313" i="4"/>
  <c r="M316" i="4"/>
  <c r="M313" i="4"/>
  <c r="D312" i="4"/>
  <c r="H312" i="4"/>
  <c r="H314" i="4"/>
  <c r="D314" i="4"/>
  <c r="F314" i="4"/>
  <c r="F312" i="4"/>
  <c r="H316" i="4"/>
  <c r="E312" i="4"/>
  <c r="M314" i="4"/>
  <c r="H313" i="4"/>
  <c r="F315" i="4"/>
  <c r="H315" i="4"/>
  <c r="D316" i="4"/>
  <c r="E316" i="4"/>
  <c r="F316" i="4"/>
  <c r="K313" i="4"/>
  <c r="W313" i="4" s="1"/>
  <c r="X313" i="4" s="1"/>
  <c r="I316" i="4"/>
  <c r="J316" i="4" s="1"/>
  <c r="G314" i="4"/>
  <c r="G315" i="4"/>
  <c r="D315" i="4"/>
  <c r="K315" i="4"/>
  <c r="W315" i="4" s="1"/>
  <c r="X315" i="4" s="1"/>
  <c r="G313" i="4"/>
  <c r="I315" i="4"/>
  <c r="J315" i="4" s="1"/>
  <c r="I313" i="4"/>
  <c r="J313" i="4" s="1"/>
  <c r="G316" i="4"/>
  <c r="I314" i="4"/>
  <c r="J314" i="4" s="1"/>
  <c r="X314" i="4" s="1"/>
  <c r="I312" i="4"/>
  <c r="J312" i="4" s="1"/>
  <c r="G312" i="4"/>
  <c r="G344" i="4"/>
  <c r="I344" i="4"/>
  <c r="J344" i="4" s="1"/>
  <c r="G343" i="4"/>
  <c r="I343" i="4"/>
  <c r="J343" i="4" s="1"/>
  <c r="G342" i="4"/>
  <c r="I342" i="4"/>
  <c r="J342" i="4" s="1"/>
  <c r="G341" i="4"/>
  <c r="I341" i="4"/>
  <c r="J341" i="4" s="1"/>
  <c r="G340" i="4"/>
  <c r="I340" i="4"/>
  <c r="J340" i="4" s="1"/>
  <c r="G330" i="4"/>
  <c r="I330" i="4"/>
  <c r="J330" i="4" s="1"/>
  <c r="G329" i="4"/>
  <c r="I329" i="4"/>
  <c r="J329" i="4" s="1"/>
  <c r="G328" i="4"/>
  <c r="I328" i="4"/>
  <c r="J328" i="4" s="1"/>
  <c r="G327" i="4"/>
  <c r="I327" i="4"/>
  <c r="J327" i="4" s="1"/>
  <c r="G326" i="4"/>
  <c r="I326" i="4"/>
  <c r="J326" i="4" s="1"/>
  <c r="G443" i="4"/>
  <c r="C22" i="62575"/>
  <c r="H444" i="4"/>
  <c r="C30" i="62575"/>
  <c r="E340" i="4"/>
  <c r="D340" i="4"/>
  <c r="F340" i="4"/>
  <c r="W340" i="4"/>
  <c r="X340" i="4" s="1"/>
  <c r="H340" i="4"/>
  <c r="W342" i="4"/>
  <c r="D342" i="4"/>
  <c r="F342" i="4"/>
  <c r="E342" i="4"/>
  <c r="H342" i="4"/>
  <c r="D343" i="4"/>
  <c r="W343" i="4"/>
  <c r="X343" i="4" s="1"/>
  <c r="F343" i="4"/>
  <c r="E343" i="4"/>
  <c r="H343" i="4"/>
  <c r="M341" i="4"/>
  <c r="M344" i="4"/>
  <c r="M343" i="4"/>
  <c r="M342" i="4"/>
  <c r="M340" i="4"/>
  <c r="E344" i="4"/>
  <c r="W344" i="4"/>
  <c r="X344" i="4" s="1"/>
  <c r="D344" i="4"/>
  <c r="H344" i="4"/>
  <c r="F344" i="4"/>
  <c r="H341" i="4"/>
  <c r="E341" i="4"/>
  <c r="D341" i="4"/>
  <c r="W341" i="4"/>
  <c r="X341" i="4" s="1"/>
  <c r="F341" i="4"/>
  <c r="M347" i="4"/>
  <c r="M346" i="4"/>
  <c r="G445" i="4"/>
  <c r="E447" i="4" s="1"/>
  <c r="H441" i="4"/>
  <c r="H442" i="4"/>
  <c r="G440" i="4"/>
  <c r="M332" i="4"/>
  <c r="M333" i="4"/>
  <c r="M318" i="4"/>
  <c r="M319" i="4"/>
  <c r="W328" i="4"/>
  <c r="D328" i="4"/>
  <c r="F328" i="4"/>
  <c r="E328" i="4"/>
  <c r="H328" i="4"/>
  <c r="H327" i="4"/>
  <c r="F327" i="4"/>
  <c r="W327" i="4"/>
  <c r="X327" i="4" s="1"/>
  <c r="D327" i="4"/>
  <c r="E327" i="4"/>
  <c r="H437" i="4"/>
  <c r="G437" i="4"/>
  <c r="D329" i="4"/>
  <c r="W329" i="4"/>
  <c r="X329" i="4" s="1"/>
  <c r="H329" i="4"/>
  <c r="F329" i="4"/>
  <c r="E329" i="4"/>
  <c r="W330" i="4"/>
  <c r="X330" i="4" s="1"/>
  <c r="H330" i="4"/>
  <c r="F330" i="4"/>
  <c r="D330" i="4"/>
  <c r="E330" i="4"/>
  <c r="G438" i="4"/>
  <c r="H438" i="4"/>
  <c r="H326" i="4"/>
  <c r="D326" i="4"/>
  <c r="E326" i="4"/>
  <c r="W326" i="4"/>
  <c r="X326" i="4" s="1"/>
  <c r="F326" i="4"/>
  <c r="M329" i="4"/>
  <c r="M327" i="4"/>
  <c r="M330" i="4"/>
  <c r="M326" i="4"/>
  <c r="M328" i="4"/>
  <c r="X328" i="4" l="1"/>
  <c r="C84" i="62575"/>
  <c r="C32" i="62575"/>
  <c r="X342" i="4"/>
  <c r="C86" i="62575"/>
  <c r="C85" i="62575"/>
  <c r="G451" i="4"/>
  <c r="G452" i="4" s="1"/>
  <c r="C464" i="4" s="1"/>
  <c r="W360" i="4"/>
  <c r="C362" i="4"/>
  <c r="C87" i="62575"/>
  <c r="X360" i="4" l="1"/>
  <c r="C33" i="62575"/>
  <c r="C380" i="4" s="1"/>
  <c r="C477" i="4" s="1"/>
  <c r="C363" i="4"/>
  <c r="D375" i="4"/>
  <c r="C375" i="4" s="1"/>
  <c r="C472" i="4" s="1"/>
  <c r="C24" i="4"/>
  <c r="I36" i="2"/>
  <c r="C93" i="62575"/>
  <c r="C367" i="4" s="1"/>
  <c r="C370" i="4" s="1"/>
  <c r="C398" i="4" s="1"/>
  <c r="C98" i="62575" l="1"/>
  <c r="C99" i="62575" s="1"/>
  <c r="C386" i="4"/>
  <c r="C97" i="62575"/>
  <c r="C376" i="4"/>
  <c r="C96" i="62575"/>
  <c r="C387" i="4"/>
  <c r="C385" i="4"/>
  <c r="I33" i="2"/>
  <c r="C384" i="4"/>
  <c r="C481" i="4" s="1"/>
  <c r="C382" i="4"/>
  <c r="C19" i="4"/>
  <c r="C388" i="4"/>
  <c r="C397" i="4"/>
  <c r="D383" i="4"/>
  <c r="C20" i="4"/>
  <c r="C374" i="4" l="1"/>
  <c r="C471" i="4" s="1"/>
  <c r="C100" i="62575"/>
  <c r="C389" i="4" s="1"/>
  <c r="C486" i="4" s="1"/>
  <c r="C383" i="4" l="1"/>
  <c r="C480" i="4" s="1"/>
  <c r="C488" i="4" s="1"/>
  <c r="C390" i="4" s="1"/>
  <c r="C21" i="4" s="1"/>
  <c r="C489" i="4" l="1"/>
  <c r="C461" i="4"/>
  <c r="B23" i="4" s="1"/>
  <c r="C400" i="4"/>
  <c r="I34" i="2" s="1"/>
  <c r="C399" i="4"/>
  <c r="C22" i="4" l="1"/>
  <c r="C463" i="4"/>
  <c r="C465" i="4" s="1"/>
  <c r="C466" i="4" s="1"/>
  <c r="C467" i="4" l="1"/>
  <c r="C27" i="4" s="1"/>
  <c r="C26" i="4"/>
  <c r="C103" i="62575"/>
  <c r="C25" i="4"/>
  <c r="C104" i="62575"/>
  <c r="C23" i="4"/>
  <c r="I35" i="2"/>
  <c r="I37" i="2" l="1"/>
  <c r="E465" i="4"/>
  <c r="B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Ransom, Patrick E.</author>
    <author>Patrick Ransom</author>
    <author>Jon Fetter-Degges</author>
    <author>Emily Giovanni</author>
    <author>Mark Guttridge</author>
    <author>saic</author>
  </authors>
  <commentList>
    <comment ref="L31" authorId="0" shapeId="0" xr:uid="{00000000-0006-0000-0400-000001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M31" authorId="0" shapeId="0" xr:uid="{00000000-0006-0000-0400-000002000000}">
      <text>
        <r>
          <rPr>
            <b/>
            <sz val="9"/>
            <color indexed="81"/>
            <rFont val="Tahoma"/>
            <family val="2"/>
          </rPr>
          <t>Used internally</t>
        </r>
        <r>
          <rPr>
            <sz val="9"/>
            <color indexed="81"/>
            <rFont val="Tahoma"/>
            <family val="2"/>
          </rPr>
          <t xml:space="preserve">
</t>
        </r>
      </text>
    </comment>
    <comment ref="N31" authorId="1" shapeId="0" xr:uid="{00000000-0006-0000-0400-000003000000}">
      <text>
        <r>
          <rPr>
            <b/>
            <sz val="9"/>
            <color indexed="81"/>
            <rFont val="Tahoma"/>
            <family val="2"/>
          </rPr>
          <t>Used internally by the generate results macro to select components based on system size and component level.</t>
        </r>
      </text>
    </comment>
    <comment ref="W31" authorId="0" shapeId="0" xr:uid="{00000000-0006-0000-0400-000004000000}">
      <text>
        <r>
          <rPr>
            <b/>
            <sz val="9"/>
            <color indexed="81"/>
            <rFont val="Tahoma"/>
            <family val="2"/>
          </rPr>
          <t>Used internally to calculate composite useful life for the entire system.</t>
        </r>
        <r>
          <rPr>
            <sz val="9"/>
            <color indexed="81"/>
            <rFont val="Tahoma"/>
            <family val="2"/>
          </rPr>
          <t xml:space="preserve">
</t>
        </r>
      </text>
    </comment>
    <comment ref="Y33" authorId="1" shapeId="0" xr:uid="{00000000-0006-0000-0400-000005000000}">
      <text>
        <r>
          <rPr>
            <b/>
            <sz val="9"/>
            <color indexed="81"/>
            <rFont val="Tahoma"/>
            <family val="2"/>
          </rPr>
          <t>Used to calculate Useful Life for total building costs</t>
        </r>
      </text>
    </comment>
    <comment ref="K35" authorId="1" shapeId="0" xr:uid="{00000000-0006-0000-0400-000006000000}">
      <text>
        <r>
          <rPr>
            <sz val="8"/>
            <color indexed="81"/>
            <rFont val="Tahoma"/>
            <family val="2"/>
          </rPr>
          <t>Element replacement cost is handled in O&amp;M section</t>
        </r>
      </text>
    </comment>
    <comment ref="J48" authorId="2" shapeId="0" xr:uid="{00000000-0006-0000-0400-000007000000}">
      <text>
        <r>
          <rPr>
            <sz val="8"/>
            <color indexed="81"/>
            <rFont val="Tahoma"/>
            <family val="2"/>
          </rPr>
          <t>Equal to a CDA times the capital cost of membrane equipment (less elements). Piping is excluded because its installation costs are aincluded in the listed price.</t>
        </r>
      </text>
    </comment>
    <comment ref="K48" authorId="2" shapeId="0" xr:uid="{00000000-0006-0000-0400-000008000000}">
      <text>
        <r>
          <rPr>
            <sz val="8"/>
            <color indexed="81"/>
            <rFont val="Tahoma"/>
            <family val="2"/>
          </rPr>
          <t>Computed based on a rack cost that includes all rack components except for membrane elements.</t>
        </r>
      </text>
    </comment>
    <comment ref="B94" authorId="0" shapeId="0" xr:uid="{00000000-0006-0000-0400-000009000000}">
      <text>
        <r>
          <rPr>
            <b/>
            <sz val="9"/>
            <color indexed="81"/>
            <rFont val="Tahoma"/>
            <family val="2"/>
          </rPr>
          <t>Only when NaOH is the high pH cleaning solution</t>
        </r>
        <r>
          <rPr>
            <sz val="9"/>
            <color indexed="81"/>
            <rFont val="Tahoma"/>
            <family val="2"/>
          </rPr>
          <t xml:space="preserve">
</t>
        </r>
      </text>
    </comment>
    <comment ref="B95" authorId="0" shapeId="0" xr:uid="{00000000-0006-0000-0400-00000A000000}">
      <text>
        <r>
          <rPr>
            <b/>
            <sz val="9"/>
            <color indexed="81"/>
            <rFont val="Tahoma"/>
            <family val="2"/>
          </rPr>
          <t>Only when NaOH is the high pH cleaning solution</t>
        </r>
        <r>
          <rPr>
            <sz val="9"/>
            <color indexed="81"/>
            <rFont val="Tahoma"/>
            <family val="2"/>
          </rPr>
          <t xml:space="preserve">
</t>
        </r>
      </text>
    </comment>
    <comment ref="K104" authorId="0" shapeId="0" xr:uid="{00000000-0006-0000-0400-00000B000000}">
      <text>
        <r>
          <rPr>
            <b/>
            <sz val="9"/>
            <color indexed="81"/>
            <rFont val="Tahoma"/>
            <family val="2"/>
          </rPr>
          <t>Replace at same time as basin concrete.</t>
        </r>
        <r>
          <rPr>
            <sz val="9"/>
            <color indexed="81"/>
            <rFont val="Tahoma"/>
            <family val="2"/>
          </rPr>
          <t xml:space="preserve">
</t>
        </r>
      </text>
    </comment>
    <comment ref="K105" authorId="0" shapeId="0" xr:uid="{00000000-0006-0000-0400-00000C000000}">
      <text>
        <r>
          <rPr>
            <b/>
            <sz val="9"/>
            <color indexed="81"/>
            <rFont val="Tahoma"/>
            <family val="2"/>
          </rPr>
          <t>Replace at same time as basin concrete.</t>
        </r>
        <r>
          <rPr>
            <sz val="9"/>
            <color indexed="81"/>
            <rFont val="Tahoma"/>
            <family val="2"/>
          </rPr>
          <t xml:space="preserve">
</t>
        </r>
      </text>
    </comment>
    <comment ref="K107" authorId="3" shapeId="0" xr:uid="{00000000-0006-0000-0400-00000D000000}">
      <text>
        <r>
          <rPr>
            <sz val="9"/>
            <color indexed="81"/>
            <rFont val="Tahoma"/>
            <family val="2"/>
          </rPr>
          <t>Replace at same time as liner.</t>
        </r>
      </text>
    </comment>
    <comment ref="K108" authorId="3" shapeId="0" xr:uid="{00000000-0006-0000-0400-00000E000000}">
      <text>
        <r>
          <rPr>
            <sz val="9"/>
            <color indexed="81"/>
            <rFont val="Tahoma"/>
            <family val="2"/>
          </rPr>
          <t>Replace at same time as liner.</t>
        </r>
      </text>
    </comment>
    <comment ref="K110" authorId="3" shapeId="0" xr:uid="{00000000-0006-0000-0400-00000F000000}">
      <text>
        <r>
          <rPr>
            <sz val="9"/>
            <color indexed="81"/>
            <rFont val="Tahoma"/>
            <family val="2"/>
          </rPr>
          <t>Replace at same time as liner.</t>
        </r>
      </text>
    </comment>
    <comment ref="K127" authorId="0" shapeId="0" xr:uid="{00000000-0006-0000-0400-000010000000}">
      <text>
        <r>
          <rPr>
            <b/>
            <sz val="9"/>
            <color indexed="81"/>
            <rFont val="Tahoma"/>
            <family val="2"/>
          </rPr>
          <t>Replace at same time as selected pipe.</t>
        </r>
        <r>
          <rPr>
            <sz val="9"/>
            <color indexed="81"/>
            <rFont val="Tahoma"/>
            <family val="2"/>
          </rPr>
          <t xml:space="preserve">
</t>
        </r>
      </text>
    </comment>
    <comment ref="K128" authorId="0" shapeId="0" xr:uid="{00000000-0006-0000-0400-000011000000}">
      <text>
        <r>
          <rPr>
            <b/>
            <sz val="9"/>
            <color indexed="81"/>
            <rFont val="Tahoma"/>
            <family val="2"/>
          </rPr>
          <t>Replace at same time as selected pipe.</t>
        </r>
        <r>
          <rPr>
            <sz val="9"/>
            <color indexed="81"/>
            <rFont val="Tahoma"/>
            <family val="2"/>
          </rPr>
          <t xml:space="preserve">
</t>
        </r>
      </text>
    </comment>
    <comment ref="K129" authorId="0" shapeId="0" xr:uid="{00000000-0006-0000-0400-000012000000}">
      <text>
        <r>
          <rPr>
            <b/>
            <sz val="9"/>
            <color indexed="81"/>
            <rFont val="Tahoma"/>
            <family val="2"/>
          </rPr>
          <t>Replace at same time as selected pipe.</t>
        </r>
        <r>
          <rPr>
            <sz val="9"/>
            <color indexed="81"/>
            <rFont val="Tahoma"/>
            <family val="2"/>
          </rPr>
          <t xml:space="preserve">
</t>
        </r>
      </text>
    </comment>
    <comment ref="K130" authorId="0" shapeId="0" xr:uid="{00000000-0006-0000-0400-000013000000}">
      <text>
        <r>
          <rPr>
            <b/>
            <sz val="9"/>
            <color indexed="81"/>
            <rFont val="Tahoma"/>
            <family val="2"/>
          </rPr>
          <t>Replace at same time as selected pipe.</t>
        </r>
        <r>
          <rPr>
            <sz val="9"/>
            <color indexed="81"/>
            <rFont val="Tahoma"/>
            <family val="2"/>
          </rPr>
          <t xml:space="preserve">
</t>
        </r>
      </text>
    </comment>
    <comment ref="N147" authorId="2" shapeId="0" xr:uid="{00000000-0006-0000-0400-000014000000}">
      <text>
        <r>
          <rPr>
            <sz val="8"/>
            <color indexed="81"/>
            <rFont val="Tahoma"/>
            <family val="2"/>
          </rPr>
          <t>PVC valves are always lowest priority; we use them only if there is no SS or CI valve small enough</t>
        </r>
      </text>
    </comment>
    <comment ref="K350" authorId="3" shapeId="0" xr:uid="{00000000-0006-0000-0400-000015000000}">
      <text>
        <r>
          <rPr>
            <sz val="9"/>
            <color indexed="81"/>
            <rFont val="Tahoma"/>
            <family val="2"/>
          </rPr>
          <t>Replace at same time as liner.</t>
        </r>
      </text>
    </comment>
    <comment ref="K351" authorId="3" shapeId="0" xr:uid="{00000000-0006-0000-0400-000016000000}">
      <text>
        <r>
          <rPr>
            <sz val="9"/>
            <color indexed="81"/>
            <rFont val="Tahoma"/>
            <family val="2"/>
          </rPr>
          <t>Replace at same time as liner.</t>
        </r>
      </text>
    </comment>
    <comment ref="K353" authorId="3" shapeId="0" xr:uid="{00000000-0006-0000-0400-000017000000}">
      <text>
        <r>
          <rPr>
            <sz val="9"/>
            <color indexed="81"/>
            <rFont val="Tahoma"/>
            <family val="2"/>
          </rPr>
          <t>Replace at same time as liner</t>
        </r>
      </text>
    </comment>
    <comment ref="W362" authorId="2" shapeId="0" xr:uid="{00000000-0006-0000-0400-000018000000}">
      <text>
        <r>
          <rPr>
            <sz val="8"/>
            <color indexed="81"/>
            <rFont val="Tahoma"/>
            <family val="2"/>
          </rPr>
          <t>Includes all rack components except for membrane elements.</t>
        </r>
      </text>
    </comment>
    <comment ref="H406" authorId="0" shapeId="0" xr:uid="{00000000-0006-0000-0400-000019000000}">
      <text>
        <r>
          <rPr>
            <b/>
            <sz val="9"/>
            <color indexed="81"/>
            <rFont val="Tahoma"/>
            <family val="2"/>
          </rPr>
          <t>Items with a value of 1 in this column are included in the total; items with a value of 0 or a blank are alternate costs and not included in the total.</t>
        </r>
        <r>
          <rPr>
            <sz val="9"/>
            <color indexed="81"/>
            <rFont val="Tahoma"/>
            <family val="2"/>
          </rPr>
          <t xml:space="preserve">
</t>
        </r>
      </text>
    </comment>
    <comment ref="A470" authorId="4" shapeId="0" xr:uid="{00000000-0006-0000-0400-00001A000000}">
      <text>
        <r>
          <rPr>
            <b/>
            <sz val="9"/>
            <color indexed="81"/>
            <rFont val="Tahoma"/>
            <family val="2"/>
          </rPr>
          <t>The rows below are used internally</t>
        </r>
      </text>
    </comment>
    <comment ref="B487" authorId="5" shapeId="0" xr:uid="{00000000-0006-0000-0400-00001B000000}">
      <text>
        <r>
          <rPr>
            <b/>
            <sz val="8"/>
            <color indexed="81"/>
            <rFont val="Tahoma"/>
            <family val="2"/>
          </rPr>
          <t>Internal use</t>
        </r>
        <r>
          <rPr>
            <sz val="8"/>
            <color indexed="81"/>
            <rFont val="Tahoma"/>
            <family val="2"/>
          </rPr>
          <t xml:space="preserve">
</t>
        </r>
      </text>
    </comment>
    <comment ref="B491" authorId="4" shapeId="0" xr:uid="{00000000-0006-0000-0400-00001C000000}">
      <text>
        <r>
          <rPr>
            <b/>
            <sz val="9"/>
            <color indexed="81"/>
            <rFont val="Tahoma"/>
            <family val="2"/>
          </rPr>
          <t>Values to the right are used internally for error checking</t>
        </r>
      </text>
    </comment>
    <comment ref="B492" authorId="4" shapeId="0" xr:uid="{00000000-0006-0000-0400-00001D000000}">
      <text>
        <r>
          <rPr>
            <b/>
            <sz val="9"/>
            <color indexed="81"/>
            <rFont val="Tahoma"/>
            <family val="2"/>
          </rPr>
          <t>Values to the right are used internally for error checking</t>
        </r>
      </text>
    </comment>
    <comment ref="B493" authorId="4" shapeId="0" xr:uid="{00000000-0006-0000-0400-00001E000000}">
      <text>
        <r>
          <rPr>
            <b/>
            <sz val="9"/>
            <color indexed="81"/>
            <rFont val="Tahoma"/>
            <family val="2"/>
          </rPr>
          <t xml:space="preserve">Values to the right are used internally for error checking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300-000001000000}">
      <text>
        <r>
          <rPr>
            <b/>
            <sz val="9"/>
            <color indexed="81"/>
            <rFont val="Tahoma"/>
            <family val="2"/>
          </rPr>
          <t>Internal use</t>
        </r>
      </text>
    </comment>
    <comment ref="C3" authorId="1" shapeId="0" xr:uid="{00000000-0006-0000-13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400-000001000000}">
      <text>
        <r>
          <rPr>
            <b/>
            <sz val="9"/>
            <color indexed="81"/>
            <rFont val="Tahoma"/>
            <family val="2"/>
          </rPr>
          <t>Internal use</t>
        </r>
      </text>
    </comment>
    <comment ref="C3" authorId="1" shapeId="0" xr:uid="{00000000-0006-0000-14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500-000001000000}">
      <text>
        <r>
          <rPr>
            <b/>
            <sz val="9"/>
            <color indexed="81"/>
            <rFont val="Tahoma"/>
            <family val="2"/>
          </rPr>
          <t>Internal use</t>
        </r>
      </text>
    </comment>
    <comment ref="C4" authorId="1" shapeId="0" xr:uid="{00000000-0006-0000-0500-000002000000}">
      <text>
        <r>
          <rPr>
            <b/>
            <sz val="9"/>
            <color indexed="81"/>
            <rFont val="Tahoma"/>
            <family val="2"/>
          </rPr>
          <t>Users may change any of the cells in the Value column; cells in gold are most important and may vary based on contaminant treated and site-specific conditions</t>
        </r>
        <r>
          <rPr>
            <sz val="9"/>
            <color indexed="81"/>
            <rFont val="Tahoma"/>
            <family val="2"/>
          </rPr>
          <t xml:space="preserve">
</t>
        </r>
      </text>
    </comment>
    <comment ref="B312" authorId="1" shapeId="0" xr:uid="{00000000-0006-0000-0500-000003000000}">
      <text>
        <r>
          <rPr>
            <b/>
            <sz val="9"/>
            <color indexed="81"/>
            <rFont val="Tahoma"/>
            <family val="2"/>
          </rPr>
          <t>Internal Use</t>
        </r>
        <r>
          <rPr>
            <sz val="9"/>
            <color indexed="81"/>
            <rFont val="Tahoma"/>
            <family val="2"/>
          </rPr>
          <t xml:space="preserve">
</t>
        </r>
      </text>
    </comment>
    <comment ref="C312" authorId="1" shapeId="0" xr:uid="{00000000-0006-0000-0500-000004000000}">
      <text>
        <r>
          <rPr>
            <b/>
            <sz val="9"/>
            <color indexed="81"/>
            <rFont val="Tahoma"/>
            <family val="2"/>
          </rPr>
          <t>Users may change values in this column to reflect differing degrees of automation</t>
        </r>
      </text>
    </comment>
    <comment ref="D312" authorId="1" shapeId="0" xr:uid="{00000000-0006-0000-0500-000005000000}">
      <text>
        <r>
          <rPr>
            <b/>
            <sz val="9"/>
            <color indexed="81"/>
            <rFont val="Tahoma"/>
            <family val="2"/>
          </rPr>
          <t>Users may change values in this column to reflect differing degrees of automation</t>
        </r>
        <r>
          <rPr>
            <sz val="9"/>
            <color indexed="81"/>
            <rFont val="Tahoma"/>
            <family val="2"/>
          </rPr>
          <t xml:space="preserve">
</t>
        </r>
      </text>
    </comment>
    <comment ref="E312" authorId="1" shapeId="0" xr:uid="{00000000-0006-0000-0500-000006000000}">
      <text>
        <r>
          <rPr>
            <b/>
            <sz val="9"/>
            <color indexed="81"/>
            <rFont val="Tahoma"/>
            <family val="2"/>
          </rPr>
          <t>Users may change values in this column to reflect differing degrees of automation</t>
        </r>
        <r>
          <rPr>
            <sz val="9"/>
            <color indexed="81"/>
            <rFont val="Tahoma"/>
            <family val="2"/>
          </rPr>
          <t xml:space="preserve">
</t>
        </r>
      </text>
    </comment>
    <comment ref="B349" authorId="1" shapeId="0" xr:uid="{00000000-0006-0000-0500-000007000000}">
      <text>
        <r>
          <rPr>
            <b/>
            <sz val="9"/>
            <color indexed="81"/>
            <rFont val="Tahoma"/>
            <family val="2"/>
          </rPr>
          <t>Internal Use</t>
        </r>
        <r>
          <rPr>
            <sz val="9"/>
            <color indexed="81"/>
            <rFont val="Tahoma"/>
            <family val="2"/>
          </rPr>
          <t xml:space="preserve">
</t>
        </r>
      </text>
    </comment>
    <comment ref="C349" authorId="1" shapeId="0" xr:uid="{00000000-0006-0000-0500-000008000000}">
      <text>
        <r>
          <rPr>
            <b/>
            <sz val="9"/>
            <color indexed="81"/>
            <rFont val="Tahoma"/>
            <family val="2"/>
          </rPr>
          <t>Users may change values in this column to reflect differing degrees of automation</t>
        </r>
      </text>
    </comment>
    <comment ref="D349" authorId="1" shapeId="0" xr:uid="{00000000-0006-0000-0500-000009000000}">
      <text>
        <r>
          <rPr>
            <b/>
            <sz val="9"/>
            <color indexed="81"/>
            <rFont val="Tahoma"/>
            <family val="2"/>
          </rPr>
          <t>Users may change values in this column to reflect differing degrees of automation</t>
        </r>
        <r>
          <rPr>
            <sz val="9"/>
            <color indexed="81"/>
            <rFont val="Tahoma"/>
            <family val="2"/>
          </rPr>
          <t xml:space="preserve">
</t>
        </r>
      </text>
    </comment>
    <comment ref="E349" authorId="1" shapeId="0" xr:uid="{00000000-0006-0000-0500-00000A000000}">
      <text>
        <r>
          <rPr>
            <b/>
            <sz val="9"/>
            <color indexed="81"/>
            <rFont val="Tahoma"/>
            <family val="2"/>
          </rPr>
          <t>Users may change values in this column to reflect differing degrees of automation</t>
        </r>
        <r>
          <rPr>
            <sz val="9"/>
            <color indexed="81"/>
            <rFont val="Tahoma"/>
            <family val="2"/>
          </rPr>
          <t xml:space="preserve">
</t>
        </r>
      </text>
    </comment>
    <comment ref="F349" authorId="1" shapeId="0" xr:uid="{00000000-0006-0000-0500-00000B000000}">
      <text>
        <r>
          <rPr>
            <b/>
            <sz val="9"/>
            <color indexed="81"/>
            <rFont val="Tahoma"/>
            <family val="2"/>
          </rPr>
          <t>Users may change values in this column to reflect differing degrees of automation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C3" authorId="0" shapeId="0" xr:uid="{00000000-0006-0000-0D00-000001000000}">
      <text>
        <r>
          <rPr>
            <b/>
            <sz val="9"/>
            <color indexed="81"/>
            <rFont val="Tahoma"/>
            <family val="2"/>
          </rPr>
          <t>Internal use</t>
        </r>
      </text>
    </comment>
    <comment ref="D3" authorId="1" shapeId="0" xr:uid="{00000000-0006-0000-0D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600-000001000000}">
      <text>
        <r>
          <rPr>
            <b/>
            <sz val="9"/>
            <color indexed="81"/>
            <rFont val="Tahoma"/>
            <family val="2"/>
          </rPr>
          <t>Internal use</t>
        </r>
      </text>
    </comment>
    <comment ref="C4" authorId="1" shapeId="0" xr:uid="{00000000-0006-0000-0600-000002000000}">
      <text>
        <r>
          <rPr>
            <b/>
            <sz val="9"/>
            <color indexed="81"/>
            <rFont val="Tahoma"/>
            <family val="2"/>
          </rPr>
          <t>Users may change any of the cells in the Value column</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700-000001000000}">
      <text>
        <r>
          <rPr>
            <b/>
            <sz val="9"/>
            <color indexed="81"/>
            <rFont val="Tahoma"/>
            <family val="2"/>
          </rPr>
          <t>Internal use</t>
        </r>
      </text>
    </comment>
    <comment ref="C4" authorId="1" shapeId="0" xr:uid="{00000000-0006-0000-0700-000002000000}">
      <text>
        <r>
          <rPr>
            <b/>
            <sz val="9"/>
            <color indexed="81"/>
            <rFont val="Tahoma"/>
            <family val="2"/>
          </rPr>
          <t>Users may change any of the cells in the Value column</t>
        </r>
        <r>
          <rPr>
            <sz val="9"/>
            <color indexed="81"/>
            <rFont val="Tahoma"/>
            <family val="2"/>
          </rPr>
          <t xml:space="preserve">
</t>
        </r>
      </text>
    </comment>
    <comment ref="B106" authorId="0" shapeId="0" xr:uid="{00000000-0006-0000-0700-000003000000}">
      <text>
        <r>
          <rPr>
            <b/>
            <sz val="9"/>
            <color indexed="81"/>
            <rFont val="Tahoma"/>
            <family val="2"/>
          </rPr>
          <t>Internal use</t>
        </r>
      </text>
    </comment>
    <comment ref="B117" authorId="0" shapeId="0" xr:uid="{00000000-0006-0000-0700-000004000000}">
      <text>
        <r>
          <rPr>
            <b/>
            <sz val="9"/>
            <color indexed="81"/>
            <rFont val="Tahoma"/>
            <family val="2"/>
          </rPr>
          <t>Internal use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800-000001000000}">
      <text>
        <r>
          <rPr>
            <b/>
            <sz val="9"/>
            <color indexed="81"/>
            <rFont val="Tahoma"/>
            <family val="2"/>
          </rPr>
          <t>Internal use</t>
        </r>
      </text>
    </comment>
    <comment ref="C3" authorId="1" shapeId="0" xr:uid="{00000000-0006-0000-08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69" authorId="1" shapeId="0" xr:uid="{00000000-0006-0000-0800-000003000000}">
      <text>
        <r>
          <rPr>
            <b/>
            <sz val="9"/>
            <color indexed="81"/>
            <rFont val="Tahoma"/>
            <family val="2"/>
          </rPr>
          <t>Internal Use</t>
        </r>
        <r>
          <rPr>
            <sz val="9"/>
            <color indexed="81"/>
            <rFont val="Tahoma"/>
            <family val="2"/>
          </rPr>
          <t xml:space="preserve">
</t>
        </r>
      </text>
    </comment>
    <comment ref="C69" authorId="1" shapeId="0" xr:uid="{00000000-0006-0000-0800-000004000000}">
      <text>
        <r>
          <rPr>
            <b/>
            <sz val="9"/>
            <color indexed="81"/>
            <rFont val="Tahoma"/>
            <family val="2"/>
          </rPr>
          <t>Internal Use</t>
        </r>
        <r>
          <rPr>
            <sz val="9"/>
            <color indexed="81"/>
            <rFont val="Tahoma"/>
            <family val="2"/>
          </rPr>
          <t xml:space="preserve">
</t>
        </r>
      </text>
    </comment>
    <comment ref="B78" authorId="1" shapeId="0" xr:uid="{00000000-0006-0000-0800-000005000000}">
      <text>
        <r>
          <rPr>
            <b/>
            <sz val="9"/>
            <color indexed="81"/>
            <rFont val="Tahoma"/>
            <family val="2"/>
          </rPr>
          <t>Internal Use</t>
        </r>
        <r>
          <rPr>
            <sz val="9"/>
            <color indexed="81"/>
            <rFont val="Tahoma"/>
            <family val="2"/>
          </rPr>
          <t xml:space="preserve">
</t>
        </r>
      </text>
    </comment>
    <comment ref="C78" authorId="1" shapeId="0" xr:uid="{00000000-0006-0000-0800-000006000000}">
      <text>
        <r>
          <rPr>
            <b/>
            <sz val="9"/>
            <color indexed="81"/>
            <rFont val="Tahoma"/>
            <family val="2"/>
          </rPr>
          <t>Internal Use</t>
        </r>
        <r>
          <rPr>
            <sz val="9"/>
            <color indexed="81"/>
            <rFont val="Tahoma"/>
            <family val="2"/>
          </rPr>
          <t xml:space="preserve">
</t>
        </r>
      </text>
    </comment>
    <comment ref="B87" authorId="1" shapeId="0" xr:uid="{00000000-0006-0000-0800-000007000000}">
      <text>
        <r>
          <rPr>
            <b/>
            <sz val="9"/>
            <color indexed="81"/>
            <rFont val="Tahoma"/>
            <family val="2"/>
          </rPr>
          <t>Internal Use</t>
        </r>
        <r>
          <rPr>
            <sz val="9"/>
            <color indexed="81"/>
            <rFont val="Tahoma"/>
            <family val="2"/>
          </rPr>
          <t xml:space="preserve">
</t>
        </r>
      </text>
    </comment>
    <comment ref="C87" authorId="1" shapeId="0" xr:uid="{00000000-0006-0000-0800-000008000000}">
      <text>
        <r>
          <rPr>
            <b/>
            <sz val="9"/>
            <color indexed="81"/>
            <rFont val="Tahoma"/>
            <family val="2"/>
          </rPr>
          <t>Internal Use</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900-000001000000}">
      <text>
        <r>
          <rPr>
            <b/>
            <sz val="9"/>
            <color indexed="81"/>
            <rFont val="Tahoma"/>
            <family val="2"/>
          </rPr>
          <t>Internal use</t>
        </r>
      </text>
    </comment>
    <comment ref="C3" authorId="1" shapeId="0" xr:uid="{00000000-0006-0000-0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A00-000001000000}">
      <text>
        <r>
          <rPr>
            <b/>
            <sz val="9"/>
            <color indexed="81"/>
            <rFont val="Tahoma"/>
            <family val="2"/>
          </rPr>
          <t>Internal use</t>
        </r>
      </text>
    </comment>
    <comment ref="C3" authorId="1" shapeId="0" xr:uid="{00000000-0006-0000-0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B00-000001000000}">
      <text>
        <r>
          <rPr>
            <b/>
            <sz val="9"/>
            <color indexed="81"/>
            <rFont val="Tahoma"/>
            <family val="2"/>
          </rPr>
          <t>Internal use</t>
        </r>
      </text>
    </comment>
    <comment ref="C3" authorId="1" shapeId="0" xr:uid="{00000000-0006-0000-0B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C00-000001000000}">
      <text>
        <r>
          <rPr>
            <b/>
            <sz val="9"/>
            <color indexed="81"/>
            <rFont val="Tahoma"/>
            <family val="2"/>
          </rPr>
          <t>Internal use</t>
        </r>
      </text>
    </comment>
    <comment ref="C4" authorId="1" shapeId="0" xr:uid="{00000000-0006-0000-0C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0E00-000001000000}">
      <text>
        <r>
          <rPr>
            <b/>
            <sz val="9"/>
            <color indexed="81"/>
            <rFont val="Tahoma"/>
            <family val="2"/>
          </rPr>
          <t>Internal use</t>
        </r>
      </text>
    </comment>
    <comment ref="C4" authorId="1" shapeId="0" xr:uid="{00000000-0006-0000-0E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0F00-000001000000}">
      <text>
        <r>
          <rPr>
            <b/>
            <sz val="9"/>
            <color indexed="81"/>
            <rFont val="Tahoma"/>
            <family val="2"/>
          </rPr>
          <t>Internal use</t>
        </r>
      </text>
    </comment>
    <comment ref="C3" authorId="1" shapeId="0" xr:uid="{00000000-0006-0000-0F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000-000001000000}">
      <text>
        <r>
          <rPr>
            <b/>
            <sz val="9"/>
            <color indexed="81"/>
            <rFont val="Tahoma"/>
            <family val="2"/>
          </rPr>
          <t>Internal use</t>
        </r>
      </text>
    </comment>
    <comment ref="C3" authorId="1" shapeId="0" xr:uid="{00000000-0006-0000-10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100-000001000000}">
      <text>
        <r>
          <rPr>
            <b/>
            <sz val="9"/>
            <color indexed="81"/>
            <rFont val="Tahoma"/>
            <family val="2"/>
          </rPr>
          <t>Internal use</t>
        </r>
      </text>
    </comment>
    <comment ref="C3" authorId="1" shapeId="0" xr:uid="{00000000-0006-0000-11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200-000001000000}">
      <text>
        <r>
          <rPr>
            <b/>
            <sz val="9"/>
            <color indexed="81"/>
            <rFont val="Tahoma"/>
            <family val="2"/>
          </rPr>
          <t>Internal use</t>
        </r>
      </text>
    </comment>
    <comment ref="C3" authorId="1" shapeId="0" xr:uid="{00000000-0006-0000-12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Fetter-Degges</author>
  </authors>
  <commentList>
    <comment ref="B3" authorId="0" shapeId="0" xr:uid="{00000000-0006-0000-1500-000001000000}">
      <text>
        <r>
          <rPr>
            <b/>
            <sz val="9"/>
            <color indexed="81"/>
            <rFont val="Tahoma"/>
            <family val="2"/>
          </rPr>
          <t>Internal use</t>
        </r>
      </text>
    </comment>
    <comment ref="C3" authorId="1" shapeId="0" xr:uid="{00000000-0006-0000-15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B160" authorId="2" shapeId="0" xr:uid="{00000000-0006-0000-1500-000003000000}">
      <text>
        <r>
          <rPr>
            <sz val="8"/>
            <color indexed="81"/>
            <rFont val="Tahoma"/>
            <family val="2"/>
          </rPr>
          <t>Unlike the other figures in this column, this one does not include capital cost; that is included in the annual cost of cooling.</t>
        </r>
      </text>
    </comment>
    <comment ref="B174" authorId="2" shapeId="0" xr:uid="{00000000-0006-0000-1500-000004000000}">
      <text>
        <r>
          <rPr>
            <sz val="8"/>
            <color indexed="81"/>
            <rFont val="Tahoma"/>
            <family val="2"/>
          </rPr>
          <t>Unlike the other figures in this column, this one does not include capital cost; that is included in the annual cost of cooling.</t>
        </r>
      </text>
    </comment>
    <comment ref="B188" authorId="2" shapeId="0" xr:uid="{00000000-0006-0000-1500-000005000000}">
      <text>
        <r>
          <rPr>
            <sz val="8"/>
            <color indexed="81"/>
            <rFont val="Tahoma"/>
            <family val="2"/>
          </rPr>
          <t>Unlike the other figures in this column, this one does not include capital cost; that is included in the annual cost of cooling.</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3" authorId="0" shapeId="0" xr:uid="{00000000-0006-0000-1600-000001000000}">
      <text>
        <r>
          <rPr>
            <b/>
            <sz val="9"/>
            <color indexed="81"/>
            <rFont val="Tahoma"/>
            <family val="2"/>
          </rPr>
          <t>Internal use</t>
        </r>
      </text>
    </comment>
    <comment ref="C3" authorId="1" shapeId="0" xr:uid="{00000000-0006-0000-16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700-000001000000}">
      <text>
        <r>
          <rPr>
            <b/>
            <sz val="9"/>
            <color indexed="81"/>
            <rFont val="Tahoma"/>
            <family val="2"/>
          </rPr>
          <t>Internal use</t>
        </r>
      </text>
    </comment>
    <comment ref="C4" authorId="1" shapeId="0" xr:uid="{00000000-0006-0000-17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Jon Fetter</author>
  </authors>
  <commentList>
    <comment ref="B4" authorId="0" shapeId="0" xr:uid="{00000000-0006-0000-1900-000001000000}">
      <text>
        <r>
          <rPr>
            <b/>
            <sz val="9"/>
            <color indexed="81"/>
            <rFont val="Tahoma"/>
            <family val="2"/>
          </rPr>
          <t>Internal use</t>
        </r>
      </text>
    </comment>
    <comment ref="C4" authorId="1" shapeId="0" xr:uid="{00000000-0006-0000-19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 ref="E9" authorId="0" shapeId="0" xr:uid="{00000000-0006-0000-1900-000003000000}">
      <text>
        <r>
          <rPr>
            <b/>
            <sz val="9"/>
            <color indexed="81"/>
            <rFont val="Tahoma"/>
            <family val="2"/>
          </rPr>
          <t>Internal use</t>
        </r>
      </text>
    </comment>
    <comment ref="B10" authorId="2" shapeId="0" xr:uid="{00000000-0006-0000-1900-000004000000}">
      <text>
        <r>
          <rPr>
            <sz val="8"/>
            <color indexed="81"/>
            <rFont val="Tahoma"/>
            <family val="2"/>
          </rPr>
          <t>Nanofiltration, Low-Pressure RO, or Brackish Water RO.</t>
        </r>
      </text>
    </comment>
    <comment ref="B11" authorId="2" shapeId="0" xr:uid="{00000000-0006-0000-1900-000005000000}">
      <text>
        <r>
          <rPr>
            <sz val="8"/>
            <color indexed="81"/>
            <rFont val="Tahoma"/>
            <family val="2"/>
          </rPr>
          <t>4", 8", or 16-18". The exact diameter for each size is indicated elsewhere in the table.</t>
        </r>
      </text>
    </comment>
    <comment ref="B13" authorId="2" shapeId="0" xr:uid="{00000000-0006-0000-1900-000006000000}">
      <text>
        <r>
          <rPr>
            <sz val="8"/>
            <color indexed="81"/>
            <rFont val="Tahoma"/>
            <family val="2"/>
          </rPr>
          <t>The physical length of the membrane element, in inches.</t>
        </r>
      </text>
    </comment>
    <comment ref="B14" authorId="2" shapeId="0" xr:uid="{00000000-0006-0000-1900-000007000000}">
      <text>
        <r>
          <rPr>
            <sz val="8"/>
            <color indexed="81"/>
            <rFont val="Tahoma"/>
            <family val="2"/>
          </rPr>
          <t>The physical diameter of the membrane element, in inches.</t>
        </r>
      </text>
    </comment>
    <comment ref="B15" authorId="2" shapeId="0" xr:uid="{00000000-0006-0000-1900-000008000000}">
      <text>
        <r>
          <rPr>
            <sz val="8"/>
            <color indexed="81"/>
            <rFont val="Tahoma"/>
            <family val="2"/>
          </rPr>
          <t>The area of the membrane wound into the element, in square feet.</t>
        </r>
      </text>
    </comment>
    <comment ref="B16" authorId="2" shapeId="0" xr:uid="{00000000-0006-0000-1900-000009000000}">
      <text>
        <r>
          <rPr>
            <sz val="8"/>
            <color indexed="81"/>
            <rFont val="Tahoma"/>
            <family val="2"/>
          </rPr>
          <t>The element's A value characterizes its permeability to water. For a given membrane area and net driving pressure, doubling A will double the water passage through a given element.
The "base" A value specified here is for a reference temperature (usually 25 C, but specified below), and for applied pressure and concentrate osmotic pressure near zero. The coefficients that follow are used to model the A dependence on each of these quantities.</t>
        </r>
      </text>
    </comment>
    <comment ref="B17" authorId="2" shapeId="0" xr:uid="{00000000-0006-0000-1900-00000A000000}">
      <text>
        <r>
          <rPr>
            <sz val="8"/>
            <color indexed="81"/>
            <rFont val="Tahoma"/>
            <family val="2"/>
          </rPr>
          <t>The A value of a membrane changes with temperature: in general, warmer temperatures lead to greater water passage. This coefficient characterizes the temperature dependence. The larger it is, the more sensitive A is to changes in water temperature.
For some membranes, we use two different temperature coefficients, one below the reference temperature and another above it.</t>
        </r>
      </text>
    </comment>
    <comment ref="B18" authorId="2" shapeId="0" xr:uid="{00000000-0006-0000-1900-00000B000000}">
      <text>
        <r>
          <rPr>
            <sz val="8"/>
            <color indexed="81"/>
            <rFont val="Tahoma"/>
            <family val="2"/>
          </rPr>
          <t>Describes A's dependence on temperature, for high temperatures. See the comment on "With temperature, below ref temp" for a full discussion.</t>
        </r>
      </text>
    </comment>
    <comment ref="B19" authorId="2" shapeId="0" xr:uid="{00000000-0006-0000-1900-00000C000000}">
      <text>
        <r>
          <rPr>
            <sz val="8"/>
            <color indexed="81"/>
            <rFont val="Tahoma"/>
            <family val="2"/>
          </rPr>
          <t>When the pressure on the feed side of the membrane increases, the material compresses, reducing the membrane's water permeability. 
The coefficient here characterizes the membrane's sensitivity to applied pressure. The larger the coefficient, the more sensitive A is to the applied pressure.</t>
        </r>
      </text>
    </comment>
    <comment ref="B20" authorId="2" shapeId="0" xr:uid="{00000000-0006-0000-1900-00000D000000}">
      <text>
        <r>
          <rPr>
            <sz val="8"/>
            <color indexed="81"/>
            <rFont val="Tahoma"/>
            <family val="2"/>
          </rPr>
          <t>The water permeability of a membrane may change with the osmotic pressure (i.e., the concentration) of the water on the feed side of the membrane. More concentrated brines tend to lead to lower water permeability.
This coefficient characterizes the dependence of A on osmotic pressure. Larger values of the coefficient indicate a more sensitive dependence.</t>
        </r>
      </text>
    </comment>
    <comment ref="B21" authorId="2" shapeId="0" xr:uid="{00000000-0006-0000-1900-00000E000000}">
      <text>
        <r>
          <rPr>
            <sz val="8"/>
            <color indexed="81"/>
            <rFont val="Tahoma"/>
            <family val="2"/>
          </rPr>
          <t>The B value describes the membrane's permeability to dissolved solids. The higher it is, the greater the transmission of salts. B varies with temperature and with the salinity of the feed water.
In general, B has an intermediate value for very low salinity. As the salinity increases, B decreases to a minimum value, then turns around and increases slowly. We model B by specifying its minimum value, the salinity at which it takes that value, and the rates of decrease (for low salinity) and increase (for higher salinity). We also specify a maximum value.
Note that the B values specified here are for Na and Cl ions. The passage rates for other ions are modified by ion-specific factors.</t>
        </r>
      </text>
    </comment>
    <comment ref="B22" authorId="2" shapeId="0" xr:uid="{00000000-0006-0000-1900-00000F000000}">
      <text>
        <r>
          <rPr>
            <sz val="8"/>
            <color indexed="81"/>
            <rFont val="Tahoma"/>
            <family val="2"/>
          </rPr>
          <t>The maximum value that B may assume. See the comment on "Minimum B value" for a full discussion.</t>
        </r>
      </text>
    </comment>
    <comment ref="B23" authorId="2" shapeId="0" xr:uid="{00000000-0006-0000-1900-000010000000}">
      <text>
        <r>
          <rPr>
            <sz val="8"/>
            <color indexed="81"/>
            <rFont val="Tahoma"/>
            <family val="2"/>
          </rPr>
          <t>The salinity at which B is a minimum. See the comment on "Minimum B value" for a full discussion.</t>
        </r>
      </text>
    </comment>
    <comment ref="B24" authorId="2" shapeId="0" xr:uid="{00000000-0006-0000-1900-000011000000}">
      <text>
        <r>
          <rPr>
            <sz val="8"/>
            <color indexed="81"/>
            <rFont val="Tahoma"/>
            <family val="2"/>
          </rPr>
          <t xml:space="preserve">The B value of a membrane changes with temperature: in general, warmer temperatures lead to greater solute passage. This coefficient characterizes the temperature dependence. The larger it is, the more sensitive B is to changes in water temperature.
</t>
        </r>
      </text>
    </comment>
    <comment ref="B25" authorId="2" shapeId="0" xr:uid="{00000000-0006-0000-1900-000012000000}">
      <text>
        <r>
          <rPr>
            <sz val="8"/>
            <color indexed="81"/>
            <rFont val="Tahoma"/>
            <family val="2"/>
          </rPr>
          <t>As salinity increases from zero, B typically decreases from some intermediate value to a minimum, then starts to increase. This coefficient characterizes the decrease in B for low salinities: the larger the coefficient, the higher the rate of decrease.
See the comment on "Minimum B value" for a full discussion of the B parameter and its salinity dependence.</t>
        </r>
      </text>
    </comment>
    <comment ref="B26" authorId="2" shapeId="0" xr:uid="{00000000-0006-0000-1900-000013000000}">
      <text>
        <r>
          <rPr>
            <sz val="8"/>
            <color indexed="81"/>
            <rFont val="Tahoma"/>
            <family val="2"/>
          </rPr>
          <t>As salinity increases, B declines to a minimum, then starts to increase again. This coefficient specifies the rate of increase.
See the comment on "Minimum B value" for a full discussion of the B parameter and its salinity dependence.</t>
        </r>
      </text>
    </comment>
    <comment ref="B27" authorId="2" shapeId="0" xr:uid="{00000000-0006-0000-1900-000014000000}">
      <text>
        <r>
          <rPr>
            <sz val="8"/>
            <color indexed="81"/>
            <rFont val="Tahoma"/>
            <family val="2"/>
          </rPr>
          <t>"Concentration polarization" describes the important effect whereby the concentration of solute on the feed side of the membrane increases near the membrane surface. The concentration polarization typically increases with water recovery.
This coefficient describes the dependence of concentration polarization on recovery. A larger value for the coefficient indicates a greater concentration polarization for a given recovery.</t>
        </r>
      </text>
    </comment>
    <comment ref="B28" authorId="2" shapeId="0" xr:uid="{00000000-0006-0000-1900-000015000000}">
      <text>
        <r>
          <rPr>
            <sz val="8"/>
            <color indexed="81"/>
            <rFont val="Tahoma"/>
            <family val="2"/>
          </rPr>
          <t>As water flows through a membrane element, it experiences a head loss that increases according to the flow rate. In general, the dependence on flow follows a power law.
We specify the coefficient and exponent for the power law. A larger coefficient indicates larger head loss at a given flow. A larger exponent indicates a stronger dependence on flow.
The head loss also has a slight dependence on the viscosity of the feed water, which in turn depends on its TDS.</t>
        </r>
      </text>
    </comment>
    <comment ref="B29" authorId="2" shapeId="0" xr:uid="{00000000-0006-0000-1900-000016000000}">
      <text>
        <r>
          <rPr>
            <sz val="8"/>
            <color indexed="81"/>
            <rFont val="Tahoma"/>
            <family val="2"/>
          </rPr>
          <t>Characterizes the relationship between the flow rate through an element and the head loss in the element. See the comment on "Delta-P coefficient" for a full discussion.</t>
        </r>
      </text>
    </comment>
    <comment ref="B30" authorId="2" shapeId="0" xr:uid="{00000000-0006-0000-1900-000017000000}">
      <text>
        <r>
          <rPr>
            <sz val="8"/>
            <color indexed="81"/>
            <rFont val="Tahoma"/>
            <family val="2"/>
          </rPr>
          <t>Indicates the temperature at which A and B are specified.</t>
        </r>
      </text>
    </comment>
    <comment ref="B31" authorId="2" shapeId="0" xr:uid="{00000000-0006-0000-1900-000018000000}">
      <text>
        <r>
          <rPr>
            <sz val="8"/>
            <color indexed="81"/>
            <rFont val="Tahoma"/>
            <family val="2"/>
          </rPr>
          <t>Indicates the TDS at which the delta-P coefficient is specified. This quantity is used to correct the head loss in a membrane element for viscosity. The effect of viscosity is generally small.</t>
        </r>
      </text>
    </comment>
    <comment ref="B32" authorId="2" shapeId="0" xr:uid="{00000000-0006-0000-1900-000019000000}">
      <text>
        <r>
          <rPr>
            <sz val="8"/>
            <color indexed="81"/>
            <rFont val="Tahoma"/>
            <family val="2"/>
          </rPr>
          <t>Indicates the maximum feed pressure at which this element can operate, according to its spec sheet.</t>
        </r>
      </text>
    </comment>
    <comment ref="B33" authorId="2" shapeId="0" xr:uid="{00000000-0006-0000-1900-00001A000000}">
      <text>
        <r>
          <rPr>
            <sz val="8"/>
            <color indexed="81"/>
            <rFont val="Tahoma"/>
            <family val="2"/>
          </rPr>
          <t>Indicates the maximum permissible recovery specified for this membrane element.</t>
        </r>
      </text>
    </comment>
    <comment ref="B34" authorId="2" shapeId="0" xr:uid="{00000000-0006-0000-1900-00001B000000}">
      <text>
        <r>
          <rPr>
            <sz val="8"/>
            <color indexed="81"/>
            <rFont val="Tahoma"/>
            <family val="2"/>
          </rPr>
          <t>Indicates the maximum feed flow specified for this membrane element.</t>
        </r>
      </text>
    </comment>
    <comment ref="B35" authorId="2" shapeId="0" xr:uid="{00000000-0006-0000-1900-00001C000000}">
      <text>
        <r>
          <rPr>
            <sz val="8"/>
            <color indexed="81"/>
            <rFont val="Tahoma"/>
            <family val="2"/>
          </rPr>
          <t>Indicates the minimum permissible flow on the feed side of the element. Some elements specify a minimum feed flow, rather than a minimum concentrate flow. To be conservative, we enter this minimum feed flow here.</t>
        </r>
      </text>
    </comment>
    <comment ref="B36" authorId="2" shapeId="0" xr:uid="{00000000-0006-0000-1900-00001D000000}">
      <text>
        <r>
          <rPr>
            <sz val="8"/>
            <color indexed="81"/>
            <rFont val="Tahoma"/>
            <family val="2"/>
          </rPr>
          <t>Specifies the maximum silt density index permissible for feed water into this membrane element. Elements with wider feed spacing may permit larger feed SDI's.</t>
        </r>
      </text>
    </comment>
    <comment ref="B37" authorId="2" shapeId="0" xr:uid="{00000000-0006-0000-1900-00001E000000}">
      <text>
        <r>
          <rPr>
            <sz val="8"/>
            <color indexed="81"/>
            <rFont val="Tahoma"/>
            <family val="2"/>
          </rPr>
          <t>Specifies the minimum operating pH specified for this membrane element. This pH applies to continuous operation; it may be possible to clean elements at a lower pH.</t>
        </r>
      </text>
    </comment>
    <comment ref="B38" authorId="2" shapeId="0" xr:uid="{00000000-0006-0000-1900-00001F000000}">
      <text>
        <r>
          <rPr>
            <sz val="8"/>
            <color indexed="81"/>
            <rFont val="Tahoma"/>
            <family val="2"/>
          </rPr>
          <t>Specifies the maximum operating temperature specified for this membrane element.</t>
        </r>
      </text>
    </comment>
    <comment ref="B39" authorId="2" shapeId="0" xr:uid="{00000000-0006-0000-1900-000020000000}">
      <text>
        <r>
          <rPr>
            <sz val="8"/>
            <color indexed="81"/>
            <rFont val="Tahoma"/>
            <family val="2"/>
          </rPr>
          <t>The head loss in a membrane element indicates the physical stress on the element.
The maximum pressure drop specified for one element indicates how much stress may be placed on each element in a vessel.</t>
        </r>
      </text>
    </comment>
    <comment ref="B40" authorId="2" shapeId="0" xr:uid="{00000000-0006-0000-1900-000021000000}">
      <text>
        <r>
          <rPr>
            <sz val="8"/>
            <color indexed="81"/>
            <rFont val="Tahoma"/>
            <family val="2"/>
          </rPr>
          <t>The head loss in a membrane element indicates the physical stress on the element.
The maximum pressure drop specified for a pressure vessel indicates how much total stress may be placed on all the elements in a vessel.</t>
        </r>
      </text>
    </comment>
    <comment ref="B41" authorId="2" shapeId="0" xr:uid="{00000000-0006-0000-1900-000022000000}">
      <text>
        <r>
          <rPr>
            <sz val="8"/>
            <color indexed="81"/>
            <rFont val="Tahoma"/>
            <family val="2"/>
          </rPr>
          <t>This name appears in the dropdown on the input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saic</author>
    <author>Ransom, Patrick E.</author>
  </authors>
  <commentList>
    <comment ref="B4" authorId="0" shapeId="0" xr:uid="{00000000-0006-0000-1A00-000001000000}">
      <text>
        <r>
          <rPr>
            <b/>
            <sz val="9"/>
            <color indexed="81"/>
            <rFont val="Tahoma"/>
            <family val="2"/>
          </rPr>
          <t>Internal use</t>
        </r>
      </text>
    </comment>
    <comment ref="C4" authorId="1" shapeId="0" xr:uid="{00000000-0006-0000-1A00-000002000000}">
      <text>
        <r>
          <rPr>
            <b/>
            <sz val="9"/>
            <color indexed="81"/>
            <rFont val="Tahoma"/>
            <family val="2"/>
          </rPr>
          <t>The cells in this column contain formulae with the function of calculating the item identified in column A</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Ransom, Patrick E.</author>
  </authors>
  <commentList>
    <comment ref="Z7" authorId="0" shapeId="0" xr:uid="{00000000-0006-0000-0200-000001000000}">
      <text>
        <r>
          <rPr>
            <b/>
            <sz val="9"/>
            <color indexed="81"/>
            <rFont val="Tahoma"/>
            <family val="2"/>
          </rPr>
          <t>These columns contain formulas used internally to compare inputs to the standard designs</t>
        </r>
        <r>
          <rPr>
            <sz val="9"/>
            <color indexed="81"/>
            <rFont val="Tahoma"/>
            <family val="2"/>
          </rPr>
          <t xml:space="preserve">
</t>
        </r>
      </text>
    </comment>
    <comment ref="AA7" authorId="0" shapeId="0" xr:uid="{00000000-0006-0000-0200-000002000000}">
      <text>
        <r>
          <rPr>
            <b/>
            <sz val="9"/>
            <color indexed="81"/>
            <rFont val="Tahoma"/>
            <family val="2"/>
          </rPr>
          <t>These columns contain formulas used internally to compare inputs to the standard designs</t>
        </r>
        <r>
          <rPr>
            <sz val="9"/>
            <color indexed="81"/>
            <rFont val="Tahoma"/>
            <family val="2"/>
          </rPr>
          <t xml:space="preserve">
</t>
        </r>
      </text>
    </comment>
    <comment ref="AB7" authorId="0" shapeId="0" xr:uid="{00000000-0006-0000-0200-000003000000}">
      <text>
        <r>
          <rPr>
            <b/>
            <sz val="9"/>
            <color indexed="81"/>
            <rFont val="Tahoma"/>
            <family val="2"/>
          </rPr>
          <t>These columns contain formulas used internally to compare inputs to the standard designs</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Patrick Ransom</author>
  </authors>
  <commentList>
    <comment ref="C162" authorId="0" shapeId="0" xr:uid="{B4D5E039-753C-4A0F-A9D8-1846FEA136C8}">
      <text>
        <r>
          <rPr>
            <b/>
            <sz val="9"/>
            <color indexed="81"/>
            <rFont val="Tahoma"/>
            <family val="2"/>
          </rPr>
          <t>This equation is intentionally different. It looks up the correct equation result based on pump size selected.</t>
        </r>
      </text>
    </comment>
    <comment ref="C170" authorId="0" shapeId="0" xr:uid="{583BEEB9-AFD4-42AF-BAEA-68E1614A1D7B}">
      <text>
        <r>
          <rPr>
            <b/>
            <sz val="9"/>
            <color indexed="81"/>
            <rFont val="Tahoma"/>
            <family val="2"/>
          </rPr>
          <t>This equation is intentionally different. It looks up the correct equation result based on pump size selected.</t>
        </r>
      </text>
    </comment>
    <comment ref="C178" authorId="0" shapeId="0" xr:uid="{3EE01249-5EC7-409A-A00B-4224668A230C}">
      <text>
        <r>
          <rPr>
            <b/>
            <sz val="9"/>
            <color indexed="81"/>
            <rFont val="Tahoma"/>
            <family val="2"/>
          </rPr>
          <t>This equation is intentionally different. It looks up the correct equation result based on pump size selected.</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Jon Fetter</author>
  </authors>
  <commentList>
    <comment ref="D52" authorId="0" shapeId="0" xr:uid="{00000000-0006-0000-1C00-000001000000}">
      <text>
        <r>
          <rPr>
            <sz val="8"/>
            <color indexed="81"/>
            <rFont val="Tahoma"/>
            <family val="2"/>
          </rPr>
          <t>Estimated from 12-vessel skid.</t>
        </r>
      </text>
    </comment>
    <comment ref="D53" authorId="0" shapeId="0" xr:uid="{00000000-0006-0000-1C00-000002000000}">
      <text>
        <r>
          <rPr>
            <sz val="8"/>
            <color indexed="81"/>
            <rFont val="Tahoma"/>
            <family val="2"/>
          </rPr>
          <t>Estimated from 6- and 12-vessel skids.</t>
        </r>
      </text>
    </comment>
  </commentList>
</comments>
</file>

<file path=xl/sharedStrings.xml><?xml version="1.0" encoding="utf-8"?>
<sst xmlns="http://schemas.openxmlformats.org/spreadsheetml/2006/main" count="13372" uniqueCount="6518">
  <si>
    <t>Train configuration</t>
  </si>
  <si>
    <t>train_configuration</t>
  </si>
  <si>
    <t>Feed water pump head (psi)</t>
  </si>
  <si>
    <t>inf_pump_psi</t>
  </si>
  <si>
    <t>A_T_coeff_lo</t>
  </si>
  <si>
    <t>A_T_coeff_hi</t>
  </si>
  <si>
    <t>sal_minB</t>
  </si>
  <si>
    <t>B_T_coeff</t>
  </si>
  <si>
    <t>B_S_coeff_lo</t>
  </si>
  <si>
    <t>B_S_coeff_hi</t>
  </si>
  <si>
    <t>beta_coeff</t>
  </si>
  <si>
    <t>Manual on residuals line per evaporation pond cell</t>
  </si>
  <si>
    <t>res_man_ep</t>
  </si>
  <si>
    <t>tot_man_valves</t>
  </si>
  <si>
    <t>Number of check valves on influent line</t>
  </si>
  <si>
    <t>tot_in_chv</t>
  </si>
  <si>
    <t>Default Critical Design Assumptions</t>
  </si>
  <si>
    <t>stg2_min_pres_new</t>
  </si>
  <si>
    <t>New maximum pressure for Stage 2</t>
  </si>
  <si>
    <t>stg2_max_pres_new</t>
  </si>
  <si>
    <t>stg1_newP_fix2</t>
  </si>
  <si>
    <t>stg1_newP_fix2_OK</t>
  </si>
  <si>
    <t>Adjust Stage 1 if no adjustment so far?</t>
  </si>
  <si>
    <t>stg1_adjust_2</t>
  </si>
  <si>
    <t>New starting pressure for Stage 2</t>
  </si>
  <si>
    <t>stg2_newP_fix2</t>
  </si>
  <si>
    <t>New Stage 2 pressure within bounds?</t>
  </si>
  <si>
    <t>stg2_newP_fix2_OK</t>
  </si>
  <si>
    <t>Adjust Stage 2 if no adjustment so far?</t>
  </si>
  <si>
    <t>stg2_adjust_2</t>
  </si>
  <si>
    <t>pressure_error_stg2</t>
  </si>
  <si>
    <t>obtain from manufacturer's programs</t>
  </si>
  <si>
    <t>B correction coeff for salinity below min</t>
  </si>
  <si>
    <t>element_B_S_coeff_lo</t>
  </si>
  <si>
    <t>/ppm</t>
  </si>
  <si>
    <t>correction factor is 1+coeff*(TDSminB-TDS)</t>
  </si>
  <si>
    <t>B correction coeff for salinity above min</t>
  </si>
  <si>
    <t>element_B_S_coeff_hi</t>
  </si>
  <si>
    <t>correction factor is 1+coeff*(TDS-TDSminB)</t>
  </si>
  <si>
    <t>Reference temperature</t>
  </si>
  <si>
    <t>element_ref_temp</t>
  </si>
  <si>
    <t>deg C</t>
  </si>
  <si>
    <t>temperature where A and B are determined</t>
  </si>
  <si>
    <t>Reference feed TDS</t>
  </si>
  <si>
    <t>element_ref_TDS</t>
  </si>
  <si>
    <t>from element spec sheet</t>
  </si>
  <si>
    <t>Concentration polarization geometric coefficient</t>
  </si>
  <si>
    <t>element_beta_coeff</t>
  </si>
  <si>
    <t>Membrane type</t>
  </si>
  <si>
    <t>element_type</t>
  </si>
  <si>
    <t>RO</t>
  </si>
  <si>
    <t>One system cleans how many vessels?</t>
  </si>
  <si>
    <t>Cleaning system capacity</t>
  </si>
  <si>
    <t>Cleaning system component sizes</t>
  </si>
  <si>
    <t>Pressure vessel length</t>
  </si>
  <si>
    <t>Volume per pressure vessel</t>
  </si>
  <si>
    <t>Total volume in vessels to be cleaned</t>
  </si>
  <si>
    <t>Estimated volume in pipes</t>
  </si>
  <si>
    <t>chem_pump_gph</t>
  </si>
  <si>
    <t>Assuming elements are purchased annually</t>
  </si>
  <si>
    <t>Apply POTW discharge volume charge (i.e., $/1000 gallons)</t>
  </si>
  <si>
    <t>POTW_volume_fee</t>
  </si>
  <si>
    <t>Apply POTW discharge TSS charge (i.e., $/lb of TSS over limit below)</t>
  </si>
  <si>
    <t>POTW_TSS_fee</t>
  </si>
  <si>
    <t>RO or NF</t>
  </si>
  <si>
    <t>CDA</t>
  </si>
  <si>
    <t>fouling_factor</t>
  </si>
  <si>
    <t>Temperature</t>
  </si>
  <si>
    <t>T_feed</t>
  </si>
  <si>
    <t>Feed concentrations</t>
  </si>
  <si>
    <t>water</t>
  </si>
  <si>
    <t>feed_ppm</t>
  </si>
  <si>
    <t>Na</t>
  </si>
  <si>
    <t>System</t>
  </si>
  <si>
    <t>P_feed_I</t>
  </si>
  <si>
    <t>Throttle pressure</t>
  </si>
  <si>
    <t>P_throttle_I</t>
  </si>
  <si>
    <t>Feed flow</t>
  </si>
  <si>
    <t>flow_feed_I</t>
  </si>
  <si>
    <t>Inputs in Standard Units</t>
  </si>
  <si>
    <t>hp</t>
  </si>
  <si>
    <t>hr/yr</t>
  </si>
  <si>
    <t>/yr</t>
  </si>
  <si>
    <t>MWh/yr</t>
  </si>
  <si>
    <t>/sf/yr</t>
  </si>
  <si>
    <t>Number of mechanical ventilation days per year 2nd building (medium system)</t>
  </si>
  <si>
    <t>fan_days_build2_medium</t>
  </si>
  <si>
    <t>Number of mechanical ventilation days per year 3rd building (medium system)</t>
  </si>
  <si>
    <t>fan_days_build3_medium</t>
  </si>
  <si>
    <t>Number of mechanical ventilation days per year first building (large system)</t>
  </si>
  <si>
    <t>fan_days_build1_large</t>
  </si>
  <si>
    <t>For large systems (&gt; 10 MGD)</t>
  </si>
  <si>
    <t>Number of mechanical ventilation days per year 2nd building (large system)</t>
  </si>
  <si>
    <t>fan_days_build2_large</t>
  </si>
  <si>
    <t>Number of mechanical ventilation days per year 3rd building (large system)</t>
  </si>
  <si>
    <t>fan_days_build3_large</t>
  </si>
  <si>
    <t>ss_cat2 is used to select ventilation requirements and building type</t>
  </si>
  <si>
    <t>System size</t>
  </si>
  <si>
    <t>ss_cat2</t>
  </si>
  <si>
    <t>1 indicates small system, 2 indicates medium, 3 indicates large</t>
  </si>
  <si>
    <t>Default 0%.  Apply a percentage to increase standby power requirements.</t>
  </si>
  <si>
    <t>Include heating in standby power</t>
  </si>
  <si>
    <t>need_heat</t>
  </si>
  <si>
    <t>based on average of concentrate and feed, minus permeate; for transmembrane pressure</t>
  </si>
  <si>
    <t>Osmotic pressure correction factor to A</t>
  </si>
  <si>
    <t>A_sal_corr</t>
  </si>
  <si>
    <t>Salinity correction factor to B</t>
  </si>
  <si>
    <t>B_sal_corr</t>
  </si>
  <si>
    <t>Concentrate viscosity</t>
  </si>
  <si>
    <t>conc_visc</t>
  </si>
  <si>
    <t>Average viscosity</t>
  </si>
  <si>
    <t>avg_visc</t>
  </si>
  <si>
    <t>average of feed and concentrate viscosity</t>
  </si>
  <si>
    <t>Pressure drop</t>
  </si>
  <si>
    <t>deltaP</t>
  </si>
  <si>
    <t>computed based on average flow and viscosity</t>
  </si>
  <si>
    <t>Concentrate pressure</t>
  </si>
  <si>
    <t>P_conc</t>
  </si>
  <si>
    <t>feed pressure minus pressure drop - does not include throttle pressure</t>
  </si>
  <si>
    <t>feed_cations</t>
  </si>
  <si>
    <t>Maximum cleaning pump size</t>
  </si>
  <si>
    <t>max_chem_pump_size</t>
  </si>
  <si>
    <t>GW/SW</t>
  </si>
  <si>
    <t>GW</t>
  </si>
  <si>
    <t>SW</t>
  </si>
  <si>
    <t>Water type</t>
  </si>
  <si>
    <t>feed_water_type</t>
  </si>
  <si>
    <t>1 for ground, 2 for surface</t>
  </si>
  <si>
    <t>flux_min_SDI1_GW</t>
  </si>
  <si>
    <t>flux_max_SDI1_GW</t>
  </si>
  <si>
    <t>flux_min_SDI3_GW</t>
  </si>
  <si>
    <t>flux_max_SDI3_GW</t>
  </si>
  <si>
    <t>flux_min_SDI5_GW</t>
  </si>
  <si>
    <t>flux_max_SDI5_GW</t>
  </si>
  <si>
    <t>flux_min_SDI1_SW</t>
  </si>
  <si>
    <t>flux_max_SDI1_SW</t>
  </si>
  <si>
    <t>flux_min_SDI3_SW</t>
  </si>
  <si>
    <t>flux_max_SDI3_SW</t>
  </si>
  <si>
    <t>flux_min_SDI5_SW</t>
  </si>
  <si>
    <t>flux_max_SDI5_SW</t>
  </si>
  <si>
    <t>Water type:</t>
  </si>
  <si>
    <t>Building #2 value</t>
  </si>
  <si>
    <t>Building permit cost</t>
  </si>
  <si>
    <t>NPDES permit cost</t>
  </si>
  <si>
    <t>feed_pH_s</t>
  </si>
  <si>
    <t>LSI of untreated feed</t>
  </si>
  <si>
    <t>feed_LSI</t>
  </si>
  <si>
    <t>SiO2 saturation</t>
  </si>
  <si>
    <t>SiO2 saturation conc before pH correction</t>
  </si>
  <si>
    <t>sio2_sat_base</t>
  </si>
  <si>
    <t>pH correction factor</t>
  </si>
  <si>
    <t>feed_sio2_sat_corr</t>
  </si>
  <si>
    <t>SiO2 saturation concentration</t>
  </si>
  <si>
    <t>feed_sio2_sat</t>
  </si>
  <si>
    <t>SiO2 saturation percentage</t>
  </si>
  <si>
    <t>feed_sio2_sat_pct</t>
  </si>
  <si>
    <t>CaSO4 saturation</t>
  </si>
  <si>
    <t>Total of permits, piloting, and land</t>
  </si>
  <si>
    <t>elem_disp_freq</t>
  </si>
  <si>
    <t>based on the mole fraction computed above and the HCO3 concentration</t>
  </si>
  <si>
    <t>Computed</t>
  </si>
  <si>
    <t>Element names</t>
  </si>
  <si>
    <t>element_names</t>
  </si>
  <si>
    <t>correction = 1-coeff*pressure; ranges from 0.004 for seawater type elements to 0.007 for low-pressure elements</t>
  </si>
  <si>
    <t>Feed line - Polypropylene/PVC</t>
  </si>
  <si>
    <t>At commercial concentration</t>
  </si>
  <si>
    <t>clean_acid_store_tanks</t>
  </si>
  <si>
    <t>clean_acid_store_tank_size</t>
  </si>
  <si>
    <t>HCl_store_gal</t>
  </si>
  <si>
    <t>Number of caustic tanks</t>
  </si>
  <si>
    <t>Filled in by the design macro.</t>
  </si>
  <si>
    <t>Pretreatment acid</t>
  </si>
  <si>
    <t>pretreat_acid_list</t>
  </si>
  <si>
    <t>pretreat_acid_table</t>
  </si>
  <si>
    <t>100 psi</t>
  </si>
  <si>
    <t>conc_K2</t>
  </si>
  <si>
    <t>Concentrate [H+]</t>
  </si>
  <si>
    <t>conc_Hplus</t>
  </si>
  <si>
    <t>Concentrate pH</t>
  </si>
  <si>
    <t>conc_pH</t>
  </si>
  <si>
    <t>[OH-] in concentrate</t>
  </si>
  <si>
    <t>conc_OHminus</t>
  </si>
  <si>
    <t>[Alk] of concentrate</t>
  </si>
  <si>
    <t>conc_alkalinity</t>
  </si>
  <si>
    <t>pAlk of concentrate</t>
  </si>
  <si>
    <t>conc_pAlk</t>
  </si>
  <si>
    <t>[Ca] of concentrate</t>
  </si>
  <si>
    <t>conc_Ca</t>
  </si>
  <si>
    <t>pCa of concentrate</t>
  </si>
  <si>
    <t>conc_pCa</t>
  </si>
  <si>
    <t>pH_s of concentrate</t>
  </si>
  <si>
    <t>conc_pH_s</t>
  </si>
  <si>
    <t>LSI of concentrate</t>
  </si>
  <si>
    <t>conc_LSI</t>
  </si>
  <si>
    <t>mol/L</t>
  </si>
  <si>
    <t>LSI calculation follows the method used in TFSP.</t>
  </si>
  <si>
    <t>pH computation - implementation per PerLorica Inc, TFSP, routine CO2toPH</t>
  </si>
  <si>
    <t>P_net is negative</t>
  </si>
  <si>
    <t>Pchange_negPnet</t>
  </si>
  <si>
    <t>Recovery is too large:</t>
  </si>
  <si>
    <t>Percent change required in recovery</t>
  </si>
  <si>
    <t>largeY_pctchange</t>
  </si>
  <si>
    <t>Drive controllers per chemical pump for cleaning system</t>
  </si>
  <si>
    <t>S_chem_pump</t>
  </si>
  <si>
    <t>Number of mechanical ventilation days per year first building (small system)</t>
  </si>
  <si>
    <t>fan_days_build1_small</t>
  </si>
  <si>
    <t>Target recovery rate</t>
  </si>
  <si>
    <t>Membrane element</t>
  </si>
  <si>
    <t>Membrane element data table</t>
  </si>
  <si>
    <t>Number of elements available</t>
  </si>
  <si>
    <t>Design Production Flow Rate</t>
  </si>
  <si>
    <t>Average Production Flow Rate</t>
  </si>
  <si>
    <t>average_inflow</t>
  </si>
  <si>
    <t>design_inflow_rate</t>
  </si>
  <si>
    <t>average_inflow_rate</t>
  </si>
  <si>
    <t>design_inflow</t>
  </si>
  <si>
    <t>inf_pumps</t>
  </si>
  <si>
    <t>inf_pump_rating</t>
  </si>
  <si>
    <t>total_inf_pumps</t>
  </si>
  <si>
    <t>acid_dose</t>
  </si>
  <si>
    <t>mg/L</t>
  </si>
  <si>
    <t>Antiscalant dose for pretreatment</t>
  </si>
  <si>
    <t>anti_dose</t>
  </si>
  <si>
    <t>Antiscalant density</t>
  </si>
  <si>
    <t>acid_density</t>
  </si>
  <si>
    <t>anti_density</t>
  </si>
  <si>
    <t>lb/gal</t>
  </si>
  <si>
    <t>acid_day</t>
  </si>
  <si>
    <t>anti_day</t>
  </si>
  <si>
    <t>Acid used per day (at peak flow)</t>
  </si>
  <si>
    <t>Antiscalant used per day (at peak flow)</t>
  </si>
  <si>
    <t>Acid tank volume</t>
  </si>
  <si>
    <t>Antiscalant tank volume</t>
  </si>
  <si>
    <t>acid_tank_size</t>
  </si>
  <si>
    <t>flush_time</t>
  </si>
  <si>
    <t>min</t>
  </si>
  <si>
    <t>Used only to determine residuals volume</t>
  </si>
  <si>
    <t>Flow rate to drain cleaning solution and flush system, as fraction of high-rate flow</t>
  </si>
  <si>
    <t>Flush flow rate</t>
  </si>
  <si>
    <t>flush_rate</t>
  </si>
  <si>
    <t>Weight per element</t>
  </si>
  <si>
    <t>elem_wt</t>
  </si>
  <si>
    <t>elem_wt_4</t>
  </si>
  <si>
    <t>elem_wt_8</t>
  </si>
  <si>
    <t>elem_wt_16</t>
  </si>
  <si>
    <t>4" membrane element weight (for disposal cost)</t>
  </si>
  <si>
    <t>Minimum B value, corrected for temperature</t>
  </si>
  <si>
    <t>element_B_base</t>
  </si>
  <si>
    <t>Maximum B value, corrected for temperature</t>
  </si>
  <si>
    <t>element_B_max</t>
  </si>
  <si>
    <t>Area, standard units</t>
  </si>
  <si>
    <t>element_area</t>
  </si>
  <si>
    <t>m^2</t>
  </si>
  <si>
    <t>Element Computations</t>
  </si>
  <si>
    <t>Feed concentrations in meq/l</t>
  </si>
  <si>
    <t>feed_meq</t>
  </si>
  <si>
    <t>meq/l</t>
  </si>
  <si>
    <t>space_other_equip</t>
  </si>
  <si>
    <t>feed_visc</t>
  </si>
  <si>
    <t>relative to viscosity under reference conditions</t>
  </si>
  <si>
    <t>Feed osmotic pressure</t>
  </si>
  <si>
    <t>pi_feed</t>
  </si>
  <si>
    <t>Inputs to "Calc System" module</t>
  </si>
  <si>
    <t>No acid pretreatment</t>
  </si>
  <si>
    <t>Level Switches/Alarms (for cleaning tanks)</t>
  </si>
  <si>
    <t>High/Low Alarms (for holding tanks or basins)</t>
  </si>
  <si>
    <t>Click here to go to the flux limits on the Critical Design Assumptions sheet.</t>
  </si>
  <si>
    <t>Permeate CO2 concentration:</t>
  </si>
  <si>
    <t>Concentrate ionic strength</t>
  </si>
  <si>
    <t>conc_ionstrength_out</t>
  </si>
  <si>
    <t>Calcium Fluoride</t>
  </si>
  <si>
    <t>feed_gas_bal</t>
  </si>
  <si>
    <t>tfeed_gas_bal</t>
  </si>
  <si>
    <t>perm_gas_concs</t>
  </si>
  <si>
    <t>blend_gas_concs</t>
  </si>
  <si>
    <t>sys_feed_gas_ppm</t>
  </si>
  <si>
    <t>feed_gas_out</t>
  </si>
  <si>
    <t>SUM(CURR feed_conc_out)-SUM(CURR feed_gas_out)</t>
  </si>
  <si>
    <t>SUM(CURR perm_conc_out)-SUM(CURR perm_gas_out)</t>
  </si>
  <si>
    <t>SUM(CURR conc_conc_out)-SUM(CURR conc_gas_out)</t>
  </si>
  <si>
    <t>perm_gas_out</t>
  </si>
  <si>
    <t>conc_gas_out</t>
  </si>
  <si>
    <t>feed_gas_ppm</t>
  </si>
  <si>
    <t>perm_gas_ppm</t>
  </si>
  <si>
    <t>conc_gas_ppm</t>
  </si>
  <si>
    <t>std_heat</t>
  </si>
  <si>
    <t>include_NEPA</t>
  </si>
  <si>
    <t>Maximum basin excavation depth</t>
  </si>
  <si>
    <t>max_excav_depth</t>
  </si>
  <si>
    <t>Energy for ventilation</t>
  </si>
  <si>
    <t>Energy for cooling</t>
  </si>
  <si>
    <t>Energy for heating</t>
  </si>
  <si>
    <t xml:space="preserve">Mangerial LOE as a percent of average technical labor </t>
  </si>
  <si>
    <t>Manager_percent</t>
  </si>
  <si>
    <t>init_acid</t>
  </si>
  <si>
    <t>init_anti</t>
  </si>
  <si>
    <t>square ft</t>
  </si>
  <si>
    <t>Membrane life</t>
  </si>
  <si>
    <t>kWh/sf/yr</t>
  </si>
  <si>
    <t>diesel_heat_content</t>
  </si>
  <si>
    <t>BTU/gal</t>
  </si>
  <si>
    <t>Use?</t>
  </si>
  <si>
    <t>This table of inputs is used to determine whether the last calculation reflects conditions on the INPUT sheet.</t>
  </si>
  <si>
    <t>old_T_feed</t>
  </si>
  <si>
    <t>old_target_recovery</t>
  </si>
  <si>
    <t>pK1, corrected for ionic strength</t>
  </si>
  <si>
    <t>K1 = 10^-pK1</t>
  </si>
  <si>
    <t>K2 = 10^-pK2</t>
  </si>
  <si>
    <t>[H+] = 10^-pH</t>
  </si>
  <si>
    <t>H_feed</t>
  </si>
  <si>
    <t>frac_HCO3_feed</t>
  </si>
  <si>
    <t>frac_CO2_feed</t>
  </si>
  <si>
    <t>frac_CO3_feed</t>
  </si>
  <si>
    <t>pK1_uncorr_feed</t>
  </si>
  <si>
    <t>pK2_uncorr_feed</t>
  </si>
  <si>
    <t>pKSo_feed</t>
  </si>
  <si>
    <t>pKWater_feed</t>
  </si>
  <si>
    <t>pK1_feed</t>
  </si>
  <si>
    <t>pK2_feed</t>
  </si>
  <si>
    <t>K1_feed</t>
  </si>
  <si>
    <t>K2_feed</t>
  </si>
  <si>
    <t>HCO3, mol/l</t>
  </si>
  <si>
    <t>HCO3_feed_mol</t>
  </si>
  <si>
    <t>CO2, mol/l</t>
  </si>
  <si>
    <t>CO3, mol/l</t>
  </si>
  <si>
    <t>CO2_feed_mol</t>
  </si>
  <si>
    <t>CO3_feed_mol</t>
  </si>
  <si>
    <t>Feed concentrations, ppm, unbalanced</t>
  </si>
  <si>
    <t>feed_ppm_unbal</t>
  </si>
  <si>
    <t>Feed concentrations, meq/l, unbalanced</t>
  </si>
  <si>
    <t>element_table_count</t>
  </si>
  <si>
    <t>Data row containing element name</t>
  </si>
  <si>
    <t>old_treated_feed_pH</t>
  </si>
  <si>
    <t>P_throttle_3_try</t>
  </si>
  <si>
    <t>The pressure tuning routine will never throttle Stage 3.</t>
  </si>
  <si>
    <t>Maximum number of pressure iterations</t>
  </si>
  <si>
    <t>max_iter_pressure</t>
  </si>
  <si>
    <t>iterations</t>
  </si>
  <si>
    <t>Tolerance is set in the CDAs.</t>
  </si>
  <si>
    <t>cart_eq</t>
  </si>
  <si>
    <t>Losses between booster pump and pressure vessels</t>
  </si>
  <si>
    <t>boost_headloss</t>
  </si>
  <si>
    <t>For SDI &lt; 1, average flux target is 21-25 gfd (RO permeate) per Dow Liquid Separations, Filmtec RO Membranes Technical Manual, January 2004.  &lt;25 gfd, per GE design guidelines.</t>
  </si>
  <si>
    <t>Min flux for SDI &lt; 1</t>
  </si>
  <si>
    <t>Min flux for 1 &lt; SDI &lt; 3</t>
  </si>
  <si>
    <t>Min flux for 3 &lt; SDI &lt; 5</t>
  </si>
  <si>
    <t>Kevin Steiner, Fluid Engineering. 10-30 minutes/basket clean for 1" prescreens, 15-45 minutes/basket clean for 2" and 4" units. Assume 1 basket clean per chemical cleaning cycle.</t>
  </si>
  <si>
    <t>hr/clean cycle/screen</t>
  </si>
  <si>
    <t>labor_simplex_screen</t>
  </si>
  <si>
    <t>The total number of cleans for all cleaning systems.</t>
  </si>
  <si>
    <t>Materials based on cost of cartridge filter, security screen, and cleaning pumps</t>
  </si>
  <si>
    <t>Total labor for cleaning</t>
  </si>
  <si>
    <t>Security screens</t>
  </si>
  <si>
    <t>Maximum CaSO4 saturation with antiscalant</t>
  </si>
  <si>
    <t>max_caso4_antiscalant</t>
  </si>
  <si>
    <t>Maximum CaF2 saturation with antiscalant</t>
  </si>
  <si>
    <t>max_caf2_antiscalant</t>
  </si>
  <si>
    <t>Maximum SiO2 concentration with antiscalant</t>
  </si>
  <si>
    <t>Percentage decrease required in vessel average flow</t>
  </si>
  <si>
    <t>Qavg_pctchange_dPves</t>
  </si>
  <si>
    <t>Current permeate flow from vessel</t>
  </si>
  <si>
    <t>Qperm_vessel_cur</t>
  </si>
  <si>
    <t>Current average flow in vessel</t>
  </si>
  <si>
    <t>Qavg_vessel_cur</t>
  </si>
  <si>
    <t>Required increase in vessel permeate flow</t>
  </si>
  <si>
    <t>Qperm_incr_dPves</t>
  </si>
  <si>
    <t>Required increase in permeate flux</t>
  </si>
  <si>
    <t>flux_incr_dPves</t>
  </si>
  <si>
    <t>Pressure increase for required flux increase</t>
  </si>
  <si>
    <t>Pchange_dPves</t>
  </si>
  <si>
    <t>Pressure did not converge:</t>
  </si>
  <si>
    <t>Estimated pressure drop for this element</t>
  </si>
  <si>
    <t>deltaP_remaining</t>
  </si>
  <si>
    <t>Pchange_conv</t>
  </si>
  <si>
    <t>P_incr_required</t>
  </si>
  <si>
    <t>P_decr_required</t>
  </si>
  <si>
    <t>Final pressure change required</t>
  </si>
  <si>
    <t>P_change_required</t>
  </si>
  <si>
    <t>Increase the pressure by the difference between P_net and zero</t>
  </si>
  <si>
    <t>Decrease the pressure according to NDP * (recovery - max recovery) / (max recovery)</t>
  </si>
  <si>
    <t>Decrease the pressure to increase brine-side flow</t>
  </si>
  <si>
    <t>Zero if the concentrate flow is above minimum</t>
  </si>
  <si>
    <t>Increase the pressure to decrease brine-side flow</t>
  </si>
  <si>
    <t>Zero if the max Qavg is greater than Qfeed</t>
  </si>
  <si>
    <t>Zero if the vessel pressure drop is OK</t>
  </si>
  <si>
    <t>This usually happens because the NDP is zero or negative. Increase the pressure by an estimate of the pressure drop.</t>
  </si>
  <si>
    <t>System Controls - Controls Software - PLC programming software</t>
  </si>
  <si>
    <t>PLC data collection software</t>
  </si>
  <si>
    <t>System Controls - Controls Software - PLC data collection software</t>
  </si>
  <si>
    <t>Plant intelligence software</t>
  </si>
  <si>
    <t>System Controls - Controls Software - Plant intelligence software</t>
  </si>
  <si>
    <t>Number of cartridge filters per chemical line</t>
  </si>
  <si>
    <t>cart_filter_per_chem</t>
  </si>
  <si>
    <t>Set to zero to omit cartridge filters</t>
  </si>
  <si>
    <t>One day each for acid and caustic. This is the total offline time.</t>
  </si>
  <si>
    <t>Maximum flow for simplex basket screen</t>
  </si>
  <si>
    <t>max_simplex_screen_flow</t>
  </si>
  <si>
    <t>The maximum size for which costs are available.</t>
  </si>
  <si>
    <t>heater_power</t>
  </si>
  <si>
    <t>Number of operating security screens per system</t>
  </si>
  <si>
    <t>op_sec_screens</t>
  </si>
  <si>
    <t>High-circulation flow rate</t>
  </si>
  <si>
    <t>high_circ_flow</t>
  </si>
  <si>
    <t>Used to determine number of workstations</t>
  </si>
  <si>
    <r>
      <t xml:space="preserve">Printers per </t>
    </r>
    <r>
      <rPr>
        <i/>
        <sz val="10"/>
        <rFont val="Arial"/>
        <family val="2"/>
      </rPr>
      <t>x</t>
    </r>
    <r>
      <rPr>
        <sz val="10"/>
        <rFont val="Arial"/>
        <family val="2"/>
      </rPr>
      <t xml:space="preserve"> computer workstations</t>
    </r>
  </si>
  <si>
    <t>printer_ratio</t>
  </si>
  <si>
    <t>currently in use</t>
  </si>
  <si>
    <t>&lt;--current inputs</t>
  </si>
  <si>
    <t>&lt;--inputs used at last "Generate Results"</t>
  </si>
  <si>
    <t>Match?</t>
  </si>
  <si>
    <t>Flow match?</t>
  </si>
  <si>
    <t>Recovery:</t>
  </si>
  <si>
    <t>Absolute tolerance for permeate flow difference</t>
  </si>
  <si>
    <t>perm_flow_abs_tol</t>
  </si>
  <si>
    <r>
      <t xml:space="preserve">Pressure tuning continues until it finds a permeate flow within the percentage </t>
    </r>
    <r>
      <rPr>
        <b/>
        <i/>
        <sz val="10"/>
        <color indexed="17"/>
        <rFont val="Arial"/>
        <family val="2"/>
      </rPr>
      <t>or</t>
    </r>
    <r>
      <rPr>
        <b/>
        <sz val="10"/>
        <color indexed="17"/>
        <rFont val="Arial"/>
        <family val="2"/>
      </rPr>
      <t xml:space="preserve"> absolute tolerance of the design flow.</t>
    </r>
  </si>
  <si>
    <t>perm_meq*ion_meq_weights</t>
  </si>
  <si>
    <t>(conc_meq-feed_meq)/LN(conc_meq/feed_meq)-perm_meq</t>
  </si>
  <si>
    <t>Permeate ion concentrations</t>
  </si>
  <si>
    <t>perm_ion_concs</t>
  </si>
  <si>
    <t>Membrane element limits</t>
  </si>
  <si>
    <t>Pressure drop for vessel</t>
  </si>
  <si>
    <t>deltaP_v</t>
  </si>
  <si>
    <t>Cumulative pressure drop, psi</t>
  </si>
  <si>
    <t>c_dP_out</t>
  </si>
  <si>
    <t>CURR dP_out + PREV c_dP_out:CURR dP_out</t>
  </si>
  <si>
    <t>At 500 psi, pumps greater than 200 gpm are economically inefficient, because a switch to positive displacement pumps is required.</t>
  </si>
  <si>
    <t>inf_pump_hp</t>
  </si>
  <si>
    <t>Feed water pump design horsepower</t>
  </si>
  <si>
    <t>System automation</t>
  </si>
  <si>
    <t>&lt;-- pick or leave blank</t>
  </si>
  <si>
    <t>Since NDP is not reliable, we don't know the average flow. So compute pressure drop based on the feed flow, to be conservative.</t>
  </si>
  <si>
    <t>Minimum of the nonzero increases</t>
  </si>
  <si>
    <t>Minimum magnitude of the nonzero decreases</t>
  </si>
  <si>
    <t>perm_flux_v</t>
  </si>
  <si>
    <t>perm_pH_out</t>
  </si>
  <si>
    <t>conc_pH_out</t>
  </si>
  <si>
    <t>Concentrate LSI</t>
  </si>
  <si>
    <t>conc_LSI_out</t>
  </si>
  <si>
    <t>Feed flow per pressure vessel</t>
  </si>
  <si>
    <t>Qfeed_stg1_try</t>
  </si>
  <si>
    <t>Bypass Flow</t>
  </si>
  <si>
    <t>Valves and Instrumentation</t>
  </si>
  <si>
    <t>A minimum of 2 two cells is essential to ensure availability of storage space during cleaning, maintainance or emergency conditions. "Dewatering Municipal Wastewater Sludge,EPA design Manual, Dewatering Municipal Wastewater Sludges.EPA/625/1-87/014, September 1987".</t>
  </si>
  <si>
    <t>permit_cost</t>
  </si>
  <si>
    <t>Building #3 value</t>
  </si>
  <si>
    <t>See indirect assumptions sheet to exclude individual indirect items</t>
  </si>
  <si>
    <t>Internal use</t>
  </si>
  <si>
    <t>ep_fp</t>
  </si>
  <si>
    <t>Additional footprint for holding basins</t>
  </si>
  <si>
    <t>Additional footprint for holding lagoons</t>
  </si>
  <si>
    <t>hbasin_fp</t>
  </si>
  <si>
    <t>hlagoon_fp</t>
  </si>
  <si>
    <t>Residuals Holding Tanks</t>
  </si>
  <si>
    <t>Steel Tanks</t>
  </si>
  <si>
    <t>Fiberglass Tanks</t>
  </si>
  <si>
    <t>Plastic/HDPE Tanks</t>
  </si>
  <si>
    <t>st_ht_eq</t>
  </si>
  <si>
    <t>st_bwt_eq</t>
  </si>
  <si>
    <t>fg_ht_eq</t>
  </si>
  <si>
    <t>fg_bwt_eq</t>
  </si>
  <si>
    <t>hdpe_ht_eq</t>
  </si>
  <si>
    <t>hdpe_bwt_eq</t>
  </si>
  <si>
    <t>Residuals Holding Basins</t>
  </si>
  <si>
    <t>Concrete</t>
  </si>
  <si>
    <t>Aluminum Railing</t>
  </si>
  <si>
    <t>Aluminum Stairs</t>
  </si>
  <si>
    <t>Excavation</t>
  </si>
  <si>
    <t>Backfill and Compaction</t>
  </si>
  <si>
    <t>Backfill</t>
  </si>
  <si>
    <t>Liner</t>
  </si>
  <si>
    <t>Dike Construction</t>
  </si>
  <si>
    <t>Residuals Holding Lagoons</t>
  </si>
  <si>
    <t>Residuals Piping</t>
  </si>
  <si>
    <t>CPVC</t>
  </si>
  <si>
    <t>PVC</t>
  </si>
  <si>
    <t>Zero indicates no maximum.</t>
  </si>
  <si>
    <t>We signal an error if Stage 1 is off spec and the new pressure is out of bounds.</t>
  </si>
  <si>
    <t>Filled in by the design macro when Stage 2 hits an error.</t>
  </si>
  <si>
    <t>Eductors for Holding Tank Solids</t>
  </si>
  <si>
    <t>res_slurry_eq</t>
  </si>
  <si>
    <t>gac_slurry_eq</t>
  </si>
  <si>
    <t>res_seductor_eq</t>
  </si>
  <si>
    <t>seductor_eq</t>
  </si>
  <si>
    <t>solids_pad_area</t>
  </si>
  <si>
    <t>solids_pad_concrete</t>
  </si>
  <si>
    <t>cubic yds</t>
  </si>
  <si>
    <t>Residual solids storage height (for drying pad)</t>
  </si>
  <si>
    <t>solids_storage_height</t>
  </si>
  <si>
    <t>Acid tank diameter</t>
  </si>
  <si>
    <t>acid_tank_diam</t>
  </si>
  <si>
    <t>Clearance space beneath the ceiling</t>
  </si>
  <si>
    <t>ceiling_clearance</t>
  </si>
  <si>
    <t>Minimum space between the tops of storage tanks and the ceiling</t>
  </si>
  <si>
    <t>Antiscalant tank diameter</t>
  </si>
  <si>
    <t>anti_tank_diam</t>
  </si>
  <si>
    <t>Acid tank footprint</t>
  </si>
  <si>
    <t>acid_tank_fp</t>
  </si>
  <si>
    <t>Antiscalant tank footprint</t>
  </si>
  <si>
    <t>anti_tank_fp</t>
  </si>
  <si>
    <t>Makeup tank diameter</t>
  </si>
  <si>
    <t>clean_tank_diam</t>
  </si>
  <si>
    <t>Pretreatment chemical feed tanks</t>
  </si>
  <si>
    <t>Pretreatment Antiscalant Tanks</t>
  </si>
  <si>
    <t>clean_screen_fp</t>
  </si>
  <si>
    <t>Brackish Water RO</t>
  </si>
  <si>
    <t>Minimum feed pH</t>
  </si>
  <si>
    <t>s.u.</t>
  </si>
  <si>
    <t>min_feed_pH</t>
  </si>
  <si>
    <t>Minimum feed pH for continuous operation</t>
  </si>
  <si>
    <t>long_type</t>
  </si>
  <si>
    <t>Design Bypass Flow Rate</t>
  </si>
  <si>
    <t>bp_flow_rate</t>
  </si>
  <si>
    <t>Total feed flow</t>
  </si>
  <si>
    <t>design_Qfeed</t>
  </si>
  <si>
    <t>Total permeate flow</t>
  </si>
  <si>
    <t>design_Qperm</t>
  </si>
  <si>
    <t>design_flux</t>
  </si>
  <si>
    <t>Area required</t>
  </si>
  <si>
    <t>total_area_req</t>
  </si>
  <si>
    <t>Multiple pump approach to sizing eliminates need for a redundant pump.</t>
  </si>
  <si>
    <t>Feed pump water rating for sizing</t>
  </si>
  <si>
    <t>Used only to determine the number of influent pumps.</t>
  </si>
  <si>
    <t>inf_pump_gpm_sizing</t>
  </si>
  <si>
    <t>Includes standby pumps if specified</t>
  </si>
  <si>
    <t>Accounts for yard wiring and other electrical infrastructure.  Some electrical included in building costs.</t>
  </si>
  <si>
    <t>Bypass</t>
  </si>
  <si>
    <t>Holding lagoon freeboard</t>
  </si>
  <si>
    <t>Overexcavation for holding lagoon</t>
  </si>
  <si>
    <t>ldike_xsection</t>
  </si>
  <si>
    <t>hl_overexcavate</t>
  </si>
  <si>
    <t>pretreat_acid_valve_size</t>
  </si>
  <si>
    <t>Size of valves for pretreatment acid pump</t>
  </si>
  <si>
    <t>Size of valves for antiscalant pump</t>
  </si>
  <si>
    <t>antiscalant_valve_size</t>
  </si>
  <si>
    <t>Size of valves for feed line</t>
  </si>
  <si>
    <t>feed_valve_size</t>
  </si>
  <si>
    <t>Size of Stage 1 permeate throttle valves</t>
  </si>
  <si>
    <t>Size of Stage 2 permeate throttle valves</t>
  </si>
  <si>
    <t>Size of Stage 3 permeate throttle valves</t>
  </si>
  <si>
    <t>Size of Stage 2 booster pump valves</t>
  </si>
  <si>
    <t>Size of Stage 3 booster pump valves</t>
  </si>
  <si>
    <t>Included in line item unit costs.  Add a percentage for special considerations such as a remote site or high cost location.</t>
  </si>
  <si>
    <t>Sitework</t>
  </si>
  <si>
    <t>Include sitework costs?</t>
  </si>
  <si>
    <t>include_sitework</t>
  </si>
  <si>
    <t xml:space="preserve">Geotechnical </t>
  </si>
  <si>
    <t>Include yard piping costs?</t>
  </si>
  <si>
    <t>include_yardpipe</t>
  </si>
  <si>
    <t>&lt;--enter 1 for yes, 0 for no</t>
  </si>
  <si>
    <t>Include geotechnical costs for low cost systems?</t>
  </si>
  <si>
    <t>include_geo_low</t>
  </si>
  <si>
    <t>Note: geotechnical is always included with the septic system option, regardless of the numbers entered here</t>
  </si>
  <si>
    <t>days into seconds</t>
  </si>
  <si>
    <t>max_res_flow</t>
  </si>
  <si>
    <t>res_flow_annual</t>
  </si>
  <si>
    <t>Evaporation pond TSS accumulation</t>
  </si>
  <si>
    <t>Evaporation pond TDS accumulation</t>
  </si>
  <si>
    <t>Total evaporation pond solids accumulation</t>
  </si>
  <si>
    <t>ep_solids</t>
  </si>
  <si>
    <t>1 = fully manual system, 2 = semi-automated system, 3 = fully automated system.</t>
  </si>
  <si>
    <t>Always set to automatic control, unless user overrides on input sheet</t>
  </si>
  <si>
    <t>If blank, the system will be fully automated.</t>
  </si>
  <si>
    <t>Average flow units</t>
  </si>
  <si>
    <t>Feed temp (deg C)</t>
  </si>
  <si>
    <t>Flow equalization for reject/ cleaning soln</t>
  </si>
  <si>
    <t>Discharge option for reject/ cleaning soln</t>
  </si>
  <si>
    <t>yrs</t>
  </si>
  <si>
    <t>influent_fp</t>
  </si>
  <si>
    <t>pre_chem_fp</t>
  </si>
  <si>
    <t>cartridge_fp</t>
  </si>
  <si>
    <t>membrane_fp</t>
  </si>
  <si>
    <t>clean_chem_fp</t>
  </si>
  <si>
    <t>clean_feed_fp</t>
  </si>
  <si>
    <t>Site Work</t>
  </si>
  <si>
    <t>Building height</t>
  </si>
  <si>
    <t>Building_height</t>
  </si>
  <si>
    <t>Air_changes_contactor</t>
  </si>
  <si>
    <t>stg2_max_pres</t>
  </si>
  <si>
    <t>stg2_Pchange_err</t>
  </si>
  <si>
    <t>Stage 2 NDP adjustment to return to spec, percent</t>
  </si>
  <si>
    <t>stg2_Pchange_spec_pct</t>
  </si>
  <si>
    <t>stg2_Pchange_spec</t>
  </si>
  <si>
    <t>Pressure change for Stage 2</t>
  </si>
  <si>
    <t>stg2_Pchange</t>
  </si>
  <si>
    <t>Trench Volume total</t>
  </si>
  <si>
    <t>trench_vol</t>
  </si>
  <si>
    <t>old_average_flow</t>
  </si>
  <si>
    <t>old_element_index</t>
  </si>
  <si>
    <t>Equal?</t>
  </si>
  <si>
    <t>Current</t>
  </si>
  <si>
    <t>NRD_inf_pumps</t>
  </si>
  <si>
    <t>Maximum chemical metering pump size</t>
  </si>
  <si>
    <t>max_cm_pump_size</t>
  </si>
  <si>
    <t>Number of redundant acid metering pumps</t>
  </si>
  <si>
    <t>NRD_acid_mpumps</t>
  </si>
  <si>
    <t>Number of redundant antiscalant metering pumps</t>
  </si>
  <si>
    <t>NRD_anti_mpumps</t>
  </si>
  <si>
    <t>Membrane System</t>
  </si>
  <si>
    <t>conversion for membrane A value</t>
  </si>
  <si>
    <t>Design residuals discharge flow rate</t>
  </si>
  <si>
    <t>res_flow</t>
  </si>
  <si>
    <t>Combined reject plus cleaning solution</t>
  </si>
  <si>
    <t>Accounts for flow equalization, if used</t>
  </si>
  <si>
    <t>Flow equalization?</t>
  </si>
  <si>
    <t>flow_equalization</t>
  </si>
  <si>
    <t>Holding capacity</t>
  </si>
  <si>
    <t>hold_cap</t>
  </si>
  <si>
    <t>Technology complexity factor</t>
  </si>
  <si>
    <t>complexity</t>
  </si>
  <si>
    <t>Feed line - Stainless Steel</t>
  </si>
  <si>
    <t>Feed line - Cast Iron</t>
  </si>
  <si>
    <t>Stage 2 boost - Polypropylene/PVC</t>
  </si>
  <si>
    <t>Stage 2 boost - Stainless Steel</t>
  </si>
  <si>
    <t>Stage 3 boost - Polypropylene/PVC</t>
  </si>
  <si>
    <t>Stage 3 boost - Stainless Steel</t>
  </si>
  <si>
    <t>Stage 1 throttle - Polypropylene/PVC</t>
  </si>
  <si>
    <t>Stage 1 throttle - Stainless Steel</t>
  </si>
  <si>
    <t>yard_cost</t>
  </si>
  <si>
    <t>Total add-on costs</t>
  </si>
  <si>
    <t>Calculated based on system requirements.</t>
  </si>
  <si>
    <t>Scale inhibitor is about 10 lb/gal, regardless of the manufacturer (Ian Watson).  Dependent on the manufacturer, but about 9.8 lb/gal (Shannon Koekkler, Osmonics).</t>
  </si>
  <si>
    <t>current_element_position</t>
  </si>
  <si>
    <t>Feed flow to vessel</t>
  </si>
  <si>
    <t>flow_feed_ves_I</t>
  </si>
  <si>
    <t>Feed flow to element</t>
  </si>
  <si>
    <t>Permeate concentrations in meq/l - charges balanced</t>
  </si>
  <si>
    <t>Permeate ion strength</t>
  </si>
  <si>
    <t>perm_ionstrength</t>
  </si>
  <si>
    <t>Correction term for pK1 and pK2</t>
  </si>
  <si>
    <t>perm_pK_corr</t>
  </si>
  <si>
    <t>Permeate pK1</t>
  </si>
  <si>
    <t>perm_pK1</t>
  </si>
  <si>
    <t>Permeate pK2</t>
  </si>
  <si>
    <t>perm_pK2</t>
  </si>
  <si>
    <t>Permeate K1</t>
  </si>
  <si>
    <t>perm_K1</t>
  </si>
  <si>
    <t>Permeate K2</t>
  </si>
  <si>
    <t>perm_K2</t>
  </si>
  <si>
    <t>Permeate H+</t>
  </si>
  <si>
    <t>perm_Hplus</t>
  </si>
  <si>
    <t>Permeate pH</t>
  </si>
  <si>
    <t>perm_pH</t>
  </si>
  <si>
    <t>Total inorganic carbon in permeate</t>
  </si>
  <si>
    <t>perm_carbon</t>
  </si>
  <si>
    <t>Mole fraction of HCO3</t>
  </si>
  <si>
    <t>perm_frac_hco3</t>
  </si>
  <si>
    <t>error_stg3</t>
  </si>
  <si>
    <t>Is stage 3 operating within spec?</t>
  </si>
  <si>
    <t>stg3_in_spec</t>
  </si>
  <si>
    <t>Stage 3 beginning pressure</t>
  </si>
  <si>
    <t>stg3_Pstart</t>
  </si>
  <si>
    <t>Stage 3 minimum pressure</t>
  </si>
  <si>
    <t>stg3_min_pres</t>
  </si>
  <si>
    <t>Stage 3 maximum pressure</t>
  </si>
  <si>
    <t>stg3_max_pres</t>
  </si>
  <si>
    <t>stg3_Pchange_err</t>
  </si>
  <si>
    <t>Stage 3 NDP adjustment to return to spec, percent</t>
  </si>
  <si>
    <t>stg3_Pchange_spec_pct</t>
  </si>
  <si>
    <t>stg3_Pchange_spec</t>
  </si>
  <si>
    <t>Pressure change for Stage 3</t>
  </si>
  <si>
    <t>stg3_Pchange</t>
  </si>
  <si>
    <t>New minimum pressure for Stage 3</t>
  </si>
  <si>
    <t>stg3_min_pres_new</t>
  </si>
  <si>
    <t>New maximum pressure for Stage 3</t>
  </si>
  <si>
    <t>stg3_max_pres_new</t>
  </si>
  <si>
    <t>stg1_newP_fix3</t>
  </si>
  <si>
    <t>stg1_newP_fix3_OK</t>
  </si>
  <si>
    <t>stg1_adjust_3</t>
  </si>
  <si>
    <t>New starting pressure for Stage 3</t>
  </si>
  <si>
    <t>stg3_newP_fix3</t>
  </si>
  <si>
    <t>New Stage 3 pressure within bounds?</t>
  </si>
  <si>
    <t>stg3_newP_fix3_OK</t>
  </si>
  <si>
    <t>Mobilization percentage for small systems</t>
  </si>
  <si>
    <t>mob_pct_small</t>
  </si>
  <si>
    <t>Mobilization percentage for medium systems</t>
  </si>
  <si>
    <t>mob_pct_medium</t>
  </si>
  <si>
    <t>Mobilization percentage for large systems</t>
  </si>
  <si>
    <t>mob_pct_large</t>
  </si>
  <si>
    <t>of direct capital cost</t>
  </si>
  <si>
    <t>Typically 2-5% of the estimated construction cost.  Enter 0% to exclude.</t>
  </si>
  <si>
    <t>With temperature, below ref temp</t>
  </si>
  <si>
    <t>With temperature, above ref temp</t>
  </si>
  <si>
    <t>A correction coeffs</t>
  </si>
  <si>
    <t>Membrane Process</t>
  </si>
  <si>
    <t>membrane_labor</t>
  </si>
  <si>
    <t>pretreat_materials</t>
  </si>
  <si>
    <t>membrane_materials</t>
  </si>
  <si>
    <t>Concrete pad thickness</t>
  </si>
  <si>
    <t>pad_thick</t>
  </si>
  <si>
    <t>Feed water</t>
  </si>
  <si>
    <t>Click here to go to the bypass setting on the Critical Design Assumptions sheet.</t>
  </si>
  <si>
    <t>What position is this element in the stage?</t>
  </si>
  <si>
    <t>Drive controllers per residuals pump</t>
  </si>
  <si>
    <t>S_res_pump</t>
  </si>
  <si>
    <t>User adjustable.  Can be used to adjust estimated costs to be more reflective of a specific geographical location</t>
  </si>
  <si>
    <t>Includes labor for regular operations, maintenance, cleaning, etc.</t>
  </si>
  <si>
    <t>Total Cost ($/yr)</t>
  </si>
  <si>
    <t>Element A value before feed pressure correction</t>
  </si>
  <si>
    <t>A_firstguess</t>
  </si>
  <si>
    <t>First guess net driving pressure required</t>
  </si>
  <si>
    <t>ndp_req_firstguess</t>
  </si>
  <si>
    <t>Estimated feed pressure</t>
  </si>
  <si>
    <t>Pfeed_firstguess</t>
  </si>
  <si>
    <t>Influent and Booster Pumping</t>
  </si>
  <si>
    <t>Influent pump operating horsepower</t>
  </si>
  <si>
    <t>Energy per influent pump</t>
  </si>
  <si>
    <t>Stage 2 booster operating horsepower</t>
  </si>
  <si>
    <t>Energy per stage 2 booster</t>
  </si>
  <si>
    <t>Stage 3 booster operating horsepower</t>
  </si>
  <si>
    <t>Energy per stage 3 booster</t>
  </si>
  <si>
    <t>inf_pump_op_hp</t>
  </si>
  <si>
    <t>inf_pump_energy</t>
  </si>
  <si>
    <t>The new guess typically overshoots the convergence value, so it's best not to just adopt the new P_net guess. Instead, we step partway from the old P_net guess to the new one.</t>
  </si>
  <si>
    <t>New A value, corrected for osmotic pressure</t>
  </si>
  <si>
    <t>element_A_new</t>
  </si>
  <si>
    <t>based on the new calculation of the brine concentrations</t>
  </si>
  <si>
    <t>A_diff</t>
  </si>
  <si>
    <t>A_pctdiff</t>
  </si>
  <si>
    <t>element_A_next</t>
  </si>
  <si>
    <t>For A and B, we just adopt the new guess.  This is really a guess about the ion passages, but the convergence of the solution depends on the convergence of A and B. Adopting the new guess ensures that the new A and B are consistent with one another.</t>
  </si>
  <si>
    <t>New B value, corrected for salinity</t>
  </si>
  <si>
    <t>element_B_new</t>
  </si>
  <si>
    <t>ANNUALIZED COSTS</t>
  </si>
  <si>
    <t>Discount rate</t>
  </si>
  <si>
    <t>User adjustable</t>
  </si>
  <si>
    <t>Calculate households based on:</t>
  </si>
  <si>
    <t>ground water</t>
  </si>
  <si>
    <t>Household size (people per household)</t>
  </si>
  <si>
    <t>Useful Life (Reciprocal Weighted Average)</t>
  </si>
  <si>
    <t>Number of households served</t>
  </si>
  <si>
    <t>households</t>
  </si>
  <si>
    <t>Annualized Cost</t>
  </si>
  <si>
    <t>/year</t>
  </si>
  <si>
    <t>Annualized cost per 1,000 gallons average flow</t>
  </si>
  <si>
    <t>/kgal</t>
  </si>
  <si>
    <t>Annualized cost per household</t>
  </si>
  <si>
    <t>/household/year</t>
  </si>
  <si>
    <t>Count?</t>
  </si>
  <si>
    <t>Depreciation</t>
  </si>
  <si>
    <t>direct_for_UL</t>
  </si>
  <si>
    <t>total_direct_depreciation</t>
  </si>
  <si>
    <t>build_UL</t>
  </si>
  <si>
    <t>of direct capital and O&amp;M costs</t>
  </si>
  <si>
    <t>Minimum standby power generator size</t>
  </si>
  <si>
    <t>min_standby</t>
  </si>
  <si>
    <t>Minimum size for full standby generators</t>
  </si>
  <si>
    <t>Heating Table (1=include heating in buildings and O&amp;M, 0 = do not include heating)</t>
  </si>
  <si>
    <t>heating_table</t>
  </si>
  <si>
    <t>Buildings less than 500 ft2 (other than those used for chlorine storage)</t>
  </si>
  <si>
    <t>heating_table_shed</t>
  </si>
  <si>
    <t>Cooling Table (1=include cooling in buildings and O&amp;M, 0 = do not include cooling)</t>
  </si>
  <si>
    <t>cooling_table</t>
  </si>
  <si>
    <t>cooling_table_shed</t>
  </si>
  <si>
    <t>Include concrete pad in total capital cost?</t>
  </si>
  <si>
    <t>include_pad</t>
  </si>
  <si>
    <t>One CPU is needed to run the local and expansion bases and modules (max 8192 I/O); using two to provide redundancy</t>
  </si>
  <si>
    <t>One ethernet module is needed; using two to provide redundancy</t>
  </si>
  <si>
    <t>Two to provide redundancy in the event of SCADA node failure</t>
  </si>
  <si>
    <t>Feed pressure, standard units</t>
  </si>
  <si>
    <t>P_feed</t>
  </si>
  <si>
    <t>Throttle pressure, standard units</t>
  </si>
  <si>
    <t>P_throttle</t>
  </si>
  <si>
    <t>Office space per employee</t>
  </si>
  <si>
    <t>space_office</t>
  </si>
  <si>
    <t>Office space</t>
  </si>
  <si>
    <t>office_fp</t>
  </si>
  <si>
    <t>Building 1 weighted average air changes</t>
  </si>
  <si>
    <t>air_changes_build1</t>
  </si>
  <si>
    <t>Building 2 weighted average air changes</t>
  </si>
  <si>
    <t>air_changes_build2</t>
  </si>
  <si>
    <t>Building 3 weighted average air changes</t>
  </si>
  <si>
    <t>air_changes_build3</t>
  </si>
  <si>
    <t>days/year</t>
  </si>
  <si>
    <t>Number of days per year where natural ventilation is applicable cannot be greater than 365 days</t>
  </si>
  <si>
    <t>Land Cost</t>
  </si>
  <si>
    <t>Calculate based on housing area of each building plus 40-foot buffer on one side for emergency vehicle access and 10-foot buffers on the other three sides for access.  Typical costs per acre range from $4,000 to $350,000 for industrial; $150 to $2,200 for rural.  See Cl.xls for details</t>
  </si>
  <si>
    <t>workstations/printer</t>
  </si>
  <si>
    <t>Minimum will always be one, but larger systems will have multiple printers</t>
  </si>
  <si>
    <r>
      <t xml:space="preserve">Provide a minimum of 3 ft (1 m) of clear space around each item of equipment (American Water Works Association and American Society of Civil Engineers. </t>
    </r>
    <r>
      <rPr>
        <b/>
        <i/>
        <sz val="10"/>
        <color indexed="17"/>
        <rFont val="Arial"/>
        <family val="2"/>
      </rPr>
      <t>Water Treatment Plant Design</t>
    </r>
    <r>
      <rPr>
        <b/>
        <sz val="10"/>
        <color indexed="17"/>
        <rFont val="Arial"/>
        <family val="2"/>
      </rPr>
      <t>. Third Edition. New York: McGraw Hill, 1998. Pp. 695).</t>
    </r>
  </si>
  <si>
    <t>Technology-specific factor.  See Appendices for details.  Low complexity = 0.5; Average complexity = 1.0; High complexity = 1.5; Very high complexity = 2.0.</t>
  </si>
  <si>
    <t>cool_DD</t>
  </si>
  <si>
    <t>Heating ventilation/infiltration load</t>
  </si>
  <si>
    <t>heat_viload</t>
  </si>
  <si>
    <t>BTU/cfm</t>
  </si>
  <si>
    <t>Cooling ventilation/infiltration load</t>
  </si>
  <si>
    <t>cool_viload</t>
  </si>
  <si>
    <t>Air conditioning EER</t>
  </si>
  <si>
    <t>EER</t>
  </si>
  <si>
    <t>Miles to hazardous solid waste disposal site</t>
  </si>
  <si>
    <t>haz_miles</t>
  </si>
  <si>
    <t>Membrane reject</t>
  </si>
  <si>
    <t>Design reject flow</t>
  </si>
  <si>
    <t>Average reject flow</t>
  </si>
  <si>
    <t>design_rej_flow</t>
  </si>
  <si>
    <t>average_rej_flow</t>
  </si>
  <si>
    <t>Single event volume</t>
  </si>
  <si>
    <t>scs_vol</t>
  </si>
  <si>
    <t>Design solution flow</t>
  </si>
  <si>
    <t>Average solution flow</t>
  </si>
  <si>
    <t>design_scs_flow</t>
  </si>
  <si>
    <t>average_scs_flow</t>
  </si>
  <si>
    <t>Flow during an event</t>
  </si>
  <si>
    <t>Average over the course of a year</t>
  </si>
  <si>
    <t>Actual residuals discharge flow rate</t>
  </si>
  <si>
    <t>res_flow_actual</t>
  </si>
  <si>
    <t>cubic yd</t>
  </si>
  <si>
    <t>Total sitework cost</t>
  </si>
  <si>
    <t>sitework_cost</t>
  </si>
  <si>
    <t xml:space="preserve">Minimum chemical storage tank size </t>
  </si>
  <si>
    <t>HCl</t>
  </si>
  <si>
    <t>H2SO4</t>
  </si>
  <si>
    <t>Chemical properties</t>
  </si>
  <si>
    <t>Concentrated strength of HCl (% by weight)</t>
  </si>
  <si>
    <t>acid_strength_HCl</t>
  </si>
  <si>
    <t>acid_strength_H2SO4</t>
  </si>
  <si>
    <t>Concentrated strength of H2SO4 (% by weight)</t>
  </si>
  <si>
    <t>caustic_strength</t>
  </si>
  <si>
    <t>Concentrated strength of caustic (% by weight)</t>
  </si>
  <si>
    <t>Maximum influent pump size, RO to 300 psi</t>
  </si>
  <si>
    <t>max_pump_size_ro350</t>
  </si>
  <si>
    <t>Use if technology is last step in treatment process</t>
  </si>
  <si>
    <t>kW</t>
  </si>
  <si>
    <t>Total base standby power requirement</t>
  </si>
  <si>
    <t>std_base</t>
  </si>
  <si>
    <t>perm_meter_size</t>
  </si>
  <si>
    <t>tot_fm_perm</t>
  </si>
  <si>
    <t>&lt;--enter 0 to throttle stages 1 and 2, 1 to boost stage 3</t>
  </si>
  <si>
    <t>Other footprint</t>
  </si>
  <si>
    <t>Access space for element replacement</t>
  </si>
  <si>
    <t>replacement_access</t>
  </si>
  <si>
    <t>element_extra_space</t>
  </si>
  <si>
    <t>Access space for other equipment</t>
  </si>
  <si>
    <t>Past this size we will construct multiple wells. Near West Palm Beach, the Boulder Zone in Florida accommodates injection flows of 14,000 to 15,000 gpm (Mickley, 2006).</t>
  </si>
  <si>
    <t>Determines required diameter based on concentrate flow. 10 ft/sec recommended in Mickley, 2006.</t>
  </si>
  <si>
    <t>atm</t>
  </si>
  <si>
    <t>1 - CURR perm_tds_out / CURR feed_tds_out</t>
  </si>
  <si>
    <t>Cumulative salt rejection within stage</t>
  </si>
  <si>
    <t>c_salt_rej_out</t>
  </si>
  <si>
    <t xml:space="preserve">1 - CURR c_perm_tds_out / FIRST feed_tds_out </t>
  </si>
  <si>
    <t>Feed concentrations, ppm</t>
  </si>
  <si>
    <t>feed_conc_out</t>
  </si>
  <si>
    <t>Permeate concentrations, ppm</t>
  </si>
  <si>
    <t>perm_conc_out</t>
  </si>
  <si>
    <t>Concentrate concentrations, ppm</t>
  </si>
  <si>
    <t>conc_conc_out</t>
  </si>
  <si>
    <t>Reflects an arid climate.  If evaporation ponds are used, climate assumptions on O&amp;M assumptions page should also be changed to reflect an arid climate.</t>
  </si>
  <si>
    <t>Evaporation ratio</t>
  </si>
  <si>
    <t>evap_ratio</t>
  </si>
  <si>
    <t>A safety factor to account for conversion of pan to lake evaporation rate and effect of salinity</t>
  </si>
  <si>
    <t>Average annual precipitation</t>
  </si>
  <si>
    <t>precip</t>
  </si>
  <si>
    <t>Days of winter (i.e., days of storage during periods with no net evaporation)</t>
  </si>
  <si>
    <t>winter_days</t>
  </si>
  <si>
    <t>Accounts for wet periods in which residuals are stored without evaporation</t>
  </si>
  <si>
    <t>Evaporation pond safety factor</t>
  </si>
  <si>
    <t>ep_safety_factor</t>
  </si>
  <si>
    <t>Accounts for years of below average evaporation</t>
  </si>
  <si>
    <t>Maximum evaporation pond cell area</t>
  </si>
  <si>
    <t>Pchange_large_dPel</t>
  </si>
  <si>
    <t>Vessel pressure drop is too large:</t>
  </si>
  <si>
    <t>Percentage decrease required in vessel pressure drop</t>
  </si>
  <si>
    <t>dPves_pctchange</t>
  </si>
  <si>
    <t>copied</t>
  </si>
  <si>
    <t>Permeate flow, gpm</t>
  </si>
  <si>
    <t>perm_flow_out</t>
  </si>
  <si>
    <t>Concentrate flow, gpm</t>
  </si>
  <si>
    <t>conc_flow_out</t>
  </si>
  <si>
    <t>Permeate flux, gfd</t>
  </si>
  <si>
    <t>perm_flux_out</t>
  </si>
  <si>
    <t>recovery_out</t>
  </si>
  <si>
    <t>max_pump_size_ro200</t>
  </si>
  <si>
    <t>cfm</t>
  </si>
  <si>
    <t>Building 2 air exchange rate</t>
  </si>
  <si>
    <t>build2_cfm</t>
  </si>
  <si>
    <t>Building 3 air exchange rate</t>
  </si>
  <si>
    <t>build3_cfm</t>
  </si>
  <si>
    <t>Building 1 side conductance heat loss</t>
  </si>
  <si>
    <t>BTU/yr</t>
  </si>
  <si>
    <t>Buiding 1 ceiling conductance heat loss</t>
  </si>
  <si>
    <t>Building 1 air exchange heat loss</t>
  </si>
  <si>
    <t>Building 2 side conductance heat loss</t>
  </si>
  <si>
    <t>Buiding 2 ceiling conductance heat loss</t>
  </si>
  <si>
    <t>Building 2 air exchange heat loss</t>
  </si>
  <si>
    <t>Error message</t>
  </si>
  <si>
    <t>pressure_err_msg</t>
  </si>
  <si>
    <t>Pressure tuning routine in progress?</t>
  </si>
  <si>
    <t>tune_in_prog</t>
  </si>
  <si>
    <t>Labor hours per month for auto prescreens</t>
  </si>
  <si>
    <t>monthly_labor_auto_screen</t>
  </si>
  <si>
    <t>Kevin Steiner, Fluid Engineering. "Very periodic" maintenance, likely only during plant shutdowns.</t>
  </si>
  <si>
    <t>hr/month/screen</t>
  </si>
  <si>
    <t>Include architectural fee for small systems?</t>
  </si>
  <si>
    <t>include_arch_small</t>
  </si>
  <si>
    <t>Include standby power costs for small systems?</t>
  </si>
  <si>
    <t>include_standby_small</t>
  </si>
  <si>
    <t>Include contingency costs for low cost systems?</t>
  </si>
  <si>
    <t>include_conting_low</t>
  </si>
  <si>
    <t>Include contingency costs for medium cost systems?</t>
  </si>
  <si>
    <t>include_conting_medium</t>
  </si>
  <si>
    <t>Include contingency costs for high cost systems?</t>
  </si>
  <si>
    <t>include_conting_high</t>
  </si>
  <si>
    <t>Financing percentage for small systems</t>
  </si>
  <si>
    <t>finance_pct_small</t>
  </si>
  <si>
    <t>Small system construction assumed to take less than one year</t>
  </si>
  <si>
    <t>Excluded by default for small systems</t>
  </si>
  <si>
    <t>Calculated based on system requirements.  Excluded by default for small systems.</t>
  </si>
  <si>
    <t>Included for high cost systems only.</t>
  </si>
  <si>
    <t>element_B_min_I</t>
  </si>
  <si>
    <t>at reference temperature, and minimum-B TDS</t>
  </si>
  <si>
    <t>B maximum value</t>
  </si>
  <si>
    <t>element_B_max_I</t>
  </si>
  <si>
    <t>at reference temperature, and very large TDS; B will not be permitted to exceed this value before temp correction. Obtained from manufacturer's programs run at a range of salinities.</t>
  </si>
  <si>
    <t>Delta-P coefficient</t>
  </si>
  <si>
    <t>element_dp_coeff_I</t>
  </si>
  <si>
    <t>psi/gpm^exp</t>
  </si>
  <si>
    <t>deltaP = coeff * (avg flow)^exponent * sqrt(viscosity/ref. viscosity)</t>
  </si>
  <si>
    <t>Delta-P exponent</t>
  </si>
  <si>
    <t>element_dp_exp</t>
  </si>
  <si>
    <t>A correction coeff for temperature below ref temp</t>
  </si>
  <si>
    <t>element_A_T_coeff_lo</t>
  </si>
  <si>
    <t>Kelvins</t>
  </si>
  <si>
    <t>correction factor is exp(coeff*(1/Tref-1/T)) [T in Kelvins]</t>
  </si>
  <si>
    <t>A correction coeff for temperature above ref temp</t>
  </si>
  <si>
    <t>element_A_T_coeff_hi</t>
  </si>
  <si>
    <t>A correction coeff for pressure</t>
  </si>
  <si>
    <t>boost_pump_3_gpm</t>
  </si>
  <si>
    <t>boost_pump_3_mgd</t>
  </si>
  <si>
    <t>boost_pump_3_psi</t>
  </si>
  <si>
    <t>boost_pump_3_hp</t>
  </si>
  <si>
    <t>Residual solids quantity (total per event)</t>
  </si>
  <si>
    <t>res_solids</t>
  </si>
  <si>
    <t>Residual solids disposal frequency</t>
  </si>
  <si>
    <t>sol_disp_freq</t>
  </si>
  <si>
    <t>lbs/year</t>
  </si>
  <si>
    <t>times per year</t>
  </si>
  <si>
    <t>Spent Cartridge Filters</t>
  </si>
  <si>
    <t>Replacement/disposal frequency</t>
  </si>
  <si>
    <t>cart_disp_freq</t>
  </si>
  <si>
    <t>Disposal weight (total per event)</t>
  </si>
  <si>
    <t>Cartridge Filter Weight (for disposal calculations)</t>
  </si>
  <si>
    <t>Total membrane area</t>
  </si>
  <si>
    <t>Used?</t>
  </si>
  <si>
    <t>Valid input?</t>
  </si>
  <si>
    <t>Invalid reason?</t>
  </si>
  <si>
    <t>direct discharge</t>
  </si>
  <si>
    <t>discharge to POTW</t>
  </si>
  <si>
    <t>evaporation pond</t>
  </si>
  <si>
    <t>res_bw_dis_list</t>
  </si>
  <si>
    <t>recycle</t>
  </si>
  <si>
    <t>no flow equalization</t>
  </si>
  <si>
    <t>hazardous</t>
  </si>
  <si>
    <t>Discharge option for backwash / tank drain</t>
  </si>
  <si>
    <t>res_s2_opt_list</t>
  </si>
  <si>
    <t>res_s2_opt_table</t>
  </si>
  <si>
    <t>holding tanks</t>
  </si>
  <si>
    <t>holding basins</t>
  </si>
  <si>
    <t>holding lagoons</t>
  </si>
  <si>
    <t>res_s1_opt_list</t>
  </si>
  <si>
    <t>res_s1_opt_table</t>
  </si>
  <si>
    <t>solids_haz_list</t>
  </si>
  <si>
    <t>Cleaning</t>
  </si>
  <si>
    <t>General Labor</t>
  </si>
  <si>
    <t>Other pumps and mechanical equipment used infrequently.  Therefore, these energy costs may be assumed covered by overall process and building energy costs.</t>
  </si>
  <si>
    <t>Lighting</t>
  </si>
  <si>
    <t>lighting</t>
  </si>
  <si>
    <t>Feed water pump rating (MGD)</t>
  </si>
  <si>
    <t>Feed water pump rating (gpm)</t>
  </si>
  <si>
    <t>inf_pump_gpm</t>
  </si>
  <si>
    <t>Structure/Floorplan</t>
  </si>
  <si>
    <t>Labor and Materials</t>
  </si>
  <si>
    <t>Solids transfer for evaporation ponds</t>
  </si>
  <si>
    <t>Evaporation Pond Solids</t>
  </si>
  <si>
    <t>For one evaporation pond cleanout</t>
  </si>
  <si>
    <t>Evaporation Pond Solids Disposal Fees</t>
  </si>
  <si>
    <t>Size Needed (mgd)</t>
  </si>
  <si>
    <t>Size Selected (mgd)</t>
  </si>
  <si>
    <t>Weight (lbs)</t>
  </si>
  <si>
    <t>recov_min_ro</t>
  </si>
  <si>
    <t>recov_max_ro</t>
  </si>
  <si>
    <t>Minimum recovery for NF</t>
  </si>
  <si>
    <t>Maximum recovery for NF</t>
  </si>
  <si>
    <t>recov_min_nf</t>
  </si>
  <si>
    <t>recov_max_nf</t>
  </si>
  <si>
    <t>Max system recovery</t>
  </si>
  <si>
    <t>Min system recovery</t>
  </si>
  <si>
    <t>min_sys_recovery</t>
  </si>
  <si>
    <t>max_sys_recovery</t>
  </si>
  <si>
    <r>
      <t xml:space="preserve">Cells in </t>
    </r>
    <r>
      <rPr>
        <i/>
        <sz val="10"/>
        <color indexed="51"/>
        <rFont val="Arial"/>
        <family val="2"/>
      </rPr>
      <t>gold</t>
    </r>
    <r>
      <rPr>
        <i/>
        <sz val="10"/>
        <rFont val="Arial"/>
        <family val="2"/>
      </rPr>
      <t xml:space="preserve"> are required; cells in </t>
    </r>
    <r>
      <rPr>
        <i/>
        <sz val="10"/>
        <color indexed="48"/>
        <rFont val="Arial"/>
        <family val="2"/>
      </rPr>
      <t>blue</t>
    </r>
    <r>
      <rPr>
        <i/>
        <sz val="10"/>
        <rFont val="Arial"/>
        <family val="2"/>
      </rPr>
      <t xml:space="preserve"> are optional</t>
    </r>
  </si>
  <si>
    <t>Concentrate SiO2 saturation:</t>
  </si>
  <si>
    <t>Concentrate CaSO4 saturation:</t>
  </si>
  <si>
    <t>Concentrate CaF2 saturation:</t>
  </si>
  <si>
    <t>OUTPUT SUMMARY</t>
  </si>
  <si>
    <t>Technology</t>
  </si>
  <si>
    <t>Direct Capital Cost</t>
  </si>
  <si>
    <t>Add-on Cost</t>
  </si>
  <si>
    <t>Indirect Capital Cost</t>
  </si>
  <si>
    <t>Total Capital Cost</t>
  </si>
  <si>
    <t>Annual O&amp;M Cost</t>
  </si>
  <si>
    <t>num_well_pumps</t>
  </si>
  <si>
    <t>Injection well pump head</t>
  </si>
  <si>
    <t>well_pump_psi</t>
  </si>
  <si>
    <t>Typical discharge pressures 30 to 50 psi, but may be much larger, depending on local conditions (Mickley, 2006). If revised, review pump costs and maximum size available.</t>
  </si>
  <si>
    <t>Maximum pump size for wellhead pumps</t>
  </si>
  <si>
    <t>max_well_pump_size</t>
  </si>
  <si>
    <t>Number of redundant wellhead pumps</t>
  </si>
  <si>
    <t>NRD_well_pump</t>
  </si>
  <si>
    <t>Per well.</t>
  </si>
  <si>
    <t>Energy per residuals pump</t>
  </si>
  <si>
    <t>Residuals pump operating horsepower</t>
  </si>
  <si>
    <t>Wellhead pump operating horsepower</t>
  </si>
  <si>
    <t>Operating wellhead pumps</t>
  </si>
  <si>
    <t>op_well_pumps</t>
  </si>
  <si>
    <t>Total wellhead pumps</t>
  </si>
  <si>
    <t>Includes redundant pump for each well</t>
  </si>
  <si>
    <t>Flow per wellhead pump</t>
  </si>
  <si>
    <t>flow_per_well_pump</t>
  </si>
  <si>
    <t>Energy for all residuals pumps</t>
  </si>
  <si>
    <t>Energy per wellhead pump</t>
  </si>
  <si>
    <t>Cost per well</t>
  </si>
  <si>
    <t>injection_well_cost</t>
  </si>
  <si>
    <t>Mobilization percentage for injection wells</t>
  </si>
  <si>
    <t>mob_pct_well</t>
  </si>
  <si>
    <t>dP_exp</t>
  </si>
  <si>
    <t>name</t>
  </si>
  <si>
    <t>A_I</t>
  </si>
  <si>
    <t>A_P_coeff_I</t>
  </si>
  <si>
    <t>A_S_coeff_I</t>
  </si>
  <si>
    <t>B_min_I</t>
  </si>
  <si>
    <t>B_max_I</t>
  </si>
  <si>
    <t>dP_coeff_I</t>
  </si>
  <si>
    <t>ref_temp_I</t>
  </si>
  <si>
    <t>Maximum feed pressure</t>
  </si>
  <si>
    <t>Maximum recovery</t>
  </si>
  <si>
    <t>max_recovery</t>
  </si>
  <si>
    <t>max_P_feed_I</t>
  </si>
  <si>
    <t>Minimum concentrate flow</t>
  </si>
  <si>
    <t>New minimum pressure for Stage 2</t>
  </si>
  <si>
    <t>Antiscalant metering pump rating</t>
  </si>
  <si>
    <t>acid_mpump_rating</t>
  </si>
  <si>
    <t>anti_mpump_rating</t>
  </si>
  <si>
    <t>gph</t>
  </si>
  <si>
    <t>Number of acid metering pumps</t>
  </si>
  <si>
    <t>Number of antiscalant metering pumps</t>
  </si>
  <si>
    <t>acid_mpumps</t>
  </si>
  <si>
    <t>anti_mpumps</t>
  </si>
  <si>
    <t>Pretreatment</t>
  </si>
  <si>
    <t>pl_cst_eq_acid</t>
  </si>
  <si>
    <t>fg_cst_eq_acid</t>
  </si>
  <si>
    <t>pl_cst_eq_anti</t>
  </si>
  <si>
    <t>fg_cst_eq_anti</t>
  </si>
  <si>
    <t>Total indirect capital cost</t>
  </si>
  <si>
    <t>Total of indirect line items</t>
  </si>
  <si>
    <t>per LT2 Membrane Filtration Guidance Manual and manufacturer recommendations</t>
  </si>
  <si>
    <t>Offline fraction due to cleaning</t>
  </si>
  <si>
    <t>clean_offline_frac</t>
  </si>
  <si>
    <t>Number of cleaning systems needed</t>
  </si>
  <si>
    <t>Include buildings in total capital cost?</t>
  </si>
  <si>
    <t>include_buildings</t>
  </si>
  <si>
    <t>Total of direct line items above:</t>
  </si>
  <si>
    <t>Process costs</t>
  </si>
  <si>
    <t>Building costs</t>
  </si>
  <si>
    <t>Total Direct Capital Cost</t>
  </si>
  <si>
    <t>Include Permit Costs?</t>
  </si>
  <si>
    <t>include_permits</t>
  </si>
  <si>
    <t>&lt;---enter 1 for yes, 0 for no</t>
  </si>
  <si>
    <t>Include pilot study costs?</t>
  </si>
  <si>
    <t>include_pilot</t>
  </si>
  <si>
    <t>res_s2_opt</t>
  </si>
  <si>
    <t>Ion product [Ba]*[SO4]</t>
  </si>
  <si>
    <t>BaSO4 saturation percentage</t>
  </si>
  <si>
    <t>KSP for BaSO4</t>
  </si>
  <si>
    <t>KSP for SrSO4</t>
  </si>
  <si>
    <t>Ion product [Sr]*[SO4]</t>
  </si>
  <si>
    <t>SrSO4 saturation percentage</t>
  </si>
  <si>
    <t>SrSO4 saturation</t>
  </si>
  <si>
    <t>feed_srso4_ip</t>
  </si>
  <si>
    <t>feed_srso4_sat_pct</t>
  </si>
  <si>
    <t>feed_srso4_ksp</t>
  </si>
  <si>
    <t>Ksp dependence on ion strength from ASTM D4692, Figure 2; method and fit parameters from TFSP, PerLorica, Inc.</t>
  </si>
  <si>
    <t>Number of redundant immersion heaters per system</t>
  </si>
  <si>
    <t>NRD_immersion_heaters</t>
  </si>
  <si>
    <t>CURR perm_flow_out / CURR feed_flow_out</t>
  </si>
  <si>
    <t>Cumulative permeate flow, gpm</t>
  </si>
  <si>
    <t>Inputs equal?</t>
  </si>
  <si>
    <t>inputs_are_current</t>
  </si>
  <si>
    <t>Total efficiency of pumps</t>
  </si>
  <si>
    <t>Permeate TDS at 180 degrees C</t>
  </si>
  <si>
    <t>perm_tds_sys_180c</t>
  </si>
  <si>
    <t>Permeate TDS at 180 degrees C:</t>
  </si>
  <si>
    <t>Blended TDS at 180 degrees C:</t>
  </si>
  <si>
    <t>TDS is typically measured at 180 degrees C for regulatory compliance purposes. At this temperature approximately half of the bicarbonate is converted to carbon dioxide.</t>
  </si>
  <si>
    <t>TDS of blended product at 180 degrees C</t>
  </si>
  <si>
    <t>blend_TDS_180c</t>
  </si>
  <si>
    <t>MGD</t>
  </si>
  <si>
    <t>Approx TDS</t>
  </si>
  <si>
    <t>ion_names</t>
  </si>
  <si>
    <t>Assumes liner extends 2 feet up dike side slope</t>
  </si>
  <si>
    <t>Total excavated depth</t>
  </si>
  <si>
    <t>ep_depth</t>
  </si>
  <si>
    <t>hl_depth</t>
  </si>
  <si>
    <t>Additional freeboard provided above grade by dike</t>
  </si>
  <si>
    <t>res_pumps</t>
  </si>
  <si>
    <t>Pump design rating</t>
  </si>
  <si>
    <t>res_pump_rating</t>
  </si>
  <si>
    <t>Evaporation Ponds</t>
  </si>
  <si>
    <t>Total open surface area required</t>
  </si>
  <si>
    <t>ep_total_sa</t>
  </si>
  <si>
    <t>Required depth for solids accumulation</t>
  </si>
  <si>
    <t>ep_solids_depth</t>
  </si>
  <si>
    <t>Ionic strength</t>
  </si>
  <si>
    <t>feed_ion_strength</t>
  </si>
  <si>
    <t>KSP for CaSO4</t>
  </si>
  <si>
    <t>feed_caso4_ksp</t>
  </si>
  <si>
    <t>Ion product [Ca]*[SO4]</t>
  </si>
  <si>
    <t>feed_caso4_ip</t>
  </si>
  <si>
    <t>CaSO4 saturation percentage</t>
  </si>
  <si>
    <t>feed_caso4_sat_pct</t>
  </si>
  <si>
    <t>CaF2 saturation</t>
  </si>
  <si>
    <t>van't Hoff temperature correction for Ksp</t>
  </si>
  <si>
    <t>caf2_vanthoff_corr</t>
  </si>
  <si>
    <t>pKsp for CaF2 at 25 deg C</t>
  </si>
  <si>
    <t>caf2_pksp_base</t>
  </si>
  <si>
    <t>Ksp for CaF2 at 25 deg C</t>
  </si>
  <si>
    <t>caf2_ksp_base</t>
  </si>
  <si>
    <t>Ksp for CaF2 at feed temperature</t>
  </si>
  <si>
    <t>caf2_ksp</t>
  </si>
  <si>
    <t>Ionic strength correction for Ca</t>
  </si>
  <si>
    <t>feed_ca_corr</t>
  </si>
  <si>
    <t>Ionic strength correction for F</t>
  </si>
  <si>
    <t>feed_f_corr</t>
  </si>
  <si>
    <t>Ca, mol/L, corrected</t>
  </si>
  <si>
    <t>feed_ca_molL</t>
  </si>
  <si>
    <t>F, mol/L, corrected</t>
  </si>
  <si>
    <t>feed_f_molL</t>
  </si>
  <si>
    <t>Ion product [Ca]*[F]^2</t>
  </si>
  <si>
    <t>feed_caf2_ip</t>
  </si>
  <si>
    <t>CaF2 saturation percentage</t>
  </si>
  <si>
    <t>feed_caf2_sat_pct</t>
  </si>
  <si>
    <t>Treated Feed</t>
  </si>
  <si>
    <t>Total high/low alarms</t>
  </si>
  <si>
    <t>tot_res_alarm</t>
  </si>
  <si>
    <t>Residuals flow meter size</t>
  </si>
  <si>
    <t>res_meter_size</t>
  </si>
  <si>
    <t>res_pump_energy</t>
  </si>
  <si>
    <t>Residuals pump material cost</t>
  </si>
  <si>
    <t>res_pump_mtl</t>
  </si>
  <si>
    <t>O&amp;M Items</t>
  </si>
  <si>
    <t>Residuals pump head</t>
  </si>
  <si>
    <t>res_pump_psi</t>
  </si>
  <si>
    <t>init_NRD_cart</t>
  </si>
  <si>
    <r>
      <t xml:space="preserve">Additional redundant cartridge filter per </t>
    </r>
    <r>
      <rPr>
        <i/>
        <sz val="10"/>
        <rFont val="Arial"/>
        <family val="2"/>
      </rPr>
      <t>x</t>
    </r>
    <r>
      <rPr>
        <sz val="10"/>
        <rFont val="Arial"/>
        <family val="2"/>
      </rPr>
      <t xml:space="preserve"> MGD inflow</t>
    </r>
  </si>
  <si>
    <t>addl_redund_cart_per_flow</t>
  </si>
  <si>
    <t>For 100% HCl.</t>
  </si>
  <si>
    <t>For 100% H2SO4.</t>
  </si>
  <si>
    <t>tfeed_meq_bal</t>
  </si>
  <si>
    <t>tfeed_ppm_bal</t>
  </si>
  <si>
    <t>train_config</t>
  </si>
  <si>
    <t>For information:</t>
  </si>
  <si>
    <t>Number of redundant pumps per system</t>
  </si>
  <si>
    <t>NRD_chem_pump</t>
  </si>
  <si>
    <t>Piping Design</t>
  </si>
  <si>
    <t>in_out_pipe_length</t>
  </si>
  <si>
    <t>in_out_pipe_flow</t>
  </si>
  <si>
    <t>in_out_pipe_diam</t>
  </si>
  <si>
    <t>Bypass piping length</t>
  </si>
  <si>
    <t>bp_pipe_length</t>
  </si>
  <si>
    <t>Bypass pipe diameter</t>
  </si>
  <si>
    <t>bp_pipe_diam</t>
  </si>
  <si>
    <t>Building Structure</t>
  </si>
  <si>
    <t>linear feet</t>
  </si>
  <si>
    <t>Feed pressure:</t>
  </si>
  <si>
    <t>Membrane Process Labor</t>
  </si>
  <si>
    <t>Flow needed</t>
  </si>
  <si>
    <t>Flow category</t>
  </si>
  <si>
    <t>Applied pressure, standard units</t>
  </si>
  <si>
    <t>P_applied</t>
  </si>
  <si>
    <t>Feed flow, standard units</t>
  </si>
  <si>
    <t>flow_feed</t>
  </si>
  <si>
    <t>m^3/s</t>
  </si>
  <si>
    <t>A value, standard units, ref temp and TDS, zero pressure</t>
  </si>
  <si>
    <t>element_A_ref</t>
  </si>
  <si>
    <t>m/s/atm</t>
  </si>
  <si>
    <t>B value, minimum TDS, ref temp</t>
  </si>
  <si>
    <t>element_B_ref</t>
  </si>
  <si>
    <t>m/s</t>
  </si>
  <si>
    <t>B value, maximum, ref temp</t>
  </si>
  <si>
    <t>element_B_max_ref</t>
  </si>
  <si>
    <t>A coefficient for osmotic pressure</t>
  </si>
  <si>
    <t>Average brine TDS</t>
  </si>
  <si>
    <t>avg_tds</t>
  </si>
  <si>
    <t>Permeate TDS</t>
  </si>
  <si>
    <t>perm_tds</t>
  </si>
  <si>
    <t>Concentrate osmotic pressure</t>
  </si>
  <si>
    <t>pi_conc</t>
  </si>
  <si>
    <t>Permeate osmotic pressure</t>
  </si>
  <si>
    <t>pi_perm</t>
  </si>
  <si>
    <t>Average brine osmotic pressure</t>
  </si>
  <si>
    <t>pi_avg</t>
  </si>
  <si>
    <t>Osmotic pressure difference</t>
  </si>
  <si>
    <t>pi_avg_diff</t>
  </si>
  <si>
    <t xml:space="preserve">Include land costs? </t>
  </si>
  <si>
    <t>include_land</t>
  </si>
  <si>
    <t>htank_vol</t>
  </si>
  <si>
    <t>c_perm_flow_out</t>
  </si>
  <si>
    <t>CURR perm_flow_out + PREV c_perm_flow_out:CURR perm_flow_out</t>
  </si>
  <si>
    <t>16-18" membrane element weight (for disposal cost)</t>
  </si>
  <si>
    <t>8" membrane element weight (for disposal cost)</t>
  </si>
  <si>
    <t>max_ep_cell_area</t>
  </si>
  <si>
    <t>Dry Feeders for Holding Tank Coagulant</t>
  </si>
  <si>
    <t>Immersion Heaters for Cleaning Tanks</t>
  </si>
  <si>
    <t>PLC Units</t>
  </si>
  <si>
    <t>PLC racks/power supplies</t>
  </si>
  <si>
    <t>System Controls - PLC Units - PLC racks/power supplies</t>
  </si>
  <si>
    <t>CPUs</t>
  </si>
  <si>
    <t>System Controls - PLC Units - CPUs</t>
  </si>
  <si>
    <t>I/O discrete input modules</t>
  </si>
  <si>
    <t>System Controls - PLC Units - I/O discrete input modules</t>
  </si>
  <si>
    <t>I/O discrete output modules</t>
  </si>
  <si>
    <t>System Controls - PLC Units - I/O discrete output modules</t>
  </si>
  <si>
    <t>I/O combination analog modules</t>
  </si>
  <si>
    <t>System Controls - PLC Units - I/O combination analog modules</t>
  </si>
  <si>
    <t>Ethernet modules</t>
  </si>
  <si>
    <t>System Controls - PLC Units - Ethernet modules</t>
  </si>
  <si>
    <t>Base expansion modules</t>
  </si>
  <si>
    <t>System Controls - PLC Units - Base expansion modules</t>
  </si>
  <si>
    <t>Base expansion controller modules</t>
  </si>
  <si>
    <t>System Controls - PLC Units - Base expansion controller modules</t>
  </si>
  <si>
    <t>UPSs</t>
  </si>
  <si>
    <t>System Controls - PLC Units - UPSs</t>
  </si>
  <si>
    <t>Operator Equipment</t>
  </si>
  <si>
    <t>Drive controllers</t>
  </si>
  <si>
    <t>Temperature correction to A</t>
  </si>
  <si>
    <t>A_temp_corr</t>
  </si>
  <si>
    <t>Pressure correction to A</t>
  </si>
  <si>
    <t>A_press_corr</t>
  </si>
  <si>
    <t>fm_clean</t>
  </si>
  <si>
    <t>pH_controls_acid</t>
  </si>
  <si>
    <t>pH meters per acid pretreatment pump</t>
  </si>
  <si>
    <t>Level switch/alarms per cleaning makeup tank</t>
  </si>
  <si>
    <t>level_switch_clean_tank</t>
  </si>
  <si>
    <t>chem_alarm_cst</t>
  </si>
  <si>
    <t>High/Low alarms per pretreatment chemical tank</t>
  </si>
  <si>
    <t>based on feed conditions and applied pressure guess</t>
  </si>
  <si>
    <t>B/A</t>
  </si>
  <si>
    <t>B_over_A_guess</t>
  </si>
  <si>
    <t>these are terms in the quadratic solution for P_net</t>
  </si>
  <si>
    <t>Determinant</t>
  </si>
  <si>
    <t>P_net_guess_det</t>
  </si>
  <si>
    <t>atm^2</t>
  </si>
  <si>
    <t>Fixed term</t>
  </si>
  <si>
    <t>P_net_guess_fixed</t>
  </si>
  <si>
    <t>First guess for NDP</t>
  </si>
  <si>
    <t>P_net_firstguess</t>
  </si>
  <si>
    <t>5.1.1</t>
  </si>
  <si>
    <t>5.2.1</t>
  </si>
  <si>
    <t>Cleaning Chemical Storage Tanks</t>
  </si>
  <si>
    <t>Chemical Feed and Transfer Equipment</t>
  </si>
  <si>
    <t>Screens and Filters</t>
  </si>
  <si>
    <t>Cartridge Filters for Feed</t>
  </si>
  <si>
    <t>Cleaning - Security Screens</t>
  </si>
  <si>
    <t>Cleaning - Cartridge Filters</t>
  </si>
  <si>
    <t>Instrumentation</t>
  </si>
  <si>
    <t>Heaters</t>
  </si>
  <si>
    <t>Solids Drying Pad</t>
  </si>
  <si>
    <t>Solids drying pad</t>
  </si>
  <si>
    <t>Motor/Air Operated (on/off)</t>
  </si>
  <si>
    <t>Feed Piping</t>
  </si>
  <si>
    <t>Permeate Piping</t>
  </si>
  <si>
    <t>Bypass Piping</t>
  </si>
  <si>
    <t>Pretreatment acid - Stainless Steel</t>
  </si>
  <si>
    <t>Antiscalant - Polypropylene/PVC</t>
  </si>
  <si>
    <t>Antiscalant - Stainless Steel</t>
  </si>
  <si>
    <t>water_index</t>
  </si>
  <si>
    <t>Total cleaning system footprint</t>
  </si>
  <si>
    <t>clean_fp</t>
  </si>
  <si>
    <t>Total residuals footprint</t>
  </si>
  <si>
    <t>res_fp</t>
  </si>
  <si>
    <t>Total pretreatment footprint</t>
  </si>
  <si>
    <t>pretreat_fp</t>
  </si>
  <si>
    <t>Number of buildings</t>
  </si>
  <si>
    <t>num_buildings</t>
  </si>
  <si>
    <t>Total booster pump footprint</t>
  </si>
  <si>
    <t>boost_pump_fp</t>
  </si>
  <si>
    <t>Building 2 contains membrane, cleaning, and residuals equipment (2 buildings), or pretreatment equipment and chemical storage (3 buildings)</t>
  </si>
  <si>
    <t>Building 3 contains membrane, cleaning, and residuals equipment (3 buildings)</t>
  </si>
  <si>
    <t>Concrete for pumps</t>
  </si>
  <si>
    <t>concrete_pumps</t>
  </si>
  <si>
    <t>Access space per cleaning solution makeup tank</t>
  </si>
  <si>
    <t>carbon_feed_mol</t>
  </si>
  <si>
    <t>HCO3 in treated feed, meq/l</t>
  </si>
  <si>
    <t>CO3 in treated feed, meq/l</t>
  </si>
  <si>
    <t>CO2 in treated feed, meq/l</t>
  </si>
  <si>
    <t>frac_HCO3_tfeed</t>
  </si>
  <si>
    <t>frac_CO3_tfeed</t>
  </si>
  <si>
    <t>frac_CO2_tfeed</t>
  </si>
  <si>
    <t>H_tfeed</t>
  </si>
  <si>
    <t>HCO3_tfeed_meq</t>
  </si>
  <si>
    <t>CO3_tfeed_meq</t>
  </si>
  <si>
    <t>CO2_tfeed_meq</t>
  </si>
  <si>
    <t>Cl_delta_tfeed</t>
  </si>
  <si>
    <t>SO4_delta_tfeed</t>
  </si>
  <si>
    <t>Cl addition for treated feed, meq/l</t>
  </si>
  <si>
    <t>SO4 addition for treated feed, meq/l</t>
  </si>
  <si>
    <t>Cl addition for treated feed, mg/l</t>
  </si>
  <si>
    <t>SO4 addition for treated feed, mg/l</t>
  </si>
  <si>
    <t>Cl_delta_tfeed_ppm</t>
  </si>
  <si>
    <t>ptfe_imm_htr_eq</t>
  </si>
  <si>
    <t>Teflon Immersion Heaters for Cleaning Tanks</t>
  </si>
  <si>
    <t>Type</t>
  </si>
  <si>
    <t>size</t>
  </si>
  <si>
    <t>Nanofiltration</t>
  </si>
  <si>
    <t>Low Pressure RO</t>
  </si>
  <si>
    <t>Indirect cost multiplier</t>
  </si>
  <si>
    <t>Indirect costs added</t>
  </si>
  <si>
    <t>Subtotal indirect and add-on cost</t>
  </si>
  <si>
    <t>TOTAL CAPITAL COST DETAILS</t>
  </si>
  <si>
    <t>Alarm (including level switch/alarms, high/low alarms, low alarms)</t>
  </si>
  <si>
    <t>alarm</t>
  </si>
  <si>
    <t>Cost table for influent pumps</t>
  </si>
  <si>
    <t>According to the pump head, determines which cost table or equation we will use for influent pumps.</t>
  </si>
  <si>
    <t>Cost table for stage 2 booster pumps</t>
  </si>
  <si>
    <t>According to the pump head, determines which cost table or equation we will use for booster pumps.</t>
  </si>
  <si>
    <t>Cost table for stage 3 booster pumps</t>
  </si>
  <si>
    <t>Maximum influent pump size, RO to 250 psi</t>
  </si>
  <si>
    <t>max_pump_size_ro250</t>
  </si>
  <si>
    <t>Maximum influent pump size, RO to 500 psi</t>
  </si>
  <si>
    <t>Maximum LSI with antiscalant</t>
  </si>
  <si>
    <t>max_lsi_antiscalant</t>
  </si>
  <si>
    <t>chem_alarm_pre</t>
  </si>
  <si>
    <t>Rule of thumb, 2 to 2.3.  "RO and NF Design - Computer Modeling" workshop, AWWA ACE 2006</t>
  </si>
  <si>
    <t>Rule of thumb.  "RO and NF Design - Computer Modeling" workshop, AWWA ACE 2006</t>
  </si>
  <si>
    <t>Rule of thumb, 120 to 180 mg/L.  "RO and NF Design - Computer Modeling" workshop, AWWA ACE 2006</t>
  </si>
  <si>
    <t>Rule of thumb: 15 mg/L antiscalant in the concentrate (Ian Watson).</t>
  </si>
  <si>
    <t>mg/L in concentrate</t>
  </si>
  <si>
    <t>Antiscalant dose in feed</t>
  </si>
  <si>
    <t>anti_dose_conc</t>
  </si>
  <si>
    <t>Based on target dose in concentrate (adjustable in CDA module) and target recovery, assuming all antiscalant ends up in the concentrate.</t>
  </si>
  <si>
    <t>Ion strength correction for pK1 and pK2</t>
  </si>
  <si>
    <t>feed_pK_corr</t>
  </si>
  <si>
    <t>Feed concentrations, ppm, balanced, before acid addition</t>
  </si>
  <si>
    <t>feed_ppm_bal</t>
  </si>
  <si>
    <t>Saturation indices for untreated feed</t>
  </si>
  <si>
    <t>Langelier Saturation Index (CaCO3)</t>
  </si>
  <si>
    <t>[OH-] in untreated feed</t>
  </si>
  <si>
    <t>feed_OHminus</t>
  </si>
  <si>
    <t>Ion strength correction for HCO3</t>
  </si>
  <si>
    <t>feed_hco3_corr</t>
  </si>
  <si>
    <t>simplex_screens</t>
  </si>
  <si>
    <t>Impeller Mixers</t>
  </si>
  <si>
    <t>imp_mix_eq</t>
  </si>
  <si>
    <t>Valid inputs:</t>
  </si>
  <si>
    <t>Details</t>
  </si>
  <si>
    <t>Maximum influent pump size, RO to 350 psi</t>
  </si>
  <si>
    <t>transfer_time</t>
  </si>
  <si>
    <t>hrs</t>
  </si>
  <si>
    <t>Adjust Stage 3 if no adjustment so far?</t>
  </si>
  <si>
    <t>stg3_adjust_3</t>
  </si>
  <si>
    <t>stg2_newP_fix3</t>
  </si>
  <si>
    <t>stg2_newP_fix3_OK</t>
  </si>
  <si>
    <t>stg2_adjust_3</t>
  </si>
  <si>
    <t>pressure_error_stg3</t>
  </si>
  <si>
    <t>Adjustments for overall permeate flow</t>
  </si>
  <si>
    <t>Tolerance for permeate flow difference</t>
  </si>
  <si>
    <t>perm_flow_tol</t>
  </si>
  <si>
    <t>Resulting permeate flow</t>
  </si>
  <si>
    <t>Qperm_result</t>
  </si>
  <si>
    <t>Absolute difference from target flow</t>
  </si>
  <si>
    <t>Qperm_diff</t>
  </si>
  <si>
    <t>Percentage difference from target flow</t>
  </si>
  <si>
    <t>Qperm_pctdiff</t>
  </si>
  <si>
    <t>Is permeate flow equal to target, within tolerance?</t>
  </si>
  <si>
    <t>perm_flow_ok</t>
  </si>
  <si>
    <t>Estimated average flow per first-stage vessel</t>
  </si>
  <si>
    <t>Qavg_1_guess</t>
  </si>
  <si>
    <t>Estimated permeate flow per first-stage vessel</t>
  </si>
  <si>
    <t>Qperm_1_guess</t>
  </si>
  <si>
    <t>Estimated concentrate flow from first stage</t>
  </si>
  <si>
    <t>Qconc_1_total_guess</t>
  </si>
  <si>
    <t>Target number of second-stage vessels</t>
  </si>
  <si>
    <t>nves_2_targ</t>
  </si>
  <si>
    <t>Minimum number of second-stage vessels</t>
  </si>
  <si>
    <t>nves_2_min</t>
  </si>
  <si>
    <t>Maximum number of second-stage vessels</t>
  </si>
  <si>
    <t>nves_2_max</t>
  </si>
  <si>
    <t>Number of second-stage vessels</t>
  </si>
  <si>
    <t>nves_2</t>
  </si>
  <si>
    <t>Estimated feed flow per second-stage vessel</t>
  </si>
  <si>
    <t>Qfeed_2_guess</t>
  </si>
  <si>
    <t>cart_disp_wt</t>
  </si>
  <si>
    <t>Spent Membrane Elements</t>
  </si>
  <si>
    <t>anti_tank_size</t>
  </si>
  <si>
    <t>Safety factor for pumps</t>
  </si>
  <si>
    <t>pump_safety_factor</t>
  </si>
  <si>
    <t>Acid metering pump rating</t>
  </si>
  <si>
    <t>workstation_ratio</t>
  </si>
  <si>
    <t>operator/workstation</t>
  </si>
  <si>
    <t>Minimum will always be one, but larger systems will have multiple workstations to control the system</t>
  </si>
  <si>
    <t>Number of shifts</t>
  </si>
  <si>
    <t>shifts_day</t>
  </si>
  <si>
    <t>shifts/day</t>
  </si>
  <si>
    <t>Target for systems using mechanical transfer.  For systems with manual transfer, calcuated based on solids volume.</t>
  </si>
  <si>
    <t>Time to empty solids from holding tank/basin</t>
  </si>
  <si>
    <t>Transfer rate required</t>
  </si>
  <si>
    <t>res_transfer_rate</t>
  </si>
  <si>
    <t>Transfer rate in gallons</t>
  </si>
  <si>
    <t>res_transfer_rate_gal</t>
  </si>
  <si>
    <t>Number of slurry pump systems</t>
  </si>
  <si>
    <t>res_slurry_pumps</t>
  </si>
  <si>
    <t>Number of eductors</t>
  </si>
  <si>
    <t>res_eductors</t>
  </si>
  <si>
    <t>Effective transfer rate</t>
  </si>
  <si>
    <t>res_eff_transfer_rate</t>
  </si>
  <si>
    <t>Eductor size</t>
  </si>
  <si>
    <t>res_eductor_size</t>
  </si>
  <si>
    <t>lbs/hr</t>
  </si>
  <si>
    <t>Solids transfer equipment</t>
  </si>
  <si>
    <t>If slurry pumps are used</t>
  </si>
  <si>
    <t>cpvc_pipe_eq_feed</t>
  </si>
  <si>
    <t>pvc_pipe_eq_feed</t>
  </si>
  <si>
    <t>ss_pipe_eq_feed</t>
  </si>
  <si>
    <t>st_pipe_eq_feed</t>
  </si>
  <si>
    <t>cpvc_pipe_eq_perm</t>
  </si>
  <si>
    <t>pvc_pipe_eq_perm</t>
  </si>
  <si>
    <t>ss_pipe_eq_perm</t>
  </si>
  <si>
    <t>cpvc_pipe_eq_bp</t>
  </si>
  <si>
    <t>pvc_pipe_eq_bp</t>
  </si>
  <si>
    <t>ss_pipe_eq_bp</t>
  </si>
  <si>
    <t>st_pipe_eq_bp</t>
  </si>
  <si>
    <t>Cleaning System Piping</t>
  </si>
  <si>
    <t>cpvc_pipe_eq_clean</t>
  </si>
  <si>
    <t>pvc_pipe_eq_clean</t>
  </si>
  <si>
    <t>ss_pipe_eq_clean</t>
  </si>
  <si>
    <t>pp_mov_eq_acid</t>
  </si>
  <si>
    <t>ss_mov_eq_acid</t>
  </si>
  <si>
    <t>pp_mov_eq_anti</t>
  </si>
  <si>
    <t>ss_mov_eq_anti</t>
  </si>
  <si>
    <t>pp_mov_eq_feed</t>
  </si>
  <si>
    <t>ss_mov_eq_feed</t>
  </si>
  <si>
    <t>ci_mov_eq_feed</t>
  </si>
  <si>
    <t>pp_mov_eq_b2</t>
  </si>
  <si>
    <t>ss_mov_eq_b2</t>
  </si>
  <si>
    <t>pp_mov_eq_b3</t>
  </si>
  <si>
    <t>ss_mov_eq_b3</t>
  </si>
  <si>
    <t>pp_mov_eq_pt1</t>
  </si>
  <si>
    <t>ss_mov_eq_pt1</t>
  </si>
  <si>
    <t>pp_mov_eq_pt2</t>
  </si>
  <si>
    <t>ss_mov_eq_pt2</t>
  </si>
  <si>
    <t>pp_mov_eq_pt3</t>
  </si>
  <si>
    <t>ss_mov_eq_pt3</t>
  </si>
  <si>
    <t>pp_mov_eq_clean</t>
  </si>
  <si>
    <t>ss_mov_eq_clean</t>
  </si>
  <si>
    <t>pp_mov_eq_bp</t>
  </si>
  <si>
    <t>ss_mov_eq_bp</t>
  </si>
  <si>
    <t>ci_mov_eq_bp</t>
  </si>
  <si>
    <t>Stage 2 boost - Cast Iron</t>
  </si>
  <si>
    <t>Stage 3 boost - Cast Iron</t>
  </si>
  <si>
    <t>ci_mov_eq_b2</t>
  </si>
  <si>
    <t>ci_mov_eq_b3</t>
  </si>
  <si>
    <t>pp_man_eq_acid</t>
  </si>
  <si>
    <t>ss_man_eq_acid</t>
  </si>
  <si>
    <t>pp_man_eq_anti</t>
  </si>
  <si>
    <t>ss_man_eq_anti</t>
  </si>
  <si>
    <t>pp_man_eq_feed</t>
  </si>
  <si>
    <t>ss_man_eq_feed</t>
  </si>
  <si>
    <t>pp_man_eq_b2</t>
  </si>
  <si>
    <t>ss_man_eq_b2</t>
  </si>
  <si>
    <t>pp_man_eq_b3</t>
  </si>
  <si>
    <t>ss_man_eq_b3</t>
  </si>
  <si>
    <t>pp_man_eq_pt1</t>
  </si>
  <si>
    <t>ss_man_eq_pt1</t>
  </si>
  <si>
    <t>pp_man_eq_pt2</t>
  </si>
  <si>
    <t>ss_man_eq_pt2</t>
  </si>
  <si>
    <t>pp_man_eq_pt3</t>
  </si>
  <si>
    <t>ss_man_eq_pt3</t>
  </si>
  <si>
    <t>pp_man_eq_clean</t>
  </si>
  <si>
    <t>ss_man_eq_clean</t>
  </si>
  <si>
    <t>pp_man_eq_bp</t>
  </si>
  <si>
    <t>ss_man_eq_bp</t>
  </si>
  <si>
    <t>pp_man_eq_res</t>
  </si>
  <si>
    <t>ss_man_eq_res</t>
  </si>
  <si>
    <t>pp_man_eq</t>
  </si>
  <si>
    <t>ss_man_eq</t>
  </si>
  <si>
    <t>ci_bfv_eq</t>
  </si>
  <si>
    <t>ci_bfv_eq_feed</t>
  </si>
  <si>
    <t>ci_bfv_eq_b2</t>
  </si>
  <si>
    <t>ci_bfv_eq_b3</t>
  </si>
  <si>
    <t>ci_bfv_eq_bp</t>
  </si>
  <si>
    <t>ci_bfv_eq_res</t>
  </si>
  <si>
    <t>pp_chv_eq_in</t>
  </si>
  <si>
    <t>ss_chv_eq_in</t>
  </si>
  <si>
    <t>ci_chv_eq_in</t>
  </si>
  <si>
    <t>We use simplex screens if the high-circulation flow rate will allow.</t>
  </si>
  <si>
    <t>Total number of security screens</t>
  </si>
  <si>
    <t>total_sec_screens</t>
  </si>
  <si>
    <t>total_clean_cart_filters</t>
  </si>
  <si>
    <t>Number of operating cartridge filters per system</t>
  </si>
  <si>
    <t>op_cart_filters</t>
  </si>
  <si>
    <t>Cartridge filter flow</t>
  </si>
  <si>
    <t>Security screen flow</t>
  </si>
  <si>
    <t>sec_screen_flow</t>
  </si>
  <si>
    <t>clean_cart_filter_flow</t>
  </si>
  <si>
    <t>mgd</t>
  </si>
  <si>
    <t>Simplex Basket Screens</t>
  </si>
  <si>
    <t>Automatic Self-Cleaning Screens</t>
  </si>
  <si>
    <t>Security Screens for Cleaning</t>
  </si>
  <si>
    <t>Cartridge Filters for Cleaning</t>
  </si>
  <si>
    <t>simplex_clean_screen_eq</t>
  </si>
  <si>
    <t>clean_caustic_store_tanks</t>
  </si>
  <si>
    <t>clean_caustic_store_tank_size</t>
  </si>
  <si>
    <t>Caustic tank volume</t>
  </si>
  <si>
    <t>NaOH_store_gal</t>
  </si>
  <si>
    <t>Acid storage - Fiberglass</t>
  </si>
  <si>
    <t>Caustic storage - Fiberglass</t>
  </si>
  <si>
    <t>pl_clncst_eq_acid</t>
  </si>
  <si>
    <t>fg_clncst_eq_acid</t>
  </si>
  <si>
    <t>fg_clncst_eq_caustic</t>
  </si>
  <si>
    <t>pl_clncst_eq_caustic</t>
  </si>
  <si>
    <t>Acid storage tank diameter</t>
  </si>
  <si>
    <t>Access space per cleaning acid storage tank</t>
  </si>
  <si>
    <t>space_clncst_acid</t>
  </si>
  <si>
    <t>acid_clncst_diam</t>
  </si>
  <si>
    <t>Access space per cleaning caustic storage tank</t>
  </si>
  <si>
    <t>caustic_clncst_diam</t>
  </si>
  <si>
    <t>space_clncst_caustic</t>
  </si>
  <si>
    <t>Caustic storage tank diameter</t>
  </si>
  <si>
    <t>Height is twice diameter, up to a maximum of the ceiling height minus clearance; after height reaches that maximum we increase diameter only</t>
  </si>
  <si>
    <t>Tolerance for per-stage flux above target</t>
  </si>
  <si>
    <t>Tolerance for per-stage flux below target</t>
  </si>
  <si>
    <t>Stage 2 throttle - Polypropylene/PVC</t>
  </si>
  <si>
    <t>Stage 2 throttle - Stainless Steel</t>
  </si>
  <si>
    <t>Stage 3 throttle - Polypropylene/PVC</t>
  </si>
  <si>
    <t>Stage 3 throttle - Stainless Steel</t>
  </si>
  <si>
    <t>Cleaning - Polypropylene/PVC</t>
  </si>
  <si>
    <t>Cleaning - Stainless Steel</t>
  </si>
  <si>
    <t>Residuals - Polypropylene/PVC</t>
  </si>
  <si>
    <t>Residuals - Stainless Steel</t>
  </si>
  <si>
    <t>Residuals - Cast Iron</t>
  </si>
  <si>
    <t>Bypass - Polypropylene/PVC</t>
  </si>
  <si>
    <t>Bypass - Stainless Steel</t>
  </si>
  <si>
    <t>average pressure in element, based on deltaP guess</t>
  </si>
  <si>
    <t>Guess for net driving pressure, based on feed</t>
  </si>
  <si>
    <t>P_net_feed_guess</t>
  </si>
  <si>
    <t>Cl</t>
  </si>
  <si>
    <t>Materials for pretreatment</t>
  </si>
  <si>
    <t>Cartridge filter replacement</t>
  </si>
  <si>
    <t>/filter</t>
  </si>
  <si>
    <t xml:space="preserve">For Harmsco Hurricane filters, model HUR-90 (smaller): shipping weight 7 lb, assuming water fills 25% of the volume when they're thrown away, water weight is 9 lb, total weight at disposal is 16 lb.  Model HUR-170 (larger): shipping weight 10 lb, assuming water fills 25% of the volume when they're thrown away, water weight is 14 lb, total weight at disposal is 24 lb.
</t>
  </si>
  <si>
    <t>Equation Name</t>
  </si>
  <si>
    <t>Result</t>
  </si>
  <si>
    <t>Variable</t>
  </si>
  <si>
    <t>Equation Lookup Name</t>
  </si>
  <si>
    <t>no equation</t>
  </si>
  <si>
    <t>pump_eq</t>
  </si>
  <si>
    <t>based only on feed flow</t>
  </si>
  <si>
    <t>Average applied pressure, P_0</t>
  </si>
  <si>
    <t>P_avg_applied_guess</t>
  </si>
  <si>
    <t>Maximum feed flow based on pressure drop</t>
  </si>
  <si>
    <t>max_feed_flow_dP_el</t>
  </si>
  <si>
    <t>Maximum feed flow per vessel pressure drop</t>
  </si>
  <si>
    <t>Maximum pressure drop in vessel</t>
  </si>
  <si>
    <t>max_vessel_dP</t>
  </si>
  <si>
    <t>Maximum average flow in vessel, based on pressure drop</t>
  </si>
  <si>
    <t>max_vessel_Qavg</t>
  </si>
  <si>
    <t>Maximum feed flow in vessel, based on pressure drop</t>
  </si>
  <si>
    <t>max_feed_flow_dP_ves</t>
  </si>
  <si>
    <t>Per minimum concentrate flow specification</t>
  </si>
  <si>
    <t>Minimum concentrate flow per element specification</t>
  </si>
  <si>
    <t>min_conc_flow_spec</t>
  </si>
  <si>
    <t>Minimum feed flow, for average recovery per vessel</t>
  </si>
  <si>
    <t>min_feed_flow_conc</t>
  </si>
  <si>
    <t>All constraints</t>
  </si>
  <si>
    <t>Maximum feed flow per vessel</t>
  </si>
  <si>
    <t>max_feed_flow</t>
  </si>
  <si>
    <t>Minimum feed flow per vessel</t>
  </si>
  <si>
    <t>min_feed_flow</t>
  </si>
  <si>
    <t>Train assembly</t>
  </si>
  <si>
    <t>Target number of first-stage vessels</t>
  </si>
  <si>
    <t>nves_1_targ</t>
  </si>
  <si>
    <t>Minimum number of first-stage vessels</t>
  </si>
  <si>
    <t>nves_1_min</t>
  </si>
  <si>
    <t>Maximum number of first-stage vessels</t>
  </si>
  <si>
    <t>nves_1_max</t>
  </si>
  <si>
    <t>nves_1</t>
  </si>
  <si>
    <t>Materials for membrane process</t>
  </si>
  <si>
    <t>element/yr</t>
  </si>
  <si>
    <t>Materials for cleaning</t>
  </si>
  <si>
    <t>Recovery</t>
  </si>
  <si>
    <t>Miscellaneous Allowance</t>
  </si>
  <si>
    <t>max_space_vessels</t>
  </si>
  <si>
    <t>Maximum access space per tank</t>
  </si>
  <si>
    <t>Access space per acid tank</t>
  </si>
  <si>
    <t>space_at</t>
  </si>
  <si>
    <t>space_anti</t>
  </si>
  <si>
    <t>Access space per antiscalant tank</t>
  </si>
  <si>
    <t>space_ct</t>
  </si>
  <si>
    <t>at salinity specified below</t>
  </si>
  <si>
    <t>at high salinity</t>
  </si>
  <si>
    <t>corresponds to minimum B, above</t>
  </si>
  <si>
    <t>Minimum bicarbonate value is 0.01 ppm to avoid division by zero</t>
  </si>
  <si>
    <t>Loaded from the feed water table. CO3 and CO2 are computed later.</t>
  </si>
  <si>
    <t>CO3 and CO2 are computed farther down in the sheet.</t>
  </si>
  <si>
    <t>Bypass - Cast Iron</t>
  </si>
  <si>
    <t>Tanks, Basins, and Lagoons</t>
  </si>
  <si>
    <t>Check Valves</t>
  </si>
  <si>
    <t>Pretreatment acid - Polypropylene/PVC</t>
  </si>
  <si>
    <t>Valves</t>
  </si>
  <si>
    <t>Acid Metering Pumps for Pretreatment</t>
  </si>
  <si>
    <t>Antiscalant Metering Pumps for Pretreatment</t>
  </si>
  <si>
    <t>PVC - Motor Driven</t>
  </si>
  <si>
    <t>PVC - Electric</t>
  </si>
  <si>
    <t>Stainless Steel - Motor Driven</t>
  </si>
  <si>
    <t>Stainless Steel - Electric</t>
  </si>
  <si>
    <t>which is used for the first element in a stage. The two versions are separated by a colon.</t>
  </si>
  <si>
    <t>B correction coeff for temperature</t>
  </si>
  <si>
    <t>element_B_T_coeff</t>
  </si>
  <si>
    <t>Salinity for minimum B</t>
  </si>
  <si>
    <t>element_sal_min_B</t>
  </si>
  <si>
    <t>Minimum trench depth to top of pipe</t>
  </si>
  <si>
    <t>min_trench_depth</t>
  </si>
  <si>
    <t>Test pit depth</t>
  </si>
  <si>
    <t>pit_depth</t>
  </si>
  <si>
    <t>Borehole depth</t>
  </si>
  <si>
    <t>bore_depth</t>
  </si>
  <si>
    <t>Technology footprint above which boreholes are needed</t>
  </si>
  <si>
    <t>bore_need</t>
  </si>
  <si>
    <t>Minimum number of boreholes</t>
  </si>
  <si>
    <t>min_holes</t>
  </si>
  <si>
    <t>Borehole needed every x square feet</t>
  </si>
  <si>
    <t>hole_per_sf</t>
  </si>
  <si>
    <t>Building 2</t>
  </si>
  <si>
    <t>Building 3</t>
  </si>
  <si>
    <t>Include heating for building 1</t>
  </si>
  <si>
    <t>air changes/hr</t>
  </si>
  <si>
    <t>Ventilation air change rate for pump room</t>
  </si>
  <si>
    <t>Air_changes_pump</t>
  </si>
  <si>
    <t>LSI implementation from TFSP, PerLorica, Inc.</t>
  </si>
  <si>
    <t>Saturation dependence on temperature and pH from ASTM D4993; method and fit parameters from TFSP, PerLorica, Inc.</t>
  </si>
  <si>
    <t>Ksp dependence on ion strength from ASTM D4692, Figure 1; method and fit parameters from TFSP, PerLorica, Inc.</t>
  </si>
  <si>
    <t>ln(K2/K1) is equal to this factor; based on enthalpy of 4.69 kcal</t>
  </si>
  <si>
    <t>Data from PHREEQC; method from TFSP, PerLorica, Inc.</t>
  </si>
  <si>
    <t>Saturation indices for treated feed</t>
  </si>
  <si>
    <t>Treated feed ion strength</t>
  </si>
  <si>
    <t>tfeed_ion_strength</t>
  </si>
  <si>
    <t>tfeed_pK_corr</t>
  </si>
  <si>
    <t>pK1_tfeed</t>
  </si>
  <si>
    <t>pK2_tfeed</t>
  </si>
  <si>
    <t>[OH-] in treated feed</t>
  </si>
  <si>
    <t>tfeed_OHminus</t>
  </si>
  <si>
    <t>tfeed_hco3_corr</t>
  </si>
  <si>
    <t>tfeed_co3_corr</t>
  </si>
  <si>
    <t>[Alk] of treated feed</t>
  </si>
  <si>
    <t>tfeed_alkalinity</t>
  </si>
  <si>
    <t>pAlk of treated feed</t>
  </si>
  <si>
    <t>tfeed_pAlk</t>
  </si>
  <si>
    <t>[Ca] of treated feed</t>
  </si>
  <si>
    <t>tfeed_Ca</t>
  </si>
  <si>
    <t>pCa of treated feed</t>
  </si>
  <si>
    <t>tfeed_pCa</t>
  </si>
  <si>
    <t>pH_s of treated feed</t>
  </si>
  <si>
    <t>tfeed_pH_s</t>
  </si>
  <si>
    <t>LSI of treated feed</t>
  </si>
  <si>
    <t>tfeed_LSI</t>
  </si>
  <si>
    <t>tfeed_sio2_sat_corr</t>
  </si>
  <si>
    <t>tfeed_sio2_sat</t>
  </si>
  <si>
    <t>tfeed_sio2_sat_pct</t>
  </si>
  <si>
    <t>tfeed_caso4_ksp</t>
  </si>
  <si>
    <t>tfeed_caso4_ip</t>
  </si>
  <si>
    <t>tfeed_caso4_sat_pct</t>
  </si>
  <si>
    <t>tfeed_ca_corr</t>
  </si>
  <si>
    <t>tfeed_f_corr</t>
  </si>
  <si>
    <t>tfeed_ca_molL</t>
  </si>
  <si>
    <t>tfeed_f_molL</t>
  </si>
  <si>
    <t>tfeed_caf2_ip</t>
  </si>
  <si>
    <t>tfeed_caf2_sat_pct</t>
  </si>
  <si>
    <t>Method from TFSP, PerLorica, Inc.</t>
  </si>
  <si>
    <t>Concentrate CaSO4 saturation</t>
  </si>
  <si>
    <t>Miscellaneous allowance percentage</t>
  </si>
  <si>
    <t>misc_pct</t>
  </si>
  <si>
    <t>Legal percentage</t>
  </si>
  <si>
    <t>legal_pct</t>
  </si>
  <si>
    <t>min_cart</t>
  </si>
  <si>
    <t>Minimum number of cartridge filters above 1 MGD</t>
  </si>
  <si>
    <t>For small systems (&lt;1 MGD), this limit is ignored.</t>
  </si>
  <si>
    <t>Maximum flow per cartridge filter</t>
  </si>
  <si>
    <t>For SDI &lt; 5, average flux target is 12-16 gfd (surface supply). Dow Liquid Separations, Filmtec RO Membranes Technical Manual, January 2004. GE design guidelines suggest 12 gfd for surface water.</t>
  </si>
  <si>
    <t>Flux guidance</t>
  </si>
  <si>
    <t>Used only for guidance on the input sheet.</t>
  </si>
  <si>
    <t>Min flux for this SDI</t>
  </si>
  <si>
    <t>Max flux for this SDI</t>
  </si>
  <si>
    <t>flux_min</t>
  </si>
  <si>
    <t>flux_max</t>
  </si>
  <si>
    <t>Feed SDI:</t>
  </si>
  <si>
    <t>Untreated feed pH:</t>
  </si>
  <si>
    <t>workstations</t>
  </si>
  <si>
    <t>Number of printers</t>
  </si>
  <si>
    <t>printers</t>
  </si>
  <si>
    <t>blank = low cost, 1 = mid cost, 2 = high cost</t>
  </si>
  <si>
    <t>Motor/air operated on residuals line per evaporation pond cell</t>
  </si>
  <si>
    <t>Printers - laser jet</t>
  </si>
  <si>
    <t>System Controls - Operator Equipment - Printers - laser jet</t>
  </si>
  <si>
    <t>Operator interface software</t>
  </si>
  <si>
    <t>System Controls - Controls Software - Operator interface software</t>
  </si>
  <si>
    <t>PLC programming software</t>
  </si>
  <si>
    <t>TDS at 180 C</t>
  </si>
  <si>
    <t>Buildup error?</t>
  </si>
  <si>
    <t>Element 1</t>
  </si>
  <si>
    <t>Element 2</t>
  </si>
  <si>
    <t>Element 3</t>
  </si>
  <si>
    <t>Element 4</t>
  </si>
  <si>
    <t>Motor/air operated on pretreatment line per antiscalant metering pump</t>
  </si>
  <si>
    <t>Motor/air operated on feed line per cartridge filter</t>
  </si>
  <si>
    <t>Motor/air operated on feed line per feed pump</t>
  </si>
  <si>
    <t>Motor/air operated on feed line per interstage booster pump</t>
  </si>
  <si>
    <t>Motor/air operated on cleaning line per makeup tank</t>
  </si>
  <si>
    <t>Motor/air operated on cleaning line per cleaning pump</t>
  </si>
  <si>
    <t>Motor/air operated on residuals line per holding tank</t>
  </si>
  <si>
    <t>pre_MOV_acid</t>
  </si>
  <si>
    <t>pre_MOV_anti</t>
  </si>
  <si>
    <t>feed_MOV_filter</t>
  </si>
  <si>
    <t>feed_MOV_fpump</t>
  </si>
  <si>
    <t>feed_MOV_bpump</t>
  </si>
  <si>
    <t>perm_MOV_throt</t>
  </si>
  <si>
    <t>Manual on pretreatment line per acid metering pump</t>
  </si>
  <si>
    <t>Manual on pretreatment line per antiscalant metering pump</t>
  </si>
  <si>
    <t>Manual on feed line per cartridge filter</t>
  </si>
  <si>
    <t>Manual on feed line per feed pump</t>
  </si>
  <si>
    <t>Manual on feed line per interstage booster pump</t>
  </si>
  <si>
    <t>B_diff</t>
  </si>
  <si>
    <t>B_pctdiff</t>
  </si>
  <si>
    <t>element_B_next</t>
  </si>
  <si>
    <t>See the note on element_A_next.</t>
  </si>
  <si>
    <t>rule of thumb from Cole Parmer; assume solution starts at feed temperature (converted to Fahrenheit)</t>
  </si>
  <si>
    <t>Number of tanks, all cleaning systems</t>
  </si>
  <si>
    <t>By default, no redundancy for heaters</t>
  </si>
  <si>
    <t>Residuals tank diameter</t>
  </si>
  <si>
    <t>ht_diam</t>
  </si>
  <si>
    <t>Bypass pump rating for sizing</t>
  </si>
  <si>
    <t>bp_pump_rating_sizing</t>
  </si>
  <si>
    <t>Used only to determine the number of bypass pumps.</t>
  </si>
  <si>
    <t>Average Bypass Flow Rate</t>
  </si>
  <si>
    <t>bp_flow_rate_avg</t>
  </si>
  <si>
    <t>Multiple pump approach eliminates need for redundant pumps</t>
  </si>
  <si>
    <t>Energy for bypass pumps</t>
  </si>
  <si>
    <t>bp_pump_materials</t>
  </si>
  <si>
    <t>Bypass Pumping</t>
  </si>
  <si>
    <t>Energy per bypass pump</t>
  </si>
  <si>
    <t>Energy for all active bypass pumps</t>
  </si>
  <si>
    <t>Bypass pump operating horsepower</t>
  </si>
  <si>
    <t>bp_pump_energy</t>
  </si>
  <si>
    <t>Materials for bypass pumps</t>
  </si>
  <si>
    <t>Include geotechnical study?</t>
  </si>
  <si>
    <t>include_geotech</t>
  </si>
  <si>
    <t>Operator interfaces</t>
  </si>
  <si>
    <t>Number of CPUs</t>
  </si>
  <si>
    <t>boost_pumps_3_tot</t>
  </si>
  <si>
    <t>boost_flow_3</t>
  </si>
  <si>
    <t>Total booster pumps for stage 3</t>
  </si>
  <si>
    <t>Booster pumps, stage 2</t>
  </si>
  <si>
    <t>Booster pumps, stage 3</t>
  </si>
  <si>
    <t>boost_2_fp</t>
  </si>
  <si>
    <t>boost_3_fp</t>
  </si>
  <si>
    <t>min_chem_tank_vol</t>
  </si>
  <si>
    <t>Motor/air operated on bypass line</t>
  </si>
  <si>
    <t>Manual on bypass line</t>
  </si>
  <si>
    <t>target_recovery</t>
  </si>
  <si>
    <t>Recovery within stage</t>
  </si>
  <si>
    <t>Cumulative recovery</t>
  </si>
  <si>
    <t>c_recovery_v</t>
  </si>
  <si>
    <t>Valves and instrumentation</t>
  </si>
  <si>
    <t>Residuals valve size</t>
  </si>
  <si>
    <t>res_valve_size</t>
  </si>
  <si>
    <t>Number of MOVs for residuals line</t>
  </si>
  <si>
    <t>total_res_MOVs</t>
  </si>
  <si>
    <t>Number of check valves for residuals line</t>
  </si>
  <si>
    <t>tot_res_chv</t>
  </si>
  <si>
    <t>Equivalent pipe length</t>
  </si>
  <si>
    <t>yard_pipe_length</t>
  </si>
  <si>
    <t>lf</t>
  </si>
  <si>
    <t>Bedding cross sectional surface area</t>
  </si>
  <si>
    <t>Bedding volume</t>
  </si>
  <si>
    <t>bedding_vol</t>
  </si>
  <si>
    <t>Bedding cost</t>
  </si>
  <si>
    <t>Excavation cost</t>
  </si>
  <si>
    <t>Backfill cost</t>
  </si>
  <si>
    <t>Thrust block cost</t>
  </si>
  <si>
    <t>Pipe cost</t>
  </si>
  <si>
    <t>Set to zero to omit security screens</t>
  </si>
  <si>
    <t>Percent concentration of HCl in cleaning solution during use</t>
  </si>
  <si>
    <t>Percent concentration of NaOH in cleaning solution during use</t>
  </si>
  <si>
    <t>Click here to go to the Water Specs sheet.</t>
  </si>
  <si>
    <t>Acid for pretreatment</t>
  </si>
  <si>
    <t>pretreat_acid</t>
  </si>
  <si>
    <t>pretreat_acid_I</t>
  </si>
  <si>
    <t>Treated feed pH</t>
  </si>
  <si>
    <t>treated_feed_pH</t>
  </si>
  <si>
    <t>1 for HCl, 2 for H2SO4, 0 for no acid pretreatment</t>
  </si>
  <si>
    <t>[H+] after acid pretreatment</t>
  </si>
  <si>
    <t>Booster pump design horsepower</t>
  </si>
  <si>
    <t>boost_pump_2_hp</t>
  </si>
  <si>
    <t>Total booster pumps for stage 2</t>
  </si>
  <si>
    <t>boost_pumps_2_tot</t>
  </si>
  <si>
    <t>Into Stage 3</t>
  </si>
  <si>
    <t>boost_pumps_3_op</t>
  </si>
  <si>
    <t>it must be the last data on the sheet; anything below it may be deleted by new elements.</t>
  </si>
  <si>
    <t>The list of element names is automatically expanded when you press "Add New Element." Therefore,</t>
  </si>
  <si>
    <t>Could be lower (annual average 3 changes/hr) in a northern climate</t>
  </si>
  <si>
    <t>Ratio</t>
  </si>
  <si>
    <t>N1</t>
  </si>
  <si>
    <t>N2</t>
  </si>
  <si>
    <t>Stage 1</t>
  </si>
  <si>
    <t>Stage 2</t>
  </si>
  <si>
    <t>Stage 3</t>
  </si>
  <si>
    <t>Borings, drawings showing boring details</t>
  </si>
  <si>
    <t>Materials based on cost of metering pumps and pretreatment cartridge filter</t>
  </si>
  <si>
    <t>For replacement of pretreatment cartridge filters only.</t>
  </si>
  <si>
    <t>clean_filter_replacement</t>
  </si>
  <si>
    <t>Total cartridge filter replacement</t>
  </si>
  <si>
    <t>pre_filter_replacement</t>
  </si>
  <si>
    <t>For cartridge filter maintenance</t>
  </si>
  <si>
    <t>Labor hours per cartridge filter</t>
  </si>
  <si>
    <t>Labor hours per week for simplex prescreens</t>
  </si>
  <si>
    <t>feed_meter_size</t>
  </si>
  <si>
    <t>tot_fm_feed</t>
  </si>
  <si>
    <t>Standby power for cooling</t>
  </si>
  <si>
    <t>std_cool</t>
  </si>
  <si>
    <t>Total standby power requirements</t>
  </si>
  <si>
    <t>std_power</t>
  </si>
  <si>
    <t>Total standby power cost</t>
  </si>
  <si>
    <t>std_power_cost</t>
  </si>
  <si>
    <t>Total technology footprint</t>
  </si>
  <si>
    <t>Capital Items</t>
  </si>
  <si>
    <t>Holding system (for flow equalization)</t>
  </si>
  <si>
    <t>Number of holding tanks</t>
  </si>
  <si>
    <t>htanks</t>
  </si>
  <si>
    <t>Holding tank volume</t>
  </si>
  <si>
    <t>Concentrate SiO2 saturation</t>
  </si>
  <si>
    <t>Concentrate CaF2 saturation</t>
  </si>
  <si>
    <t>Concentrate SiO2 concentration</t>
  </si>
  <si>
    <t>conc_CaSO4_sat_out</t>
  </si>
  <si>
    <t>Base A value (no salinity correction)</t>
  </si>
  <si>
    <t>element_A_base</t>
  </si>
  <si>
    <t>corrected for temperature, pressure, and fouling, but not salinity</t>
  </si>
  <si>
    <t>Temperature correction to B</t>
  </si>
  <si>
    <t>B_temp_corr</t>
  </si>
  <si>
    <t>Maximum hazardous waste shipment size</t>
  </si>
  <si>
    <t>max_haz_ship</t>
  </si>
  <si>
    <t>tons</t>
  </si>
  <si>
    <t>Miles to non-hazardous solid waste disposal site</t>
  </si>
  <si>
    <t>non_haz_miles</t>
  </si>
  <si>
    <t>miles</t>
  </si>
  <si>
    <t>clean_MOV_tank</t>
  </si>
  <si>
    <t>clean_MOV_pump</t>
  </si>
  <si>
    <t>clean_man_tank</t>
  </si>
  <si>
    <t>clean_man_pump</t>
  </si>
  <si>
    <t>Conversion: 4.329E-3 gal/in^3</t>
  </si>
  <si>
    <t>Total annual POTW discharge fee</t>
  </si>
  <si>
    <t>Fire truck buffer requirements</t>
  </si>
  <si>
    <t>fire_buffer</t>
  </si>
  <si>
    <t>Land acquisition required</t>
  </si>
  <si>
    <t>Discount for Bulk NF/RO Element Purchases</t>
  </si>
  <si>
    <t>Minimum recovery for RO</t>
  </si>
  <si>
    <t>Maximum recovery for RO</t>
  </si>
  <si>
    <t>max_pump_size_ro500</t>
  </si>
  <si>
    <t>The largest pump size for which costs are available.</t>
  </si>
  <si>
    <t>inf_pump_class</t>
  </si>
  <si>
    <t>boost_2_class</t>
  </si>
  <si>
    <t>boost_3_class</t>
  </si>
  <si>
    <t>Max size for this class</t>
  </si>
  <si>
    <t>inf_max_pump_size</t>
  </si>
  <si>
    <t>boost_2_max_pump_size</t>
  </si>
  <si>
    <t>boost_3_max_pump_size</t>
  </si>
  <si>
    <t>redundancy</t>
  </si>
  <si>
    <t>Adjustments if Stage 1 has errors or is off-spec</t>
  </si>
  <si>
    <t>Is there an error in stage 1?</t>
  </si>
  <si>
    <t>error_stg1</t>
  </si>
  <si>
    <t>Is stage 1 operating within spec?</t>
  </si>
  <si>
    <t>stg1_in_spec</t>
  </si>
  <si>
    <t>Stage 1 minimum pressure</t>
  </si>
  <si>
    <t>stg1_min_pres</t>
  </si>
  <si>
    <t>Stage 1 maximum pressure</t>
  </si>
  <si>
    <t>stg1_max_pres</t>
  </si>
  <si>
    <t>Pressure change to counter error</t>
  </si>
  <si>
    <t>stg1_Pchange_err</t>
  </si>
  <si>
    <t>Stage 1 NDP adjustment to return to spec, percent</t>
  </si>
  <si>
    <t>stg1_Pchange_spec_pct</t>
  </si>
  <si>
    <t>Pressure change to return to spec</t>
  </si>
  <si>
    <t>stg1_Pchange_spec</t>
  </si>
  <si>
    <t>Pressure change for Stage 1</t>
  </si>
  <si>
    <t>stg1_Pchange</t>
  </si>
  <si>
    <t>New minimum pressure for Stage 1</t>
  </si>
  <si>
    <t>stg1_min_pres_new</t>
  </si>
  <si>
    <t>New maximum pressure for Stage 1</t>
  </si>
  <si>
    <t>stg1_max_pres_new</t>
  </si>
  <si>
    <t>New pressure for Stage 1</t>
  </si>
  <si>
    <t>stg1_newP_fix1</t>
  </si>
  <si>
    <t>New Stage 1 pressure within bounds?</t>
  </si>
  <si>
    <t>stg1_newP_fix1_OK</t>
  </si>
  <si>
    <t>Adjust Stage 1?</t>
  </si>
  <si>
    <t>stg1_adjust_1</t>
  </si>
  <si>
    <t>Signal error?</t>
  </si>
  <si>
    <t>pressure_error_stg1</t>
  </si>
  <si>
    <t>Adjustments if Stage 2 has errors or is off-spec</t>
  </si>
  <si>
    <t>Is there an error in stage 2?</t>
  </si>
  <si>
    <t>error_stg2</t>
  </si>
  <si>
    <t>Is stage 2 operating within spec?</t>
  </si>
  <si>
    <t>stg2_in_spec</t>
  </si>
  <si>
    <t>Stage 2 beginning pressure</t>
  </si>
  <si>
    <t>stg2_Pstart</t>
  </si>
  <si>
    <t>Stage 2 minimum pressure</t>
  </si>
  <si>
    <t>stg2_min_pres</t>
  </si>
  <si>
    <t>Stage 2 maximum pressure</t>
  </si>
  <si>
    <t>If a system uses gas or diesel heat, heating will not be included, regardless of this assumption.</t>
  </si>
  <si>
    <t>Include cooling in standby power</t>
  </si>
  <si>
    <t>need_cool</t>
  </si>
  <si>
    <t>feed_pAlk</t>
  </si>
  <si>
    <t>[Ca] of untreated feed</t>
  </si>
  <si>
    <t>feed_Ca</t>
  </si>
  <si>
    <t>pCa of untreated feed</t>
  </si>
  <si>
    <t>feed_pCa</t>
  </si>
  <si>
    <t>pH_s of untreated feed</t>
  </si>
  <si>
    <t>TDS of treated feed</t>
  </si>
  <si>
    <t>untreated_feed_tds</t>
  </si>
  <si>
    <t>Untreated feed TDS:</t>
  </si>
  <si>
    <t>Untreated feed LSI:</t>
  </si>
  <si>
    <t>Untreated feed SiO2 saturation:</t>
  </si>
  <si>
    <t>Untreated feed CaSO4 saturation:</t>
  </si>
  <si>
    <t>Untreated feed CaF2 saturation:</t>
  </si>
  <si>
    <t>Maximum feed flow per element specification</t>
  </si>
  <si>
    <t>max_feed_flow_spec</t>
  </si>
  <si>
    <t>Maximum feed flow per element pressure drop</t>
  </si>
  <si>
    <t>Maximum pressure drop in element</t>
  </si>
  <si>
    <t>max_element_dP</t>
  </si>
  <si>
    <t>Maximum average flow based on pressure drop</t>
  </si>
  <si>
    <t>max_element_Qavg</t>
  </si>
  <si>
    <t>Average permeate flow per element</t>
  </si>
  <si>
    <t>avg_perm_flow</t>
  </si>
  <si>
    <t>R-value for walls</t>
  </si>
  <si>
    <t>element_A_P_coeff</t>
  </si>
  <si>
    <t>/atm</t>
  </si>
  <si>
    <t>correction is 1-coeff*pressure; ranges from 0.004 for seawater type elements to 0.007 for low-pressure elements</t>
  </si>
  <si>
    <t>A correction coeff for salinity</t>
  </si>
  <si>
    <t>element_A_S_coeff_I</t>
  </si>
  <si>
    <t>/psi</t>
  </si>
  <si>
    <t>correction factor is 1-coeff*PI</t>
  </si>
  <si>
    <t>SiO2</t>
  </si>
  <si>
    <t>Permeate flow</t>
  </si>
  <si>
    <t>Area</t>
  </si>
  <si>
    <t>Salt rejection</t>
  </si>
  <si>
    <t>Length</t>
  </si>
  <si>
    <t>Diameter</t>
  </si>
  <si>
    <t>gfd</t>
  </si>
  <si>
    <t>in</t>
  </si>
  <si>
    <t>Flux</t>
  </si>
  <si>
    <t>feed_meq_bal</t>
  </si>
  <si>
    <t>mol/l</t>
  </si>
  <si>
    <t>treated_feed_tds</t>
  </si>
  <si>
    <t>Accuracy and prep for next iteration</t>
  </si>
  <si>
    <t>New net pressure, for consistency check</t>
  </si>
  <si>
    <t>P_net_new</t>
  </si>
  <si>
    <t>average of feed and concentrate pressure, minus throttle pressure and transmembrane average osmotic pressure</t>
  </si>
  <si>
    <t>Absolute difference</t>
  </si>
  <si>
    <t>P_net_diff</t>
  </si>
  <si>
    <t>Holding system capacity safety factor</t>
  </si>
  <si>
    <t>Warnings</t>
  </si>
  <si>
    <t>warnings</t>
  </si>
  <si>
    <t>Gets a TRUE when the solution is successful, a FALSE otherwise.</t>
  </si>
  <si>
    <t>Each cell holds a different warning, or is empty if we're operating within specs for the element.</t>
  </si>
  <si>
    <t>Determined using Use? Column of output sheet</t>
  </si>
  <si>
    <t>Concrete pad thickness for small systems</t>
  </si>
  <si>
    <t>pad_thick_small</t>
  </si>
  <si>
    <t>gallons</t>
  </si>
  <si>
    <t>max_chem_tank_size</t>
  </si>
  <si>
    <t>Number of acid tanks</t>
  </si>
  <si>
    <t>Number of antiscalant tanks</t>
  </si>
  <si>
    <t>acid_tanks</t>
  </si>
  <si>
    <t>anti_tanks</t>
  </si>
  <si>
    <t>Includes standby pumps</t>
  </si>
  <si>
    <t>Qconc_2_total_guess</t>
  </si>
  <si>
    <t>Target number of third-stage vessels</t>
  </si>
  <si>
    <t>nves_3_targ</t>
  </si>
  <si>
    <t>Minimum number of third-stage vessels</t>
  </si>
  <si>
    <t>nves_3_min</t>
  </si>
  <si>
    <t>Maximum number of third-stage vessels</t>
  </si>
  <si>
    <t>nves_3_max</t>
  </si>
  <si>
    <t>Number of third-stage vessels</t>
  </si>
  <si>
    <t>nves_3</t>
  </si>
  <si>
    <t>Estimated feed flow per third-stage vessel</t>
  </si>
  <si>
    <t>Qfeed_3_guess</t>
  </si>
  <si>
    <t>Assumption</t>
  </si>
  <si>
    <t>Range Name</t>
  </si>
  <si>
    <t>Value</t>
  </si>
  <si>
    <t>Guidance</t>
  </si>
  <si>
    <t>d_per_sec</t>
  </si>
  <si>
    <t>days into minutes</t>
  </si>
  <si>
    <t>d_per_min</t>
  </si>
  <si>
    <t>Length and Area</t>
  </si>
  <si>
    <t>feet into meters</t>
  </si>
  <si>
    <t>m_per_ft</t>
  </si>
  <si>
    <t>ft^2 into m^2</t>
  </si>
  <si>
    <t>m2_per_ft2</t>
  </si>
  <si>
    <t>Volume and Flow</t>
  </si>
  <si>
    <t>ft^3 into gallons</t>
  </si>
  <si>
    <t>gal_per_ft3</t>
  </si>
  <si>
    <t>m^3 into gallons</t>
  </si>
  <si>
    <t>gal_per_m3</t>
  </si>
  <si>
    <t>m^3/s into gpm</t>
  </si>
  <si>
    <t>gpm_per_m3s</t>
  </si>
  <si>
    <t>m^3/hr into gpm</t>
  </si>
  <si>
    <t>gpm_per_m3hr</t>
  </si>
  <si>
    <t>m^3/s/m^2 into gfd</t>
  </si>
  <si>
    <t>gfd_per_mps</t>
  </si>
  <si>
    <t>Pressure</t>
  </si>
  <si>
    <t>atm into psi</t>
  </si>
  <si>
    <t>psi_per_atm</t>
  </si>
  <si>
    <t>atm into bar</t>
  </si>
  <si>
    <t>bar_per_atm</t>
  </si>
  <si>
    <t>Membrane parameters</t>
  </si>
  <si>
    <t>m/s/atm into gfd/psi</t>
  </si>
  <si>
    <t>gfdpsi_per_msatm</t>
  </si>
  <si>
    <t>deg C into Kelvins</t>
  </si>
  <si>
    <t>zeroC_in_K</t>
  </si>
  <si>
    <t>additive conversion</t>
  </si>
  <si>
    <t>Ion reference</t>
  </si>
  <si>
    <t>Ion</t>
  </si>
  <si>
    <t>RO membranes</t>
  </si>
  <si>
    <t>NF membranes</t>
  </si>
  <si>
    <t>meq/l weights</t>
  </si>
  <si>
    <t>charge</t>
  </si>
  <si>
    <t>absolute charge</t>
  </si>
  <si>
    <t>ion_conc_pol_coeffs_ro</t>
  </si>
  <si>
    <t>ion_conc_pol_coeffs_nf</t>
  </si>
  <si>
    <t>ion_meq_weights</t>
  </si>
  <si>
    <t>ion_charge</t>
  </si>
  <si>
    <t>ion_abs_charge</t>
  </si>
  <si>
    <t>Stage ratio lookups</t>
  </si>
  <si>
    <t>At SDI 2, we clean every 12 months. As the SDI goes up by 1, the cleaning interval decreases by 4 months.</t>
  </si>
  <si>
    <t>element, PREV indicates the previous element, and FIRST indicates the first element in the stage. Cumulative quantities</t>
  </si>
  <si>
    <t>Heating and cooling assumptions should be consistent with one another.  Assumed values are for a climate that results in a total energy usage for heating and cooling equal to the national median.</t>
  </si>
  <si>
    <t>Mole fraction of CO3</t>
  </si>
  <si>
    <t>perm_frac_co3</t>
  </si>
  <si>
    <t>Mole fraction of CO2</t>
  </si>
  <si>
    <t>perm_frac_co2</t>
  </si>
  <si>
    <t>Permeate concentrations in meq/l - carbonates rebalanced</t>
  </si>
  <si>
    <t>perm_meq_carbbal</t>
  </si>
  <si>
    <t>Carbonate balance and pH computation - implementation per PerLorica Inc, TFSP, routine CO2toPH</t>
  </si>
  <si>
    <t>Concentrate ion strength</t>
  </si>
  <si>
    <t>conc_ionstrength</t>
  </si>
  <si>
    <t>conc_pK_corr</t>
  </si>
  <si>
    <t>Correction term for HCO3</t>
  </si>
  <si>
    <t>conc_hco3_corr</t>
  </si>
  <si>
    <t>Correction term for CO3</t>
  </si>
  <si>
    <t>conc_co3_corr</t>
  </si>
  <si>
    <t>Concentrate pK1</t>
  </si>
  <si>
    <t>conc_pK1</t>
  </si>
  <si>
    <t>Concentrate pK2</t>
  </si>
  <si>
    <t>conc_pK2</t>
  </si>
  <si>
    <t>Concentrate K1</t>
  </si>
  <si>
    <t>conc_K1</t>
  </si>
  <si>
    <t>Concentrate K2</t>
  </si>
  <si>
    <t>Apply POTW discharge base charge (i.e., $/month)</t>
  </si>
  <si>
    <t>POTW_base_fee</t>
  </si>
  <si>
    <t>&lt;-- 1 for yes, 2 for no</t>
  </si>
  <si>
    <t>conc_tds_out</t>
  </si>
  <si>
    <t>Cumulative permeate TDS, ppm</t>
  </si>
  <si>
    <t>c_perm_tds_out</t>
  </si>
  <si>
    <t>(PREV c_perm_tds_out * PREV c_perm_flow_out + CURR perm_tds_out * CURR perm_flow_out) / CURR c_perm_flow_out:CURR perm_tds_out</t>
  </si>
  <si>
    <t>Replacement Cartridge Filters for NF</t>
  </si>
  <si>
    <t>High-circulation flow rate per PV</t>
  </si>
  <si>
    <t>high_circ_flow_PV</t>
  </si>
  <si>
    <t>gpm/PV</t>
  </si>
  <si>
    <t>Total chemical pump flow in gph</t>
  </si>
  <si>
    <t>Use simplex screens?</t>
  </si>
  <si>
    <t>deep well injection</t>
  </si>
  <si>
    <t>Class I Injection Wells</t>
  </si>
  <si>
    <t>Feed pressure correction factor for A</t>
  </si>
  <si>
    <t>A_pres_corr_guess</t>
  </si>
  <si>
    <t>Estimated element A value</t>
  </si>
  <si>
    <t>A_guess</t>
  </si>
  <si>
    <t>Estimated net driving pressure required</t>
  </si>
  <si>
    <t>Pnet_guess</t>
  </si>
  <si>
    <t>Pfeed_guess</t>
  </si>
  <si>
    <t>elements</t>
  </si>
  <si>
    <t>For reference only</t>
  </si>
  <si>
    <t>Computed based on average recovery per vessel</t>
  </si>
  <si>
    <t>Feed water viscosity</t>
  </si>
  <si>
    <t>visc_feed</t>
  </si>
  <si>
    <t>Feed water viscosity, relative to reference</t>
  </si>
  <si>
    <t>visc_ratio_feed</t>
  </si>
  <si>
    <t>The strictest of the above maxima</t>
  </si>
  <si>
    <t>A_temp_coeff_pguess</t>
  </si>
  <si>
    <t>A_temp_corr_pguess</t>
  </si>
  <si>
    <t>First guess Pnet + Posm + dP/2</t>
  </si>
  <si>
    <t>Second guess Pnet + Posm + dP/2</t>
  </si>
  <si>
    <t>Design flux</t>
  </si>
  <si>
    <t>Based on the design flux</t>
  </si>
  <si>
    <t>Estimated, based on the target recovery</t>
  </si>
  <si>
    <t>Feed pH before acid pretreatment</t>
  </si>
  <si>
    <t>Used later to calculate LSI</t>
  </si>
  <si>
    <t>Range name</t>
  </si>
  <si>
    <t>ion_ca</t>
  </si>
  <si>
    <t>ion_mg</t>
  </si>
  <si>
    <t>ion_na</t>
  </si>
  <si>
    <t>ion_k</t>
  </si>
  <si>
    <t>ion_hco3</t>
  </si>
  <si>
    <t>ion_co3</t>
  </si>
  <si>
    <t>ion_cl</t>
  </si>
  <si>
    <t>ion_so4</t>
  </si>
  <si>
    <t>ion_f</t>
  </si>
  <si>
    <t>ion_sio2</t>
  </si>
  <si>
    <t>ion_co2</t>
  </si>
  <si>
    <t>Cleaning System Chemical Pump Feed Table</t>
  </si>
  <si>
    <t>Diameter selected</t>
  </si>
  <si>
    <t>Element diameter</t>
  </si>
  <si>
    <t>Flow rate (gpm) for rapid recirc phase of cleaning</t>
  </si>
  <si>
    <t>Train Design</t>
  </si>
  <si>
    <t>Maximum size for which costs are available</t>
  </si>
  <si>
    <t>Maximum chemical storage tank size</t>
  </si>
  <si>
    <t>chem_pumps_per_sys</t>
  </si>
  <si>
    <t>Operating pumps per cleaning system</t>
  </si>
  <si>
    <t>pumps</t>
  </si>
  <si>
    <t>chem_per_sys</t>
  </si>
  <si>
    <t>Operating pumps for each chemical</t>
  </si>
  <si>
    <t>pumps_per_chem</t>
  </si>
  <si>
    <t>total_chem_pump_gph</t>
  </si>
  <si>
    <t>Chemical pump rating in gph</t>
  </si>
  <si>
    <t>Total number of pumps, all cleaning systems</t>
  </si>
  <si>
    <t>Hours/week</t>
  </si>
  <si>
    <t>use_antiscalant</t>
  </si>
  <si>
    <t>use_antiscalant_I</t>
  </si>
  <si>
    <t>Untreated feed BaSO4 saturation:</t>
  </si>
  <si>
    <t>Untreated feed SrSO4 saturation:</t>
  </si>
  <si>
    <t>Discharge option for reject/cleaning solution</t>
  </si>
  <si>
    <t>res_s1_opt</t>
  </si>
  <si>
    <t>lb/ft3</t>
  </si>
  <si>
    <t>Average Production Flow</t>
  </si>
  <si>
    <t>Design Influent Flow</t>
  </si>
  <si>
    <t>Average Influent Flow</t>
  </si>
  <si>
    <t>Flow Rates</t>
  </si>
  <si>
    <t>Design Influent Flow Rate</t>
  </si>
  <si>
    <t>Mole fraction HCO3 in treated feed</t>
  </si>
  <si>
    <t>Mole fraction CO3 in treated feed</t>
  </si>
  <si>
    <t>Mole fraction CO2 in treated feed</t>
  </si>
  <si>
    <t>Mole fraction HCO3</t>
  </si>
  <si>
    <t>Mole fraction CO3</t>
  </si>
  <si>
    <t>Mole fraction CO2</t>
  </si>
  <si>
    <t>Feed concentrations, meq/l, balanced, before acid addition</t>
  </si>
  <si>
    <t>Alkalinity change in treated feed, meq/l</t>
  </si>
  <si>
    <t>alk_delta_tfeed</t>
  </si>
  <si>
    <t>Assumes that acid dosing has little effect on the ion strength; therefore K1 and K2 need not be adjusted.</t>
  </si>
  <si>
    <t>Treated feed concentrations, meq/l</t>
  </si>
  <si>
    <t>Treated feed concentrations, ppm, balanced</t>
  </si>
  <si>
    <t>S_cm_pump</t>
  </si>
  <si>
    <t>Volume in piping, as fraction of vessel volume</t>
  </si>
  <si>
    <t>pipe_vol_frac</t>
  </si>
  <si>
    <t>Frost depth</t>
  </si>
  <si>
    <t>frost</t>
  </si>
  <si>
    <t>inches</t>
  </si>
  <si>
    <t>HCl_feed_conc</t>
  </si>
  <si>
    <t>H2SO4_feed_conc</t>
  </si>
  <si>
    <t>HCl addition for treated feed, mg/l</t>
  </si>
  <si>
    <t>H2SO4 addition for treated feed, mg/l</t>
  </si>
  <si>
    <t>Standard efficiency oil furnace</t>
  </si>
  <si>
    <t>Mid-efficiency oil furnace</t>
  </si>
  <si>
    <t>Residual solids transfer method</t>
  </si>
  <si>
    <t>res_transfer_method</t>
  </si>
  <si>
    <t>&lt;-- 1 for slurry pumps, 2 for eductors, 3 for manual transfer</t>
  </si>
  <si>
    <t>Maximum eductor size</t>
  </si>
  <si>
    <t>max_eductor_size</t>
  </si>
  <si>
    <t>Largest size for which costs are available.</t>
  </si>
  <si>
    <t>Total of process and building costs</t>
  </si>
  <si>
    <t>Depth of injection well</t>
  </si>
  <si>
    <t>injection_well_depth</t>
  </si>
  <si>
    <t>Flow speed in injection well</t>
  </si>
  <si>
    <t>injection_well_flow_speed</t>
  </si>
  <si>
    <t>ft/sec</t>
  </si>
  <si>
    <t>Maximum flow into injection well</t>
  </si>
  <si>
    <t>injection_well_max_flow</t>
  </si>
  <si>
    <t>Distance to direct discharge point or deep well injection</t>
  </si>
  <si>
    <t>Increased to account for distance to ocean outfall or well</t>
  </si>
  <si>
    <t>Deep Well Injection</t>
  </si>
  <si>
    <t>Number of wells constructed</t>
  </si>
  <si>
    <t>num_wells</t>
  </si>
  <si>
    <t>Well diameter</t>
  </si>
  <si>
    <t>Based on flow speed for injection and maximum residual flow</t>
  </si>
  <si>
    <t>well_diam</t>
  </si>
  <si>
    <t>Maximum flow per well</t>
  </si>
  <si>
    <t>flow_per_well</t>
  </si>
  <si>
    <t>design_flow_I</t>
  </si>
  <si>
    <t>Design Flow</t>
  </si>
  <si>
    <t>af_units</t>
  </si>
  <si>
    <t>Average Flow</t>
  </si>
  <si>
    <t>average_flow_I</t>
  </si>
  <si>
    <t>units</t>
  </si>
  <si>
    <t>gpm</t>
  </si>
  <si>
    <t>design_flow</t>
  </si>
  <si>
    <t>average_flow</t>
  </si>
  <si>
    <t>design_flow_rate</t>
  </si>
  <si>
    <t>ep_cells</t>
  </si>
  <si>
    <t>Cell side length</t>
  </si>
  <si>
    <t>ep_cell_side</t>
  </si>
  <si>
    <t>Maximum pump size</t>
  </si>
  <si>
    <t>max_res_pump_size</t>
  </si>
  <si>
    <t>Piping</t>
  </si>
  <si>
    <t>Pipe diameter</t>
  </si>
  <si>
    <t>res_pipe_diam</t>
  </si>
  <si>
    <t>Facility dimension assumed square</t>
  </si>
  <si>
    <t>facil_length</t>
  </si>
  <si>
    <t>Include geotechnical costs for high cost systems?</t>
  </si>
  <si>
    <t>include_geo_high</t>
  </si>
  <si>
    <t>May vary from 1,000 to 8,000 ft, depending on local geology.</t>
  </si>
  <si>
    <t>Feed viscosity, relative to test</t>
  </si>
  <si>
    <t>Solution successful?</t>
  </si>
  <si>
    <t>soln_success</t>
  </si>
  <si>
    <t>Reason for failure</t>
  </si>
  <si>
    <t>failure_message</t>
  </si>
  <si>
    <t>Engineering percentage for large systems</t>
  </si>
  <si>
    <t>eng_pct_large</t>
  </si>
  <si>
    <t>Minimum number of pond cells</t>
  </si>
  <si>
    <t>min_ep_cells</t>
  </si>
  <si>
    <t>cells</t>
  </si>
  <si>
    <t>General Operator Labor</t>
  </si>
  <si>
    <t>tot_inst</t>
  </si>
  <si>
    <t>tot_pumps</t>
  </si>
  <si>
    <t>tot_valves</t>
  </si>
  <si>
    <t>General_Oper_Labor</t>
  </si>
  <si>
    <t>Ventilation air change rate for offices</t>
  </si>
  <si>
    <t>Air_changes_office</t>
  </si>
  <si>
    <t>Pressure drop across the fan</t>
  </si>
  <si>
    <t>Fan_pressure_drop</t>
  </si>
  <si>
    <t>lbs/ft2</t>
  </si>
  <si>
    <t>Energy for lighting</t>
  </si>
  <si>
    <t>NDP guess comes from solving the equations P_net = P_applied - deltaP/2 - P_osm_net, P_osm_net = P_osm_feed * (1 - salt_passage), and salt_passage = B_guess / (P_net*A_guess+B_guess). These are not exact, but give a better guess than if we neglected salt passage.</t>
  </si>
  <si>
    <t>Inputs to this calculation</t>
  </si>
  <si>
    <t>Feed water index</t>
  </si>
  <si>
    <t>Design flow</t>
  </si>
  <si>
    <t>Membrane element index</t>
  </si>
  <si>
    <t>Target recovery</t>
  </si>
  <si>
    <t>Throttle pressure, stage 2</t>
  </si>
  <si>
    <t>Throttle pressure, stage 3</t>
  </si>
  <si>
    <t>Boost pressure, stage 2</t>
  </si>
  <si>
    <t>Boost pressure, stage 3</t>
  </si>
  <si>
    <t>old_water_index</t>
  </si>
  <si>
    <t>old_design_flow</t>
  </si>
  <si>
    <t>Element name for dropdown</t>
  </si>
  <si>
    <t>st_pipe_eq_res</t>
  </si>
  <si>
    <t>st_pipe_eq</t>
  </si>
  <si>
    <t>pp_mov_eq_res</t>
  </si>
  <si>
    <t>ss_mov_eq_res</t>
  </si>
  <si>
    <t>ss_mov_eq</t>
  </si>
  <si>
    <t>ci_mov_eq_res</t>
  </si>
  <si>
    <t>Minimum cleaning interval</t>
  </si>
  <si>
    <t>cleaning_freq_min</t>
  </si>
  <si>
    <t>Borings, drill rig and crew with truck mounted auger</t>
  </si>
  <si>
    <t>Borings, cased borings in earth, w/samples, 2.5" dia</t>
  </si>
  <si>
    <t>Test pits</t>
  </si>
  <si>
    <t>Total geotechnical cost</t>
  </si>
  <si>
    <t>geotech_cost</t>
  </si>
  <si>
    <t>res_pipe_length</t>
  </si>
  <si>
    <t>Residuals Discharge</t>
  </si>
  <si>
    <t>Land acquisition cost</t>
  </si>
  <si>
    <t>land_cost</t>
  </si>
  <si>
    <t>/acre</t>
  </si>
  <si>
    <t>Pipe length</t>
  </si>
  <si>
    <t>ppm</t>
  </si>
  <si>
    <t>Stage 1 pressure</t>
  </si>
  <si>
    <t>P_stg1_try</t>
  </si>
  <si>
    <t>Pressure adjustment, stage 2</t>
  </si>
  <si>
    <t>P_adjust_2_try</t>
  </si>
  <si>
    <t>Pressure adjustment, stage 3</t>
  </si>
  <si>
    <t>P_adjust_3_try</t>
  </si>
  <si>
    <t>Boost vs. throttle, stages 1-2</t>
  </si>
  <si>
    <t>P_adj_method_12</t>
  </si>
  <si>
    <t>Boost vs. throttle, stages 2-3</t>
  </si>
  <si>
    <t>P_adj_method_23</t>
  </si>
  <si>
    <t>Resulting feed pressure</t>
  </si>
  <si>
    <t>P_feed_try</t>
  </si>
  <si>
    <t>P_throttle_1_try</t>
  </si>
  <si>
    <t>P_throttle_2_try</t>
  </si>
  <si>
    <t>P_boost_2_try</t>
  </si>
  <si>
    <t>P_boost_3_try</t>
  </si>
  <si>
    <t>flux_tol_hi</t>
  </si>
  <si>
    <t>flux_tol_lo</t>
  </si>
  <si>
    <t>Target flux, stage 1</t>
  </si>
  <si>
    <t>flux_targ_1</t>
  </si>
  <si>
    <t>Permeate flux, stage 1</t>
  </si>
  <si>
    <t>flux_result_1</t>
  </si>
  <si>
    <t>flux_diff_1</t>
  </si>
  <si>
    <t>flux_pctdiff_1</t>
  </si>
  <si>
    <t>Average NDP, stage 1</t>
  </si>
  <si>
    <t>ndp_avg_1</t>
  </si>
  <si>
    <t>Flow result, stage 1</t>
  </si>
  <si>
    <t>Qperm_1</t>
  </si>
  <si>
    <t>Flow needed, stages 2 and 3</t>
  </si>
  <si>
    <t>Qperm_need_23</t>
  </si>
  <si>
    <t>Area available, stages 2 and 3</t>
  </si>
  <si>
    <t>Number of elements in series</t>
  </si>
  <si>
    <t>n_el_series</t>
  </si>
  <si>
    <t>el_per_vess_std</t>
  </si>
  <si>
    <t>Maximum number of elements per vessel</t>
  </si>
  <si>
    <t>el_per_vess_max</t>
  </si>
  <si>
    <t>n_stages</t>
  </si>
  <si>
    <t>Elements per vessel</t>
  </si>
  <si>
    <t>boost_2_op_hp</t>
  </si>
  <si>
    <t>boost_2_energy</t>
  </si>
  <si>
    <t>boost_3_op_hp</t>
  </si>
  <si>
    <t>boost_3_energy</t>
  </si>
  <si>
    <t>Feed and booster pumps</t>
  </si>
  <si>
    <t>For RO membranes, we split the difference between cations and anions to balance the analysis. NF membranes really only reject anions, so we bring the cations into balance with the anions.</t>
  </si>
  <si>
    <t>Anion balance factor</t>
  </si>
  <si>
    <t>anion_balance</t>
  </si>
  <si>
    <t>perm_meq</t>
  </si>
  <si>
    <t>Permeate concentrations in ppm</t>
  </si>
  <si>
    <t>perm_ppm</t>
  </si>
  <si>
    <t>Concentrate concentrations in meq/l</t>
  </si>
  <si>
    <t>conc_meq</t>
  </si>
  <si>
    <t>Concentrate concentrations in ppm</t>
  </si>
  <si>
    <t>conc_ppm</t>
  </si>
  <si>
    <t>Net concentration difference in meq/l</t>
  </si>
  <si>
    <t>diff_meq</t>
  </si>
  <si>
    <t>average of concentrate and feed, minus permeate - for computation of osmotic pressure</t>
  </si>
  <si>
    <t>TSS in system influent</t>
  </si>
  <si>
    <t>Percent of Total Flow that is Bypassed</t>
  </si>
  <si>
    <t>bp_pct</t>
  </si>
  <si>
    <t>element_table_name_row_number</t>
  </si>
  <si>
    <t>Selected element index</t>
  </si>
  <si>
    <t>element_index</t>
  </si>
  <si>
    <t>index into the element data table; linked to dropdown on the input sheet</t>
  </si>
  <si>
    <t>Estimated average flow per second-stage vessel</t>
  </si>
  <si>
    <t>Qavg_2_guess</t>
  </si>
  <si>
    <t>Estimated permeate flow per second-stage vessel</t>
  </si>
  <si>
    <t>Qperm_2_guess</t>
  </si>
  <si>
    <t>Estimated concentrate flow from second stage</t>
  </si>
  <si>
    <t>Electric resistance heating efficiency</t>
  </si>
  <si>
    <t>resist_eff</t>
  </si>
  <si>
    <t>Heat pump heating coefficient of performance</t>
  </si>
  <si>
    <t>COP</t>
  </si>
  <si>
    <t>TSS in treated water</t>
  </si>
  <si>
    <t>effluent_TSS</t>
  </si>
  <si>
    <t>POTW rate structure</t>
  </si>
  <si>
    <t>POTW_rate_type</t>
  </si>
  <si>
    <t>res_s2_opt_I</t>
  </si>
  <si>
    <t>res_s1_opt_I</t>
  </si>
  <si>
    <t>solids_haz_I</t>
  </si>
  <si>
    <t>Input options</t>
  </si>
  <si>
    <t>Flow equalization for reject/cleaning solution</t>
  </si>
  <si>
    <t>Characteristics of solids</t>
  </si>
  <si>
    <t>solids_haz_table</t>
  </si>
  <si>
    <t>1 - holding tanks, 2 - holding basins, 3 - holding lagoons, 4 - no equalization</t>
  </si>
  <si>
    <t>concrete</t>
  </si>
  <si>
    <t>cubic yards</t>
  </si>
  <si>
    <t>WBS #</t>
  </si>
  <si>
    <t>Item</t>
  </si>
  <si>
    <t>Quantity</t>
  </si>
  <si>
    <t>Size</t>
  </si>
  <si>
    <t>Size used in estimate</t>
  </si>
  <si>
    <t>Unit Cost</t>
  </si>
  <si>
    <t>These are copied from the feed water table, except for CO3 and CO2</t>
  </si>
  <si>
    <t>Assumes a maximum size of 59' wide x 59' long x 15' operating depth without freeboard</t>
  </si>
  <si>
    <t>High/Low alarms per holding tank or basin</t>
  </si>
  <si>
    <t>units/tank or basin</t>
  </si>
  <si>
    <t>Maximum lagoon depth</t>
  </si>
  <si>
    <t>Maximum holding lagoon cell area</t>
  </si>
  <si>
    <t>max_hl_cell_area</t>
  </si>
  <si>
    <t>max_hl_depth</t>
  </si>
  <si>
    <t>Cartridge filters</t>
  </si>
  <si>
    <t>Minutes per instrument per day</t>
  </si>
  <si>
    <t>uloe_inst</t>
  </si>
  <si>
    <t>min/day</t>
  </si>
  <si>
    <t>For manual systems only</t>
  </si>
  <si>
    <t>Minutes per pump per day</t>
  </si>
  <si>
    <t>uloe_pump</t>
  </si>
  <si>
    <t>For manual and semiautomated systems</t>
  </si>
  <si>
    <t>Minutes per valve per week</t>
  </si>
  <si>
    <t>uloe_valve</t>
  </si>
  <si>
    <t>min/week</t>
  </si>
  <si>
    <t>area_avail_23</t>
  </si>
  <si>
    <t>Target flux, stages 2 and 3</t>
  </si>
  <si>
    <t>flux_targ_23</t>
  </si>
  <si>
    <t>Permeate flux, stage 2</t>
  </si>
  <si>
    <t>flux_result_2</t>
  </si>
  <si>
    <t>flux_diff_2</t>
  </si>
  <si>
    <t>flux_pctdiff_2</t>
  </si>
  <si>
    <t>ndp_avg_2</t>
  </si>
  <si>
    <t>Flow result, stages 1 and 2</t>
  </si>
  <si>
    <t>Qperm_12</t>
  </si>
  <si>
    <t>Flow needed, stage 3</t>
  </si>
  <si>
    <t>Qperm_need_3</t>
  </si>
  <si>
    <t>Area available, stage 3</t>
  </si>
  <si>
    <t>area_avail_3</t>
  </si>
  <si>
    <t>Target flux, stage 3</t>
  </si>
  <si>
    <t>flux_targ_3</t>
  </si>
  <si>
    <t>Permeate flux, stage 3</t>
  </si>
  <si>
    <t>flux_result_3</t>
  </si>
  <si>
    <t>flux_diff_3</t>
  </si>
  <si>
    <t>flux_pctdiff_3</t>
  </si>
  <si>
    <t>ndp_avg_3</t>
  </si>
  <si>
    <t>Pressure adjustment for next iteration</t>
  </si>
  <si>
    <t>direct discharge / ocean outfall</t>
  </si>
  <si>
    <t>Distance to recycle point or evaporation pond</t>
  </si>
  <si>
    <t>add_res_pipe_length_direct</t>
  </si>
  <si>
    <t>heating_hp</t>
  </si>
  <si>
    <t>heating_gas_non</t>
  </si>
  <si>
    <t>therms/yr</t>
  </si>
  <si>
    <t>Total conductivity meters</t>
  </si>
  <si>
    <t>tot_cond_meters</t>
  </si>
  <si>
    <t>inout_cond_meter</t>
  </si>
  <si>
    <t>blend_ion_concs</t>
  </si>
  <si>
    <t>TDS of blended product</t>
  </si>
  <si>
    <t>blend_TDS</t>
  </si>
  <si>
    <t>Blended TDS:</t>
  </si>
  <si>
    <t>Filter length</t>
  </si>
  <si>
    <t>Filter width</t>
  </si>
  <si>
    <t>Elements per filter</t>
  </si>
  <si>
    <t>filter_len</t>
  </si>
  <si>
    <t>filter_wid</t>
  </si>
  <si>
    <t>filter_elements</t>
  </si>
  <si>
    <t>elements/housing</t>
  </si>
  <si>
    <t>clean_filter_len</t>
  </si>
  <si>
    <t>clean_filter_wid</t>
  </si>
  <si>
    <t>clean_filter_elements</t>
  </si>
  <si>
    <t>Screen length</t>
  </si>
  <si>
    <t>Screen width</t>
  </si>
  <si>
    <t>sec_screen_len</t>
  </si>
  <si>
    <t>sec_screen_wid</t>
  </si>
  <si>
    <t>Spent cleaning solution and flushing liquid</t>
  </si>
  <si>
    <t>drain_rate_frac</t>
  </si>
  <si>
    <t>Used only to determine residuals discharge flow rate</t>
  </si>
  <si>
    <t>Time for flush and filter to waste after cleaning</t>
  </si>
  <si>
    <t>System Size</t>
  </si>
  <si>
    <t>Design Goals</t>
  </si>
  <si>
    <t>Minimum residuals pipe diameter</t>
  </si>
  <si>
    <t>min_res_pipe_size</t>
  </si>
  <si>
    <t>in. diam.</t>
  </si>
  <si>
    <t>Conductivity meter</t>
  </si>
  <si>
    <t>cond</t>
  </si>
  <si>
    <t>Conductivity meters</t>
  </si>
  <si>
    <t>Additional analog input because flow meters include pressure gauges</t>
  </si>
  <si>
    <t>Head loss sensor</t>
  </si>
  <si>
    <t>head</t>
  </si>
  <si>
    <t>pH meter</t>
  </si>
  <si>
    <t>ph</t>
  </si>
  <si>
    <t>Sampling port</t>
  </si>
  <si>
    <t>port</t>
  </si>
  <si>
    <t>Drive controller</t>
  </si>
  <si>
    <t>switch</t>
  </si>
  <si>
    <t>Temperature meter</t>
  </si>
  <si>
    <t>temp</t>
  </si>
  <si>
    <t>Motor/air operated valve</t>
  </si>
  <si>
    <t>valve</t>
  </si>
  <si>
    <t>plc_cpu</t>
  </si>
  <si>
    <t>unit</t>
  </si>
  <si>
    <t xml:space="preserve">plc_ethernet </t>
  </si>
  <si>
    <t>plc_interface</t>
  </si>
  <si>
    <t>ups</t>
  </si>
  <si>
    <t>UPS protects the PLC system from undesired outages and surges that can adversely affect the performance of the PLC unit</t>
  </si>
  <si>
    <r>
      <t xml:space="preserve">Computer workstations per </t>
    </r>
    <r>
      <rPr>
        <i/>
        <sz val="10"/>
        <rFont val="Arial"/>
        <family val="2"/>
      </rPr>
      <t>x</t>
    </r>
    <r>
      <rPr>
        <sz val="10"/>
        <rFont val="Arial"/>
        <family val="2"/>
      </rPr>
      <t xml:space="preserve"> operators</t>
    </r>
  </si>
  <si>
    <t>Evaporation pond freeboard</t>
  </si>
  <si>
    <t>ep_freeboard</t>
  </si>
  <si>
    <t>Additional freeboard provided by dike</t>
  </si>
  <si>
    <t>Overexcavation for evaporation pond</t>
  </si>
  <si>
    <t>ep_overexcavate</t>
  </si>
  <si>
    <t>2 feet each side in each dimension</t>
  </si>
  <si>
    <t>Evaporation pond solids removal frequency</t>
  </si>
  <si>
    <t>dredging_freq</t>
  </si>
  <si>
    <t>per year</t>
  </si>
  <si>
    <t>Range from 1 to 3 yrs.  Depending on the final solid concentration required and local climate.  "Dewatering Municipal Wastewater Sludge,EPA design Manual, Dewatering Municipal Wastewater Sludges.EPA/625/1-87/014, September 1987".</t>
  </si>
  <si>
    <t>Evaporation pond solids density</t>
  </si>
  <si>
    <t>ep_solids_density</t>
  </si>
  <si>
    <t>Evaporation pond dike cross-sectional area</t>
  </si>
  <si>
    <t>dike_xsection</t>
  </si>
  <si>
    <t>13' top and 1:2 side slope, 2'6" height</t>
  </si>
  <si>
    <t>ci_mov_eq</t>
  </si>
  <si>
    <t>pp_chv_eq_res</t>
  </si>
  <si>
    <t>pp_chv_eq</t>
  </si>
  <si>
    <t>Stainless Steel</t>
  </si>
  <si>
    <t>Steel</t>
  </si>
  <si>
    <t>cpvc_pipe_eq_res</t>
  </si>
  <si>
    <t>cpvc_pipe_eq</t>
  </si>
  <si>
    <t>pvc_pipe_eq_res</t>
  </si>
  <si>
    <t>pvc_pipe_eq</t>
  </si>
  <si>
    <t>ss_pipe_eq_res</t>
  </si>
  <si>
    <t>ss_pipe_eq</t>
  </si>
  <si>
    <t>Salt rejection:</t>
  </si>
  <si>
    <t>Concentrate LSI:</t>
  </si>
  <si>
    <t>Stage 2 throttle pressure:</t>
  </si>
  <si>
    <t>Stage 1 throttle pressure:</t>
  </si>
  <si>
    <t>Stage 2 boost pressure:</t>
  </si>
  <si>
    <t>Stage 3 boost pressure:</t>
  </si>
  <si>
    <t>Design results:</t>
  </si>
  <si>
    <t>Pump energy:</t>
  </si>
  <si>
    <t>Permeate TDS:</t>
  </si>
  <si>
    <t>Borings, initial field stake out &amp; determination of elevations</t>
  </si>
  <si>
    <t>Membrane element replacement cost</t>
  </si>
  <si>
    <t>element_replace</t>
  </si>
  <si>
    <t>Elements replaced per year</t>
  </si>
  <si>
    <t>element_replace_cost</t>
  </si>
  <si>
    <t>elements/yr</t>
  </si>
  <si>
    <t>/element</t>
  </si>
  <si>
    <r>
      <t xml:space="preserve">Method of Stumm and Morgan, </t>
    </r>
    <r>
      <rPr>
        <b/>
        <i/>
        <sz val="10"/>
        <color indexed="17"/>
        <rFont val="Arial"/>
        <family val="2"/>
      </rPr>
      <t>Aquatic Chemistry</t>
    </r>
    <r>
      <rPr>
        <b/>
        <sz val="10"/>
        <color indexed="17"/>
        <rFont val="Arial"/>
        <family val="2"/>
      </rPr>
      <t>; implementation from Tom Wolfe, PerLorica, Inc.</t>
    </r>
  </si>
  <si>
    <t>Cleaning interval</t>
  </si>
  <si>
    <t>If left blank, the model will estimate a cleaning interval based on the feed water SDI.</t>
  </si>
  <si>
    <t>default_cleaning_interval</t>
  </si>
  <si>
    <t>Months between cleanings, based on SDI</t>
  </si>
  <si>
    <t>Months between cleanings, with possible user override</t>
  </si>
  <si>
    <t>cleaning_interval</t>
  </si>
  <si>
    <t>clean_interval_override</t>
  </si>
  <si>
    <t>Percent concentration of citric acid in cleaning solution during use</t>
  </si>
  <si>
    <t>citric_need</t>
  </si>
  <si>
    <t>clean_acid</t>
  </si>
  <si>
    <t>Number of separate cleaning chemicals used</t>
  </si>
  <si>
    <t>Acid used in acidic cleaning cycle</t>
  </si>
  <si>
    <t>Chemical used in high-pH cleaning cycle</t>
  </si>
  <si>
    <t>clean_high_pH</t>
  </si>
  <si>
    <t>Separate tanks and pumps for acid and caustic cycles</t>
  </si>
  <si>
    <t>Hydrochloric acid used per cleaning cycle</t>
  </si>
  <si>
    <t>Hydrochloric acid per year</t>
  </si>
  <si>
    <t>Hydrochloric acid storage in gallons</t>
  </si>
  <si>
    <t>Initial hydrochloric acid stored</t>
  </si>
  <si>
    <t>Citric acid used per cleaning cycle</t>
  </si>
  <si>
    <t>Citric acid per year</t>
  </si>
  <si>
    <t>citric_per_cycle</t>
  </si>
  <si>
    <t>citric_yr</t>
  </si>
  <si>
    <t>citric_store</t>
  </si>
  <si>
    <t>Dry form</t>
  </si>
  <si>
    <t>HCl_need</t>
  </si>
  <si>
    <t>Citric acid storage in cubic feet</t>
  </si>
  <si>
    <t>citric_store_cuft</t>
  </si>
  <si>
    <t>Citric acid density</t>
  </si>
  <si>
    <t>citric_density</t>
  </si>
  <si>
    <t>lb/cubic ft</t>
  </si>
  <si>
    <t>cubic ft</t>
  </si>
  <si>
    <t>Equal to the target flux for the whole system.</t>
  </si>
  <si>
    <t>gal/day</t>
  </si>
  <si>
    <t>Zero indicates no minimum. Filled in by the design macro when Stage 1 hits an error.</t>
  </si>
  <si>
    <t>Zero indicates no maximum. Filled in by the design macro when Stage 1 hits an error.</t>
  </si>
  <si>
    <t>Zero indicates no minimum.</t>
  </si>
  <si>
    <t>Absolute tolerance is less permissive than percentage tolerance, except for very small design flows (&lt;100,000 gal/day).</t>
  </si>
  <si>
    <t>Pump energy</t>
  </si>
  <si>
    <t>Lighting and HVAC</t>
  </si>
  <si>
    <t>Required percentage adjustment to NDP</t>
  </si>
  <si>
    <t>Pchange_flow_pct</t>
  </si>
  <si>
    <t>Overall average NDP</t>
  </si>
  <si>
    <t>ndp_avg</t>
  </si>
  <si>
    <t>Pressure change to correct permeate flow</t>
  </si>
  <si>
    <t>Pchange_flow</t>
  </si>
  <si>
    <t>stg1_newP_flow</t>
  </si>
  <si>
    <t>stg1_newP_flow_OK</t>
  </si>
  <si>
    <t>stg1_adjust_flow</t>
  </si>
  <si>
    <t>stg3_newP_flow</t>
  </si>
  <si>
    <t>stg3_newP_flow_OK</t>
  </si>
  <si>
    <t>stg3_adjust_flow</t>
  </si>
  <si>
    <t>stg2_newP_flow</t>
  </si>
  <si>
    <t>stg2_newP_flow_OK</t>
  </si>
  <si>
    <t>stg2_adjust_flow</t>
  </si>
  <si>
    <t>pressure_error_flow</t>
  </si>
  <si>
    <t>Chosen adjustments</t>
  </si>
  <si>
    <t>Stage to adjust</t>
  </si>
  <si>
    <t>stage_adjust</t>
  </si>
  <si>
    <t>New Stage 1 pressure</t>
  </si>
  <si>
    <t>P_stg1_new</t>
  </si>
  <si>
    <t>New Stage 2 pressure adjustment</t>
  </si>
  <si>
    <t>P_adjust_2_new</t>
  </si>
  <si>
    <t>New Stage 3 pressure adjustment</t>
  </si>
  <si>
    <t>P_adjust_3_new</t>
  </si>
  <si>
    <t>pressure_error</t>
  </si>
  <si>
    <t>Tuning complete?</t>
  </si>
  <si>
    <t>tuning_complete</t>
  </si>
  <si>
    <t>Iteration count</t>
  </si>
  <si>
    <t>Bypass pump head</t>
  </si>
  <si>
    <t>Maximum bypass pump size</t>
  </si>
  <si>
    <r>
      <t xml:space="preserve">Von Huben, Harry. </t>
    </r>
    <r>
      <rPr>
        <b/>
        <i/>
        <sz val="10"/>
        <color indexed="17"/>
        <rFont val="Arial"/>
        <family val="2"/>
      </rPr>
      <t>Operator's Companion</t>
    </r>
    <r>
      <rPr>
        <b/>
        <sz val="10"/>
        <color indexed="17"/>
        <rFont val="Arial"/>
        <family val="2"/>
      </rPr>
      <t>, 4th Edition. USABluebook, 2000.  Pp. 17  25 psi creates a head of 60 feet</t>
    </r>
  </si>
  <si>
    <t>Bypass pump efficiency</t>
  </si>
  <si>
    <t>bp_pump_head</t>
  </si>
  <si>
    <t>bp_pump_eff</t>
  </si>
  <si>
    <t>max_bp_pump_size</t>
  </si>
  <si>
    <t>Largest size in the cost database for a booster pump</t>
  </si>
  <si>
    <t>Booster Pumping for Bypass Line</t>
  </si>
  <si>
    <t>including standby pumps</t>
  </si>
  <si>
    <t>tot_num_bp_pumps</t>
  </si>
  <si>
    <t>op_num_bp_pumps</t>
  </si>
  <si>
    <t>Number of redundant bypass pumps</t>
  </si>
  <si>
    <t>NRD_bp_pumps</t>
  </si>
  <si>
    <t>bp_pump_eq</t>
  </si>
  <si>
    <t>Maximum recovery per element</t>
  </si>
  <si>
    <t>max_Y_el</t>
  </si>
  <si>
    <t>Average recovery per element, absolute</t>
  </si>
  <si>
    <t>avg_Y_el_targ</t>
  </si>
  <si>
    <t>hl_freeboard</t>
  </si>
  <si>
    <t>Holding lagoon dike cross-sectional area</t>
  </si>
  <si>
    <t>max_hl_vol</t>
  </si>
  <si>
    <t>hlagoons</t>
  </si>
  <si>
    <t>Number of holding lagoon cells</t>
  </si>
  <si>
    <t>Maximum holding lagoon cell operating volume</t>
  </si>
  <si>
    <t>Holding lagoon operating depth</t>
  </si>
  <si>
    <t>hl_op_depth</t>
  </si>
  <si>
    <t>Holding lagoon cell operating volume</t>
  </si>
  <si>
    <t>hl_vol</t>
  </si>
  <si>
    <t>hl_side</t>
  </si>
  <si>
    <t>Holding lagoon cell side length</t>
  </si>
  <si>
    <t>Total excavation volume</t>
  </si>
  <si>
    <t>ep_excavation_vol</t>
  </si>
  <si>
    <t>Total backfill volume</t>
  </si>
  <si>
    <t>ep_backfill_vol</t>
  </si>
  <si>
    <t>Dike volume</t>
  </si>
  <si>
    <t>dike_volume</t>
  </si>
  <si>
    <t>Liner area</t>
  </si>
  <si>
    <t>liner_area</t>
  </si>
  <si>
    <t>hl_excavation_vol</t>
  </si>
  <si>
    <t>hl_backfill_vol</t>
  </si>
  <si>
    <t>hl_dike_volume</t>
  </si>
  <si>
    <t>hl_liner_area</t>
  </si>
  <si>
    <t>ht_solids_density</t>
  </si>
  <si>
    <t>res_cap_factor</t>
  </si>
  <si>
    <t>Maximum holding tank size</t>
  </si>
  <si>
    <t>max_htank_size</t>
  </si>
  <si>
    <t>The largest size for which costs are available.</t>
  </si>
  <si>
    <t>Redundant residuals pumps</t>
  </si>
  <si>
    <t>NRD_res_pump</t>
  </si>
  <si>
    <t>Applies only if pumping is included</t>
  </si>
  <si>
    <t>add_res_pipe_length</t>
  </si>
  <si>
    <t>res_MOV_pump</t>
  </si>
  <si>
    <t>valves/pump</t>
  </si>
  <si>
    <t>res_MOV_tank</t>
  </si>
  <si>
    <t>Number of check valves on residuals line per residuals pump</t>
  </si>
  <si>
    <t>res_chv_pump</t>
  </si>
  <si>
    <t>Number of check valves on residuals line if no pumping</t>
  </si>
  <si>
    <t>res_chv_no_pump</t>
  </si>
  <si>
    <t>valves</t>
  </si>
  <si>
    <t>Flow meters for residuals line</t>
  </si>
  <si>
    <t>tot_fm_res</t>
  </si>
  <si>
    <t>alarm_res</t>
  </si>
  <si>
    <t>influent_TSS</t>
  </si>
  <si>
    <t>STEP 1</t>
  </si>
  <si>
    <t>STEP 2:</t>
  </si>
  <si>
    <t>STEP 3:</t>
  </si>
  <si>
    <t>(Optional for standard designs)</t>
  </si>
  <si>
    <r>
      <t xml:space="preserve">Enter or change values in the </t>
    </r>
    <r>
      <rPr>
        <sz val="10"/>
        <color indexed="51"/>
        <rFont val="Arial"/>
        <family val="2"/>
      </rPr>
      <t>gold</t>
    </r>
    <r>
      <rPr>
        <sz val="10"/>
        <rFont val="Arial"/>
        <family val="2"/>
      </rPr>
      <t xml:space="preserve"> and </t>
    </r>
    <r>
      <rPr>
        <sz val="10"/>
        <color indexed="40"/>
        <rFont val="Arial"/>
        <family val="2"/>
      </rPr>
      <t>blue</t>
    </r>
    <r>
      <rPr>
        <sz val="10"/>
        <rFont val="Arial"/>
        <family val="2"/>
      </rPr>
      <t xml:space="preserve"> cells below, under "Manual Inputs"</t>
    </r>
  </si>
  <si>
    <t>STEP 4:</t>
  </si>
  <si>
    <t>MANUAL INPUTS</t>
  </si>
  <si>
    <t>Design Flow (including bypass)</t>
  </si>
  <si>
    <t>at zero pressure and reference temperature and TDS; obtain from manufacturer's programs run at a range of pressures</t>
  </si>
  <si>
    <t>B minimum value</t>
  </si>
  <si>
    <t>Building 1 contains everything (1 building), pretreatment equipment and influent and bypass pumps (2 buildings), or influent and bypass pumps (3 buildings).</t>
  </si>
  <si>
    <t>Drive controllers per bypass pump</t>
  </si>
  <si>
    <t>S_bypass_pump</t>
  </si>
  <si>
    <t>CaF2 too high even with antiscalant?</t>
  </si>
  <si>
    <t>CaF2 recommendation</t>
  </si>
  <si>
    <t>caf2_bad_without_anti</t>
  </si>
  <si>
    <t>caf2_bad_with_anti</t>
  </si>
  <si>
    <t>caf2_recommend</t>
  </si>
  <si>
    <t>Overall recommendation</t>
  </si>
  <si>
    <t>scaling_recommend</t>
  </si>
  <si>
    <t>Natural gas non-condensing furnace efficiency</t>
  </si>
  <si>
    <t>gas_non_eff</t>
  </si>
  <si>
    <t>conc_SiO2_sat_out</t>
  </si>
  <si>
    <t>conc_CaF2_sat_out</t>
  </si>
  <si>
    <t>pH and saturation indices in concentrate</t>
  </si>
  <si>
    <t>pH computation</t>
  </si>
  <si>
    <t>LSI computation</t>
  </si>
  <si>
    <t>SiO2 pH correction factor</t>
  </si>
  <si>
    <t>conc_sio2_sat_corr</t>
  </si>
  <si>
    <t>conc_sio2_sat</t>
  </si>
  <si>
    <t>conc_sio2_sat_pct</t>
  </si>
  <si>
    <t>conc_caso4_ksp</t>
  </si>
  <si>
    <t>Maximum number of elements per vessel, 4" and 8" elements</t>
  </si>
  <si>
    <t>el_per_vess_std_8</t>
  </si>
  <si>
    <t>el_per_vess_max_8</t>
  </si>
  <si>
    <t>Maximum number of elements per vessel, 16-18" elements</t>
  </si>
  <si>
    <t>el_per_vess_std_16</t>
  </si>
  <si>
    <t>el_per_vess_max_16</t>
  </si>
  <si>
    <t>Minimum number of elements per vessel, 4" and 8" elements</t>
  </si>
  <si>
    <t>Minimum number of elements per vessel, 16-18" elements</t>
  </si>
  <si>
    <t>Minimum number of elements per vessel</t>
  </si>
  <si>
    <t>16-18" elements use fewer elements per vessel than 8" or 4" elements</t>
  </si>
  <si>
    <t>HCl_per_cycle</t>
  </si>
  <si>
    <t>NaOH_per_cycle</t>
  </si>
  <si>
    <t>Total membrane area including redundancy</t>
  </si>
  <si>
    <t>Resulting total area, excluding redundancy</t>
  </si>
  <si>
    <t>total_area_op</t>
  </si>
  <si>
    <t>Filled in by the design macro when Stage 3 hits an error.</t>
  </si>
  <si>
    <t>We signal an error if Stage 3 is off spec and we can't find an in-bounds pressure for any stage.</t>
  </si>
  <si>
    <t>We signal an error if the flow is off spec and we can't find an in-bounds pressure for any stage.</t>
  </si>
  <si>
    <t>Average Flow (including bypass)</t>
  </si>
  <si>
    <t>Treatment system design flow</t>
  </si>
  <si>
    <t>Bypass design flow</t>
  </si>
  <si>
    <t>Select Units</t>
  </si>
  <si>
    <t>Units for design flow</t>
  </si>
  <si>
    <t>df_unit_list</t>
  </si>
  <si>
    <t>Units for average flow</t>
  </si>
  <si>
    <t>af_unit_list</t>
  </si>
  <si>
    <t>fraction of design flow</t>
  </si>
  <si>
    <t>Cumulative permeate concentrations, ppm</t>
  </si>
  <si>
    <t>c_perm_conc_out</t>
  </si>
  <si>
    <t>(PREV c_perm_conc_out * PREV c_perm_flow_out + CURR perm_conc_out * CURR perm_flow_out) / CURR c_perm_flow_out:CURR perm_conc_out</t>
  </si>
  <si>
    <t>Number of iterations</t>
  </si>
  <si>
    <t>num_iterations_out</t>
  </si>
  <si>
    <t>Outputs are computed on the element computation sheet. Some are copied to this sheet (with unit conversion). These are</t>
  </si>
  <si>
    <t>indicated by the code "copied" in column D here. Other outputs are computed on this sheet, via the template formulas in</t>
  </si>
  <si>
    <t>column D--those are used for computation, not just for reference! In these formulas, the code CURR indicates the current</t>
  </si>
  <si>
    <t>pAlk of untreated feed</t>
  </si>
  <si>
    <t>Pressure drop so far in this vessel</t>
  </si>
  <si>
    <t>prev_deltaP_I</t>
  </si>
  <si>
    <t>deltaP_vessel</t>
  </si>
  <si>
    <t>Pressure drop in the vessel, through end of element</t>
  </si>
  <si>
    <t>to be compared with element specs</t>
  </si>
  <si>
    <t>This table is automatically generated. It must always be at the end of the worksheet, so that the automatic generation doesn't trash any other tables.</t>
  </si>
  <si>
    <t>Text Ratio</t>
  </si>
  <si>
    <t>U.S. DOE, Energy Information Administration.</t>
  </si>
  <si>
    <t>Heating Oil Heat Content</t>
  </si>
  <si>
    <t>See Appendix E</t>
  </si>
  <si>
    <t>Average Influent Flow Rate</t>
  </si>
  <si>
    <t>correction = exp(coeff*(1/Tref-1/T))</t>
  </si>
  <si>
    <t>correction = 1-coeff*PI_avg</t>
  </si>
  <si>
    <t>correction = 1-coeff*(TDS-TDSminB)</t>
  </si>
  <si>
    <t>correction = 1+coeff*(TDS-TDSminB)</t>
  </si>
  <si>
    <t>Total permit cost</t>
  </si>
  <si>
    <t>Air_changes_chem_storage</t>
  </si>
  <si>
    <t>Temperature meters per cleaning makeup tank</t>
  </si>
  <si>
    <t>temp_meter_clean</t>
  </si>
  <si>
    <t>Head loss sensors per cartridge filter</t>
  </si>
  <si>
    <t>headloss_cart</t>
  </si>
  <si>
    <t>units/filter</t>
  </si>
  <si>
    <t>units/pump</t>
  </si>
  <si>
    <t>Flow meters per cleaning pump</t>
  </si>
  <si>
    <t>For pumps, pretreatment, other equipment.  For calculating cost of actual maintenance materials; not to be confused with depreciation.  Initial proposed estimate of 5% seems high  (Richard E. Hubel, Peter Keenan, American Water Works Service Company, Inc)</t>
  </si>
  <si>
    <t>elem_disposal_fee</t>
  </si>
  <si>
    <t>total flow feeding into all stage 3 pressure vessels</t>
  </si>
  <si>
    <t>total flow feeding into all stage 2 pressure vessels</t>
  </si>
  <si>
    <t>Cost estimating method</t>
  </si>
  <si>
    <t>el_per_vess</t>
  </si>
  <si>
    <t>Area per vessel</t>
  </si>
  <si>
    <t>area_per_vess</t>
  </si>
  <si>
    <t>Total number of elements in series</t>
  </si>
  <si>
    <t>el_series</t>
  </si>
  <si>
    <t>Average recovery per element</t>
  </si>
  <si>
    <t>avg_Y_el</t>
  </si>
  <si>
    <t>Total number of pressure vessels</t>
  </si>
  <si>
    <t>n_vessels</t>
  </si>
  <si>
    <t>Total number of elements</t>
  </si>
  <si>
    <t>n_elements</t>
  </si>
  <si>
    <t>Target staging ratio</t>
  </si>
  <si>
    <t>target_staging_ratio</t>
  </si>
  <si>
    <t>Average recovery per vessel</t>
  </si>
  <si>
    <t>avg_Y_vess</t>
  </si>
  <si>
    <t>Flow constraints</t>
  </si>
  <si>
    <t>Per feed flow specification</t>
  </si>
  <si>
    <t>boost_valve_2_diam</t>
  </si>
  <si>
    <t>boost_valve_3_diam</t>
  </si>
  <si>
    <t>Size of valves for cleaning lines</t>
  </si>
  <si>
    <t>clean_valve_size</t>
  </si>
  <si>
    <t>Number of MOVs for antiscalant pumps</t>
  </si>
  <si>
    <t>Number of MOVs for pretreatment acid pumps</t>
  </si>
  <si>
    <t>Number of MOVs on feed lines</t>
  </si>
  <si>
    <t>Number of MOVs on Stage 2 booster pumps</t>
  </si>
  <si>
    <t>Number of MOVs on Stage 3 booster pumps</t>
  </si>
  <si>
    <t>tot_pretreat_acid_MOVs</t>
  </si>
  <si>
    <t>tot_feed_MOVs</t>
  </si>
  <si>
    <t>tot_boost_2_MOVs</t>
  </si>
  <si>
    <t>tot_boost_3_MOVs</t>
  </si>
  <si>
    <t>tot_perm_1_MOVs</t>
  </si>
  <si>
    <t>tot_perm_2_MOVs</t>
  </si>
  <si>
    <t>tot_perm_3_MOVs</t>
  </si>
  <si>
    <t>Mobilization and Demobilization</t>
  </si>
  <si>
    <t>Architectural Fees for Treatment Building</t>
  </si>
  <si>
    <t>Yard Piping</t>
  </si>
  <si>
    <t>Geotechnical</t>
  </si>
  <si>
    <t>pp_chv_eq_bp</t>
  </si>
  <si>
    <t>ss_chv_eq_bp</t>
  </si>
  <si>
    <t>ci_chv_eq_bp</t>
  </si>
  <si>
    <t>pvc_mmpump_eq_acid</t>
  </si>
  <si>
    <t>pvc_empump_eq_acid</t>
  </si>
  <si>
    <t>pvc_mmpump_eq_anti</t>
  </si>
  <si>
    <t>ss_mmpump_eq_anti</t>
  </si>
  <si>
    <t>pvc_empump_eq_anti</t>
  </si>
  <si>
    <t>ss_empump_eq_anti</t>
  </si>
  <si>
    <t>chem_pump_eq</t>
  </si>
  <si>
    <t>pvc_mmpump_eq</t>
  </si>
  <si>
    <t>pvc_empump_eq</t>
  </si>
  <si>
    <t>ss_mmpump_eq</t>
  </si>
  <si>
    <t>ss_empump_eq</t>
  </si>
  <si>
    <t>clean_cart_eq</t>
  </si>
  <si>
    <t>op_fm_eq_in</t>
  </si>
  <si>
    <t>op_fm_eq_feed</t>
  </si>
  <si>
    <t>op_fm_eq_perm</t>
  </si>
  <si>
    <t>op_fm_eq_clean</t>
  </si>
  <si>
    <t>Carbonate equilibrium calculations</t>
  </si>
  <si>
    <t>pK2, corrected for ionic strength</t>
  </si>
  <si>
    <t>vessel_diameter</t>
  </si>
  <si>
    <t>vessel_length</t>
  </si>
  <si>
    <t>vol_vessel</t>
  </si>
  <si>
    <t>tot_vessel_vol</t>
  </si>
  <si>
    <t>vol_clean_pipes</t>
  </si>
  <si>
    <t>R_wall</t>
  </si>
  <si>
    <t>Enter 0% to exclude.  Highly site-specific.  Can range from 2-5% of equipment, installation, construction, electrical, and standby power.  To estimate, add 5% to total estimated construction cost.</t>
  </si>
  <si>
    <t>Sales tax percentage</t>
  </si>
  <si>
    <t>tax_pct</t>
  </si>
  <si>
    <t>Financing percentage</t>
  </si>
  <si>
    <t>finance_pct</t>
  </si>
  <si>
    <t>Enter 0% to exclude.  Typically assumed to be one year's interest on capital cost.</t>
  </si>
  <si>
    <t>Total Direct Capital Cost (from above)</t>
  </si>
  <si>
    <t>Total Add-on Cost (from above)</t>
  </si>
  <si>
    <t>feed_anions</t>
  </si>
  <si>
    <t>feed_difference</t>
  </si>
  <si>
    <t>feed_cat_bal</t>
  </si>
  <si>
    <t>feed_an_bal</t>
  </si>
  <si>
    <t>build1_need_heat</t>
  </si>
  <si>
    <t>&lt;--- enter 1 for yes, 0 for no</t>
  </si>
  <si>
    <t>Include cooling for building 1</t>
  </si>
  <si>
    <t>build1_need_cool</t>
  </si>
  <si>
    <t>Include heating for building 2</t>
  </si>
  <si>
    <t>build2_need_heat</t>
  </si>
  <si>
    <t>Include cooling for building 2</t>
  </si>
  <si>
    <t>build2_need_cool</t>
  </si>
  <si>
    <t>Include cooling for building 3</t>
  </si>
  <si>
    <t>build3_need_cool</t>
  </si>
  <si>
    <t>Include heating for building 3</t>
  </si>
  <si>
    <t>build3_need_heat</t>
  </si>
  <si>
    <t>in_valve_size</t>
  </si>
  <si>
    <t>Size of valves for bypass line</t>
  </si>
  <si>
    <t>bypass_valve_size</t>
  </si>
  <si>
    <t>Total number of MOVs</t>
  </si>
  <si>
    <t>tot_MOVs</t>
  </si>
  <si>
    <t>Number of manual valves for bypass line</t>
  </si>
  <si>
    <t>Size of flow meters for influent line</t>
  </si>
  <si>
    <t>in_meter_size</t>
  </si>
  <si>
    <t>Total level switch/alarms</t>
  </si>
  <si>
    <t>tot_level_switch</t>
  </si>
  <si>
    <t>Total pH controls</t>
  </si>
  <si>
    <t>Total temperature meters</t>
  </si>
  <si>
    <t>tot_temp_meters</t>
  </si>
  <si>
    <t>Design safety factor for standby power</t>
  </si>
  <si>
    <t>std_safety_factor</t>
  </si>
  <si>
    <t>Number of cartridge filters per system</t>
  </si>
  <si>
    <t>max_pump_size_ro150</t>
  </si>
  <si>
    <t>max_pump_size_ro100</t>
  </si>
  <si>
    <t>max_pump_size_ro300</t>
  </si>
  <si>
    <t>res_MOV_ep</t>
  </si>
  <si>
    <t>valves/cell</t>
  </si>
  <si>
    <t>Membrane systems remove all TSS</t>
  </si>
  <si>
    <t>HCl_store</t>
  </si>
  <si>
    <t>NaOH_store</t>
  </si>
  <si>
    <t>solids_haz</t>
  </si>
  <si>
    <t>beta = exp(coeff*recovery)</t>
  </si>
  <si>
    <t>for reference A, B, and viscosity</t>
  </si>
  <si>
    <t>build3_fp</t>
  </si>
  <si>
    <t>Membrane life for NF elements</t>
  </si>
  <si>
    <t>Membrane life for RO elements</t>
  </si>
  <si>
    <t>membrane_life_nf</t>
  </si>
  <si>
    <t>membrane_life_ro</t>
  </si>
  <si>
    <t>&lt;-- enter 1 to use cost equations, leave blank to use lookup tables for component costs</t>
  </si>
  <si>
    <t>Design Production Flow</t>
  </si>
  <si>
    <t>Max flux for 3 &lt; SDI &lt; 5</t>
  </si>
  <si>
    <t>Max flux for 1 &lt; SDI &lt; 3</t>
  </si>
  <si>
    <t>Max flux for SDI &lt; 1</t>
  </si>
  <si>
    <t>For SDI &lt; 3, average flux target is 13-17 gfd (surface supply) or 16-20 gfd (well water) per Dow Liquid Separations, Filmtec RO Membranes Technical Manual, January 2004. GE design guidelines suggest 16-18 gfd for well water with SDI &lt; 3.</t>
  </si>
  <si>
    <t>Concentrate TDS</t>
  </si>
  <si>
    <t>conc_tds</t>
  </si>
  <si>
    <t>Discount for Bulk Cartridge Filter Purchases</t>
  </si>
  <si>
    <t>land_required</t>
  </si>
  <si>
    <t>acres</t>
  </si>
  <si>
    <t>Building 1 footprint</t>
  </si>
  <si>
    <t>Building 3 footprint</t>
  </si>
  <si>
    <t>Building 2 footprint</t>
  </si>
  <si>
    <t>build1_fp</t>
  </si>
  <si>
    <t>build2_fp</t>
  </si>
  <si>
    <t>Total Indirect Cost (from above)</t>
  </si>
  <si>
    <t>Access space per residuals holding tank</t>
  </si>
  <si>
    <t>space_ht</t>
  </si>
  <si>
    <t>Residuals pump footprint</t>
  </si>
  <si>
    <t>res_pump_fp</t>
  </si>
  <si>
    <t>Residuals holding tank footprint</t>
  </si>
  <si>
    <t>htank_fp</t>
  </si>
  <si>
    <t>Exact building footprint required</t>
  </si>
  <si>
    <t>fp_required</t>
  </si>
  <si>
    <t>Additional footprint for evaporation pond</t>
  </si>
  <si>
    <t>conc_caso4_ip</t>
  </si>
  <si>
    <t>Cumulative recovery within the stage</t>
  </si>
  <si>
    <t>c_recovery_out</t>
  </si>
  <si>
    <t>CURR c_perm_flow_out / FIRST feed_flow_out</t>
  </si>
  <si>
    <t>Feed pressure, psi</t>
  </si>
  <si>
    <t>P_feed_out</t>
  </si>
  <si>
    <t>Throttle pressure, psi</t>
  </si>
  <si>
    <t>P_throttle_out</t>
  </si>
  <si>
    <t>Feed osmotic pressure, psi</t>
  </si>
  <si>
    <t>PI_feed_out</t>
  </si>
  <si>
    <t>Concentrate osmotic pressure, psi</t>
  </si>
  <si>
    <t>PI_conc_out</t>
  </si>
  <si>
    <t>Permeate osmotic pressure, psi</t>
  </si>
  <si>
    <t>PI_perm_out</t>
  </si>
  <si>
    <t>for reference viscosity</t>
  </si>
  <si>
    <t>ref_tds</t>
  </si>
  <si>
    <t>Row identifier</t>
  </si>
  <si>
    <t>type</t>
  </si>
  <si>
    <t>length</t>
  </si>
  <si>
    <t>diameter</t>
  </si>
  <si>
    <t>area</t>
  </si>
  <si>
    <t>POTW_fee</t>
  </si>
  <si>
    <t>$/year</t>
  </si>
  <si>
    <t>Disposal</t>
  </si>
  <si>
    <t>Shipments per year</t>
  </si>
  <si>
    <t>Transportation</t>
  </si>
  <si>
    <t>Total annual spent media diposal fee</t>
  </si>
  <si>
    <t>Spent Cartridge Filter Disposal Fees</t>
  </si>
  <si>
    <t>cart_disposal_fee</t>
  </si>
  <si>
    <t>Spent Membrane Element Disposal Fees</t>
  </si>
  <si>
    <t>Clerical_percent</t>
  </si>
  <si>
    <t>Manager</t>
  </si>
  <si>
    <t>Annual Operator LOE</t>
  </si>
  <si>
    <t>Operator_LOE</t>
  </si>
  <si>
    <t>Annual Manager LOE</t>
  </si>
  <si>
    <t>Manager_LOE</t>
  </si>
  <si>
    <t>Clerical_LOE</t>
  </si>
  <si>
    <t>O&amp;M materials as a percentage of capital</t>
  </si>
  <si>
    <t>mat_pct</t>
  </si>
  <si>
    <t>O&amp;M materials percentage for membrane process</t>
  </si>
  <si>
    <t>For membrane process</t>
  </si>
  <si>
    <t>mat_pct_train</t>
  </si>
  <si>
    <t>TSS in residuals</t>
  </si>
  <si>
    <t>TSS_residuals</t>
  </si>
  <si>
    <t>in. diam</t>
  </si>
  <si>
    <t>Actual yard piping diameter</t>
  </si>
  <si>
    <t>yard_pipe_diam</t>
  </si>
  <si>
    <t>Trench depth to top of pipe</t>
  </si>
  <si>
    <t>trench_depth</t>
  </si>
  <si>
    <t>Thrust force</t>
  </si>
  <si>
    <t>thrust_force</t>
  </si>
  <si>
    <t>Bearing Area (L x H)</t>
  </si>
  <si>
    <t>bearing_area</t>
  </si>
  <si>
    <t>L</t>
  </si>
  <si>
    <t>H</t>
  </si>
  <si>
    <t>F</t>
  </si>
  <si>
    <t>Pipe diameter with a minimum of 6 inches</t>
  </si>
  <si>
    <t>T</t>
  </si>
  <si>
    <t>Thrust block volume</t>
  </si>
  <si>
    <t>block_vol</t>
  </si>
  <si>
    <t>Trench Cross-section Area</t>
  </si>
  <si>
    <t>trench_area</t>
  </si>
  <si>
    <t>Trench Volume Source Water</t>
  </si>
  <si>
    <t>Trench Volume Between Buildings</t>
  </si>
  <si>
    <t>Trench Volume to Distribution Network</t>
  </si>
  <si>
    <t>Feed flow per first-stage vessel</t>
  </si>
  <si>
    <t>Qfeed_1_guess</t>
  </si>
  <si>
    <t>Estimated concentrate flow per first-stage vessel</t>
  </si>
  <si>
    <t>Qconc_1_guess</t>
  </si>
  <si>
    <t>Pressure decrease required</t>
  </si>
  <si>
    <t>Pchange_largeY</t>
  </si>
  <si>
    <t>Concentrate flow is too small:</t>
  </si>
  <si>
    <t>Change required in concentrate (and permeate) flow</t>
  </si>
  <si>
    <t>smallQconc_change</t>
  </si>
  <si>
    <t>Percentage change required in permeate flow</t>
  </si>
  <si>
    <t>Qperm_pctchange_Qconc</t>
  </si>
  <si>
    <t>Pchange_smallQconc</t>
  </si>
  <si>
    <t>Element pressure drop is too large:</t>
  </si>
  <si>
    <t>Maximum Qavg for acceptable pressure drop</t>
  </si>
  <si>
    <t>Qavg_max_dPel</t>
  </si>
  <si>
    <t>Minimum Qperm for acceptable pressure drop</t>
  </si>
  <si>
    <t>Qperm_min_dPel</t>
  </si>
  <si>
    <t>Qperm_pctchange_dPel</t>
  </si>
  <si>
    <t>Pressure increase required</t>
  </si>
  <si>
    <t>For salinity, below minimum</t>
  </si>
  <si>
    <t>For salinity, above minimum</t>
  </si>
  <si>
    <t>Units</t>
  </si>
  <si>
    <t>Use</t>
  </si>
  <si>
    <t>Choose Indicator for Influent pumps</t>
  </si>
  <si>
    <t>inf_pump_choose</t>
  </si>
  <si>
    <t>Choose indicator for stage 2 booster pumps</t>
  </si>
  <si>
    <t>element_cost</t>
  </si>
  <si>
    <t>Membrane elements</t>
  </si>
  <si>
    <t>perm_valve_2_diam</t>
  </si>
  <si>
    <t>perm_valve_3_diam</t>
  </si>
  <si>
    <t>Maximum feed flow based on head loss</t>
  </si>
  <si>
    <t>sys_max_dP_flow</t>
  </si>
  <si>
    <t>At this feed flow, the element will experience its maximum head loss.</t>
  </si>
  <si>
    <t>el_1_2</t>
  </si>
  <si>
    <t>el_1_3</t>
  </si>
  <si>
    <t>el_1_4</t>
  </si>
  <si>
    <t>el_1_5</t>
  </si>
  <si>
    <t>el_1_6</t>
  </si>
  <si>
    <t>el_1_7</t>
  </si>
  <si>
    <t>el_2_1</t>
  </si>
  <si>
    <t>el_2_2</t>
  </si>
  <si>
    <t>el_2_3</t>
  </si>
  <si>
    <t>el_2_4</t>
  </si>
  <si>
    <t>el_2_5</t>
  </si>
  <si>
    <t>el_2_6</t>
  </si>
  <si>
    <t>el_2_7</t>
  </si>
  <si>
    <t>el_3_1</t>
  </si>
  <si>
    <t>el_3_2</t>
  </si>
  <si>
    <t>el_3_3</t>
  </si>
  <si>
    <t>el_3_4</t>
  </si>
  <si>
    <t>el_3_5</t>
  </si>
  <si>
    <t>el_3_6</t>
  </si>
  <si>
    <t>el_3_7</t>
  </si>
  <si>
    <t>Feed flow, gpm</t>
  </si>
  <si>
    <t>feed_flow_out</t>
  </si>
  <si>
    <t>units/tank</t>
  </si>
  <si>
    <t>temp_meter_in</t>
  </si>
  <si>
    <t>Electrical enclosure</t>
  </si>
  <si>
    <t>electric_encl</t>
  </si>
  <si>
    <t>Controllers are used only under full automation</t>
  </si>
  <si>
    <t>To change the degree of automation, change the number of controllers to zero for the appropriate items.</t>
  </si>
  <si>
    <t>Drive controllers per booster pump</t>
  </si>
  <si>
    <t>S_booster_pump</t>
  </si>
  <si>
    <t>Drive controllers per eductor</t>
  </si>
  <si>
    <t>S_eductor</t>
  </si>
  <si>
    <t>Drive controllers per mixer</t>
  </si>
  <si>
    <t>Full automation includes all inputs and outputs, semi-automated uses inputs only, manual control uses neither</t>
  </si>
  <si>
    <t>Note: the following table must be sorted alphabetically on the column entitled "Lookup Name."  To change the degree of automation, the user may replace the numbers in each of the blue columns.</t>
  </si>
  <si>
    <t>I/O Ports needed per….</t>
  </si>
  <si>
    <t>Discrete Inputs</t>
  </si>
  <si>
    <t>Discrete Outputs</t>
  </si>
  <si>
    <t>Analog Inputs</t>
  </si>
  <si>
    <t>Analog Outputs</t>
  </si>
  <si>
    <t>ventilation</t>
  </si>
  <si>
    <t>Building 3 ventilation</t>
  </si>
  <si>
    <t>Vessel ratio, this stage</t>
  </si>
  <si>
    <t>Vessel ratio, next stage</t>
  </si>
  <si>
    <t>ratio_curr_v</t>
  </si>
  <si>
    <t>ratio_next_v</t>
  </si>
  <si>
    <t>Ventilation air change rate for pretreatment equipment</t>
  </si>
  <si>
    <t>Ventilation air change rate for membrane &amp; chemical cleaning systems</t>
  </si>
  <si>
    <t>Building #1 value</t>
  </si>
  <si>
    <t>total_area</t>
  </si>
  <si>
    <t>Resulting target flux</t>
  </si>
  <si>
    <t>target_flux</t>
  </si>
  <si>
    <t>Pressure guess</t>
  </si>
  <si>
    <t>pi_feed_sys</t>
  </si>
  <si>
    <t>Concentrate osmotic pressure, 100% recovery</t>
  </si>
  <si>
    <t>pi_conc_guess</t>
  </si>
  <si>
    <t>Average osmotic pressure in system</t>
  </si>
  <si>
    <t>pi_avg_guess</t>
  </si>
  <si>
    <t>Estimated pressure drop in stage 1</t>
  </si>
  <si>
    <t>dP_1_guess</t>
  </si>
  <si>
    <t>This is a conservative estimate of influent TSS for a membrane system. It is used only to determine residuals management costs.  Concentrate TSS is calculated and will be higher, as TSS removed are concentrated.</t>
  </si>
  <si>
    <t>at zero pressure and osmotic pressure, and reference temperature; obtained from fit to manufacturer's programs run at a range of pressures and salinities</t>
  </si>
  <si>
    <t>sys_element_B_min_I</t>
  </si>
  <si>
    <t>at reference temperature, and minimum-B TDS; obtained from manufacturer's programs run at a range of salinities</t>
  </si>
  <si>
    <t>sys_element_B_max_I</t>
  </si>
  <si>
    <t>sys_element_dp_coeff_I</t>
  </si>
  <si>
    <t>sys_element_dp_exp</t>
  </si>
  <si>
    <t>sys_element_A_T_coeff_lo</t>
  </si>
  <si>
    <t>sys_element_A_T_coeff_hi</t>
  </si>
  <si>
    <t>High Qual SW</t>
  </si>
  <si>
    <t>Mid Qual SW</t>
  </si>
  <si>
    <t>Low Qual SW</t>
  </si>
  <si>
    <t>High Qual GW</t>
  </si>
  <si>
    <t>feed_meq_unbal</t>
  </si>
  <si>
    <t>molecular weight</t>
  </si>
  <si>
    <t>ion_mol_wt</t>
  </si>
  <si>
    <t>Sales Tax</t>
  </si>
  <si>
    <t>May be exempt if constructed with public funds.  May be as high as 7.25% of equipment and construction, with national average 4.75%.</t>
  </si>
  <si>
    <t>Financing during Construction</t>
  </si>
  <si>
    <t>Labor</t>
  </si>
  <si>
    <t>/hr</t>
  </si>
  <si>
    <t>hrs/yr</t>
  </si>
  <si>
    <t>Materials</t>
  </si>
  <si>
    <t>calculated as a percentage of capital</t>
  </si>
  <si>
    <t>lbs/yr</t>
  </si>
  <si>
    <t>/lb</t>
  </si>
  <si>
    <t>Energy</t>
  </si>
  <si>
    <t>pump_energy</t>
  </si>
  <si>
    <t>Mwh/yr</t>
  </si>
  <si>
    <t>/kwh</t>
  </si>
  <si>
    <t>average_flow_rate</t>
  </si>
  <si>
    <t>From Inputs</t>
  </si>
  <si>
    <t>ft</t>
  </si>
  <si>
    <t>Number of days of chemical storage needed</t>
  </si>
  <si>
    <t>day</t>
  </si>
  <si>
    <t>cstore_days</t>
  </si>
  <si>
    <t>pump_effcy</t>
  </si>
  <si>
    <t>Permeate flux</t>
  </si>
  <si>
    <t>Membrane replacement</t>
  </si>
  <si>
    <t>Total building footprint</t>
  </si>
  <si>
    <t>Concrete Class A for pad</t>
  </si>
  <si>
    <t>Number of feed water pumps</t>
  </si>
  <si>
    <t>Total feed water pumps</t>
  </si>
  <si>
    <t>curve</t>
  </si>
  <si>
    <t>Feed Water</t>
  </si>
  <si>
    <t>Replacement</t>
  </si>
  <si>
    <t>clean_labor</t>
  </si>
  <si>
    <t>clean_materials</t>
  </si>
  <si>
    <t>Influent Pumping</t>
  </si>
  <si>
    <t>pump_materials</t>
  </si>
  <si>
    <t>feed_meq*conc_pol*base_salt_passage*IF(element_type="RO",ion_conc_pol_coeffs_ro,IF(element_type="NF",ion_conc_pol_coeffs_nf,1))</t>
  </si>
  <si>
    <t>Ion passage coefficients</t>
  </si>
  <si>
    <t>based on element type (NF or RO)</t>
  </si>
  <si>
    <t>ion_passage_coeffs</t>
  </si>
  <si>
    <t>Estimated average flow per third-stage vessel</t>
  </si>
  <si>
    <t>Qavg_3_guess</t>
  </si>
  <si>
    <t>Estimated permeate flow per third-stage vessel</t>
  </si>
  <si>
    <t>Qperm_3_guess</t>
  </si>
  <si>
    <t>Estimated concentrate flow from third stage</t>
  </si>
  <si>
    <t>Qconc_3_total_guess</t>
  </si>
  <si>
    <t>pl_cst_eq</t>
  </si>
  <si>
    <t>fg_cst_eq</t>
  </si>
  <si>
    <t>Estimated concentrate flow per second-stage vessel</t>
  </si>
  <si>
    <t>Qconc_2_guess</t>
  </si>
  <si>
    <t>feed_alkalinity</t>
  </si>
  <si>
    <t>Ion strength correction for CO3</t>
  </si>
  <si>
    <t>feed_co3_corr</t>
  </si>
  <si>
    <t>[Alk] of untreated feed</t>
  </si>
  <si>
    <t>tot_cst_alarm</t>
  </si>
  <si>
    <t>tot_pre_alarm</t>
  </si>
  <si>
    <t>Total head loss sensors</t>
  </si>
  <si>
    <t>tot_headloss_sensors</t>
  </si>
  <si>
    <t>ports_bp</t>
  </si>
  <si>
    <t>Included only if bypass is specified</t>
  </si>
  <si>
    <t>Additional sampling ports</t>
  </si>
  <si>
    <t>Manual on cleaning line per makeup tank</t>
  </si>
  <si>
    <t>Manual on cleaning line per cleaning pump</t>
  </si>
  <si>
    <t>Manual on residuals line per holding tank</t>
  </si>
  <si>
    <t>pre_man_acid</t>
  </si>
  <si>
    <t>pre_man_anti</t>
  </si>
  <si>
    <t>feed_man_filter</t>
  </si>
  <si>
    <t>feed_man_fpump</t>
  </si>
  <si>
    <t>feed_man_bpump</t>
  </si>
  <si>
    <t>perm_man_throt</t>
  </si>
  <si>
    <t>labor_table</t>
  </si>
  <si>
    <t>cart_wt_table</t>
  </si>
  <si>
    <t>add_ports</t>
  </si>
  <si>
    <t>filter_discount_table</t>
  </si>
  <si>
    <t>cart_filter_discount_table</t>
  </si>
  <si>
    <t>Min Number PVs</t>
  </si>
  <si>
    <t>Max Number PVs</t>
  </si>
  <si>
    <t>We'll warn the user if the target recovery is outside these bounds. Otherwise these assumptions do not enter the model.</t>
  </si>
  <si>
    <t>Sampling ports</t>
  </si>
  <si>
    <t>ports</t>
  </si>
  <si>
    <t>Total drive controllers</t>
  </si>
  <si>
    <t>tot_switches</t>
  </si>
  <si>
    <t>System Controls</t>
  </si>
  <si>
    <t>Total discrete inputs</t>
  </si>
  <si>
    <t>discrete_inputs</t>
  </si>
  <si>
    <t>Total discrete outputs</t>
  </si>
  <si>
    <t>discrete_outputs</t>
  </si>
  <si>
    <t>Total analog inputs</t>
  </si>
  <si>
    <t>analog_inputs</t>
  </si>
  <si>
    <t>Total analog outputs</t>
  </si>
  <si>
    <t>analog_outputs</t>
  </si>
  <si>
    <t>I/O Discrete Output Modules</t>
  </si>
  <si>
    <t>plc_discrete_output</t>
  </si>
  <si>
    <t>I/O Discrete Input Modules</t>
  </si>
  <si>
    <t>plc_discrete_input</t>
  </si>
  <si>
    <t>I/O Combination Analog Modules</t>
  </si>
  <si>
    <t>plc_combination_analog</t>
  </si>
  <si>
    <t>Total number of PLC slots used</t>
  </si>
  <si>
    <t>plc_slots</t>
  </si>
  <si>
    <t>Expansions required</t>
  </si>
  <si>
    <t>plc_expansions</t>
  </si>
  <si>
    <t>PLC Rack/Power Supplies</t>
  </si>
  <si>
    <t>plc_rack</t>
  </si>
  <si>
    <t>Base Expansion Modules</t>
  </si>
  <si>
    <t>plc_base_expansion</t>
  </si>
  <si>
    <t>Base Expansion Controller Modules</t>
  </si>
  <si>
    <t>plc_base_expansion_controller</t>
  </si>
  <si>
    <t>Number of computer workstations</t>
  </si>
  <si>
    <t>POTW Discharge Fees</t>
  </si>
  <si>
    <t>TSS in discharged residuals</t>
  </si>
  <si>
    <t>TSS_residuals_dis</t>
  </si>
  <si>
    <t>Total TSS in excess of POTW limit (if applicable)</t>
  </si>
  <si>
    <t>ex_TSS_total</t>
  </si>
  <si>
    <t>Annual POTW base fee</t>
  </si>
  <si>
    <t>Annual POTW volume fee</t>
  </si>
  <si>
    <t>Annual POTW TSS fee</t>
  </si>
  <si>
    <t>tfeed_baso4_ksp</t>
  </si>
  <si>
    <t>tfeed_baso4_ip</t>
  </si>
  <si>
    <t>tfeed_baso4_sat_pct</t>
  </si>
  <si>
    <t>tfeed_srso4_ksp</t>
  </si>
  <si>
    <t>tfeed_srso4_ip</t>
  </si>
  <si>
    <t>tfeed_srso4_sat_pct</t>
  </si>
  <si>
    <t>conc_baso4_ksp</t>
  </si>
  <si>
    <t>1</t>
  </si>
  <si>
    <t>1.1</t>
  </si>
  <si>
    <t>2.1.1</t>
  </si>
  <si>
    <t>2.2.1</t>
  </si>
  <si>
    <t>2.3.1</t>
  </si>
  <si>
    <t>2.4.1</t>
  </si>
  <si>
    <t>2.4.2</t>
  </si>
  <si>
    <t>2.6.1</t>
  </si>
  <si>
    <t>2.5.1</t>
  </si>
  <si>
    <t>3.1.1</t>
  </si>
  <si>
    <t>3.2.1</t>
  </si>
  <si>
    <t>3.3.1</t>
  </si>
  <si>
    <t>3.4.1</t>
  </si>
  <si>
    <t>4.1.1</t>
  </si>
  <si>
    <t>4.1.2</t>
  </si>
  <si>
    <t>4.1.3</t>
  </si>
  <si>
    <t>4.1.4</t>
  </si>
  <si>
    <t>4.1.5</t>
  </si>
  <si>
    <t>4.1.6</t>
  </si>
  <si>
    <t>4.1.7</t>
  </si>
  <si>
    <t>4.1.8</t>
  </si>
  <si>
    <t>4.1.9</t>
  </si>
  <si>
    <t>4.1.10</t>
  </si>
  <si>
    <t>4.1.11</t>
  </si>
  <si>
    <t>4.2.1</t>
  </si>
  <si>
    <t>4.2.2</t>
  </si>
  <si>
    <t>4.2.3</t>
  </si>
  <si>
    <t>4.2.4</t>
  </si>
  <si>
    <t>4.2.5</t>
  </si>
  <si>
    <t>4.2.6</t>
  </si>
  <si>
    <t>4.2.7</t>
  </si>
  <si>
    <t>4.2.8</t>
  </si>
  <si>
    <t>4.2.9</t>
  </si>
  <si>
    <t>4.2.10</t>
  </si>
  <si>
    <t>4.2.11</t>
  </si>
  <si>
    <t>4.2.12</t>
  </si>
  <si>
    <t>4.3.1</t>
  </si>
  <si>
    <t>4.3.2</t>
  </si>
  <si>
    <t>4.3.3</t>
  </si>
  <si>
    <t>6.2.1</t>
  </si>
  <si>
    <t>6.2.2</t>
  </si>
  <si>
    <t>7.1.1</t>
  </si>
  <si>
    <t>9</t>
  </si>
  <si>
    <t>9.1.1</t>
  </si>
  <si>
    <t>9.2.1</t>
  </si>
  <si>
    <t>10.1.1</t>
  </si>
  <si>
    <t>10.2.1</t>
  </si>
  <si>
    <t>10.3.1</t>
  </si>
  <si>
    <t>11.1.1</t>
  </si>
  <si>
    <t>11.1.2</t>
  </si>
  <si>
    <t>11.1.3</t>
  </si>
  <si>
    <t>11.2.1</t>
  </si>
  <si>
    <t>11.2.2</t>
  </si>
  <si>
    <t>11.2.3</t>
  </si>
  <si>
    <t>11.3.1</t>
  </si>
  <si>
    <t>11.3.2</t>
  </si>
  <si>
    <t>11.3.3</t>
  </si>
  <si>
    <t>14</t>
  </si>
  <si>
    <t>14.1</t>
  </si>
  <si>
    <t>Standby Power</t>
  </si>
  <si>
    <t>Electrical (including yard wiring)</t>
  </si>
  <si>
    <t>Instrumentation and Control</t>
  </si>
  <si>
    <t>Permits</t>
  </si>
  <si>
    <t>Pilot Study</t>
  </si>
  <si>
    <t>Contingency</t>
  </si>
  <si>
    <t>Process Engineering</t>
  </si>
  <si>
    <t>Legal, Fiscal, and Administrative</t>
  </si>
  <si>
    <t>pH</t>
  </si>
  <si>
    <t>pK1</t>
  </si>
  <si>
    <t>pK2</t>
  </si>
  <si>
    <t>pKSo</t>
  </si>
  <si>
    <t>pKWater</t>
  </si>
  <si>
    <t>temp_K</t>
  </si>
  <si>
    <t>CO2</t>
  </si>
  <si>
    <t>feed_conc_I</t>
  </si>
  <si>
    <t>feed_pH</t>
  </si>
  <si>
    <t>Input concentrations, meq/l</t>
  </si>
  <si>
    <t>Input concentrations, ppm</t>
  </si>
  <si>
    <t>feed_conc_I_meq</t>
  </si>
  <si>
    <t>HCl strength to trigger RMP requirement</t>
  </si>
  <si>
    <t>HCl_strength_RMP</t>
  </si>
  <si>
    <t>ion_ba</t>
  </si>
  <si>
    <t>ion_sr</t>
  </si>
  <si>
    <t>Ba</t>
  </si>
  <si>
    <t>Sr</t>
  </si>
  <si>
    <t>BaSO4 saturation</t>
  </si>
  <si>
    <t>Ksp dependence on ion strength from ASTM D4692, Figure 3; method and fit parameters from TFSP, PerLorica, Inc.</t>
  </si>
  <si>
    <t>feed_baso4_ip</t>
  </si>
  <si>
    <t>feed_baso4_sat_pct</t>
  </si>
  <si>
    <t>feed_baso4_ksp</t>
  </si>
  <si>
    <t>SO4_delta_tfeed_ppm</t>
  </si>
  <si>
    <t>mg/l</t>
  </si>
  <si>
    <t>boost_2_pump_choose</t>
  </si>
  <si>
    <t>Choose indicator for stage 3 booster pumps</t>
  </si>
  <si>
    <t>boost_3_pump_choose</t>
  </si>
  <si>
    <t>pump_eq_chem</t>
  </si>
  <si>
    <t>Use antiscalant?</t>
  </si>
  <si>
    <t>use_antiscalant_list</t>
  </si>
  <si>
    <t>use_antiscalant_table</t>
  </si>
  <si>
    <t>yes</t>
  </si>
  <si>
    <t>no</t>
  </si>
  <si>
    <t>Acid dose per day (at peak flow)</t>
  </si>
  <si>
    <t>Computed based on feed water analysis and target pH for treated feed.</t>
  </si>
  <si>
    <t>Acid density</t>
  </si>
  <si>
    <t>lbs/gal</t>
  </si>
  <si>
    <t>Total yard piping cost</t>
  </si>
  <si>
    <t>Ion concentrations in blended product</t>
  </si>
  <si>
    <t>Design holding system for x days of reject at design flow, to be discharged at average flow</t>
  </si>
  <si>
    <t>Maximum holding basin size</t>
  </si>
  <si>
    <t>max_hbasin_size</t>
  </si>
  <si>
    <t>ft3</t>
  </si>
  <si>
    <t>Holding basin depth to volume ratio</t>
  </si>
  <si>
    <t>hbasin_ratio</t>
  </si>
  <si>
    <t>Number of holding basins</t>
  </si>
  <si>
    <t>hbasins</t>
  </si>
  <si>
    <t>hbasin_vol</t>
  </si>
  <si>
    <t>hbasin_freeboard</t>
  </si>
  <si>
    <t>Holding basin freeboard</t>
  </si>
  <si>
    <t>Holding basin operating volume</t>
  </si>
  <si>
    <t>hbasin_op_vol</t>
  </si>
  <si>
    <t>Concrete volume</t>
  </si>
  <si>
    <t>perm_valve_1_diam</t>
  </si>
  <si>
    <t>are computed within each stage; per-stage outputs are elsewhere. Some template formulas refer to the previous element</t>
  </si>
  <si>
    <t>in a stage. Since these formulas will not be meaningful for the first element in a stage, they include a second version,</t>
  </si>
  <si>
    <t>Enter 0% to exclude. 0.34% is national average rate. RSMeans Building Construction Cost Data 2009, reference section R01100-070</t>
  </si>
  <si>
    <t>Include performance bond cost?</t>
  </si>
  <si>
    <t>include_bond</t>
  </si>
  <si>
    <t>Include construction management cost?</t>
  </si>
  <si>
    <t>include_cm</t>
  </si>
  <si>
    <t>Construction Management and General Contractor Job Overhead</t>
  </si>
  <si>
    <t>Performance bond cost</t>
  </si>
  <si>
    <t>Bracket determined from direct capital cost</t>
  </si>
  <si>
    <t>Construction management percentage</t>
  </si>
  <si>
    <t>Looked up from direct capital cost</t>
  </si>
  <si>
    <t>Construction management fee</t>
  </si>
  <si>
    <t>Total construction management/job overhead cost</t>
  </si>
  <si>
    <t>cm_cost</t>
  </si>
  <si>
    <t>Construction Management and GC Overhead</t>
  </si>
  <si>
    <t>Lighting power per sf, low-quality buildings and sheds</t>
  </si>
  <si>
    <t>Soil density</t>
  </si>
  <si>
    <t>soil_dens</t>
  </si>
  <si>
    <t>lb/cubic ft.</t>
  </si>
  <si>
    <t>Based on soil density of loamy sand (1.55 gm/cc)</t>
  </si>
  <si>
    <t>Coefficient of passive pressure</t>
  </si>
  <si>
    <t>Coeff_Kp</t>
  </si>
  <si>
    <t>Reduction factor</t>
  </si>
  <si>
    <t>Reduction</t>
  </si>
  <si>
    <t>Bedding depth below pipe</t>
  </si>
  <si>
    <t>Months between cleanings at SDI 2</t>
  </si>
  <si>
    <t>cleaning_freq_SDI2</t>
  </si>
  <si>
    <t>Change in cleaning interval with SDI</t>
  </si>
  <si>
    <t>cleaning_freq_change</t>
  </si>
  <si>
    <t>Maximum cleaning interval</t>
  </si>
  <si>
    <t>cleaning_freq_max</t>
  </si>
  <si>
    <t>Standby power for heating</t>
  </si>
  <si>
    <t>Inputs</t>
  </si>
  <si>
    <t>Element</t>
  </si>
  <si>
    <t>element</t>
  </si>
  <si>
    <t>element_length</t>
  </si>
  <si>
    <t>element_diam</t>
  </si>
  <si>
    <t>element_area_I</t>
  </si>
  <si>
    <t>ft^2</t>
  </si>
  <si>
    <t>A value</t>
  </si>
  <si>
    <t>element_A_I</t>
  </si>
  <si>
    <t>gfd/psi</t>
  </si>
  <si>
    <t>PVs_per_train</t>
  </si>
  <si>
    <t>heating_diesel</t>
  </si>
  <si>
    <t>element_A_S_coeff</t>
  </si>
  <si>
    <t>Viscosity at reference condition</t>
  </si>
  <si>
    <t>visc_ref</t>
  </si>
  <si>
    <t>N s / m^2</t>
  </si>
  <si>
    <r>
      <t>D</t>
    </r>
    <r>
      <rPr>
        <sz val="10"/>
        <rFont val="Arial"/>
        <family val="2"/>
      </rPr>
      <t>P coeff, standard units</t>
    </r>
  </si>
  <si>
    <t>element_dp_coeff</t>
  </si>
  <si>
    <t>atm/(m^3/s)^exp</t>
  </si>
  <si>
    <t>Temperature correction factor for feed temp</t>
  </si>
  <si>
    <t>element_A_T_coeff</t>
  </si>
  <si>
    <t>Feed TDS</t>
  </si>
  <si>
    <t>feed_tds</t>
  </si>
  <si>
    <t>Calculated Membrane Values</t>
  </si>
  <si>
    <t>Backfill volume</t>
  </si>
  <si>
    <t>Railing length</t>
  </si>
  <si>
    <t>Holding basin operating depth</t>
  </si>
  <si>
    <t>hbasin_op_depth</t>
  </si>
  <si>
    <t>Holding basin width</t>
  </si>
  <si>
    <t>hbasin_width</t>
  </si>
  <si>
    <t>Holding basin length</t>
  </si>
  <si>
    <t>hbasin_length</t>
  </si>
  <si>
    <t>Holding basin depth including freeboard</t>
  </si>
  <si>
    <t>hbasin_depth</t>
  </si>
  <si>
    <t>Holding basin operating volume in gallons</t>
  </si>
  <si>
    <t>hbasin_conc_vol</t>
  </si>
  <si>
    <t>Excavation volume</t>
  </si>
  <si>
    <t>hbasin_excavation_vol</t>
  </si>
  <si>
    <t>hbasin_backfill_vol</t>
  </si>
  <si>
    <t>hbasin_railing</t>
  </si>
  <si>
    <t>Number of stair risers for basins</t>
  </si>
  <si>
    <t>risers</t>
  </si>
  <si>
    <t>overexcavate</t>
  </si>
  <si>
    <t>conc_thick</t>
  </si>
  <si>
    <t>Overexcavation for basins</t>
  </si>
  <si>
    <t>Concrete thickness for basins</t>
  </si>
  <si>
    <t>Computation</t>
  </si>
  <si>
    <t>Factor to apply to delta P_net</t>
  </si>
  <si>
    <t>sys_step_factor</t>
  </si>
  <si>
    <t>Precision for iteration</t>
  </si>
  <si>
    <t>sys_iter_precision</t>
  </si>
  <si>
    <t>Outputs, whole system</t>
  </si>
  <si>
    <t>Result of calculation</t>
  </si>
  <si>
    <t>calc_result</t>
  </si>
  <si>
    <t>num_stages_out</t>
  </si>
  <si>
    <t>Stage 1:2 ratio</t>
  </si>
  <si>
    <t>stage_1_2_ratio</t>
  </si>
  <si>
    <t>Stage 2:3 ratio</t>
  </si>
  <si>
    <t>stage_2_3_ratio</t>
  </si>
  <si>
    <t>num_vess_1_out</t>
  </si>
  <si>
    <t>Vessels in stage 2</t>
  </si>
  <si>
    <t>num_vess_2_out</t>
  </si>
  <si>
    <t>Vessels in stage 3</t>
  </si>
  <si>
    <t>num_vess_3_out</t>
  </si>
  <si>
    <t>feed_flow_sys</t>
  </si>
  <si>
    <t>conc_flow_sys</t>
  </si>
  <si>
    <t>the solution to the quadratic equation set up above</t>
  </si>
  <si>
    <t>Iteration: Guesses</t>
  </si>
  <si>
    <t>element_A</t>
  </si>
  <si>
    <t>B value</t>
  </si>
  <si>
    <t>element_B</t>
  </si>
  <si>
    <t>Net driving pressure</t>
  </si>
  <si>
    <t>P_net</t>
  </si>
  <si>
    <t>perm_flux</t>
  </si>
  <si>
    <t>m^3/s/m^2</t>
  </si>
  <si>
    <t>perm_flow</t>
  </si>
  <si>
    <t>Concentrate flow</t>
  </si>
  <si>
    <t>conc_flow</t>
  </si>
  <si>
    <t>recovery</t>
  </si>
  <si>
    <t>Average flow</t>
  </si>
  <si>
    <t>avg_flow</t>
  </si>
  <si>
    <t>Membrane fouling factor</t>
  </si>
  <si>
    <t>The tolerance permitted during iteration on P_net for a given element.</t>
  </si>
  <si>
    <t>Name</t>
  </si>
  <si>
    <t>sys_element_name</t>
  </si>
  <si>
    <t>valves/filter</t>
  </si>
  <si>
    <t>tot_antiscalant_MOVs</t>
  </si>
  <si>
    <t>tot_antiscalant_man</t>
  </si>
  <si>
    <t>tot_pH_controls</t>
  </si>
  <si>
    <t>Number of process valves</t>
  </si>
  <si>
    <t>Required depth for liquid accumulation</t>
  </si>
  <si>
    <t>ep_water_depth</t>
  </si>
  <si>
    <t>Number of cells</t>
  </si>
  <si>
    <t>System Controls - Operator Equipment - Drive controllers</t>
  </si>
  <si>
    <t>Operator interface units</t>
  </si>
  <si>
    <t>System Controls - Operator Equipment - Operator interface units</t>
  </si>
  <si>
    <t>PC Workstations</t>
  </si>
  <si>
    <t>System Controls - Operator Equipment - PC Workstations</t>
  </si>
  <si>
    <t>sys_element_area_I</t>
  </si>
  <si>
    <t>sys_element_A_I</t>
  </si>
  <si>
    <t>A_sal_corr_firstguess</t>
  </si>
  <si>
    <t>A value, with salinity correction guessed</t>
  </si>
  <si>
    <t>element_A_firstguess</t>
  </si>
  <si>
    <t>Salinity correction to B, based on feed</t>
  </si>
  <si>
    <t>B_sal_corr_firstguess</t>
  </si>
  <si>
    <t>Estimated pressure drop in stage 2</t>
  </si>
  <si>
    <t>dP_2_guess</t>
  </si>
  <si>
    <t>Estimated pressure drop in stage 3</t>
  </si>
  <si>
    <t>dP_3_guess</t>
  </si>
  <si>
    <t>Estimated pressure drop in system</t>
  </si>
  <si>
    <t>dP_tot_guess</t>
  </si>
  <si>
    <t>Temperature correction factor for A</t>
  </si>
  <si>
    <t>Total immersion heater power required</t>
  </si>
  <si>
    <t>Power of each immersion heater</t>
  </si>
  <si>
    <t>total_heater_power</t>
  </si>
  <si>
    <t>max_lsi_no_antiscalant</t>
  </si>
  <si>
    <t>max_caso4_no_antiscalant</t>
  </si>
  <si>
    <t>max_caf2_no_antiscalant</t>
  </si>
  <si>
    <t>Maximum SiO2 saturation without antiscalant</t>
  </si>
  <si>
    <t>max_sio2_conc_antiscalant</t>
  </si>
  <si>
    <t>max_sio2_sat_no_antiscalant</t>
  </si>
  <si>
    <t>Calcium Sulfate</t>
  </si>
  <si>
    <t>LSI (Calcium Carbonate)</t>
  </si>
  <si>
    <t>CaSO4 saturation in system concentrate</t>
  </si>
  <si>
    <t>LSI recommendation</t>
  </si>
  <si>
    <t>lsi_recommend</t>
  </si>
  <si>
    <t>lsi_bad_without_anti</t>
  </si>
  <si>
    <t>lsi_bad_with_anti</t>
  </si>
  <si>
    <t>LSI too high without antiscalant?</t>
  </si>
  <si>
    <t>LSI too high even with antiscalant?</t>
  </si>
  <si>
    <t>CaSO4 too high without antiscalant?</t>
  </si>
  <si>
    <t>CaSO4 too high even with antiscalant?</t>
  </si>
  <si>
    <t>Bypass pump footprint</t>
  </si>
  <si>
    <t>bypass_pump_fp</t>
  </si>
  <si>
    <t>Magnetic flow meter</t>
  </si>
  <si>
    <t>flow_mag</t>
  </si>
  <si>
    <t>Orifice plate flow meter</t>
  </si>
  <si>
    <t>flow_op</t>
  </si>
  <si>
    <t>Propeller flow meter</t>
  </si>
  <si>
    <t>flow_prop</t>
  </si>
  <si>
    <t>Venturi flow meter</t>
  </si>
  <si>
    <t>Number of security screens per chemical line</t>
  </si>
  <si>
    <t>sec_screen_per_chem</t>
  </si>
  <si>
    <t>Ductile Iron</t>
  </si>
  <si>
    <t>di_pipe_eq_in_out</t>
  </si>
  <si>
    <t>cpvc_pipe_eq_in_out</t>
  </si>
  <si>
    <t>pvc_pipe_eq_in_out</t>
  </si>
  <si>
    <t>ss_pipe_eq_in_out</t>
  </si>
  <si>
    <t>st_pipe_eq_in_out</t>
  </si>
  <si>
    <t>di_pipe_eq</t>
  </si>
  <si>
    <t>Standard oil furnace efficiency</t>
  </si>
  <si>
    <t>Mid-efficiency oil furnace efficiency</t>
  </si>
  <si>
    <t>feed_pipe_flow</t>
  </si>
  <si>
    <t>perm_pipe_flow</t>
  </si>
  <si>
    <t>Cleaning pipe diameter (acid and caustic)</t>
  </si>
  <si>
    <t>clean_pipe_diam</t>
  </si>
  <si>
    <t>Cleaning pipe flow (acid and caustic)</t>
  </si>
  <si>
    <t>clean_pipe_flow</t>
  </si>
  <si>
    <t>Number of immersion heaters</t>
  </si>
  <si>
    <t>clean_pipe_length</t>
  </si>
  <si>
    <t>Cleaning Pumps (separate for acid and caustic)</t>
  </si>
  <si>
    <t>Drive controllers per feed pump</t>
  </si>
  <si>
    <t>S_feed_pump</t>
  </si>
  <si>
    <t>Drive controllers per acid pretreatment metering pump</t>
  </si>
  <si>
    <t>Drive controllers per antiscalant pump</t>
  </si>
  <si>
    <t>S_anti_pump</t>
  </si>
  <si>
    <t>Cleaning piping length (acid and caustic)</t>
  </si>
  <si>
    <t>Size of flow meters for cleaning lines</t>
  </si>
  <si>
    <t>clean_meter_size</t>
  </si>
  <si>
    <t>Number of flow meters for cleaning lines</t>
  </si>
  <si>
    <t>tot_fm_clean</t>
  </si>
  <si>
    <t>Carbon Steel</t>
  </si>
  <si>
    <t>Triggered if high strength HCl stored in large quantities</t>
  </si>
  <si>
    <t>Cleaning Chemical Makeup Tanks</t>
  </si>
  <si>
    <t>Volume of cleaning solution makeup tanks</t>
  </si>
  <si>
    <t>Cleaning Solution Makeup Tanks</t>
  </si>
  <si>
    <t>pl_makeup_eq</t>
  </si>
  <si>
    <t>fg_makeup_eq</t>
  </si>
  <si>
    <t>di_pipe_eq_feed</t>
  </si>
  <si>
    <t>redundancy_I</t>
  </si>
  <si>
    <t>Accounts for losses in piping and valves between the booster pump and the second- or third-stage pressure vessel</t>
  </si>
  <si>
    <t>Into Stage 2</t>
  </si>
  <si>
    <t>Flow to be boosted</t>
  </si>
  <si>
    <t>Number of booster pumps</t>
  </si>
  <si>
    <t>boost_flow_2</t>
  </si>
  <si>
    <t>based on the maximum available pump size</t>
  </si>
  <si>
    <t>Booster pump rating (MGD)</t>
  </si>
  <si>
    <t>Booster pump rating (gpm)</t>
  </si>
  <si>
    <t>boost_pump_2_mgd</t>
  </si>
  <si>
    <t>boost_pump_2_gpm</t>
  </si>
  <si>
    <t>Booster pump head (psi)</t>
  </si>
  <si>
    <t>boost_pump_2_psi</t>
  </si>
  <si>
    <t>boost_pumps_2_op</t>
  </si>
  <si>
    <t>includes safety factor and head loss</t>
  </si>
  <si>
    <t>NF</t>
  </si>
  <si>
    <t>Redundant pressure vessels?</t>
  </si>
  <si>
    <t>redundancy_list</t>
  </si>
  <si>
    <t>redundancy_table</t>
  </si>
  <si>
    <t>To change the degree of automation, the user may replace the numbers in each of the blue columns.</t>
  </si>
  <si>
    <t>Number of control valves of x type on y line per z</t>
  </si>
  <si>
    <t>Lookup name</t>
  </si>
  <si>
    <t>Manual</t>
  </si>
  <si>
    <t>Semi-auto</t>
  </si>
  <si>
    <t>Fully Auto</t>
  </si>
  <si>
    <t>valves/tank</t>
  </si>
  <si>
    <t>Motor/air operated on residuals line per residuals pump</t>
  </si>
  <si>
    <t>tot_bp_MOVs</t>
  </si>
  <si>
    <t>Manual on residuals line per residuals pump</t>
  </si>
  <si>
    <t>res_man_pump</t>
  </si>
  <si>
    <t>res_man_tank</t>
  </si>
  <si>
    <t>tot_bp_man</t>
  </si>
  <si>
    <t>Number of manual valves for residuals line</t>
  </si>
  <si>
    <t>total_res_man</t>
  </si>
  <si>
    <t>If both heating and cooling are included, standby power requirements will be based on the maximum of the two.</t>
  </si>
  <si>
    <t>degrees F</t>
  </si>
  <si>
    <t>Should be consistent with (reflect same climate as) heating and cooling assumptions on O&amp;M assumptions page.  Assumptions are for St. Louis, Missouri.</t>
  </si>
  <si>
    <t>Feed pressure</t>
  </si>
  <si>
    <t>Boreholes per job</t>
  </si>
  <si>
    <t>hole_per_job</t>
  </si>
  <si>
    <t>boreholes/job</t>
  </si>
  <si>
    <t>Linear feet bored per day</t>
  </si>
  <si>
    <t>hole_per_day</t>
  </si>
  <si>
    <t>l.f./day</t>
  </si>
  <si>
    <t>RS Means Costworks 2001</t>
  </si>
  <si>
    <t>Density of anhydrous citric acid is 1.665. J.T. Baker MSDS, http://www.jtbaker.com/msds/englishhtml/C4735.htm.</t>
  </si>
  <si>
    <t>Dry chemical storage height</t>
  </si>
  <si>
    <t>storage_height</t>
  </si>
  <si>
    <t>Percentage is applied only to process cost. Building direct costs include electrical components.</t>
  </si>
  <si>
    <t>Minutes per 100 sf per day</t>
  </si>
  <si>
    <t xml:space="preserve">Administrative LOE as a percent of average technical labor </t>
  </si>
  <si>
    <t>Pump Materials</t>
  </si>
  <si>
    <t>Booster pump material cost</t>
  </si>
  <si>
    <t>Technology-specific Labor</t>
  </si>
  <si>
    <t>Pretreatment labor</t>
  </si>
  <si>
    <t>Membrane process labor</t>
  </si>
  <si>
    <t>Labor to maintain cleaning equipment:</t>
  </si>
  <si>
    <t>Pretreatment Materials</t>
  </si>
  <si>
    <t>Membrane Process Materials</t>
  </si>
  <si>
    <t>Cleaning Materials</t>
  </si>
  <si>
    <t>Annual Administrative LOE</t>
  </si>
  <si>
    <t>Administrative</t>
  </si>
  <si>
    <t>conc_caso4_sat_pct</t>
  </si>
  <si>
    <t>conc_ca_corr</t>
  </si>
  <si>
    <t>conc_f_corr</t>
  </si>
  <si>
    <t>conc_ca_molL</t>
  </si>
  <si>
    <t>conc_f_molL</t>
  </si>
  <si>
    <t>conc_caf2_ip</t>
  </si>
  <si>
    <t>conc_caf2_sat_pct</t>
  </si>
  <si>
    <t>Pressure change required to compensate errors and off-spec operation</t>
  </si>
  <si>
    <t>ion_offset</t>
  </si>
  <si>
    <t>Offset from top row</t>
  </si>
  <si>
    <t>conc_LSI_sys</t>
  </si>
  <si>
    <t>conc_CaSO4_sat_sys</t>
  </si>
  <si>
    <t>conc_SiO2_conc_sys</t>
  </si>
  <si>
    <t>conc_SiO2_sat_sys</t>
  </si>
  <si>
    <t>conc_CaF2_sat_sys</t>
  </si>
  <si>
    <t>LSI in system concentrate</t>
  </si>
  <si>
    <t>from Calc System sheet</t>
  </si>
  <si>
    <t>Maximum LSI without antiscalant</t>
  </si>
  <si>
    <t>Maximum CaSO4 saturation without antiscalant</t>
  </si>
  <si>
    <t>Maximum CaF2 saturation without antiscalant</t>
  </si>
  <si>
    <t>manual_I</t>
  </si>
  <si>
    <t>Second column holds the corresponding value for the "manual" parameter.</t>
  </si>
  <si>
    <t>System Automation</t>
  </si>
  <si>
    <t>auto_list</t>
  </si>
  <si>
    <t>manual</t>
  </si>
  <si>
    <t>auto_table</t>
  </si>
  <si>
    <t>semi-automated</t>
  </si>
  <si>
    <t>fully automated</t>
  </si>
  <si>
    <t xml:space="preserve">Manual or automatic control? </t>
  </si>
  <si>
    <t>Lists used for input sheet dropdowns</t>
  </si>
  <si>
    <t>component_level_list</t>
  </si>
  <si>
    <t>Component Level</t>
  </si>
  <si>
    <t>component_level_table</t>
  </si>
  <si>
    <t>low cost</t>
  </si>
  <si>
    <t>mid cost</t>
  </si>
  <si>
    <t>high cost</t>
  </si>
  <si>
    <t>Element Data - looked up from element table</t>
  </si>
  <si>
    <t>Feed temperature</t>
  </si>
  <si>
    <t>1500 ppm NaCl</t>
  </si>
  <si>
    <t>Surface TDS, for B correction factor</t>
  </si>
  <si>
    <t>surf_tds</t>
  </si>
  <si>
    <t>based on surface TDS, not bulk conditions in the brine</t>
  </si>
  <si>
    <t>High/Low alarms per chemical storage tank</t>
  </si>
  <si>
    <t>tot_fm_in</t>
  </si>
  <si>
    <t>Flow meter assemblies include pressure gauges</t>
  </si>
  <si>
    <t>tech_fp</t>
  </si>
  <si>
    <t>Number of test pits</t>
  </si>
  <si>
    <t>num_pits</t>
  </si>
  <si>
    <t>hr-sf-degF/BTU</t>
  </si>
  <si>
    <t>R-value for ceilings</t>
  </si>
  <si>
    <t>R_ceiling</t>
  </si>
  <si>
    <t>Annual heating degree days</t>
  </si>
  <si>
    <t>heat_DD</t>
  </si>
  <si>
    <t>degree days</t>
  </si>
  <si>
    <t>Annual cooling degree days</t>
  </si>
  <si>
    <t>With applied pressure</t>
  </si>
  <si>
    <t>With osmotic pressure</t>
  </si>
  <si>
    <t>Base A value</t>
  </si>
  <si>
    <t>Water permeability</t>
  </si>
  <si>
    <t>Salt permeability</t>
  </si>
  <si>
    <t>Basic information</t>
  </si>
  <si>
    <t>Dimensions</t>
  </si>
  <si>
    <t>B correction coeffs</t>
  </si>
  <si>
    <t>Head loss</t>
  </si>
  <si>
    <t>Reference conditions</t>
  </si>
  <si>
    <t>Minimum B value</t>
  </si>
  <si>
    <t>Maximum B value</t>
  </si>
  <si>
    <t>With temperature</t>
  </si>
  <si>
    <t>salt_rej_out</t>
  </si>
  <si>
    <t>Natural gas condensing furnace</t>
  </si>
  <si>
    <t>/gal</t>
  </si>
  <si>
    <t>2500 ppm NaCl</t>
  </si>
  <si>
    <t>Discount on replacement elements</t>
  </si>
  <si>
    <t>element_replace_disc</t>
  </si>
  <si>
    <t>Spent membrane element disposal</t>
  </si>
  <si>
    <t>Installation, Transportation, Overhead and Profit</t>
  </si>
  <si>
    <t>comp_in_prog</t>
  </si>
  <si>
    <t>Computation in progress?</t>
  </si>
  <si>
    <t>non_fire_buffer</t>
  </si>
  <si>
    <t>Building 1 ventilation</t>
  </si>
  <si>
    <t>kWh/yr</t>
  </si>
  <si>
    <t>Building 2 ventilation</t>
  </si>
  <si>
    <t>Total ventilation</t>
  </si>
  <si>
    <t>&lt;-- 1 for national average rate, 2 for a specific rate structure</t>
  </si>
  <si>
    <t>Mid Qual GW</t>
  </si>
  <si>
    <t>Low Qual GW</t>
  </si>
  <si>
    <t>Select Feed Water</t>
  </si>
  <si>
    <t>Feed water analyses may be reviewed and entered on the Water Specs sheet.</t>
  </si>
  <si>
    <t>component_level_I</t>
  </si>
  <si>
    <t/>
  </si>
  <si>
    <t>If blank, the model will use low-cost components.</t>
  </si>
  <si>
    <t>Optional Inputs</t>
  </si>
  <si>
    <t>TDS of untreated feed</t>
  </si>
  <si>
    <t>Dissolved inorganic carbon in feed, mol/l</t>
  </si>
  <si>
    <t>Based on general operator labor and percentages in critical design assumptions</t>
  </si>
  <si>
    <t>elem_disp_wt</t>
  </si>
  <si>
    <t>lbs/element</t>
  </si>
  <si>
    <t>&lt;--0 = no, otherwise yes</t>
  </si>
  <si>
    <t>Maximum flow into holding system</t>
  </si>
  <si>
    <t>Element 5</t>
  </si>
  <si>
    <t>Element 6</t>
  </si>
  <si>
    <t>Element 7</t>
  </si>
  <si>
    <t>Outputs, per element</t>
  </si>
  <si>
    <t>elem_out_template</t>
  </si>
  <si>
    <t>el_1_1</t>
  </si>
  <si>
    <t>Borings, report and recommendations from P.E.</t>
  </si>
  <si>
    <t>Borings, mobilization and demobilization, minimum</t>
  </si>
  <si>
    <t>Maximum influent pump size, RO/NF to 100 psi</t>
  </si>
  <si>
    <t>Maximum influent pump size, RO/NF to 150 psi</t>
  </si>
  <si>
    <t>Maximum influent pump size, RO/NF to 200 psi</t>
  </si>
  <si>
    <t>These are the largest pump flows for which costs are available, in each pressure range.</t>
  </si>
  <si>
    <t>POTW TSS discharge limit (over which fee would be imposed)</t>
  </si>
  <si>
    <t>POTW_TSS_limit</t>
  </si>
  <si>
    <t>We look up costs here in order to simplify formulas on the output sheet. This section applies to lookup tables (curve=0 or blank). If costs are generated from cost equations (curve=1), pump costs are generated the same way as for other components.</t>
  </si>
  <si>
    <t>150 psi</t>
  </si>
  <si>
    <t>200 psi</t>
  </si>
  <si>
    <t>250 psi</t>
  </si>
  <si>
    <t>300 psi</t>
  </si>
  <si>
    <t>350 psi</t>
  </si>
  <si>
    <t>500 psi</t>
  </si>
  <si>
    <t>Cost</t>
  </si>
  <si>
    <t>inf_pump_lkp_costs</t>
  </si>
  <si>
    <t>Flow</t>
  </si>
  <si>
    <t>Pump Costs from Lookup Tables</t>
  </si>
  <si>
    <t>boost_2_pump_lkp_costs</t>
  </si>
  <si>
    <t>boost_3_pump_lkp_costs</t>
  </si>
  <si>
    <t>cooling_hp</t>
  </si>
  <si>
    <t>Air conditioning</t>
  </si>
  <si>
    <t>Heat pump</t>
  </si>
  <si>
    <t>Electric resistance</t>
  </si>
  <si>
    <t>Natural gas non-condensing furnace</t>
  </si>
  <si>
    <t>/therm</t>
  </si>
  <si>
    <t>High/Low Alarms (for pretreatment chemical tanks)</t>
  </si>
  <si>
    <t>High/Low Alarms (for cleaning chemical storage tanks)</t>
  </si>
  <si>
    <t>pH meters</t>
  </si>
  <si>
    <t>Temperature meters</t>
  </si>
  <si>
    <t>Head loss sensors</t>
  </si>
  <si>
    <t>Motor/air operated on pretreatment line per acid metering pump</t>
  </si>
  <si>
    <t>Feed flow per vessel</t>
  </si>
  <si>
    <t>Permeate flow per vessel</t>
  </si>
  <si>
    <t>Concentrate flow per vessel</t>
  </si>
  <si>
    <t>flow_ven</t>
  </si>
  <si>
    <t>Orifice Plate</t>
  </si>
  <si>
    <t>Propeller</t>
  </si>
  <si>
    <t>prop_fm_eq_in</t>
  </si>
  <si>
    <t>prop_fm_eq</t>
  </si>
  <si>
    <t>Venturi</t>
  </si>
  <si>
    <t>ven_fm_eq_in</t>
  </si>
  <si>
    <t>ven_fm_eq</t>
  </si>
  <si>
    <t>Magnetic</t>
  </si>
  <si>
    <t>mag_fm_eq_in</t>
  </si>
  <si>
    <t>mag_fm_eq</t>
  </si>
  <si>
    <t>Flow Meters - Cleaning</t>
  </si>
  <si>
    <t>Flow Meters - Residuals</t>
  </si>
  <si>
    <t>prop_fm_eq_res</t>
  </si>
  <si>
    <t>ven_fm_eq_res</t>
  </si>
  <si>
    <t>mag_fm_eq_res</t>
  </si>
  <si>
    <t>prop_fm_eq_clean</t>
  </si>
  <si>
    <t>ven_fm_eq_clean</t>
  </si>
  <si>
    <t>mag_fm_eq_clean</t>
  </si>
  <si>
    <t>prop_fm_eq_feed</t>
  </si>
  <si>
    <t>ven_fm_eq_feed</t>
  </si>
  <si>
    <t>mag_fm_eq_feed</t>
  </si>
  <si>
    <t>prop_fm_eq_perm</t>
  </si>
  <si>
    <t>ven_fm_eq_perm</t>
  </si>
  <si>
    <t>mag_fm_eq_perm</t>
  </si>
  <si>
    <t>Flow Meters -  Cleaning</t>
  </si>
  <si>
    <t>Under assumptions below, valves are motorized for fully automated systems, manual for semi-automated and manual systems</t>
  </si>
  <si>
    <t>Total high/low alarms for pretreatment tanks</t>
  </si>
  <si>
    <t>Total high/low alarms for cleaning chemical storage tanks</t>
  </si>
  <si>
    <t>Replacement Cartridge Filters for RO</t>
  </si>
  <si>
    <t>cart_replace_eq_nf</t>
  </si>
  <si>
    <t>cart_replace_eq_ro</t>
  </si>
  <si>
    <t>Total Cost</t>
  </si>
  <si>
    <t>Useful Life</t>
  </si>
  <si>
    <t>System Size Category</t>
  </si>
  <si>
    <t>Pumps</t>
  </si>
  <si>
    <t>NA</t>
  </si>
  <si>
    <t>Chemicals</t>
  </si>
  <si>
    <t>Concrete Pad</t>
  </si>
  <si>
    <t>sf</t>
  </si>
  <si>
    <t>cy</t>
  </si>
  <si>
    <t>Design #</t>
  </si>
  <si>
    <t>psi</t>
  </si>
  <si>
    <t>Maximum feed flow</t>
  </si>
  <si>
    <t>max_feed_flow_I</t>
  </si>
  <si>
    <t>min_conc_flow_I</t>
  </si>
  <si>
    <t>Maximum temperature</t>
  </si>
  <si>
    <t>max_temp</t>
  </si>
  <si>
    <t>Maximum pressure drop per element</t>
  </si>
  <si>
    <t>Maximum pressure drop per vessel</t>
  </si>
  <si>
    <t>max_deltaP_el_I</t>
  </si>
  <si>
    <t>max_deltaP_ves_I</t>
  </si>
  <si>
    <t>Maximum feed SDI</t>
  </si>
  <si>
    <t>max_feed_SDI</t>
  </si>
  <si>
    <t>(15 min)</t>
  </si>
  <si>
    <t>(NF or RO)</t>
  </si>
  <si>
    <t>heating_gas</t>
  </si>
  <si>
    <t>Redundant security screens per system</t>
  </si>
  <si>
    <t>NRD_sec_screen</t>
  </si>
  <si>
    <t>Redundant cartridge filters per system</t>
  </si>
  <si>
    <t>NRD_cart_filter</t>
  </si>
  <si>
    <t>tot_clean_MOVs</t>
  </si>
  <si>
    <t>tot_clean_man</t>
  </si>
  <si>
    <t>Adjustments if Stage 3 has errors or is off-spec</t>
  </si>
  <si>
    <t>Is there an error in stage 3?</t>
  </si>
  <si>
    <t>Cleaning chemical storage</t>
  </si>
  <si>
    <t>We modify the water permeability (A value) of the membrane element by this factor before designing a system, to allow for a loss of permeability due to aging and fouling. Applied once, not compounded annually.</t>
  </si>
  <si>
    <t>element_I</t>
  </si>
  <si>
    <t>Cost Level Index</t>
  </si>
  <si>
    <t>Design flow units</t>
  </si>
  <si>
    <t>df_units</t>
  </si>
  <si>
    <t>Redundant PVs?</t>
  </si>
  <si>
    <t>Design flux (gfd)</t>
  </si>
  <si>
    <t>As SDI increases by 1, the cleaning interval decreases by this quantity.</t>
  </si>
  <si>
    <t>The maximum allowable cleaning interval.</t>
  </si>
  <si>
    <t>&lt;--enter 1 for citric, 2 for hydrochloric, 3 for low-pH proprietary cleaner for sulfate and metal control, 0 for no acid cycle</t>
  </si>
  <si>
    <t>&lt;--enter 1 for NaOH with no added agent, 2 for high-pH proprietary detergent, 0 for no high-pH cycle</t>
  </si>
  <si>
    <t>gal water/gal cleaner</t>
  </si>
  <si>
    <t>Low pH proprietary cleaner used per cleaning cycle</t>
  </si>
  <si>
    <t>prop_acid_per_cycle</t>
  </si>
  <si>
    <t>Low pH proprietary cleaner per year</t>
  </si>
  <si>
    <t>prop_acid_yr</t>
  </si>
  <si>
    <t>prop_acid_store_gal</t>
  </si>
  <si>
    <r>
      <t xml:space="preserve">The quantity used in </t>
    </r>
    <r>
      <rPr>
        <b/>
        <i/>
        <sz val="10"/>
        <color indexed="17"/>
        <rFont val="Arial"/>
        <family val="2"/>
      </rPr>
      <t>cstore_days</t>
    </r>
    <r>
      <rPr>
        <b/>
        <sz val="10"/>
        <color indexed="17"/>
        <rFont val="Arial"/>
        <family val="2"/>
      </rPr>
      <t xml:space="preserve"> days, but at least enough for one cleaning cycle.</t>
    </r>
  </si>
  <si>
    <t>NaOH per year</t>
  </si>
  <si>
    <t>NaOH storage in gallons</t>
  </si>
  <si>
    <t>NaOH used per cleaning cycle</t>
  </si>
  <si>
    <t>High pH detergent per year</t>
  </si>
  <si>
    <t>High pH detergent used per cleaning cycle</t>
  </si>
  <si>
    <t>prop_deterg_yr</t>
  </si>
  <si>
    <t>prop_deterg_store_gal</t>
  </si>
  <si>
    <t>prop_deterg_per_cycle</t>
  </si>
  <si>
    <t>Number of check valves on bypass line</t>
  </si>
  <si>
    <t>tot_bp_chv</t>
  </si>
  <si>
    <t>Control Software</t>
  </si>
  <si>
    <t>immersion_heaters</t>
  </si>
  <si>
    <t>Buffer space around other sides of buildings, Non-fire buffer</t>
  </si>
  <si>
    <t>Geotechnical &amp; Sitework</t>
  </si>
  <si>
    <t>Test pit length</t>
  </si>
  <si>
    <t>pit_length</t>
  </si>
  <si>
    <t>Test pit width</t>
  </si>
  <si>
    <t>pit_width</t>
  </si>
  <si>
    <t>Total Labor</t>
  </si>
  <si>
    <t>Water Name</t>
  </si>
  <si>
    <t>Ion Concentrations (ppm)</t>
  </si>
  <si>
    <t>SDI (15 min)</t>
  </si>
  <si>
    <t>SO4</t>
  </si>
  <si>
    <t>Ca</t>
  </si>
  <si>
    <t>CO3</t>
  </si>
  <si>
    <t>Mg</t>
  </si>
  <si>
    <t>HCO3</t>
  </si>
  <si>
    <t>K</t>
  </si>
  <si>
    <t>Component level</t>
  </si>
  <si>
    <t>component_level</t>
  </si>
  <si>
    <t>old_design_flux</t>
  </si>
  <si>
    <t>old_pretreat_acid_I</t>
  </si>
  <si>
    <t>res_solids_xfer_fp</t>
  </si>
  <si>
    <t>bore_depth_p</t>
  </si>
  <si>
    <t>Borehole depth for shallow basins</t>
  </si>
  <si>
    <t>bore_depth_min</t>
  </si>
  <si>
    <t>Borehole depth for deep basins</t>
  </si>
  <si>
    <t>bore_depth_max</t>
  </si>
  <si>
    <t>Drive controllers per slurry pump system</t>
  </si>
  <si>
    <t>S_slurry</t>
  </si>
  <si>
    <t>Managing holding tank solids</t>
  </si>
  <si>
    <t>Hours for manual removal of holding tank solids</t>
  </si>
  <si>
    <t>uloe_solids</t>
  </si>
  <si>
    <t>hours/cubic foot</t>
  </si>
  <si>
    <t>For systems using manual solids removal.  Based on 20 cubic yards removed per day, doubled for transfer from tank to pad and then from pad to truck for disposal.</t>
  </si>
  <si>
    <t>Solids Transfer</t>
  </si>
  <si>
    <t>Slurry Pump for Holding Tank Solids</t>
  </si>
  <si>
    <t>Characteristics of evaporation pond / holding system solids</t>
  </si>
  <si>
    <t>&lt;--pick one</t>
  </si>
  <si>
    <t>res_bw_dis_table</t>
  </si>
  <si>
    <t>Included only if direct discharge to surface water is the management option chosen on the input sheet</t>
  </si>
  <si>
    <t>Storm water permit cost</t>
  </si>
  <si>
    <t>Applies to systems requiring 1 acre of land or greater</t>
  </si>
  <si>
    <t>Risk management plan</t>
  </si>
  <si>
    <t>NEPA compliance</t>
  </si>
  <si>
    <t>Installation, Transportatation, and O&amp;P</t>
  </si>
  <si>
    <t>Installation, Transportatation, and O&amp;P percentage</t>
  </si>
  <si>
    <t>inst_pct</t>
  </si>
  <si>
    <t>Building 3 side conductance heat loss</t>
  </si>
  <si>
    <t>Building 3 air exchange heat loss</t>
  </si>
  <si>
    <t>heating</t>
  </si>
  <si>
    <t>Building 1 side conductance cooling loss</t>
  </si>
  <si>
    <t>Buiding 1 ceiling conductance cooling loss</t>
  </si>
  <si>
    <t>Building 1 air exchange cooling loss</t>
  </si>
  <si>
    <t>Building 2 side conductance cooling loss</t>
  </si>
  <si>
    <t>Buiding 2 ceiling conductance cooling loss</t>
  </si>
  <si>
    <t>Building 2 air exchange cooling loss</t>
  </si>
  <si>
    <t>Building 3 air exchange cooling loss</t>
  </si>
  <si>
    <t>Building 3 side conductance cooling loss</t>
  </si>
  <si>
    <t>cooling</t>
  </si>
  <si>
    <t>Membrane element cost</t>
  </si>
  <si>
    <t>fm_lkp_io</t>
  </si>
  <si>
    <t>Flow meter lookup code - residuals</t>
  </si>
  <si>
    <t>fm_lkp_res</t>
  </si>
  <si>
    <t>Flow meter lookup code - feed side</t>
  </si>
  <si>
    <t>Flow meter lookup code - permeate side</t>
  </si>
  <si>
    <t>fm_lkp_feed</t>
  </si>
  <si>
    <t>fm_lkp_perm</t>
  </si>
  <si>
    <t>These codes are used to look up SCADA requirements, which depend on the type of flow meter selected.</t>
  </si>
  <si>
    <t>Labor and materials; includes routine in-house maintenance and major repairs</t>
  </si>
  <si>
    <t>Cost to maintain heating system, building 1</t>
  </si>
  <si>
    <t>Cost to maintain cooling system, building 1</t>
  </si>
  <si>
    <t>Cost to maintain heating system, building 2</t>
  </si>
  <si>
    <t>Cost to maintain cooling system, building 2</t>
  </si>
  <si>
    <t>bldg_maint_cost</t>
  </si>
  <si>
    <t>Includes labor and materials</t>
  </si>
  <si>
    <t>Cost to maintain heating system, building 3</t>
  </si>
  <si>
    <t>Cost to maintain cooling system, building 3</t>
  </si>
  <si>
    <t>Include architectural fee?</t>
  </si>
  <si>
    <t>include_arch</t>
  </si>
  <si>
    <t>Must be added to building cost. Change for special considerations. Includes structural, mechanical, and electrical engineering for building only.</t>
  </si>
  <si>
    <t>Construction Management and General Contractor Overhead</t>
  </si>
  <si>
    <t>Builder's risk insurance percentage</t>
  </si>
  <si>
    <t>br_ins_pct</t>
  </si>
  <si>
    <t>lighting_power_low</t>
  </si>
  <si>
    <t>W/sf</t>
  </si>
  <si>
    <t>Lighting power per sf, mid-quality buildings</t>
  </si>
  <si>
    <t>lighting_power_mid</t>
  </si>
  <si>
    <t>Lighting power per sf, high-quality buildings</t>
  </si>
  <si>
    <t>lighting_power_high</t>
  </si>
  <si>
    <t>Lighting power per sf, building 1</t>
  </si>
  <si>
    <t>lighting_energy_1</t>
  </si>
  <si>
    <t>Lighting power per sf, building 2</t>
  </si>
  <si>
    <t>lighting_energy_2</t>
  </si>
  <si>
    <t>lighting_energy_3</t>
  </si>
  <si>
    <t>Recording operating paramenters for automated systems</t>
  </si>
  <si>
    <t>uloe_inst_auto</t>
  </si>
  <si>
    <t>For semiautomated and automated systems</t>
  </si>
  <si>
    <t>min/100 sf/day</t>
  </si>
  <si>
    <t>Maintenance LOE assumptions</t>
  </si>
  <si>
    <t>For instruments (includes calibration)</t>
  </si>
  <si>
    <t>uloe_inst_maint</t>
  </si>
  <si>
    <t>min/month</t>
  </si>
  <si>
    <t>For pumps</t>
  </si>
  <si>
    <t>uloe_pump_maint</t>
  </si>
  <si>
    <t>Based on vendor recommended maintenance activities; applied to large, frequently operated pumps only</t>
  </si>
  <si>
    <t>For valves</t>
  </si>
  <si>
    <t>uloe_valve_maint</t>
  </si>
  <si>
    <t>min/year</t>
  </si>
  <si>
    <t>Applied to main process valves only</t>
  </si>
  <si>
    <t>For chemical supply systems</t>
  </si>
  <si>
    <t>uloe_chem_maint</t>
  </si>
  <si>
    <t>Number of process instruments for operation</t>
  </si>
  <si>
    <t>Total number of instruments for maintenance</t>
  </si>
  <si>
    <t>tot_inst_maint</t>
  </si>
  <si>
    <t>Number of process pumps for operation</t>
  </si>
  <si>
    <t>Total number of pumps for maintenance</t>
  </si>
  <si>
    <t>tot_pumps_maint</t>
  </si>
  <si>
    <t>Number of chemical supplies</t>
  </si>
  <si>
    <t>tot_chem</t>
  </si>
  <si>
    <t>Instruments requiring daily observation</t>
  </si>
  <si>
    <t>All instruments for preventative maintenance</t>
  </si>
  <si>
    <t>Pumps requiring daily observation/adjustment</t>
  </si>
  <si>
    <t>Large, frequently operated pumps require preventative maintenance</t>
  </si>
  <si>
    <t>Main process valves require frequent operation and preventative maintenance</t>
  </si>
  <si>
    <t>Record system operating parameters (includes routine sampling)</t>
  </si>
  <si>
    <t>Preventative maintenance and calibration of instruments</t>
  </si>
  <si>
    <t>Verify/adjust pump operating parameters</t>
  </si>
  <si>
    <t>Preventative maintenance of pumps</t>
  </si>
  <si>
    <t>Verify/adjust valve positions</t>
  </si>
  <si>
    <t>Preventative maintenance and inspection of valves</t>
  </si>
  <si>
    <t>Visual inspection of facility</t>
  </si>
  <si>
    <t xml:space="preserve">Maintain/inspect chemical supply </t>
  </si>
  <si>
    <t>Buried pipe length</t>
  </si>
  <si>
    <t>buried_res_pipe_length</t>
  </si>
  <si>
    <t>res_trn_depth</t>
  </si>
  <si>
    <t>res_thrust_force</t>
  </si>
  <si>
    <t>res_bearing_area</t>
  </si>
  <si>
    <t>res_block_vol</t>
  </si>
  <si>
    <t>Trench cross-section area</t>
  </si>
  <si>
    <t>res_trench_area</t>
  </si>
  <si>
    <t>Trench volume to discharge point</t>
  </si>
  <si>
    <t>Trench volume total</t>
  </si>
  <si>
    <t>res_trench_vol</t>
  </si>
  <si>
    <t>res_pipe_bedding_vol</t>
  </si>
  <si>
    <t>Bedding</t>
  </si>
  <si>
    <t xml:space="preserve">Backfill and Compaction </t>
  </si>
  <si>
    <t>Thrust Blocks</t>
  </si>
  <si>
    <t>perm_flow_sys</t>
  </si>
  <si>
    <t>feed_tds_sys</t>
  </si>
  <si>
    <t>perm_tds_sys</t>
  </si>
  <si>
    <t>conc_tds_sys</t>
  </si>
  <si>
    <t>salt_rej_sys</t>
  </si>
  <si>
    <t>Total iterations, all elements</t>
  </si>
  <si>
    <t>total_iterations_sys</t>
  </si>
  <si>
    <t>Outputs, per stage</t>
  </si>
  <si>
    <t>stg_1</t>
  </si>
  <si>
    <t>stg_2</t>
  </si>
  <si>
    <t>stg_3</t>
  </si>
  <si>
    <t>feed_flow_v</t>
  </si>
  <si>
    <t>perm_flow_v</t>
  </si>
  <si>
    <t>conc_flow_v</t>
  </si>
  <si>
    <t>recovery_v</t>
  </si>
  <si>
    <t>P_feed_v</t>
  </si>
  <si>
    <t>feed_tds_v</t>
  </si>
  <si>
    <t>perm_tds_v</t>
  </si>
  <si>
    <t>conc_tds_v</t>
  </si>
  <si>
    <t>salt_rej_v</t>
  </si>
  <si>
    <t>Cleaning Temperature</t>
  </si>
  <si>
    <t>Ideal temperature range is 35 degrees C to 45 degrees C (95 - 113 degrees F)</t>
  </si>
  <si>
    <t>cleaning_temp</t>
  </si>
  <si>
    <t>Immersion heater heat-up time</t>
  </si>
  <si>
    <t>cleaning_heat_time</t>
  </si>
  <si>
    <t>chem_pump_feed_table</t>
  </si>
  <si>
    <t>sys_element_beta_coeff</t>
  </si>
  <si>
    <t>sys_element_type</t>
  </si>
  <si>
    <t>sys_feed_ppm</t>
  </si>
  <si>
    <t>Throttle pressure, stage 1</t>
  </si>
  <si>
    <t>Number of stages</t>
  </si>
  <si>
    <t>Vessels in stage 1</t>
  </si>
  <si>
    <t>Transmembrane osmotic pressure, psi</t>
  </si>
  <si>
    <t>PI_tm_out</t>
  </si>
  <si>
    <t>Pressure drop, psi</t>
  </si>
  <si>
    <t>dP_out</t>
  </si>
  <si>
    <t>Net driving pressure, psi</t>
  </si>
  <si>
    <t>P_net_out</t>
  </si>
  <si>
    <t>A value, gfd/psi</t>
  </si>
  <si>
    <t>A_out</t>
  </si>
  <si>
    <t>B value, gfd</t>
  </si>
  <si>
    <t>B_out</t>
  </si>
  <si>
    <t>conc_pol_out</t>
  </si>
  <si>
    <t>Feed TDS, ppm</t>
  </si>
  <si>
    <t>feed_tds_out</t>
  </si>
  <si>
    <t>Permeate TDS, ppm</t>
  </si>
  <si>
    <t>perm_tds_out</t>
  </si>
  <si>
    <t>Concentrate TDS, ppm</t>
  </si>
  <si>
    <t>Number of redundant influent and booster pumps</t>
  </si>
  <si>
    <t>Influent and booster pumping</t>
  </si>
  <si>
    <t>Losses between pump and pressure vessels</t>
  </si>
  <si>
    <t>Accounts for losses in piping and valves between the feed pump and the first-stage pressure vessel</t>
  </si>
  <si>
    <t>influent_headloss</t>
  </si>
  <si>
    <t>When the solution is not successful, this message goes to the user.</t>
  </si>
  <si>
    <t>Number of iterations required</t>
  </si>
  <si>
    <t>num_iterations</t>
  </si>
  <si>
    <t>sys_element_length</t>
  </si>
  <si>
    <t>sys_element_diam</t>
  </si>
  <si>
    <r>
      <t xml:space="preserve">Computed separately from the rest of mob/demob costs. Well costs are based on a regression in Mickley and Associates, </t>
    </r>
    <r>
      <rPr>
        <b/>
        <i/>
        <sz val="10"/>
        <color indexed="17"/>
        <rFont val="Arial"/>
        <family val="2"/>
      </rPr>
      <t>Membrane Concentrate Disposal: Practices and Regulation</t>
    </r>
    <r>
      <rPr>
        <b/>
        <sz val="10"/>
        <color indexed="17"/>
        <rFont val="Arial"/>
        <family val="2"/>
      </rPr>
      <t>, USBR Desalination and Water Purification Research and Development Program Report No. 123 (Second Edition), April 2006, with 20% mob/demob allowance excluded. This allowance adds in the rest of the cost.</t>
    </r>
  </si>
  <si>
    <t>Cost of all wells</t>
  </si>
  <si>
    <t>total_injection_well_cost</t>
  </si>
  <si>
    <t>Injection wells</t>
  </si>
  <si>
    <t>Wellhead pump rating</t>
  </si>
  <si>
    <t>well_pump_rating</t>
  </si>
  <si>
    <t>well_pump_eq</t>
  </si>
  <si>
    <t>lp40_pump_eq</t>
  </si>
  <si>
    <t>Concentrate injection wells</t>
  </si>
  <si>
    <t>hrs_filter</t>
  </si>
  <si>
    <t>Time</t>
  </si>
  <si>
    <t>sol_disposal_fee</t>
  </si>
  <si>
    <t>bedding_depth</t>
  </si>
  <si>
    <t>Bedding depth surrounding the pipe</t>
  </si>
  <si>
    <t>bedding_pct</t>
  </si>
  <si>
    <t>of pipe diameter</t>
  </si>
  <si>
    <t>Trench inside angle</t>
  </si>
  <si>
    <t>trench_angle</t>
  </si>
  <si>
    <t>radians</t>
  </si>
  <si>
    <t>Pipe length from water source to the boundary of the 10 foot buffer</t>
  </si>
  <si>
    <t>yard_in</t>
  </si>
  <si>
    <t>Use if technology is first step in treatment process</t>
  </si>
  <si>
    <t>Pipe length the boundary of the 10 foot buffer to distribution network</t>
  </si>
  <si>
    <t>yard_out</t>
  </si>
  <si>
    <t>Most common limit for cities with a limit.</t>
  </si>
  <si>
    <t>Average annual pan evaporation rate</t>
  </si>
  <si>
    <t>pan_evap</t>
  </si>
  <si>
    <t>cm/year</t>
  </si>
  <si>
    <t>2000 ppm MgSO4</t>
  </si>
  <si>
    <t>tot_pretreat_acid_man</t>
  </si>
  <si>
    <t>tot_feed_man</t>
  </si>
  <si>
    <t>tot_boost_2_man</t>
  </si>
  <si>
    <t>tot_boost_3_man</t>
  </si>
  <si>
    <t>tot_perm_1_man</t>
  </si>
  <si>
    <t>tot_perm_2_man</t>
  </si>
  <si>
    <t>tot_perm_3_man</t>
  </si>
  <si>
    <t>Number of MOVs for cleaning lines</t>
  </si>
  <si>
    <t>Number of MOVs for bypass line</t>
  </si>
  <si>
    <t>Number of manual valves for pretreatment acid pumps</t>
  </si>
  <si>
    <t>Number of manual valves for antiscalant pumps</t>
  </si>
  <si>
    <t>Number of manual valves on feed lines</t>
  </si>
  <si>
    <t>Number of manual valves on Stage 2 booster pumps</t>
  </si>
  <si>
    <t>Number of manual valves on Stage 3 booster pumps</t>
  </si>
  <si>
    <t>Permeate throttle MOVs for stage 1</t>
  </si>
  <si>
    <t>Permeate throttle MOVs for stage 2</t>
  </si>
  <si>
    <t>Permeate throttle MOVs for stage 3</t>
  </si>
  <si>
    <t>Permeate throttle manual valves for stage 1</t>
  </si>
  <si>
    <t>Permeate throttle manual valves for stage 2</t>
  </si>
  <si>
    <t>Permeate throttle manual valves for stage 3</t>
  </si>
  <si>
    <t>Number of manual valves for cleaning lines</t>
  </si>
  <si>
    <t>B value, with salinity correction guessed</t>
  </si>
  <si>
    <t>element_B_firstguess</t>
  </si>
  <si>
    <t>Pressure drop in element</t>
  </si>
  <si>
    <t>deltaP_firstguess</t>
  </si>
  <si>
    <t>Membrane process area</t>
  </si>
  <si>
    <t>Complete cleaning cycle length</t>
  </si>
  <si>
    <t>cleaning_cycle</t>
  </si>
  <si>
    <t>days</t>
  </si>
  <si>
    <t>caustic_need</t>
  </si>
  <si>
    <t>num_clean_sys</t>
  </si>
  <si>
    <t>pv_clean_sys</t>
  </si>
  <si>
    <t>vessels</t>
  </si>
  <si>
    <t>chem_tank_vol</t>
  </si>
  <si>
    <t>Chemical pump design flow</t>
  </si>
  <si>
    <t>chem_pump_rating</t>
  </si>
  <si>
    <t>Number of pumps</t>
  </si>
  <si>
    <t>total_chem_pumps</t>
  </si>
  <si>
    <t>total_chem_tanks</t>
  </si>
  <si>
    <t>Number of cleaning cycles per year</t>
  </si>
  <si>
    <t>cycles_yr</t>
  </si>
  <si>
    <t>cycles/yr</t>
  </si>
  <si>
    <t>HCl_yr</t>
  </si>
  <si>
    <t>NaOH_yr</t>
  </si>
  <si>
    <t>Chemical Cleaning System</t>
  </si>
  <si>
    <t>Residuals Management</t>
  </si>
  <si>
    <t>heating_diesel_non</t>
  </si>
  <si>
    <t>gal/yr</t>
  </si>
  <si>
    <t>computed with Van 't Hoff method</t>
  </si>
  <si>
    <t>Iteration: First Guesses</t>
  </si>
  <si>
    <t>Osmotic pressure correction to A, based on feed</t>
  </si>
  <si>
    <t>Main inputs equal?</t>
  </si>
  <si>
    <t>sizing_inputs_are_current</t>
  </si>
  <si>
    <t>If the flow, element, temperature, flux, and recovery are the same, we will start from the current pressure guess.</t>
  </si>
  <si>
    <t>Buiding 1 length and width</t>
  </si>
  <si>
    <t>build1_side</t>
  </si>
  <si>
    <t>Building 2 length and width</t>
  </si>
  <si>
    <t>build2_side</t>
  </si>
  <si>
    <t>Building 3 length and width</t>
  </si>
  <si>
    <t>build3_side</t>
  </si>
  <si>
    <t>Building 1 air exchange rate</t>
  </si>
  <si>
    <t>build1_cfm</t>
  </si>
  <si>
    <t>hours/year</t>
  </si>
  <si>
    <t>Operator</t>
  </si>
  <si>
    <t>Materials for residuals pumps</t>
  </si>
  <si>
    <t>Materials for feed water and booster pumps</t>
  </si>
  <si>
    <t>Energy for feed water and booster pumps</t>
  </si>
  <si>
    <t>Energy for residuals pumps</t>
  </si>
  <si>
    <t>ton/yr</t>
  </si>
  <si>
    <t>/ton</t>
  </si>
  <si>
    <t>num_filters</t>
  </si>
  <si>
    <t>Flow per filter</t>
  </si>
  <si>
    <t>filter_size</t>
  </si>
  <si>
    <t>Number purchased</t>
  </si>
  <si>
    <t>Percent Discount</t>
  </si>
  <si>
    <t>feet</t>
  </si>
  <si>
    <t>Access space per pump</t>
  </si>
  <si>
    <t>space_pumps</t>
  </si>
  <si>
    <t>Cartridge filter area</t>
  </si>
  <si>
    <t>Total number of cartridge filters</t>
  </si>
  <si>
    <t>active_filters</t>
  </si>
  <si>
    <t>NRD_filters</t>
  </si>
  <si>
    <t>Number of active cartridge filters</t>
  </si>
  <si>
    <t>Number of redundant cartridge filters</t>
  </si>
  <si>
    <t>pretreat_labor</t>
  </si>
  <si>
    <t>filters/yr</t>
  </si>
  <si>
    <t>filter_replacement</t>
  </si>
  <si>
    <t>cart_life</t>
  </si>
  <si>
    <t>months</t>
  </si>
  <si>
    <t>Acid</t>
  </si>
  <si>
    <t>Antiscalant</t>
  </si>
  <si>
    <t>acid_yr</t>
  </si>
  <si>
    <t>ss_chv_eq_res</t>
  </si>
  <si>
    <t>ss_chv_eq</t>
  </si>
  <si>
    <t>ci_chv_eq_res</t>
  </si>
  <si>
    <t>ci_chv_eq</t>
  </si>
  <si>
    <t>op_fm_eq_res</t>
  </si>
  <si>
    <t>op_fm_eq</t>
  </si>
  <si>
    <t>Residuals</t>
  </si>
  <si>
    <t>res_pump_eq</t>
  </si>
  <si>
    <t>Volumetric Feeder</t>
  </si>
  <si>
    <t>Gravimetric Feeder</t>
  </si>
  <si>
    <t>Portable</t>
  </si>
  <si>
    <t>Mounted</t>
  </si>
  <si>
    <t>mount_mix_eq</t>
  </si>
  <si>
    <t>uloe_fp</t>
  </si>
  <si>
    <t>index into the feed water table; linked to dropdown on the input sheet</t>
  </si>
  <si>
    <t>Number of mechanical ventilation days per year 2nd building (small system)</t>
  </si>
  <si>
    <t>fan_days_build2_small</t>
  </si>
  <si>
    <t>For small systems (&lt;1 MGD)</t>
  </si>
  <si>
    <t>Number of mechanical ventilation days per year 3rd building (small system)</t>
  </si>
  <si>
    <t>fan_days_build3_small</t>
  </si>
  <si>
    <t>Number of mechanical ventilation days per year first building (medium system)</t>
  </si>
  <si>
    <t>fan_days_build1_medium</t>
  </si>
  <si>
    <t>For medium systems (1 - 10 MGD)</t>
  </si>
  <si>
    <t>membrane_life</t>
  </si>
  <si>
    <t>years</t>
  </si>
  <si>
    <t>total_elements</t>
  </si>
  <si>
    <t>Pretreatment Acid Storage Tanks</t>
  </si>
  <si>
    <t>Fiberglass</t>
  </si>
  <si>
    <t>Pretreatment Antiscalant Storage Tanks</t>
  </si>
  <si>
    <t>Base salt passage</t>
  </si>
  <si>
    <t>base_salt_passage</t>
  </si>
  <si>
    <t>before concentration polarization</t>
  </si>
  <si>
    <t>Concentration polarization</t>
  </si>
  <si>
    <t>conc_pol</t>
  </si>
  <si>
    <t>before per-ion factors applied</t>
  </si>
  <si>
    <t>Permeate concentrations in meq/l - unbalanced</t>
  </si>
  <si>
    <t>perm_meq_unbal</t>
  </si>
  <si>
    <t>Total cations</t>
  </si>
  <si>
    <t>perm_cations</t>
  </si>
  <si>
    <t>Total anions</t>
  </si>
  <si>
    <t>perm_anions</t>
  </si>
  <si>
    <t>Difference</t>
  </si>
  <si>
    <t>perm_difference</t>
  </si>
  <si>
    <t>Cation balance factor</t>
  </si>
  <si>
    <t>cation_balance</t>
  </si>
  <si>
    <t>recovery_rate</t>
  </si>
  <si>
    <t>We signal an error if Stage 2 is off spec and we can't find an in-bounds pressure for Stage 1 or 2.</t>
  </si>
  <si>
    <t>HCl storage thresholds that trigger a requirement for a risk management plan, per 40 CFR 68.130</t>
  </si>
  <si>
    <t>HCl quantity to trigger RMP requirement</t>
  </si>
  <si>
    <t>HCl_quant_RMP</t>
  </si>
  <si>
    <t>Cleaning pumps</t>
  </si>
  <si>
    <t>clean_filt_fp</t>
  </si>
  <si>
    <t>Dimension table includes access space</t>
  </si>
  <si>
    <t>Cleaning solution makeup tanks</t>
  </si>
  <si>
    <t>clean_tank_fp</t>
  </si>
  <si>
    <t>&lt;--enter 0 to throttle stage 1, 1 to boost stage 2</t>
  </si>
  <si>
    <t>conc_baso4_ip</t>
  </si>
  <si>
    <t>conc_baso4_sat_pct</t>
  </si>
  <si>
    <t>conc_srso4_ksp</t>
  </si>
  <si>
    <t>conc_srso4_ip</t>
  </si>
  <si>
    <t>conc_srso4_sat_pct</t>
  </si>
  <si>
    <t>Concentrate BaSO4 saturation</t>
  </si>
  <si>
    <t>Concentrate SrSO4 saturation</t>
  </si>
  <si>
    <t>conc_BaSO4_sat_sys</t>
  </si>
  <si>
    <t>conc_SrSO4_sat_sys</t>
  </si>
  <si>
    <t>conc_BaSO4_sat_out</t>
  </si>
  <si>
    <t>conc_SrSO4_sat_out</t>
  </si>
  <si>
    <t>Concentrate BaSO4 saturation:</t>
  </si>
  <si>
    <t>Concentrate SrSO4 saturation:</t>
  </si>
  <si>
    <t>Barium Sulfate</t>
  </si>
  <si>
    <t>Strontium Sulfate</t>
  </si>
  <si>
    <t>BaSO4 saturation in system concentrate</t>
  </si>
  <si>
    <t>BaSO4 too high without antiscalant?</t>
  </si>
  <si>
    <t>BaSO4 too high even with antiscalant?</t>
  </si>
  <si>
    <t>BaSO4 recommendation</t>
  </si>
  <si>
    <t>SrSO4 saturation in system concentrate</t>
  </si>
  <si>
    <t>SrSO4 too high without antiscalant?</t>
  </si>
  <si>
    <t>SrSO4 too high even with antiscalant?</t>
  </si>
  <si>
    <t>SrSO4 recommendation</t>
  </si>
  <si>
    <t>srso4_bad_without_anti</t>
  </si>
  <si>
    <t>srso4_bad_with_anti</t>
  </si>
  <si>
    <t>srso4_recommend</t>
  </si>
  <si>
    <t>baso4_bad_without_anti</t>
  </si>
  <si>
    <t>baso4_bad_with_anti</t>
  </si>
  <si>
    <t>baso4_recommend</t>
  </si>
  <si>
    <t>Maximum BaSO4 saturation without antiscalant</t>
  </si>
  <si>
    <t>Maximum SrSO4 saturation without antiscalant</t>
  </si>
  <si>
    <t>max_baso4_no_antiscalant</t>
  </si>
  <si>
    <t>max_srso4_no_antiscalant</t>
  </si>
  <si>
    <t>Maximum BaSO4 saturation with antiscalant</t>
  </si>
  <si>
    <t>max_baso4_antiscalant</t>
  </si>
  <si>
    <t>max_srso4_antiscalant</t>
  </si>
  <si>
    <t>1 = OK (considers current antiscalant use), 2 = too high but can use basic antiscalant, 4 = too high even with antiscalant</t>
  </si>
  <si>
    <t>1 = OK (considers current antiscalant use), 3 = too high but can use premium antiscalant, 4 = too high even with antiscalant</t>
  </si>
  <si>
    <t>1 = all scaling OK (considers current antiscalant use), 2 = some saturation is too high but can use basic antiscalant, 3 = some saturation is too high but can use premium antiscalant, 4 = saturation is too high even with antiscalant</t>
  </si>
  <si>
    <t>Basic antiscalant</t>
  </si>
  <si>
    <t>Premium antiscalant</t>
  </si>
  <si>
    <t>anti_yr_basic</t>
  </si>
  <si>
    <t>anti_yr_premium</t>
  </si>
  <si>
    <t>1 for no, 2 for basic, 3 for premium</t>
  </si>
  <si>
    <t>None</t>
  </si>
  <si>
    <t>Premium (sulfate, silica)</t>
  </si>
  <si>
    <t>Basic (carbonate)</t>
  </si>
  <si>
    <t>num_iterations_pressure</t>
  </si>
  <si>
    <t>May be a throttle on stage 1 or a boost on stage 2</t>
  </si>
  <si>
    <t>May be a throttle on stage 2 or a boost on stage 3</t>
  </si>
  <si>
    <t>Temperature rise required</t>
  </si>
  <si>
    <t>temp_rise</t>
  </si>
  <si>
    <t>deg F</t>
  </si>
  <si>
    <t>hours</t>
  </si>
  <si>
    <t>Number of immersion heaters per tank</t>
  </si>
  <si>
    <t>heaters_per_tank</t>
  </si>
  <si>
    <t>Maximum heater power</t>
  </si>
  <si>
    <t>max_heater_power</t>
  </si>
  <si>
    <t>Largest size for which costs are available</t>
  </si>
  <si>
    <t>One heater per chemical tank, unless it wouldn't be enough to achieve the desired heat-up time</t>
  </si>
  <si>
    <t>Area per element</t>
  </si>
  <si>
    <t>Number of elements required</t>
  </si>
  <si>
    <t>total_elements_req</t>
  </si>
  <si>
    <t>Average recovery per element, as fraction of spec</t>
  </si>
  <si>
    <t>avg_Y_el_targ_frac</t>
  </si>
  <si>
    <t>caso4_bad_without_anti</t>
  </si>
  <si>
    <t>caso4_bad_with_anti</t>
  </si>
  <si>
    <t>caso4_recommend</t>
  </si>
  <si>
    <t>CaSO4 recommendation</t>
  </si>
  <si>
    <t>Silica</t>
  </si>
  <si>
    <t>Silica saturation in system concentrate</t>
  </si>
  <si>
    <t>Silica concentration in system concentrate</t>
  </si>
  <si>
    <t>SiO2 too high without antiscalant?</t>
  </si>
  <si>
    <t>SiO2 too high even with antiscalant?</t>
  </si>
  <si>
    <t>SiO2 recommendation</t>
  </si>
  <si>
    <t>sio2_bad_without_anti</t>
  </si>
  <si>
    <t>sio2_bad_with_anti</t>
  </si>
  <si>
    <t>sio2_recommend</t>
  </si>
  <si>
    <t>CaF2 saturation in system concentrate</t>
  </si>
  <si>
    <t>CaF2 too high without antiscalant?</t>
  </si>
  <si>
    <t>Membrane Booster Pumps</t>
  </si>
  <si>
    <t>Bypass pump rating</t>
  </si>
  <si>
    <t>bp_pump_rating</t>
  </si>
  <si>
    <t>Number of bypass pumps</t>
  </si>
  <si>
    <t>Total number of bypass pumps</t>
  </si>
  <si>
    <t>Percentage difference</t>
  </si>
  <si>
    <t>P_net_pctdiff</t>
  </si>
  <si>
    <t>Next value</t>
  </si>
  <si>
    <t>P_net_next</t>
  </si>
  <si>
    <t>Include geotechnical costs for medium cost systems?</t>
  </si>
  <si>
    <t>include_geo_medium</t>
  </si>
  <si>
    <t>Small system geotechnical investigation can be completed with test pits, larger systems require boreholes</t>
  </si>
  <si>
    <t>Include standby power costs?</t>
  </si>
  <si>
    <t>include_standby</t>
  </si>
  <si>
    <t>Electrical percentage</t>
  </si>
  <si>
    <t>elect_pct</t>
  </si>
  <si>
    <t>of direct cost</t>
  </si>
  <si>
    <t>Instrumentation and control percentage</t>
  </si>
  <si>
    <t>i_c_pct</t>
  </si>
  <si>
    <t>Included as a direct cost line item.</t>
  </si>
  <si>
    <t>Engineering percentage for small systems</t>
  </si>
  <si>
    <t>eng_pct_small</t>
  </si>
  <si>
    <t>Enter 0% to exclude.</t>
  </si>
  <si>
    <t>Engineering percentage for medium systems</t>
  </si>
  <si>
    <t>eng_pct_medium</t>
  </si>
  <si>
    <t>Natural gas condensing furnace efficiency</t>
  </si>
  <si>
    <t>gas_eff</t>
  </si>
  <si>
    <t>diesel_non_eff</t>
  </si>
  <si>
    <t>diesel_eff</t>
  </si>
  <si>
    <t>Heat pump cooling EER</t>
  </si>
  <si>
    <t>hp_EER</t>
  </si>
  <si>
    <t>BTU/hr</t>
  </si>
  <si>
    <t>A correction coeff for applied pressure</t>
  </si>
  <si>
    <t>sys_element_A_P_coeff</t>
  </si>
  <si>
    <t>correction factor is 1-coeff*pressure; ranges from 0.004 for seawater type elements to 0.007 for low-pressure elements</t>
  </si>
  <si>
    <t>A correction coeff for osmotic pressure</t>
  </si>
  <si>
    <t>sys_element_A_S_coeff_I</t>
  </si>
  <si>
    <t>correction factor is 1-coeff*PI_avg</t>
  </si>
  <si>
    <t>sys_element_B_T_coeff</t>
  </si>
  <si>
    <t>sys_element_sal_min_B</t>
  </si>
  <si>
    <t>sys_element_B_S_coeff_lo</t>
  </si>
  <si>
    <t>correction factor is 1-coeff*(TDS-TDSminB)</t>
  </si>
  <si>
    <t>sys_element_B_S_coeff_hi</t>
  </si>
  <si>
    <t>sys_element_ref_temp</t>
  </si>
  <si>
    <t>sys_element_ref_TDS</t>
  </si>
  <si>
    <t>Concentration polarization coefficient</t>
  </si>
  <si>
    <t>square feet</t>
  </si>
  <si>
    <t>gal</t>
  </si>
  <si>
    <t>lbs</t>
  </si>
  <si>
    <t>total_fp</t>
  </si>
  <si>
    <t>We won't go any lower than this number of elements per vessel, unless there is only one stage.</t>
  </si>
  <si>
    <t>Small (&lt;1 mgd)</t>
  </si>
  <si>
    <t>Medium (1-10 mgd)</t>
  </si>
  <si>
    <t>Large (&gt;10 mgd)</t>
  </si>
  <si>
    <t>Low</t>
  </si>
  <si>
    <t>Mid</t>
  </si>
  <si>
    <t>High</t>
  </si>
  <si>
    <t>Building 1</t>
  </si>
  <si>
    <t>Estimated concentrate flow per third-stage vessel</t>
  </si>
  <si>
    <t>Qconc_3_guess</t>
  </si>
  <si>
    <t>Number of stages, vessels, and elements in series</t>
  </si>
  <si>
    <t>Position</t>
  </si>
  <si>
    <t>What stage is this element?</t>
  </si>
  <si>
    <t>current_element_stage</t>
  </si>
  <si>
    <t>auto_clean_screen_eq</t>
  </si>
  <si>
    <t>simplex_prescreen_eq</t>
  </si>
  <si>
    <t>auto_prescreen_eq</t>
  </si>
  <si>
    <t>Elements/vessel</t>
  </si>
  <si>
    <t>Energy for all feed and booster pumps</t>
  </si>
  <si>
    <t>Feed/booster pump energy</t>
  </si>
  <si>
    <t>Number of boreholes</t>
  </si>
  <si>
    <t>num_holes</t>
  </si>
  <si>
    <t>Costs</t>
  </si>
  <si>
    <t>feed_sdi</t>
  </si>
  <si>
    <t>Operating limits</t>
  </si>
  <si>
    <t>Selected water index</t>
  </si>
  <si>
    <t>1.2</t>
  </si>
  <si>
    <t>1.3</t>
  </si>
  <si>
    <t>Membrane Elements</t>
  </si>
  <si>
    <t>RO Pressure Vessels</t>
  </si>
  <si>
    <t>total_PVs</t>
  </si>
  <si>
    <t>For information only</t>
  </si>
  <si>
    <t>op_trains</t>
  </si>
  <si>
    <t>Number of operating RO trains</t>
  </si>
  <si>
    <t>Total number of RO trains</t>
  </si>
  <si>
    <t>total_trains</t>
  </si>
  <si>
    <t>op_trains_I</t>
  </si>
  <si>
    <t>Total number of pressure vessels before train split</t>
  </si>
  <si>
    <t>Total number of elements before train split</t>
  </si>
  <si>
    <t>Minimum number of operating trains</t>
  </si>
  <si>
    <t>min_op_trains</t>
  </si>
  <si>
    <t>trains</t>
  </si>
  <si>
    <t>Number of redundant trains</t>
  </si>
  <si>
    <t>NRD_trains</t>
  </si>
  <si>
    <t>train</t>
  </si>
  <si>
    <t>Number of operating trains</t>
  </si>
  <si>
    <t>PVs per operating train</t>
  </si>
  <si>
    <t>PVs_per_train_prelim</t>
  </si>
  <si>
    <t>PVs/train</t>
  </si>
  <si>
    <t>Full System</t>
  </si>
  <si>
    <t>design_Qfeed_full</t>
  </si>
  <si>
    <t>design_Qperm_full</t>
  </si>
  <si>
    <t>Feed flow per train</t>
  </si>
  <si>
    <t>Permeate flow per train</t>
  </si>
  <si>
    <t>Elements per operating train</t>
  </si>
  <si>
    <t>el_per_train_prelim</t>
  </si>
  <si>
    <t>elements/train</t>
  </si>
  <si>
    <t>"average" here is an average over the elements at the design flow</t>
  </si>
  <si>
    <t>Total number of vessels per train</t>
  </si>
  <si>
    <t>Membrane area per train</t>
  </si>
  <si>
    <t>area_train</t>
  </si>
  <si>
    <t>If this cell is blank, the model determines the number of trains based on a minimum number of trains and a maximum permeate flow per train. Does not include redundancy.</t>
  </si>
  <si>
    <t>Used to determine number of trains. Capacity of Koch Membrane Systems' MM12 pre-engineered system.</t>
  </si>
  <si>
    <t>Require 2 operating trains unless overridden on input sheet, to make redundancy more reasonable.</t>
  </si>
  <si>
    <t>Pressure tuning routine</t>
  </si>
  <si>
    <t>PVs_per_train_calc</t>
  </si>
  <si>
    <t>elements_per_train_calc</t>
  </si>
  <si>
    <t>Pressure vessels per train</t>
  </si>
  <si>
    <t>Elements per train</t>
  </si>
  <si>
    <t>Total membrane area per train</t>
  </si>
  <si>
    <t>area_per_train_calc</t>
  </si>
  <si>
    <t>Total operating pressure vessels</t>
  </si>
  <si>
    <t>Use redundant train?</t>
  </si>
  <si>
    <t>&lt;--0 for no, 1 for yes</t>
  </si>
  <si>
    <t>NRD_trains_used</t>
  </si>
  <si>
    <t>Total operating membrane area</t>
  </si>
  <si>
    <t>op_elements</t>
  </si>
  <si>
    <t>op_area</t>
  </si>
  <si>
    <t>Total operating number of elements</t>
  </si>
  <si>
    <t>op_PVs</t>
  </si>
  <si>
    <t>Feed and concentrate port diameter, 4" pressure vessel</t>
  </si>
  <si>
    <t>Feed and concentrate port diameter, 8" pressure vessel</t>
  </si>
  <si>
    <t>Feed and concentrate port diameter, 16-18" pressure vessel</t>
  </si>
  <si>
    <t>Permeate port diameter, 4" pressure vessel</t>
  </si>
  <si>
    <t>Permeate port diameter, 8" pressure vessel</t>
  </si>
  <si>
    <t>Permeate port diameter, 16-18" pressure vessel</t>
  </si>
  <si>
    <t>feed_port_diam_4</t>
  </si>
  <si>
    <t>feed_port_diam_8</t>
  </si>
  <si>
    <t>feed_port_diam_16</t>
  </si>
  <si>
    <t>perm_port_diam_4</t>
  </si>
  <si>
    <t>perm_port_diam_8</t>
  </si>
  <si>
    <t>perm_port_diam_16</t>
  </si>
  <si>
    <t>Pressure vessel height-to-width ratio on rack</t>
  </si>
  <si>
    <t>pv_arrangement_ratio</t>
  </si>
  <si>
    <t>When setting up the rack's height and width, we arrange PVs so that (PVs vertically / PVs horizontally) targets this ratio.</t>
  </si>
  <si>
    <t>PV_rows</t>
  </si>
  <si>
    <t>Number of PV rows per rack</t>
  </si>
  <si>
    <t>Number of PV columns per rack</t>
  </si>
  <si>
    <t>PV_cols</t>
  </si>
  <si>
    <t>Total length of elements in a stage</t>
  </si>
  <si>
    <t>el_length_stg</t>
  </si>
  <si>
    <t>addl_length</t>
  </si>
  <si>
    <t>short_PV_extra_length_max</t>
  </si>
  <si>
    <t>PV_spacing_4</t>
  </si>
  <si>
    <t>PV_spacing_8</t>
  </si>
  <si>
    <t>PV_spacing_16</t>
  </si>
  <si>
    <t>Horizontal spacing between pressure vessels</t>
  </si>
  <si>
    <t>sp_horiz</t>
  </si>
  <si>
    <t>addl_width</t>
  </si>
  <si>
    <t>Vertical spacing between pressure vessels</t>
  </si>
  <si>
    <t>sp_vert</t>
  </si>
  <si>
    <t>addl_height</t>
  </si>
  <si>
    <t>Number of elements for "short" pressure vessel, 4" diameter</t>
  </si>
  <si>
    <t>Number of supports required for "short" pressure vessel, 4" diameter</t>
  </si>
  <si>
    <t>Number of supports required for "short" pressure vessel, 8" diameter</t>
  </si>
  <si>
    <t>Number of elements for "short" pressure vessel, 8" diameter</t>
  </si>
  <si>
    <t>Number of supports required for "short" pressure vessel, 16-18" diameter</t>
  </si>
  <si>
    <t>Number of elements for "short" pressure vessel, 16-18" diameter</t>
  </si>
  <si>
    <t>Number of supports required for "long" pressure vessel, 16-18" diameter</t>
  </si>
  <si>
    <t>Number of supports required for "long" pressure vessel, 8" diameter</t>
  </si>
  <si>
    <t>Number of supports required for "long" pressure vessel, 4" diameter</t>
  </si>
  <si>
    <t>Codeline 40S30, Protec 4-300-SP</t>
  </si>
  <si>
    <t>supports_short_4</t>
  </si>
  <si>
    <t>supports_long_4</t>
  </si>
  <si>
    <t>short_max_el_4</t>
  </si>
  <si>
    <t>supports_short_16</t>
  </si>
  <si>
    <t>supports_long_16</t>
  </si>
  <si>
    <t>short_max_el_16</t>
  </si>
  <si>
    <t>supports_short_8</t>
  </si>
  <si>
    <t>supports_long_8</t>
  </si>
  <si>
    <t>short_max_el_8</t>
  </si>
  <si>
    <t>Up to this number of elements we use the number of supports for a short PV; otherwise for a long PV. Codeline 40S30, Protec 4-300-SP.</t>
  </si>
  <si>
    <t>Victaulic connectors per vessel for feed and concentrate ports</t>
  </si>
  <si>
    <t>Protec 8-150-EP, Codeline 80E30, 80S15, 80S30</t>
  </si>
  <si>
    <t>Protec 8-150-SP, 8-300-SP, Codeline 80E30, 80S15, 80S30 (Protec end port vessels permit 2 supports up to 6 elements long)</t>
  </si>
  <si>
    <t>Standard size on Codeline 40S30, Protec 4-300-SP</t>
  </si>
  <si>
    <t>Standard size on Protec 8-15-SP, 8-300-EP, Codeline 80E30, 80S15, 80S30</t>
  </si>
  <si>
    <t>Standard size on Protec 8-15-SP, 8-300-EP, Codeline 80E30, 80S15, 80S30 (Protec side port vessels have 1.25 inch permeate ports)</t>
  </si>
  <si>
    <t>Victaulic connectors per vessel for permeate ports</t>
  </si>
  <si>
    <t>Assume use of NPT connectors on permeate ports</t>
  </si>
  <si>
    <t>Codeline 160E30, 160S30</t>
  </si>
  <si>
    <t>Codeline 160E30, 160S30; estimated for 60" long elements</t>
  </si>
  <si>
    <t>Standard size on Codeline 160E30, 160S30</t>
  </si>
  <si>
    <t>By default, we assume one feed and one concentrate port per vessel. Some systems may use multiple side ports, with more connectors.</t>
  </si>
  <si>
    <t>Length of one element plus an extra allowance; allowed at both ends.</t>
  </si>
  <si>
    <t>conn_feed_total</t>
  </si>
  <si>
    <t>conn_feed_PV</t>
  </si>
  <si>
    <t>conn_perm_PV</t>
  </si>
  <si>
    <t>Number of permeate Victaulic connectors</t>
  </si>
  <si>
    <t>conn_perm_total</t>
  </si>
  <si>
    <t>Feed/concentrate connector size</t>
  </si>
  <si>
    <t>Number of feed/concentrate Victaulic connectors</t>
  </si>
  <si>
    <t>conn_feed_diam</t>
  </si>
  <si>
    <t>conn_perm_diam</t>
  </si>
  <si>
    <t>Permeate connector size</t>
  </si>
  <si>
    <t>Pressure vessels</t>
  </si>
  <si>
    <t>Pressure rating for vessels</t>
  </si>
  <si>
    <t>PV_rating</t>
  </si>
  <si>
    <t>Required pressure rating for vessels</t>
  </si>
  <si>
    <t>PV_rating_req</t>
  </si>
  <si>
    <t>PV_rating_sf</t>
  </si>
  <si>
    <t>Safety factor for pressure vessel rating</t>
  </si>
  <si>
    <t>Maximum feed pressure in any vessel, with a safety factor</t>
  </si>
  <si>
    <t>Pressure vessel inner diameter</t>
  </si>
  <si>
    <t>Element class</t>
  </si>
  <si>
    <t>element_class</t>
  </si>
  <si>
    <t>Shorthand for element diameter. 1 -&gt; 4", 2 -&gt; 8", 3 -&gt; 16-18"</t>
  </si>
  <si>
    <t>Sampling ports per pressure vessel</t>
  </si>
  <si>
    <t>ports_PV</t>
  </si>
  <si>
    <t>port/PV</t>
  </si>
  <si>
    <t>1 port on each permeate line. Howard Steiman, RW Beck.</t>
  </si>
  <si>
    <t>Flow rate for rapid recirculation phase, per PV, 4" elements</t>
  </si>
  <si>
    <t>Flow rate for rapid recirculation phase, per PV, 8" elements</t>
  </si>
  <si>
    <t>Flow rate for rapid recirculation phase, per PV, 16-18" elements</t>
  </si>
  <si>
    <t>high_circ_flow_PV_4</t>
  </si>
  <si>
    <t>high_circ_flow_PV_8</t>
  </si>
  <si>
    <t>high_circ_flow_PV_16</t>
  </si>
  <si>
    <t>Hydranautics TSB107.20, July 2010: 160 gpm for 16" elements. Personal communication from Jack Cangiano, Koch, to Howard Steiman, RW Beck, May 2011: 200 gpm for 18" elements.</t>
  </si>
  <si>
    <t>Maximum SrSO4 saturation with antiscalant</t>
  </si>
  <si>
    <t>1.4</t>
  </si>
  <si>
    <t>1.3.1</t>
  </si>
  <si>
    <t>Feed Line Connectors</t>
  </si>
  <si>
    <t>Permeate Line Connectors</t>
  </si>
  <si>
    <t>Base cost</t>
  </si>
  <si>
    <t>pv_base_cost</t>
  </si>
  <si>
    <t>Cost is parameterized as a base cost plus a cost per element, reflecting different costs for different PV lengths.</t>
  </si>
  <si>
    <t>Cost per element length</t>
  </si>
  <si>
    <t>pv_element_cost</t>
  </si>
  <si>
    <t>PV cost</t>
  </si>
  <si>
    <t>pv_cost</t>
  </si>
  <si>
    <t>N/A</t>
  </si>
  <si>
    <t>Victaulic, Painted</t>
  </si>
  <si>
    <t>Victaulic, Galvanized</t>
  </si>
  <si>
    <t>1.5</t>
  </si>
  <si>
    <t>1.4.1</t>
  </si>
  <si>
    <t>1.6</t>
  </si>
  <si>
    <t>Flow Meters - Membrane Trains - Concentrate Line</t>
  </si>
  <si>
    <t>Flow Meters - Membrane Trains - Feed Line</t>
  </si>
  <si>
    <t>Flow Meters - Membrane Trains - Permeate Line</t>
  </si>
  <si>
    <t>Concentrate pipe diameter</t>
  </si>
  <si>
    <t>conc_pipe_flow</t>
  </si>
  <si>
    <t>conc_pipe_diam</t>
  </si>
  <si>
    <t>tot_fm_conc</t>
  </si>
  <si>
    <t>conc_meter_size</t>
  </si>
  <si>
    <t>op_fm_eq_conc</t>
  </si>
  <si>
    <t>prop_fm_eq_conc</t>
  </si>
  <si>
    <t>ven_fm_eq_conc</t>
  </si>
  <si>
    <t>mag_fm_eq_conc</t>
  </si>
  <si>
    <t>Sampling ports per cartridge filter</t>
  </si>
  <si>
    <t>ports_cart</t>
  </si>
  <si>
    <t>port/filter</t>
  </si>
  <si>
    <t>For SDI testing. Howard Steiman, RW Beck.</t>
  </si>
  <si>
    <t>Combined pump and motor efficiency, so the electrical power requirement is equal to flow * pressure / efficiency. 75-80% per Howard Steiman, RW Beck.</t>
  </si>
  <si>
    <t>Number of redundant injection wells</t>
  </si>
  <si>
    <t>NRD_wells</t>
  </si>
  <si>
    <t>At least one spare. Howard Steiman, RW Beck.</t>
  </si>
  <si>
    <t>cart_life_short</t>
  </si>
  <si>
    <t>Life of cartridge filters for high SDI</t>
  </si>
  <si>
    <t>Life of cartridge filters for low SDI</t>
  </si>
  <si>
    <t>Maximum SDI for "low SDI" cartridge filter life</t>
  </si>
  <si>
    <t>cart_life_long</t>
  </si>
  <si>
    <t>cart_life_sdi_cutover</t>
  </si>
  <si>
    <t>Howard Steiman, RW Beck. 3 mos for surface water with SDI &gt;~2.5</t>
  </si>
  <si>
    <t>Howard Steiman, RW Beck. 6-8 mos for water with SDI &lt; 1</t>
  </si>
  <si>
    <t>Cartridge filter replacement interval</t>
  </si>
  <si>
    <t>Cartridge filter replacement rate</t>
  </si>
  <si>
    <t>Based on SDI</t>
  </si>
  <si>
    <t>Bypass pump material cost</t>
  </si>
  <si>
    <t>Based on the PV ratings available.</t>
  </si>
  <si>
    <t>Number of internal supports per pressure vessel</t>
  </si>
  <si>
    <t>pv_supports</t>
  </si>
  <si>
    <t>Does PV require fewer or more supports?</t>
  </si>
  <si>
    <t>is_PV_long</t>
  </si>
  <si>
    <t>Shorter pressure vessels (containing fewer elements) may require fewer internal supports.</t>
  </si>
  <si>
    <t>&lt;--1 for fewer, 2 for more</t>
  </si>
  <si>
    <t>total_beam_length</t>
  </si>
  <si>
    <t>Permeate flow in one header</t>
  </si>
  <si>
    <t>Permeate header diameter</t>
  </si>
  <si>
    <t>perm_hdr_diam</t>
  </si>
  <si>
    <t>Qperm_hdr</t>
  </si>
  <si>
    <t>perm_hdr_length</t>
  </si>
  <si>
    <t>Feed flow in one header</t>
  </si>
  <si>
    <t>Qfeed_hdr</t>
  </si>
  <si>
    <t>feed_hdr_diam</t>
  </si>
  <si>
    <t>feed_hdr_length</t>
  </si>
  <si>
    <t>Qconc_hdr</t>
  </si>
  <si>
    <t>conc_hdr_diam</t>
  </si>
  <si>
    <t>conc_hdr_length</t>
  </si>
  <si>
    <t>Feed header diameter</t>
  </si>
  <si>
    <t>Concentrate flow in one header</t>
  </si>
  <si>
    <t>Concentrate header diameter</t>
  </si>
  <si>
    <t>1.5.1</t>
  </si>
  <si>
    <t>1.5.2</t>
  </si>
  <si>
    <t>1.5.3</t>
  </si>
  <si>
    <t>Piping On Rack</t>
  </si>
  <si>
    <t>Feed - Stainless Steel</t>
  </si>
  <si>
    <t>Concentrate - Stainless Steel</t>
  </si>
  <si>
    <t>Permeate piping length assumed</t>
  </si>
  <si>
    <t>Feed piping length assumed</t>
  </si>
  <si>
    <t>Concentrate piping length assumed</t>
  </si>
  <si>
    <t>feed_pipe_len</t>
  </si>
  <si>
    <t>perm_pipe_len</t>
  </si>
  <si>
    <t>conc_pipe_len</t>
  </si>
  <si>
    <t>PV columns for one feed distributor</t>
  </si>
  <si>
    <t>PV columns for one concentrate collector</t>
  </si>
  <si>
    <t>PV columns for one permeate collector</t>
  </si>
  <si>
    <t>cols_per_feed_hdr</t>
  </si>
  <si>
    <t>cols_per_conc_hdr</t>
  </si>
  <si>
    <t>cols_per_perm_hdr</t>
  </si>
  <si>
    <t>Piping On Rack - Feed - Stainless Steel</t>
  </si>
  <si>
    <t>Piping On Rack - Concentrate - Stainless Steel</t>
  </si>
  <si>
    <t>ss_pipe_eq_feed_rack</t>
  </si>
  <si>
    <t>ss_pipe_eq_conc_rack</t>
  </si>
  <si>
    <t>Average NDP, stage 2</t>
  </si>
  <si>
    <t>Average NDP, stage 3</t>
  </si>
  <si>
    <t>Number of first-stage vessels per train</t>
  </si>
  <si>
    <t>Include redundant train?</t>
  </si>
  <si>
    <t>Vessel Support Rack - Steel Beams</t>
  </si>
  <si>
    <t>Motor/air operated permeate throttle valves per rack and stage</t>
  </si>
  <si>
    <t>Manual permeate throttle valves per rack and stage</t>
  </si>
  <si>
    <t>Extra rack length, in addition to length of elements</t>
  </si>
  <si>
    <t>Maximum extra rack length for short pressure vessels</t>
  </si>
  <si>
    <t>Space between pressure vessels on rack, 4" pressure vessel</t>
  </si>
  <si>
    <t>Space between pressure vessels on rack, 8" pressure vessel</t>
  </si>
  <si>
    <t>Space between pressure vessels on rack, 16-18" pressure vessel</t>
  </si>
  <si>
    <t>Extra rack width, in addition to that for PVs</t>
  </si>
  <si>
    <t>Extra rack height, in addition to that for PVs</t>
  </si>
  <si>
    <t>Flow meters per membrane rack, feed side</t>
  </si>
  <si>
    <t>Flow meters per membrane rack, permeate side</t>
  </si>
  <si>
    <t>Flow meters per membrane rack, concentrate line</t>
  </si>
  <si>
    <t>Conductivity meters per rack</t>
  </si>
  <si>
    <t>Head loss sensors per rack</t>
  </si>
  <si>
    <t>Sampling ports per membrane rack</t>
  </si>
  <si>
    <t>Max permeate flow per rack, 4" elements</t>
  </si>
  <si>
    <t>Max permeate flow per rack, 8" elements</t>
  </si>
  <si>
    <t>Max permeate flow per rack, 16-18" elements</t>
  </si>
  <si>
    <t>units/rack</t>
  </si>
  <si>
    <t>port/rack</t>
  </si>
  <si>
    <t>One each on feed, concentrate, permate line per rack</t>
  </si>
  <si>
    <t>Used to determine number of trains. 2 MGD is typical rack capacity. Howard Steiman, RW Beck.</t>
  </si>
  <si>
    <t>Extra rack length cannot exceed this percentage of the total element length. This limit should apply only to one-stage systems with few elements per vessel.</t>
  </si>
  <si>
    <t>These assumptions are used for horizontal and vertical spacing of PVs, to estimate rack height and width. 1 ft per Howard Steiman, RW Beck.</t>
  </si>
  <si>
    <t>Access space on both ends of the rack is equal to the element length plus this extra length. Other sides of the rack have standard access space.</t>
  </si>
  <si>
    <t>valves/rack/stage</t>
  </si>
  <si>
    <t>fm_rack_perm</t>
  </si>
  <si>
    <t>fm_rack_conc</t>
  </si>
  <si>
    <t>cond_rack</t>
  </si>
  <si>
    <t>head_rack</t>
  </si>
  <si>
    <t>ports_rack</t>
  </si>
  <si>
    <t>max_flow_rack_4</t>
  </si>
  <si>
    <t>max_flow_rack_8</t>
  </si>
  <si>
    <t>max_flow_rack_16</t>
  </si>
  <si>
    <t>extra_rack_length</t>
  </si>
  <si>
    <t>extra_rack_width</t>
  </si>
  <si>
    <t>extra_rack_height</t>
  </si>
  <si>
    <t>fm_rack_feed</t>
  </si>
  <si>
    <t>max_flow_rack</t>
  </si>
  <si>
    <t>Number of operating racks</t>
  </si>
  <si>
    <t>op_racks</t>
  </si>
  <si>
    <t>Assuming that each train is contained on one rack</t>
  </si>
  <si>
    <t>Number of pressure vessels per rack</t>
  </si>
  <si>
    <t>pv_per_rack</t>
  </si>
  <si>
    <t>If the number of racks does not equal the number of trains, this is a maximum; racks will be designed to accommodate this many vessels, but not all positions will be populated.</t>
  </si>
  <si>
    <t>Total racks</t>
  </si>
  <si>
    <t>total_racks</t>
  </si>
  <si>
    <t>Rack design</t>
  </si>
  <si>
    <t>Additional rack length</t>
  </si>
  <si>
    <t>Rack length</t>
  </si>
  <si>
    <t>Additional rack width</t>
  </si>
  <si>
    <t>Rack width</t>
  </si>
  <si>
    <t>Rack height</t>
  </si>
  <si>
    <t>Piping on rack</t>
  </si>
  <si>
    <t>Feed header total length per rack</t>
  </si>
  <si>
    <t>Permeate header total length per rack</t>
  </si>
  <si>
    <t>Concentrate header total length per rack</t>
  </si>
  <si>
    <t>rack_length</t>
  </si>
  <si>
    <t>rack_width</t>
  </si>
  <si>
    <t>Additional rack height</t>
  </si>
  <si>
    <t>rack_height</t>
  </si>
  <si>
    <t>Flow per rack for Stage 1 permeate</t>
  </si>
  <si>
    <t>perm_flow_rack_1</t>
  </si>
  <si>
    <t>Flow per rack for Stage 2 permeate</t>
  </si>
  <si>
    <t>perm_flow_rack_2</t>
  </si>
  <si>
    <t>Flow per rack for Stage 3 permeate</t>
  </si>
  <si>
    <t>perm_flow_rack_3</t>
  </si>
  <si>
    <t>Size of flow meters for membrane racks, feed line</t>
  </si>
  <si>
    <t>Number of flow meters for membrane racks, feed line</t>
  </si>
  <si>
    <t>Size of flow meters for membrane racks, permeate line</t>
  </si>
  <si>
    <t>Number of flow meters for membrane racks, permeate line</t>
  </si>
  <si>
    <t>Size of flow meters for membrane racks, concentrate line</t>
  </si>
  <si>
    <t>Number of flow meters for membrane racks, concentrate line</t>
  </si>
  <si>
    <t>rack_table_8</t>
  </si>
  <si>
    <t>rack_table_16</t>
  </si>
  <si>
    <t>Rack Widths: 8" Elements</t>
  </si>
  <si>
    <t>Rack lengths are determined from the number of elements per pressure vessel.</t>
  </si>
  <si>
    <t>Rack Width (ft)</t>
  </si>
  <si>
    <t>Rack Widths: 16" Elements</t>
  </si>
  <si>
    <t>Computed on the assumption that one rack equals one train.</t>
  </si>
  <si>
    <t>Maximum permeate flow per rack</t>
  </si>
  <si>
    <t>Assumes one stage on one rack is cleaned at once, and that one rack contains one train.</t>
  </si>
  <si>
    <t>The number of first-stage vessels on one rack.</t>
  </si>
  <si>
    <t>More than one system when it may be necessary to clean multiple racks simultaneously</t>
  </si>
  <si>
    <t>Feed pipe flow, per rack</t>
  </si>
  <si>
    <t>Permeate pipe flow, per rack</t>
  </si>
  <si>
    <t>Concentrate pipe flow, per rack</t>
  </si>
  <si>
    <t>Includes concentrate piping in facility, after racks</t>
  </si>
  <si>
    <t>Based on drawings sent by Richard Chmielewski, H2O Innovation, 8/2011.</t>
  </si>
  <si>
    <t>The length of the support frame is determined by adding this to the total length of elements in a pressure vessel, unless the vessel is unusually short. Based on drawings sent by Richard Chmielewski, 8/2011, the frame is slightly shorter than the PVs, but there are support brackets that extend somewhat farther out.</t>
  </si>
  <si>
    <t>Permeate - PVC</t>
  </si>
  <si>
    <t>Piping On Rack - Permeate - PVC</t>
  </si>
  <si>
    <t>pvc_pipe_eq_perm_rack</t>
  </si>
  <si>
    <t>Manual on concentrate line per rack</t>
  </si>
  <si>
    <t>valves/rack</t>
  </si>
  <si>
    <t>Motor/air operated on concentrate line per rack</t>
  </si>
  <si>
    <t>concentrate control valve</t>
  </si>
  <si>
    <t>conc_man_rack</t>
  </si>
  <si>
    <t>conc_MOV_rack</t>
  </si>
  <si>
    <t>Number of MOVs on concentrate lines</t>
  </si>
  <si>
    <t>tot_conc_MOVs</t>
  </si>
  <si>
    <t>Number of manual valves on concentrate lines</t>
  </si>
  <si>
    <t>tot_conc_man</t>
  </si>
  <si>
    <t>Size of valves for concentrate line</t>
  </si>
  <si>
    <t>conc_valve_size</t>
  </si>
  <si>
    <t>At base of rack. Based on drawings sent by Richard Chmielewski, H2O Innovation, 8/2011.</t>
  </si>
  <si>
    <t>Weighted average feed flow per vessel</t>
  </si>
  <si>
    <t>Qfeed_PV_avg</t>
  </si>
  <si>
    <t>Weighted average permeate flow per vessel</t>
  </si>
  <si>
    <t>Qperm_PV_avg</t>
  </si>
  <si>
    <t>Weighted average concentrate flow per vessel</t>
  </si>
  <si>
    <t>Qconc_PV_avg</t>
  </si>
  <si>
    <t>Sized for average flow, weighted by number of PVs.</t>
  </si>
  <si>
    <t>Concentrate control - Stainless Steel</t>
  </si>
  <si>
    <t>Concentrate control - Cast Iron</t>
  </si>
  <si>
    <t>ss_mov_eq_conc</t>
  </si>
  <si>
    <t>ci_mov_eq_conc</t>
  </si>
  <si>
    <t>Allows for other equipment that may be mounted on the rack.</t>
  </si>
  <si>
    <t>Number of vertical frame members along rack length</t>
  </si>
  <si>
    <t>vert_members</t>
  </si>
  <si>
    <t>One each side per PV support</t>
  </si>
  <si>
    <t>diag_members</t>
  </si>
  <si>
    <t>Between each vertical member</t>
  </si>
  <si>
    <t>diag_length</t>
  </si>
  <si>
    <t>diag_horiz_length</t>
  </si>
  <si>
    <t>Total length of frame members per rack</t>
  </si>
  <si>
    <t>Total length of frame members, all racks</t>
  </si>
  <si>
    <t>rack_beam_length</t>
  </si>
  <si>
    <t>Frame surrounding pressure vessels and supports for the vessels</t>
  </si>
  <si>
    <t>Number of cross-braces</t>
  </si>
  <si>
    <t>Horizontal distance for cross-braces</t>
  </si>
  <si>
    <t>Length for cross-braces</t>
  </si>
  <si>
    <t>Markup for assembly of rack</t>
  </si>
  <si>
    <t>Richard Chmielewski, H2O Innovation, 8/2011.</t>
  </si>
  <si>
    <t>rack_assembly_markup</t>
  </si>
  <si>
    <t>1.7</t>
  </si>
  <si>
    <t>Markup for Rack Assembly</t>
  </si>
  <si>
    <t>4.1.12</t>
  </si>
  <si>
    <t>4.2.13</t>
  </si>
  <si>
    <t>ss_man_eq_conc</t>
  </si>
  <si>
    <t>ci_bfv_eq_conc</t>
  </si>
  <si>
    <t>Minimum average flow as percentage of design</t>
  </si>
  <si>
    <t>min_avg_flow</t>
  </si>
  <si>
    <t>The minimum ratio of average flow to design flow. If the ratio falls below this value, it will trigger a warning on the INPUT sheet. If this value is zero, no minimum is enforced.</t>
  </si>
  <si>
    <t>General information</t>
  </si>
  <si>
    <t>Ventilation</t>
  </si>
  <si>
    <t>Heating and Cooling</t>
  </si>
  <si>
    <t>1 for yes, 0 for no</t>
  </si>
  <si>
    <t>Heating Requirements</t>
  </si>
  <si>
    <t>Building 1 total annual heat loss</t>
  </si>
  <si>
    <t>build1_heat_loss_yr</t>
  </si>
  <si>
    <t>Building 1 heating requirement in thousand BTU/hr</t>
  </si>
  <si>
    <t>build1_heat_mbh</t>
  </si>
  <si>
    <t>MBH</t>
  </si>
  <si>
    <t>Building 1 number of heating zones</t>
  </si>
  <si>
    <t>build1_heat_zones</t>
  </si>
  <si>
    <t>Building 2 total annual heat loss</t>
  </si>
  <si>
    <t>build2_heat_loss_yr</t>
  </si>
  <si>
    <t>Building 2 heating requirement in thousand BTU/hr</t>
  </si>
  <si>
    <t>build2_heat_mbh</t>
  </si>
  <si>
    <t>Building 2 number of heating zones</t>
  </si>
  <si>
    <t>build2_heat_zones</t>
  </si>
  <si>
    <t>Cooling Requirements</t>
  </si>
  <si>
    <t>Building 1 total annual cooling loss</t>
  </si>
  <si>
    <t>build1_cooling_loss_yr</t>
  </si>
  <si>
    <t>Building 1 cooling loss per hour</t>
  </si>
  <si>
    <t>build1_cooling_loss_hr</t>
  </si>
  <si>
    <t>Building 1 total cooling requirement</t>
  </si>
  <si>
    <t>build1_cooling_req</t>
  </si>
  <si>
    <t>Building 1 annual cooling requirement</t>
  </si>
  <si>
    <t>build1_cooling_yr</t>
  </si>
  <si>
    <t>Building 1 total cooling requirement in tons</t>
  </si>
  <si>
    <t>build1_cooling_tons</t>
  </si>
  <si>
    <t>Building 1 number of cooling zones</t>
  </si>
  <si>
    <t>build1_cool_zones</t>
  </si>
  <si>
    <t>Building 2 total annual cooling loss</t>
  </si>
  <si>
    <t>build2_cooling_loss_yr</t>
  </si>
  <si>
    <t>Building 2 cooling loss per hour</t>
  </si>
  <si>
    <t>build2_cooling_loss_hr</t>
  </si>
  <si>
    <t>Building 2 total cooling requirement</t>
  </si>
  <si>
    <t>build2_cooling_req</t>
  </si>
  <si>
    <t>Building 2 annual cooling requirement</t>
  </si>
  <si>
    <t>build2_cooling_yr</t>
  </si>
  <si>
    <t>Building 2 total cooling requirement in tons</t>
  </si>
  <si>
    <t>build2_cooling_tons</t>
  </si>
  <si>
    <t>Building 2 number of cooling zones</t>
  </si>
  <si>
    <t>build2_cool_zones</t>
  </si>
  <si>
    <t>Heating Options</t>
  </si>
  <si>
    <t>Building 1 number of HVAC zones</t>
  </si>
  <si>
    <t>build1_zones</t>
  </si>
  <si>
    <t>Building 2 number of HVAC zones</t>
  </si>
  <si>
    <t>build2_zones</t>
  </si>
  <si>
    <t>Heat pump OK for building 1?</t>
  </si>
  <si>
    <t>hp_ok_1</t>
  </si>
  <si>
    <t>For heat pumps, we check both heating and cooling capacities.</t>
  </si>
  <si>
    <t>Heat pump OK for building 2?</t>
  </si>
  <si>
    <t>hp_ok_2</t>
  </si>
  <si>
    <t>build1_heat_options</t>
  </si>
  <si>
    <t>Option</t>
  </si>
  <si>
    <t>Size needed per zone (MBH)</t>
  </si>
  <si>
    <t>Size selected (MBH)</t>
  </si>
  <si>
    <t>Direct Cost Per Zone</t>
  </si>
  <si>
    <t>Useful Life (yrs)</t>
  </si>
  <si>
    <t>Annualized Capital Cost, All Zones</t>
  </si>
  <si>
    <t>Energy/Yr</t>
  </si>
  <si>
    <t>Energy Unit Cost</t>
  </si>
  <si>
    <t>Annual Energy Cost</t>
  </si>
  <si>
    <t>Total Annual Cost</t>
  </si>
  <si>
    <t>capital costs are in the cooling table</t>
  </si>
  <si>
    <t>n/a</t>
  </si>
  <si>
    <t>build2_heat_options</t>
  </si>
  <si>
    <t>Cooling Options</t>
  </si>
  <si>
    <t>build1_cool_options</t>
  </si>
  <si>
    <t>Size needed per zone (tons)</t>
  </si>
  <si>
    <t>Size selected (tons)</t>
  </si>
  <si>
    <t>Air conditioner</t>
  </si>
  <si>
    <t>build2_cool_options</t>
  </si>
  <si>
    <t>Heating and Cooling Selection</t>
  </si>
  <si>
    <t>We will select the option with the lowest annual cost for each building.</t>
  </si>
  <si>
    <t>Building 1 Selection</t>
  </si>
  <si>
    <t>Heating option</t>
  </si>
  <si>
    <t>Annual cost</t>
  </si>
  <si>
    <t>Cooling option</t>
  </si>
  <si>
    <t>Total annual cost</t>
  </si>
  <si>
    <t>Row selected</t>
  </si>
  <si>
    <t>build1_row</t>
  </si>
  <si>
    <t>Building 1 heating selection</t>
  </si>
  <si>
    <t>build1_heat</t>
  </si>
  <si>
    <t>Building 1 cooling selection</t>
  </si>
  <si>
    <t>build1_cool</t>
  </si>
  <si>
    <t>Building 2 Selection</t>
  </si>
  <si>
    <t>build2_row</t>
  </si>
  <si>
    <t>Building 2 heating selection</t>
  </si>
  <si>
    <t>build2_heat</t>
  </si>
  <si>
    <t>Building 2 cooling selection</t>
  </si>
  <si>
    <t>build2_cool</t>
  </si>
  <si>
    <t>Should compute here; for now, just copying from CDA</t>
  </si>
  <si>
    <t>Building 3 total annual heat loss</t>
  </si>
  <si>
    <t>Building 3 heating requirement in thousand BTU/hr</t>
  </si>
  <si>
    <t>Building 3 number of heating zones</t>
  </si>
  <si>
    <t>build3_heat_loss_yr</t>
  </si>
  <si>
    <t>build3_heat_mbh</t>
  </si>
  <si>
    <t>build3_heat_zones</t>
  </si>
  <si>
    <t>add_2nd_building</t>
  </si>
  <si>
    <t>Second building after…</t>
  </si>
  <si>
    <t>Third building after…</t>
  </si>
  <si>
    <t>add_3rd_building</t>
  </si>
  <si>
    <t>Power lost: influent pumps</t>
  </si>
  <si>
    <t>Waste heat: influent pumps</t>
  </si>
  <si>
    <t>Power lost: bypass pumps</t>
  </si>
  <si>
    <t>Waste heat: bypass pumps</t>
  </si>
  <si>
    <t>eloss_inf_pumps</t>
  </si>
  <si>
    <t>waste_heat_inf_pumps</t>
  </si>
  <si>
    <t>eloss_bypass_pumps</t>
  </si>
  <si>
    <t>waste_heat_bypass_pumps</t>
  </si>
  <si>
    <t>Power lost: Stage 2 booster pumps</t>
  </si>
  <si>
    <t>Waste heat: Stage 2 booster pumps</t>
  </si>
  <si>
    <t>Power lost: Stage 3 booster pumps</t>
  </si>
  <si>
    <t>Waste heat: Stage 3 booster pumps</t>
  </si>
  <si>
    <t>eloss_stg2_pumps</t>
  </si>
  <si>
    <t>waste_heat_stg2_pumps</t>
  </si>
  <si>
    <t>eloss_stg3_pumps</t>
  </si>
  <si>
    <t>waste_heat_stg3_pumps</t>
  </si>
  <si>
    <t>Always in Building 1.</t>
  </si>
  <si>
    <t>In Building 1 if 1 building; Building 2 if 2 buildings; Building 3 if 3 buildings.</t>
  </si>
  <si>
    <t>Includes waste heat from influent and bypass pumps, and boosters if they are in this building.</t>
  </si>
  <si>
    <t>Includes waste heat from booster pumps if they are in this building.</t>
  </si>
  <si>
    <t>Building 3 total annual cooling loss</t>
  </si>
  <si>
    <t>Building 3 cooling loss per hour</t>
  </si>
  <si>
    <t>Building 3 total cooling requirement</t>
  </si>
  <si>
    <t>Building 3 annual cooling requirement</t>
  </si>
  <si>
    <t>Building 3 total cooling requirement in tons</t>
  </si>
  <si>
    <t>Building 3 number of cooling zones</t>
  </si>
  <si>
    <t>build3_cooling_loss_yr</t>
  </si>
  <si>
    <t>build3_cooling_loss_hr</t>
  </si>
  <si>
    <t>build3_cooling_req</t>
  </si>
  <si>
    <t>build3_cooling_yr</t>
  </si>
  <si>
    <t>build3_cooling_tons</t>
  </si>
  <si>
    <t>build3_cool_zones</t>
  </si>
  <si>
    <t>Building 3number of HVAC zones</t>
  </si>
  <si>
    <t>build3_zones</t>
  </si>
  <si>
    <t>Heat pump OK for building 3?</t>
  </si>
  <si>
    <t>hp_ok_3</t>
  </si>
  <si>
    <t>Building Structures and HVAC</t>
  </si>
  <si>
    <t>Low Quality Structure</t>
  </si>
  <si>
    <t>bldg_lo_eq_1</t>
  </si>
  <si>
    <t>bldg_lo_eq</t>
  </si>
  <si>
    <t>Medium Quality Structure</t>
  </si>
  <si>
    <t>bldg_mid_eq_1</t>
  </si>
  <si>
    <t>bldg_mid_eq</t>
  </si>
  <si>
    <t>High Quality Structure</t>
  </si>
  <si>
    <t>bldg_hi_eq_1</t>
  </si>
  <si>
    <t>bldg_hi_eq</t>
  </si>
  <si>
    <t>Heating System</t>
  </si>
  <si>
    <t>hvac_elec_eq_1</t>
  </si>
  <si>
    <t>hvac_elec_eq</t>
  </si>
  <si>
    <t>hvac_gas_non_eq_1</t>
  </si>
  <si>
    <t>hvac_gas_non_eq</t>
  </si>
  <si>
    <t>hvac_gas_eq_1</t>
  </si>
  <si>
    <t>hvac_gas_eq</t>
  </si>
  <si>
    <t>hvac_oil_std_eq_1</t>
  </si>
  <si>
    <t>hvac_oil_std_eq</t>
  </si>
  <si>
    <t>hvac_oil_mid_eq_1</t>
  </si>
  <si>
    <t>hvac_oil_mid_eq</t>
  </si>
  <si>
    <t>Cooling System</t>
  </si>
  <si>
    <t>Air conditioning system</t>
  </si>
  <si>
    <t>hvac_ac_eq_1</t>
  </si>
  <si>
    <t>hvac_ac_eq</t>
  </si>
  <si>
    <t>hvac_hp_eq_1</t>
  </si>
  <si>
    <t>bldg_lo_eq_2</t>
  </si>
  <si>
    <t>bldg_mid_eq_2</t>
  </si>
  <si>
    <t>bldg_hi_eq_2</t>
  </si>
  <si>
    <t>hvac_elec_eq_2</t>
  </si>
  <si>
    <t>hvac_gas_non_eq_2</t>
  </si>
  <si>
    <t>hvac_gas_eq_2</t>
  </si>
  <si>
    <t>hvac_oil_std_eq_2</t>
  </si>
  <si>
    <t>hvac_oil_mid_eq_2</t>
  </si>
  <si>
    <t>hvac_ac_eq_2</t>
  </si>
  <si>
    <t>hvac_hp_eq_2</t>
  </si>
  <si>
    <t>build3_heat_options</t>
  </si>
  <si>
    <t>build3_cool_options</t>
  </si>
  <si>
    <t>Building 3 ceiling conductance cooling loss</t>
  </si>
  <si>
    <t>Building 3 Selection</t>
  </si>
  <si>
    <t>build3_row</t>
  </si>
  <si>
    <t>build3_heat</t>
  </si>
  <si>
    <t>build3_cool</t>
  </si>
  <si>
    <t>Building 3 heating selection</t>
  </si>
  <si>
    <t>Building 3 cooling selection</t>
  </si>
  <si>
    <t>HVAC</t>
  </si>
  <si>
    <t>Heating energy usage for:</t>
  </si>
  <si>
    <t>Cooling energy usage for:</t>
  </si>
  <si>
    <t>Electric heating for Building 1?</t>
  </si>
  <si>
    <t>build1_elec_heat</t>
  </si>
  <si>
    <t>Power to heat Building 1</t>
  </si>
  <si>
    <t>build1_elec_heat_power</t>
  </si>
  <si>
    <t>Electric heating for Building 2?</t>
  </si>
  <si>
    <t>build2_elec_heat</t>
  </si>
  <si>
    <t>Power to heat Building 2</t>
  </si>
  <si>
    <t>build2_elec_heat_power</t>
  </si>
  <si>
    <t>Electric cooling for Building 1?</t>
  </si>
  <si>
    <t>build1_elec_cool</t>
  </si>
  <si>
    <t>Power to cool Building 1</t>
  </si>
  <si>
    <t>build1_elec_cool_power</t>
  </si>
  <si>
    <t>Electric cooling for Building 2?</t>
  </si>
  <si>
    <t>build2_elec_cool</t>
  </si>
  <si>
    <t>Power to cool Building 2</t>
  </si>
  <si>
    <t>build2_elec_cool_power</t>
  </si>
  <si>
    <t>Electric heating for Building 3?</t>
  </si>
  <si>
    <t>Power to heat Building 3</t>
  </si>
  <si>
    <t>Electric cooling for Building 3?</t>
  </si>
  <si>
    <t>Power to cool Building 3</t>
  </si>
  <si>
    <t>build3_elec_cool</t>
  </si>
  <si>
    <t>build3_elec_cool_power</t>
  </si>
  <si>
    <t>build3_elec_heat</t>
  </si>
  <si>
    <t>build3_elec_heat_power</t>
  </si>
  <si>
    <t>Small Low Cost Shed</t>
  </si>
  <si>
    <t>Low Quality</t>
  </si>
  <si>
    <t>Medium Quality</t>
  </si>
  <si>
    <t>High Quality</t>
  </si>
  <si>
    <t>bldg_lo_eq_3</t>
  </si>
  <si>
    <t>bldg_mid_eq_3</t>
  </si>
  <si>
    <t>bldg_hi_eq_3</t>
  </si>
  <si>
    <t>hvac_elec_eq_3</t>
  </si>
  <si>
    <t>hvac_gas_non_eq_3</t>
  </si>
  <si>
    <t>hvac_gas_eq_3</t>
  </si>
  <si>
    <t>hvac_oil_std_eq_3</t>
  </si>
  <si>
    <t>hvac_oil_mid_eq_3</t>
  </si>
  <si>
    <t>hvac_ac_eq_3</t>
  </si>
  <si>
    <t>hvac_hp_eq_3</t>
  </si>
  <si>
    <t>Design flow expressed in gpm</t>
  </si>
  <si>
    <t>Average flow expressed in gpm</t>
  </si>
  <si>
    <t>Default inputs represent typical options used to generate national average compliance costs.</t>
  </si>
  <si>
    <r>
      <t xml:space="preserve">Include a separate day tank if daily volume is </t>
    </r>
    <r>
      <rPr>
        <b/>
        <sz val="10"/>
        <rFont val="Arial"/>
        <family val="2"/>
      </rPr>
      <t>x</t>
    </r>
    <r>
      <rPr>
        <sz val="10"/>
        <rFont val="Arial"/>
        <family val="2"/>
      </rPr>
      <t xml:space="preserve"> or greater</t>
    </r>
  </si>
  <si>
    <t>day_tank_needed</t>
  </si>
  <si>
    <t>Chemical tank mixer horsepower</t>
  </si>
  <si>
    <t>cmix_hp_per</t>
  </si>
  <si>
    <t>hp per 1000 gal</t>
  </si>
  <si>
    <t>Number of motor/air operated control valves per day tank</t>
  </si>
  <si>
    <t>chem_mov_day</t>
  </si>
  <si>
    <t>Number of manual valves per day tank</t>
  </si>
  <si>
    <t>chem_man_day</t>
  </si>
  <si>
    <t>S_mix</t>
  </si>
  <si>
    <t>Acid day tank storage volume required (based on design flow)</t>
  </si>
  <si>
    <t>acid_day_tank_vol_needed</t>
  </si>
  <si>
    <t>Number of acid day tanks</t>
  </si>
  <si>
    <t>acid_day_tanks</t>
  </si>
  <si>
    <t>Volume of acid day tanks</t>
  </si>
  <si>
    <t>acid_day_tank_vol</t>
  </si>
  <si>
    <t>Antiscalant day tank storage volume required (based on design flow)</t>
  </si>
  <si>
    <t>anti_day_tank_vol_needed</t>
  </si>
  <si>
    <t>Number of antiscalant day tanks</t>
  </si>
  <si>
    <t>anti_day_tanks</t>
  </si>
  <si>
    <t>Volume of antiscalant day tanks</t>
  </si>
  <si>
    <t>anti_day_tank_vol</t>
  </si>
  <si>
    <t>Maximum chemical tank mixer horsepower</t>
  </si>
  <si>
    <t>cmix_hp_max</t>
  </si>
  <si>
    <t>Mixers per storage tank</t>
  </si>
  <si>
    <t>cmix_per_tank</t>
  </si>
  <si>
    <t>Because concentrated acid is injected directly (without dilution), no acid mixers are included</t>
  </si>
  <si>
    <t>Number of storage tank mixers</t>
  </si>
  <si>
    <t>cmixers</t>
  </si>
  <si>
    <t>Mixer size for storage tanks</t>
  </si>
  <si>
    <t>cmix_size</t>
  </si>
  <si>
    <t>Mixers per day tank</t>
  </si>
  <si>
    <t>dmix_per_tank</t>
  </si>
  <si>
    <t>Number of day tank mixers</t>
  </si>
  <si>
    <t>dmixers</t>
  </si>
  <si>
    <t>Mixer size for day tanks</t>
  </si>
  <si>
    <t>dmix_size</t>
  </si>
  <si>
    <t>Acid day tank diameter</t>
  </si>
  <si>
    <t>acid_dt_diam</t>
  </si>
  <si>
    <t>Access space per acid day tank</t>
  </si>
  <si>
    <t>space_acid_dt</t>
  </si>
  <si>
    <t>Acid day tank footprint</t>
  </si>
  <si>
    <t>acid_day_tank_fp</t>
  </si>
  <si>
    <t>Antiscalant day tank diameter</t>
  </si>
  <si>
    <t>anti_dt_diam</t>
  </si>
  <si>
    <t>Access space per antiscalant day tank</t>
  </si>
  <si>
    <t>space_anti_dt</t>
  </si>
  <si>
    <t>Antiscalant day tank footprint</t>
  </si>
  <si>
    <t>anti_day_tank_fp</t>
  </si>
  <si>
    <t>Acid Day Tanks</t>
  </si>
  <si>
    <t>2.8.1</t>
  </si>
  <si>
    <t>Antiscalant Day Tanks</t>
  </si>
  <si>
    <t>2.9.1</t>
  </si>
  <si>
    <t>2.10</t>
  </si>
  <si>
    <t>Mixers for Antiscalant Storage Tanks</t>
  </si>
  <si>
    <t>2.10.1</t>
  </si>
  <si>
    <t>Impeller</t>
  </si>
  <si>
    <t>2.11</t>
  </si>
  <si>
    <t>Mixers for Antiscalant Day Tanks</t>
  </si>
  <si>
    <t>2.11.1</t>
  </si>
  <si>
    <t>Storage Tank Mixers</t>
  </si>
  <si>
    <t>cmount_mix_eq</t>
  </si>
  <si>
    <t>cimp_mix_eq</t>
  </si>
  <si>
    <t>Day Tank Mixers</t>
  </si>
  <si>
    <t>dmount_mix_eq</t>
  </si>
  <si>
    <t>dimp_mix_eq</t>
  </si>
  <si>
    <t>pl_acid_day_eq</t>
  </si>
  <si>
    <t>fg_acid_day_eq</t>
  </si>
  <si>
    <t>pl_anti_day_eq</t>
  </si>
  <si>
    <t>fg_anti_day_eq</t>
  </si>
  <si>
    <t>Concentrate control - Polypropylene/PVC</t>
  </si>
  <si>
    <t>pp_mov_eq_conc</t>
  </si>
  <si>
    <t>flow_per_cart</t>
  </si>
  <si>
    <t>Maximum cleaning flow</t>
  </si>
  <si>
    <t>max_clean_flow</t>
  </si>
  <si>
    <t>Calculation completed OK.</t>
  </si>
  <si>
    <t>Maximum number of pressure vessel rows per rack</t>
  </si>
  <si>
    <t>pv_rows_max</t>
  </si>
  <si>
    <t>2.4.3</t>
  </si>
  <si>
    <t>Heat Tracing</t>
  </si>
  <si>
    <t>Insulation</t>
  </si>
  <si>
    <t>cst_heat_eq</t>
  </si>
  <si>
    <t>cst_insul_eq</t>
  </si>
  <si>
    <t>Dilution of low pH proprietary cleaners, by volume</t>
  </si>
  <si>
    <t>proprietary_dilution_lowpH</t>
  </si>
  <si>
    <t>Dilution of high pH proprietary cleaners, by volume</t>
  </si>
  <si>
    <t>proprietary_dilution_highpH</t>
  </si>
  <si>
    <t>Concrete pad thickness for area below pressure vessels</t>
  </si>
  <si>
    <t>pad_vessels</t>
  </si>
  <si>
    <t>Concrete pad for racks</t>
  </si>
  <si>
    <t>concrete_racks</t>
  </si>
  <si>
    <t>Based on Marked up Frame DWGS.pdf. H2O Innovation recommendation stated up to 10 rows for 8" membrane elements</t>
  </si>
  <si>
    <t>Annual residuals discharge</t>
  </si>
  <si>
    <t>3.1</t>
  </si>
  <si>
    <t>3.2</t>
  </si>
  <si>
    <t>3.3</t>
  </si>
  <si>
    <t>3.3.2</t>
  </si>
  <si>
    <t>3.3.3</t>
  </si>
  <si>
    <t>3.3.4</t>
  </si>
  <si>
    <t>3.3.5</t>
  </si>
  <si>
    <t>3.4</t>
  </si>
  <si>
    <t>Piping (not associated with racks)</t>
  </si>
  <si>
    <t>Element 8</t>
  </si>
  <si>
    <t>el_3_8</t>
  </si>
  <si>
    <t>el_2_8</t>
  </si>
  <si>
    <t>el_1_8</t>
  </si>
  <si>
    <t>If blank, 7 yrs for HQ GW, 3 yrs for LQ SW, and 5 yrs for others</t>
  </si>
  <si>
    <t>If lifetime on O&amp;M Assumptions is blank, 7 yrs for HQ GW, 3 yrs for LQ SW, and 5 yrs for others</t>
  </si>
  <si>
    <t>hrs/filter changeout</t>
  </si>
  <si>
    <t>Standard in WBS models</t>
  </si>
  <si>
    <t>Used to determine piping flow quantities to the rack</t>
  </si>
  <si>
    <t>Estimate of 4 feet piping per pressure vessel based on experience</t>
  </si>
  <si>
    <t>Early warning software</t>
  </si>
  <si>
    <t>System Controls - Controls Software - Early warning software</t>
  </si>
  <si>
    <t>Number of check valves per feed pump</t>
  </si>
  <si>
    <t>Number of check valves per cleaning cartridge filter</t>
  </si>
  <si>
    <t>Motor/air operated on cleaning line per rack</t>
  </si>
  <si>
    <t>Manual on cleaning line per rack</t>
  </si>
  <si>
    <t>feedpump_chv</t>
  </si>
  <si>
    <t>cleaning_chv</t>
  </si>
  <si>
    <t>tot_cleaning_chv</t>
  </si>
  <si>
    <t>Total number of cleaning line check valves</t>
  </si>
  <si>
    <t>Total number of feed pump check valves</t>
  </si>
  <si>
    <t>tot_feedpump_chv</t>
  </si>
  <si>
    <t>4.3.4</t>
  </si>
  <si>
    <t>4.3.5</t>
  </si>
  <si>
    <t>Feed pumps - Polypropylene/PVC</t>
  </si>
  <si>
    <t>Feed pumps - Stainless Steel</t>
  </si>
  <si>
    <t>Feed pumps - Cast Iron</t>
  </si>
  <si>
    <t>Cleaning - Cast Iron</t>
  </si>
  <si>
    <t>Feed - Polypropylene/PVC</t>
  </si>
  <si>
    <t>Feed - Cast Iron</t>
  </si>
  <si>
    <t>pp_chv_eq_feed</t>
  </si>
  <si>
    <t>ss_chv_eq_feed</t>
  </si>
  <si>
    <t>ci_chv_eq_feed</t>
  </si>
  <si>
    <t>pp_chv_eq_cln</t>
  </si>
  <si>
    <t>ss_chv_eq_cln</t>
  </si>
  <si>
    <t>ci_chv_eq_cln</t>
  </si>
  <si>
    <t>clean_MOV_rack</t>
  </si>
  <si>
    <t>clean_man_rack</t>
  </si>
  <si>
    <t>res_cln_MOV_rack</t>
  </si>
  <si>
    <t>res_cln_man_rack</t>
  </si>
  <si>
    <t>Dow Filmtec Membranes Cleaning Procedures for DOW FILMTEC FT30 Elements (http://msdssearch.dow.com/PublishedLiteratureDOWCOM/dh_060a/0901b8038060a66f.pdf?filepath=liquidseps/pdfs/noreg/609-23010.pdf&amp;fromPage=GetDoc downloaded 7/10/13)</t>
  </si>
  <si>
    <t>Motor/air operated on residuals line (permeate + condensate side) per rack</t>
  </si>
  <si>
    <t>During cleaning cycle, the water from the permeate and condensate is returned to the cleaning makeup tank</t>
  </si>
  <si>
    <t>Manual on residuals line (permeate + condensate side) per rack</t>
  </si>
  <si>
    <t>Valving is set so that a single stage on a single train is treated at one time</t>
  </si>
  <si>
    <t>Valves connecting to return from trains, chemical supply from storage tank, and connection to discharge</t>
  </si>
  <si>
    <t>Valves connecting to recycle and to cartridge filter</t>
  </si>
  <si>
    <t>Connection of cleaning filter to train</t>
  </si>
  <si>
    <t>hazardous waste disposal</t>
  </si>
  <si>
    <t>1 - direct discharge, 2 - POTW, 3 - evaporation pond, 4 - deep well injection, 5 - recycle, 6-hazardous waste disposal</t>
  </si>
  <si>
    <t>Liquid Hazardous Waste Disposal</t>
  </si>
  <si>
    <t>Disposal frequency</t>
  </si>
  <si>
    <t>Total annual liquid hazardous waste disposal fee</t>
  </si>
  <si>
    <t>lhaz_fee</t>
  </si>
  <si>
    <t>Maximum liquid hazardous waste shipment size</t>
  </si>
  <si>
    <t>max_lhaz_ship</t>
  </si>
  <si>
    <t>radioactive hazardous</t>
  </si>
  <si>
    <t>Maximum radioactive (non-hazardous) waste shipment size</t>
  </si>
  <si>
    <t>max_rad_ship</t>
  </si>
  <si>
    <t>Maximum radioactive hazardous waste shipment size</t>
  </si>
  <si>
    <t>max_hazrad_ship</t>
  </si>
  <si>
    <t>Miles to radioactive (non-hazardous) waste disposal site</t>
  </si>
  <si>
    <t>rad_miles</t>
  </si>
  <si>
    <t>Miles to radioactive hazardous waste disposal site</t>
  </si>
  <si>
    <t>hazrad_miles</t>
  </si>
  <si>
    <t>non-hazardous</t>
  </si>
  <si>
    <t>solids_method</t>
  </si>
  <si>
    <t>&lt;-- 1 for landfill, 2 for land application</t>
  </si>
  <si>
    <t>Ignored if solids are hazardous or radioactive</t>
  </si>
  <si>
    <t>Solids Characteristics</t>
  </si>
  <si>
    <t>radioactive</t>
  </si>
  <si>
    <t>1 - non hazardous, 2 - hazardous, 3 - radioactive, 4 - radioactive hazardous</t>
  </si>
  <si>
    <t>Total annual pond solids diposal fee</t>
  </si>
  <si>
    <t>Disposal method for non-hazardous evaporation pond solids</t>
  </si>
  <si>
    <t>Calculated based on system requirements.  Excluded by default for low and medium cost systems, but included for systems w/ excavation</t>
  </si>
  <si>
    <t>Peer reviewers recommend a minimum trench depth of 3 ft. US Army Corps of Engineers recommended minimum cover for distribution pipes of 2.5 ft in grassed areas, 3 ft if buried under pavement or roadways but not less than frost penetration depth (USACOE 1984)</t>
  </si>
  <si>
    <t>ss_cst_eq_anti</t>
  </si>
  <si>
    <t>ss_cst_eq</t>
  </si>
  <si>
    <t>ss_makeup_eq</t>
  </si>
  <si>
    <t>Caustic storage - Stainless Steel</t>
  </si>
  <si>
    <t>ss_clncst_eq_caustic</t>
  </si>
  <si>
    <t>ss_anti_day_eq</t>
  </si>
  <si>
    <t>Maximum chemical storage tank size excluding stainless steel</t>
  </si>
  <si>
    <t>max_chem_tank_size_noSS</t>
  </si>
  <si>
    <t>The largest size for which costs are available not including stainless, which is not compatible with hydrochloric acid and sulfuric acid).</t>
  </si>
  <si>
    <t>max_space_tanks_small</t>
  </si>
  <si>
    <t>This is the MAXIMUM; space between tanks defaults to vessel or tank diameter, up to this maximum.  Maximum provides space for sandblasting and painting for large vessels (5-8 feet per Richard E. Hubel, Peter Keenan, American Water Works Service Company).</t>
  </si>
  <si>
    <t>max_space_tanks_large</t>
  </si>
  <si>
    <t>Assumes skid-mounting with minimal access space</t>
  </si>
  <si>
    <t>Maximum access space per tank for large systems</t>
  </si>
  <si>
    <t>Maximum access space per tank for small systems</t>
  </si>
  <si>
    <t>Building Lighting</t>
  </si>
  <si>
    <t>Typically, bypass flow ranges between 0% and 50% of inflow. Enter zero to remove bypass piping and components. 0% is default consistent with the type of cost curves that EPA will need for its national cost simulation model.</t>
  </si>
  <si>
    <t>bp_pump_hp</t>
  </si>
  <si>
    <t>Automation</t>
  </si>
  <si>
    <t>Transportation unit cost</t>
  </si>
  <si>
    <t>$/ton-mile</t>
  </si>
  <si>
    <t>Transportation minimum charge per shipment</t>
  </si>
  <si>
    <t>$/shipment</t>
  </si>
  <si>
    <t>Transportation mileage</t>
  </si>
  <si>
    <t>Required only for technologies with significant electric-powered equipment outside a building</t>
  </si>
  <si>
    <t>Plastic (HXLPE)</t>
  </si>
  <si>
    <t>Plastic (XLPE)</t>
  </si>
  <si>
    <t>Acid storage - Plastic (XLPE)</t>
  </si>
  <si>
    <t>Plastic/XLPE</t>
  </si>
  <si>
    <t>Caustic storage - Plastic (XLPE)</t>
  </si>
  <si>
    <t>Calculation</t>
  </si>
  <si>
    <t>sol_disposal_shipments</t>
  </si>
  <si>
    <t>sol_disposal_miles</t>
  </si>
  <si>
    <t>elem_disposal_shipments</t>
  </si>
  <si>
    <t>elem_disposal_miles</t>
  </si>
  <si>
    <t>Water Quality</t>
  </si>
  <si>
    <t>Internal Use</t>
  </si>
  <si>
    <r>
      <t xml:space="preserve">For information: </t>
    </r>
    <r>
      <rPr>
        <sz val="10"/>
        <color indexed="17"/>
        <rFont val="Arial"/>
        <family val="2"/>
      </rPr>
      <t>Component Level</t>
    </r>
  </si>
  <si>
    <r>
      <t xml:space="preserve">For information: </t>
    </r>
    <r>
      <rPr>
        <sz val="10"/>
        <color indexed="17"/>
        <rFont val="Arial"/>
        <family val="2"/>
      </rPr>
      <t>Element area</t>
    </r>
  </si>
  <si>
    <t>elements/vessel</t>
  </si>
  <si>
    <t>Number of elements per vessel</t>
  </si>
  <si>
    <t>REVERSE OSMOSIS/NANOFILTRATION SYSTEM DESIGN AND COST INPUT</t>
  </si>
  <si>
    <t>Reuse Train Post MF</t>
  </si>
  <si>
    <t>For SDI &lt; 3, average flux target is 13-17 gfd (surface supply) or 16-20 gfd (well water) per Dow Liquid Separations, Filmtec RO Membranes Technical Manual, January 2004. GE design guidelines suggest 16-18 gfd for well water with SDI &lt; 3. Reuse facilities operate at 12 gfd or less</t>
  </si>
  <si>
    <t xml:space="preserve">Stage 1, element 1: Warning: Calculation did not converge. </t>
  </si>
  <si>
    <t xml:space="preserve">Stage 1, element 1: Warning: Driving pressure is zero or negative.  Try increasing feed pressure or using a booster pump. </t>
  </si>
  <si>
    <t xml:space="preserve">Stage 1, element 2: </t>
  </si>
  <si>
    <t>Standard Designs</t>
  </si>
  <si>
    <t>4 inch</t>
  </si>
  <si>
    <t>8 inch</t>
  </si>
  <si>
    <t>16-18 inch</t>
  </si>
  <si>
    <t>4 inch Nanofiltration</t>
  </si>
  <si>
    <t>4 inch Low Pressure RO</t>
  </si>
  <si>
    <t>8 inch Low Pressure RO</t>
  </si>
  <si>
    <t>4 inch Brackish Water RO</t>
  </si>
  <si>
    <t>8 inch Brackish Water RO</t>
  </si>
  <si>
    <t>8 inch Nanofiltration</t>
  </si>
  <si>
    <t xml:space="preserve">Stage 1, element 8: Warning: Recovery is too large in this element. Try decreasing feed pressure or applying throttle pressure to the vessel. </t>
  </si>
  <si>
    <t>Could not reach target recovery.</t>
  </si>
  <si>
    <t>Average discounts for replacement element purchases, December 2016</t>
  </si>
  <si>
    <t>Quantity required for large quantity purchase</t>
  </si>
  <si>
    <t>#N/A indicates that price data do not depend on volume purchased.</t>
  </si>
  <si>
    <t>Quantity required for mid quantity purchase</t>
  </si>
  <si>
    <t>Quantity required for small quantity purchase</t>
  </si>
  <si>
    <t>Purchase Type</t>
  </si>
  <si>
    <t>Returns descriptive term based on volume of each purchase for use in determining pricing. Blank indicates that price data do not depend on volume purchased.</t>
  </si>
  <si>
    <t>Sulfuric Acid Purchasing</t>
  </si>
  <si>
    <t>If hydrochloric acid is used for pretreatment, that purchase quantity is evaluated along with hydrochloric acid for cleaning</t>
  </si>
  <si>
    <t>Pretreatment acid in storage</t>
  </si>
  <si>
    <t>Antiscalant in storage</t>
  </si>
  <si>
    <t>Pretreatment acid in storage in pounds</t>
  </si>
  <si>
    <t>init_acid_lbs</t>
  </si>
  <si>
    <t>Antiscalant in storage in pounds</t>
  </si>
  <si>
    <t>init_anti_lbs</t>
  </si>
  <si>
    <t>Sulfuric acid stored</t>
  </si>
  <si>
    <t>Antiscalant Purchasing</t>
  </si>
  <si>
    <t>sulfuric_purchase</t>
  </si>
  <si>
    <t>anti_purchase</t>
  </si>
  <si>
    <t>Citric acid stored</t>
  </si>
  <si>
    <t>Low pH proprietary cleaner stored in gallons</t>
  </si>
  <si>
    <t>NaOH stored</t>
  </si>
  <si>
    <t>High pH detergent stored in gallons</t>
  </si>
  <si>
    <t>Hydrochloric Acid Purchasing</t>
  </si>
  <si>
    <t>Includes pretreatment acid, if hydrochloric is also used for that purpose</t>
  </si>
  <si>
    <t>Total hydrochloric acid stored</t>
  </si>
  <si>
    <t>total_HCl_store</t>
  </si>
  <si>
    <t>HCl_purchase</t>
  </si>
  <si>
    <t>Citric Acid Purchasing</t>
  </si>
  <si>
    <t>citric_purchase</t>
  </si>
  <si>
    <t>Low pH Proprietary Cleaner Purchasing</t>
  </si>
  <si>
    <t>prop_acid_purchase</t>
  </si>
  <si>
    <t>Sodium Hydroxide Purchasing</t>
  </si>
  <si>
    <t>NaOH_purchase</t>
  </si>
  <si>
    <t>High pH Detergent Purchasing</t>
  </si>
  <si>
    <t>prop_deterg_purchase</t>
  </si>
  <si>
    <t>9.3.1</t>
  </si>
  <si>
    <t>9.4.1</t>
  </si>
  <si>
    <t>9.5.1</t>
  </si>
  <si>
    <t>9.14.1</t>
  </si>
  <si>
    <t>10</t>
  </si>
  <si>
    <t>10.1.2</t>
  </si>
  <si>
    <t>10.1.3</t>
  </si>
  <si>
    <t>10.1.4</t>
  </si>
  <si>
    <t>10.1.5</t>
  </si>
  <si>
    <t>10.1.6</t>
  </si>
  <si>
    <t>10.1.7</t>
  </si>
  <si>
    <t>10.1.8</t>
  </si>
  <si>
    <t>10.1.9</t>
  </si>
  <si>
    <t>10.2.2</t>
  </si>
  <si>
    <t>10.2.3</t>
  </si>
  <si>
    <t>10.2.4</t>
  </si>
  <si>
    <t>10.3.2</t>
  </si>
  <si>
    <t>10.3.3</t>
  </si>
  <si>
    <t>10.3.4</t>
  </si>
  <si>
    <t>10.3.5</t>
  </si>
  <si>
    <t>11</t>
  </si>
  <si>
    <t>11.1.2.1</t>
  </si>
  <si>
    <t>11.1.3.1</t>
  </si>
  <si>
    <t>11.2.2.1</t>
  </si>
  <si>
    <t>11.2.3.1</t>
  </si>
  <si>
    <t>11.3.2.1</t>
  </si>
  <si>
    <t>11.3.3.1</t>
  </si>
  <si>
    <t>12</t>
  </si>
  <si>
    <t>13</t>
  </si>
  <si>
    <t>13.1</t>
  </si>
  <si>
    <t>Maximum chemical metering pump size excluding stainless steel</t>
  </si>
  <si>
    <t>max_cm_pump_size_noSS</t>
  </si>
  <si>
    <t>TDB_link</t>
  </si>
  <si>
    <t>Installation, Transportation, and O&amp;P</t>
  </si>
  <si>
    <t>Minimum chemical tank mixer horsepower</t>
  </si>
  <si>
    <t>min_cmix_hp</t>
  </si>
  <si>
    <t>Include mixers for chemical tanks</t>
  </si>
  <si>
    <t>include_cmix</t>
  </si>
  <si>
    <t>Minimum chemical feed pump size</t>
  </si>
  <si>
    <t>min_chem_flow</t>
  </si>
  <si>
    <t>Metering pumps will be designed to meet this minimum</t>
  </si>
  <si>
    <r>
      <t xml:space="preserve">Select one of the eight standard designs at right </t>
    </r>
    <r>
      <rPr>
        <b/>
        <sz val="10"/>
        <rFont val="Arial"/>
        <family val="2"/>
      </rPr>
      <t>OR</t>
    </r>
    <r>
      <rPr>
        <sz val="10"/>
        <rFont val="Arial"/>
        <family val="2"/>
      </rPr>
      <t xml:space="preserve"> select "CLEAR FOR MANUAL ENTRY"</t>
    </r>
  </si>
  <si>
    <t>The standard design buttons are for EPA's use in estimating national costs, but other users might find them useful as a starting point. See documentation for more information</t>
  </si>
  <si>
    <r>
      <t>Direct Capital Cost Details</t>
    </r>
    <r>
      <rPr>
        <b/>
        <sz val="12"/>
        <color indexed="12"/>
        <rFont val="Arial"/>
        <family val="2"/>
      </rPr>
      <t xml:space="preserve"> </t>
    </r>
    <r>
      <rPr>
        <i/>
        <sz val="10"/>
        <color rgb="FF008000"/>
        <rFont val="Arial"/>
        <family val="2"/>
      </rPr>
      <t>(items in italics, without a 1 in the "Use?" column, represent alternate costs and are excluded from total)</t>
    </r>
  </si>
  <si>
    <t>Full Line Item Name</t>
  </si>
  <si>
    <t>Design Quanitity</t>
  </si>
  <si>
    <t>Design Size</t>
  </si>
  <si>
    <t>Priority selection</t>
  </si>
  <si>
    <t>Total</t>
  </si>
  <si>
    <r>
      <t>Excludes alternate cost line items in</t>
    </r>
    <r>
      <rPr>
        <i/>
        <sz val="10"/>
        <color indexed="17"/>
        <rFont val="Arial"/>
        <family val="2"/>
      </rPr>
      <t xml:space="preserve"> </t>
    </r>
    <r>
      <rPr>
        <sz val="10"/>
        <color indexed="17"/>
        <rFont val="Arial"/>
        <family val="2"/>
      </rPr>
      <t>italics, without a 1 in the "Use?" column. Includes installation, transportation, and O&amp;P</t>
    </r>
  </si>
  <si>
    <r>
      <t xml:space="preserve">Add-on Cost Details </t>
    </r>
    <r>
      <rPr>
        <i/>
        <sz val="10"/>
        <color rgb="FF008000"/>
        <rFont val="Arial"/>
        <family val="2"/>
      </rPr>
      <t>(See indirect assumptions sheet to exclude individual add-on items)</t>
    </r>
  </si>
  <si>
    <r>
      <t xml:space="preserve">Indirect Capital Cost Details </t>
    </r>
    <r>
      <rPr>
        <i/>
        <sz val="10"/>
        <color rgb="FF008000"/>
        <rFont val="Arial"/>
        <family val="2"/>
      </rPr>
      <t>(See indirect assumptions sheet to exclude individual indirect items)</t>
    </r>
  </si>
  <si>
    <t>Add-on Line Item</t>
  </si>
  <si>
    <t>Percent</t>
  </si>
  <si>
    <t xml:space="preserve">Includes separate allowance for deep well injection. </t>
  </si>
  <si>
    <r>
      <t>Grand total capital cost</t>
    </r>
    <r>
      <rPr>
        <i/>
        <sz val="10"/>
        <color rgb="FF008000"/>
        <rFont val="Arial"/>
        <family val="2"/>
      </rPr>
      <t xml:space="preserve"> (incorporating city index)</t>
    </r>
  </si>
  <si>
    <r>
      <t>Annual Operating and Maintenance Cost Details</t>
    </r>
    <r>
      <rPr>
        <i/>
        <sz val="10"/>
        <color rgb="FF008000"/>
        <rFont val="Arial"/>
        <family val="2"/>
      </rPr>
      <t xml:space="preserve"> (items in italics, without a 1 in the "Use?" column, represent alternate costs and are excluded from total)</t>
    </r>
  </si>
  <si>
    <t>Annualized Capital Cost</t>
  </si>
  <si>
    <t>Missing Cost?:</t>
  </si>
  <si>
    <t>Parameter</t>
  </si>
  <si>
    <t>Secondary Containment Requirements</t>
  </si>
  <si>
    <t>Include secondary containment</t>
  </si>
  <si>
    <t>include_sec_cont</t>
  </si>
  <si>
    <t>Volume required as a percentage of the largest tank</t>
  </si>
  <si>
    <t>sec_cont_pct_of_largest</t>
  </si>
  <si>
    <t>Volume required as a percentage of total storage</t>
  </si>
  <si>
    <t>sec_cont_pct_of_total</t>
  </si>
  <si>
    <t>Additional freeboard</t>
  </si>
  <si>
    <t>sec_cont_freeboard</t>
  </si>
  <si>
    <t>Additional freeboard is typically required to contain precipitation when storage is outside; we also include freeboard indoors to ensure a minimum reasonable curb height</t>
  </si>
  <si>
    <t>Maximum curb thickness</t>
  </si>
  <si>
    <t>sec_cont_max_thick</t>
  </si>
  <si>
    <t>foot</t>
  </si>
  <si>
    <t>Calculations assume thickness equal to height, up to this maximum</t>
  </si>
  <si>
    <t>Chemical resistant coating coverage</t>
  </si>
  <si>
    <t>sec_cont_coating_cvg</t>
  </si>
  <si>
    <t>square feet/gallon</t>
  </si>
  <si>
    <t>Minimum volume required</t>
  </si>
  <si>
    <t>Footprint available</t>
  </si>
  <si>
    <t>Curb height required</t>
  </si>
  <si>
    <t>Curb thickness</t>
  </si>
  <si>
    <t>Curb length (long side)</t>
  </si>
  <si>
    <t>Curb length (short side)</t>
  </si>
  <si>
    <t>Curb concrete volume</t>
  </si>
  <si>
    <t>Chemical resistant coating required</t>
  </si>
  <si>
    <t>Secondary Containment for Acid Storage Tanks</t>
  </si>
  <si>
    <t>Secondary Containment for Acid Day Tanks</t>
  </si>
  <si>
    <t>acid_st_cont_volume</t>
  </si>
  <si>
    <t>acid_st_cont_fp</t>
  </si>
  <si>
    <t>acid_st_curb_height</t>
  </si>
  <si>
    <t>acid_st_curb_thick</t>
  </si>
  <si>
    <t>acid_st_curb_len_long</t>
  </si>
  <si>
    <t>acid_st_curb_len_short</t>
  </si>
  <si>
    <t>acid_st_curb_concrete</t>
  </si>
  <si>
    <t>acid_st_coating_gal</t>
  </si>
  <si>
    <t>acid_dt_cont_volume</t>
  </si>
  <si>
    <t>acid_dt_cont_fp</t>
  </si>
  <si>
    <t>acid_dt_curb_height</t>
  </si>
  <si>
    <t>acid_dt_curb_thick</t>
  </si>
  <si>
    <t>acid_dt_curb_len_long</t>
  </si>
  <si>
    <t>acid_dt_curb_len_short</t>
  </si>
  <si>
    <t>acid_dt_curb_concrete</t>
  </si>
  <si>
    <t>acid_dt_coating_gal</t>
  </si>
  <si>
    <t>Secondary Containment for Antiscalant Storage Tanks</t>
  </si>
  <si>
    <t>Secondary Containment for Antiscalant Day Tanks</t>
  </si>
  <si>
    <t>anti_st_cont_volume</t>
  </si>
  <si>
    <t>anti_st_cont_fp</t>
  </si>
  <si>
    <t>anti_st_curb_height</t>
  </si>
  <si>
    <t>anti_st_curb_thick</t>
  </si>
  <si>
    <t>anti_st_curb_len_long</t>
  </si>
  <si>
    <t>anti_st_curb_len_short</t>
  </si>
  <si>
    <t>anti_st_curb_concrete</t>
  </si>
  <si>
    <t>anti_st_coating_gal</t>
  </si>
  <si>
    <t>anti_dt_cont_volume</t>
  </si>
  <si>
    <t>anti_dt_cont_fp</t>
  </si>
  <si>
    <t>anti_dt_curb_height</t>
  </si>
  <si>
    <t>anti_dt_curb_thick</t>
  </si>
  <si>
    <t>anti_dt_curb_len_long</t>
  </si>
  <si>
    <t>anti_dt_curb_len_short</t>
  </si>
  <si>
    <t>anti_dt_curb_concrete</t>
  </si>
  <si>
    <t>anti_dt_coating_gal</t>
  </si>
  <si>
    <t>cubic feet</t>
  </si>
  <si>
    <t>7.48 converts gallons to cubic feet</t>
  </si>
  <si>
    <t>Total footprint minus displacement by tanks themselves</t>
  </si>
  <si>
    <t>27 converts cubic feet to cubic yards</t>
  </si>
  <si>
    <t>Covers total footprint plus inside surface and top of curbs</t>
  </si>
  <si>
    <t>Secondary Containment for Acid Tanks</t>
  </si>
  <si>
    <t>Secondary Containment for Caustic Tanks</t>
  </si>
  <si>
    <t>acid_tank_cont_volume</t>
  </si>
  <si>
    <t>acid_tank_cont_fp</t>
  </si>
  <si>
    <t>acid_tank_curb_height</t>
  </si>
  <si>
    <t>acid_tank_curb_thick</t>
  </si>
  <si>
    <t>acid_tank_curb_len_long</t>
  </si>
  <si>
    <t>acid_tank_curb_len_short</t>
  </si>
  <si>
    <t>acid_tank_curb_concrete</t>
  </si>
  <si>
    <t>acid_tank_coating_gal</t>
  </si>
  <si>
    <t>caustic_cont_volume</t>
  </si>
  <si>
    <t>caustic_cont_fp</t>
  </si>
  <si>
    <t>caustic_curb_height</t>
  </si>
  <si>
    <t>caustic_curb_thick</t>
  </si>
  <si>
    <t>caustic_curb_len_long</t>
  </si>
  <si>
    <t>caustic_curb_len_short</t>
  </si>
  <si>
    <t>caustic_curb_concrete</t>
  </si>
  <si>
    <t>caustic_coating_gal</t>
  </si>
  <si>
    <t>acid_clncst_fp</t>
  </si>
  <si>
    <t>caustic_clncst_fp</t>
  </si>
  <si>
    <t>Acid storage tank footprint</t>
  </si>
  <si>
    <t>Caustic storage tank footprint</t>
  </si>
  <si>
    <t>2.1.2</t>
  </si>
  <si>
    <t>2.1.3</t>
  </si>
  <si>
    <t>2.2.2</t>
  </si>
  <si>
    <t>2.2.3</t>
  </si>
  <si>
    <t>Secondary Containment - Concrete Curbing</t>
  </si>
  <si>
    <t>Secondary Containment - Chemical Resistant Coating</t>
  </si>
  <si>
    <t>2.8.2</t>
  </si>
  <si>
    <t>2.8.3</t>
  </si>
  <si>
    <t>yes_no_valid</t>
  </si>
  <si>
    <t>Optional inputs yes/no</t>
  </si>
  <si>
    <t>Include buildings?</t>
  </si>
  <si>
    <t>include_buildings_I</t>
  </si>
  <si>
    <t>Leave blank to include buildings</t>
  </si>
  <si>
    <t>Include HVAC?</t>
  </si>
  <si>
    <t>include_HVAC_I</t>
  </si>
  <si>
    <t>Leave blank to allow model to pick based on component level and building type</t>
  </si>
  <si>
    <t>Include land?</t>
  </si>
  <si>
    <t>include_land_I</t>
  </si>
  <si>
    <t>Leave blank to include land</t>
  </si>
  <si>
    <t xml:space="preserve"> 0 = always exclude, 1 = always include, 2 = use model default</t>
  </si>
  <si>
    <t>include_HVAC</t>
  </si>
  <si>
    <t>Based on system size, building floorplan, and inputs</t>
  </si>
  <si>
    <t>1 = yes, 0 = no</t>
  </si>
  <si>
    <t>Buildings and Land</t>
  </si>
  <si>
    <t>Building and HVAC Maintenance</t>
  </si>
  <si>
    <t>Cost, excluding heating and cooling</t>
  </si>
  <si>
    <t>Total annual building and HVAC maintenance</t>
  </si>
  <si>
    <t>Building and HVAC maintenance (materials and labor)</t>
  </si>
  <si>
    <t>Antiscalant tank mixers</t>
  </si>
  <si>
    <t>Acid - Plastic (XLPE)</t>
  </si>
  <si>
    <t>Acid - Fiberglass</t>
  </si>
  <si>
    <t>Acid - Secondary Containment - Concrete Curbing</t>
  </si>
  <si>
    <t>Acid - Secondary Containment - Chemical Resistant Coating</t>
  </si>
  <si>
    <t>High pH - Plastic (XLPE)</t>
  </si>
  <si>
    <t>High pH - Fiberglass</t>
  </si>
  <si>
    <t>High pH - Stainless Steel</t>
  </si>
  <si>
    <t>High pH - Secondary Containment - Concrete Curbing</t>
  </si>
  <si>
    <t>High pH - Secondary Containment - Chemical Resistant Coating</t>
  </si>
  <si>
    <t>High pH - Heat Tracing</t>
  </si>
  <si>
    <t>High pH - Insulation</t>
  </si>
  <si>
    <t>Pretreatment Acid Day Tanks</t>
  </si>
  <si>
    <t>Pretreatment Antiscalant Day Tanks</t>
  </si>
  <si>
    <t>2.3</t>
  </si>
  <si>
    <t>2.3.2</t>
  </si>
  <si>
    <t>2.3.3</t>
  </si>
  <si>
    <t>2.7</t>
  </si>
  <si>
    <t>2,7,1</t>
  </si>
  <si>
    <t>2.8</t>
  </si>
  <si>
    <t>2.8.4</t>
  </si>
  <si>
    <t>2.8.5</t>
  </si>
  <si>
    <t>2.8.6</t>
  </si>
  <si>
    <t>2.8.7</t>
  </si>
  <si>
    <t>2.8.8</t>
  </si>
  <si>
    <t>2.9</t>
  </si>
  <si>
    <t>2.10.2</t>
  </si>
  <si>
    <t>2.10.3</t>
  </si>
  <si>
    <t>2.10.4</t>
  </si>
  <si>
    <t>2.10.5</t>
  </si>
  <si>
    <t>2.11.2</t>
  </si>
  <si>
    <t>2.11.3</t>
  </si>
  <si>
    <t>2.11.4</t>
  </si>
  <si>
    <t>Annual O&amp;M Cost (per year)</t>
  </si>
  <si>
    <t>See input sheet to exclude buildings/HVAC; indirect assumptions sheet to exclude concrete pad</t>
  </si>
  <si>
    <t>&lt;-- pick one</t>
  </si>
  <si>
    <t>Cells below and to the right for internal use by the design macro</t>
  </si>
  <si>
    <t>Pressure Tuning Calculations</t>
  </si>
  <si>
    <t>Input Source</t>
  </si>
  <si>
    <t>Format of the output calculations below:</t>
  </si>
  <si>
    <t>Output calculations below this line are used internally and vary in table structure as required by the design macros</t>
  </si>
  <si>
    <r>
      <t>Bold gold</t>
    </r>
    <r>
      <rPr>
        <sz val="10"/>
        <rFont val="Arial"/>
        <family val="2"/>
      </rPr>
      <t xml:space="preserve"> cells are used by the design macro and should not be adjusted.</t>
    </r>
  </si>
  <si>
    <t>Design Indices</t>
  </si>
  <si>
    <t>Users may change any of the cells in the Value column; cells in gold are most important and may vary based on contaminant treated and site-specific conditions</t>
  </si>
  <si>
    <t>Valve Table</t>
  </si>
  <si>
    <t>See the Valve Table at the bottom of this page for additional assumptions relating to valves</t>
  </si>
  <si>
    <t>See the I/O Port Table at the bottom of this page for additional assumptions relating to system controls</t>
  </si>
  <si>
    <t>I/O Port Table</t>
  </si>
  <si>
    <t>rows</t>
  </si>
  <si>
    <t>columns</t>
  </si>
  <si>
    <t>Default O&amp;M Assumptions</t>
  </si>
  <si>
    <t>Users may change any of the cells in the Value column</t>
  </si>
  <si>
    <t>Users may change any of the cells in the Value column;  cells in gold are most important and may vary based on contaminant treated and site-specific conditions</t>
  </si>
  <si>
    <t>Default Assumptions for Indirect and Add-On Costs</t>
  </si>
  <si>
    <t>Pretreatment Chemical Usage Calculations</t>
  </si>
  <si>
    <t>Cleaning System Calculations</t>
  </si>
  <si>
    <t>Feed Water Chemistry Calculations</t>
  </si>
  <si>
    <t>Train Design Calculations</t>
  </si>
  <si>
    <t>Calc System: Train Design Detail Calculations</t>
  </si>
  <si>
    <t>Calc One Element: Element Computation</t>
  </si>
  <si>
    <t>Osmotic pressure difference in psi</t>
  </si>
  <si>
    <t>Pressure drop in psi</t>
  </si>
  <si>
    <t>Pressure drop in the vessel, through end of element in psi</t>
  </si>
  <si>
    <t>New net pressure, for consistency check in psi</t>
  </si>
  <si>
    <t>New A value, corrected for osmotic pressure in gfd/psi</t>
  </si>
  <si>
    <t>New B value, corrected for salinity in gfd</t>
  </si>
  <si>
    <t>Warning</t>
  </si>
  <si>
    <t>Influent and Booster Pumping Calculations</t>
  </si>
  <si>
    <t>Class lookup</t>
  </si>
  <si>
    <t>Influent pump pressure</t>
  </si>
  <si>
    <t>Table range name</t>
  </si>
  <si>
    <t>Stage 2 booster pumps pressure</t>
  </si>
  <si>
    <t>Stage 3 booster pump pressure</t>
  </si>
  <si>
    <t>From Input</t>
  </si>
  <si>
    <t>Membrane System Capital Requirement Calculations</t>
  </si>
  <si>
    <t>racks</t>
  </si>
  <si>
    <t>Concentrate Scaling Recommendations</t>
  </si>
  <si>
    <t>The input sheet uses results from this sheet to display guidance and warnings</t>
  </si>
  <si>
    <t>systems</t>
  </si>
  <si>
    <t>chemicals</t>
  </si>
  <si>
    <t>screens/system</t>
  </si>
  <si>
    <t>tanks</t>
  </si>
  <si>
    <t>Piping and Structure Calculations</t>
  </si>
  <si>
    <t>Instrumentation and Control Calculations</t>
  </si>
  <si>
    <t>Residuals Management Calculations</t>
  </si>
  <si>
    <t>Operation and Maintenance Calculations</t>
  </si>
  <si>
    <t>Building Heating, Ventilating, and Air Conditioning Calculations</t>
  </si>
  <si>
    <t>Indirect and Add-on Cost Calculations</t>
  </si>
  <si>
    <t>Conversion Factors</t>
  </si>
  <si>
    <t>Conversion Factor</t>
  </si>
  <si>
    <t>Values on this sheet are used to convert input units to metric units for the train design process and to convert the design results back to input units</t>
  </si>
  <si>
    <t>Membrane Specifications</t>
  </si>
  <si>
    <t>Values on this sheet are used in the train design process to simulate the performance of different membrane elements</t>
  </si>
  <si>
    <t>Category</t>
  </si>
  <si>
    <t>Feed Water Specifications</t>
  </si>
  <si>
    <t>This reference sheet shows the water analysis for each feed water option available on the input sheet</t>
  </si>
  <si>
    <t>Cost Equations</t>
  </si>
  <si>
    <t>This sheet is used internally to calculate component costs using the cost equations method; see model documentation for more details on the development of cost equations</t>
  </si>
  <si>
    <t>Component</t>
  </si>
  <si>
    <t>Lookup Tables and Input Validation</t>
  </si>
  <si>
    <t>This sheet is used internally to perform certain reference calculations and support input sheet data validation</t>
  </si>
  <si>
    <t>Keeping this assumption with a value of 1 is strongly recommended; the cost equations method is more appropriate for national cost estimating and will be more accurate for nearly all user-specified designs</t>
  </si>
  <si>
    <t>thousands of BTU per hour</t>
  </si>
  <si>
    <t>1 ton cooling = 12,000 BTU/hr</t>
  </si>
  <si>
    <t>Buildings</t>
  </si>
  <si>
    <t>Rack_cost_for_UL</t>
  </si>
  <si>
    <t>Rack_depreciation</t>
  </si>
  <si>
    <t>Direct cost category</t>
  </si>
  <si>
    <t>Indirect Line Item</t>
  </si>
  <si>
    <t>Capital Cost Category</t>
  </si>
  <si>
    <t>fm_lkp_conc</t>
  </si>
  <si>
    <t>Flow meter lookup code - concentrate side</t>
  </si>
  <si>
    <t>fm_lkp_clean</t>
  </si>
  <si>
    <t>For Professional Water Technologies Lavasol liquid cleaners. If this assumption is changed, review costs for proprietary cleaners, as some may be scaled to this dilution.</t>
  </si>
  <si>
    <t>Prices are available for 25% and 50% solutions</t>
  </si>
  <si>
    <t>Annual fee</t>
  </si>
  <si>
    <t>Uses custom function to apply formula and multiplier documented in Abt Associates, 2020, Permitting Requirement Costs for Drinking Water Treatment Cost Models. Prepared for USEPA. October.</t>
  </si>
  <si>
    <t>POTW pretreatment permit cost</t>
  </si>
  <si>
    <t>Included only if discharge to POTW is the management option chosen on the input sheet</t>
  </si>
  <si>
    <t>Include NEPA compliance costs?</t>
  </si>
  <si>
    <t>&lt;--- enter 1 for default, enter 2 for yes, 3 for no</t>
  </si>
  <si>
    <t>Default of 1 means NEPA compliance is included only for systems that discharge to surface water. Selecting 2 means NEPA compliance will be included in all estimates. Selecting 3 means NEPA compliance will never be included.</t>
  </si>
  <si>
    <t>Included only if direct discharge to surface water is chosen, unless assumption "include_NEPA" is changed on CDA sheet</t>
  </si>
  <si>
    <t>inf_pump_eq</t>
  </si>
  <si>
    <t>boost2_pump_eq</t>
  </si>
  <si>
    <t>boost3_pump_eq</t>
  </si>
  <si>
    <t>Influent and treated water - Polypropylene/PVC</t>
  </si>
  <si>
    <t>Influent and treated water - Stainless Steel</t>
  </si>
  <si>
    <t>Influent and treated water pipe length</t>
  </si>
  <si>
    <t>Influent and treated water pipe flow</t>
  </si>
  <si>
    <t>Influent and treated water piping diameter</t>
  </si>
  <si>
    <t>Influent and treated water - Cast Iron</t>
  </si>
  <si>
    <t>Flow meters for influent and treated water line</t>
  </si>
  <si>
    <t>Number of manual valves on influent and treated water line</t>
  </si>
  <si>
    <t>One each for influent and treated water lines</t>
  </si>
  <si>
    <t>Influent - Polypropylene/PVC</t>
  </si>
  <si>
    <t>Influent - Stainless Steel</t>
  </si>
  <si>
    <t>Influent - Cast Iron</t>
  </si>
  <si>
    <t>City Index for Total Capital Cost</t>
  </si>
  <si>
    <t>City Index for Total O&amp;M Cost</t>
  </si>
  <si>
    <t>User adjustable. Can be used to adjust estimated costs to be more reflective of a specific geographical location</t>
  </si>
  <si>
    <r>
      <t xml:space="preserve">Total Annual O&amp;M Cost </t>
    </r>
    <r>
      <rPr>
        <i/>
        <sz val="10"/>
        <color rgb="FF008000"/>
        <rFont val="Arial"/>
        <family val="2"/>
      </rPr>
      <t>(incorporating city index)</t>
    </r>
  </si>
  <si>
    <t>Percent Contributions to Annualized Cost</t>
  </si>
  <si>
    <t>Total annualized cost percent capital</t>
  </si>
  <si>
    <t>TAC_pct_cap</t>
  </si>
  <si>
    <t>Total annualized cost percent O&amp;M</t>
  </si>
  <si>
    <t>TAC_pct_OM</t>
  </si>
  <si>
    <t>Annualized cost per household per year</t>
  </si>
  <si>
    <t>Pipe Length Multipliers</t>
  </si>
  <si>
    <t>Influent and treated water pipe length multiplier</t>
  </si>
  <si>
    <t>in_out_pipe_mult</t>
  </si>
  <si>
    <t>times facility length</t>
  </si>
  <si>
    <t>Bypass pipe length multiplier</t>
  </si>
  <si>
    <t>bp_pipe_mult</t>
  </si>
  <si>
    <t>Chemical pipe length multiplier</t>
  </si>
  <si>
    <t>chem_pipe_mult</t>
  </si>
  <si>
    <t>Residuals pipe length multiplier</t>
  </si>
  <si>
    <t>res_pipe_mult</t>
  </si>
  <si>
    <t>Temperature meters for influent</t>
  </si>
  <si>
    <t>Conductivity meters on influent and treated water line</t>
  </si>
  <si>
    <t>One for influent line, one for treated water line</t>
  </si>
  <si>
    <t>Size of valves for influent and treated water lines</t>
  </si>
  <si>
    <t>Based on output sheet selection for influent and treated water pipe</t>
  </si>
  <si>
    <t>Based on output sheet selection for influent and treated water pipe. If there is no selection, we use in_out_pipe_diam to avoid an Excel error.</t>
  </si>
  <si>
    <t>Flow meter lookup code - influent and treated water</t>
  </si>
  <si>
    <t>One temperature meter for the influent pipe</t>
  </si>
  <si>
    <t>Trench Volume Influent and Treated Water</t>
  </si>
  <si>
    <t>Flow Meters - Influent and Treated Water Line</t>
  </si>
  <si>
    <t>Influent and Treated Water Piping</t>
  </si>
  <si>
    <t>Sampling ports for blended treated water</t>
  </si>
  <si>
    <t>Feed pump footprint</t>
  </si>
  <si>
    <t>Booster pump footprint</t>
  </si>
  <si>
    <t>Influent pump footprint</t>
  </si>
  <si>
    <t>Booster pump, stage 2 footprint</t>
  </si>
  <si>
    <t>Booster pumps, stage 3 footprint</t>
  </si>
  <si>
    <t>Pretreatment equipment footprint</t>
  </si>
  <si>
    <t>Cleaning system footprint</t>
  </si>
  <si>
    <t>Membrane equipment footprint</t>
  </si>
  <si>
    <t>Residuals handling footprint</t>
  </si>
  <si>
    <t xml:space="preserve">Stage 1, element 6: Warning: Recovery is too large in this element. Try decreasing feed pressure or applying throttle pressure to the vessel. </t>
  </si>
  <si>
    <t xml:space="preserve">Stage 1, element 5: Warning: Recovery is too large in this element. Try decreasing feed pressure or applying throttle pressure to the vessel. </t>
  </si>
  <si>
    <t>UL large</t>
  </si>
  <si>
    <t>UL small</t>
  </si>
  <si>
    <t>Feed Water - ro150</t>
  </si>
  <si>
    <t>Feed Water - ro100</t>
  </si>
  <si>
    <t>Feed Water - ro200</t>
  </si>
  <si>
    <t>Feed Water - ro250</t>
  </si>
  <si>
    <t>Feed Water - ro300</t>
  </si>
  <si>
    <t>Feed Water - ro350</t>
  </si>
  <si>
    <t>Feed Water - ro500</t>
  </si>
  <si>
    <t>ro150_pump_eq</t>
  </si>
  <si>
    <t>ro100_pump_eq</t>
  </si>
  <si>
    <t>ro200_pump_eq</t>
  </si>
  <si>
    <t>ro250_pump_eq</t>
  </si>
  <si>
    <t>ro300_pump_eq</t>
  </si>
  <si>
    <t>ro350_pump_eq</t>
  </si>
  <si>
    <t>ro500_pump_eq</t>
  </si>
  <si>
    <t>Booster pumps, stage 2 - ro100</t>
  </si>
  <si>
    <t>Booster pumps, stage 2 - ro150</t>
  </si>
  <si>
    <t>Booster pumps, stage 2 - ro200</t>
  </si>
  <si>
    <t>Booster pumps, stage 2 - ro250</t>
  </si>
  <si>
    <t>Booster pumps, stage 2 - ro300</t>
  </si>
  <si>
    <t>Booster pumps, stage 2 - ro350</t>
  </si>
  <si>
    <t>Booster pumps, stage 2 - ro500</t>
  </si>
  <si>
    <t>Booster pumps, stage 3 - ro100</t>
  </si>
  <si>
    <t>Booster pumps, stage 3 - ro150</t>
  </si>
  <si>
    <t>Booster pumps, stage 3 - ro200</t>
  </si>
  <si>
    <t>Booster pumps, stage 3 - ro250</t>
  </si>
  <si>
    <t>Booster pumps, stage 3 - ro300</t>
  </si>
  <si>
    <t>Booster pumps, stage 3 - ro350</t>
  </si>
  <si>
    <t>Booster pumps, stage 3 - ro500</t>
  </si>
  <si>
    <t>See Appendix E.  If higher R-value materials are desired, user may also need to adjust the cost of building materials in cl.xls</t>
  </si>
  <si>
    <t>BTU/Whr</t>
  </si>
  <si>
    <t>0.3, 0.6, and 1.2 W/sf are the assumptions used for building capital costs</t>
  </si>
  <si>
    <t>Variable Name and Link</t>
  </si>
  <si>
    <t>User-adjustable Input or Assumption</t>
  </si>
  <si>
    <t>This page provides an index to all user-adjustable inputs and assumptions.  Click on a variable name to go directly to the adjustable cells.</t>
  </si>
  <si>
    <t>INDEX</t>
  </si>
  <si>
    <t>Characteristics of solids and spent membranes for disposal</t>
  </si>
  <si>
    <t>city_index</t>
  </si>
  <si>
    <t>OM_City_Index</t>
  </si>
  <si>
    <t>City Index for capital costs</t>
  </si>
  <si>
    <t>City Index for O&amp;M costs</t>
  </si>
  <si>
    <t>Additional redundant cartridge filter per x MGD inflow</t>
  </si>
  <si>
    <t>Include a separate day tank if daily volume is x or greater</t>
  </si>
  <si>
    <t>Computer workstations per x operators</t>
  </si>
  <si>
    <t>Printers per x computer workstations</t>
  </si>
  <si>
    <t>valve_table</t>
  </si>
  <si>
    <t>Valve table</t>
  </si>
  <si>
    <t>port_table</t>
  </si>
  <si>
    <t>Heating table for buildings 500 square feet or greater</t>
  </si>
  <si>
    <t>Heating table for buildings less than 500 ft2</t>
  </si>
  <si>
    <t>Cooling table for buildings 500 square feet or greater</t>
  </si>
  <si>
    <t>Cooling table for buildings less than 500 ft2</t>
  </si>
  <si>
    <t>Uloe for pumps</t>
  </si>
  <si>
    <t>Uloe for valves</t>
  </si>
  <si>
    <t>Uloe for chemical supply systems</t>
  </si>
  <si>
    <t>Cost Data</t>
  </si>
  <si>
    <t>bls118</t>
  </si>
  <si>
    <t>Alarms (High/Low Pressure Alarms, Level Switch/Alarms, Low Alarms)</t>
  </si>
  <si>
    <t>Useful Life (large)</t>
  </si>
  <si>
    <t>Useful Life (small)</t>
  </si>
  <si>
    <t>alarm_cost_cl</t>
  </si>
  <si>
    <t>bls1149</t>
  </si>
  <si>
    <t>Automatic Self-Cleaning Prescreens for Microfiltration and Ultrafiltration</t>
  </si>
  <si>
    <t>Size needed (gpm)</t>
  </si>
  <si>
    <t>Size selected (gpm)</t>
  </si>
  <si>
    <t>Avg. Unit Cost</t>
  </si>
  <si>
    <t>contact vendor</t>
  </si>
  <si>
    <t>auto_prescreen_cost_cl</t>
  </si>
  <si>
    <t>BCI</t>
  </si>
  <si>
    <t>Avg. Unit Cost (per cy)</t>
  </si>
  <si>
    <t>backfill_cost_cl</t>
  </si>
  <si>
    <t>CCI</t>
  </si>
  <si>
    <t>Pipe bedding costs (crushed stone and sand)</t>
  </si>
  <si>
    <t>Avg. Unit Cost (per day)</t>
  </si>
  <si>
    <t>bedding_cost_cl</t>
  </si>
  <si>
    <t>bore_rig_cost</t>
  </si>
  <si>
    <t>Avg. Unit Cost (per lf)</t>
  </si>
  <si>
    <t>bore_cost</t>
  </si>
  <si>
    <t>bore_cost_cl</t>
  </si>
  <si>
    <t>stake_out_cost</t>
  </si>
  <si>
    <t>Avg. Unit Cost (per job)</t>
  </si>
  <si>
    <t>bore_draw_cost</t>
  </si>
  <si>
    <t>bore_draw_cost_cl</t>
  </si>
  <si>
    <t>bore_report_cost</t>
  </si>
  <si>
    <t>bore_mob_cost</t>
  </si>
  <si>
    <t>bore_mob_cost_cl</t>
  </si>
  <si>
    <t>bore_report_cost_cl</t>
  </si>
  <si>
    <t>bore_rig_cost_cl</t>
  </si>
  <si>
    <t>bls11</t>
  </si>
  <si>
    <t>Cartridge Filter Systems (for pretreatment)</t>
  </si>
  <si>
    <t>Useful Life(large)</t>
  </si>
  <si>
    <t>cart_cost_cl</t>
  </si>
  <si>
    <t>Replacement Cartridge Filters for Nanofiltration</t>
  </si>
  <si>
    <t>cart_replace_cost_nf_cl</t>
  </si>
  <si>
    <t>Replacement Cartridge Filters for Reverse Osmosis</t>
  </si>
  <si>
    <t>cart_replace_cost_ro_cl</t>
  </si>
  <si>
    <t>bls061</t>
  </si>
  <si>
    <t>Chemical Costs</t>
  </si>
  <si>
    <t>Chemical</t>
  </si>
  <si>
    <t>Acetic Acid</t>
  </si>
  <si>
    <t>lb</t>
  </si>
  <si>
    <t>Aluminum Sulfate (alum)</t>
  </si>
  <si>
    <t>ton</t>
  </si>
  <si>
    <t>Ammonium Chloride</t>
  </si>
  <si>
    <t>Antiscalant - Basic</t>
  </si>
  <si>
    <t>Antiscalant - Premium</t>
  </si>
  <si>
    <t>Calcium Hydroxide (Lime) - Large Qty</t>
  </si>
  <si>
    <t>Calcium Hydroxide (Lime) - Small Qty</t>
  </si>
  <si>
    <t>Calcium Hypochlorite - Large Qty</t>
  </si>
  <si>
    <t>Calcium Hypochlorite - Small Qty</t>
  </si>
  <si>
    <t>Calcium Oxide (Quicklime)</t>
  </si>
  <si>
    <t>Citric Acid (food grade)</t>
  </si>
  <si>
    <t>Ethanol</t>
  </si>
  <si>
    <t>Ferric Chloride</t>
  </si>
  <si>
    <t>Ferric Sulfate</t>
  </si>
  <si>
    <t>Ferrous Sulfate - Large Qty</t>
  </si>
  <si>
    <t>Ferrous Sulfate - Mid Qty</t>
  </si>
  <si>
    <t>Ferrous Sulfate - Small Qty</t>
  </si>
  <si>
    <t>Hydrochloric Acid - Large Qty</t>
  </si>
  <si>
    <t>Hydrochloric Acid - Mid Qty</t>
  </si>
  <si>
    <t>Hydrochloric Acid - Small Qty</t>
  </si>
  <si>
    <t>Hydrogen Peroxide - Large Qty</t>
  </si>
  <si>
    <t>Hydrogen Peroxide - Small Qty</t>
  </si>
  <si>
    <t>Liquid Oxygen - Large Qty</t>
  </si>
  <si>
    <t>Liquid Oxygen - Mid Qty</t>
  </si>
  <si>
    <t>Liquid Oxygen - Small Qty</t>
  </si>
  <si>
    <t>Membrane Cleaner - High pH Detergent</t>
  </si>
  <si>
    <t>Membrane Cleaner - Low pH Sulfate Control</t>
  </si>
  <si>
    <t>Phosphoric Acid 75% - Large Qty</t>
  </si>
  <si>
    <t>Phosphoric Acid 75% - Mid Qty</t>
  </si>
  <si>
    <t>Phosphoric Acid 75% - Small Qty</t>
  </si>
  <si>
    <t>Phosphoric Acid 36% - Large Qty</t>
  </si>
  <si>
    <t>Phosphoric Acid 36% - Small Qty</t>
  </si>
  <si>
    <t>Polyaluminum Chloride - Large Qty</t>
  </si>
  <si>
    <t>Polyaluminum Chloride - Small Qty</t>
  </si>
  <si>
    <t>Polymers</t>
  </si>
  <si>
    <t>Potassium Permanganate</t>
  </si>
  <si>
    <t>Sodium Bicarbonate</t>
  </si>
  <si>
    <t>Sodium Bisulfite</t>
  </si>
  <si>
    <t>Sodium Carbonate (soda ash)</t>
  </si>
  <si>
    <t>Sodium Chloride - Large Qty</t>
  </si>
  <si>
    <t>Sodium Chloride - Mid Qty</t>
  </si>
  <si>
    <t>Sodium Chloride - Small Qty</t>
  </si>
  <si>
    <t>Sodium Chlorite 25.0% Solution</t>
  </si>
  <si>
    <t>Sodium Chlorite 7.5% Solution</t>
  </si>
  <si>
    <t>Sodium Hexametaphosphate</t>
  </si>
  <si>
    <t>Sodium Hydroxide 50% - Large Qty</t>
  </si>
  <si>
    <t>Sodium Hydroxide 50% - Mid Qty</t>
  </si>
  <si>
    <t>Sodium Hydroxide 50% - Small Qty</t>
  </si>
  <si>
    <t>Sodium Hydroxide 25% - Large Qty</t>
  </si>
  <si>
    <t>Sodium Hydroxide 25% - Mid Qty</t>
  </si>
  <si>
    <t>Sodium Hydroxide 25% - Small Qty</t>
  </si>
  <si>
    <t>Sodium Hypochlorite - Large Qty</t>
  </si>
  <si>
    <t>Sodium Hypochlorite - Mid Qty</t>
  </si>
  <si>
    <t>Sodium Hypochlorite - Small Qty</t>
  </si>
  <si>
    <t>Sulfuric Acid - Large Qty</t>
  </si>
  <si>
    <t>Sulfuric Acid - Small Qty</t>
  </si>
  <si>
    <t>Tetrasodium Pyrophosphate</t>
  </si>
  <si>
    <t>Zinc Orthophosphate - Large Qty</t>
  </si>
  <si>
    <t>Zinc Orthophosphate - Mid Qty</t>
  </si>
  <si>
    <t>Zinc Orthophosphate - Small Qty</t>
  </si>
  <si>
    <t>chem_cost_cl</t>
  </si>
  <si>
    <t>bls1141</t>
  </si>
  <si>
    <t>Chemical Pumps (non-metering, for regeneration chemicals, etc.)</t>
  </si>
  <si>
    <t>Size needed (gph)</t>
  </si>
  <si>
    <t>Size selected (gph)</t>
  </si>
  <si>
    <t>chem_pump_cost_cl</t>
  </si>
  <si>
    <t>Cast Iron Manual Valves</t>
  </si>
  <si>
    <t>Size needed (in. diam)</t>
  </si>
  <si>
    <t>Size selected (in. diam)</t>
  </si>
  <si>
    <t>ci_bfv_cost_large</t>
  </si>
  <si>
    <t>ci_bfv_cost_cl</t>
  </si>
  <si>
    <t>Cast Iron Check Valves</t>
  </si>
  <si>
    <t>ci_chv_cost_cl</t>
  </si>
  <si>
    <t>Cast Iron Motor/Air Operated Valves (on/off)</t>
  </si>
  <si>
    <t>ci_mov_cost_cl</t>
  </si>
  <si>
    <t>Concrete for Basins</t>
  </si>
  <si>
    <t>conc_basin_cost_cl</t>
  </si>
  <si>
    <t>Chemical Resistant Coating for Concrete</t>
  </si>
  <si>
    <t>Avg. Unit Cost (per gal)</t>
  </si>
  <si>
    <t>conc_coating_cost_cl</t>
  </si>
  <si>
    <t>conc_pad_cost_cl</t>
  </si>
  <si>
    <t>Conductivity Meters</t>
  </si>
  <si>
    <t>conduct_meter_cost_cl</t>
  </si>
  <si>
    <t>bls072106033</t>
  </si>
  <si>
    <t>CPVC Piping</t>
  </si>
  <si>
    <t>Avg. Unit Cost ($/lf)</t>
  </si>
  <si>
    <t>cpvc_pipe_cost_cl</t>
  </si>
  <si>
    <t>bls106</t>
  </si>
  <si>
    <t>Heat Tracing for Storage Tanks</t>
  </si>
  <si>
    <t>Size Needed (gal)</t>
  </si>
  <si>
    <t>Size Selected (gal)</t>
  </si>
  <si>
    <t>cst_heat_cost_cl</t>
  </si>
  <si>
    <t>Insulation for Storage Tanks</t>
  </si>
  <si>
    <t>cst_insul_cost_cl</t>
  </si>
  <si>
    <t>Current Year</t>
  </si>
  <si>
    <t>current_year_cl</t>
  </si>
  <si>
    <t>bls10150211</t>
  </si>
  <si>
    <t>Ductile Iron Piping</t>
  </si>
  <si>
    <t>di_pipe_cost_cl</t>
  </si>
  <si>
    <t>Electrical Enclosure</t>
  </si>
  <si>
    <t>elec_encl_cost_cl</t>
  </si>
  <si>
    <t>Evaporation pond dike construction</t>
  </si>
  <si>
    <t>ep_dike_construct_cl</t>
  </si>
  <si>
    <t>bls07210606</t>
  </si>
  <si>
    <t>Evaporation pond liner</t>
  </si>
  <si>
    <t>Avg. Unit Cost (per sf)</t>
  </si>
  <si>
    <t>ep_liner_cost_cl</t>
  </si>
  <si>
    <t>excavate_cost_cl</t>
  </si>
  <si>
    <t>Fiberglass Backwash Tanks</t>
  </si>
  <si>
    <t>Size needed (gal)</t>
  </si>
  <si>
    <t>Size selected (gal)</t>
  </si>
  <si>
    <t>fg_bwt_cost_cl</t>
  </si>
  <si>
    <t>Fiberglass Chemical Storage Tanks</t>
  </si>
  <si>
    <t>fg_cst_cost_cl</t>
  </si>
  <si>
    <t>Slurry Pumps for Media Transfer</t>
  </si>
  <si>
    <t>Size Needed (lb/hr)</t>
  </si>
  <si>
    <t>Size Selected (lb/hr)</t>
  </si>
  <si>
    <t>gac_slurry_cost_cl</t>
  </si>
  <si>
    <t xml:space="preserve">HDPE Backwash Tanks </t>
  </si>
  <si>
    <t>hdpe_bwt_cost_cl</t>
  </si>
  <si>
    <t>Head Loss Sensor</t>
  </si>
  <si>
    <t>headloss_cost_cl</t>
  </si>
  <si>
    <t>bls114</t>
  </si>
  <si>
    <t>Impeller Mixers for Rapid Mix</t>
  </si>
  <si>
    <t>Size needed (hp)</t>
  </si>
  <si>
    <t>Size Selected (hp)</t>
  </si>
  <si>
    <t>imp_mix_cost_cl</t>
  </si>
  <si>
    <t>Coefficient for diameter</t>
  </si>
  <si>
    <t>injection_well_coeff_diam</t>
  </si>
  <si>
    <t>$/inch diam</t>
  </si>
  <si>
    <t>Coefficient for depth</t>
  </si>
  <si>
    <t>injection_well_coeff_depth</t>
  </si>
  <si>
    <t>$/ft depth</t>
  </si>
  <si>
    <t>injection_well_coeff_depth_cl</t>
  </si>
  <si>
    <t>Intercept</t>
  </si>
  <si>
    <t>injection_well_intercept</t>
  </si>
  <si>
    <t>$</t>
  </si>
  <si>
    <t>injection_well_coeff_diam_cl</t>
  </si>
  <si>
    <t>Class I injection well</t>
  </si>
  <si>
    <t>Escalated Cost</t>
  </si>
  <si>
    <t>Unit</t>
  </si>
  <si>
    <t>injection_well_intercept_cl</t>
  </si>
  <si>
    <t>Useful life (small system)</t>
  </si>
  <si>
    <t>injection_well_UL_small</t>
  </si>
  <si>
    <t>yr</t>
  </si>
  <si>
    <t>Useful life (large system)</t>
  </si>
  <si>
    <t>injection_well_UL_large_cl</t>
  </si>
  <si>
    <t>injection_well_UL_small_cl</t>
  </si>
  <si>
    <t>bls1154</t>
  </si>
  <si>
    <t>Laser Jet Printer</t>
  </si>
  <si>
    <t>laser_printer_cost_cl</t>
  </si>
  <si>
    <t>40 PSI Feed Water Pumps for Microfiltration and Ultrafiltration</t>
  </si>
  <si>
    <t>lp40_pump_cost_cl</t>
  </si>
  <si>
    <t>Magnetic Flow Meters</t>
  </si>
  <si>
    <t>mag_fm_cost_cl</t>
  </si>
  <si>
    <t>Metalwork</t>
  </si>
  <si>
    <t>riser</t>
  </si>
  <si>
    <t>Checkered Plate Platform</t>
  </si>
  <si>
    <t>Grating</t>
  </si>
  <si>
    <t>metal_cost_cl</t>
  </si>
  <si>
    <t>Mounted Mixers (for neutralization tanks, etc)</t>
  </si>
  <si>
    <t>Size selected (hp)</t>
  </si>
  <si>
    <t>mount_mix_cost_cl</t>
  </si>
  <si>
    <t>Membrane Elements - NF/RO</t>
  </si>
  <si>
    <t>Element Selected</t>
  </si>
  <si>
    <t>Element for Cost Est</t>
  </si>
  <si>
    <t>16-18 inch Nanofiltration</t>
  </si>
  <si>
    <t>16-18 inch Low Pressure RO</t>
  </si>
  <si>
    <t>16-18 inch Brackish Water RO</t>
  </si>
  <si>
    <t>nfro_element_cost_cl</t>
  </si>
  <si>
    <t>Orifice Plate Flow Meters</t>
  </si>
  <si>
    <t>op_fm_cost_cl</t>
  </si>
  <si>
    <t>bls117507</t>
  </si>
  <si>
    <t>Operator Interface Software</t>
  </si>
  <si>
    <t>op_interface_software_cost_cl</t>
  </si>
  <si>
    <t>bls11510114</t>
  </si>
  <si>
    <t>PC Workstation</t>
  </si>
  <si>
    <t>pc_workstation_cost_cl</t>
  </si>
  <si>
    <t>pH Meters/Controllers</t>
  </si>
  <si>
    <t>pH_meter_cost_cl</t>
  </si>
  <si>
    <t>Hand Dug Test Pits</t>
  </si>
  <si>
    <t>pit_cost_cl</t>
  </si>
  <si>
    <t>Plastic (XLPE) Chemical Storage Tanks</t>
  </si>
  <si>
    <t>pl_cst_cost_cl</t>
  </si>
  <si>
    <t>bls115</t>
  </si>
  <si>
    <t>Plant Intelligence Software</t>
  </si>
  <si>
    <t>plant_intel_software_cost_cl</t>
  </si>
  <si>
    <t>Expansion Base Controller Module</t>
  </si>
  <si>
    <t>plc_base_expansion_controller_cost_cl</t>
  </si>
  <si>
    <t>Base Expansion Module</t>
  </si>
  <si>
    <t>plc_base_expansion_cost_cl</t>
  </si>
  <si>
    <t>I/O Combination Analog Module</t>
  </si>
  <si>
    <t>plc_combination_analog_cost_cl</t>
  </si>
  <si>
    <t>CPU</t>
  </si>
  <si>
    <t>plc_cpu_cost_cl</t>
  </si>
  <si>
    <t>PLC Data Collection Software</t>
  </si>
  <si>
    <t>plc_data_software_cost_cl</t>
  </si>
  <si>
    <t>I/O Discrete Input Module</t>
  </si>
  <si>
    <t>plc_discrete_input_cost_cl</t>
  </si>
  <si>
    <t>I/O Discrete Output Module</t>
  </si>
  <si>
    <t>plc_discrete_output_cost_cl</t>
  </si>
  <si>
    <t>Ethernet Module</t>
  </si>
  <si>
    <t>plc_ethernet_cost_cl</t>
  </si>
  <si>
    <t>Operator Interface Unit</t>
  </si>
  <si>
    <t>small</t>
  </si>
  <si>
    <t>large</t>
  </si>
  <si>
    <t>plc_op_interface_cost_cl</t>
  </si>
  <si>
    <t>PLC Rack/Power Supply</t>
  </si>
  <si>
    <t>plc_rack_cost_cl</t>
  </si>
  <si>
    <t>PLC  Programming Software</t>
  </si>
  <si>
    <t>plc_software_cost_cl</t>
  </si>
  <si>
    <t>Portable Mixers</t>
  </si>
  <si>
    <t>port_mix_cost_cl</t>
  </si>
  <si>
    <t>PVC Check Valves</t>
  </si>
  <si>
    <t>pp_chv_cost_cl</t>
  </si>
  <si>
    <t>Polypropylene/PVC Manual Valves</t>
  </si>
  <si>
    <t>pp_man_cost_large</t>
  </si>
  <si>
    <t>pp_man_cost_cl</t>
  </si>
  <si>
    <t>Polypropylene/PVC Motor/Air Operated Valves (on/off)</t>
  </si>
  <si>
    <t>pp_mov_cost_large</t>
  </si>
  <si>
    <t>pp_mov_cost_cl</t>
  </si>
  <si>
    <t>Propeller Flow Meters</t>
  </si>
  <si>
    <t>prop_fm_cost_cl</t>
  </si>
  <si>
    <t>Teflon Immersion Heaters</t>
  </si>
  <si>
    <t>Size needed (kW)</t>
  </si>
  <si>
    <t>Size selected (kW)</t>
  </si>
  <si>
    <t>ptfe_imm_htr_cost_cl</t>
  </si>
  <si>
    <t>Centrifugal Pumps (Booster)</t>
  </si>
  <si>
    <t>pump_cost_cl</t>
  </si>
  <si>
    <t>bls1074</t>
  </si>
  <si>
    <t>Pressure Vessel Connectors - Galvanized</t>
  </si>
  <si>
    <t>pv_conn_galv_cost_cl</t>
  </si>
  <si>
    <t>Pressure Vessel Connectors - Painted</t>
  </si>
  <si>
    <t>pv_conn_paint_cost_cl</t>
  </si>
  <si>
    <t>Steel Beams for Pressure Vessel Rack</t>
  </si>
  <si>
    <t>pv_rack_member_cost_cl</t>
  </si>
  <si>
    <t>16-18 inch RO/NF Pressure Vessels - Base</t>
  </si>
  <si>
    <t>Size needed (psi)</t>
  </si>
  <si>
    <t>Size selected (psi)</t>
  </si>
  <si>
    <t>pv1618_base_cost_cl</t>
  </si>
  <si>
    <t>16-18 inch RO/NF Pressure Vessels - Per Element</t>
  </si>
  <si>
    <t>pv1618_element_cost_cl</t>
  </si>
  <si>
    <t>4 inch RO/NF Pressure Vessels - Base</t>
  </si>
  <si>
    <t>pv4_base_cost_cl</t>
  </si>
  <si>
    <t>4 inch RO/NF Pressure Vessels - Per Element</t>
  </si>
  <si>
    <t>pv4_element_cost_cl</t>
  </si>
  <si>
    <t>8 inch RO/NF Pressure Vessels - Base</t>
  </si>
  <si>
    <t>pv8_base_cost_cl</t>
  </si>
  <si>
    <t>8 inch RO/NF Pressure Vessels - Per Element</t>
  </si>
  <si>
    <t>pv8_element_cost_cl</t>
  </si>
  <si>
    <t>PVC Chemical Metering Pumps - Electric</t>
  </si>
  <si>
    <t>pvc_empump_cost_cl</t>
  </si>
  <si>
    <t>PVC Chemical Metering Pumps - Mechanical</t>
  </si>
  <si>
    <t>pvc_mmpump_cost_cl</t>
  </si>
  <si>
    <t>PVC Piping</t>
  </si>
  <si>
    <t>pvc_pipe_cost_cl</t>
  </si>
  <si>
    <t>100 PSI Feed Water Pumps for Nanofiltration and Reverse Osmosis</t>
  </si>
  <si>
    <t>Size needed in (gpm)</t>
  </si>
  <si>
    <t>Size Selected (gpm)</t>
  </si>
  <si>
    <t>Contact Vendor</t>
  </si>
  <si>
    <t>ro100_pump_cost_cl</t>
  </si>
  <si>
    <t>150 PSI Feed Water Pumps for Nanofiltration and Reverse Osmosis</t>
  </si>
  <si>
    <t>ro150_pump_cost_cl</t>
  </si>
  <si>
    <t>200 PSI Feed Water Pumps for Nanofiltration and Reverse Osmosis</t>
  </si>
  <si>
    <t>ro200_pump_cost_cl</t>
  </si>
  <si>
    <t>250 PSI Feed Water Pumps for Reverse Osmosis</t>
  </si>
  <si>
    <t>ro250_pump_cost_cl</t>
  </si>
  <si>
    <t>300 PSI Feed Water Pumps for Reverse Osmosis</t>
  </si>
  <si>
    <t>ro300_pump_cost_cl</t>
  </si>
  <si>
    <t>350 PSI Feed Water Pumps for Reverse Osmosis</t>
  </si>
  <si>
    <t>ro350_pump_cost_cl</t>
  </si>
  <si>
    <t>500 PSI Feed Water Pumps for Reverse Osmosis</t>
  </si>
  <si>
    <t>ro500_pump_cost_cl</t>
  </si>
  <si>
    <t>Early warning/alarm software - additional license</t>
  </si>
  <si>
    <t>RONF_alarm_software_cost_addl_cl</t>
  </si>
  <si>
    <t>Early warning/alarm software - first license</t>
  </si>
  <si>
    <t>RONF_alarm_software_cost_first_cl</t>
  </si>
  <si>
    <t>Eductors (for bed transfer)</t>
  </si>
  <si>
    <t>Size Needed (in. diam)</t>
  </si>
  <si>
    <t>Size Selected (in. diam)</t>
  </si>
  <si>
    <t>seductor_cost_cl</t>
  </si>
  <si>
    <t>Simplex Basket Strainer Prescreens for Microfiltration and Ultrafiltration</t>
  </si>
  <si>
    <t>simplex_prescreen_cost_cl</t>
  </si>
  <si>
    <t>Sitework unit cost</t>
  </si>
  <si>
    <t>sitework_sf_cl</t>
  </si>
  <si>
    <t>Stainless Steel Check Valves</t>
  </si>
  <si>
    <t>ss_chv_cost_cl</t>
  </si>
  <si>
    <t>bls1072</t>
  </si>
  <si>
    <t>Stainless Steel Chemical Storage Tanks</t>
  </si>
  <si>
    <t>ss_cst_cost_cl</t>
  </si>
  <si>
    <t>316 Stainless Steel Chemical Metering Pumps - Electric</t>
  </si>
  <si>
    <t>ss_empump_cost_cl</t>
  </si>
  <si>
    <t>Stainless Steel Manual Valves</t>
  </si>
  <si>
    <t>ss_man_cost_cl</t>
  </si>
  <si>
    <t>316 Stainless Steel Chemical Metering Pumps - Mechanical</t>
  </si>
  <si>
    <t>ss_mmpump_cost_cl</t>
  </si>
  <si>
    <t>Stainless Steel Motor/Air Operated Valves (on/off)</t>
  </si>
  <si>
    <t>ss_mov_cost_cl</t>
  </si>
  <si>
    <t>bls10170674</t>
  </si>
  <si>
    <t>Stainless Steel Piping</t>
  </si>
  <si>
    <t>ss_pipe_cost_cl</t>
  </si>
  <si>
    <t>Steel Backwash Tanks</t>
  </si>
  <si>
    <t>st_bwt_cost_cl</t>
  </si>
  <si>
    <t>bls107411</t>
  </si>
  <si>
    <t>Steel Piping</t>
  </si>
  <si>
    <t>st_pipe_cost_cl</t>
  </si>
  <si>
    <t>ECI</t>
  </si>
  <si>
    <t>Geotechnical costs</t>
  </si>
  <si>
    <t>stake_out_cost_cl</t>
  </si>
  <si>
    <t>bls1173</t>
  </si>
  <si>
    <t>Standby Generators for Standby Power Calculations</t>
  </si>
  <si>
    <t>Avg. Unit Cost ($/kW)</t>
  </si>
  <si>
    <t>std_gen_cost_cl</t>
  </si>
  <si>
    <t>Drive Controllers</t>
  </si>
  <si>
    <t>switch_cost_cl</t>
  </si>
  <si>
    <t>TDS Monitor</t>
  </si>
  <si>
    <t>TDS_monitor_cost_cl</t>
  </si>
  <si>
    <t>Temperature Meter</t>
  </si>
  <si>
    <t>temp_meter_cost_cl</t>
  </si>
  <si>
    <t>UPS</t>
  </si>
  <si>
    <t>ups_cost_cl</t>
  </si>
  <si>
    <t>Venturi Flow Meters</t>
  </si>
  <si>
    <t>ven_fm_cost_cl</t>
  </si>
  <si>
    <t>High Quality, No Heating or Cooling</t>
  </si>
  <si>
    <t>Size needed (sf)</t>
  </si>
  <si>
    <t>Size selected (sf)</t>
  </si>
  <si>
    <t>bldg_hi_cost_cl</t>
  </si>
  <si>
    <t>Low Quality, No Heating or Cooling</t>
  </si>
  <si>
    <t>bldg_lo_cost_cl</t>
  </si>
  <si>
    <t>Mid Quality, No Heating or Cooling</t>
  </si>
  <si>
    <t>bldg_mid_cost_cl</t>
  </si>
  <si>
    <t>bldg_shed_cost_cl</t>
  </si>
  <si>
    <t>bls1148</t>
  </si>
  <si>
    <t>Size needed (tons)</t>
  </si>
  <si>
    <t>hvac_ac_cost_cl</t>
  </si>
  <si>
    <t>Electric resistance heaters</t>
  </si>
  <si>
    <t>Size needed (MBH)</t>
  </si>
  <si>
    <t>hvac_elec_cost_cl</t>
  </si>
  <si>
    <t>hvac_gas_cost_cl</t>
  </si>
  <si>
    <t>hvac_gas_non_cost_cl</t>
  </si>
  <si>
    <t>hvac_hp_cost_large</t>
  </si>
  <si>
    <t>hvac_hp_cost_cl</t>
  </si>
  <si>
    <t>hvac_oil_mid_cost_cl</t>
  </si>
  <si>
    <t>hvac_oil_std_cost_cl</t>
  </si>
  <si>
    <t>Building maintenance (labor and materials)</t>
  </si>
  <si>
    <t>building_matl_rate_cl</t>
  </si>
  <si>
    <t>Cooling system maintenance (labor and materials)</t>
  </si>
  <si>
    <t>cooling_matl_rate_cl</t>
  </si>
  <si>
    <t>Heating oil cost</t>
  </si>
  <si>
    <t>diesel_cost_cl</t>
  </si>
  <si>
    <t>Energy cost</t>
  </si>
  <si>
    <t>energy_cost_cl</t>
  </si>
  <si>
    <t>Natural gas cost</t>
  </si>
  <si>
    <t>gas_cost_cl</t>
  </si>
  <si>
    <t>Hazardous waste disposal</t>
  </si>
  <si>
    <t>haz_disposal_cost_cl</t>
  </si>
  <si>
    <t>Hazardous waste minimum charge per shipment</t>
  </si>
  <si>
    <t>/shipment</t>
  </si>
  <si>
    <t>haz_trans_min_cost_cl</t>
  </si>
  <si>
    <t>Hazardous waste transportation</t>
  </si>
  <si>
    <t>/ton-mile</t>
  </si>
  <si>
    <t>haz_transportation_cost_cl</t>
  </si>
  <si>
    <t>Radioactive Hazardous Waste Annual Fee</t>
  </si>
  <si>
    <t>Population Served</t>
  </si>
  <si>
    <t>Annual Fee (inflation adj.)</t>
  </si>
  <si>
    <t>hazrad_annual_fee_cl</t>
  </si>
  <si>
    <t>Radioactive hazardous waste disposal</t>
  </si>
  <si>
    <t>hazrad_disposal_cost_cl</t>
  </si>
  <si>
    <t>Radioactive hazardous waste minimum charge per shipment</t>
  </si>
  <si>
    <t>hazrad_trans_min_cost_cl</t>
  </si>
  <si>
    <t>Radioactive hazardous waste transportation</t>
  </si>
  <si>
    <t>hazrad_transportation_cost_cl</t>
  </si>
  <si>
    <t>Heating system maintenance (labor and materials)</t>
  </si>
  <si>
    <t>heating_matl_rate_cl</t>
  </si>
  <si>
    <t>Labor Costs</t>
  </si>
  <si>
    <t>Inf. Adj. Rates</t>
  </si>
  <si>
    <t>Design Flow Needed (mgd)</t>
  </si>
  <si>
    <t>Design Flow (mgd)</t>
  </si>
  <si>
    <t>Average Water Treatment Plant Operators3</t>
  </si>
  <si>
    <t>Technical Rate (Loaded)</t>
  </si>
  <si>
    <t>Managerial Rate (Loaded)</t>
  </si>
  <si>
    <t>Clerical Rate (Loaded)</t>
  </si>
  <si>
    <t>labor_table_cl</t>
  </si>
  <si>
    <t>Land Costs</t>
  </si>
  <si>
    <t>CPI</t>
  </si>
  <si>
    <t>System Size  greater than (MGD)</t>
  </si>
  <si>
    <t>Assumed Population</t>
  </si>
  <si>
    <t>Unit Cost ($/acre)</t>
  </si>
  <si>
    <t>25-100</t>
  </si>
  <si>
    <t>101-500</t>
  </si>
  <si>
    <t>501-1,000</t>
  </si>
  <si>
    <t>1,001-3,300</t>
  </si>
  <si>
    <t>3,301-10,000</t>
  </si>
  <si>
    <t>10,001-50,000</t>
  </si>
  <si>
    <t>50,001-100,000</t>
  </si>
  <si>
    <t>100,001-1,000,000</t>
  </si>
  <si>
    <t>land_cost_cl</t>
  </si>
  <si>
    <t>Liquid hazardous waste disposal</t>
  </si>
  <si>
    <t>lhaz_disposal_cost_cl</t>
  </si>
  <si>
    <t>Liquid hazardous waste minimum charge per shipment</t>
  </si>
  <si>
    <t>lhaz_trans_min_cost_cl</t>
  </si>
  <si>
    <t>Liquid hazardous waste transportation</t>
  </si>
  <si>
    <t>/gal-mile</t>
  </si>
  <si>
    <t>lhaz_transportation_cost_cl</t>
  </si>
  <si>
    <t>NEPA Compliance Costs (based on land area)</t>
  </si>
  <si>
    <t>Land area (acres)</t>
  </si>
  <si>
    <t>Permit Cost (inf. adj.)</t>
  </si>
  <si>
    <t>NEPA_cost_cl</t>
  </si>
  <si>
    <t>NEPA Compliance Costs (with surface water discharge)</t>
  </si>
  <si>
    <t>NEPA_SW_cost_cl</t>
  </si>
  <si>
    <t>Non-hazardous waste disposal</t>
  </si>
  <si>
    <t>nonhaz_disposal_cost_cl</t>
  </si>
  <si>
    <t>Non-hazardous waste transportation</t>
  </si>
  <si>
    <t>nonhaz_transportation_cost_cl</t>
  </si>
  <si>
    <t>Permit Costs</t>
  </si>
  <si>
    <t>NPDES Permit Costs</t>
  </si>
  <si>
    <t>Avg Discharge (gpd)</t>
  </si>
  <si>
    <t>NPDES_permit_cost_cl</t>
  </si>
  <si>
    <t>Pilot Studies</t>
  </si>
  <si>
    <t>Pilot study costs</t>
  </si>
  <si>
    <t>Small systems</t>
  </si>
  <si>
    <t xml:space="preserve">Model </t>
  </si>
  <si>
    <t>Total (current yr $)</t>
  </si>
  <si>
    <t>pilot_cost_small</t>
  </si>
  <si>
    <t>GAC</t>
  </si>
  <si>
    <t>AA</t>
  </si>
  <si>
    <t>AAFS-50</t>
  </si>
  <si>
    <t>G2</t>
  </si>
  <si>
    <t>SORB33</t>
  </si>
  <si>
    <t>GFH</t>
  </si>
  <si>
    <t>GF</t>
  </si>
  <si>
    <t>AX</t>
  </si>
  <si>
    <t>CX</t>
  </si>
  <si>
    <t>Lime</t>
  </si>
  <si>
    <t>EDR</t>
  </si>
  <si>
    <t>PLPM</t>
  </si>
  <si>
    <t>SLPM</t>
  </si>
  <si>
    <t>confilt</t>
  </si>
  <si>
    <t>dirfilt</t>
  </si>
  <si>
    <t>UV</t>
  </si>
  <si>
    <t>UVAOP</t>
  </si>
  <si>
    <t>PTA</t>
  </si>
  <si>
    <t>MSBA</t>
  </si>
  <si>
    <t>Tray Aeration</t>
  </si>
  <si>
    <t>Diffuse Aeration</t>
  </si>
  <si>
    <t>O3_PX</t>
  </si>
  <si>
    <t>O3_D</t>
  </si>
  <si>
    <t>RCF for Cr(VI) Removal</t>
  </si>
  <si>
    <t>BIO</t>
  </si>
  <si>
    <t>BAF</t>
  </si>
  <si>
    <t>Medium systems</t>
  </si>
  <si>
    <t>pilot_cost_medium</t>
  </si>
  <si>
    <t>Large systems</t>
  </si>
  <si>
    <t>pilot_cost_large_cl</t>
  </si>
  <si>
    <t>pilot_cost_medium_cl</t>
  </si>
  <si>
    <t>pilot_cost_small_cl</t>
  </si>
  <si>
    <t>POTW discharge base rate (average)</t>
  </si>
  <si>
    <t>/month</t>
  </si>
  <si>
    <t>POTW_base_cost_avg_cl</t>
  </si>
  <si>
    <t>POTW discharge base rate (typical)</t>
  </si>
  <si>
    <t>POTW_base_cost_typ_cl</t>
  </si>
  <si>
    <t>POTW discharge TSS rate (average)</t>
  </si>
  <si>
    <t>/lb over limit</t>
  </si>
  <si>
    <t>POTW_TSS_cost_avg_cl</t>
  </si>
  <si>
    <t>POTW discharge TSS rate (typical)</t>
  </si>
  <si>
    <t>POTW_TSS_cost_typ_cl</t>
  </si>
  <si>
    <t>POTW discharge volume rate (average)</t>
  </si>
  <si>
    <t>/1,000 gallons</t>
  </si>
  <si>
    <t>POTW_vol_cost_avg_cl</t>
  </si>
  <si>
    <t>POTW discharge volume rate (typical)</t>
  </si>
  <si>
    <t>POTW_vol_cost_typ_cl</t>
  </si>
  <si>
    <t>POTW Preatreatment Permit</t>
  </si>
  <si>
    <t>pretreat_permit_cost_cl</t>
  </si>
  <si>
    <t>Radioactive Waste Annual Fee</t>
  </si>
  <si>
    <t>rad_annual_fee_cl</t>
  </si>
  <si>
    <t>Radioactive waste disposal</t>
  </si>
  <si>
    <t>rad_disposal_cost_cl</t>
  </si>
  <si>
    <t>Radioactive waste minimum charge per shipment</t>
  </si>
  <si>
    <t>rad_trans_min_cost_cl</t>
  </si>
  <si>
    <t>Radioactive waste transportation</t>
  </si>
  <si>
    <t>rad_transportation_cost_cl</t>
  </si>
  <si>
    <t>Risk Management Plan</t>
  </si>
  <si>
    <t>RMP_cost_cl</t>
  </si>
  <si>
    <t>Storm Water Permit Costs</t>
  </si>
  <si>
    <t>SW_permit_cost_cl</t>
  </si>
  <si>
    <t>Building Permit Cost Multipliers</t>
  </si>
  <si>
    <t>Multiplier</t>
  </si>
  <si>
    <t>UBC_mult_table_cl</t>
  </si>
  <si>
    <t>Engineering Data</t>
  </si>
  <si>
    <t>Architectural Fee</t>
  </si>
  <si>
    <t>Building cost lookup</t>
  </si>
  <si>
    <t>Corresponds to the range</t>
  </si>
  <si>
    <t>Architectural fee</t>
  </si>
  <si>
    <t>&lt;$250,000</t>
  </si>
  <si>
    <t>$250,000 to $500,000</t>
  </si>
  <si>
    <t>$500,000 to $1,000,000</t>
  </si>
  <si>
    <t>$1,000,000 to $5,000,000</t>
  </si>
  <si>
    <t>$5,000,000 to $10,000,000</t>
  </si>
  <si>
    <t>$10,000,000 to $50,000,000</t>
  </si>
  <si>
    <t>&gt;$50,000,000</t>
  </si>
  <si>
    <t>Cartridge Filter Dimensions (for 5 micron filters for RO/NF)</t>
  </si>
  <si>
    <t>Based on Parker Hannifin and Harmsco filter housings.</t>
  </si>
  <si>
    <t>Flow needed (mgd)</t>
  </si>
  <si>
    <t>Flow selected (mgd)</t>
  </si>
  <si>
    <t>Length (in)</t>
  </si>
  <si>
    <t>Width (in)</t>
  </si>
  <si>
    <t>Length (ft)</t>
  </si>
  <si>
    <t>Width (ft)</t>
  </si>
  <si>
    <t># elements</t>
  </si>
  <si>
    <t>Chemical Price Break Points</t>
  </si>
  <si>
    <t>Quantity Breakpoint</t>
  </si>
  <si>
    <t>Large Qty price is for 600 tons per year (100,000 lbs/month); assume breakpoint occurs at approximate midpoint between large and small</t>
  </si>
  <si>
    <t>Calcium Hydroxide (Lime) - Mid Qty</t>
  </si>
  <si>
    <t>Uses same value as large qty because no intermediate price break exists</t>
  </si>
  <si>
    <t>Small Qty price is for Pallet Lots (50x) 50 lb bags</t>
  </si>
  <si>
    <t>Large Qty price is for 8,000 to 9,800 lbs per year; assume breakpoint occurs at monthly purchase of 5x 100 lb bags (60 per year) (approximate midpoint between large and small qtys)</t>
  </si>
  <si>
    <t>Calcium Hypochlorite - Mid Qty</t>
  </si>
  <si>
    <t>Small Qty price is for 500 lbs per year</t>
  </si>
  <si>
    <t>Large Qty price is for 50x 50 lb bags</t>
  </si>
  <si>
    <t>Mid Qty price is for 10x 50 lb bags</t>
  </si>
  <si>
    <t>Small Qty prices is for a single 50 lb bag (600 lbs/year)</t>
  </si>
  <si>
    <t>Large Qty price is for bulk delivery of 70,000 gallons to 365,500 gallons per year; assume breakpoint occurs at monthly purchase of 5,000 gal/month</t>
  </si>
  <si>
    <t>Mid Qty price is for delivery in drums or in mini-bulk of 9,400 to 12,100 gallons per year (~750 to 1,000 gal/month); assume breakpoint occurs at monthly purchase of 500 gal/month (approximate midpoint between small and mid qty)</t>
  </si>
  <si>
    <t>Small Qty prices are for delivery in containers (totes or drums) in quantities of 1,875 to 4,000 gallons per year</t>
  </si>
  <si>
    <t>Large Qty price is for 1,150,000 lbs/year; assume breakpoint occurs at monthly purchase of 50,000 lbs/month (approximate midpoint)</t>
  </si>
  <si>
    <t>Hydrogen Peroxide - Mid Qty</t>
  </si>
  <si>
    <t>Small Qty price are for 14,000 gallons per year (~139,000 lbs/year; 11,500 lbs/month @ specific gravity 1.19) and 60 tons (120,000 lbs/year; 10,000 lbs/month)</t>
  </si>
  <si>
    <t>Large Qty price is for 15 to 15,000 tons per year; assume breakpoint at 1 ton per month</t>
  </si>
  <si>
    <t>Mid Qty price is for bulk delivery, greater than 0.5 tons</t>
  </si>
  <si>
    <t>Small Qty price is for delivery in cylinders</t>
  </si>
  <si>
    <t>Large Qty price is for bulk truck deliveries in minimum quantities of 44,000 to 48,000 lbs</t>
  </si>
  <si>
    <t>Mid Qty price is for delivery in 275 gal totes (so minimum of 1 tote per month); assume 13.17 lbs/gal consistent with 75% acid</t>
  </si>
  <si>
    <t>Phosphoric Acid 36% - Mid Qty</t>
  </si>
  <si>
    <t>Large Qty prices are for &gt;24,000 gal per year (2,000 gal per month); assume 9.9 lbs/gal and that breakpoint occurs at a bulk truckload of 2,000 gal</t>
  </si>
  <si>
    <t>Polyaluminum Chloride - Mid Qty</t>
  </si>
  <si>
    <t>Small Qty prices are for smaller quantities, including tote delivery (275 lbs)</t>
  </si>
  <si>
    <t>Large Qty prices are for 270 to 7,000 tons/year; assume breakpoint occurs at 27,5000 lbs/month (approximate midpoint between large and mid qtys)</t>
  </si>
  <si>
    <t>Mid Qty prices are for 50 to 60 tons/year; assume breakpoint occurs at 5,000 lbs/month (approximate midpoint between mid and small qtys)</t>
  </si>
  <si>
    <t>Small Qty price is for 8 tons/year in 50 lb bags</t>
  </si>
  <si>
    <t>Large Qty prices for 2,000 tons per year and greater; assume breakpoint occurs at bulk truckload of 2,000 gal</t>
  </si>
  <si>
    <t>Mid Qty prices are for bulk deliveries in less than truckload quantities; assume breakpoint occurs 2.5 tons/month (approximate midpoint between medium and small qtys)</t>
  </si>
  <si>
    <t>Small Qty prices are for totes and smaller quantities</t>
  </si>
  <si>
    <t>Large Qty prices are for full bulk truckloads; assume breakpoint occurs at bulk truckload of 2,000 gal</t>
  </si>
  <si>
    <t>Mid Qty prices are for bulk deliveries of 6,000 to 12,000 gal/year (less than truckload/month); assume breakpoint occurs 2 tons/month (approximate midpoint between 500 gal/month and 275 gal tote, consistent with 50% NaOH breakpoint)</t>
  </si>
  <si>
    <t>Large Qty prices are for bulk deliveries; assume breakpoint occurs at bulk truckload of 2,000 gal</t>
  </si>
  <si>
    <t>Mid Qty prices are for mini-bulk deliveries of 800 to 1,000 gal each; assume breakpoint occurs at 10x 55 gal drums</t>
  </si>
  <si>
    <t>Small Qty prices are for delivery in drums</t>
  </si>
  <si>
    <t>Large Qty price is for bulk delivery; assume breakpoint occurs at bulk truckload of 2,000 gal</t>
  </si>
  <si>
    <t>Sulfuric Acid - Mid Qty</t>
  </si>
  <si>
    <t>Large Qty prices are for bulk delivery; assume bulk density 13.1 lbs/gal consistent with 36% as PO4 and assume breakpoint occurs at bulk truckload of 2,000 gal</t>
  </si>
  <si>
    <t>Mid Qty prices are for mini-bulk deliveries; assume breakpoint occurs at 500 gal/month</t>
  </si>
  <si>
    <t>Construction Management Fee</t>
  </si>
  <si>
    <t>&lt;$100,000</t>
  </si>
  <si>
    <t>$100,000 to $250,000</t>
  </si>
  <si>
    <t>$250,000 to $1,000,000</t>
  </si>
  <si>
    <t>&gt;$10,000,000</t>
  </si>
  <si>
    <t>Contingency Factors</t>
  </si>
  <si>
    <t>Project direct cost</t>
  </si>
  <si>
    <t>Default contingency (prior to application of technology complexity factor)</t>
  </si>
  <si>
    <t>&lt;$500,000</t>
  </si>
  <si>
    <t>$500,000 to $3,000,000</t>
  </si>
  <si>
    <t>$3,000,000 to $15,000,000</t>
  </si>
  <si>
    <t>$15,000,000 to $50,000,000</t>
  </si>
  <si>
    <t>$50,000,000 to $100,000,000</t>
  </si>
  <si>
    <t>&gt;$100,000,000</t>
  </si>
  <si>
    <t>Eductor Size Selection</t>
  </si>
  <si>
    <t>Transfer Rate (GPM)</t>
  </si>
  <si>
    <t>Diameter (inch)</t>
  </si>
  <si>
    <t>Pump Electrical Area (for high pressure pumps for reverse osmosis and nanofiltration)</t>
  </si>
  <si>
    <t>Pump horsepower needed</t>
  </si>
  <si>
    <t>Pump horsepower selected</t>
  </si>
  <si>
    <t>Electrical area (sf)</t>
  </si>
  <si>
    <t>H2SO4 Properties</t>
  </si>
  <si>
    <t>Percent H2SO4</t>
  </si>
  <si>
    <t>Specific Gravity</t>
  </si>
  <si>
    <t>Concentration (lbs/cubic ft)</t>
  </si>
  <si>
    <t>Concentration (lbs/gallon)</t>
  </si>
  <si>
    <t>HCl Properties</t>
  </si>
  <si>
    <t>Percent HCL</t>
  </si>
  <si>
    <t>Maximum cooling capacity for heat pump</t>
  </si>
  <si>
    <t>hp_max_cool_cl</t>
  </si>
  <si>
    <t>Maximum heating capacity for heat pump</t>
  </si>
  <si>
    <t>hp_max_heat_cl</t>
  </si>
  <si>
    <t>Feed Water Pump Dimensions (for high pressure pumps for reverse osmosis and nanofiltration)</t>
  </si>
  <si>
    <t>Pump Rating Needed (mgd)</t>
  </si>
  <si>
    <t>Pump Rating Selected (mgd)</t>
  </si>
  <si>
    <t>Area w/ piping (sf)</t>
  </si>
  <si>
    <t>Foundation Depth (ft)</t>
  </si>
  <si>
    <t>Maximum cooling capacity</t>
  </si>
  <si>
    <t>max_cool_cl</t>
  </si>
  <si>
    <t>Maximum heating capacity</t>
  </si>
  <si>
    <t>max_heat_cl</t>
  </si>
  <si>
    <t>NaOH Properties</t>
  </si>
  <si>
    <t>Percent NaOH</t>
  </si>
  <si>
    <t>Concentration (g/L)</t>
  </si>
  <si>
    <t>Performance Bond</t>
  </si>
  <si>
    <t>Direct cost lookup</t>
  </si>
  <si>
    <t>Plus fraction</t>
  </si>
  <si>
    <t>Of amount over</t>
  </si>
  <si>
    <t>$100,000 to $500,000</t>
  </si>
  <si>
    <t>$500,000 to $2,500,000</t>
  </si>
  <si>
    <t>$2,500,000 to $5,000,000</t>
  </si>
  <si>
    <t>$5,000,000 to $7,500,000</t>
  </si>
  <si>
    <t>&gt;$7,500,000</t>
  </si>
  <si>
    <t>Pipe Size Selection</t>
  </si>
  <si>
    <t>Pipe Flow to Pipe Diameter</t>
  </si>
  <si>
    <t>Flow (GPM)</t>
  </si>
  <si>
    <t>Prescreen Dimensions (for 500 micron screens for low-pressure membrane filtration)</t>
  </si>
  <si>
    <t>Flow needed (gpm)</t>
  </si>
  <si>
    <t>Flow selected (gpm)</t>
  </si>
  <si>
    <t>Rated hp</t>
  </si>
  <si>
    <t>Pump Dimensions (for centrifugal pumps)</t>
  </si>
  <si>
    <t>Pump Rating Needed (gpm)</t>
  </si>
  <si>
    <t>Pump Rating Selected (gpm)</t>
  </si>
  <si>
    <t>Pressure vessel ratings</t>
  </si>
  <si>
    <t>Rating needed (w/safety factor)</t>
  </si>
  <si>
    <t>Rating selected</t>
  </si>
  <si>
    <t>WBS Tech Name</t>
  </si>
  <si>
    <t>TDB Link</t>
  </si>
  <si>
    <t>TDB Technology Category</t>
  </si>
  <si>
    <t>Adsorb</t>
  </si>
  <si>
    <t>https://tdb.epa.gov/tdb/treatmentprocess?treatmentProcessId=1176996650</t>
  </si>
  <si>
    <t>Adsorptive Media</t>
  </si>
  <si>
    <t>https://tdb.epa.gov/tdb/treatmentprocess?treatmentProcessId=-346223903</t>
  </si>
  <si>
    <t>Aeration and Air Stripping</t>
  </si>
  <si>
    <t>Spray Aeration</t>
  </si>
  <si>
    <t>https://tdb.epa.gov/tdb/treatmentprocess?treatmentProcessId=1174340674</t>
  </si>
  <si>
    <t>Biological Filtration</t>
  </si>
  <si>
    <t>https://tdb.epa.gov/tdb/treatmentprocess?treatmentProcessId=10000</t>
  </si>
  <si>
    <t>Biological Treatment</t>
  </si>
  <si>
    <t>https://tdb.epa.gov/tdb/treatmentprocess?treatmentProcessId=1181590563</t>
  </si>
  <si>
    <t>Chemical Treatment</t>
  </si>
  <si>
    <t>Chloramine (Ammonia Feed)</t>
  </si>
  <si>
    <t>https://tdb.epa.gov/tdb/treatmentprocess?treatmentProcessId=-30174904</t>
  </si>
  <si>
    <t>Chloramine</t>
  </si>
  <si>
    <t>Chlorine Gas</t>
  </si>
  <si>
    <t>https://tdb.epa.gov/tdb/treatmentprocess?treatmentProcessId=-1118142891</t>
  </si>
  <si>
    <t>Chlorine</t>
  </si>
  <si>
    <t>Hypochlorite</t>
  </si>
  <si>
    <t>Chlorine Dioxide</t>
  </si>
  <si>
    <t>https://tdb.epa.gov/tdb/treatmentprocess?treatmentProcessId=-1277754943</t>
  </si>
  <si>
    <t>Confilt</t>
  </si>
  <si>
    <t>https://tdb.epa.gov/tdb/treatmentprocess?treatmentProcessId=1934681921</t>
  </si>
  <si>
    <t>Conventional Treatment</t>
  </si>
  <si>
    <t>https://tdb.epa.gov/tdb/treatmentprocess?treatmentProcessId=1942020127</t>
  </si>
  <si>
    <t>Diatomaceous Earth Filtration</t>
  </si>
  <si>
    <t>Dirfilt</t>
  </si>
  <si>
    <t>https://tdb.epa.gov/tdb/treatmentprocess?treatmentProcessId=1667135053</t>
  </si>
  <si>
    <t>Direct Filtration</t>
  </si>
  <si>
    <t>GAC Isotherm</t>
  </si>
  <si>
    <t>https://tdb.epa.gov/tdb/treatmentprocess?treatmentProcessId=-979193564</t>
  </si>
  <si>
    <t>https://tdb.epa.gov/tdb/treatmentprocess?treatmentProcessId=2074826383</t>
  </si>
  <si>
    <t>Granular Activated Carbon</t>
  </si>
  <si>
    <t>https://tdb.epa.gov/tdb/treatmentprocess?treatmentProcessId=-1234021623</t>
  </si>
  <si>
    <t>Hydrogen Peroxide</t>
  </si>
  <si>
    <t>https://tdb.epa.gov/tdb/treatmentprocess?treatmentProcessId=263654386</t>
  </si>
  <si>
    <t>Ion Exchange</t>
  </si>
  <si>
    <t>MIEX</t>
  </si>
  <si>
    <t>WBA Exchange System for Cr</t>
  </si>
  <si>
    <t>lpmem</t>
  </si>
  <si>
    <t>https://tdb.epa.gov/tdb/treatmentprocess?treatmentProcessId=510273414</t>
  </si>
  <si>
    <t>Membrane Filtration</t>
  </si>
  <si>
    <t>RONF</t>
  </si>
  <si>
    <t>https://tdb.epa.gov/tdb/treatmentprocess?treatmentProcessId=-2103528007</t>
  </si>
  <si>
    <t>Membrane Separation</t>
  </si>
  <si>
    <t>https://tdb.epa.gov/tdb/treatmentprocess?treatmentProcessId=2088586280</t>
  </si>
  <si>
    <t>Other Treatment</t>
  </si>
  <si>
    <t>OZONE</t>
  </si>
  <si>
    <t>https://tdb.epa.gov/tdb/treatmentprocess?treatmentProcessId=-1467636837</t>
  </si>
  <si>
    <t>Ozone</t>
  </si>
  <si>
    <t>https://tdb.epa.gov/tdb/treatmentprocess?treatmentProcessId=372675748</t>
  </si>
  <si>
    <t>Ozone + Hydrogen Peroxide</t>
  </si>
  <si>
    <t>Permanganate</t>
  </si>
  <si>
    <t>https://tdb.epa.gov/tdb/treatmentprocess?treatmentProcessId=-1644188630</t>
  </si>
  <si>
    <t>PAC</t>
  </si>
  <si>
    <t>https://tdb.epa.gov/tdb/treatmentprocess?treatmentProcessId=2109700949</t>
  </si>
  <si>
    <t>Powdered Activated Carbon</t>
  </si>
  <si>
    <t>https://tdb.epa.gov/tdb/treatmentprocess?treatmentProcessId=-2062922688</t>
  </si>
  <si>
    <t>Precipitative Softening</t>
  </si>
  <si>
    <t>https://tdb.epa.gov/tdb/treatmentprocess?treatmentProcessId=548212009</t>
  </si>
  <si>
    <t>Pressure Filtration</t>
  </si>
  <si>
    <t>https://tdb.epa.gov/tdb/treatmentprocess?treatmentProcessId=-1306063973</t>
  </si>
  <si>
    <t>Slow Sand Filtration</t>
  </si>
  <si>
    <t>https://tdb.epa.gov/tdb/treatmentprocess?treatmentProcessId=-2054608628</t>
  </si>
  <si>
    <t>Ultraviolet Irradiation</t>
  </si>
  <si>
    <t>UVH2O2</t>
  </si>
  <si>
    <t>https://tdb.epa.gov/tdb/treatmentprocess?treatmentProcessId=-300168699</t>
  </si>
  <si>
    <t>Ultraviolet Irradiation + Hydrogen Peroxide</t>
  </si>
  <si>
    <t>https://tdb.epa.gov/tdb/treatmentprocess?treatmentProcessId=-1861125809</t>
  </si>
  <si>
    <t>Ultraviolet Irradiation + Ozone</t>
  </si>
  <si>
    <t>Thrust Blocks for Yard Piping</t>
  </si>
  <si>
    <t>Pipe Diameter (inches)</t>
  </si>
  <si>
    <t xml:space="preserve"> Thrust Force</t>
  </si>
  <si>
    <t>Based on 90 degree angles</t>
  </si>
  <si>
    <t>Size Needed</t>
  </si>
  <si>
    <t>kg</t>
  </si>
  <si>
    <t>Size Selected</t>
  </si>
  <si>
    <t>Power: C1*x^C2</t>
  </si>
  <si>
    <t>Logarithmic: C3*Ln(x) + C4</t>
  </si>
  <si>
    <t>Exponential: C5*e^(C6*x)</t>
  </si>
  <si>
    <t>Polynomial: C7*x^3 + C8*x^2 + C9*x + C10</t>
  </si>
  <si>
    <t>NOTES</t>
  </si>
  <si>
    <t>C1</t>
  </si>
  <si>
    <t>C2</t>
  </si>
  <si>
    <t>C3</t>
  </si>
  <si>
    <t>C4</t>
  </si>
  <si>
    <t>C5</t>
  </si>
  <si>
    <t>C6</t>
  </si>
  <si>
    <t>C7</t>
  </si>
  <si>
    <t>C8</t>
  </si>
  <si>
    <t>C9</t>
  </si>
  <si>
    <t>C10</t>
  </si>
  <si>
    <t>Pct deviation of fit equation</t>
  </si>
  <si>
    <t>Modified by</t>
  </si>
  <si>
    <t>Last modified</t>
  </si>
  <si>
    <t>Rsq of fit equation</t>
  </si>
  <si>
    <t>max size used to gen curve</t>
  </si>
  <si>
    <t xml:space="preserve"> 1/13/2023 10:20:56 AM</t>
  </si>
  <si>
    <t xml:space="preserve"> 1/13/2023 10:21:22 AM</t>
  </si>
  <si>
    <t xml:space="preserve"> 1/13/2023 10:25:53 AM</t>
  </si>
  <si>
    <t xml:space="preserve"> 1/13/2023 11:24:17 AM</t>
  </si>
  <si>
    <t xml:space="preserve"> 1/13/2023 11:28:39 AM</t>
  </si>
  <si>
    <t xml:space="preserve"> 1/13/2023 11:27:47 AM</t>
  </si>
  <si>
    <t xml:space="preserve"> 1/13/2023 11:42:30 AM</t>
  </si>
  <si>
    <t xml:space="preserve"> 1/13/2023 11:43:02 AM</t>
  </si>
  <si>
    <t xml:space="preserve"> 1/13/2023 3:31:40 PM</t>
  </si>
  <si>
    <t xml:space="preserve"> 1/13/2023 3:31:55 PM</t>
  </si>
  <si>
    <t xml:space="preserve"> 1/13/2023 3:33:26 PM</t>
  </si>
  <si>
    <t xml:space="preserve"> 1/13/2023 3:33:57 PM</t>
  </si>
  <si>
    <t xml:space="preserve"> 1/13/2023 3:34:36 PM</t>
  </si>
  <si>
    <t>pp_mov_eq_large</t>
  </si>
  <si>
    <t xml:space="preserve"> 1/17/2023 9:48:39 AM</t>
  </si>
  <si>
    <t>pp_mov_eq_small</t>
  </si>
  <si>
    <t xml:space="preserve"> 1/17/2023 9:44:40 AM</t>
  </si>
  <si>
    <t xml:space="preserve"> 1/17/2023 9:46:38 AM</t>
  </si>
  <si>
    <t xml:space="preserve"> 1/17/2023 11:27:00 AM</t>
  </si>
  <si>
    <t>pp_man_eq_large</t>
  </si>
  <si>
    <t xml:space="preserve"> 1/17/2023 10:02:52 AM</t>
  </si>
  <si>
    <t>pp_man_eq_small</t>
  </si>
  <si>
    <t xml:space="preserve"> 1/17/2023 9:54:09 AM</t>
  </si>
  <si>
    <t xml:space="preserve"> 1/17/2023 10:07:57 AM</t>
  </si>
  <si>
    <t>ci_bfv_eq_small</t>
  </si>
  <si>
    <t xml:space="preserve"> 1/17/2023 11:28:24 AM</t>
  </si>
  <si>
    <t>ci_bfv_eq_large</t>
  </si>
  <si>
    <t xml:space="preserve"> 1/17/2023 10:13:27 AM</t>
  </si>
  <si>
    <t xml:space="preserve"> 1/17/2023 11:03:14 AM</t>
  </si>
  <si>
    <t xml:space="preserve"> 1/17/2023 10:59:04 AM</t>
  </si>
  <si>
    <t xml:space="preserve"> 1/17/2023 10:59:59 AM</t>
  </si>
  <si>
    <t xml:space="preserve"> 1/17/2023 11:35:59 AM</t>
  </si>
  <si>
    <t xml:space="preserve"> 1/17/2023 12:20:25 PM</t>
  </si>
  <si>
    <t xml:space="preserve"> 1/17/2023 12:20:38 PM</t>
  </si>
  <si>
    <t xml:space="preserve"> 1/17/2023 12:05:11 PM</t>
  </si>
  <si>
    <t xml:space="preserve"> 1/17/2023 12:17:46 PM</t>
  </si>
  <si>
    <t xml:space="preserve"> 1/17/2023 12:22:04 PM</t>
  </si>
  <si>
    <t xml:space="preserve"> 1/19/2023 2:26:16 PM</t>
  </si>
  <si>
    <t xml:space="preserve"> 1/19/2023 2:30:40 PM</t>
  </si>
  <si>
    <t xml:space="preserve"> 1/19/2023 2:31:21 PM</t>
  </si>
  <si>
    <t xml:space="preserve"> 1/19/2023 2:31:34 PM</t>
  </si>
  <si>
    <t xml:space="preserve"> 1/19/2023 2:31:45 PM</t>
  </si>
  <si>
    <t xml:space="preserve"> 1/19/2023 2:32:00 PM</t>
  </si>
  <si>
    <t xml:space="preserve"> 1/19/2023 2:32:15 PM</t>
  </si>
  <si>
    <t xml:space="preserve"> 1/19/2023 2:32:32 PM</t>
  </si>
  <si>
    <t xml:space="preserve"> 1/19/2023 2:32:46 PM</t>
  </si>
  <si>
    <t xml:space="preserve"> 1/23/2023 12:36:43 PM</t>
  </si>
  <si>
    <t xml:space="preserve"> 1/23/2023 12:37:02 PM</t>
  </si>
  <si>
    <t xml:space="preserve"> 1/23/2023 12:43:50 PM</t>
  </si>
  <si>
    <t xml:space="preserve"> 1/23/2023 12:59:03 PM</t>
  </si>
  <si>
    <t xml:space="preserve"> 1/23/2023 12:59:16 PM</t>
  </si>
  <si>
    <t xml:space="preserve"> 1/23/2023 12:59:37 PM</t>
  </si>
  <si>
    <t xml:space="preserve"> 1/23/2023 12:59:50 PM</t>
  </si>
  <si>
    <t xml:space="preserve"> 1/24/2023 2:46:26 PM</t>
  </si>
  <si>
    <t xml:space="preserve"> 1/24/2023 2:46:41 PM</t>
  </si>
  <si>
    <t xml:space="preserve"> 1/24/2023 3:15:04 PM</t>
  </si>
  <si>
    <t xml:space="preserve"> 1/24/2023 3:20:14 PM</t>
  </si>
  <si>
    <t xml:space="preserve"> 1/24/2023 3:21:14 PM</t>
  </si>
  <si>
    <t xml:space="preserve"> 1/24/2023 3:23:55 PM</t>
  </si>
  <si>
    <t xml:space="preserve"> 1/25/2023 5:10:26 PM</t>
  </si>
  <si>
    <t xml:space="preserve"> 1/25/2023 5:10:48 PM</t>
  </si>
  <si>
    <t xml:space="preserve"> 1/25/2023 5:11:07 PM</t>
  </si>
  <si>
    <t xml:space="preserve"> 1/25/2023 5:27:00 PM</t>
  </si>
  <si>
    <t xml:space="preserve"> 1/25/2023 5:44:55 PM</t>
  </si>
  <si>
    <t xml:space="preserve"> 1/25/2023 5:45:06 PM</t>
  </si>
  <si>
    <t xml:space="preserve"> 1/25/2023 5:45:25 PM</t>
  </si>
  <si>
    <t xml:space="preserve"> 1/25/2023 5:45:40 PM</t>
  </si>
  <si>
    <t xml:space="preserve"> 1/25/2023 5:45:51 PM</t>
  </si>
  <si>
    <t>hvac_hp_eq_small</t>
  </si>
  <si>
    <t xml:space="preserve"> 1/25/2023 5:58:02 PM</t>
  </si>
  <si>
    <t>hvac_hp_eq_large</t>
  </si>
  <si>
    <t xml:space="preserve"> 1/25/2023 6:00:17 PM</t>
  </si>
  <si>
    <t>U.S. EPA Office of Ground Water and Drinking Water</t>
  </si>
  <si>
    <r>
      <t>·</t>
    </r>
    <r>
      <rPr>
        <sz val="10"/>
        <rFont val="Times New Roman"/>
        <family val="1"/>
      </rPr>
      <t> </t>
    </r>
    <r>
      <rPr>
        <sz val="10"/>
        <rFont val="Arial"/>
        <family val="2"/>
      </rPr>
      <t>The primary purpose of this model is to assist EPA in estimating national compliance costs.</t>
    </r>
  </si>
  <si>
    <r>
      <rPr>
        <sz val="10"/>
        <rFont val="Symbol"/>
        <family val="1"/>
        <charset val="2"/>
      </rPr>
      <t>·</t>
    </r>
    <r>
      <rPr>
        <sz val="10"/>
        <rFont val="Arial"/>
        <family val="2"/>
      </rPr>
      <t xml:space="preserve"> As such, the costs are intended to be representative of the central tendency of typical facilities.</t>
    </r>
  </si>
  <si>
    <r>
      <rPr>
        <sz val="10"/>
        <rFont val="Symbol"/>
        <family val="1"/>
        <charset val="2"/>
      </rPr>
      <t>·</t>
    </r>
    <r>
      <rPr>
        <sz val="10"/>
        <rFont val="Arial"/>
        <family val="2"/>
      </rPr>
      <t xml:space="preserve"> The default settings, however, do not account for all of the site-specific factors that could affect the cost of any given individual facility or project.</t>
    </r>
  </si>
  <si>
    <r>
      <rPr>
        <sz val="10"/>
        <rFont val="Symbol"/>
        <family val="1"/>
        <charset val="2"/>
      </rPr>
      <t>·</t>
    </r>
    <r>
      <rPr>
        <sz val="10"/>
        <rFont val="Arial"/>
        <family val="2"/>
      </rPr>
      <t xml:space="preserve"> Still, other uses of the model might be reasonable if sufficient care is taken by the user to account for site- or project-specific factors.</t>
    </r>
  </si>
  <si>
    <r>
      <rPr>
        <sz val="10"/>
        <rFont val="Symbol"/>
        <family val="1"/>
        <charset val="2"/>
      </rPr>
      <t>·</t>
    </r>
    <r>
      <rPr>
        <sz val="10"/>
        <rFont val="Arial"/>
        <family val="2"/>
      </rPr>
      <t xml:space="preserve"> The model results are point estimates shown to the nearest $1, but this precision is not meant to imply that the results are accurate to $1.</t>
    </r>
  </si>
  <si>
    <r>
      <rPr>
        <sz val="10"/>
        <rFont val="Symbol"/>
        <family val="1"/>
        <charset val="2"/>
      </rPr>
      <t>·</t>
    </r>
    <r>
      <rPr>
        <sz val="10"/>
        <rFont val="Arial"/>
        <family val="2"/>
      </rPr>
      <t xml:space="preserve"> Instead, users should review all documentation, modify inputs/assumptions as appropriate to their specific purpose, and form their own informed opinions about the accuracy and suitability of the results.</t>
    </r>
  </si>
  <si>
    <r>
      <rPr>
        <sz val="10"/>
        <rFont val="Symbol"/>
        <family val="1"/>
        <charset val="2"/>
      </rPr>
      <t>·</t>
    </r>
    <r>
      <rPr>
        <sz val="10"/>
        <rFont val="Arial"/>
        <family val="2"/>
      </rPr>
      <t xml:space="preserve"> Use of this model requires Excel 2007 or later.</t>
    </r>
  </si>
  <si>
    <r>
      <rPr>
        <sz val="10"/>
        <rFont val="Symbol"/>
        <family val="1"/>
        <charset val="2"/>
      </rPr>
      <t>·</t>
    </r>
    <r>
      <rPr>
        <sz val="10"/>
        <rFont val="Arial"/>
        <family val="2"/>
      </rPr>
      <t xml:space="preserve"> The model should be opened as Read-only, so that any changes you make are saved under a new file name.</t>
    </r>
  </si>
  <si>
    <r>
      <rPr>
        <sz val="10"/>
        <rFont val="Symbol"/>
        <family val="1"/>
        <charset val="2"/>
      </rPr>
      <t>·</t>
    </r>
    <r>
      <rPr>
        <sz val="10"/>
        <rFont val="Arial"/>
        <family val="2"/>
      </rPr>
      <t xml:space="preserve"> To function properly, macros ("active content") must be enabled. If a security warning appears, click "options" and "enable this content."</t>
    </r>
  </si>
  <si>
    <r>
      <rPr>
        <sz val="10"/>
        <rFont val="Symbol"/>
        <family val="1"/>
        <charset val="2"/>
      </rPr>
      <t>·</t>
    </r>
    <r>
      <rPr>
        <sz val="10"/>
        <rFont val="Arial"/>
        <family val="2"/>
      </rPr>
      <t xml:space="preserve"> For further information see the following document distributed with this file:</t>
    </r>
  </si>
  <si>
    <r>
      <rPr>
        <u/>
        <sz val="10"/>
        <color indexed="12"/>
        <rFont val="Symbol"/>
        <family val="1"/>
        <charset val="2"/>
      </rPr>
      <t>·</t>
    </r>
    <r>
      <rPr>
        <u/>
        <sz val="10"/>
        <color indexed="12"/>
        <rFont val="Arial"/>
        <family val="2"/>
      </rPr>
      <t xml:space="preserve"> To begin using the model, go to the INPUT sheet.</t>
    </r>
  </si>
  <si>
    <t>Work Breakdown Structure (WBS) Model for REVERSE OSMOSIS/NANOFILTRATION Treatment</t>
  </si>
  <si>
    <t>This sheet is used internally and contains component cost data extracted from the central cost database</t>
  </si>
  <si>
    <t>To maintain vendor confidentiality, the central cost database itself is not provided here</t>
  </si>
  <si>
    <t>This sheet is used internally and contains engineering reference and indirect cost data extracted from the central cost database</t>
  </si>
  <si>
    <t>Coefficients for Component Cost Equations</t>
  </si>
  <si>
    <t>min size for which curve fits are valid</t>
  </si>
  <si>
    <t>Release Date: March 2023</t>
  </si>
  <si>
    <r>
      <t xml:space="preserve">USEPA. 2023. </t>
    </r>
    <r>
      <rPr>
        <i/>
        <sz val="10"/>
        <rFont val="Arial"/>
        <family val="2"/>
      </rPr>
      <t>Work Breakdown Structure-Based Cost Model for REVERSE OSMOSIS/NANOFILTRATION Drinking Water Treatment</t>
    </r>
    <r>
      <rPr>
        <sz val="10"/>
        <rFont val="Arial"/>
        <family val="2"/>
      </rPr>
      <t>. Office of Water.</t>
    </r>
  </si>
  <si>
    <t>MGD</t>
    <phoneticPr fontId="0" type="noConversion"/>
  </si>
  <si>
    <t>RO</t>
    <phoneticPr fontId="0" type="noConversion"/>
  </si>
  <si>
    <t>Calculation completed OK.</t>
    <phoneticPr fontId="0" type="noConversion"/>
  </si>
  <si>
    <t>Calculation completed OK.</t>
    <phoneticPr fontId="27" type="noConversion"/>
  </si>
  <si>
    <t>25:13</t>
  </si>
  <si>
    <t>Include redundant train?</t>
    <phoneticPr fontId="0" type="noConversion"/>
  </si>
  <si>
    <t>Antiscalant</t>
    <phoneticPr fontId="0" type="noConversion"/>
  </si>
  <si>
    <t>Acid for pretreatment</t>
    <phoneticPr fontId="0" type="noConversion"/>
  </si>
  <si>
    <t>H2SO4</t>
    <phoneticPr fontId="0" type="noConversion"/>
  </si>
  <si>
    <t>10 bar for test</t>
    <phoneticPr fontId="0" type="noConversion"/>
  </si>
  <si>
    <t>-</t>
    <phoneticPr fontId="0" type="noConversion"/>
  </si>
  <si>
    <t>Spent cartridge filter disposal</t>
    <phoneticPr fontId="0" type="noConversion"/>
  </si>
  <si>
    <t>Avg. Unit Cost ($/sf)</t>
    <phoneticPr fontId="7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</si>
</sst>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3" formatCode="_(* #,##0.00_);_(* \(#,##0.00\);_(* &quot;-&quot;??_);_(@_)"/>
    <numFmt numFmtId="176" formatCode="&quot;$&quot;#,##0_);[Red]\(&quot;$&quot;#,##0\)"/>
    <numFmt numFmtId="177" formatCode="&quot;$&quot;#,##0.00_);[Red]\(&quot;$&quot;#,##0.00\)"/>
    <numFmt numFmtId="178" formatCode="_(&quot;$&quot;* #,##0_);_(&quot;$&quot;* \(#,##0\);_(&quot;$&quot;* &quot;-&quot;_);_(@_)"/>
    <numFmt numFmtId="179" formatCode="_(&quot;$&quot;* #,##0.00_);_(&quot;$&quot;* \(#,##0.00\);_(&quot;$&quot;* &quot;-&quot;??_);_(@_)"/>
    <numFmt numFmtId="180" formatCode="_(* #,##0.0_);_(* \(#,##0.0\);_(* &quot;-&quot;??_);_(@_)"/>
    <numFmt numFmtId="181" formatCode="_(* #,##0_);_(* \(#,##0\);_(* &quot;-&quot;??_);_(@_)"/>
    <numFmt numFmtId="182" formatCode="0.00000"/>
    <numFmt numFmtId="183" formatCode="0.0000"/>
    <numFmt numFmtId="184" formatCode="0.000"/>
    <numFmt numFmtId="185" formatCode="_(&quot;$&quot;* #,##0_);_(&quot;$&quot;* \(#,##0\);_(&quot;$&quot;* &quot;-&quot;??_);_(@_)"/>
    <numFmt numFmtId="186" formatCode="&quot;$&quot;#,##0"/>
    <numFmt numFmtId="187" formatCode="0.0"/>
    <numFmt numFmtId="188" formatCode="0.000000"/>
    <numFmt numFmtId="189" formatCode="_(* #,##0.000_);_(* \(#,##0.000\);_(* &quot;-&quot;??_);_(@_)"/>
    <numFmt numFmtId="190" formatCode="_(* #,##0.0000_);_(* \(#,##0.0000\);_(* &quot;-&quot;??_);_(@_)"/>
    <numFmt numFmtId="191" formatCode="0.0%"/>
    <numFmt numFmtId="192" formatCode="#,##0.0"/>
    <numFmt numFmtId="193" formatCode="0.000%"/>
    <numFmt numFmtId="194" formatCode="0.0000%"/>
    <numFmt numFmtId="195" formatCode="_(* #,##0.00000_);_(* \(#,##0.00000\);_(* &quot;-&quot;??_);_(@_)"/>
    <numFmt numFmtId="196" formatCode="0.000E+00"/>
    <numFmt numFmtId="197" formatCode="#,##0.000"/>
    <numFmt numFmtId="198" formatCode="0.0E+00"/>
    <numFmt numFmtId="199" formatCode="#,##0.0_);\(#,##0.0\)"/>
    <numFmt numFmtId="200" formatCode="&quot;$&quot;#,##0.00"/>
    <numFmt numFmtId="201" formatCode="_(&quot;$&quot;* #,##0.000_);_(&quot;$&quot;* \(#,##0.000\);_(&quot;$&quot;* &quot;-&quot;??_);_(@_)"/>
  </numFmts>
  <fonts count="71">
    <font>
      <sz val="10"/>
      <name val="Arial"/>
    </font>
    <font>
      <sz val="11"/>
      <color theme="1"/>
      <name val="宋体"/>
      <family val="2"/>
      <scheme val="minor"/>
    </font>
    <font>
      <sz val="11"/>
      <color theme="1"/>
      <name val="宋体"/>
      <family val="2"/>
      <scheme val="minor"/>
    </font>
    <font>
      <sz val="11"/>
      <color theme="1"/>
      <name val="宋体"/>
      <family val="2"/>
      <scheme val="minor"/>
    </font>
    <font>
      <sz val="10"/>
      <name val="Arial"/>
      <family val="2"/>
    </font>
    <font>
      <b/>
      <sz val="10"/>
      <name val="Arial"/>
      <family val="2"/>
    </font>
    <font>
      <u/>
      <sz val="10"/>
      <name val="Arial"/>
      <family val="2"/>
    </font>
    <font>
      <i/>
      <sz val="10"/>
      <name val="Arial"/>
      <family val="2"/>
    </font>
    <font>
      <sz val="8"/>
      <name val="Arial"/>
      <family val="2"/>
    </font>
    <font>
      <sz val="10"/>
      <name val="Arial"/>
      <family val="2"/>
    </font>
    <font>
      <b/>
      <i/>
      <sz val="10"/>
      <name val="Arial"/>
      <family val="2"/>
    </font>
    <font>
      <b/>
      <sz val="10"/>
      <color indexed="17"/>
      <name val="Arial"/>
      <family val="2"/>
    </font>
    <font>
      <b/>
      <sz val="10"/>
      <color indexed="10"/>
      <name val="Arial"/>
      <family val="2"/>
    </font>
    <font>
      <sz val="9"/>
      <name val="Arial"/>
      <family val="2"/>
    </font>
    <font>
      <b/>
      <sz val="9"/>
      <color indexed="17"/>
      <name val="Arial"/>
      <family val="2"/>
    </font>
    <font>
      <u/>
      <sz val="10"/>
      <color indexed="12"/>
      <name val="Arial"/>
      <family val="2"/>
    </font>
    <font>
      <b/>
      <sz val="10"/>
      <color indexed="9"/>
      <name val="Arial"/>
      <family val="2"/>
    </font>
    <font>
      <b/>
      <sz val="9"/>
      <name val="Arial"/>
      <family val="2"/>
    </font>
    <font>
      <sz val="10"/>
      <color indexed="10"/>
      <name val="Arial"/>
      <family val="2"/>
    </font>
    <font>
      <i/>
      <u/>
      <sz val="10"/>
      <name val="Arial"/>
      <family val="2"/>
    </font>
    <font>
      <b/>
      <i/>
      <sz val="10"/>
      <color indexed="17"/>
      <name val="Arial"/>
      <family val="2"/>
    </font>
    <font>
      <sz val="10"/>
      <color indexed="12"/>
      <name val="Arial"/>
      <family val="2"/>
    </font>
    <font>
      <sz val="10"/>
      <name val="Symbol"/>
      <family val="1"/>
      <charset val="2"/>
    </font>
    <font>
      <u/>
      <sz val="10"/>
      <name val="Arial"/>
      <family val="2"/>
    </font>
    <font>
      <sz val="8"/>
      <color indexed="81"/>
      <name val="Tahoma"/>
      <family val="2"/>
    </font>
    <font>
      <b/>
      <sz val="8"/>
      <color indexed="81"/>
      <name val="Tahoma"/>
      <family val="2"/>
    </font>
    <font>
      <sz val="10"/>
      <color indexed="10"/>
      <name val="Arial"/>
      <family val="2"/>
    </font>
    <font>
      <sz val="8"/>
      <name val="Arial"/>
      <family val="2"/>
    </font>
    <font>
      <sz val="10"/>
      <color indexed="17"/>
      <name val="Arial"/>
      <family val="2"/>
    </font>
    <font>
      <b/>
      <u/>
      <sz val="10"/>
      <name val="Arial"/>
      <family val="2"/>
    </font>
    <font>
      <b/>
      <sz val="12"/>
      <color indexed="61"/>
      <name val="Arial"/>
      <family val="2"/>
    </font>
    <font>
      <sz val="9"/>
      <color indexed="17"/>
      <name val="Arial"/>
      <family val="2"/>
    </font>
    <font>
      <sz val="10"/>
      <color indexed="17"/>
      <name val="Arial"/>
      <family val="2"/>
    </font>
    <font>
      <b/>
      <sz val="12"/>
      <name val="Arial"/>
      <family val="2"/>
    </font>
    <font>
      <i/>
      <sz val="10"/>
      <name val="Arial"/>
      <family val="2"/>
    </font>
    <font>
      <b/>
      <u/>
      <sz val="10"/>
      <name val="Arial"/>
      <family val="2"/>
    </font>
    <font>
      <b/>
      <sz val="10"/>
      <name val="Arial"/>
      <family val="2"/>
    </font>
    <font>
      <b/>
      <sz val="10"/>
      <color indexed="17"/>
      <name val="Arial"/>
      <family val="2"/>
    </font>
    <font>
      <sz val="10"/>
      <color indexed="51"/>
      <name val="Arial"/>
      <family val="2"/>
    </font>
    <font>
      <sz val="10"/>
      <color indexed="40"/>
      <name val="Arial"/>
      <family val="2"/>
    </font>
    <font>
      <i/>
      <sz val="10"/>
      <color indexed="51"/>
      <name val="Arial"/>
      <family val="2"/>
    </font>
    <font>
      <i/>
      <sz val="10"/>
      <color indexed="48"/>
      <name val="Arial"/>
      <family val="2"/>
    </font>
    <font>
      <b/>
      <u/>
      <sz val="12"/>
      <name val="Arial"/>
      <family val="2"/>
    </font>
    <font>
      <b/>
      <u/>
      <sz val="12"/>
      <color indexed="12"/>
      <name val="Arial"/>
      <family val="2"/>
    </font>
    <font>
      <i/>
      <sz val="10"/>
      <color indexed="17"/>
      <name val="Arial"/>
      <family val="2"/>
    </font>
    <font>
      <b/>
      <sz val="12"/>
      <color indexed="12"/>
      <name val="Arial"/>
      <family val="2"/>
    </font>
    <font>
      <b/>
      <u/>
      <sz val="12"/>
      <color indexed="61"/>
      <name val="Arial"/>
      <family val="2"/>
    </font>
    <font>
      <i/>
      <u/>
      <sz val="10"/>
      <color indexed="17"/>
      <name val="Arial"/>
      <family val="2"/>
    </font>
    <font>
      <b/>
      <sz val="12"/>
      <color indexed="20"/>
      <name val="Arial"/>
      <family val="2"/>
    </font>
    <font>
      <sz val="10"/>
      <color rgb="FF000000"/>
      <name val="Arial"/>
      <family val="2"/>
    </font>
    <font>
      <b/>
      <sz val="9"/>
      <color indexed="81"/>
      <name val="Tahoma"/>
      <family val="2"/>
    </font>
    <font>
      <sz val="9"/>
      <color indexed="81"/>
      <name val="Tahoma"/>
      <family val="2"/>
    </font>
    <font>
      <sz val="10"/>
      <color rgb="FF008000"/>
      <name val="Arial"/>
      <family val="2"/>
    </font>
    <font>
      <b/>
      <sz val="10"/>
      <color rgb="FF008000"/>
      <name val="Arial"/>
      <family val="2"/>
    </font>
    <font>
      <u/>
      <sz val="11"/>
      <color theme="10"/>
      <name val="宋体"/>
      <family val="2"/>
      <scheme val="minor"/>
    </font>
    <font>
      <u/>
      <sz val="10"/>
      <color theme="1"/>
      <name val="Arial"/>
      <family val="2"/>
    </font>
    <font>
      <sz val="10"/>
      <color theme="1"/>
      <name val="Arial"/>
      <family val="2"/>
    </font>
    <font>
      <i/>
      <sz val="10"/>
      <color theme="1"/>
      <name val="Arial"/>
      <family val="2"/>
    </font>
    <font>
      <i/>
      <sz val="10"/>
      <color rgb="FF008000"/>
      <name val="Arial"/>
      <family val="2"/>
    </font>
    <font>
      <b/>
      <sz val="10"/>
      <color rgb="FFFF0000"/>
      <name val="Arial"/>
      <family val="2"/>
    </font>
    <font>
      <b/>
      <u/>
      <sz val="10"/>
      <color indexed="61"/>
      <name val="Arial"/>
      <family val="2"/>
    </font>
    <font>
      <b/>
      <sz val="10"/>
      <color theme="1"/>
      <name val="Arial"/>
      <family val="2"/>
    </font>
    <font>
      <b/>
      <i/>
      <sz val="10"/>
      <color indexed="18"/>
      <name val="Arial"/>
      <family val="2"/>
    </font>
    <font>
      <sz val="10"/>
      <color indexed="39"/>
      <name val="Arial"/>
      <family val="2"/>
    </font>
    <font>
      <i/>
      <sz val="16"/>
      <name val="Arial"/>
      <family val="2"/>
    </font>
    <font>
      <b/>
      <sz val="16"/>
      <name val="Arial"/>
      <family val="2"/>
    </font>
    <font>
      <sz val="16"/>
      <name val="Arial"/>
      <family val="2"/>
    </font>
    <font>
      <b/>
      <sz val="11"/>
      <color rgb="FF008000"/>
      <name val="宋体"/>
      <family val="2"/>
      <scheme val="minor"/>
    </font>
    <font>
      <sz val="10"/>
      <name val="Times New Roman"/>
      <family val="1"/>
    </font>
    <font>
      <u/>
      <sz val="10"/>
      <color indexed="12"/>
      <name val="Symbol"/>
      <family val="1"/>
      <charset val="2"/>
    </font>
    <font>
      <sz val="9"/>
      <name val="FangSong"/>
      <family val="3"/>
      <charset val="134"/>
    </font>
  </fonts>
  <fills count="17">
    <fill>
      <patternFill patternType="none"/>
    </fill>
    <fill>
      <patternFill patternType="gray125"/>
    </fill>
    <fill>
      <patternFill patternType="solid">
        <fgColor indexed="40"/>
        <bgColor indexed="64"/>
      </patternFill>
    </fill>
    <fill>
      <patternFill patternType="solid">
        <fgColor indexed="51"/>
        <bgColor indexed="64"/>
      </patternFill>
    </fill>
    <fill>
      <patternFill patternType="solid">
        <fgColor indexed="9"/>
        <bgColor indexed="64"/>
      </patternFill>
    </fill>
    <fill>
      <patternFill patternType="solid">
        <fgColor indexed="48"/>
        <bgColor indexed="64"/>
      </patternFill>
    </fill>
    <fill>
      <patternFill patternType="solid">
        <fgColor indexed="55"/>
        <bgColor indexed="64"/>
      </patternFill>
    </fill>
    <fill>
      <patternFill patternType="solid">
        <fgColor indexed="17"/>
        <bgColor indexed="64"/>
      </patternFill>
    </fill>
    <fill>
      <patternFill patternType="solid">
        <fgColor indexed="23"/>
        <bgColor indexed="64"/>
      </patternFill>
    </fill>
    <fill>
      <patternFill patternType="solid">
        <fgColor rgb="FF969696"/>
        <bgColor indexed="64"/>
      </patternFill>
    </fill>
    <fill>
      <patternFill patternType="solid">
        <fgColor theme="0"/>
        <bgColor indexed="64"/>
      </patternFill>
    </fill>
    <fill>
      <patternFill patternType="solid">
        <fgColor theme="0" tint="-0.249977111117893"/>
        <bgColor indexed="64"/>
      </patternFill>
    </fill>
    <fill>
      <patternFill patternType="solid">
        <fgColor rgb="FF00CCFF"/>
        <bgColor indexed="64"/>
      </patternFill>
    </fill>
    <fill>
      <patternFill patternType="solid">
        <fgColor rgb="FFC0C0C0"/>
        <bgColor indexed="64"/>
      </patternFill>
    </fill>
    <fill>
      <patternFill patternType="solid">
        <fgColor rgb="FFFFC000"/>
        <bgColor indexed="64"/>
      </patternFill>
    </fill>
    <fill>
      <patternFill patternType="solid">
        <fgColor rgb="FFFFCC00"/>
        <bgColor indexed="64"/>
      </patternFill>
    </fill>
    <fill>
      <patternFill patternType="solid">
        <fgColor rgb="FFFFFF00"/>
        <bgColor indexed="64"/>
      </patternFill>
    </fill>
  </fills>
  <borders count="87">
    <border>
      <left/>
      <right/>
      <top/>
      <bottom/>
      <diagonal/>
    </border>
    <border>
      <left style="thin">
        <color indexed="64"/>
      </left>
      <right/>
      <top/>
      <bottom/>
      <diagonal/>
    </border>
    <border>
      <left/>
      <right style="thin">
        <color indexed="64"/>
      </right>
      <top/>
      <bottom/>
      <diagonal/>
    </border>
    <border>
      <left style="thin">
        <color indexed="9"/>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style="thin">
        <color indexed="22"/>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22"/>
      </top>
      <bottom/>
      <diagonal/>
    </border>
    <border>
      <left/>
      <right/>
      <top style="thin">
        <color indexed="64"/>
      </top>
      <bottom/>
      <diagonal/>
    </border>
    <border>
      <left style="thin">
        <color indexed="9"/>
      </left>
      <right/>
      <top style="thin">
        <color indexed="9"/>
      </top>
      <bottom style="thin">
        <color indexed="9"/>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9"/>
      </left>
      <right style="thin">
        <color indexed="9"/>
      </right>
      <top/>
      <bottom/>
      <diagonal/>
    </border>
    <border>
      <left style="thin">
        <color indexed="22"/>
      </left>
      <right/>
      <top style="thin">
        <color indexed="22"/>
      </top>
      <bottom/>
      <diagonal/>
    </border>
    <border>
      <left style="thin">
        <color indexed="22"/>
      </left>
      <right/>
      <top/>
      <bottom/>
      <diagonal/>
    </border>
    <border>
      <left/>
      <right/>
      <top style="thin">
        <color indexed="22"/>
      </top>
      <bottom/>
      <diagonal/>
    </border>
    <border>
      <left/>
      <right style="thin">
        <color indexed="22"/>
      </right>
      <top style="thin">
        <color indexed="22"/>
      </top>
      <bottom/>
      <diagonal/>
    </border>
    <border>
      <left style="thin">
        <color indexed="22"/>
      </left>
      <right/>
      <top/>
      <bottom style="thin">
        <color indexed="64"/>
      </bottom>
      <diagonal/>
    </border>
    <border>
      <left/>
      <right style="thin">
        <color indexed="22"/>
      </right>
      <top/>
      <bottom style="thin">
        <color indexed="64"/>
      </bottom>
      <diagonal/>
    </border>
    <border>
      <left style="thin">
        <color indexed="22"/>
      </left>
      <right/>
      <top/>
      <bottom style="double">
        <color indexed="64"/>
      </bottom>
      <diagonal/>
    </border>
    <border>
      <left/>
      <right style="thin">
        <color indexed="22"/>
      </right>
      <top/>
      <bottom style="double">
        <color indexed="64"/>
      </bottom>
      <diagonal/>
    </border>
    <border>
      <left style="thin">
        <color indexed="22"/>
      </left>
      <right style="thin">
        <color indexed="22"/>
      </right>
      <top style="thin">
        <color indexed="22"/>
      </top>
      <bottom/>
      <diagonal/>
    </border>
    <border>
      <left style="thin">
        <color indexed="22"/>
      </left>
      <right style="thin">
        <color indexed="22"/>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right/>
      <top style="thin">
        <color indexed="22"/>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22"/>
      </bottom>
      <diagonal/>
    </border>
    <border>
      <left/>
      <right style="thin">
        <color indexed="64"/>
      </right>
      <top/>
      <bottom style="thin">
        <color indexed="22"/>
      </bottom>
      <diagonal/>
    </border>
    <border>
      <left style="thin">
        <color indexed="22"/>
      </left>
      <right style="thin">
        <color indexed="22"/>
      </right>
      <top style="thin">
        <color indexed="22"/>
      </top>
      <bottom style="thin">
        <color indexed="64"/>
      </bottom>
      <diagonal/>
    </border>
    <border>
      <left style="thin">
        <color indexed="64"/>
      </left>
      <right/>
      <top/>
      <bottom style="thin">
        <color indexed="22"/>
      </bottom>
      <diagonal/>
    </border>
    <border>
      <left style="thin">
        <color indexed="9"/>
      </left>
      <right/>
      <top/>
      <bottom/>
      <diagonal/>
    </border>
    <border>
      <left/>
      <right style="thin">
        <color indexed="9"/>
      </right>
      <top/>
      <bottom/>
      <diagonal/>
    </border>
    <border>
      <left style="thin">
        <color indexed="64"/>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auto="1"/>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indexed="64"/>
      </right>
      <top style="thin">
        <color theme="0" tint="-0.14996795556505021"/>
      </top>
      <bottom/>
      <diagonal/>
    </border>
    <border>
      <left style="thin">
        <color auto="1"/>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style="thin">
        <color indexed="64"/>
      </right>
      <top/>
      <bottom/>
      <diagonal/>
    </border>
    <border>
      <left style="thin">
        <color auto="1"/>
      </left>
      <right style="thin">
        <color theme="0" tint="-0.14996795556505021"/>
      </right>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indexed="64"/>
      </left>
      <right style="thin">
        <color indexed="9"/>
      </right>
      <top style="thin">
        <color indexed="64"/>
      </top>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9"/>
      </left>
      <right style="thin">
        <color indexed="64"/>
      </right>
      <top style="thin">
        <color indexed="9"/>
      </top>
      <bottom style="thin">
        <color indexed="9"/>
      </bottom>
      <diagonal/>
    </border>
    <border>
      <left style="thin">
        <color indexed="64"/>
      </left>
      <right style="thin">
        <color theme="0" tint="-0.24994659260841701"/>
      </right>
      <top style="thin">
        <color theme="0" tint="-0.24994659260841701"/>
      </top>
      <bottom style="thin">
        <color indexed="22"/>
      </bottom>
      <diagonal/>
    </border>
    <border>
      <left style="thin">
        <color theme="0" tint="-0.24994659260841701"/>
      </left>
      <right style="thin">
        <color theme="0" tint="-0.24994659260841701"/>
      </right>
      <top style="thin">
        <color theme="0" tint="-0.24994659260841701"/>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top/>
      <bottom/>
      <diagonal/>
    </border>
    <border>
      <left style="thin">
        <color indexed="22"/>
      </left>
      <right style="thin">
        <color indexed="22"/>
      </right>
      <top/>
      <bottom/>
      <diagonal/>
    </border>
    <border>
      <left style="thin">
        <color indexed="64"/>
      </left>
      <right/>
      <top/>
      <bottom style="thin">
        <color indexed="64"/>
      </bottom>
      <diagonal/>
    </border>
    <border>
      <left style="thin">
        <color indexed="22"/>
      </left>
      <right style="thin">
        <color indexed="22"/>
      </right>
      <top style="double">
        <color indexed="64"/>
      </top>
      <bottom/>
      <diagonal/>
    </border>
    <border>
      <left style="thin">
        <color auto="1"/>
      </left>
      <right/>
      <top style="thin">
        <color auto="1"/>
      </top>
      <bottom/>
      <diagonal/>
    </border>
    <border>
      <left/>
      <right/>
      <top style="thin">
        <color indexed="64"/>
      </top>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64"/>
      </left>
      <right/>
      <top style="thin">
        <color theme="0" tint="-0.14996795556505021"/>
      </top>
      <bottom/>
      <diagonal/>
    </border>
    <border>
      <left/>
      <right/>
      <top style="thin">
        <color theme="0" tint="-0.14996795556505021"/>
      </top>
      <bottom/>
      <diagonal/>
    </border>
    <border>
      <left style="thin">
        <color indexed="22"/>
      </left>
      <right/>
      <top/>
      <bottom style="thin">
        <color indexed="64"/>
      </bottom>
      <diagonal/>
    </border>
  </borders>
  <cellStyleXfs count="55">
    <xf numFmtId="0" fontId="0" fillId="0" borderId="0" applyNumberFormat="0" applyFont="0" applyFill="0" applyBorder="0" applyAlignment="0">
      <alignment horizontal="left" vertical="center"/>
    </xf>
    <xf numFmtId="0" fontId="4" fillId="2" borderId="0" applyBorder="0" applyAlignment="0">
      <protection locked="0"/>
    </xf>
    <xf numFmtId="0" fontId="11" fillId="0" borderId="0">
      <alignment vertical="center"/>
    </xf>
    <xf numFmtId="0" fontId="9" fillId="3" borderId="0" applyNumberFormat="0" applyBorder="0">
      <alignment horizontal="right"/>
      <protection locked="0"/>
    </xf>
    <xf numFmtId="0" fontId="32" fillId="0" borderId="0" applyNumberFormat="0" applyBorder="0"/>
    <xf numFmtId="0" fontId="9" fillId="2" borderId="0" applyBorder="0" applyAlignment="0">
      <protection locked="0"/>
    </xf>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9" fontId="4" fillId="0" borderId="0" applyFont="0" applyFill="0" applyBorder="0" applyAlignment="0" applyProtection="0"/>
    <xf numFmtId="179" fontId="9" fillId="0" borderId="0" applyFont="0" applyFill="0" applyBorder="0" applyAlignment="0" applyProtection="0"/>
    <xf numFmtId="0" fontId="15" fillId="0" borderId="0" applyNumberFormat="0" applyFill="0" applyBorder="0" applyAlignment="0" applyProtection="0">
      <alignment vertical="top"/>
      <protection locked="0"/>
    </xf>
    <xf numFmtId="0" fontId="28" fillId="0" borderId="1" applyNumberFormat="0" applyBorder="0">
      <alignment horizontal="right" vertical="center" wrapText="1"/>
    </xf>
    <xf numFmtId="0" fontId="28" fillId="0" borderId="2" applyNumberFormat="0" applyBorder="0">
      <alignment horizontal="left" vertical="center" wrapText="1"/>
    </xf>
    <xf numFmtId="0" fontId="28" fillId="0" borderId="3" applyNumberFormat="0" applyFill="0" applyBorder="0">
      <alignment vertical="center" wrapText="1"/>
    </xf>
    <xf numFmtId="0" fontId="47" fillId="4" borderId="0" applyNumberFormat="0" applyFill="0" applyBorder="0">
      <alignment vertical="center" wrapText="1"/>
    </xf>
    <xf numFmtId="0" fontId="28" fillId="0" borderId="0" applyNumberFormat="0">
      <alignment vertical="center"/>
    </xf>
    <xf numFmtId="0" fontId="35" fillId="0" borderId="0" applyNumberFormat="0" applyBorder="0">
      <alignment vertical="center"/>
    </xf>
    <xf numFmtId="0" fontId="4" fillId="0" borderId="0" applyNumberFormat="0" applyFill="0" applyBorder="0">
      <alignment horizontal="left" vertical="center" wrapText="1" indent="1"/>
    </xf>
    <xf numFmtId="0" fontId="36" fillId="0" borderId="0" applyNumberFormat="0" applyBorder="0">
      <alignment vertical="center"/>
    </xf>
    <xf numFmtId="0" fontId="5" fillId="2" borderId="0" applyBorder="0">
      <alignment horizontal="right" vertical="center"/>
      <protection locked="0"/>
    </xf>
    <xf numFmtId="0" fontId="5" fillId="3" borderId="3" applyNumberFormat="0" applyBorder="0">
      <alignment horizontal="right" vertical="center"/>
      <protection locked="0"/>
    </xf>
    <xf numFmtId="0" fontId="4" fillId="0" borderId="4" applyBorder="0">
      <alignment vertical="center"/>
    </xf>
    <xf numFmtId="0" fontId="37" fillId="0" borderId="5" applyNumberFormat="0" applyBorder="0">
      <alignment horizontal="right" vertical="center"/>
    </xf>
    <xf numFmtId="9" fontId="4" fillId="3" borderId="0" applyNumberFormat="0" applyFont="0" applyBorder="0">
      <protection locked="0"/>
    </xf>
    <xf numFmtId="0" fontId="9" fillId="0" borderId="0"/>
    <xf numFmtId="0" fontId="4" fillId="0" borderId="0"/>
    <xf numFmtId="9" fontId="4" fillId="0" borderId="0" applyFont="0" applyFill="0" applyBorder="0" applyAlignment="0" applyProtection="0"/>
    <xf numFmtId="0" fontId="34" fillId="0" borderId="0" applyNumberFormat="0" applyFill="0" applyBorder="0">
      <alignment vertical="center"/>
    </xf>
    <xf numFmtId="0" fontId="4" fillId="0" borderId="0"/>
    <xf numFmtId="9" fontId="4" fillId="2" borderId="0" applyNumberFormat="0" applyBorder="0">
      <alignment horizontal="right"/>
      <protection locked="0"/>
    </xf>
    <xf numFmtId="9" fontId="4" fillId="2" borderId="0" applyNumberFormat="0" applyBorder="0">
      <alignment horizontal="right"/>
      <protection locked="0"/>
    </xf>
    <xf numFmtId="0" fontId="4" fillId="3" borderId="0" applyNumberFormat="0" applyBorder="0">
      <alignment horizontal="right"/>
      <protection locked="0"/>
    </xf>
    <xf numFmtId="0" fontId="28" fillId="0" borderId="0" applyNumberFormat="0" applyBorder="0"/>
    <xf numFmtId="43" fontId="4" fillId="0" borderId="0" applyFont="0" applyFill="0" applyBorder="0" applyAlignment="0" applyProtection="0"/>
    <xf numFmtId="43" fontId="4" fillId="0" borderId="0" applyFont="0" applyFill="0" applyBorder="0" applyAlignment="0" applyProtection="0"/>
    <xf numFmtId="179" fontId="4" fillId="0" borderId="0" applyFont="0" applyFill="0" applyBorder="0" applyAlignment="0" applyProtection="0"/>
    <xf numFmtId="179" fontId="4" fillId="0" borderId="0" applyFont="0" applyFill="0" applyBorder="0" applyAlignment="0" applyProtection="0"/>
    <xf numFmtId="0" fontId="28" fillId="0" borderId="0" applyNumberFormat="0">
      <alignment vertical="center"/>
    </xf>
    <xf numFmtId="0" fontId="29" fillId="0" borderId="0" applyNumberFormat="0" applyBorder="0">
      <alignment vertical="center"/>
    </xf>
    <xf numFmtId="0" fontId="54" fillId="0" borderId="0" applyNumberFormat="0" applyFill="0" applyBorder="0" applyAlignment="0" applyProtection="0"/>
    <xf numFmtId="0" fontId="5" fillId="0" borderId="0" applyNumberFormat="0" applyBorder="0">
      <alignment vertical="center"/>
    </xf>
    <xf numFmtId="0" fontId="5" fillId="0" borderId="0" applyNumberFormat="0" applyBorder="0">
      <alignment vertical="center"/>
    </xf>
    <xf numFmtId="179" fontId="3" fillId="0" borderId="0" applyFont="0" applyFill="0" applyBorder="0" applyAlignment="0" applyProtection="0"/>
    <xf numFmtId="0" fontId="5" fillId="3" borderId="3" applyBorder="0">
      <alignment horizontal="right" vertical="center"/>
      <protection locked="0"/>
    </xf>
    <xf numFmtId="0" fontId="3" fillId="0" borderId="0"/>
    <xf numFmtId="0" fontId="11" fillId="0" borderId="5" applyNumberFormat="0" applyBorder="0">
      <alignment horizontal="right" vertical="center"/>
    </xf>
    <xf numFmtId="0" fontId="4" fillId="0" borderId="0"/>
    <xf numFmtId="9" fontId="4" fillId="0" borderId="0" applyFont="0" applyFill="0" applyBorder="0" applyAlignment="0" applyProtection="0"/>
    <xf numFmtId="0" fontId="7" fillId="0" borderId="0" applyNumberFormat="0" applyFill="0" applyBorder="0">
      <alignment vertical="center"/>
    </xf>
    <xf numFmtId="0" fontId="7" fillId="0" borderId="0" applyNumberFormat="0" applyFill="0" applyBorder="0">
      <alignment vertical="center"/>
    </xf>
    <xf numFmtId="0" fontId="2" fillId="0" borderId="0"/>
    <xf numFmtId="0" fontId="4" fillId="0" borderId="0" applyNumberFormat="0" applyFont="0" applyFill="0" applyBorder="0" applyAlignment="0">
      <alignment horizontal="left" vertical="center"/>
    </xf>
    <xf numFmtId="0" fontId="1" fillId="0" borderId="0"/>
    <xf numFmtId="0" fontId="15" fillId="0" borderId="0" applyNumberFormat="0" applyFill="0" applyBorder="0" applyAlignment="0" applyProtection="0">
      <alignment vertical="top"/>
      <protection locked="0"/>
    </xf>
  </cellStyleXfs>
  <cellXfs count="1286">
    <xf numFmtId="0" fontId="0" fillId="0" borderId="0" xfId="0">
      <alignment horizontal="left" vertical="center"/>
    </xf>
    <xf numFmtId="0" fontId="5" fillId="0" borderId="0" xfId="0" applyFont="1">
      <alignment horizontal="left" vertical="center"/>
    </xf>
    <xf numFmtId="0" fontId="6" fillId="0" borderId="0" xfId="0" applyFont="1">
      <alignment horizontal="left" vertical="center"/>
    </xf>
    <xf numFmtId="0" fontId="7" fillId="0" borderId="0" xfId="0" applyFont="1">
      <alignment horizontal="left" vertical="center"/>
    </xf>
    <xf numFmtId="0" fontId="9" fillId="0" borderId="0" xfId="0" applyFont="1">
      <alignment horizontal="left" vertical="center"/>
    </xf>
    <xf numFmtId="0" fontId="9" fillId="0" borderId="0" xfId="0" applyFont="1" applyFill="1">
      <alignment horizontal="left" vertical="center"/>
    </xf>
    <xf numFmtId="0" fontId="0" fillId="0" borderId="0" xfId="0" quotePrefix="1">
      <alignment horizontal="left" vertical="center"/>
    </xf>
    <xf numFmtId="0" fontId="11" fillId="0" borderId="0" xfId="0" applyFont="1">
      <alignment horizontal="left" vertical="center"/>
    </xf>
    <xf numFmtId="0" fontId="0" fillId="0" borderId="0" xfId="0" applyAlignment="1">
      <alignment horizontal="right"/>
    </xf>
    <xf numFmtId="187" fontId="0" fillId="0" borderId="0" xfId="0" applyNumberFormat="1">
      <alignment horizontal="left" vertical="center"/>
    </xf>
    <xf numFmtId="0" fontId="5" fillId="0" borderId="0" xfId="0" applyFont="1" applyAlignment="1">
      <alignment horizontal="center"/>
    </xf>
    <xf numFmtId="185" fontId="9" fillId="0" borderId="0" xfId="9" applyNumberFormat="1" applyFont="1"/>
    <xf numFmtId="181" fontId="9" fillId="0" borderId="0" xfId="6" applyNumberFormat="1" applyFont="1"/>
    <xf numFmtId="181" fontId="0" fillId="0" borderId="0" xfId="6" applyNumberFormat="1" applyFont="1" applyAlignment="1">
      <alignment horizontal="right"/>
    </xf>
    <xf numFmtId="0" fontId="0" fillId="0" borderId="0" xfId="0" applyAlignment="1"/>
    <xf numFmtId="180" fontId="9" fillId="0" borderId="0" xfId="6" applyNumberFormat="1" applyFont="1"/>
    <xf numFmtId="43" fontId="0" fillId="0" borderId="0" xfId="6" applyFont="1" applyAlignment="1">
      <alignment horizontal="right"/>
    </xf>
    <xf numFmtId="185" fontId="0" fillId="0" borderId="0" xfId="9" applyNumberFormat="1" applyFont="1" applyAlignment="1">
      <alignment horizontal="right"/>
    </xf>
    <xf numFmtId="43" fontId="9" fillId="0" borderId="0" xfId="6" applyFont="1"/>
    <xf numFmtId="0" fontId="0" fillId="0" borderId="0" xfId="0" applyAlignment="1">
      <alignment horizontal="centerContinuous"/>
    </xf>
    <xf numFmtId="0" fontId="5" fillId="0" borderId="0" xfId="0" applyFont="1" applyAlignment="1"/>
    <xf numFmtId="0" fontId="0" fillId="0" borderId="0" xfId="0" applyFont="1" applyAlignment="1"/>
    <xf numFmtId="189" fontId="4" fillId="0" borderId="0" xfId="6" applyNumberFormat="1"/>
    <xf numFmtId="195" fontId="4" fillId="0" borderId="0" xfId="6" applyNumberFormat="1"/>
    <xf numFmtId="196" fontId="0" fillId="0" borderId="0" xfId="0" applyNumberFormat="1">
      <alignment horizontal="left" vertical="center"/>
    </xf>
    <xf numFmtId="0" fontId="22" fillId="0" borderId="0" xfId="0" applyFont="1">
      <alignment horizontal="left" vertical="center"/>
    </xf>
    <xf numFmtId="181" fontId="4" fillId="0" borderId="0" xfId="6" applyNumberFormat="1"/>
    <xf numFmtId="0" fontId="4" fillId="0" borderId="0" xfId="6" applyNumberFormat="1"/>
    <xf numFmtId="0" fontId="9" fillId="0" borderId="0" xfId="0" applyFont="1" applyAlignment="1"/>
    <xf numFmtId="180" fontId="4" fillId="0" borderId="0" xfId="6" applyNumberFormat="1"/>
    <xf numFmtId="189" fontId="4" fillId="0" borderId="0" xfId="6" applyNumberFormat="1" applyFill="1"/>
    <xf numFmtId="0" fontId="7" fillId="0" borderId="0" xfId="0" applyFont="1" applyAlignment="1"/>
    <xf numFmtId="0" fontId="6" fillId="0" borderId="0" xfId="0" applyFont="1" applyAlignment="1"/>
    <xf numFmtId="0" fontId="23" fillId="0" borderId="0" xfId="0" applyFont="1">
      <alignment horizontal="left" vertical="center"/>
    </xf>
    <xf numFmtId="43" fontId="21" fillId="0" borderId="0" xfId="6" applyFont="1"/>
    <xf numFmtId="0" fontId="21" fillId="0" borderId="0" xfId="0" applyFont="1">
      <alignment horizontal="left" vertical="center"/>
    </xf>
    <xf numFmtId="10" fontId="4" fillId="0" borderId="0" xfId="27" applyNumberFormat="1"/>
    <xf numFmtId="193" fontId="4" fillId="0" borderId="0" xfId="27" applyNumberFormat="1"/>
    <xf numFmtId="189" fontId="0" fillId="0" borderId="0" xfId="0" applyNumberFormat="1">
      <alignment horizontal="left" vertical="center"/>
    </xf>
    <xf numFmtId="9" fontId="4" fillId="0" borderId="0" xfId="27"/>
    <xf numFmtId="189" fontId="21" fillId="0" borderId="0" xfId="6" applyNumberFormat="1" applyFont="1"/>
    <xf numFmtId="194" fontId="4" fillId="0" borderId="0" xfId="27" applyNumberFormat="1"/>
    <xf numFmtId="190" fontId="21" fillId="0" borderId="0" xfId="6" applyNumberFormat="1" applyFont="1"/>
    <xf numFmtId="188" fontId="0" fillId="0" borderId="0" xfId="0" applyNumberFormat="1">
      <alignment horizontal="left" vertical="center"/>
    </xf>
    <xf numFmtId="43" fontId="4" fillId="0" borderId="0" xfId="6"/>
    <xf numFmtId="191" fontId="4" fillId="0" borderId="0" xfId="27" applyNumberFormat="1"/>
    <xf numFmtId="0" fontId="11" fillId="0" borderId="0" xfId="0" applyFont="1" applyFill="1" applyAlignment="1"/>
    <xf numFmtId="0" fontId="5" fillId="0" borderId="0" xfId="0" applyFont="1" applyAlignment="1">
      <alignment horizontal="right"/>
    </xf>
    <xf numFmtId="0" fontId="10" fillId="0" borderId="0" xfId="0" applyFont="1" applyAlignment="1">
      <alignment horizontal="right"/>
    </xf>
    <xf numFmtId="0" fontId="23" fillId="0" borderId="0" xfId="0" applyFont="1" applyAlignment="1"/>
    <xf numFmtId="20" fontId="0" fillId="0" borderId="0" xfId="0" applyNumberFormat="1">
      <alignment horizontal="left" vertical="center"/>
    </xf>
    <xf numFmtId="9" fontId="9" fillId="0" borderId="0" xfId="27" applyFont="1" applyFill="1"/>
    <xf numFmtId="0" fontId="0" fillId="0" borderId="7" xfId="0" applyBorder="1" applyAlignment="1">
      <alignment horizontal="center"/>
    </xf>
    <xf numFmtId="11" fontId="0" fillId="0" borderId="0" xfId="0" applyNumberFormat="1">
      <alignment horizontal="left" vertical="center"/>
    </xf>
    <xf numFmtId="43" fontId="0" fillId="0" borderId="0" xfId="0" applyNumberFormat="1">
      <alignment horizontal="left" vertical="center"/>
    </xf>
    <xf numFmtId="9" fontId="9" fillId="0" borderId="0" xfId="27" applyFont="1"/>
    <xf numFmtId="183" fontId="0" fillId="0" borderId="0" xfId="0" applyNumberFormat="1">
      <alignment horizontal="left" vertical="center"/>
    </xf>
    <xf numFmtId="0" fontId="0" fillId="0" borderId="8" xfId="0" applyBorder="1">
      <alignment horizontal="left" vertical="center"/>
    </xf>
    <xf numFmtId="0" fontId="0" fillId="0" borderId="2" xfId="0" applyBorder="1">
      <alignment horizontal="left" vertical="center"/>
    </xf>
    <xf numFmtId="0" fontId="0" fillId="0" borderId="8" xfId="0" applyBorder="1" applyAlignment="1">
      <alignment horizontal="center"/>
    </xf>
    <xf numFmtId="0" fontId="0" fillId="0" borderId="9" xfId="0" applyBorder="1" applyAlignment="1">
      <alignment horizontal="center"/>
    </xf>
    <xf numFmtId="9" fontId="5" fillId="3" borderId="0" xfId="27" applyFont="1" applyFill="1"/>
    <xf numFmtId="193" fontId="5" fillId="3" borderId="0" xfId="27" applyNumberFormat="1" applyFont="1" applyFill="1"/>
    <xf numFmtId="0" fontId="5" fillId="0" borderId="0" xfId="0" applyFont="1" applyFill="1" applyAlignment="1"/>
    <xf numFmtId="2" fontId="0" fillId="0" borderId="0" xfId="0" applyNumberFormat="1" applyAlignment="1">
      <alignment horizontal="right"/>
    </xf>
    <xf numFmtId="181" fontId="9" fillId="0" borderId="0" xfId="6" applyNumberFormat="1" applyFont="1" applyFill="1" applyAlignment="1" applyProtection="1">
      <alignment horizontal="right"/>
      <protection hidden="1"/>
    </xf>
    <xf numFmtId="0" fontId="0" fillId="0" borderId="0" xfId="0" applyAlignment="1">
      <alignment wrapText="1"/>
    </xf>
    <xf numFmtId="0" fontId="34" fillId="0" borderId="0" xfId="28">
      <alignment vertical="center"/>
    </xf>
    <xf numFmtId="0" fontId="6"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xf>
    <xf numFmtId="0" fontId="7" fillId="0" borderId="0" xfId="0" applyFont="1" applyAlignment="1">
      <alignment horizontal="left" vertical="center"/>
    </xf>
    <xf numFmtId="0" fontId="12" fillId="0" borderId="0" xfId="0" applyFont="1" applyAlignment="1">
      <alignment horizontal="left" vertical="center"/>
    </xf>
    <xf numFmtId="189" fontId="4" fillId="0" borderId="0" xfId="6" applyNumberFormat="1" applyAlignment="1">
      <alignment horizontal="left"/>
    </xf>
    <xf numFmtId="188" fontId="0" fillId="0" borderId="0" xfId="0" applyNumberFormat="1" applyAlignment="1">
      <alignment horizontal="left" vertical="center"/>
    </xf>
    <xf numFmtId="0" fontId="34" fillId="0" borderId="0" xfId="28" applyFill="1">
      <alignment vertical="center"/>
    </xf>
    <xf numFmtId="0" fontId="0" fillId="0" borderId="0" xfId="0" applyBorder="1" applyAlignment="1">
      <alignment horizontal="left" vertical="center"/>
    </xf>
    <xf numFmtId="0" fontId="0" fillId="0" borderId="0" xfId="0" applyAlignment="1">
      <alignment vertical="center"/>
    </xf>
    <xf numFmtId="0" fontId="11" fillId="0" borderId="0" xfId="0" applyFont="1" applyAlignment="1">
      <alignment vertical="center"/>
    </xf>
    <xf numFmtId="0" fontId="8" fillId="0" borderId="0" xfId="0" applyFont="1" applyAlignment="1">
      <alignment vertical="center"/>
    </xf>
    <xf numFmtId="181" fontId="9" fillId="0" borderId="0" xfId="6" applyNumberFormat="1" applyFont="1" applyAlignment="1">
      <alignment horizontal="right"/>
    </xf>
    <xf numFmtId="180" fontId="0" fillId="0" borderId="0" xfId="6" applyNumberFormat="1" applyFont="1" applyAlignment="1">
      <alignment horizontal="right"/>
    </xf>
    <xf numFmtId="43" fontId="9" fillId="0" borderId="0" xfId="6" applyFont="1" applyAlignment="1">
      <alignment horizontal="right"/>
    </xf>
    <xf numFmtId="0" fontId="34" fillId="0" borderId="0" xfId="28" applyFill="1" applyBorder="1">
      <alignment vertical="center"/>
    </xf>
    <xf numFmtId="0" fontId="5" fillId="0" borderId="0" xfId="0" applyFont="1" applyAlignment="1">
      <alignment vertical="center"/>
    </xf>
    <xf numFmtId="9" fontId="0" fillId="0" borderId="0" xfId="27" applyFont="1" applyAlignment="1"/>
    <xf numFmtId="181" fontId="0" fillId="0" borderId="0" xfId="6" applyNumberFormat="1" applyFont="1" applyAlignment="1"/>
    <xf numFmtId="9" fontId="0" fillId="0" borderId="0" xfId="6" applyNumberFormat="1" applyFont="1" applyAlignment="1"/>
    <xf numFmtId="0" fontId="6" fillId="0" borderId="10" xfId="0" applyFont="1" applyBorder="1" applyAlignment="1"/>
    <xf numFmtId="0" fontId="4" fillId="2" borderId="0" xfId="1" applyAlignment="1">
      <protection locked="0"/>
    </xf>
    <xf numFmtId="9" fontId="0" fillId="0" borderId="0" xfId="0" applyNumberFormat="1" applyAlignment="1">
      <alignment vertical="center"/>
    </xf>
    <xf numFmtId="0" fontId="9" fillId="0" borderId="0" xfId="0" applyFont="1" applyAlignment="1">
      <alignment vertical="center"/>
    </xf>
    <xf numFmtId="0" fontId="9" fillId="0" borderId="0" xfId="0" applyFont="1" applyFill="1" applyAlignment="1">
      <alignment vertical="center"/>
    </xf>
    <xf numFmtId="0" fontId="0" fillId="0" borderId="0" xfId="0" applyAlignment="1" applyProtection="1">
      <protection hidden="1"/>
    </xf>
    <xf numFmtId="9" fontId="0" fillId="0" borderId="11" xfId="27" applyFont="1" applyBorder="1" applyAlignment="1" applyProtection="1">
      <protection locked="0"/>
    </xf>
    <xf numFmtId="0" fontId="4" fillId="2" borderId="0" xfId="1">
      <protection locked="0"/>
    </xf>
    <xf numFmtId="181" fontId="4" fillId="2" borderId="0" xfId="1" applyNumberFormat="1">
      <protection locked="0"/>
    </xf>
    <xf numFmtId="0" fontId="7" fillId="0" borderId="0" xfId="0" applyFont="1" applyAlignment="1">
      <alignment vertical="center"/>
    </xf>
    <xf numFmtId="3" fontId="0" fillId="0" borderId="0" xfId="0" applyNumberFormat="1" applyAlignment="1">
      <alignment vertical="center"/>
    </xf>
    <xf numFmtId="191" fontId="0" fillId="0" borderId="0" xfId="0" applyNumberFormat="1" applyAlignment="1">
      <alignment vertical="center"/>
    </xf>
    <xf numFmtId="2" fontId="0" fillId="0" borderId="0" xfId="0" applyNumberFormat="1" applyAlignment="1">
      <alignment vertical="center"/>
    </xf>
    <xf numFmtId="0" fontId="6" fillId="0" borderId="0" xfId="0" applyFont="1" applyAlignment="1">
      <alignment vertical="center"/>
    </xf>
    <xf numFmtId="0" fontId="23" fillId="0" borderId="0" xfId="0" applyFont="1" applyAlignment="1">
      <alignment vertical="center"/>
    </xf>
    <xf numFmtId="184" fontId="0" fillId="0" borderId="0" xfId="0" applyNumberFormat="1" applyAlignment="1">
      <alignment vertical="center"/>
    </xf>
    <xf numFmtId="183" fontId="9" fillId="0" borderId="0" xfId="0" applyNumberFormat="1" applyFont="1" applyFill="1" applyAlignment="1">
      <alignment vertical="center"/>
    </xf>
    <xf numFmtId="191" fontId="9" fillId="0" borderId="0" xfId="27" applyNumberFormat="1" applyFont="1" applyFill="1" applyAlignment="1"/>
    <xf numFmtId="187" fontId="0" fillId="0" borderId="0" xfId="0" applyNumberFormat="1" applyAlignment="1">
      <alignment vertical="center"/>
    </xf>
    <xf numFmtId="187" fontId="9" fillId="0" borderId="0" xfId="0" applyNumberFormat="1" applyFont="1" applyFill="1" applyAlignment="1">
      <alignment vertical="center"/>
    </xf>
    <xf numFmtId="20" fontId="0" fillId="0" borderId="0" xfId="0" quotePrefix="1" applyNumberFormat="1" applyAlignment="1">
      <alignment vertical="center"/>
    </xf>
    <xf numFmtId="43" fontId="4" fillId="0" borderId="0" xfId="6" applyAlignment="1"/>
    <xf numFmtId="191" fontId="4" fillId="0" borderId="0" xfId="27" applyNumberFormat="1" applyAlignment="1"/>
    <xf numFmtId="10" fontId="4" fillId="0" borderId="0" xfId="27" applyNumberFormat="1" applyAlignment="1"/>
    <xf numFmtId="10" fontId="4" fillId="0" borderId="0" xfId="27" applyNumberFormat="1" applyAlignment="1">
      <alignment horizontal="right"/>
    </xf>
    <xf numFmtId="189" fontId="4" fillId="0" borderId="0" xfId="6" applyNumberFormat="1" applyAlignment="1"/>
    <xf numFmtId="195" fontId="4" fillId="0" borderId="0" xfId="6" applyNumberFormat="1" applyAlignment="1"/>
    <xf numFmtId="196" fontId="0" fillId="0" borderId="0" xfId="0" applyNumberFormat="1" applyAlignment="1">
      <alignment vertical="center"/>
    </xf>
    <xf numFmtId="181" fontId="4" fillId="0" borderId="0" xfId="6" applyNumberFormat="1" applyAlignment="1"/>
    <xf numFmtId="0" fontId="4" fillId="0" borderId="0" xfId="6" applyNumberFormat="1" applyAlignment="1"/>
    <xf numFmtId="180" fontId="4" fillId="0" borderId="0" xfId="6" applyNumberFormat="1" applyAlignment="1"/>
    <xf numFmtId="190" fontId="4" fillId="0" borderId="0" xfId="6" applyNumberFormat="1" applyFill="1" applyAlignment="1"/>
    <xf numFmtId="43" fontId="21" fillId="0" borderId="0" xfId="6" applyFont="1" applyAlignment="1"/>
    <xf numFmtId="193" fontId="4" fillId="0" borderId="0" xfId="27" applyNumberFormat="1" applyAlignment="1"/>
    <xf numFmtId="181" fontId="4" fillId="0" borderId="0" xfId="6" applyNumberFormat="1" applyFont="1" applyAlignment="1"/>
    <xf numFmtId="189" fontId="4" fillId="0" borderId="0" xfId="6" applyNumberFormat="1" applyFill="1" applyAlignment="1"/>
    <xf numFmtId="183" fontId="4" fillId="0" borderId="0" xfId="6" applyNumberFormat="1" applyAlignment="1"/>
    <xf numFmtId="2" fontId="4" fillId="0" borderId="0" xfId="6" applyNumberFormat="1" applyAlignment="1"/>
    <xf numFmtId="11" fontId="4" fillId="0" borderId="0" xfId="6" applyNumberFormat="1" applyAlignment="1"/>
    <xf numFmtId="191" fontId="0" fillId="0" borderId="0" xfId="27" applyNumberFormat="1" applyFont="1" applyAlignment="1"/>
    <xf numFmtId="187" fontId="0" fillId="0" borderId="0" xfId="0" applyNumberFormat="1" applyAlignment="1">
      <alignment horizontal="right"/>
    </xf>
    <xf numFmtId="3" fontId="0" fillId="0" borderId="0" xfId="0" applyNumberFormat="1" applyAlignment="1"/>
    <xf numFmtId="2" fontId="0" fillId="0" borderId="0" xfId="0" applyNumberFormat="1" applyAlignment="1"/>
    <xf numFmtId="187" fontId="0" fillId="0" borderId="0" xfId="0" applyNumberFormat="1" applyAlignment="1"/>
    <xf numFmtId="0" fontId="8" fillId="0" borderId="0" xfId="0" applyFont="1" applyAlignment="1"/>
    <xf numFmtId="11" fontId="0" fillId="0" borderId="0" xfId="0" applyNumberFormat="1" applyAlignment="1">
      <alignment vertical="center"/>
    </xf>
    <xf numFmtId="189" fontId="0" fillId="0" borderId="0" xfId="6" applyNumberFormat="1" applyFont="1" applyAlignment="1"/>
    <xf numFmtId="195" fontId="0" fillId="0" borderId="0" xfId="6" applyNumberFormat="1" applyFont="1" applyAlignment="1"/>
    <xf numFmtId="182" fontId="0" fillId="0" borderId="0" xfId="0" applyNumberFormat="1" applyAlignment="1">
      <alignment vertical="center"/>
    </xf>
    <xf numFmtId="0" fontId="0" fillId="0" borderId="0" xfId="0" applyAlignment="1">
      <alignment horizontal="left"/>
    </xf>
    <xf numFmtId="185" fontId="0" fillId="0" borderId="0" xfId="9" applyNumberFormat="1" applyFont="1" applyAlignment="1"/>
    <xf numFmtId="179" fontId="0" fillId="0" borderId="0" xfId="9" applyFont="1" applyAlignment="1"/>
    <xf numFmtId="0" fontId="5" fillId="5" borderId="0" xfId="0" applyFont="1" applyFill="1" applyAlignment="1" applyProtection="1">
      <alignment horizontal="left"/>
      <protection hidden="1"/>
    </xf>
    <xf numFmtId="0" fontId="9" fillId="0" borderId="0" xfId="0" applyNumberFormat="1" applyFont="1" applyFill="1" applyAlignment="1" applyProtection="1">
      <alignment horizontal="left"/>
      <protection hidden="1"/>
    </xf>
    <xf numFmtId="181" fontId="9" fillId="0" borderId="0" xfId="6" applyNumberFormat="1" applyFont="1" applyAlignment="1" applyProtection="1">
      <protection hidden="1"/>
    </xf>
    <xf numFmtId="3" fontId="9" fillId="0" borderId="0" xfId="0" applyNumberFormat="1" applyFont="1" applyAlignment="1">
      <alignment vertical="center"/>
    </xf>
    <xf numFmtId="192" fontId="9" fillId="0" borderId="0" xfId="0" applyNumberFormat="1" applyFont="1" applyAlignment="1">
      <alignment vertical="center"/>
    </xf>
    <xf numFmtId="0" fontId="9" fillId="0" borderId="0" xfId="0" applyFont="1" applyAlignment="1" applyProtection="1">
      <alignment vertical="center"/>
      <protection hidden="1"/>
    </xf>
    <xf numFmtId="0" fontId="12" fillId="0" borderId="0" xfId="0" applyFont="1" applyAlignment="1"/>
    <xf numFmtId="184" fontId="4" fillId="0" borderId="0" xfId="6" applyNumberFormat="1" applyAlignment="1"/>
    <xf numFmtId="10" fontId="0" fillId="0" borderId="0" xfId="27" applyNumberFormat="1" applyFont="1" applyAlignment="1">
      <alignment vertical="center"/>
    </xf>
    <xf numFmtId="10" fontId="4" fillId="0" borderId="0" xfId="6" applyNumberFormat="1" applyAlignment="1"/>
    <xf numFmtId="10" fontId="0" fillId="0" borderId="0" xfId="0" applyNumberFormat="1" applyAlignment="1">
      <alignment vertical="center"/>
    </xf>
    <xf numFmtId="0" fontId="4" fillId="0" borderId="0" xfId="0" applyFont="1" applyAlignment="1">
      <alignment vertical="center"/>
    </xf>
    <xf numFmtId="0" fontId="0" fillId="4" borderId="0" xfId="0" applyFill="1" applyAlignment="1"/>
    <xf numFmtId="0" fontId="5" fillId="4" borderId="0" xfId="0" applyFont="1" applyFill="1" applyBorder="1" applyAlignment="1"/>
    <xf numFmtId="0" fontId="29" fillId="4" borderId="0" xfId="0" applyFont="1" applyFill="1" applyBorder="1" applyAlignment="1">
      <alignment horizontal="left"/>
    </xf>
    <xf numFmtId="0" fontId="9" fillId="4" borderId="0" xfId="0" applyFont="1" applyFill="1" applyBorder="1" applyAlignment="1">
      <alignment horizontal="left"/>
    </xf>
    <xf numFmtId="0" fontId="0" fillId="4" borderId="0" xfId="0" applyFill="1" applyAlignment="1">
      <alignment horizontal="left" vertical="center"/>
    </xf>
    <xf numFmtId="0" fontId="9" fillId="4" borderId="0" xfId="0" applyFont="1" applyFill="1" applyBorder="1" applyAlignment="1">
      <alignment horizontal="right"/>
    </xf>
    <xf numFmtId="0" fontId="29" fillId="4" borderId="0" xfId="0" applyFont="1" applyFill="1" applyBorder="1" applyAlignment="1">
      <alignment horizontal="left" vertical="top"/>
    </xf>
    <xf numFmtId="0" fontId="5" fillId="4" borderId="0" xfId="0" applyFont="1" applyFill="1" applyBorder="1" applyAlignment="1">
      <alignment horizontal="left" wrapText="1"/>
    </xf>
    <xf numFmtId="0" fontId="29" fillId="4" borderId="0" xfId="0" applyFont="1" applyFill="1" applyBorder="1" applyAlignment="1">
      <alignment wrapText="1"/>
    </xf>
    <xf numFmtId="0" fontId="7" fillId="4" borderId="0" xfId="0" applyFont="1" applyFill="1" applyBorder="1" applyAlignment="1">
      <alignment wrapText="1"/>
    </xf>
    <xf numFmtId="0" fontId="9" fillId="4" borderId="0" xfId="0" applyFont="1" applyFill="1" applyBorder="1" applyAlignment="1">
      <alignment horizontal="left" vertical="center" wrapText="1"/>
    </xf>
    <xf numFmtId="0" fontId="5" fillId="4" borderId="0" xfId="0" applyFont="1" applyFill="1" applyAlignment="1"/>
    <xf numFmtId="0" fontId="29" fillId="4" borderId="0" xfId="0" applyFont="1" applyFill="1" applyAlignment="1"/>
    <xf numFmtId="0" fontId="0" fillId="4" borderId="15" xfId="0" applyFill="1" applyBorder="1" applyAlignment="1">
      <alignment horizontal="center" vertical="center"/>
    </xf>
    <xf numFmtId="0" fontId="0" fillId="4" borderId="1" xfId="0" applyFill="1" applyBorder="1" applyAlignment="1">
      <alignment horizontal="center" vertical="center"/>
    </xf>
    <xf numFmtId="0" fontId="0" fillId="4" borderId="17" xfId="0" applyFill="1" applyBorder="1" applyAlignment="1">
      <alignment horizontal="center" vertical="center"/>
    </xf>
    <xf numFmtId="0" fontId="0" fillId="4" borderId="18" xfId="0" applyFill="1" applyBorder="1" applyAlignment="1">
      <alignment horizontal="center" vertical="center"/>
    </xf>
    <xf numFmtId="0" fontId="0" fillId="4" borderId="9" xfId="0" applyFill="1" applyBorder="1" applyAlignment="1">
      <alignment horizontal="center" vertical="center"/>
    </xf>
    <xf numFmtId="0" fontId="0" fillId="4" borderId="0" xfId="0" applyFill="1" applyBorder="1">
      <alignment horizontal="left" vertical="center"/>
    </xf>
    <xf numFmtId="0" fontId="0" fillId="4" borderId="0" xfId="0" applyFill="1">
      <alignment horizontal="left" vertical="center"/>
    </xf>
    <xf numFmtId="0" fontId="0" fillId="4" borderId="0" xfId="0" applyFill="1" applyAlignment="1">
      <alignment vertical="center"/>
    </xf>
    <xf numFmtId="1" fontId="5" fillId="4" borderId="0" xfId="0" applyNumberFormat="1" applyFont="1" applyFill="1" applyBorder="1">
      <alignment horizontal="left" vertical="center"/>
    </xf>
    <xf numFmtId="0" fontId="0" fillId="4" borderId="5" xfId="0" applyFill="1" applyBorder="1">
      <alignment horizontal="left" vertical="center"/>
    </xf>
    <xf numFmtId="0" fontId="28" fillId="4" borderId="0" xfId="14" applyFill="1" applyBorder="1">
      <alignment vertical="center" wrapText="1"/>
    </xf>
    <xf numFmtId="0" fontId="11" fillId="0" borderId="1" xfId="12" applyFont="1" applyBorder="1">
      <alignment horizontal="right" vertical="center" wrapText="1"/>
    </xf>
    <xf numFmtId="0" fontId="34" fillId="0" borderId="7" xfId="28" applyFill="1" applyBorder="1">
      <alignment vertical="center"/>
    </xf>
    <xf numFmtId="0" fontId="28" fillId="0" borderId="0" xfId="12" applyBorder="1">
      <alignment horizontal="right" vertical="center" wrapText="1"/>
    </xf>
    <xf numFmtId="0" fontId="34" fillId="0" borderId="20" xfId="28" applyFill="1" applyBorder="1">
      <alignment vertical="center"/>
    </xf>
    <xf numFmtId="1" fontId="28" fillId="0" borderId="2" xfId="12" applyNumberFormat="1" applyBorder="1" applyAlignment="1">
      <alignment horizontal="left" vertical="center" wrapText="1"/>
    </xf>
    <xf numFmtId="197" fontId="28" fillId="0" borderId="2" xfId="12" applyNumberFormat="1" applyBorder="1" applyAlignment="1">
      <alignment horizontal="left" vertical="center" wrapText="1"/>
    </xf>
    <xf numFmtId="191" fontId="28" fillId="0" borderId="2" xfId="12" applyNumberFormat="1" applyBorder="1" applyAlignment="1">
      <alignment horizontal="left" vertical="center" wrapText="1"/>
    </xf>
    <xf numFmtId="0" fontId="11" fillId="0" borderId="17" xfId="12" applyFont="1" applyBorder="1">
      <alignment horizontal="right" vertical="center" wrapText="1"/>
    </xf>
    <xf numFmtId="0" fontId="28" fillId="0" borderId="7" xfId="12" applyBorder="1">
      <alignment horizontal="right" vertical="center" wrapText="1"/>
    </xf>
    <xf numFmtId="191" fontId="28" fillId="0" borderId="8" xfId="12" applyNumberFormat="1" applyBorder="1" applyAlignment="1">
      <alignment horizontal="left" vertical="center" wrapText="1"/>
    </xf>
    <xf numFmtId="0" fontId="11" fillId="0" borderId="15" xfId="12" applyFont="1" applyBorder="1">
      <alignment horizontal="right" vertical="center" wrapText="1"/>
    </xf>
    <xf numFmtId="0" fontId="28" fillId="0" borderId="20" xfId="12" applyBorder="1">
      <alignment horizontal="right" vertical="center" wrapText="1"/>
    </xf>
    <xf numFmtId="0" fontId="4" fillId="4" borderId="0" xfId="18" applyFill="1" applyBorder="1">
      <alignment horizontal="left" vertical="center" wrapText="1" indent="1"/>
    </xf>
    <xf numFmtId="0" fontId="33" fillId="4" borderId="0" xfId="0" applyFont="1" applyFill="1" applyAlignment="1"/>
    <xf numFmtId="0" fontId="0" fillId="4" borderId="3" xfId="0" applyFill="1" applyBorder="1" applyAlignment="1">
      <alignment vertical="center"/>
    </xf>
    <xf numFmtId="0" fontId="0" fillId="4" borderId="21" xfId="0" applyFill="1" applyBorder="1" applyAlignment="1">
      <alignment vertical="center"/>
    </xf>
    <xf numFmtId="0" fontId="34" fillId="4" borderId="0" xfId="28" applyFill="1" applyBorder="1">
      <alignment vertical="center"/>
    </xf>
    <xf numFmtId="0" fontId="12" fillId="4" borderId="0" xfId="0" applyFont="1" applyFill="1" applyBorder="1" applyAlignment="1">
      <alignment vertical="center"/>
    </xf>
    <xf numFmtId="0" fontId="8" fillId="4" borderId="0" xfId="0" applyFont="1" applyFill="1" applyBorder="1">
      <alignment horizontal="left" vertical="center"/>
    </xf>
    <xf numFmtId="0" fontId="28" fillId="4" borderId="22" xfId="0" applyFont="1" applyFill="1" applyBorder="1" applyAlignment="1">
      <alignment horizontal="right" vertical="center"/>
    </xf>
    <xf numFmtId="0" fontId="34" fillId="4" borderId="22" xfId="28" applyFill="1" applyBorder="1">
      <alignment vertical="center"/>
    </xf>
    <xf numFmtId="0" fontId="37" fillId="4" borderId="22" xfId="23" applyFill="1" applyBorder="1">
      <alignment horizontal="right" vertical="center"/>
    </xf>
    <xf numFmtId="0" fontId="0" fillId="4" borderId="22" xfId="0" applyFill="1" applyBorder="1" applyAlignment="1">
      <alignment horizontal="right" vertical="center"/>
    </xf>
    <xf numFmtId="187" fontId="28" fillId="0" borderId="16" xfId="12" applyNumberFormat="1" applyBorder="1" applyAlignment="1">
      <alignment horizontal="left" vertical="center" wrapText="1"/>
    </xf>
    <xf numFmtId="0" fontId="0" fillId="4" borderId="22" xfId="0" applyFill="1" applyBorder="1">
      <alignment horizontal="left" vertical="center"/>
    </xf>
    <xf numFmtId="187" fontId="28" fillId="0" borderId="2" xfId="12" applyNumberFormat="1" applyBorder="1" applyAlignment="1">
      <alignment horizontal="left" vertical="center" wrapText="1"/>
    </xf>
    <xf numFmtId="0" fontId="0" fillId="4" borderId="0" xfId="0" applyFill="1" applyBorder="1" applyAlignment="1">
      <alignment horizontal="center" vertical="center"/>
    </xf>
    <xf numFmtId="191" fontId="28" fillId="0" borderId="0" xfId="12" applyNumberFormat="1" applyBorder="1">
      <alignment horizontal="right" vertical="center" wrapText="1"/>
    </xf>
    <xf numFmtId="0" fontId="28" fillId="0" borderId="1" xfId="12" applyBorder="1">
      <alignment horizontal="right" vertical="center" wrapText="1"/>
    </xf>
    <xf numFmtId="0" fontId="32" fillId="0" borderId="1" xfId="12" applyFont="1" applyBorder="1">
      <alignment horizontal="right" vertical="center" wrapText="1"/>
    </xf>
    <xf numFmtId="1" fontId="28" fillId="0" borderId="0" xfId="12" applyNumberFormat="1" applyBorder="1">
      <alignment horizontal="right" vertical="center" wrapText="1"/>
    </xf>
    <xf numFmtId="1" fontId="28" fillId="0" borderId="2" xfId="13" applyNumberFormat="1" applyBorder="1">
      <alignment horizontal="left" vertical="center" wrapText="1"/>
    </xf>
    <xf numFmtId="197" fontId="28" fillId="0" borderId="0" xfId="12" applyNumberFormat="1" applyBorder="1">
      <alignment horizontal="right" vertical="center" wrapText="1"/>
    </xf>
    <xf numFmtId="43" fontId="0" fillId="0" borderId="0" xfId="6" applyFont="1" applyAlignment="1"/>
    <xf numFmtId="187" fontId="28" fillId="0" borderId="0" xfId="12" applyNumberFormat="1" applyBorder="1">
      <alignment horizontal="right" vertical="center" wrapText="1"/>
    </xf>
    <xf numFmtId="0" fontId="34" fillId="4" borderId="0" xfId="28" applyFill="1">
      <alignment vertical="center"/>
    </xf>
    <xf numFmtId="43" fontId="0" fillId="0" borderId="0" xfId="0" applyNumberFormat="1" applyAlignment="1"/>
    <xf numFmtId="0" fontId="10" fillId="0" borderId="0" xfId="0" applyFont="1" applyAlignment="1"/>
    <xf numFmtId="0" fontId="11" fillId="0" borderId="0" xfId="0" applyFont="1" applyAlignment="1"/>
    <xf numFmtId="0" fontId="0" fillId="0" borderId="0" xfId="9" applyNumberFormat="1" applyFont="1" applyAlignment="1"/>
    <xf numFmtId="0" fontId="34" fillId="0" borderId="0" xfId="28" applyAlignment="1"/>
    <xf numFmtId="0" fontId="34" fillId="0" borderId="0" xfId="28" applyBorder="1" applyAlignment="1"/>
    <xf numFmtId="0" fontId="34" fillId="0" borderId="23" xfId="28" applyBorder="1" applyAlignment="1"/>
    <xf numFmtId="0" fontId="34" fillId="0" borderId="0" xfId="28" applyFill="1" applyAlignment="1"/>
    <xf numFmtId="0" fontId="0" fillId="0" borderId="0" xfId="0" applyFill="1" applyAlignment="1"/>
    <xf numFmtId="0" fontId="9" fillId="0" borderId="0" xfId="0" applyFont="1" applyFill="1" applyAlignment="1"/>
    <xf numFmtId="0" fontId="34" fillId="0" borderId="0" xfId="28" applyFill="1" applyBorder="1" applyAlignment="1"/>
    <xf numFmtId="0" fontId="13" fillId="0" borderId="0" xfId="0" applyFont="1" applyAlignment="1"/>
    <xf numFmtId="1" fontId="0" fillId="0" borderId="0" xfId="0" applyNumberFormat="1" applyAlignment="1"/>
    <xf numFmtId="0" fontId="7" fillId="4" borderId="3" xfId="18" applyFont="1" applyFill="1" applyBorder="1" applyAlignment="1">
      <alignment horizontal="left" vertical="center" indent="1"/>
    </xf>
    <xf numFmtId="1" fontId="0" fillId="0" borderId="0" xfId="0" applyNumberFormat="1" applyAlignment="1">
      <alignment vertical="center"/>
    </xf>
    <xf numFmtId="0" fontId="26" fillId="0" borderId="0" xfId="0" applyFont="1" applyAlignment="1">
      <alignment vertical="center"/>
    </xf>
    <xf numFmtId="0" fontId="9" fillId="6" borderId="0" xfId="0" applyFont="1" applyFill="1" applyBorder="1" applyAlignment="1"/>
    <xf numFmtId="0" fontId="0" fillId="0" borderId="0" xfId="0" applyFill="1" applyAlignment="1">
      <alignment vertical="center"/>
    </xf>
    <xf numFmtId="0" fontId="0" fillId="0" borderId="0" xfId="0" applyNumberFormat="1" applyAlignment="1">
      <alignment vertical="center"/>
    </xf>
    <xf numFmtId="0" fontId="0" fillId="0" borderId="0" xfId="0" applyFill="1" applyBorder="1" applyAlignment="1">
      <alignment wrapText="1"/>
    </xf>
    <xf numFmtId="0" fontId="7" fillId="0" borderId="0" xfId="0" applyFont="1" applyFill="1" applyAlignment="1">
      <alignment vertical="center"/>
    </xf>
    <xf numFmtId="0" fontId="11" fillId="0" borderId="0" xfId="0" applyFont="1" applyFill="1" applyAlignment="1">
      <alignment vertical="center"/>
    </xf>
    <xf numFmtId="0" fontId="33" fillId="0" borderId="0" xfId="0" applyFont="1" applyAlignment="1"/>
    <xf numFmtId="0" fontId="5" fillId="0" borderId="7" xfId="0" applyFont="1" applyFill="1" applyBorder="1" applyAlignment="1"/>
    <xf numFmtId="0" fontId="5" fillId="0" borderId="7" xfId="0" applyFont="1" applyBorder="1" applyAlignment="1"/>
    <xf numFmtId="0" fontId="5" fillId="0" borderId="7" xfId="0" applyFont="1" applyBorder="1" applyAlignment="1">
      <alignment horizontal="right"/>
    </xf>
    <xf numFmtId="0" fontId="4" fillId="0" borderId="0" xfId="0" applyFont="1" applyAlignment="1"/>
    <xf numFmtId="181" fontId="4" fillId="2" borderId="0" xfId="1" applyNumberFormat="1" applyAlignment="1">
      <protection locked="0"/>
    </xf>
    <xf numFmtId="9" fontId="4" fillId="2" borderId="0" xfId="1" applyNumberFormat="1" applyAlignment="1">
      <protection locked="0"/>
    </xf>
    <xf numFmtId="0" fontId="18" fillId="0" borderId="0" xfId="0" applyFont="1" applyAlignment="1"/>
    <xf numFmtId="0" fontId="20" fillId="0" borderId="0" xfId="0" applyFont="1" applyAlignment="1"/>
    <xf numFmtId="0" fontId="6" fillId="0" borderId="24" xfId="0" applyFont="1" applyBorder="1" applyAlignment="1"/>
    <xf numFmtId="0" fontId="0" fillId="0" borderId="26" xfId="0" applyBorder="1" applyAlignment="1"/>
    <xf numFmtId="0" fontId="7" fillId="0" borderId="0" xfId="0" applyFont="1" applyBorder="1" applyAlignment="1"/>
    <xf numFmtId="0" fontId="4" fillId="2" borderId="0" xfId="1" applyBorder="1" applyAlignment="1">
      <protection locked="0"/>
    </xf>
    <xf numFmtId="0" fontId="0" fillId="0" borderId="23" xfId="0" applyBorder="1" applyAlignment="1"/>
    <xf numFmtId="0" fontId="4" fillId="2" borderId="23" xfId="1" applyBorder="1" applyAlignment="1">
      <protection locked="0"/>
    </xf>
    <xf numFmtId="10" fontId="4" fillId="2" borderId="0" xfId="1" applyNumberFormat="1" applyAlignment="1">
      <protection locked="0"/>
    </xf>
    <xf numFmtId="0" fontId="6" fillId="0" borderId="0" xfId="0" applyFont="1" applyBorder="1" applyAlignment="1"/>
    <xf numFmtId="0" fontId="9" fillId="0" borderId="0" xfId="0" applyFont="1" applyBorder="1" applyAlignment="1"/>
    <xf numFmtId="191" fontId="4" fillId="2" borderId="0" xfId="1" applyNumberFormat="1" applyAlignment="1">
      <protection locked="0"/>
    </xf>
    <xf numFmtId="0" fontId="6" fillId="0" borderId="25" xfId="0" applyFont="1" applyBorder="1" applyAlignment="1"/>
    <xf numFmtId="0" fontId="4" fillId="2" borderId="27" xfId="1" applyBorder="1" applyAlignment="1">
      <protection locked="0"/>
    </xf>
    <xf numFmtId="0" fontId="0" fillId="0" borderId="28" xfId="0" applyBorder="1" applyAlignment="1"/>
    <xf numFmtId="0" fontId="4" fillId="2" borderId="29" xfId="1" applyBorder="1" applyAlignment="1">
      <protection locked="0"/>
    </xf>
    <xf numFmtId="0" fontId="0" fillId="4" borderId="0" xfId="0" applyFill="1" applyAlignment="1">
      <alignment horizontal="left"/>
    </xf>
    <xf numFmtId="0" fontId="0" fillId="4" borderId="30" xfId="0" applyFill="1" applyBorder="1" applyAlignment="1">
      <alignment horizontal="right"/>
    </xf>
    <xf numFmtId="0" fontId="0" fillId="4" borderId="2" xfId="0" applyFill="1" applyBorder="1" applyAlignment="1">
      <alignment horizontal="left"/>
    </xf>
    <xf numFmtId="0" fontId="0" fillId="4" borderId="0" xfId="0" applyFill="1" applyBorder="1" applyAlignment="1">
      <alignment horizontal="right"/>
    </xf>
    <xf numFmtId="0" fontId="0" fillId="4" borderId="0" xfId="0" applyFill="1" applyBorder="1" applyAlignment="1">
      <alignment horizontal="left"/>
    </xf>
    <xf numFmtId="3" fontId="0" fillId="4" borderId="0" xfId="0" applyNumberFormat="1" applyFill="1" applyBorder="1" applyAlignment="1">
      <alignment horizontal="right"/>
    </xf>
    <xf numFmtId="0" fontId="9" fillId="0" borderId="0" xfId="0" applyFont="1" applyAlignment="1">
      <alignment horizontal="left"/>
    </xf>
    <xf numFmtId="0" fontId="5" fillId="5" borderId="0" xfId="0" applyFont="1" applyFill="1" applyAlignment="1">
      <alignment horizontal="left"/>
    </xf>
    <xf numFmtId="0" fontId="9" fillId="6" borderId="0" xfId="0" applyFont="1" applyFill="1" applyAlignment="1">
      <alignment horizontal="left"/>
    </xf>
    <xf numFmtId="0" fontId="9" fillId="0" borderId="0" xfId="0" applyFont="1" applyFill="1" applyAlignment="1">
      <alignment horizontal="left"/>
    </xf>
    <xf numFmtId="187" fontId="4" fillId="0" borderId="0" xfId="26" applyNumberFormat="1"/>
    <xf numFmtId="2" fontId="4" fillId="0" borderId="0" xfId="26" applyNumberFormat="1"/>
    <xf numFmtId="181" fontId="0" fillId="0" borderId="0" xfId="0" applyNumberFormat="1" applyAlignment="1">
      <alignment vertical="center"/>
    </xf>
    <xf numFmtId="185" fontId="0" fillId="0" borderId="0" xfId="0" applyNumberFormat="1" applyAlignment="1">
      <alignment vertical="center"/>
    </xf>
    <xf numFmtId="0" fontId="6" fillId="0" borderId="32" xfId="0" applyFont="1" applyBorder="1" applyAlignment="1">
      <alignment vertical="center"/>
    </xf>
    <xf numFmtId="0" fontId="9" fillId="0" borderId="32" xfId="0" applyFont="1" applyBorder="1" applyAlignment="1">
      <alignment vertical="center"/>
    </xf>
    <xf numFmtId="0" fontId="11" fillId="0" borderId="0" xfId="0" applyFont="1" applyFill="1" applyBorder="1" applyAlignment="1">
      <alignment vertical="center"/>
    </xf>
    <xf numFmtId="0" fontId="4" fillId="0" borderId="0" xfId="26"/>
    <xf numFmtId="0" fontId="9" fillId="0" borderId="0" xfId="0" applyFont="1" applyBorder="1" applyAlignment="1">
      <alignment vertical="center"/>
    </xf>
    <xf numFmtId="0" fontId="6" fillId="0" borderId="0" xfId="0" applyFont="1" applyBorder="1" applyAlignment="1">
      <alignment vertical="center"/>
    </xf>
    <xf numFmtId="1" fontId="0" fillId="0" borderId="0" xfId="0" applyNumberFormat="1" applyFill="1" applyAlignment="1"/>
    <xf numFmtId="0" fontId="9" fillId="0" borderId="0" xfId="0" applyFont="1" applyFill="1" applyBorder="1" applyAlignment="1"/>
    <xf numFmtId="0" fontId="9" fillId="6" borderId="0" xfId="0" applyFont="1" applyFill="1" applyAlignment="1">
      <alignment vertical="center"/>
    </xf>
    <xf numFmtId="0" fontId="9" fillId="6" borderId="0" xfId="0" applyFont="1" applyFill="1" applyBorder="1" applyAlignment="1" applyProtection="1">
      <protection hidden="1"/>
    </xf>
    <xf numFmtId="0" fontId="9" fillId="0" borderId="0" xfId="0" applyFont="1" applyFill="1" applyBorder="1" applyAlignment="1" applyProtection="1">
      <protection hidden="1"/>
    </xf>
    <xf numFmtId="0" fontId="4" fillId="0" borderId="0" xfId="0" applyFont="1" applyFill="1" applyAlignment="1">
      <alignment vertical="center"/>
    </xf>
    <xf numFmtId="0" fontId="0" fillId="0" borderId="0" xfId="0" applyNumberFormat="1" applyFill="1" applyAlignment="1">
      <alignment vertical="center"/>
    </xf>
    <xf numFmtId="0" fontId="9" fillId="0" borderId="0" xfId="19" applyFont="1" applyBorder="1">
      <alignment vertical="center"/>
    </xf>
    <xf numFmtId="0" fontId="9" fillId="0" borderId="1" xfId="19" applyFont="1" applyBorder="1">
      <alignment vertical="center"/>
    </xf>
    <xf numFmtId="0" fontId="7" fillId="0" borderId="0" xfId="28" applyFont="1" applyFill="1" applyBorder="1">
      <alignment vertical="center"/>
    </xf>
    <xf numFmtId="0" fontId="9" fillId="0" borderId="1" xfId="0" applyFont="1" applyFill="1" applyBorder="1" applyAlignment="1">
      <alignment vertical="center"/>
    </xf>
    <xf numFmtId="0" fontId="34" fillId="0" borderId="0" xfId="28" applyBorder="1">
      <alignment vertical="center"/>
    </xf>
    <xf numFmtId="0" fontId="0" fillId="0" borderId="0" xfId="0" applyBorder="1" applyAlignment="1">
      <alignment vertical="center"/>
    </xf>
    <xf numFmtId="0" fontId="0" fillId="0" borderId="0" xfId="0" applyNumberFormat="1" applyBorder="1" applyAlignment="1">
      <alignment vertical="center"/>
    </xf>
    <xf numFmtId="0" fontId="12" fillId="0" borderId="0" xfId="0" applyFont="1" applyAlignment="1">
      <alignment vertical="center"/>
    </xf>
    <xf numFmtId="0" fontId="0" fillId="0" borderId="7" xfId="0" applyBorder="1" applyAlignment="1"/>
    <xf numFmtId="191" fontId="0" fillId="0" borderId="0" xfId="27" applyNumberFormat="1" applyFont="1" applyAlignment="1">
      <alignment vertical="center"/>
    </xf>
    <xf numFmtId="3" fontId="0" fillId="0" borderId="0" xfId="0" applyNumberFormat="1" applyFill="1" applyAlignment="1">
      <alignment vertical="center"/>
    </xf>
    <xf numFmtId="4" fontId="0" fillId="0" borderId="0" xfId="0" applyNumberFormat="1" applyFill="1" applyAlignment="1">
      <alignment vertical="center"/>
    </xf>
    <xf numFmtId="0" fontId="9" fillId="4" borderId="0" xfId="0" applyFont="1" applyFill="1" applyAlignment="1">
      <alignment horizontal="left"/>
    </xf>
    <xf numFmtId="0" fontId="13" fillId="4" borderId="0" xfId="0" applyFont="1" applyFill="1" applyAlignment="1">
      <alignment horizontal="left"/>
    </xf>
    <xf numFmtId="0" fontId="5" fillId="4" borderId="0" xfId="0" applyFont="1" applyFill="1" applyAlignment="1">
      <alignment horizontal="left"/>
    </xf>
    <xf numFmtId="0" fontId="43" fillId="4" borderId="15" xfId="0" applyFont="1" applyFill="1" applyBorder="1" applyAlignment="1"/>
    <xf numFmtId="0" fontId="5" fillId="4" borderId="20" xfId="0" applyFont="1" applyFill="1" applyBorder="1" applyAlignment="1"/>
    <xf numFmtId="0" fontId="0" fillId="4" borderId="20" xfId="0" applyFill="1" applyBorder="1" applyAlignment="1">
      <alignment horizontal="right"/>
    </xf>
    <xf numFmtId="0" fontId="13" fillId="4" borderId="20" xfId="0" applyFont="1" applyFill="1" applyBorder="1" applyAlignment="1"/>
    <xf numFmtId="0" fontId="0" fillId="4" borderId="20" xfId="0" applyFill="1" applyBorder="1" applyAlignment="1"/>
    <xf numFmtId="185" fontId="0" fillId="4" borderId="20" xfId="0" applyNumberFormat="1" applyFill="1" applyBorder="1" applyAlignment="1"/>
    <xf numFmtId="0" fontId="0" fillId="4" borderId="16" xfId="0" applyFill="1" applyBorder="1" applyAlignment="1"/>
    <xf numFmtId="0" fontId="13" fillId="4" borderId="0" xfId="0" applyFont="1" applyFill="1" applyBorder="1" applyAlignment="1"/>
    <xf numFmtId="0" fontId="0" fillId="4" borderId="3" xfId="0" applyFill="1" applyBorder="1" applyAlignment="1" applyProtection="1">
      <protection hidden="1"/>
    </xf>
    <xf numFmtId="0" fontId="0" fillId="4" borderId="2" xfId="0" applyFill="1" applyBorder="1" applyAlignment="1"/>
    <xf numFmtId="0" fontId="0" fillId="4" borderId="0" xfId="0" applyFill="1" applyBorder="1" applyAlignment="1"/>
    <xf numFmtId="185" fontId="0" fillId="4" borderId="0" xfId="9" applyNumberFormat="1" applyFont="1" applyFill="1" applyBorder="1" applyAlignment="1"/>
    <xf numFmtId="185" fontId="0" fillId="4" borderId="7" xfId="0" applyNumberFormat="1" applyFill="1" applyBorder="1" applyAlignment="1"/>
    <xf numFmtId="185" fontId="0" fillId="4" borderId="0" xfId="0" applyNumberFormat="1" applyFill="1" applyBorder="1" applyAlignment="1"/>
    <xf numFmtId="0" fontId="0" fillId="4" borderId="8" xfId="0" applyFill="1" applyBorder="1" applyAlignment="1"/>
    <xf numFmtId="191" fontId="0" fillId="4" borderId="0" xfId="27" applyNumberFormat="1" applyFont="1" applyFill="1" applyBorder="1" applyAlignment="1" applyProtection="1">
      <alignment horizontal="right"/>
    </xf>
    <xf numFmtId="0" fontId="0" fillId="4" borderId="1" xfId="0" applyFill="1" applyBorder="1" applyAlignment="1" applyProtection="1">
      <protection hidden="1"/>
    </xf>
    <xf numFmtId="0" fontId="9" fillId="4" borderId="0" xfId="0" applyNumberFormat="1" applyFont="1" applyFill="1" applyBorder="1" applyAlignment="1" applyProtection="1">
      <protection hidden="1"/>
    </xf>
    <xf numFmtId="0" fontId="0" fillId="4" borderId="0" xfId="0" applyFill="1" applyBorder="1" applyAlignment="1" applyProtection="1">
      <protection hidden="1"/>
    </xf>
    <xf numFmtId="0" fontId="13" fillId="4" borderId="0" xfId="0" applyFont="1" applyFill="1" applyBorder="1" applyAlignment="1" applyProtection="1">
      <protection hidden="1"/>
    </xf>
    <xf numFmtId="182" fontId="0" fillId="4" borderId="0" xfId="0" applyNumberFormat="1" applyFill="1" applyBorder="1" applyAlignment="1" applyProtection="1">
      <alignment horizontal="right"/>
      <protection hidden="1"/>
    </xf>
    <xf numFmtId="43" fontId="0" fillId="4" borderId="0" xfId="6" applyFont="1" applyFill="1" applyBorder="1" applyAlignment="1" applyProtection="1">
      <alignment horizontal="right"/>
      <protection hidden="1"/>
    </xf>
    <xf numFmtId="185" fontId="0" fillId="4" borderId="0" xfId="9" applyNumberFormat="1" applyFont="1" applyFill="1" applyBorder="1" applyAlignment="1" applyProtection="1">
      <alignment horizontal="right"/>
      <protection hidden="1"/>
    </xf>
    <xf numFmtId="185" fontId="0" fillId="4" borderId="0" xfId="0" applyNumberFormat="1" applyFill="1" applyBorder="1" applyAlignment="1" applyProtection="1">
      <alignment horizontal="right"/>
      <protection hidden="1"/>
    </xf>
    <xf numFmtId="0" fontId="0" fillId="4" borderId="0" xfId="0" applyFill="1" applyBorder="1" applyAlignment="1" applyProtection="1">
      <alignment horizontal="right"/>
      <protection hidden="1"/>
    </xf>
    <xf numFmtId="0" fontId="0" fillId="4" borderId="2" xfId="0" applyFill="1" applyBorder="1" applyAlignment="1" applyProtection="1">
      <protection hidden="1"/>
    </xf>
    <xf numFmtId="0" fontId="9" fillId="0" borderId="31" xfId="0" applyNumberFormat="1" applyFont="1" applyFill="1" applyBorder="1" applyAlignment="1" applyProtection="1">
      <protection hidden="1"/>
    </xf>
    <xf numFmtId="186" fontId="0" fillId="0" borderId="34" xfId="0" applyNumberFormat="1" applyBorder="1" applyAlignment="1"/>
    <xf numFmtId="0" fontId="9" fillId="0" borderId="35" xfId="0" applyNumberFormat="1" applyFont="1" applyFill="1" applyBorder="1" applyAlignment="1" applyProtection="1">
      <protection hidden="1"/>
    </xf>
    <xf numFmtId="186" fontId="0" fillId="0" borderId="36" xfId="0" applyNumberFormat="1" applyBorder="1" applyAlignment="1"/>
    <xf numFmtId="186" fontId="31" fillId="4" borderId="0" xfId="0" applyNumberFormat="1" applyFont="1" applyFill="1" applyBorder="1" applyAlignment="1" applyProtection="1">
      <protection hidden="1"/>
    </xf>
    <xf numFmtId="0" fontId="45" fillId="0" borderId="35" xfId="0" applyFont="1" applyBorder="1" applyAlignment="1"/>
    <xf numFmtId="186" fontId="45" fillId="0" borderId="36" xfId="0" applyNumberFormat="1" applyFont="1" applyBorder="1" applyAlignment="1"/>
    <xf numFmtId="185" fontId="13" fillId="4" borderId="7" xfId="0" applyNumberFormat="1" applyFont="1" applyFill="1" applyBorder="1" applyAlignment="1" applyProtection="1">
      <protection hidden="1"/>
    </xf>
    <xf numFmtId="0" fontId="0" fillId="4" borderId="7" xfId="0" applyFill="1" applyBorder="1" applyAlignment="1"/>
    <xf numFmtId="0" fontId="18" fillId="4" borderId="17" xfId="0" applyFont="1" applyFill="1" applyBorder="1" applyAlignment="1"/>
    <xf numFmtId="0" fontId="5" fillId="0" borderId="0" xfId="0" applyFont="1" applyBorder="1" applyAlignment="1">
      <alignment horizontal="left"/>
    </xf>
    <xf numFmtId="49" fontId="5" fillId="5" borderId="1" xfId="0" applyNumberFormat="1" applyFont="1" applyFill="1" applyBorder="1" applyAlignment="1">
      <alignment horizontal="left"/>
    </xf>
    <xf numFmtId="0" fontId="5" fillId="5" borderId="0" xfId="0" applyFont="1" applyFill="1" applyBorder="1" applyAlignment="1">
      <alignment horizontal="left"/>
    </xf>
    <xf numFmtId="0" fontId="17" fillId="5" borderId="0" xfId="0" applyFont="1" applyFill="1" applyBorder="1" applyAlignment="1">
      <alignment horizontal="left"/>
    </xf>
    <xf numFmtId="0" fontId="5" fillId="5" borderId="2" xfId="0" applyFont="1" applyFill="1" applyBorder="1" applyAlignment="1">
      <alignment horizontal="left"/>
    </xf>
    <xf numFmtId="0" fontId="0" fillId="6" borderId="0" xfId="0" applyFill="1" applyBorder="1" applyAlignment="1">
      <alignment horizontal="left"/>
    </xf>
    <xf numFmtId="0" fontId="13" fillId="6" borderId="0" xfId="0" applyFont="1" applyFill="1" applyBorder="1" applyAlignment="1">
      <alignment horizontal="left"/>
    </xf>
    <xf numFmtId="0" fontId="5" fillId="5" borderId="0" xfId="0" applyFont="1" applyFill="1" applyBorder="1" applyAlignment="1" applyProtection="1">
      <alignment horizontal="left"/>
      <protection hidden="1"/>
    </xf>
    <xf numFmtId="0" fontId="0" fillId="6" borderId="1" xfId="0" applyFill="1" applyBorder="1" applyAlignment="1">
      <alignment horizontal="left"/>
    </xf>
    <xf numFmtId="0" fontId="5" fillId="5" borderId="0" xfId="0" quotePrefix="1" applyFont="1" applyFill="1" applyBorder="1" applyAlignment="1">
      <alignment horizontal="left"/>
    </xf>
    <xf numFmtId="0" fontId="5" fillId="5" borderId="0" xfId="0" quotePrefix="1" applyFont="1" applyFill="1" applyBorder="1" applyAlignment="1" applyProtection="1">
      <alignment horizontal="right"/>
      <protection hidden="1"/>
    </xf>
    <xf numFmtId="0" fontId="5" fillId="5" borderId="0" xfId="0" quotePrefix="1" applyFont="1" applyFill="1" applyBorder="1" applyAlignment="1" applyProtection="1">
      <alignment horizontal="left"/>
      <protection hidden="1"/>
    </xf>
    <xf numFmtId="0" fontId="0" fillId="4" borderId="1" xfId="0" applyFill="1" applyBorder="1" applyAlignment="1"/>
    <xf numFmtId="0" fontId="18" fillId="4" borderId="1" xfId="0" applyFont="1" applyFill="1" applyBorder="1" applyAlignment="1"/>
    <xf numFmtId="0" fontId="0" fillId="4" borderId="17" xfId="0" applyFill="1" applyBorder="1" applyAlignment="1"/>
    <xf numFmtId="0" fontId="9" fillId="4" borderId="20" xfId="0" applyFont="1" applyFill="1" applyBorder="1" applyAlignment="1"/>
    <xf numFmtId="185" fontId="0" fillId="4" borderId="16" xfId="0" applyNumberFormat="1" applyFill="1" applyBorder="1" applyAlignment="1"/>
    <xf numFmtId="185" fontId="0" fillId="4" borderId="2" xfId="0" applyNumberFormat="1" applyFill="1" applyBorder="1" applyAlignment="1"/>
    <xf numFmtId="0" fontId="14" fillId="4" borderId="0" xfId="0" applyFont="1" applyFill="1" applyBorder="1" applyAlignment="1"/>
    <xf numFmtId="0" fontId="32" fillId="4" borderId="0" xfId="0" applyFont="1" applyFill="1" applyBorder="1" applyAlignment="1"/>
    <xf numFmtId="0" fontId="32" fillId="4" borderId="7" xfId="0" applyFont="1" applyFill="1" applyBorder="1" applyAlignment="1"/>
    <xf numFmtId="0" fontId="0" fillId="4" borderId="7" xfId="0" applyFill="1" applyBorder="1" applyAlignment="1">
      <alignment wrapText="1"/>
    </xf>
    <xf numFmtId="0" fontId="0" fillId="4" borderId="8" xfId="0" applyFill="1" applyBorder="1" applyAlignment="1">
      <alignment wrapText="1"/>
    </xf>
    <xf numFmtId="0" fontId="9" fillId="0" borderId="31" xfId="0" applyFont="1" applyBorder="1" applyAlignment="1"/>
    <xf numFmtId="185" fontId="0" fillId="0" borderId="34" xfId="9" applyNumberFormat="1" applyFont="1" applyBorder="1" applyProtection="1">
      <protection locked="0"/>
    </xf>
    <xf numFmtId="0" fontId="9" fillId="0" borderId="32" xfId="0" applyFont="1" applyBorder="1" applyAlignment="1"/>
    <xf numFmtId="185" fontId="0" fillId="0" borderId="11" xfId="9" applyNumberFormat="1" applyFont="1" applyBorder="1" applyProtection="1">
      <protection locked="0"/>
    </xf>
    <xf numFmtId="0" fontId="9" fillId="0" borderId="35" xfId="0" applyFont="1" applyBorder="1" applyAlignment="1"/>
    <xf numFmtId="185" fontId="0" fillId="0" borderId="36" xfId="0" applyNumberFormat="1" applyBorder="1" applyAlignment="1"/>
    <xf numFmtId="185" fontId="45" fillId="0" borderId="36" xfId="0" applyNumberFormat="1" applyFont="1" applyBorder="1" applyAlignment="1"/>
    <xf numFmtId="185" fontId="0" fillId="4" borderId="0" xfId="0" applyNumberFormat="1" applyFill="1" applyAlignment="1">
      <alignment horizontal="left"/>
    </xf>
    <xf numFmtId="0" fontId="31" fillId="4" borderId="0" xfId="0" applyFont="1" applyFill="1" applyBorder="1" applyAlignment="1"/>
    <xf numFmtId="185" fontId="4" fillId="0" borderId="0" xfId="9" applyNumberFormat="1" applyBorder="1" applyProtection="1">
      <protection locked="0"/>
    </xf>
    <xf numFmtId="9" fontId="9" fillId="0" borderId="0" xfId="27" applyFont="1" applyBorder="1" applyProtection="1">
      <protection locked="0"/>
    </xf>
    <xf numFmtId="185" fontId="0" fillId="0" borderId="0" xfId="9" applyNumberFormat="1" applyFont="1" applyBorder="1" applyProtection="1">
      <protection locked="0"/>
    </xf>
    <xf numFmtId="9" fontId="0" fillId="0" borderId="0" xfId="27" applyFont="1" applyProtection="1">
      <protection locked="0"/>
    </xf>
    <xf numFmtId="185" fontId="0" fillId="0" borderId="0" xfId="27" applyNumberFormat="1" applyFont="1" applyProtection="1">
      <protection locked="0"/>
    </xf>
    <xf numFmtId="185" fontId="0" fillId="0" borderId="0" xfId="9" applyNumberFormat="1" applyFont="1" applyProtection="1">
      <protection locked="0"/>
    </xf>
    <xf numFmtId="0" fontId="46" fillId="4" borderId="15" xfId="0" applyFont="1" applyFill="1" applyBorder="1" applyAlignment="1"/>
    <xf numFmtId="187" fontId="0" fillId="4" borderId="0" xfId="0" applyNumberFormat="1" applyFill="1" applyBorder="1" applyAlignment="1" applyProtection="1">
      <protection locked="0"/>
    </xf>
    <xf numFmtId="187" fontId="4" fillId="2" borderId="0" xfId="1" applyNumberFormat="1" applyBorder="1">
      <protection locked="0"/>
    </xf>
    <xf numFmtId="0" fontId="9" fillId="4" borderId="0" xfId="0" applyFont="1" applyFill="1" applyBorder="1" applyAlignment="1"/>
    <xf numFmtId="0" fontId="9" fillId="0" borderId="37" xfId="0" applyFont="1" applyBorder="1" applyAlignment="1"/>
    <xf numFmtId="185" fontId="0" fillId="0" borderId="34" xfId="9" applyNumberFormat="1" applyFont="1" applyBorder="1"/>
    <xf numFmtId="185" fontId="0" fillId="0" borderId="11" xfId="9" applyNumberFormat="1" applyFont="1" applyBorder="1"/>
    <xf numFmtId="185" fontId="0" fillId="0" borderId="38" xfId="0" applyNumberFormat="1" applyBorder="1" applyAlignment="1"/>
    <xf numFmtId="185" fontId="30" fillId="0" borderId="11" xfId="9" applyNumberFormat="1" applyFont="1" applyBorder="1" applyProtection="1">
      <protection locked="0"/>
    </xf>
    <xf numFmtId="185" fontId="14" fillId="4" borderId="0" xfId="0" applyNumberFormat="1" applyFont="1" applyFill="1" applyBorder="1" applyAlignment="1"/>
    <xf numFmtId="185" fontId="4" fillId="0" borderId="0" xfId="9" applyNumberFormat="1" applyBorder="1" applyProtection="1"/>
    <xf numFmtId="185" fontId="0" fillId="0" borderId="0" xfId="9" applyNumberFormat="1" applyFont="1" applyBorder="1" applyProtection="1"/>
    <xf numFmtId="185" fontId="0" fillId="0" borderId="11" xfId="9" applyNumberFormat="1" applyFont="1" applyBorder="1" applyProtection="1"/>
    <xf numFmtId="185" fontId="0" fillId="0" borderId="7" xfId="9" applyNumberFormat="1" applyFont="1" applyBorder="1" applyProtection="1"/>
    <xf numFmtId="185" fontId="45" fillId="0" borderId="7" xfId="27" applyNumberFormat="1" applyFont="1" applyBorder="1" applyProtection="1"/>
    <xf numFmtId="0" fontId="18" fillId="4" borderId="0" xfId="0" applyFont="1" applyFill="1" applyAlignment="1">
      <alignment horizontal="left"/>
    </xf>
    <xf numFmtId="185" fontId="0" fillId="4" borderId="0" xfId="27" applyNumberFormat="1" applyFont="1" applyFill="1" applyAlignment="1" applyProtection="1"/>
    <xf numFmtId="0" fontId="5" fillId="5" borderId="1" xfId="0" quotePrefix="1" applyFont="1" applyFill="1" applyBorder="1" applyAlignment="1">
      <alignment horizontal="left"/>
    </xf>
    <xf numFmtId="0" fontId="0" fillId="0" borderId="19" xfId="0" applyBorder="1" applyAlignment="1"/>
    <xf numFmtId="0" fontId="5" fillId="0" borderId="33" xfId="0" applyFont="1" applyBorder="1" applyAlignment="1"/>
    <xf numFmtId="0" fontId="5" fillId="0" borderId="34" xfId="0" applyFont="1" applyBorder="1" applyAlignment="1">
      <alignment horizontal="center"/>
    </xf>
    <xf numFmtId="185" fontId="0" fillId="4" borderId="0" xfId="0" applyNumberFormat="1" applyFill="1" applyBorder="1" applyAlignment="1">
      <alignment horizontal="left"/>
    </xf>
    <xf numFmtId="0" fontId="5" fillId="5" borderId="11" xfId="0" quotePrefix="1" applyFont="1" applyFill="1" applyBorder="1" applyAlignment="1">
      <alignment horizontal="left"/>
    </xf>
    <xf numFmtId="0" fontId="0" fillId="6" borderId="11" xfId="0" applyFill="1" applyBorder="1" applyAlignment="1">
      <alignment horizontal="left"/>
    </xf>
    <xf numFmtId="0" fontId="0" fillId="0" borderId="43" xfId="0" applyBorder="1" applyAlignment="1"/>
    <xf numFmtId="2" fontId="0" fillId="0" borderId="0" xfId="0" applyNumberFormat="1" applyFill="1" applyAlignment="1">
      <alignment vertical="center"/>
    </xf>
    <xf numFmtId="185" fontId="9" fillId="0" borderId="0" xfId="9" applyNumberFormat="1" applyFont="1" applyFill="1"/>
    <xf numFmtId="0" fontId="0" fillId="0" borderId="0" xfId="0" applyAlignment="1">
      <alignment horizontal="left" vertical="center" indent="1"/>
    </xf>
    <xf numFmtId="0" fontId="0" fillId="2" borderId="0" xfId="0" applyFill="1" applyAlignment="1"/>
    <xf numFmtId="0" fontId="13" fillId="0" borderId="27" xfId="0" applyFont="1" applyBorder="1" applyAlignment="1"/>
    <xf numFmtId="0" fontId="13" fillId="0" borderId="29" xfId="0" applyFont="1" applyBorder="1" applyAlignment="1"/>
    <xf numFmtId="0" fontId="0" fillId="2" borderId="0" xfId="0" applyFill="1" applyAlignment="1">
      <alignment horizontal="right"/>
    </xf>
    <xf numFmtId="0" fontId="15" fillId="4" borderId="0" xfId="11" applyFill="1" applyBorder="1" applyAlignment="1" applyProtection="1"/>
    <xf numFmtId="0" fontId="15" fillId="0" borderId="0" xfId="11" applyBorder="1" applyAlignment="1" applyProtection="1"/>
    <xf numFmtId="0" fontId="15" fillId="4" borderId="5" xfId="11" applyFill="1" applyBorder="1" applyAlignment="1" applyProtection="1">
      <alignment horizontal="center" vertical="center"/>
    </xf>
    <xf numFmtId="0" fontId="13" fillId="0" borderId="0" xfId="0" applyFont="1" applyFill="1" applyAlignment="1"/>
    <xf numFmtId="0" fontId="0" fillId="0" borderId="0" xfId="6" applyNumberFormat="1" applyFont="1" applyAlignment="1" applyProtection="1">
      <alignment horizontal="right"/>
      <protection hidden="1"/>
    </xf>
    <xf numFmtId="183" fontId="4" fillId="2" borderId="0" xfId="1" applyNumberFormat="1">
      <protection locked="0"/>
    </xf>
    <xf numFmtId="0" fontId="5" fillId="5" borderId="2" xfId="0" applyFont="1" applyFill="1" applyBorder="1" applyAlignment="1" applyProtection="1">
      <alignment horizontal="right"/>
      <protection hidden="1"/>
    </xf>
    <xf numFmtId="0" fontId="0" fillId="0" borderId="0" xfId="0" applyNumberFormat="1" applyAlignment="1"/>
    <xf numFmtId="0" fontId="0" fillId="0" borderId="15" xfId="0" applyBorder="1" applyAlignment="1">
      <alignment vertical="center"/>
    </xf>
    <xf numFmtId="0" fontId="0" fillId="0" borderId="2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0" xfId="0" applyFill="1" applyBorder="1" applyAlignment="1">
      <alignment vertical="center"/>
    </xf>
    <xf numFmtId="0" fontId="9" fillId="0" borderId="0" xfId="0" applyFont="1" applyFill="1" applyBorder="1" applyAlignment="1">
      <alignment vertical="center"/>
    </xf>
    <xf numFmtId="9" fontId="0" fillId="0" borderId="1" xfId="0" applyNumberFormat="1" applyFill="1" applyBorder="1" applyAlignment="1">
      <alignment vertical="center"/>
    </xf>
    <xf numFmtId="9" fontId="0" fillId="0" borderId="0" xfId="0" applyNumberFormat="1" applyFill="1" applyBorder="1" applyAlignment="1">
      <alignment vertical="center"/>
    </xf>
    <xf numFmtId="9" fontId="0" fillId="0" borderId="0" xfId="0" applyNumberFormat="1" applyBorder="1" applyAlignment="1">
      <alignment vertical="center"/>
    </xf>
    <xf numFmtId="0" fontId="0" fillId="0" borderId="1" xfId="0" applyFill="1" applyBorder="1" applyAlignment="1">
      <alignment vertical="center"/>
    </xf>
    <xf numFmtId="0" fontId="0" fillId="0" borderId="17" xfId="0" applyBorder="1" applyAlignment="1">
      <alignment vertical="center"/>
    </xf>
    <xf numFmtId="0" fontId="0" fillId="0" borderId="7" xfId="0" applyBorder="1" applyAlignment="1">
      <alignment vertical="center"/>
    </xf>
    <xf numFmtId="0" fontId="5" fillId="5" borderId="0" xfId="0" applyFont="1" applyFill="1" applyBorder="1" applyAlignment="1">
      <alignment horizontal="right"/>
    </xf>
    <xf numFmtId="0" fontId="5" fillId="5" borderId="2" xfId="0" applyFont="1" applyFill="1" applyBorder="1" applyAlignment="1">
      <alignment horizontal="right"/>
    </xf>
    <xf numFmtId="180" fontId="0" fillId="0" borderId="0" xfId="6" applyNumberFormat="1" applyFont="1" applyAlignment="1"/>
    <xf numFmtId="185" fontId="0" fillId="0" borderId="0" xfId="9" applyNumberFormat="1" applyFont="1" applyFill="1" applyAlignment="1"/>
    <xf numFmtId="9" fontId="9" fillId="2" borderId="0" xfId="27" applyFont="1" applyFill="1" applyProtection="1">
      <protection hidden="1"/>
    </xf>
    <xf numFmtId="0" fontId="12" fillId="0" borderId="0" xfId="0" applyFont="1" applyFill="1" applyAlignment="1"/>
    <xf numFmtId="9" fontId="4" fillId="2" borderId="0" xfId="27" applyFill="1" applyAlignment="1" applyProtection="1">
      <protection locked="0"/>
    </xf>
    <xf numFmtId="9" fontId="4" fillId="2" borderId="0" xfId="27" applyFill="1" applyProtection="1">
      <protection locked="0"/>
    </xf>
    <xf numFmtId="9" fontId="4" fillId="2" borderId="11" xfId="27" applyFill="1" applyBorder="1" applyAlignment="1" applyProtection="1">
      <protection locked="0"/>
    </xf>
    <xf numFmtId="198" fontId="9" fillId="0" borderId="0" xfId="0" applyNumberFormat="1" applyFont="1" applyFill="1" applyBorder="1" applyAlignment="1">
      <alignment vertical="center"/>
    </xf>
    <xf numFmtId="187" fontId="9" fillId="0" borderId="1" xfId="0" applyNumberFormat="1" applyFont="1" applyFill="1" applyBorder="1" applyAlignment="1">
      <alignment vertical="center"/>
    </xf>
    <xf numFmtId="187" fontId="9" fillId="0" borderId="0" xfId="0" applyNumberFormat="1" applyFont="1" applyFill="1" applyBorder="1" applyAlignment="1">
      <alignment vertical="center"/>
    </xf>
    <xf numFmtId="187" fontId="0" fillId="0" borderId="0" xfId="0" applyNumberFormat="1" applyFill="1" applyBorder="1" applyAlignment="1">
      <alignment vertical="center"/>
    </xf>
    <xf numFmtId="187" fontId="0" fillId="0" borderId="0" xfId="0" applyNumberFormat="1" applyBorder="1" applyAlignment="1">
      <alignment vertical="center"/>
    </xf>
    <xf numFmtId="1" fontId="0" fillId="0" borderId="0" xfId="0" applyNumberFormat="1" applyBorder="1" applyAlignment="1">
      <alignment vertical="center"/>
    </xf>
    <xf numFmtId="1" fontId="0" fillId="0" borderId="1" xfId="0" applyNumberFormat="1" applyFill="1" applyBorder="1" applyAlignment="1">
      <alignment vertical="center"/>
    </xf>
    <xf numFmtId="1" fontId="0" fillId="0" borderId="0" xfId="0" applyNumberFormat="1" applyFill="1" applyBorder="1" applyAlignment="1">
      <alignment vertical="center"/>
    </xf>
    <xf numFmtId="1" fontId="0" fillId="0" borderId="0" xfId="0" applyNumberFormat="1" applyFont="1" applyFill="1" applyBorder="1" applyAlignment="1">
      <alignment vertical="center"/>
    </xf>
    <xf numFmtId="2" fontId="9" fillId="0" borderId="0" xfId="0" applyNumberFormat="1" applyFont="1" applyFill="1" applyBorder="1" applyAlignment="1">
      <alignment vertical="center"/>
    </xf>
    <xf numFmtId="2" fontId="0" fillId="0" borderId="0" xfId="0" applyNumberFormat="1" applyFill="1" applyBorder="1" applyAlignment="1">
      <alignment vertical="center"/>
    </xf>
    <xf numFmtId="2" fontId="0" fillId="0" borderId="0" xfId="0" applyNumberFormat="1" applyBorder="1" applyAlignment="1">
      <alignment vertical="center"/>
    </xf>
    <xf numFmtId="2" fontId="0" fillId="0" borderId="1" xfId="0" applyNumberFormat="1" applyFill="1" applyBorder="1" applyAlignment="1">
      <alignment vertical="center"/>
    </xf>
    <xf numFmtId="198" fontId="0" fillId="0" borderId="1" xfId="0" applyNumberFormat="1" applyFill="1" applyBorder="1" applyAlignment="1">
      <alignment vertical="center"/>
    </xf>
    <xf numFmtId="198" fontId="9" fillId="0" borderId="1" xfId="0" applyNumberFormat="1" applyFont="1" applyFill="1" applyBorder="1" applyAlignment="1">
      <alignment vertical="center"/>
    </xf>
    <xf numFmtId="0" fontId="9" fillId="0" borderId="0" xfId="0" applyFont="1" applyFill="1" applyAlignment="1">
      <alignment horizontal="left" vertical="center"/>
    </xf>
    <xf numFmtId="1" fontId="0" fillId="0" borderId="0" xfId="6" applyNumberFormat="1" applyFont="1" applyAlignment="1"/>
    <xf numFmtId="2" fontId="7" fillId="0" borderId="0" xfId="0" applyNumberFormat="1" applyFont="1" applyAlignment="1">
      <alignment horizontal="right"/>
    </xf>
    <xf numFmtId="2" fontId="7" fillId="0" borderId="0" xfId="0" applyNumberFormat="1" applyFont="1" applyAlignment="1"/>
    <xf numFmtId="0" fontId="33" fillId="4" borderId="0" xfId="0" quotePrefix="1" applyFont="1" applyFill="1" applyAlignment="1"/>
    <xf numFmtId="0" fontId="7" fillId="0" borderId="0" xfId="0" applyFont="1" applyFill="1" applyAlignment="1">
      <alignment horizontal="left" vertical="center"/>
    </xf>
    <xf numFmtId="181" fontId="0" fillId="0" borderId="0" xfId="6" applyNumberFormat="1" applyFont="1" applyFill="1"/>
    <xf numFmtId="0" fontId="16" fillId="7" borderId="0" xfId="0" applyFont="1" applyFill="1" applyAlignment="1"/>
    <xf numFmtId="184" fontId="0" fillId="0" borderId="0" xfId="0" applyNumberFormat="1" applyFill="1" applyAlignment="1">
      <alignment vertical="center"/>
    </xf>
    <xf numFmtId="43" fontId="4" fillId="0" borderId="0" xfId="6" applyFill="1" applyAlignment="1"/>
    <xf numFmtId="0" fontId="11" fillId="0" borderId="0" xfId="0" quotePrefix="1" applyFont="1" applyAlignment="1">
      <alignment horizontal="left" vertical="center"/>
    </xf>
    <xf numFmtId="184" fontId="0" fillId="0" borderId="0" xfId="0" applyNumberFormat="1" applyAlignment="1"/>
    <xf numFmtId="10" fontId="0" fillId="0" borderId="0" xfId="0" applyNumberFormat="1" applyAlignment="1"/>
    <xf numFmtId="0" fontId="0" fillId="4" borderId="20" xfId="0" applyFill="1" applyBorder="1">
      <alignment horizontal="left" vertical="center"/>
    </xf>
    <xf numFmtId="0" fontId="34" fillId="4" borderId="20" xfId="28" applyFill="1" applyBorder="1">
      <alignment vertical="center"/>
    </xf>
    <xf numFmtId="0" fontId="37" fillId="4" borderId="20" xfId="23" applyFill="1" applyBorder="1">
      <alignment horizontal="right" vertical="center"/>
    </xf>
    <xf numFmtId="0" fontId="0" fillId="4" borderId="20" xfId="0" applyFill="1" applyBorder="1" applyAlignment="1">
      <alignment horizontal="right" vertical="center"/>
    </xf>
    <xf numFmtId="187" fontId="0" fillId="0" borderId="0" xfId="0" applyNumberFormat="1" applyFill="1" applyAlignment="1"/>
    <xf numFmtId="0" fontId="47" fillId="4" borderId="0" xfId="15" applyFill="1">
      <alignment vertical="center" wrapText="1"/>
    </xf>
    <xf numFmtId="196" fontId="4" fillId="0" borderId="0" xfId="6" applyNumberFormat="1" applyAlignment="1"/>
    <xf numFmtId="184" fontId="9" fillId="0" borderId="0" xfId="0" applyNumberFormat="1" applyFont="1" applyFill="1" applyAlignment="1">
      <alignment vertical="center"/>
    </xf>
    <xf numFmtId="187" fontId="9" fillId="0" borderId="2" xfId="0" applyNumberFormat="1" applyFont="1" applyFill="1" applyBorder="1" applyAlignment="1">
      <alignment vertical="center"/>
    </xf>
    <xf numFmtId="187" fontId="9" fillId="0" borderId="18" xfId="0" applyNumberFormat="1" applyFont="1" applyFill="1" applyBorder="1" applyAlignment="1">
      <alignment horizontal="center" vertical="center"/>
    </xf>
    <xf numFmtId="0" fontId="5" fillId="0" borderId="0" xfId="0" applyFont="1" applyAlignment="1">
      <alignment horizontal="left"/>
    </xf>
    <xf numFmtId="49" fontId="5" fillId="6" borderId="1" xfId="0" applyNumberFormat="1" applyFont="1" applyFill="1" applyBorder="1" applyAlignment="1">
      <alignment horizontal="left"/>
    </xf>
    <xf numFmtId="0" fontId="5" fillId="6" borderId="0" xfId="0" applyFont="1" applyFill="1" applyBorder="1" applyAlignment="1">
      <alignment horizontal="left"/>
    </xf>
    <xf numFmtId="3" fontId="5" fillId="0" borderId="0" xfId="6" applyNumberFormat="1" applyFont="1" applyBorder="1" applyAlignment="1" applyProtection="1">
      <alignment horizontal="right"/>
    </xf>
    <xf numFmtId="0" fontId="17" fillId="0" borderId="0" xfId="0" applyFont="1" applyBorder="1" applyAlignment="1">
      <alignment horizontal="left"/>
    </xf>
    <xf numFmtId="0" fontId="5" fillId="0" borderId="0" xfId="0" applyFont="1" applyBorder="1" applyAlignment="1">
      <alignment horizontal="right"/>
    </xf>
    <xf numFmtId="179" fontId="5" fillId="0" borderId="0" xfId="9" applyFont="1" applyBorder="1" applyAlignment="1" applyProtection="1">
      <alignment horizontal="right"/>
      <protection hidden="1"/>
    </xf>
    <xf numFmtId="185" fontId="5" fillId="0" borderId="0" xfId="0" applyNumberFormat="1" applyFont="1" applyFill="1" applyBorder="1" applyAlignment="1">
      <alignment horizontal="right"/>
    </xf>
    <xf numFmtId="181" fontId="5" fillId="0" borderId="0" xfId="6" applyNumberFormat="1" applyFont="1" applyBorder="1" applyAlignment="1" applyProtection="1">
      <alignment horizontal="right"/>
    </xf>
    <xf numFmtId="0" fontId="5" fillId="6" borderId="0" xfId="0" applyFont="1" applyFill="1" applyBorder="1" applyAlignment="1">
      <alignment horizontal="right"/>
    </xf>
    <xf numFmtId="0" fontId="17" fillId="6" borderId="0" xfId="0" applyFont="1" applyFill="1" applyBorder="1" applyAlignment="1">
      <alignment horizontal="left"/>
    </xf>
    <xf numFmtId="0" fontId="5" fillId="6" borderId="2" xfId="0" applyFont="1" applyFill="1" applyBorder="1" applyAlignment="1">
      <alignment horizontal="right"/>
    </xf>
    <xf numFmtId="49" fontId="5" fillId="0" borderId="1" xfId="0" applyNumberFormat="1" applyFont="1" applyFill="1" applyBorder="1" applyAlignment="1">
      <alignment horizontal="left"/>
    </xf>
    <xf numFmtId="0" fontId="5" fillId="0" borderId="0" xfId="0" applyFont="1" applyFill="1" applyBorder="1" applyAlignment="1">
      <alignment horizontal="left"/>
    </xf>
    <xf numFmtId="0" fontId="5" fillId="0" borderId="0" xfId="0" applyFont="1" applyFill="1" applyBorder="1" applyAlignment="1">
      <alignment horizontal="right"/>
    </xf>
    <xf numFmtId="0" fontId="17" fillId="0" borderId="0" xfId="0" applyFont="1" applyFill="1" applyBorder="1" applyAlignment="1">
      <alignment horizontal="left"/>
    </xf>
    <xf numFmtId="181" fontId="5" fillId="0" borderId="0" xfId="6" applyNumberFormat="1" applyFont="1" applyFill="1" applyBorder="1" applyAlignment="1" applyProtection="1">
      <alignment horizontal="right"/>
    </xf>
    <xf numFmtId="185" fontId="5" fillId="0" borderId="0" xfId="9" applyNumberFormat="1" applyFont="1" applyFill="1" applyBorder="1" applyAlignment="1" applyProtection="1">
      <alignment horizontal="right"/>
    </xf>
    <xf numFmtId="185" fontId="5" fillId="0" borderId="0" xfId="0" applyNumberFormat="1" applyFont="1" applyFill="1" applyBorder="1" applyAlignment="1" applyProtection="1">
      <alignment horizontal="right"/>
      <protection hidden="1"/>
    </xf>
    <xf numFmtId="0" fontId="5" fillId="0" borderId="2" xfId="0" applyFont="1" applyBorder="1" applyAlignment="1">
      <alignment horizontal="right"/>
    </xf>
    <xf numFmtId="185" fontId="5" fillId="0" borderId="0" xfId="0" applyNumberFormat="1" applyFont="1" applyBorder="1" applyAlignment="1">
      <alignment horizontal="right"/>
    </xf>
    <xf numFmtId="0" fontId="17" fillId="0" borderId="0" xfId="0" applyFont="1" applyFill="1" applyBorder="1" applyAlignment="1" applyProtection="1">
      <alignment horizontal="left"/>
      <protection hidden="1"/>
    </xf>
    <xf numFmtId="0" fontId="5" fillId="6" borderId="0" xfId="0" applyFont="1" applyFill="1" applyBorder="1" applyAlignment="1" applyProtection="1">
      <alignment horizontal="right"/>
      <protection hidden="1"/>
    </xf>
    <xf numFmtId="0" fontId="17" fillId="6" borderId="0" xfId="0" applyFont="1" applyFill="1" applyBorder="1" applyAlignment="1" applyProtection="1">
      <alignment horizontal="left"/>
      <protection hidden="1"/>
    </xf>
    <xf numFmtId="0" fontId="5" fillId="6" borderId="2" xfId="0" applyFont="1" applyFill="1" applyBorder="1" applyAlignment="1" applyProtection="1">
      <alignment horizontal="right"/>
      <protection hidden="1"/>
    </xf>
    <xf numFmtId="0" fontId="5" fillId="0" borderId="0" xfId="0" applyFont="1" applyBorder="1" applyAlignment="1" applyProtection="1">
      <alignment horizontal="right"/>
      <protection hidden="1"/>
    </xf>
    <xf numFmtId="0" fontId="17" fillId="0" borderId="0" xfId="0" applyFont="1" applyBorder="1" applyAlignment="1" applyProtection="1">
      <alignment horizontal="left"/>
      <protection hidden="1"/>
    </xf>
    <xf numFmtId="181" fontId="5" fillId="0" borderId="0" xfId="6" applyNumberFormat="1" applyFont="1" applyBorder="1" applyAlignment="1" applyProtection="1">
      <alignment horizontal="right"/>
      <protection hidden="1"/>
    </xf>
    <xf numFmtId="0" fontId="5" fillId="0" borderId="0" xfId="0" applyFont="1" applyBorder="1" applyAlignment="1" applyProtection="1">
      <alignment horizontal="left"/>
      <protection hidden="1"/>
    </xf>
    <xf numFmtId="185" fontId="5" fillId="0" borderId="0" xfId="9" applyNumberFormat="1" applyFont="1" applyBorder="1" applyAlignment="1" applyProtection="1">
      <alignment horizontal="right"/>
      <protection hidden="1"/>
    </xf>
    <xf numFmtId="185" fontId="5" fillId="0" borderId="0" xfId="0" applyNumberFormat="1" applyFont="1" applyBorder="1" applyAlignment="1" applyProtection="1">
      <alignment horizontal="right"/>
      <protection hidden="1"/>
    </xf>
    <xf numFmtId="1" fontId="5" fillId="0" borderId="0" xfId="0" applyNumberFormat="1" applyFont="1" applyBorder="1" applyAlignment="1">
      <alignment horizontal="right"/>
    </xf>
    <xf numFmtId="0" fontId="5" fillId="0" borderId="2" xfId="0" applyFont="1" applyBorder="1" applyAlignment="1" applyProtection="1">
      <alignment horizontal="right"/>
      <protection hidden="1"/>
    </xf>
    <xf numFmtId="0" fontId="5" fillId="6" borderId="0" xfId="0" applyNumberFormat="1" applyFont="1" applyFill="1" applyBorder="1" applyAlignment="1" applyProtection="1">
      <alignment horizontal="left"/>
      <protection hidden="1"/>
    </xf>
    <xf numFmtId="0" fontId="5" fillId="0" borderId="0" xfId="0" applyFont="1" applyFill="1" applyBorder="1" applyAlignment="1" applyProtection="1">
      <alignment horizontal="left"/>
      <protection hidden="1"/>
    </xf>
    <xf numFmtId="0" fontId="5" fillId="6" borderId="0" xfId="0" applyFont="1" applyFill="1" applyBorder="1" applyAlignment="1"/>
    <xf numFmtId="49" fontId="5" fillId="0" borderId="1" xfId="0" applyNumberFormat="1" applyFont="1" applyFill="1" applyBorder="1" applyAlignment="1"/>
    <xf numFmtId="0" fontId="5" fillId="0" borderId="0" xfId="0" applyFont="1" applyFill="1" applyBorder="1" applyAlignment="1"/>
    <xf numFmtId="0" fontId="5" fillId="0" borderId="0" xfId="6" applyNumberFormat="1" applyFont="1" applyBorder="1" applyAlignment="1" applyProtection="1">
      <alignment horizontal="right"/>
      <protection hidden="1"/>
    </xf>
    <xf numFmtId="1" fontId="5" fillId="0" borderId="2" xfId="0" applyNumberFormat="1" applyFont="1" applyBorder="1" applyAlignment="1">
      <alignment horizontal="right"/>
    </xf>
    <xf numFmtId="0" fontId="5" fillId="6" borderId="0" xfId="0" applyNumberFormat="1" applyFont="1" applyFill="1" applyBorder="1" applyAlignment="1" applyProtection="1">
      <alignment horizontal="right"/>
      <protection hidden="1"/>
    </xf>
    <xf numFmtId="0" fontId="5" fillId="6" borderId="0" xfId="0" applyFont="1" applyFill="1" applyBorder="1" applyAlignment="1" applyProtection="1">
      <alignment horizontal="left"/>
      <protection hidden="1"/>
    </xf>
    <xf numFmtId="0" fontId="5" fillId="6" borderId="0" xfId="0" applyFont="1" applyFill="1" applyBorder="1" applyAlignment="1" applyProtection="1">
      <protection hidden="1"/>
    </xf>
    <xf numFmtId="0" fontId="5" fillId="0" borderId="0" xfId="0" applyFont="1" applyFill="1" applyBorder="1" applyAlignment="1" applyProtection="1">
      <protection hidden="1"/>
    </xf>
    <xf numFmtId="0" fontId="5" fillId="0" borderId="0" xfId="0" applyNumberFormat="1" applyFont="1" applyBorder="1" applyAlignment="1" applyProtection="1">
      <alignment horizontal="right"/>
      <protection hidden="1"/>
    </xf>
    <xf numFmtId="0" fontId="5" fillId="0" borderId="0" xfId="0" applyFont="1" applyFill="1" applyBorder="1" applyAlignment="1" applyProtection="1">
      <alignment horizontal="right"/>
      <protection hidden="1"/>
    </xf>
    <xf numFmtId="0" fontId="5" fillId="0" borderId="2" xfId="0" applyFont="1" applyFill="1" applyBorder="1" applyAlignment="1" applyProtection="1">
      <alignment horizontal="right"/>
      <protection hidden="1"/>
    </xf>
    <xf numFmtId="181" fontId="5" fillId="6" borderId="0" xfId="6" applyNumberFormat="1" applyFont="1" applyFill="1" applyBorder="1" applyAlignment="1" applyProtection="1">
      <alignment horizontal="right"/>
    </xf>
    <xf numFmtId="179" fontId="5" fillId="6" borderId="0" xfId="9" applyFont="1" applyFill="1" applyBorder="1" applyAlignment="1" applyProtection="1">
      <alignment horizontal="right"/>
    </xf>
    <xf numFmtId="185" fontId="5" fillId="6" borderId="0" xfId="0" applyNumberFormat="1" applyFont="1" applyFill="1" applyBorder="1" applyAlignment="1">
      <alignment horizontal="right"/>
    </xf>
    <xf numFmtId="180" fontId="5" fillId="0" borderId="0" xfId="6" applyNumberFormat="1" applyFont="1" applyFill="1" applyBorder="1" applyAlignment="1" applyProtection="1">
      <alignment horizontal="right"/>
    </xf>
    <xf numFmtId="0" fontId="5" fillId="0" borderId="2" xfId="0" applyFont="1" applyFill="1" applyBorder="1" applyAlignment="1">
      <alignment horizontal="right"/>
    </xf>
    <xf numFmtId="0" fontId="5" fillId="0" borderId="0" xfId="0" applyFont="1" applyFill="1" applyAlignment="1">
      <alignment horizontal="left"/>
    </xf>
    <xf numFmtId="185" fontId="5" fillId="0" borderId="0" xfId="9" applyNumberFormat="1" applyFont="1" applyBorder="1" applyAlignment="1" applyProtection="1">
      <alignment horizontal="right"/>
    </xf>
    <xf numFmtId="43" fontId="5" fillId="0" borderId="0" xfId="6" applyFont="1" applyBorder="1" applyAlignment="1" applyProtection="1">
      <alignment horizontal="right"/>
    </xf>
    <xf numFmtId="0" fontId="5" fillId="0" borderId="0" xfId="0" applyFont="1" applyAlignment="1" applyProtection="1">
      <alignment horizontal="right"/>
      <protection hidden="1"/>
    </xf>
    <xf numFmtId="187" fontId="5" fillId="0" borderId="0" xfId="0" applyNumberFormat="1" applyFont="1" applyFill="1" applyBorder="1" applyAlignment="1">
      <alignment horizontal="right"/>
    </xf>
    <xf numFmtId="0" fontId="5" fillId="0" borderId="46" xfId="0" applyFont="1" applyFill="1" applyBorder="1" applyAlignment="1" applyProtection="1">
      <alignment horizontal="left"/>
      <protection hidden="1"/>
    </xf>
    <xf numFmtId="9" fontId="4" fillId="3" borderId="0" xfId="24" applyNumberFormat="1">
      <protection locked="0"/>
    </xf>
    <xf numFmtId="0" fontId="4" fillId="3" borderId="0" xfId="24" applyNumberFormat="1">
      <protection locked="0"/>
    </xf>
    <xf numFmtId="181" fontId="4" fillId="3" borderId="0" xfId="24" applyNumberFormat="1">
      <protection locked="0"/>
    </xf>
    <xf numFmtId="10" fontId="0" fillId="0" borderId="0" xfId="27" applyNumberFormat="1" applyFont="1" applyAlignment="1">
      <alignment horizontal="left" vertical="center"/>
    </xf>
    <xf numFmtId="0" fontId="6" fillId="4" borderId="0" xfId="0" applyFont="1" applyFill="1" applyAlignment="1">
      <alignment horizontal="left"/>
    </xf>
    <xf numFmtId="191" fontId="20" fillId="0" borderId="2" xfId="12" applyNumberFormat="1" applyFont="1" applyBorder="1" applyAlignment="1">
      <alignment horizontal="left" vertical="center" wrapText="1"/>
    </xf>
    <xf numFmtId="186" fontId="0" fillId="4" borderId="0" xfId="0" applyNumberFormat="1" applyFill="1">
      <alignment horizontal="left" vertical="center"/>
    </xf>
    <xf numFmtId="189" fontId="20" fillId="0" borderId="0" xfId="6" applyNumberFormat="1" applyFont="1" applyFill="1" applyBorder="1" applyAlignment="1">
      <alignment horizontal="right" vertical="center" wrapText="1"/>
    </xf>
    <xf numFmtId="0" fontId="0" fillId="0" borderId="0" xfId="0" applyFill="1" applyAlignment="1">
      <alignment horizontal="right"/>
    </xf>
    <xf numFmtId="3" fontId="0" fillId="0" borderId="0" xfId="6" applyNumberFormat="1" applyFont="1" applyAlignment="1" applyProtection="1">
      <protection hidden="1"/>
    </xf>
    <xf numFmtId="187" fontId="0" fillId="0" borderId="0" xfId="6" applyNumberFormat="1" applyFont="1" applyAlignment="1" applyProtection="1">
      <protection hidden="1"/>
    </xf>
    <xf numFmtId="0" fontId="0" fillId="0" borderId="0" xfId="6" applyNumberFormat="1" applyFont="1" applyAlignment="1" applyProtection="1">
      <protection hidden="1"/>
    </xf>
    <xf numFmtId="0" fontId="9" fillId="0" borderId="0" xfId="6" applyNumberFormat="1" applyFont="1" applyFill="1" applyAlignment="1" applyProtection="1"/>
    <xf numFmtId="0" fontId="9" fillId="0" borderId="0" xfId="0" applyFont="1" applyAlignment="1" applyProtection="1">
      <alignment horizontal="right"/>
      <protection hidden="1"/>
    </xf>
    <xf numFmtId="3" fontId="9" fillId="0" borderId="0" xfId="0" applyNumberFormat="1" applyFont="1" applyAlignment="1" applyProtection="1">
      <alignment horizontal="right"/>
      <protection hidden="1"/>
    </xf>
    <xf numFmtId="178" fontId="0" fillId="0" borderId="0" xfId="6" applyNumberFormat="1" applyFont="1" applyAlignment="1">
      <alignment horizontal="right"/>
    </xf>
    <xf numFmtId="0" fontId="32" fillId="4" borderId="20" xfId="0" applyFont="1" applyFill="1" applyBorder="1" applyAlignment="1"/>
    <xf numFmtId="0" fontId="5" fillId="6" borderId="46" xfId="0" applyNumberFormat="1" applyFont="1" applyFill="1" applyBorder="1" applyAlignment="1" applyProtection="1">
      <alignment horizontal="left"/>
      <protection hidden="1"/>
    </xf>
    <xf numFmtId="0" fontId="5" fillId="0" borderId="46" xfId="0" applyFont="1" applyBorder="1" applyAlignment="1" applyProtection="1">
      <alignment horizontal="right"/>
      <protection hidden="1"/>
    </xf>
    <xf numFmtId="181" fontId="5" fillId="0" borderId="46" xfId="6" applyNumberFormat="1" applyFont="1" applyBorder="1" applyAlignment="1" applyProtection="1">
      <alignment horizontal="right"/>
      <protection hidden="1"/>
    </xf>
    <xf numFmtId="0" fontId="5" fillId="0" borderId="46" xfId="0" applyFont="1" applyBorder="1" applyAlignment="1" applyProtection="1">
      <alignment horizontal="left"/>
      <protection hidden="1"/>
    </xf>
    <xf numFmtId="0" fontId="5" fillId="0" borderId="47" xfId="0" applyFont="1" applyBorder="1" applyAlignment="1" applyProtection="1">
      <alignment horizontal="right"/>
      <protection hidden="1"/>
    </xf>
    <xf numFmtId="178" fontId="5" fillId="0" borderId="46" xfId="9" applyNumberFormat="1" applyFont="1" applyBorder="1" applyAlignment="1" applyProtection="1">
      <alignment horizontal="right"/>
      <protection hidden="1"/>
    </xf>
    <xf numFmtId="178" fontId="5" fillId="0" borderId="46" xfId="0" applyNumberFormat="1" applyFont="1" applyFill="1" applyBorder="1" applyAlignment="1" applyProtection="1">
      <alignment horizontal="right"/>
      <protection hidden="1"/>
    </xf>
    <xf numFmtId="0" fontId="6" fillId="0" borderId="0" xfId="0" applyFont="1" applyFill="1" applyAlignment="1"/>
    <xf numFmtId="0" fontId="0" fillId="0" borderId="0" xfId="0" applyFill="1">
      <alignment horizontal="left" vertical="center"/>
    </xf>
    <xf numFmtId="43" fontId="9" fillId="0" borderId="0" xfId="6" applyFont="1" applyFill="1" applyAlignment="1" applyProtection="1">
      <alignment horizontal="right"/>
      <protection hidden="1"/>
    </xf>
    <xf numFmtId="0" fontId="0" fillId="0" borderId="0" xfId="0" applyFill="1" applyAlignment="1">
      <alignment horizontal="left"/>
    </xf>
    <xf numFmtId="43" fontId="0" fillId="0" borderId="0" xfId="6" applyFont="1" applyFill="1" applyAlignment="1">
      <alignment horizontal="right"/>
    </xf>
    <xf numFmtId="179" fontId="9" fillId="0" borderId="0" xfId="9" applyFont="1" applyAlignment="1" applyProtection="1">
      <protection hidden="1"/>
    </xf>
    <xf numFmtId="179" fontId="9" fillId="0" borderId="0" xfId="0" applyNumberFormat="1" applyFont="1" applyAlignment="1" applyProtection="1">
      <protection hidden="1"/>
    </xf>
    <xf numFmtId="179" fontId="0" fillId="0" borderId="0" xfId="0" applyNumberFormat="1" applyAlignment="1"/>
    <xf numFmtId="0" fontId="0" fillId="0" borderId="16" xfId="0" applyBorder="1" applyAlignment="1">
      <alignment vertical="center"/>
    </xf>
    <xf numFmtId="0" fontId="0" fillId="0" borderId="2" xfId="0" applyFill="1" applyBorder="1" applyAlignment="1">
      <alignment vertical="center"/>
    </xf>
    <xf numFmtId="2" fontId="0" fillId="0" borderId="2" xfId="0" applyNumberFormat="1" applyFill="1" applyBorder="1" applyAlignment="1">
      <alignment vertical="center"/>
    </xf>
    <xf numFmtId="198" fontId="0" fillId="0" borderId="2" xfId="0" applyNumberFormat="1" applyFill="1" applyBorder="1" applyAlignment="1">
      <alignment vertical="center"/>
    </xf>
    <xf numFmtId="187" fontId="0" fillId="0" borderId="2" xfId="0" applyNumberFormat="1" applyFill="1" applyBorder="1" applyAlignment="1">
      <alignment vertical="center"/>
    </xf>
    <xf numFmtId="9" fontId="0" fillId="0" borderId="2" xfId="0" applyNumberFormat="1" applyFill="1" applyBorder="1" applyAlignment="1">
      <alignment vertical="center"/>
    </xf>
    <xf numFmtId="1" fontId="0" fillId="0" borderId="2" xfId="0" applyNumberFormat="1" applyFill="1" applyBorder="1" applyAlignment="1">
      <alignment vertical="center"/>
    </xf>
    <xf numFmtId="0" fontId="0" fillId="0" borderId="8" xfId="0" applyBorder="1" applyAlignment="1">
      <alignment vertical="center"/>
    </xf>
    <xf numFmtId="4" fontId="0" fillId="0" borderId="0" xfId="0" applyNumberFormat="1" applyAlignment="1"/>
    <xf numFmtId="1" fontId="5" fillId="0" borderId="0" xfId="6" applyNumberFormat="1" applyFont="1" applyFill="1" applyBorder="1" applyAlignment="1" applyProtection="1">
      <alignment horizontal="right"/>
    </xf>
    <xf numFmtId="4" fontId="9" fillId="0" borderId="0" xfId="0" quotePrefix="1" applyNumberFormat="1" applyFont="1" applyAlignment="1" applyProtection="1">
      <protection hidden="1"/>
    </xf>
    <xf numFmtId="0" fontId="0" fillId="2" borderId="0" xfId="0" applyFill="1" applyBorder="1" applyAlignment="1"/>
    <xf numFmtId="0" fontId="0" fillId="2" borderId="27" xfId="0" applyFill="1" applyBorder="1" applyAlignment="1"/>
    <xf numFmtId="0" fontId="9" fillId="6" borderId="0" xfId="0" applyFont="1" applyFill="1" applyAlignment="1" applyProtection="1">
      <protection locked="0"/>
    </xf>
    <xf numFmtId="0" fontId="0" fillId="6" borderId="0" xfId="0" applyFill="1" applyBorder="1" applyAlignment="1" applyProtection="1">
      <protection hidden="1"/>
    </xf>
    <xf numFmtId="0" fontId="13" fillId="6" borderId="0" xfId="0" applyFont="1" applyFill="1" applyBorder="1" applyAlignment="1" applyProtection="1">
      <protection hidden="1"/>
    </xf>
    <xf numFmtId="0" fontId="0" fillId="6" borderId="0" xfId="0" applyFill="1" applyBorder="1" applyAlignment="1" applyProtection="1">
      <alignment horizontal="right"/>
      <protection hidden="1"/>
    </xf>
    <xf numFmtId="0" fontId="0" fillId="6" borderId="0" xfId="0" applyFill="1" applyBorder="1" applyAlignment="1">
      <alignment horizontal="right"/>
    </xf>
    <xf numFmtId="0" fontId="0" fillId="6" borderId="2" xfId="0" applyFill="1" applyBorder="1" applyAlignment="1">
      <alignment horizontal="right"/>
    </xf>
    <xf numFmtId="0" fontId="5" fillId="0" borderId="0" xfId="0" applyFont="1" applyBorder="1" applyAlignment="1" applyProtection="1">
      <protection hidden="1"/>
    </xf>
    <xf numFmtId="0" fontId="17" fillId="0" borderId="0" xfId="0" applyFont="1" applyBorder="1" applyAlignment="1" applyProtection="1">
      <protection hidden="1"/>
    </xf>
    <xf numFmtId="0" fontId="5" fillId="0" borderId="0" xfId="0" applyFont="1" applyBorder="1" applyAlignment="1"/>
    <xf numFmtId="49" fontId="5" fillId="6" borderId="1" xfId="0" applyNumberFormat="1" applyFont="1" applyFill="1" applyBorder="1" applyAlignment="1"/>
    <xf numFmtId="185" fontId="9" fillId="0" borderId="0" xfId="9" applyNumberFormat="1" applyFont="1" applyProtection="1">
      <protection hidden="1"/>
    </xf>
    <xf numFmtId="0" fontId="0" fillId="0" borderId="0" xfId="0" quotePrefix="1" applyAlignment="1"/>
    <xf numFmtId="185" fontId="9" fillId="0" borderId="0" xfId="0" applyNumberFormat="1" applyFont="1" applyAlignment="1"/>
    <xf numFmtId="181" fontId="5" fillId="0" borderId="0" xfId="6" applyNumberFormat="1" applyFont="1" applyBorder="1" applyProtection="1">
      <protection hidden="1"/>
    </xf>
    <xf numFmtId="0" fontId="9" fillId="6" borderId="1" xfId="0" applyFont="1" applyFill="1" applyBorder="1" applyAlignment="1"/>
    <xf numFmtId="0" fontId="4" fillId="2" borderId="0" xfId="1" applyAlignment="1">
      <alignment horizontal="right"/>
      <protection locked="0"/>
    </xf>
    <xf numFmtId="0" fontId="4" fillId="2" borderId="0" xfId="1" applyBorder="1" applyAlignment="1">
      <alignment horizontal="right"/>
      <protection locked="0"/>
    </xf>
    <xf numFmtId="10" fontId="4" fillId="2" borderId="0" xfId="1" applyNumberFormat="1" applyBorder="1" applyAlignment="1">
      <alignment horizontal="right"/>
      <protection locked="0"/>
    </xf>
    <xf numFmtId="185" fontId="0" fillId="0" borderId="0" xfId="0" applyNumberFormat="1" applyFill="1" applyAlignment="1"/>
    <xf numFmtId="191" fontId="0" fillId="0" borderId="0" xfId="27" applyNumberFormat="1" applyFont="1"/>
    <xf numFmtId="185" fontId="0" fillId="0" borderId="0" xfId="0" applyNumberFormat="1" applyAlignment="1"/>
    <xf numFmtId="185" fontId="9" fillId="0" borderId="0" xfId="27" applyNumberFormat="1" applyFont="1" applyBorder="1" applyProtection="1">
      <protection locked="0"/>
    </xf>
    <xf numFmtId="0" fontId="7" fillId="0" borderId="0" xfId="0" applyFont="1" applyAlignment="1">
      <alignment horizontal="left"/>
    </xf>
    <xf numFmtId="180" fontId="0" fillId="0" borderId="0" xfId="0" applyNumberFormat="1" applyAlignment="1" applyProtection="1">
      <protection hidden="1"/>
    </xf>
    <xf numFmtId="43" fontId="9" fillId="0" borderId="0" xfId="6" applyFont="1" applyProtection="1">
      <protection hidden="1"/>
    </xf>
    <xf numFmtId="0" fontId="7" fillId="0" borderId="0" xfId="0" applyFont="1" applyAlignment="1" applyProtection="1">
      <protection hidden="1"/>
    </xf>
    <xf numFmtId="3" fontId="11" fillId="0" borderId="0" xfId="0" applyNumberFormat="1" applyFont="1" applyFill="1" applyAlignment="1" applyProtection="1">
      <protection hidden="1"/>
    </xf>
    <xf numFmtId="43" fontId="9" fillId="0" borderId="0" xfId="0" applyNumberFormat="1" applyFont="1" applyAlignment="1" applyProtection="1">
      <alignment vertical="center"/>
      <protection hidden="1"/>
    </xf>
    <xf numFmtId="1" fontId="5" fillId="0" borderId="0" xfId="0" applyNumberFormat="1" applyFont="1" applyFill="1" applyBorder="1" applyAlignment="1" applyProtection="1">
      <protection hidden="1"/>
    </xf>
    <xf numFmtId="0" fontId="5" fillId="0" borderId="2" xfId="0" applyFont="1" applyBorder="1" applyAlignment="1" applyProtection="1">
      <protection hidden="1"/>
    </xf>
    <xf numFmtId="0" fontId="5" fillId="0" borderId="0" xfId="0" applyNumberFormat="1" applyFont="1" applyFill="1" applyBorder="1" applyAlignment="1" applyProtection="1">
      <alignment horizontal="left"/>
      <protection hidden="1"/>
    </xf>
    <xf numFmtId="0" fontId="28" fillId="4" borderId="0" xfId="0" applyFont="1" applyFill="1" applyAlignment="1"/>
    <xf numFmtId="0" fontId="12" fillId="4" borderId="0" xfId="0" applyFont="1" applyFill="1" applyAlignment="1"/>
    <xf numFmtId="0" fontId="5" fillId="0" borderId="0" xfId="0" quotePrefix="1" applyFont="1" applyBorder="1" applyAlignment="1" applyProtection="1">
      <protection hidden="1"/>
    </xf>
    <xf numFmtId="185" fontId="5" fillId="0" borderId="0" xfId="0" applyNumberFormat="1" applyFont="1" applyBorder="1" applyAlignment="1" applyProtection="1">
      <protection hidden="1"/>
    </xf>
    <xf numFmtId="0" fontId="5" fillId="0" borderId="11" xfId="0" applyFont="1" applyBorder="1" applyAlignment="1" applyProtection="1">
      <protection locked="0" hidden="1"/>
    </xf>
    <xf numFmtId="181" fontId="5" fillId="6" borderId="0" xfId="6" applyNumberFormat="1" applyFont="1" applyFill="1" applyBorder="1" applyProtection="1">
      <protection hidden="1"/>
    </xf>
    <xf numFmtId="0" fontId="17" fillId="6" borderId="0" xfId="0" applyFont="1" applyFill="1" applyBorder="1" applyAlignment="1" applyProtection="1">
      <protection hidden="1"/>
    </xf>
    <xf numFmtId="0" fontId="5" fillId="6" borderId="0" xfId="0" quotePrefix="1" applyFont="1" applyFill="1" applyBorder="1" applyAlignment="1" applyProtection="1">
      <protection hidden="1"/>
    </xf>
    <xf numFmtId="0" fontId="9" fillId="4" borderId="16" xfId="0" applyFont="1" applyFill="1" applyBorder="1" applyAlignment="1"/>
    <xf numFmtId="0" fontId="9" fillId="4" borderId="1" xfId="0" applyFont="1" applyFill="1" applyBorder="1" applyAlignment="1"/>
    <xf numFmtId="9" fontId="9" fillId="2" borderId="6" xfId="27" applyFont="1" applyFill="1" applyBorder="1"/>
    <xf numFmtId="0" fontId="9" fillId="4" borderId="2" xfId="0" applyFont="1" applyFill="1" applyBorder="1" applyAlignment="1"/>
    <xf numFmtId="9" fontId="9" fillId="2" borderId="6" xfId="27" applyFont="1" applyFill="1" applyBorder="1" applyAlignment="1">
      <alignment horizontal="right"/>
    </xf>
    <xf numFmtId="0" fontId="9" fillId="2" borderId="6" xfId="27" applyNumberFormat="1" applyFont="1" applyFill="1" applyBorder="1" applyAlignment="1">
      <alignment horizontal="right"/>
    </xf>
    <xf numFmtId="0" fontId="4" fillId="4" borderId="1" xfId="0" applyFont="1" applyFill="1" applyBorder="1" applyAlignment="1"/>
    <xf numFmtId="0" fontId="28" fillId="4" borderId="0" xfId="0" applyFont="1" applyFill="1" applyBorder="1" applyAlignment="1"/>
    <xf numFmtId="0" fontId="4" fillId="4" borderId="0" xfId="0" applyFont="1" applyFill="1" applyBorder="1" applyAlignment="1"/>
    <xf numFmtId="0" fontId="4" fillId="4" borderId="2" xfId="0" applyFont="1" applyFill="1" applyBorder="1" applyAlignment="1"/>
    <xf numFmtId="0" fontId="4" fillId="4" borderId="6" xfId="0" applyFont="1" applyFill="1" applyBorder="1" applyAlignment="1"/>
    <xf numFmtId="180" fontId="4" fillId="4" borderId="6" xfId="6" applyNumberFormat="1" applyFont="1" applyFill="1" applyBorder="1"/>
    <xf numFmtId="0" fontId="4" fillId="4" borderId="39" xfId="0" applyFont="1" applyFill="1" applyBorder="1" applyAlignment="1"/>
    <xf numFmtId="180" fontId="4" fillId="0" borderId="39" xfId="6" applyNumberFormat="1" applyFont="1" applyFill="1" applyBorder="1" applyAlignment="1">
      <alignment horizontal="right"/>
    </xf>
    <xf numFmtId="0" fontId="30" fillId="4" borderId="39" xfId="0" applyFont="1" applyFill="1" applyBorder="1" applyAlignment="1"/>
    <xf numFmtId="0" fontId="9" fillId="4" borderId="6" xfId="0" applyFont="1" applyFill="1" applyBorder="1" applyAlignment="1">
      <alignment horizontal="right"/>
    </xf>
    <xf numFmtId="177" fontId="9" fillId="4" borderId="6" xfId="0" applyNumberFormat="1" applyFont="1" applyFill="1" applyBorder="1" applyAlignment="1"/>
    <xf numFmtId="0" fontId="9" fillId="4" borderId="48" xfId="0" applyFont="1" applyFill="1" applyBorder="1" applyAlignment="1">
      <alignment horizontal="right"/>
    </xf>
    <xf numFmtId="176" fontId="9" fillId="4" borderId="48" xfId="0" applyNumberFormat="1" applyFont="1" applyFill="1" applyBorder="1" applyAlignment="1"/>
    <xf numFmtId="0" fontId="4" fillId="0" borderId="0" xfId="0" applyFont="1" applyFill="1" applyAlignment="1"/>
    <xf numFmtId="180" fontId="5" fillId="0" borderId="0" xfId="6" applyNumberFormat="1" applyFont="1" applyBorder="1" applyProtection="1">
      <protection hidden="1"/>
    </xf>
    <xf numFmtId="0" fontId="5" fillId="5" borderId="1" xfId="0" applyFont="1" applyFill="1" applyBorder="1" applyAlignment="1"/>
    <xf numFmtId="0" fontId="5" fillId="5" borderId="0" xfId="0" applyFont="1" applyFill="1" applyBorder="1" applyAlignment="1"/>
    <xf numFmtId="9" fontId="5" fillId="5" borderId="0" xfId="27" applyFont="1" applyFill="1" applyBorder="1"/>
    <xf numFmtId="0" fontId="17" fillId="5" borderId="0" xfId="0" applyFont="1" applyFill="1" applyBorder="1" applyAlignment="1"/>
    <xf numFmtId="179" fontId="0" fillId="4" borderId="0" xfId="0" applyNumberFormat="1" applyFill="1" applyBorder="1" applyAlignment="1"/>
    <xf numFmtId="0" fontId="34" fillId="0" borderId="0" xfId="0" applyFont="1" applyAlignment="1"/>
    <xf numFmtId="0" fontId="7" fillId="0" borderId="26" xfId="0" applyFont="1" applyBorder="1" applyAlignment="1">
      <alignment vertical="top" wrapText="1"/>
    </xf>
    <xf numFmtId="0" fontId="0" fillId="0" borderId="26" xfId="0" applyBorder="1" applyAlignment="1">
      <alignment vertical="top" wrapText="1"/>
    </xf>
    <xf numFmtId="0" fontId="7" fillId="0" borderId="0" xfId="0" applyFont="1" applyBorder="1" applyAlignment="1">
      <alignment wrapText="1"/>
    </xf>
    <xf numFmtId="0" fontId="4" fillId="2" borderId="0" xfId="0" applyFont="1" applyFill="1" applyBorder="1" applyAlignment="1"/>
    <xf numFmtId="0" fontId="4" fillId="2" borderId="27" xfId="0" applyFont="1" applyFill="1" applyBorder="1" applyAlignment="1"/>
    <xf numFmtId="0" fontId="0" fillId="0" borderId="0" xfId="0" applyBorder="1" applyAlignment="1">
      <alignment wrapText="1"/>
    </xf>
    <xf numFmtId="0" fontId="0" fillId="0" borderId="0" xfId="0" applyBorder="1" applyAlignment="1"/>
    <xf numFmtId="0" fontId="0" fillId="0" borderId="28" xfId="0" applyBorder="1" applyAlignment="1">
      <alignment vertical="top" wrapText="1"/>
    </xf>
    <xf numFmtId="0" fontId="0" fillId="0" borderId="23" xfId="0" applyFill="1" applyBorder="1" applyAlignment="1">
      <alignment wrapText="1"/>
    </xf>
    <xf numFmtId="0" fontId="0" fillId="2" borderId="23" xfId="0" applyFill="1" applyBorder="1" applyAlignment="1"/>
    <xf numFmtId="0" fontId="0" fillId="0" borderId="0" xfId="0" applyAlignment="1">
      <alignment vertical="top" wrapText="1"/>
    </xf>
    <xf numFmtId="0" fontId="0" fillId="0" borderId="0" xfId="0" applyFill="1" applyAlignment="1">
      <alignment wrapText="1"/>
    </xf>
    <xf numFmtId="0" fontId="11" fillId="0" borderId="0" xfId="0" applyFont="1" applyBorder="1" applyAlignment="1">
      <alignment wrapText="1"/>
    </xf>
    <xf numFmtId="0" fontId="9" fillId="2" borderId="0" xfId="0" applyFont="1" applyFill="1" applyBorder="1" applyAlignment="1">
      <alignment horizontal="right"/>
    </xf>
    <xf numFmtId="0" fontId="9" fillId="0" borderId="0" xfId="0" applyFont="1" applyAlignment="1">
      <alignment wrapText="1"/>
    </xf>
    <xf numFmtId="181" fontId="0" fillId="2" borderId="0" xfId="6" applyNumberFormat="1" applyFont="1" applyFill="1"/>
    <xf numFmtId="49" fontId="5" fillId="0" borderId="1" xfId="0" applyNumberFormat="1" applyFont="1" applyFill="1" applyBorder="1" applyAlignment="1" applyProtection="1">
      <alignment horizontal="left"/>
      <protection hidden="1"/>
    </xf>
    <xf numFmtId="49" fontId="5" fillId="5" borderId="1" xfId="0" quotePrefix="1" applyNumberFormat="1" applyFont="1" applyFill="1" applyBorder="1" applyAlignment="1" applyProtection="1">
      <alignment horizontal="left"/>
      <protection hidden="1"/>
    </xf>
    <xf numFmtId="49" fontId="5" fillId="0" borderId="1" xfId="0" applyNumberFormat="1" applyFont="1" applyBorder="1" applyAlignment="1">
      <alignment horizontal="left"/>
    </xf>
    <xf numFmtId="49" fontId="5" fillId="6" borderId="1" xfId="0" applyNumberFormat="1" applyFont="1" applyFill="1" applyBorder="1" applyAlignment="1" applyProtection="1">
      <alignment horizontal="left"/>
      <protection hidden="1"/>
    </xf>
    <xf numFmtId="49" fontId="5" fillId="0" borderId="1" xfId="0" applyNumberFormat="1" applyFont="1" applyBorder="1" applyAlignment="1" applyProtection="1">
      <alignment horizontal="left"/>
      <protection hidden="1"/>
    </xf>
    <xf numFmtId="49" fontId="5" fillId="0" borderId="1" xfId="0" applyNumberFormat="1" applyFont="1" applyBorder="1" applyAlignment="1"/>
    <xf numFmtId="49" fontId="5" fillId="0" borderId="1" xfId="0" applyNumberFormat="1" applyFont="1" applyBorder="1" applyAlignment="1" applyProtection="1">
      <protection hidden="1"/>
    </xf>
    <xf numFmtId="49" fontId="5" fillId="5" borderId="1" xfId="0" applyNumberFormat="1" applyFont="1" applyFill="1" applyBorder="1" applyAlignment="1" applyProtection="1">
      <alignment horizontal="left"/>
      <protection hidden="1"/>
    </xf>
    <xf numFmtId="49" fontId="5" fillId="6" borderId="1" xfId="0" applyNumberFormat="1" applyFont="1" applyFill="1" applyBorder="1" applyAlignment="1" applyProtection="1">
      <protection hidden="1"/>
    </xf>
    <xf numFmtId="49" fontId="5" fillId="6" borderId="49" xfId="0" applyNumberFormat="1" applyFont="1" applyFill="1" applyBorder="1" applyAlignment="1" applyProtection="1">
      <alignment horizontal="left"/>
      <protection hidden="1"/>
    </xf>
    <xf numFmtId="0" fontId="5" fillId="0" borderId="0" xfId="6" applyNumberFormat="1" applyFont="1" applyBorder="1" applyAlignment="1" applyProtection="1">
      <alignment horizontal="right"/>
    </xf>
    <xf numFmtId="9" fontId="0" fillId="2" borderId="0" xfId="27" applyFont="1" applyFill="1" applyBorder="1" applyProtection="1">
      <protection locked="0"/>
    </xf>
    <xf numFmtId="0" fontId="7" fillId="0" borderId="0" xfId="28" applyFont="1" applyAlignment="1"/>
    <xf numFmtId="180" fontId="4" fillId="2" borderId="0" xfId="1" applyNumberFormat="1" applyAlignment="1">
      <protection locked="0"/>
    </xf>
    <xf numFmtId="192" fontId="5" fillId="0" borderId="0" xfId="6" applyNumberFormat="1" applyFont="1" applyBorder="1" applyAlignment="1" applyProtection="1">
      <alignment horizontal="right"/>
    </xf>
    <xf numFmtId="3" fontId="5" fillId="0" borderId="0" xfId="6" applyNumberFormat="1" applyFont="1" applyFill="1" applyBorder="1" applyAlignment="1" applyProtection="1">
      <alignment horizontal="right"/>
    </xf>
    <xf numFmtId="0" fontId="9" fillId="0" borderId="0" xfId="0" applyFont="1" applyFill="1" applyBorder="1" applyAlignment="1">
      <alignment horizontal="left"/>
    </xf>
    <xf numFmtId="0" fontId="0" fillId="0" borderId="0" xfId="0" applyAlignment="1">
      <alignment vertical="center" wrapText="1"/>
    </xf>
    <xf numFmtId="187" fontId="9" fillId="0" borderId="0" xfId="0" applyNumberFormat="1" applyFont="1" applyFill="1" applyAlignment="1">
      <alignment vertical="center" wrapText="1"/>
    </xf>
    <xf numFmtId="0" fontId="9" fillId="0" borderId="0" xfId="0" applyFont="1" applyAlignment="1">
      <alignment vertical="center" wrapText="1"/>
    </xf>
    <xf numFmtId="2" fontId="0" fillId="0" borderId="0" xfId="0" applyNumberFormat="1" applyAlignment="1">
      <alignment vertical="center" wrapText="1"/>
    </xf>
    <xf numFmtId="10" fontId="0" fillId="0" borderId="0" xfId="27" applyNumberFormat="1" applyFont="1" applyAlignment="1">
      <alignment wrapText="1"/>
    </xf>
    <xf numFmtId="3" fontId="0" fillId="0" borderId="0" xfId="0" applyNumberFormat="1" applyAlignment="1">
      <alignment horizontal="right" wrapText="1"/>
    </xf>
    <xf numFmtId="2" fontId="0" fillId="0" borderId="0" xfId="0" applyNumberFormat="1" applyAlignment="1">
      <alignment horizontal="right" wrapText="1"/>
    </xf>
    <xf numFmtId="10" fontId="0" fillId="0" borderId="0" xfId="27" applyNumberFormat="1" applyFont="1" applyAlignment="1">
      <alignment horizontal="right" wrapText="1"/>
    </xf>
    <xf numFmtId="3" fontId="0" fillId="0" borderId="0" xfId="0" applyNumberFormat="1" applyAlignment="1">
      <alignment wrapText="1"/>
    </xf>
    <xf numFmtId="2" fontId="0" fillId="0" borderId="0" xfId="0" applyNumberFormat="1" applyAlignment="1">
      <alignment wrapText="1"/>
    </xf>
    <xf numFmtId="187" fontId="0" fillId="0" borderId="0" xfId="0" applyNumberFormat="1" applyAlignment="1">
      <alignment horizontal="right" wrapText="1"/>
    </xf>
    <xf numFmtId="191" fontId="0" fillId="0" borderId="0" xfId="27" applyNumberFormat="1" applyFont="1" applyAlignment="1">
      <alignment horizontal="right" wrapText="1"/>
    </xf>
    <xf numFmtId="187" fontId="0" fillId="0" borderId="0" xfId="0" applyNumberFormat="1" applyAlignment="1">
      <alignment wrapText="1"/>
    </xf>
    <xf numFmtId="0" fontId="0" fillId="0" borderId="0" xfId="0" applyAlignment="1">
      <alignment horizontal="right" wrapText="1"/>
    </xf>
    <xf numFmtId="0" fontId="5" fillId="0" borderId="0" xfId="6" applyNumberFormat="1" applyFont="1" applyFill="1" applyBorder="1" applyAlignment="1" applyProtection="1">
      <alignment horizontal="right"/>
    </xf>
    <xf numFmtId="0" fontId="0" fillId="0" borderId="0" xfId="0" applyFill="1" applyBorder="1" applyAlignment="1"/>
    <xf numFmtId="9" fontId="4" fillId="3" borderId="0" xfId="27" applyFill="1" applyProtection="1">
      <protection locked="0"/>
    </xf>
    <xf numFmtId="1" fontId="5" fillId="0" borderId="0" xfId="0" applyNumberFormat="1" applyFont="1" applyBorder="1" applyAlignment="1" applyProtection="1">
      <alignment horizontal="right"/>
      <protection hidden="1"/>
    </xf>
    <xf numFmtId="0" fontId="7" fillId="0" borderId="0" xfId="25" applyFont="1"/>
    <xf numFmtId="0" fontId="9" fillId="0" borderId="0" xfId="25"/>
    <xf numFmtId="0" fontId="11" fillId="0" borderId="0" xfId="25" applyFont="1"/>
    <xf numFmtId="3" fontId="9" fillId="0" borderId="0" xfId="25" applyNumberFormat="1"/>
    <xf numFmtId="187" fontId="9" fillId="0" borderId="0" xfId="25" applyNumberFormat="1"/>
    <xf numFmtId="181" fontId="9" fillId="0" borderId="0" xfId="7" applyNumberFormat="1" applyFont="1" applyFill="1" applyProtection="1">
      <protection hidden="1"/>
    </xf>
    <xf numFmtId="0" fontId="8" fillId="0" borderId="0" xfId="25" applyFont="1"/>
    <xf numFmtId="0" fontId="6" fillId="0" borderId="0" xfId="25" applyFont="1"/>
    <xf numFmtId="181" fontId="9" fillId="0" borderId="0" xfId="7" applyNumberFormat="1" applyFont="1" applyFill="1"/>
    <xf numFmtId="181" fontId="9" fillId="0" borderId="0" xfId="7" applyNumberFormat="1" applyFont="1" applyProtection="1">
      <protection hidden="1"/>
    </xf>
    <xf numFmtId="3" fontId="9" fillId="0" borderId="0" xfId="7" applyNumberFormat="1" applyFont="1" applyFill="1"/>
    <xf numFmtId="192" fontId="9" fillId="0" borderId="0" xfId="7" applyNumberFormat="1" applyFont="1" applyFill="1"/>
    <xf numFmtId="1" fontId="9" fillId="0" borderId="0" xfId="7" applyNumberFormat="1" applyFont="1" applyFill="1"/>
    <xf numFmtId="185" fontId="9" fillId="0" borderId="0" xfId="10" applyNumberFormat="1" applyFont="1" applyFill="1"/>
    <xf numFmtId="43" fontId="9" fillId="0" borderId="0" xfId="7" applyFont="1" applyFill="1"/>
    <xf numFmtId="179" fontId="9" fillId="0" borderId="0" xfId="10" applyFont="1" applyFill="1" applyAlignment="1" applyProtection="1">
      <alignment horizontal="right"/>
      <protection hidden="1"/>
    </xf>
    <xf numFmtId="0" fontId="9" fillId="0" borderId="0" xfId="25" applyProtection="1">
      <protection hidden="1"/>
    </xf>
    <xf numFmtId="185" fontId="9" fillId="0" borderId="0" xfId="10" applyNumberFormat="1" applyFont="1" applyFill="1" applyProtection="1">
      <protection hidden="1"/>
    </xf>
    <xf numFmtId="185" fontId="9" fillId="0" borderId="0" xfId="25" applyNumberFormat="1"/>
    <xf numFmtId="179" fontId="9" fillId="0" borderId="0" xfId="10" applyFont="1" applyFill="1" applyProtection="1">
      <protection hidden="1"/>
    </xf>
    <xf numFmtId="0" fontId="9" fillId="0" borderId="0" xfId="25" quotePrefix="1" applyProtection="1">
      <protection hidden="1"/>
    </xf>
    <xf numFmtId="192" fontId="9" fillId="0" borderId="0" xfId="25" applyNumberFormat="1"/>
    <xf numFmtId="181" fontId="9" fillId="0" borderId="0" xfId="6" applyNumberFormat="1" applyFont="1" applyFill="1" applyProtection="1">
      <protection hidden="1"/>
    </xf>
    <xf numFmtId="181" fontId="9" fillId="0" borderId="0" xfId="6" applyNumberFormat="1" applyFont="1" applyFill="1"/>
    <xf numFmtId="0" fontId="0" fillId="0" borderId="0" xfId="0" applyFill="1" applyAlignment="1">
      <alignment horizontal="left" vertical="center"/>
    </xf>
    <xf numFmtId="0" fontId="9" fillId="0" borderId="0" xfId="7" applyNumberFormat="1" applyFont="1" applyFill="1" applyProtection="1">
      <protection hidden="1"/>
    </xf>
    <xf numFmtId="0" fontId="19" fillId="0" borderId="0" xfId="25" applyFont="1"/>
    <xf numFmtId="0" fontId="10" fillId="0" borderId="0" xfId="25" applyFont="1"/>
    <xf numFmtId="3" fontId="9" fillId="0" borderId="0" xfId="7" applyNumberFormat="1" applyFont="1" applyFill="1" applyProtection="1">
      <protection hidden="1"/>
    </xf>
    <xf numFmtId="0" fontId="5" fillId="5" borderId="0" xfId="0" applyFont="1" applyFill="1" applyAlignment="1"/>
    <xf numFmtId="181" fontId="0" fillId="0" borderId="0" xfId="7" applyNumberFormat="1" applyFont="1"/>
    <xf numFmtId="0" fontId="7" fillId="0" borderId="0" xfId="0" applyFont="1" applyFill="1" applyAlignment="1"/>
    <xf numFmtId="0" fontId="9" fillId="0" borderId="0" xfId="0" applyFont="1" applyFill="1" applyAlignment="1">
      <alignment horizontal="left" indent="1"/>
    </xf>
    <xf numFmtId="0" fontId="0" fillId="0" borderId="0" xfId="0" quotePrefix="1" applyFill="1" applyAlignment="1"/>
    <xf numFmtId="3" fontId="0" fillId="0" borderId="0" xfId="0" quotePrefix="1" applyNumberFormat="1" applyFill="1" applyAlignment="1"/>
    <xf numFmtId="49" fontId="5" fillId="5" borderId="1" xfId="0" applyNumberFormat="1" applyFont="1" applyFill="1" applyBorder="1" applyAlignment="1"/>
    <xf numFmtId="49" fontId="5" fillId="5" borderId="0" xfId="0" applyNumberFormat="1" applyFont="1" applyFill="1" applyBorder="1" applyAlignment="1"/>
    <xf numFmtId="0" fontId="5" fillId="5" borderId="0" xfId="0" quotePrefix="1" applyFont="1" applyFill="1" applyBorder="1" applyAlignment="1"/>
    <xf numFmtId="0" fontId="5" fillId="5" borderId="2" xfId="0" quotePrefix="1" applyFont="1" applyFill="1" applyBorder="1" applyAlignment="1"/>
    <xf numFmtId="49" fontId="0" fillId="6" borderId="1" xfId="0" applyNumberFormat="1" applyFill="1" applyBorder="1" applyAlignment="1"/>
    <xf numFmtId="49" fontId="0" fillId="6" borderId="0" xfId="0" applyNumberFormat="1" applyFill="1" applyBorder="1" applyAlignment="1"/>
    <xf numFmtId="0" fontId="0" fillId="6" borderId="0" xfId="0" applyFill="1" applyBorder="1" applyAlignment="1"/>
    <xf numFmtId="0" fontId="13" fillId="6" borderId="0" xfId="0" applyFont="1" applyFill="1" applyBorder="1" applyAlignment="1"/>
    <xf numFmtId="0" fontId="0" fillId="6" borderId="2" xfId="0" applyFill="1" applyBorder="1" applyAlignment="1"/>
    <xf numFmtId="49" fontId="5" fillId="0" borderId="0" xfId="0" applyNumberFormat="1" applyFont="1" applyBorder="1" applyAlignment="1"/>
    <xf numFmtId="181" fontId="5" fillId="0" borderId="0" xfId="7" applyNumberFormat="1" applyFont="1" applyBorder="1" applyAlignment="1">
      <alignment horizontal="right"/>
    </xf>
    <xf numFmtId="1" fontId="5" fillId="0" borderId="0" xfId="0" applyNumberFormat="1" applyFont="1" applyBorder="1" applyAlignment="1"/>
    <xf numFmtId="179" fontId="5" fillId="0" borderId="0" xfId="10" applyFont="1" applyBorder="1" applyAlignment="1">
      <alignment horizontal="right"/>
    </xf>
    <xf numFmtId="185" fontId="5" fillId="0" borderId="0" xfId="10" applyNumberFormat="1" applyFont="1" applyBorder="1" applyAlignment="1">
      <alignment horizontal="right"/>
    </xf>
    <xf numFmtId="187" fontId="5" fillId="0" borderId="0" xfId="0" applyNumberFormat="1" applyFont="1" applyBorder="1" applyAlignment="1">
      <alignment horizontal="right"/>
    </xf>
    <xf numFmtId="1" fontId="9" fillId="0" borderId="0" xfId="1" applyNumberFormat="1" applyFont="1" applyFill="1" applyAlignment="1">
      <protection locked="0"/>
    </xf>
    <xf numFmtId="0" fontId="7" fillId="0" borderId="0" xfId="28" applyFont="1">
      <alignment vertical="center"/>
    </xf>
    <xf numFmtId="0" fontId="0" fillId="2" borderId="0" xfId="0" applyFill="1" applyBorder="1" applyAlignment="1">
      <alignment horizontal="right"/>
    </xf>
    <xf numFmtId="181" fontId="9" fillId="0" borderId="0" xfId="1" applyNumberFormat="1" applyFont="1" applyFill="1" applyAlignment="1">
      <protection locked="0"/>
    </xf>
    <xf numFmtId="181" fontId="0" fillId="0" borderId="0" xfId="7" applyNumberFormat="1" applyFont="1" applyAlignment="1"/>
    <xf numFmtId="0" fontId="9" fillId="0" borderId="0" xfId="0" quotePrefix="1" applyFont="1" applyAlignment="1"/>
    <xf numFmtId="2" fontId="0" fillId="0" borderId="0" xfId="0" quotePrefix="1" applyNumberFormat="1" applyAlignment="1"/>
    <xf numFmtId="184" fontId="0" fillId="0" borderId="0" xfId="0" quotePrefix="1" applyNumberFormat="1" applyAlignment="1"/>
    <xf numFmtId="0" fontId="9" fillId="0" borderId="0" xfId="1" applyFont="1" applyFill="1" applyAlignment="1">
      <protection locked="0"/>
    </xf>
    <xf numFmtId="0" fontId="7" fillId="0" borderId="0" xfId="28" applyFont="1" applyFill="1" applyAlignment="1"/>
    <xf numFmtId="0" fontId="5" fillId="6" borderId="1" xfId="0" applyFont="1" applyFill="1" applyBorder="1" applyAlignment="1">
      <alignment horizontal="left"/>
    </xf>
    <xf numFmtId="181" fontId="0" fillId="6" borderId="0" xfId="7" applyNumberFormat="1" applyFont="1" applyFill="1" applyBorder="1" applyProtection="1">
      <protection hidden="1"/>
    </xf>
    <xf numFmtId="0" fontId="0" fillId="6" borderId="2" xfId="0" applyFill="1" applyBorder="1" applyAlignment="1" applyProtection="1">
      <protection hidden="1"/>
    </xf>
    <xf numFmtId="181" fontId="5" fillId="0" borderId="0" xfId="7" quotePrefix="1" applyNumberFormat="1" applyFont="1" applyBorder="1" applyAlignment="1" applyProtection="1">
      <alignment horizontal="right"/>
      <protection hidden="1"/>
    </xf>
    <xf numFmtId="185" fontId="5" fillId="0" borderId="0" xfId="10" quotePrefix="1" applyNumberFormat="1" applyFont="1" applyBorder="1" applyAlignment="1" applyProtection="1">
      <alignment horizontal="right"/>
      <protection hidden="1"/>
    </xf>
    <xf numFmtId="185" fontId="5" fillId="0" borderId="0" xfId="0" quotePrefix="1" applyNumberFormat="1" applyFont="1" applyBorder="1" applyAlignment="1" applyProtection="1">
      <alignment horizontal="right"/>
      <protection hidden="1"/>
    </xf>
    <xf numFmtId="0" fontId="5" fillId="0" borderId="0" xfId="0" quotePrefix="1" applyFont="1" applyAlignment="1" applyProtection="1">
      <alignment horizontal="right"/>
      <protection hidden="1"/>
    </xf>
    <xf numFmtId="0" fontId="0" fillId="6" borderId="2" xfId="0" applyFill="1" applyBorder="1" applyAlignment="1" applyProtection="1">
      <alignment horizontal="right"/>
      <protection hidden="1"/>
    </xf>
    <xf numFmtId="0" fontId="5" fillId="0" borderId="1" xfId="0" applyFont="1" applyFill="1" applyBorder="1" applyAlignment="1" applyProtection="1">
      <protection hidden="1"/>
    </xf>
    <xf numFmtId="0" fontId="5" fillId="0" borderId="0" xfId="0" applyNumberFormat="1" applyFont="1" applyFill="1" applyBorder="1" applyAlignment="1" applyProtection="1">
      <protection hidden="1"/>
    </xf>
    <xf numFmtId="184" fontId="5" fillId="0" borderId="0" xfId="0" quotePrefix="1" applyNumberFormat="1" applyFont="1" applyBorder="1" applyAlignment="1" applyProtection="1">
      <alignment horizontal="right"/>
      <protection hidden="1"/>
    </xf>
    <xf numFmtId="0" fontId="5" fillId="0" borderId="0" xfId="0" quotePrefix="1" applyFont="1" applyBorder="1" applyAlignment="1" applyProtection="1">
      <alignment horizontal="right"/>
      <protection hidden="1"/>
    </xf>
    <xf numFmtId="185" fontId="5" fillId="0" borderId="0" xfId="0" quotePrefix="1" applyNumberFormat="1" applyFont="1" applyFill="1" applyBorder="1" applyAlignment="1" applyProtection="1">
      <alignment horizontal="right"/>
      <protection hidden="1"/>
    </xf>
    <xf numFmtId="184" fontId="0" fillId="6" borderId="0" xfId="0" applyNumberFormat="1" applyFill="1" applyBorder="1" applyAlignment="1" applyProtection="1">
      <protection hidden="1"/>
    </xf>
    <xf numFmtId="1" fontId="5" fillId="0" borderId="0" xfId="0" quotePrefix="1" applyNumberFormat="1" applyFont="1" applyBorder="1" applyAlignment="1" applyProtection="1">
      <alignment horizontal="right"/>
      <protection hidden="1"/>
    </xf>
    <xf numFmtId="0" fontId="9" fillId="6" borderId="0" xfId="0" applyFont="1" applyFill="1" applyAlignment="1"/>
    <xf numFmtId="1" fontId="9" fillId="0" borderId="0" xfId="0" applyNumberFormat="1" applyFont="1" applyAlignment="1"/>
    <xf numFmtId="0" fontId="9" fillId="0" borderId="0" xfId="0" applyFont="1" applyFill="1" applyAlignment="1" applyProtection="1">
      <protection hidden="1"/>
    </xf>
    <xf numFmtId="2" fontId="9" fillId="0" borderId="0" xfId="0" quotePrefix="1" applyNumberFormat="1" applyFont="1" applyAlignment="1"/>
    <xf numFmtId="184" fontId="9" fillId="0" borderId="0" xfId="0" quotePrefix="1" applyNumberFormat="1" applyFont="1" applyAlignment="1"/>
    <xf numFmtId="1" fontId="9" fillId="0" borderId="0" xfId="0" quotePrefix="1" applyNumberFormat="1" applyFont="1" applyAlignment="1"/>
    <xf numFmtId="181" fontId="5" fillId="0" borderId="0" xfId="7" applyNumberFormat="1" applyFont="1" applyBorder="1" applyAlignment="1" applyProtection="1">
      <alignment horizontal="right"/>
      <protection hidden="1"/>
    </xf>
    <xf numFmtId="185" fontId="5" fillId="0" borderId="0" xfId="10" applyNumberFormat="1" applyFont="1" applyBorder="1" applyAlignment="1" applyProtection="1">
      <alignment horizontal="right"/>
      <protection hidden="1"/>
    </xf>
    <xf numFmtId="181" fontId="4" fillId="0" borderId="0" xfId="1" applyNumberFormat="1" applyFill="1" applyAlignment="1">
      <protection locked="0"/>
    </xf>
    <xf numFmtId="0" fontId="4" fillId="0" borderId="0" xfId="1" applyFill="1">
      <protection locked="0"/>
    </xf>
    <xf numFmtId="0" fontId="9" fillId="0" borderId="26" xfId="0" applyFont="1" applyBorder="1" applyAlignment="1"/>
    <xf numFmtId="0" fontId="7" fillId="0" borderId="0" xfId="28" applyFont="1" applyBorder="1" applyAlignment="1"/>
    <xf numFmtId="181" fontId="0" fillId="2" borderId="0" xfId="8" applyNumberFormat="1" applyFont="1" applyFill="1"/>
    <xf numFmtId="3" fontId="0" fillId="0" borderId="0" xfId="0" applyNumberFormat="1" applyAlignment="1">
      <alignment horizontal="right"/>
    </xf>
    <xf numFmtId="0" fontId="9" fillId="2" borderId="0" xfId="9" applyNumberFormat="1" applyFont="1" applyFill="1"/>
    <xf numFmtId="0" fontId="9" fillId="2" borderId="0" xfId="0" applyFont="1" applyFill="1" applyAlignment="1"/>
    <xf numFmtId="0" fontId="12" fillId="0" borderId="0" xfId="0" quotePrefix="1" applyFont="1" applyAlignment="1"/>
    <xf numFmtId="0" fontId="4" fillId="6" borderId="0" xfId="0" applyNumberFormat="1" applyFont="1" applyFill="1" applyBorder="1" applyAlignment="1"/>
    <xf numFmtId="0" fontId="0" fillId="6" borderId="0" xfId="0" applyNumberFormat="1" applyFill="1" applyBorder="1" applyAlignment="1"/>
    <xf numFmtId="0" fontId="0" fillId="9" borderId="0" xfId="0" quotePrefix="1" applyFill="1" applyAlignment="1"/>
    <xf numFmtId="185" fontId="0" fillId="0" borderId="0" xfId="27" applyNumberFormat="1" applyFont="1" applyBorder="1" applyProtection="1">
      <protection locked="0"/>
    </xf>
    <xf numFmtId="0" fontId="52" fillId="4" borderId="0" xfId="0" quotePrefix="1" applyFont="1" applyFill="1" applyBorder="1" applyAlignment="1">
      <alignment vertical="top"/>
    </xf>
    <xf numFmtId="0" fontId="53" fillId="4" borderId="16" xfId="0" applyFont="1" applyFill="1" applyBorder="1" applyAlignment="1">
      <alignment horizontal="left" vertical="center"/>
    </xf>
    <xf numFmtId="0" fontId="53" fillId="4" borderId="2" xfId="0" applyFont="1" applyFill="1" applyBorder="1" applyAlignment="1">
      <alignment horizontal="left" vertical="center"/>
    </xf>
    <xf numFmtId="0" fontId="53" fillId="4" borderId="8" xfId="0" applyFont="1" applyFill="1" applyBorder="1" applyAlignment="1">
      <alignment horizontal="left" vertical="center"/>
    </xf>
    <xf numFmtId="0" fontId="4" fillId="0" borderId="0" xfId="25" applyFont="1"/>
    <xf numFmtId="0" fontId="5" fillId="5" borderId="0" xfId="0" quotePrefix="1" applyFont="1" applyFill="1" applyBorder="1" applyAlignment="1">
      <alignment horizontal="right"/>
    </xf>
    <xf numFmtId="179" fontId="5" fillId="6" borderId="0" xfId="9" applyFont="1" applyFill="1" applyBorder="1" applyAlignment="1" applyProtection="1">
      <alignment horizontal="right"/>
      <protection hidden="1"/>
    </xf>
    <xf numFmtId="9" fontId="4" fillId="0" borderId="34" xfId="27" applyFont="1" applyBorder="1" applyProtection="1"/>
    <xf numFmtId="186" fontId="28" fillId="4" borderId="0" xfId="0" applyNumberFormat="1" applyFont="1" applyFill="1" applyBorder="1" applyAlignment="1" applyProtection="1">
      <protection hidden="1"/>
    </xf>
    <xf numFmtId="9" fontId="4" fillId="0" borderId="11" xfId="27" applyFont="1" applyBorder="1" applyProtection="1"/>
    <xf numFmtId="0" fontId="4" fillId="4" borderId="40" xfId="0" applyFont="1" applyFill="1" applyBorder="1" applyAlignment="1"/>
    <xf numFmtId="0" fontId="4" fillId="4" borderId="41" xfId="0" applyFont="1" applyFill="1" applyBorder="1" applyAlignment="1"/>
    <xf numFmtId="9" fontId="4" fillId="0" borderId="42" xfId="27" applyFont="1" applyBorder="1" applyProtection="1"/>
    <xf numFmtId="9" fontId="4" fillId="0" borderId="42" xfId="27" applyFont="1" applyBorder="1" applyProtection="1">
      <protection locked="0"/>
    </xf>
    <xf numFmtId="0" fontId="4" fillId="4" borderId="36" xfId="0" applyFont="1" applyFill="1" applyBorder="1" applyAlignment="1"/>
    <xf numFmtId="0" fontId="28" fillId="4" borderId="7" xfId="0" applyFont="1" applyFill="1" applyBorder="1" applyAlignment="1"/>
    <xf numFmtId="0" fontId="4" fillId="0" borderId="0" xfId="29"/>
    <xf numFmtId="0" fontId="13" fillId="0" borderId="0" xfId="29" applyFont="1"/>
    <xf numFmtId="0" fontId="11" fillId="0" borderId="0" xfId="45" applyFont="1"/>
    <xf numFmtId="0" fontId="4" fillId="0" borderId="0" xfId="0" applyFont="1" applyFill="1" applyAlignment="1">
      <alignment horizontal="left"/>
    </xf>
    <xf numFmtId="179" fontId="0" fillId="0" borderId="0" xfId="9" applyFont="1" applyFill="1" applyAlignment="1"/>
    <xf numFmtId="43" fontId="4" fillId="0" borderId="0" xfId="6" applyFont="1" applyFill="1" applyAlignment="1">
      <alignment horizontal="right"/>
    </xf>
    <xf numFmtId="179" fontId="0" fillId="0" borderId="0" xfId="0" applyNumberFormat="1" applyFill="1" applyAlignment="1"/>
    <xf numFmtId="0" fontId="6" fillId="0" borderId="0" xfId="0" applyFont="1" applyAlignment="1">
      <alignment horizontal="left" indent="1"/>
    </xf>
    <xf numFmtId="0" fontId="4" fillId="0" borderId="0" xfId="0" applyFont="1" applyAlignment="1">
      <alignment horizontal="left" indent="1"/>
    </xf>
    <xf numFmtId="0" fontId="53" fillId="0" borderId="0" xfId="0" applyFont="1" applyAlignment="1"/>
    <xf numFmtId="0" fontId="0" fillId="0" borderId="0" xfId="0" applyAlignment="1">
      <alignment horizontal="left" indent="1"/>
    </xf>
    <xf numFmtId="0" fontId="4" fillId="2" borderId="0" xfId="0" applyFont="1" applyFill="1" applyAlignment="1"/>
    <xf numFmtId="0" fontId="0" fillId="10" borderId="0" xfId="0" applyFill="1" applyAlignment="1"/>
    <xf numFmtId="0" fontId="5" fillId="4" borderId="46" xfId="0" applyFont="1" applyFill="1" applyBorder="1" applyAlignment="1">
      <alignment horizontal="left"/>
    </xf>
    <xf numFmtId="0" fontId="0" fillId="0" borderId="1" xfId="0" applyBorder="1" applyAlignment="1">
      <alignment wrapText="1"/>
    </xf>
    <xf numFmtId="0" fontId="0" fillId="0" borderId="2" xfId="0" applyBorder="1" applyAlignment="1">
      <alignment wrapText="1"/>
    </xf>
    <xf numFmtId="0" fontId="7" fillId="0" borderId="1" xfId="0" applyFont="1" applyBorder="1" applyAlignment="1">
      <alignment vertical="center"/>
    </xf>
    <xf numFmtId="0" fontId="7" fillId="0" borderId="0" xfId="0" applyFont="1" applyBorder="1" applyAlignment="1">
      <alignment vertical="center"/>
    </xf>
    <xf numFmtId="0" fontId="7" fillId="0" borderId="2" xfId="0" applyFont="1" applyBorder="1" applyAlignment="1">
      <alignment vertical="center"/>
    </xf>
    <xf numFmtId="0" fontId="0" fillId="0" borderId="1" xfId="0" applyBorder="1" applyAlignment="1"/>
    <xf numFmtId="9" fontId="0" fillId="0" borderId="0" xfId="27" applyFont="1" applyBorder="1" applyAlignment="1"/>
    <xf numFmtId="2" fontId="0" fillId="0" borderId="0" xfId="27" applyNumberFormat="1" applyFont="1" applyBorder="1" applyAlignment="1"/>
    <xf numFmtId="0" fontId="0" fillId="0" borderId="2" xfId="0" applyBorder="1" applyAlignment="1"/>
    <xf numFmtId="2" fontId="0" fillId="0" borderId="0" xfId="0" applyNumberFormat="1" applyBorder="1" applyAlignment="1"/>
    <xf numFmtId="0" fontId="0" fillId="0" borderId="17" xfId="0" applyBorder="1" applyAlignment="1"/>
    <xf numFmtId="9" fontId="0" fillId="0" borderId="7" xfId="27" applyFont="1" applyBorder="1" applyAlignment="1"/>
    <xf numFmtId="2" fontId="0" fillId="0" borderId="7" xfId="0" applyNumberFormat="1" applyBorder="1" applyAlignment="1"/>
    <xf numFmtId="0" fontId="0" fillId="0" borderId="8" xfId="0" applyBorder="1" applyAlignment="1"/>
    <xf numFmtId="0" fontId="0" fillId="0" borderId="2" xfId="27" applyNumberFormat="1" applyFont="1" applyBorder="1" applyAlignment="1"/>
    <xf numFmtId="0" fontId="0" fillId="0" borderId="8" xfId="27" applyNumberFormat="1" applyFont="1" applyBorder="1" applyAlignment="1"/>
    <xf numFmtId="0" fontId="16" fillId="8" borderId="52" xfId="0" applyFont="1" applyFill="1" applyBorder="1" applyAlignment="1">
      <alignment horizontal="center"/>
    </xf>
    <xf numFmtId="0" fontId="0" fillId="0" borderId="18" xfId="0" applyBorder="1" applyAlignment="1">
      <alignment wrapText="1"/>
    </xf>
    <xf numFmtId="0" fontId="7" fillId="0" borderId="18" xfId="0" applyFont="1" applyBorder="1" applyAlignment="1">
      <alignment vertical="center"/>
    </xf>
    <xf numFmtId="0" fontId="0" fillId="0" borderId="18" xfId="0" applyBorder="1" applyAlignment="1"/>
    <xf numFmtId="0" fontId="0" fillId="0" borderId="9" xfId="0" applyBorder="1" applyAlignment="1"/>
    <xf numFmtId="0" fontId="4" fillId="0" borderId="0" xfId="0" applyFont="1" applyAlignment="1">
      <alignment wrapText="1"/>
    </xf>
    <xf numFmtId="2" fontId="0" fillId="0" borderId="7" xfId="27" applyNumberFormat="1" applyFont="1" applyBorder="1" applyAlignment="1"/>
    <xf numFmtId="0" fontId="5" fillId="0" borderId="53" xfId="0" applyFont="1" applyFill="1" applyBorder="1" applyAlignment="1"/>
    <xf numFmtId="0" fontId="34" fillId="0" borderId="54" xfId="28" applyFill="1" applyBorder="1">
      <alignment vertical="center"/>
    </xf>
    <xf numFmtId="0" fontId="5" fillId="3" borderId="54" xfId="21" applyBorder="1">
      <alignment horizontal="right" vertical="center"/>
      <protection locked="0"/>
    </xf>
    <xf numFmtId="0" fontId="5" fillId="3" borderId="55" xfId="21" applyBorder="1" applyAlignment="1">
      <alignment vertical="center"/>
      <protection locked="0"/>
    </xf>
    <xf numFmtId="0" fontId="5" fillId="0" borderId="56" xfId="0" applyFont="1" applyFill="1" applyBorder="1" applyAlignment="1"/>
    <xf numFmtId="0" fontId="34" fillId="0" borderId="57" xfId="28" applyFill="1" applyBorder="1">
      <alignment vertical="center"/>
    </xf>
    <xf numFmtId="0" fontId="5" fillId="3" borderId="57" xfId="21" applyBorder="1">
      <alignment horizontal="right" vertical="center"/>
      <protection locked="0"/>
    </xf>
    <xf numFmtId="0" fontId="5" fillId="3" borderId="58" xfId="21" applyBorder="1" applyAlignment="1">
      <alignment vertical="center"/>
      <protection locked="0"/>
    </xf>
    <xf numFmtId="0" fontId="36" fillId="0" borderId="56" xfId="19" applyBorder="1">
      <alignment vertical="center"/>
    </xf>
    <xf numFmtId="0" fontId="4" fillId="0" borderId="58" xfId="22" applyBorder="1">
      <alignment vertical="center"/>
    </xf>
    <xf numFmtId="0" fontId="11" fillId="10" borderId="1" xfId="0" applyFont="1" applyFill="1" applyBorder="1" applyAlignment="1">
      <alignment horizontal="right"/>
    </xf>
    <xf numFmtId="0" fontId="34" fillId="10" borderId="0" xfId="28" applyFill="1" applyBorder="1">
      <alignment vertical="center"/>
    </xf>
    <xf numFmtId="0" fontId="0" fillId="10" borderId="0" xfId="0" applyFill="1" applyBorder="1">
      <alignment horizontal="left" vertical="center"/>
    </xf>
    <xf numFmtId="0" fontId="0" fillId="10" borderId="2" xfId="0" applyFill="1" applyBorder="1">
      <alignment horizontal="left" vertical="center"/>
    </xf>
    <xf numFmtId="0" fontId="28" fillId="10" borderId="1" xfId="12" applyFill="1" applyBorder="1">
      <alignment horizontal="right" vertical="center" wrapText="1"/>
    </xf>
    <xf numFmtId="0" fontId="28" fillId="10" borderId="0" xfId="12" applyFill="1" applyBorder="1">
      <alignment horizontal="right" vertical="center" wrapText="1"/>
    </xf>
    <xf numFmtId="0" fontId="28" fillId="10" borderId="2" xfId="13" applyNumberFormat="1" applyFill="1" applyBorder="1">
      <alignment horizontal="left" vertical="center" wrapText="1"/>
    </xf>
    <xf numFmtId="0" fontId="0" fillId="10" borderId="17" xfId="0" applyFill="1" applyBorder="1">
      <alignment horizontal="left" vertical="center"/>
    </xf>
    <xf numFmtId="0" fontId="34" fillId="10" borderId="7" xfId="28" applyFill="1" applyBorder="1">
      <alignment vertical="center"/>
    </xf>
    <xf numFmtId="0" fontId="5" fillId="2" borderId="57" xfId="20" applyBorder="1">
      <alignment horizontal="right" vertical="center"/>
      <protection locked="0"/>
    </xf>
    <xf numFmtId="9" fontId="5" fillId="3" borderId="57" xfId="21" applyNumberFormat="1" applyBorder="1">
      <alignment horizontal="right" vertical="center"/>
      <protection locked="0"/>
    </xf>
    <xf numFmtId="0" fontId="8" fillId="0" borderId="58" xfId="0" applyFont="1" applyFill="1" applyBorder="1">
      <alignment horizontal="left" vertical="center"/>
    </xf>
    <xf numFmtId="0" fontId="11" fillId="10" borderId="1" xfId="12" applyFont="1" applyFill="1" applyBorder="1">
      <alignment horizontal="right" vertical="center" wrapText="1"/>
    </xf>
    <xf numFmtId="0" fontId="28" fillId="10" borderId="17" xfId="0" applyFont="1" applyFill="1" applyBorder="1" applyAlignment="1">
      <alignment horizontal="right" vertical="center"/>
    </xf>
    <xf numFmtId="0" fontId="5" fillId="0" borderId="53" xfId="19" applyFont="1" applyBorder="1">
      <alignment vertical="center"/>
    </xf>
    <xf numFmtId="2" fontId="5" fillId="3" borderId="57" xfId="21" applyNumberFormat="1" applyBorder="1">
      <alignment horizontal="right" vertical="center"/>
      <protection locked="0"/>
    </xf>
    <xf numFmtId="0" fontId="5" fillId="2" borderId="54" xfId="20" applyBorder="1">
      <alignment horizontal="right" vertical="center"/>
      <protection locked="0"/>
    </xf>
    <xf numFmtId="0" fontId="4" fillId="0" borderId="59" xfId="22" applyBorder="1">
      <alignment vertical="center"/>
    </xf>
    <xf numFmtId="0" fontId="36" fillId="10" borderId="17" xfId="19" applyFill="1" applyBorder="1">
      <alignment vertical="center"/>
    </xf>
    <xf numFmtId="0" fontId="0" fillId="10" borderId="17" xfId="0" applyFill="1" applyBorder="1" applyAlignment="1">
      <alignment vertical="center"/>
    </xf>
    <xf numFmtId="0" fontId="11" fillId="10" borderId="1" xfId="0" applyFont="1" applyFill="1" applyBorder="1" applyAlignment="1">
      <alignment horizontal="right" vertical="center" wrapText="1"/>
    </xf>
    <xf numFmtId="0" fontId="0" fillId="10" borderId="2" xfId="0" applyFill="1" applyBorder="1" applyAlignment="1"/>
    <xf numFmtId="0" fontId="28" fillId="10" borderId="1" xfId="0" applyFont="1" applyFill="1" applyBorder="1" applyAlignment="1">
      <alignment horizontal="right" vertical="center" wrapText="1"/>
    </xf>
    <xf numFmtId="0" fontId="36" fillId="0" borderId="53" xfId="19" applyBorder="1">
      <alignment vertical="center"/>
    </xf>
    <xf numFmtId="0" fontId="28" fillId="4" borderId="0" xfId="14" applyFill="1" applyBorder="1" applyAlignment="1">
      <alignment vertical="center"/>
    </xf>
    <xf numFmtId="0" fontId="37" fillId="10" borderId="8" xfId="23" applyFill="1" applyBorder="1">
      <alignment horizontal="right" vertical="center"/>
    </xf>
    <xf numFmtId="0" fontId="52" fillId="10" borderId="2" xfId="0" applyFont="1" applyFill="1" applyBorder="1">
      <alignment horizontal="left" vertical="center"/>
    </xf>
    <xf numFmtId="0" fontId="4" fillId="0" borderId="1" xfId="0" applyFont="1" applyBorder="1" applyAlignment="1">
      <alignment vertical="center"/>
    </xf>
    <xf numFmtId="0" fontId="4" fillId="0" borderId="0" xfId="0" applyFont="1" applyBorder="1" applyAlignment="1">
      <alignment vertical="center"/>
    </xf>
    <xf numFmtId="0" fontId="4" fillId="0" borderId="2" xfId="0" applyFont="1" applyBorder="1" applyAlignment="1">
      <alignment vertical="center"/>
    </xf>
    <xf numFmtId="0" fontId="55" fillId="0" borderId="0" xfId="0" applyFont="1" applyAlignment="1"/>
    <xf numFmtId="0" fontId="56" fillId="0" borderId="0" xfId="0" applyFont="1" applyAlignment="1"/>
    <xf numFmtId="181" fontId="56" fillId="0" borderId="0" xfId="6" applyNumberFormat="1" applyFont="1"/>
    <xf numFmtId="0" fontId="57" fillId="0" borderId="0" xfId="0" applyFont="1" applyAlignment="1"/>
    <xf numFmtId="0" fontId="4" fillId="0" borderId="0" xfId="0" applyFont="1">
      <alignment horizontal="left" vertical="center"/>
    </xf>
    <xf numFmtId="0" fontId="4" fillId="0" borderId="0" xfId="0" applyFont="1" applyAlignment="1">
      <alignment horizontal="left"/>
    </xf>
    <xf numFmtId="181" fontId="56" fillId="0" borderId="0" xfId="6" applyNumberFormat="1" applyFont="1" applyAlignment="1"/>
    <xf numFmtId="0" fontId="0" fillId="11" borderId="0" xfId="0" applyFill="1" applyAlignment="1"/>
    <xf numFmtId="0" fontId="9" fillId="11" borderId="0" xfId="0" applyFont="1" applyFill="1" applyAlignment="1"/>
    <xf numFmtId="0" fontId="0" fillId="11" borderId="0" xfId="0" applyFill="1" applyAlignment="1">
      <alignment vertical="center"/>
    </xf>
    <xf numFmtId="0" fontId="9" fillId="11" borderId="0" xfId="0" applyFont="1" applyFill="1" applyAlignment="1">
      <alignment vertical="center"/>
    </xf>
    <xf numFmtId="0" fontId="0" fillId="11" borderId="0" xfId="0" quotePrefix="1" applyFill="1" applyAlignment="1">
      <alignment vertical="center"/>
    </xf>
    <xf numFmtId="184" fontId="0" fillId="11" borderId="0" xfId="0" applyNumberFormat="1" applyFill="1" applyAlignment="1">
      <alignment vertical="center"/>
    </xf>
    <xf numFmtId="0" fontId="0" fillId="11" borderId="0" xfId="0" applyFill="1" applyBorder="1" applyAlignment="1">
      <alignment vertical="center"/>
    </xf>
    <xf numFmtId="0" fontId="0" fillId="11" borderId="0" xfId="0" applyNumberFormat="1" applyFill="1" applyBorder="1" applyAlignment="1">
      <alignment vertical="center"/>
    </xf>
    <xf numFmtId="9" fontId="0" fillId="11" borderId="0" xfId="27" applyFont="1" applyFill="1" applyAlignment="1"/>
    <xf numFmtId="191" fontId="0" fillId="11" borderId="0" xfId="27" applyNumberFormat="1" applyFont="1" applyFill="1" applyAlignment="1"/>
    <xf numFmtId="0" fontId="4" fillId="0" borderId="0" xfId="0" applyFont="1" applyAlignment="1" applyProtection="1">
      <protection hidden="1"/>
    </xf>
    <xf numFmtId="0" fontId="4" fillId="0" borderId="0" xfId="0" applyFont="1" applyBorder="1" applyAlignment="1"/>
    <xf numFmtId="0" fontId="7" fillId="0" borderId="0" xfId="50">
      <alignment vertical="center"/>
    </xf>
    <xf numFmtId="0" fontId="0" fillId="12" borderId="0" xfId="0" applyFill="1" applyAlignment="1"/>
    <xf numFmtId="0" fontId="4" fillId="4" borderId="0" xfId="0" applyFont="1" applyFill="1" applyBorder="1" applyAlignment="1">
      <alignment horizontal="left" wrapText="1"/>
    </xf>
    <xf numFmtId="0" fontId="28" fillId="4" borderId="0" xfId="0" quotePrefix="1" applyFont="1" applyFill="1" applyBorder="1" applyAlignment="1">
      <alignment vertical="center" wrapText="1"/>
    </xf>
    <xf numFmtId="0" fontId="5" fillId="4" borderId="0" xfId="0" applyFont="1" applyFill="1" applyBorder="1" applyAlignment="1" applyProtection="1">
      <alignment horizontal="right"/>
      <protection hidden="1"/>
    </xf>
    <xf numFmtId="0" fontId="5" fillId="4" borderId="0" xfId="0" applyFont="1" applyFill="1" applyBorder="1" applyAlignment="1" applyProtection="1">
      <protection hidden="1"/>
    </xf>
    <xf numFmtId="0" fontId="28" fillId="4" borderId="0" xfId="0" applyFont="1" applyFill="1" applyBorder="1" applyAlignment="1" applyProtection="1">
      <protection hidden="1"/>
    </xf>
    <xf numFmtId="0" fontId="29" fillId="0" borderId="1" xfId="0" quotePrefix="1" applyFont="1" applyFill="1" applyBorder="1" applyAlignment="1" applyProtection="1">
      <protection hidden="1"/>
    </xf>
    <xf numFmtId="0" fontId="43" fillId="4" borderId="1" xfId="0" applyFont="1" applyFill="1" applyBorder="1" applyAlignment="1"/>
    <xf numFmtId="0" fontId="5" fillId="4" borderId="0" xfId="0" applyNumberFormat="1" applyFont="1" applyFill="1" applyBorder="1" applyAlignment="1">
      <alignment horizontal="right"/>
    </xf>
    <xf numFmtId="0" fontId="5" fillId="4" borderId="0" xfId="0" applyFont="1" applyFill="1" applyBorder="1" applyAlignment="1">
      <alignment horizontal="right"/>
    </xf>
    <xf numFmtId="186" fontId="5" fillId="4" borderId="0" xfId="0" applyNumberFormat="1" applyFont="1" applyFill="1" applyBorder="1" applyAlignment="1" applyProtection="1">
      <protection hidden="1"/>
    </xf>
    <xf numFmtId="0" fontId="46" fillId="4" borderId="1" xfId="0" applyFont="1" applyFill="1" applyBorder="1" applyAlignment="1"/>
    <xf numFmtId="0" fontId="46" fillId="4" borderId="69" xfId="0" applyFont="1" applyFill="1" applyBorder="1" applyAlignment="1"/>
    <xf numFmtId="0" fontId="5" fillId="4" borderId="39" xfId="0" applyFont="1" applyFill="1" applyBorder="1" applyAlignment="1"/>
    <xf numFmtId="0" fontId="5" fillId="4" borderId="48" xfId="0" applyFont="1" applyFill="1" applyBorder="1" applyAlignment="1"/>
    <xf numFmtId="0" fontId="4" fillId="0" borderId="0" xfId="0" applyFont="1" applyAlignment="1">
      <alignment horizontal="center"/>
    </xf>
    <xf numFmtId="0" fontId="4" fillId="4" borderId="0" xfId="0" applyFont="1" applyFill="1" applyAlignment="1"/>
    <xf numFmtId="0" fontId="15" fillId="10" borderId="0" xfId="11" applyFill="1" applyBorder="1" applyAlignment="1" applyProtection="1">
      <protection hidden="1"/>
    </xf>
    <xf numFmtId="0" fontId="0" fillId="4" borderId="70" xfId="0" applyFill="1" applyBorder="1" applyAlignment="1" applyProtection="1">
      <protection hidden="1"/>
    </xf>
    <xf numFmtId="0" fontId="0" fillId="4" borderId="71" xfId="0" applyFill="1" applyBorder="1" applyAlignment="1" applyProtection="1">
      <protection hidden="1"/>
    </xf>
    <xf numFmtId="0" fontId="0" fillId="4" borderId="72" xfId="0" applyFill="1" applyBorder="1" applyAlignment="1" applyProtection="1">
      <protection hidden="1"/>
    </xf>
    <xf numFmtId="9" fontId="0" fillId="0" borderId="0" xfId="27" applyFont="1" applyFill="1"/>
    <xf numFmtId="9" fontId="0" fillId="12" borderId="0" xfId="27" applyFont="1" applyFill="1" applyAlignment="1">
      <alignment horizontal="right"/>
    </xf>
    <xf numFmtId="0" fontId="0" fillId="12" borderId="0" xfId="0" applyFill="1" applyAlignment="1">
      <alignment horizontal="right"/>
    </xf>
    <xf numFmtId="0" fontId="0" fillId="4" borderId="0" xfId="0" applyFill="1" applyBorder="1" applyAlignment="1">
      <alignment vertical="center"/>
    </xf>
    <xf numFmtId="0" fontId="0" fillId="13" borderId="0" xfId="0" applyFont="1" applyFill="1" applyAlignment="1"/>
    <xf numFmtId="0" fontId="0" fillId="13" borderId="0" xfId="0" applyFill="1" applyAlignment="1"/>
    <xf numFmtId="0" fontId="5" fillId="4" borderId="73" xfId="42" applyFill="1" applyBorder="1">
      <alignment vertical="center"/>
    </xf>
    <xf numFmtId="0" fontId="7" fillId="4" borderId="74" xfId="0" applyFont="1" applyFill="1" applyBorder="1" applyAlignment="1"/>
    <xf numFmtId="0" fontId="5" fillId="12" borderId="74" xfId="0" applyFont="1" applyFill="1" applyBorder="1" applyAlignment="1">
      <alignment horizontal="right"/>
    </xf>
    <xf numFmtId="0" fontId="5" fillId="4" borderId="75" xfId="42" applyFill="1" applyBorder="1">
      <alignment vertical="center"/>
    </xf>
    <xf numFmtId="0" fontId="7" fillId="4" borderId="6" xfId="0" applyFont="1" applyFill="1" applyBorder="1" applyAlignment="1"/>
    <xf numFmtId="0" fontId="0" fillId="0" borderId="15" xfId="0" applyBorder="1" applyAlignment="1">
      <alignment wrapText="1"/>
    </xf>
    <xf numFmtId="0" fontId="4" fillId="0" borderId="20" xfId="0" applyFont="1" applyBorder="1" applyAlignment="1">
      <alignment wrapText="1"/>
    </xf>
    <xf numFmtId="0" fontId="4" fillId="0" borderId="16" xfId="0" applyFont="1" applyBorder="1" applyAlignment="1">
      <alignment wrapText="1"/>
    </xf>
    <xf numFmtId="0" fontId="0" fillId="0" borderId="15" xfId="0" applyBorder="1" applyAlignment="1"/>
    <xf numFmtId="0" fontId="0" fillId="0" borderId="16" xfId="0" applyBorder="1" applyAlignment="1"/>
    <xf numFmtId="0" fontId="7" fillId="0" borderId="0" xfId="29" applyFont="1"/>
    <xf numFmtId="0" fontId="11" fillId="0" borderId="0" xfId="47" applyFont="1"/>
    <xf numFmtId="0" fontId="4" fillId="0" borderId="0" xfId="1" applyFill="1" applyAlignment="1">
      <protection locked="0"/>
    </xf>
    <xf numFmtId="0" fontId="6" fillId="0" borderId="0" xfId="0" applyFont="1" applyFill="1" applyBorder="1" applyAlignment="1"/>
    <xf numFmtId="0" fontId="5" fillId="0" borderId="56" xfId="19" applyFont="1" applyBorder="1">
      <alignment vertical="center"/>
    </xf>
    <xf numFmtId="0" fontId="0" fillId="4" borderId="50" xfId="0" applyFill="1" applyBorder="1" applyAlignment="1"/>
    <xf numFmtId="0" fontId="0" fillId="0" borderId="51" xfId="0" applyBorder="1" applyAlignment="1"/>
    <xf numFmtId="0" fontId="4" fillId="6" borderId="0" xfId="0" applyFont="1" applyFill="1" applyBorder="1" applyAlignment="1"/>
    <xf numFmtId="0" fontId="9" fillId="6" borderId="1" xfId="0" quotePrefix="1" applyFont="1" applyFill="1" applyBorder="1" applyAlignment="1" applyProtection="1">
      <alignment horizontal="left"/>
      <protection hidden="1"/>
    </xf>
    <xf numFmtId="0" fontId="4" fillId="6" borderId="1" xfId="0" quotePrefix="1" applyFont="1" applyFill="1" applyBorder="1" applyAlignment="1" applyProtection="1">
      <alignment horizontal="left"/>
      <protection hidden="1"/>
    </xf>
    <xf numFmtId="49" fontId="5" fillId="6" borderId="1" xfId="0" quotePrefix="1" applyNumberFormat="1" applyFont="1" applyFill="1" applyBorder="1" applyAlignment="1">
      <alignment horizontal="left"/>
    </xf>
    <xf numFmtId="0" fontId="5" fillId="0" borderId="33" xfId="0" applyFont="1" applyBorder="1" applyAlignment="1">
      <alignment horizontal="center"/>
    </xf>
    <xf numFmtId="0" fontId="4" fillId="0" borderId="0" xfId="0" applyFont="1" applyFill="1" applyAlignment="1">
      <alignment horizontal="center"/>
    </xf>
    <xf numFmtId="0" fontId="59" fillId="4" borderId="2" xfId="0" applyFont="1" applyFill="1" applyBorder="1" applyAlignment="1">
      <alignment horizontal="left"/>
    </xf>
    <xf numFmtId="0" fontId="4" fillId="4" borderId="0" xfId="18" applyFill="1" applyBorder="1" applyAlignment="1">
      <alignment horizontal="right" vertical="center" wrapText="1" indent="1"/>
    </xf>
    <xf numFmtId="176" fontId="48" fillId="4" borderId="77" xfId="0" applyNumberFormat="1" applyFont="1" applyFill="1" applyBorder="1" applyAlignment="1"/>
    <xf numFmtId="186" fontId="4" fillId="0" borderId="39" xfId="9" applyNumberFormat="1" applyFont="1" applyFill="1" applyBorder="1" applyAlignment="1">
      <alignment horizontal="right"/>
    </xf>
    <xf numFmtId="186" fontId="4" fillId="0" borderId="48" xfId="9" applyNumberFormat="1" applyFont="1" applyFill="1" applyBorder="1" applyAlignment="1">
      <alignment horizontal="right"/>
    </xf>
    <xf numFmtId="0" fontId="9" fillId="10" borderId="0" xfId="0" applyFont="1" applyFill="1" applyBorder="1" applyAlignment="1">
      <alignment horizontal="left"/>
    </xf>
    <xf numFmtId="0" fontId="0" fillId="10" borderId="0" xfId="0" applyFill="1" applyAlignment="1">
      <alignment horizontal="left"/>
    </xf>
    <xf numFmtId="182" fontId="0" fillId="10" borderId="0" xfId="0" applyNumberFormat="1" applyFill="1" applyBorder="1" applyAlignment="1" applyProtection="1">
      <alignment horizontal="right"/>
      <protection hidden="1"/>
    </xf>
    <xf numFmtId="0" fontId="29" fillId="10" borderId="1" xfId="0" quotePrefix="1" applyFont="1" applyFill="1" applyBorder="1" applyAlignment="1" applyProtection="1">
      <protection hidden="1"/>
    </xf>
    <xf numFmtId="0" fontId="4" fillId="0" borderId="59" xfId="0" applyFont="1" applyFill="1" applyBorder="1">
      <alignment horizontal="left" vertical="center"/>
    </xf>
    <xf numFmtId="187" fontId="9" fillId="14" borderId="0" xfId="0" applyNumberFormat="1" applyFont="1" applyFill="1" applyAlignment="1">
      <alignment vertical="center" wrapText="1"/>
    </xf>
    <xf numFmtId="0" fontId="0" fillId="0" borderId="7" xfId="0" applyBorder="1">
      <alignment horizontal="left" vertical="center"/>
    </xf>
    <xf numFmtId="0" fontId="0" fillId="0" borderId="7" xfId="0" applyBorder="1" applyAlignment="1">
      <alignment horizontal="left" vertical="center"/>
    </xf>
    <xf numFmtId="0" fontId="5" fillId="0" borderId="7" xfId="0" applyFont="1" applyBorder="1">
      <alignment horizontal="left" vertical="center"/>
    </xf>
    <xf numFmtId="0" fontId="10" fillId="0" borderId="7" xfId="0" applyFont="1" applyBorder="1">
      <alignment horizontal="left" vertical="center"/>
    </xf>
    <xf numFmtId="0" fontId="5" fillId="0" borderId="7" xfId="0" applyFont="1" applyBorder="1" applyAlignment="1">
      <alignment horizontal="left" vertical="center"/>
    </xf>
    <xf numFmtId="0" fontId="53" fillId="0" borderId="7" xfId="0" applyFont="1" applyBorder="1">
      <alignment horizontal="left" vertical="center"/>
    </xf>
    <xf numFmtId="0" fontId="5" fillId="15" borderId="0" xfId="0" applyFont="1" applyFill="1" applyAlignment="1"/>
    <xf numFmtId="0" fontId="5" fillId="15" borderId="0" xfId="0" applyFont="1" applyFill="1" applyAlignment="1">
      <alignment vertical="center" wrapText="1"/>
    </xf>
    <xf numFmtId="187" fontId="5" fillId="15" borderId="0" xfId="0" applyNumberFormat="1" applyFont="1" applyFill="1" applyAlignment="1">
      <alignment vertical="center" wrapText="1"/>
    </xf>
    <xf numFmtId="0" fontId="5" fillId="0" borderId="7" xfId="0" applyFont="1" applyFill="1" applyBorder="1" applyAlignment="1">
      <alignment horizontal="right"/>
    </xf>
    <xf numFmtId="187" fontId="5" fillId="14" borderId="0" xfId="0" applyNumberFormat="1" applyFont="1" applyFill="1" applyAlignment="1">
      <alignment vertical="center" wrapText="1"/>
    </xf>
    <xf numFmtId="0" fontId="53" fillId="0" borderId="0" xfId="0" applyFont="1" applyFill="1">
      <alignment horizontal="left" vertical="center"/>
    </xf>
    <xf numFmtId="0" fontId="5" fillId="14" borderId="0" xfId="0" applyFont="1" applyFill="1">
      <alignment horizontal="left" vertical="center"/>
    </xf>
    <xf numFmtId="0" fontId="5" fillId="14" borderId="0" xfId="0" applyFont="1" applyFill="1" applyAlignment="1">
      <alignment vertical="center" wrapText="1"/>
    </xf>
    <xf numFmtId="0" fontId="53" fillId="0" borderId="0" xfId="0" applyFont="1" applyFill="1" applyAlignment="1"/>
    <xf numFmtId="0" fontId="29" fillId="0" borderId="0" xfId="0" applyFont="1" applyAlignment="1"/>
    <xf numFmtId="0" fontId="6" fillId="0" borderId="24" xfId="0" applyFont="1" applyBorder="1" applyAlignment="1">
      <alignment horizontal="left"/>
    </xf>
    <xf numFmtId="0" fontId="6" fillId="0" borderId="10" xfId="0" applyFont="1" applyBorder="1" applyAlignment="1">
      <alignment horizontal="right"/>
    </xf>
    <xf numFmtId="0" fontId="6" fillId="0" borderId="0" xfId="0" applyFont="1" applyFill="1" applyBorder="1" applyAlignment="1">
      <alignment horizontal="left"/>
    </xf>
    <xf numFmtId="0" fontId="6" fillId="0" borderId="0" xfId="0" applyFont="1" applyAlignment="1">
      <alignment horizontal="left"/>
    </xf>
    <xf numFmtId="0" fontId="15" fillId="0" borderId="0" xfId="11" applyAlignment="1" applyProtection="1"/>
    <xf numFmtId="0" fontId="29" fillId="0" borderId="0" xfId="0" applyFont="1" applyFill="1" applyBorder="1" applyAlignment="1"/>
    <xf numFmtId="0" fontId="4" fillId="2" borderId="0" xfId="0" applyFont="1" applyFill="1" applyBorder="1" applyAlignment="1">
      <alignment horizontal="right"/>
    </xf>
    <xf numFmtId="0" fontId="29" fillId="0" borderId="0" xfId="0" applyFont="1" applyBorder="1" applyAlignment="1">
      <alignment vertical="top"/>
    </xf>
    <xf numFmtId="0" fontId="6" fillId="0" borderId="0" xfId="0" applyFont="1" applyBorder="1" applyAlignment="1">
      <alignment horizontal="center"/>
    </xf>
    <xf numFmtId="0" fontId="6" fillId="0" borderId="27" xfId="0" applyFont="1" applyBorder="1" applyAlignment="1">
      <alignment horizontal="center"/>
    </xf>
    <xf numFmtId="0" fontId="5" fillId="0" borderId="0" xfId="0" applyFont="1" applyAlignment="1">
      <alignment vertical="top"/>
    </xf>
    <xf numFmtId="0" fontId="4" fillId="0" borderId="0" xfId="0" applyFont="1" applyFill="1" applyAlignment="1">
      <alignment wrapText="1"/>
    </xf>
    <xf numFmtId="0" fontId="5" fillId="14" borderId="0" xfId="0" applyFont="1" applyFill="1" applyAlignment="1">
      <alignment vertical="center"/>
    </xf>
    <xf numFmtId="0" fontId="5" fillId="14" borderId="0" xfId="0" applyNumberFormat="1" applyFont="1" applyFill="1" applyAlignment="1">
      <alignment vertical="center"/>
    </xf>
    <xf numFmtId="182" fontId="5" fillId="14" borderId="0" xfId="0" applyNumberFormat="1" applyFont="1" applyFill="1" applyAlignment="1">
      <alignment vertical="center"/>
    </xf>
    <xf numFmtId="196" fontId="5" fillId="14" borderId="0" xfId="0" applyNumberFormat="1" applyFont="1" applyFill="1" applyAlignment="1">
      <alignment vertical="center"/>
    </xf>
    <xf numFmtId="187" fontId="5" fillId="14" borderId="0" xfId="0" applyNumberFormat="1" applyFont="1" applyFill="1" applyAlignment="1">
      <alignment vertical="center"/>
    </xf>
    <xf numFmtId="0" fontId="5" fillId="14" borderId="12" xfId="0" applyFont="1" applyFill="1" applyBorder="1" applyAlignment="1">
      <alignment vertical="center"/>
    </xf>
    <xf numFmtId="0" fontId="5" fillId="14" borderId="13" xfId="0" applyFont="1" applyFill="1" applyBorder="1" applyAlignment="1">
      <alignment vertical="center"/>
    </xf>
    <xf numFmtId="0" fontId="5" fillId="14" borderId="14" xfId="0" applyFont="1" applyFill="1" applyBorder="1" applyAlignment="1">
      <alignment vertical="center"/>
    </xf>
    <xf numFmtId="189" fontId="4" fillId="0" borderId="0" xfId="6" applyNumberFormat="1" applyFont="1" applyAlignment="1"/>
    <xf numFmtId="194" fontId="4" fillId="0" borderId="0" xfId="27" applyNumberFormat="1" applyFont="1" applyAlignment="1"/>
    <xf numFmtId="196" fontId="4" fillId="0" borderId="0" xfId="0" applyNumberFormat="1" applyFont="1" applyAlignment="1">
      <alignment vertical="center"/>
    </xf>
    <xf numFmtId="190" fontId="4" fillId="0" borderId="0" xfId="6" applyNumberFormat="1" applyFont="1" applyAlignment="1"/>
    <xf numFmtId="0" fontId="4" fillId="0" borderId="0" xfId="9" applyNumberFormat="1" applyFont="1" applyBorder="1" applyAlignment="1"/>
    <xf numFmtId="0" fontId="7" fillId="0" borderId="23" xfId="0" applyFont="1" applyBorder="1" applyAlignment="1"/>
    <xf numFmtId="0" fontId="4" fillId="0" borderId="23" xfId="9" applyNumberFormat="1" applyFont="1" applyBorder="1" applyAlignment="1"/>
    <xf numFmtId="0" fontId="4" fillId="0" borderId="0" xfId="0" quotePrefix="1" applyFont="1" applyAlignment="1"/>
    <xf numFmtId="0" fontId="6" fillId="0" borderId="0" xfId="0" applyFont="1" applyAlignment="1">
      <alignment horizontal="left" vertical="center" indent="1"/>
    </xf>
    <xf numFmtId="0" fontId="5" fillId="0" borderId="0" xfId="0" applyFont="1" applyAlignment="1">
      <alignment horizontal="left" vertical="center" indent="1"/>
    </xf>
    <xf numFmtId="0" fontId="0" fillId="0" borderId="0" xfId="0" quotePrefix="1" applyAlignment="1">
      <alignment horizontal="left" vertical="center" indent="1"/>
    </xf>
    <xf numFmtId="0" fontId="9" fillId="0" borderId="0" xfId="0" applyFont="1" applyAlignment="1">
      <alignment horizontal="left" indent="1"/>
    </xf>
    <xf numFmtId="0" fontId="9" fillId="0" borderId="0" xfId="0" applyFont="1" applyAlignment="1">
      <alignment horizontal="left" vertical="center" indent="1"/>
    </xf>
    <xf numFmtId="0" fontId="23" fillId="0" borderId="0" xfId="0" applyFont="1" applyAlignment="1">
      <alignment horizontal="left" vertical="center" indent="1"/>
    </xf>
    <xf numFmtId="0" fontId="0" fillId="0" borderId="0" xfId="0" applyAlignment="1">
      <alignment horizontal="left" vertical="center" indent="2"/>
    </xf>
    <xf numFmtId="0" fontId="0" fillId="0" borderId="0" xfId="0" applyAlignment="1" applyProtection="1">
      <alignment horizontal="left" indent="1"/>
      <protection hidden="1"/>
    </xf>
    <xf numFmtId="0" fontId="6" fillId="0" borderId="0" xfId="0" applyFont="1" applyFill="1" applyAlignment="1">
      <alignment horizontal="left" indent="1"/>
    </xf>
    <xf numFmtId="0" fontId="9" fillId="0" borderId="0" xfId="0" applyFont="1" applyFill="1" applyAlignment="1">
      <alignment horizontal="left" indent="2"/>
    </xf>
    <xf numFmtId="0" fontId="5" fillId="0" borderId="0" xfId="47" applyFont="1"/>
    <xf numFmtId="0" fontId="53" fillId="0" borderId="0" xfId="0" applyFont="1">
      <alignment horizontal="left" vertical="center"/>
    </xf>
    <xf numFmtId="0" fontId="29" fillId="0" borderId="0" xfId="0" applyFont="1">
      <alignment horizontal="left" vertical="center"/>
    </xf>
    <xf numFmtId="0" fontId="9" fillId="9" borderId="0" xfId="0" applyFont="1" applyFill="1" applyBorder="1" applyAlignment="1" applyProtection="1">
      <protection hidden="1"/>
    </xf>
    <xf numFmtId="0" fontId="9" fillId="9" borderId="0" xfId="0" applyFont="1" applyFill="1" applyAlignment="1">
      <alignment vertical="center"/>
    </xf>
    <xf numFmtId="0" fontId="5" fillId="10" borderId="0" xfId="0" applyFont="1" applyFill="1" applyAlignment="1">
      <alignment horizontal="left"/>
    </xf>
    <xf numFmtId="0" fontId="5" fillId="10" borderId="0" xfId="0" applyFont="1" applyFill="1" applyAlignment="1"/>
    <xf numFmtId="0" fontId="0" fillId="4" borderId="76" xfId="0" applyFill="1" applyBorder="1" applyAlignment="1"/>
    <xf numFmtId="0" fontId="30" fillId="0" borderId="79" xfId="0" applyFont="1" applyBorder="1" applyAlignment="1"/>
    <xf numFmtId="0" fontId="18" fillId="4" borderId="22" xfId="0" applyFont="1" applyFill="1" applyBorder="1" applyAlignment="1">
      <alignment horizontal="left"/>
    </xf>
    <xf numFmtId="0" fontId="12" fillId="4" borderId="22" xfId="0" applyFont="1" applyFill="1" applyBorder="1" applyAlignment="1">
      <alignment horizontal="left"/>
    </xf>
    <xf numFmtId="0" fontId="0" fillId="4" borderId="22" xfId="0" applyFill="1" applyBorder="1" applyAlignment="1">
      <alignment horizontal="left"/>
    </xf>
    <xf numFmtId="185" fontId="0" fillId="4" borderId="22" xfId="27" applyNumberFormat="1" applyFont="1" applyFill="1" applyBorder="1" applyAlignment="1" applyProtection="1"/>
    <xf numFmtId="0" fontId="13" fillId="4" borderId="22" xfId="0" applyFont="1" applyFill="1" applyBorder="1" applyAlignment="1">
      <alignment horizontal="left"/>
    </xf>
    <xf numFmtId="0" fontId="9" fillId="10" borderId="0" xfId="0" applyFont="1" applyFill="1" applyAlignment="1">
      <alignment horizontal="left"/>
    </xf>
    <xf numFmtId="0" fontId="13" fillId="10" borderId="0" xfId="0" applyFont="1" applyFill="1" applyAlignment="1">
      <alignment horizontal="left"/>
    </xf>
    <xf numFmtId="0" fontId="42" fillId="4" borderId="80" xfId="0" applyFont="1" applyFill="1" applyBorder="1" applyAlignment="1"/>
    <xf numFmtId="0" fontId="4" fillId="4" borderId="81" xfId="0" applyFont="1" applyFill="1" applyBorder="1" applyAlignment="1"/>
    <xf numFmtId="0" fontId="0" fillId="4" borderId="81" xfId="0" applyFill="1" applyBorder="1" applyAlignment="1"/>
    <xf numFmtId="0" fontId="0" fillId="4" borderId="78" xfId="0" applyFill="1" applyBorder="1" applyAlignment="1"/>
    <xf numFmtId="0" fontId="5" fillId="10" borderId="7" xfId="0" applyFont="1" applyFill="1" applyBorder="1" applyAlignment="1">
      <alignment horizontal="right"/>
    </xf>
    <xf numFmtId="0" fontId="5" fillId="10" borderId="7" xfId="0" applyFont="1" applyFill="1" applyBorder="1" applyAlignment="1"/>
    <xf numFmtId="0" fontId="0" fillId="4" borderId="7" xfId="0" applyFill="1" applyBorder="1" applyAlignment="1">
      <alignment horizontal="left"/>
    </xf>
    <xf numFmtId="0" fontId="0" fillId="4" borderId="8" xfId="0" applyFill="1" applyBorder="1" applyAlignment="1">
      <alignment horizontal="left"/>
    </xf>
    <xf numFmtId="0" fontId="0" fillId="4" borderId="82" xfId="0" applyFill="1" applyBorder="1" applyAlignment="1" applyProtection="1">
      <protection hidden="1"/>
    </xf>
    <xf numFmtId="0" fontId="0" fillId="4" borderId="83" xfId="0" applyFill="1" applyBorder="1" applyAlignment="1" applyProtection="1">
      <protection hidden="1"/>
    </xf>
    <xf numFmtId="0" fontId="29" fillId="4" borderId="0" xfId="0" applyFont="1" applyFill="1" applyBorder="1" applyAlignment="1"/>
    <xf numFmtId="0" fontId="9" fillId="4" borderId="7" xfId="0" applyFont="1" applyFill="1" applyBorder="1" applyAlignment="1"/>
    <xf numFmtId="0" fontId="4" fillId="10" borderId="7" xfId="0" applyFont="1" applyFill="1" applyBorder="1" applyAlignment="1">
      <alignment horizontal="left"/>
    </xf>
    <xf numFmtId="0" fontId="4" fillId="0" borderId="0" xfId="0" applyFont="1" applyBorder="1" applyAlignment="1">
      <alignment horizontal="center"/>
    </xf>
    <xf numFmtId="0" fontId="4" fillId="0" borderId="0" xfId="0" applyFont="1" applyFill="1" applyAlignment="1">
      <alignment horizontal="right"/>
    </xf>
    <xf numFmtId="0" fontId="5" fillId="10" borderId="0" xfId="9" applyNumberFormat="1" applyFont="1" applyFill="1" applyBorder="1" applyAlignment="1">
      <alignment horizontal="right"/>
    </xf>
    <xf numFmtId="9" fontId="5" fillId="4" borderId="0" xfId="27" applyFont="1" applyFill="1" applyBorder="1" applyProtection="1">
      <protection locked="0"/>
    </xf>
    <xf numFmtId="187" fontId="5" fillId="4" borderId="0" xfId="0" applyNumberFormat="1" applyFont="1" applyFill="1" applyBorder="1" applyAlignment="1" applyProtection="1">
      <alignment horizontal="right"/>
      <protection locked="0"/>
    </xf>
    <xf numFmtId="0" fontId="0" fillId="4" borderId="22" xfId="0" applyFill="1" applyBorder="1" applyAlignment="1"/>
    <xf numFmtId="0" fontId="13" fillId="4" borderId="22" xfId="0" applyFont="1" applyFill="1" applyBorder="1" applyAlignment="1"/>
    <xf numFmtId="0" fontId="30" fillId="4" borderId="22" xfId="0" applyFont="1" applyFill="1" applyBorder="1" applyAlignment="1">
      <alignment horizontal="right"/>
    </xf>
    <xf numFmtId="185" fontId="30" fillId="0" borderId="22" xfId="0" applyNumberFormat="1" applyFont="1" applyBorder="1" applyAlignment="1"/>
    <xf numFmtId="0" fontId="46" fillId="4" borderId="76" xfId="0" applyFont="1" applyFill="1" applyBorder="1" applyAlignment="1"/>
    <xf numFmtId="0" fontId="5" fillId="10" borderId="46" xfId="27" applyNumberFormat="1" applyFont="1" applyFill="1" applyBorder="1" applyAlignment="1">
      <alignment horizontal="right"/>
    </xf>
    <xf numFmtId="0" fontId="9" fillId="4" borderId="76" xfId="0" applyFont="1" applyFill="1" applyBorder="1" applyAlignment="1"/>
    <xf numFmtId="0" fontId="9" fillId="10" borderId="33" xfId="27" applyNumberFormat="1" applyFont="1" applyFill="1" applyBorder="1" applyAlignment="1">
      <alignment horizontal="right"/>
    </xf>
    <xf numFmtId="187" fontId="4" fillId="10" borderId="0" xfId="1" applyNumberFormat="1" applyFill="1" applyBorder="1">
      <protection locked="0"/>
    </xf>
    <xf numFmtId="0" fontId="4" fillId="4" borderId="0" xfId="0" quotePrefix="1" applyFont="1" applyFill="1" applyBorder="1" applyAlignment="1"/>
    <xf numFmtId="0" fontId="4" fillId="4" borderId="7" xfId="0" quotePrefix="1" applyFont="1" applyFill="1" applyBorder="1" applyAlignment="1"/>
    <xf numFmtId="0" fontId="15" fillId="4" borderId="0" xfId="11" applyFill="1" applyAlignment="1" applyProtection="1">
      <alignment vertical="center"/>
    </xf>
    <xf numFmtId="0" fontId="7" fillId="0" borderId="0" xfId="9" applyNumberFormat="1" applyFont="1" applyBorder="1" applyAlignment="1"/>
    <xf numFmtId="0" fontId="0" fillId="0" borderId="0" xfId="9" applyNumberFormat="1" applyFont="1" applyBorder="1" applyAlignment="1"/>
    <xf numFmtId="0" fontId="7" fillId="0" borderId="0" xfId="9" applyNumberFormat="1" applyFont="1" applyBorder="1"/>
    <xf numFmtId="9" fontId="4" fillId="2" borderId="0" xfId="27" applyFill="1" applyBorder="1" applyAlignment="1" applyProtection="1">
      <protection locked="0"/>
    </xf>
    <xf numFmtId="0" fontId="11" fillId="0" borderId="0" xfId="0" applyFont="1" applyFill="1" applyBorder="1" applyAlignment="1"/>
    <xf numFmtId="0" fontId="4" fillId="0" borderId="27" xfId="0" applyFont="1" applyBorder="1" applyAlignment="1"/>
    <xf numFmtId="0" fontId="4" fillId="2" borderId="23" xfId="0" applyFont="1" applyFill="1" applyBorder="1" applyAlignment="1"/>
    <xf numFmtId="0" fontId="4" fillId="2" borderId="29" xfId="0" applyFont="1" applyFill="1" applyBorder="1" applyAlignment="1"/>
    <xf numFmtId="0" fontId="7" fillId="0" borderId="76" xfId="0" applyFont="1" applyBorder="1" applyAlignment="1">
      <alignment vertical="center"/>
    </xf>
    <xf numFmtId="0" fontId="0" fillId="0" borderId="76" xfId="0" applyBorder="1" applyAlignment="1"/>
    <xf numFmtId="0" fontId="0" fillId="0" borderId="78" xfId="0" applyBorder="1" applyAlignment="1"/>
    <xf numFmtId="0" fontId="0" fillId="0" borderId="81" xfId="0" applyBorder="1" applyAlignment="1"/>
    <xf numFmtId="185" fontId="0" fillId="0" borderId="0" xfId="9" applyNumberFormat="1" applyFont="1"/>
    <xf numFmtId="0" fontId="4" fillId="0" borderId="0" xfId="0" applyFont="1" applyFill="1" applyBorder="1" applyAlignment="1"/>
    <xf numFmtId="185" fontId="4" fillId="0" borderId="0" xfId="9" applyNumberFormat="1" applyFont="1" applyFill="1" applyBorder="1"/>
    <xf numFmtId="0" fontId="53" fillId="0" borderId="0" xfId="0" applyFont="1" applyFill="1" applyBorder="1" applyAlignment="1"/>
    <xf numFmtId="0" fontId="4" fillId="0" borderId="0" xfId="0" applyFont="1" applyFill="1" applyBorder="1" applyAlignment="1">
      <alignment horizontal="left"/>
    </xf>
    <xf numFmtId="199" fontId="4" fillId="2" borderId="0" xfId="6" applyNumberFormat="1" applyFont="1" applyFill="1"/>
    <xf numFmtId="0" fontId="4" fillId="6" borderId="0" xfId="0" applyFont="1" applyFill="1" applyAlignment="1">
      <alignment horizontal="left"/>
    </xf>
    <xf numFmtId="0" fontId="4" fillId="0" borderId="0" xfId="0" applyFont="1" applyFill="1" applyBorder="1" applyAlignment="1" applyProtection="1">
      <protection hidden="1"/>
    </xf>
    <xf numFmtId="0" fontId="4" fillId="4" borderId="0" xfId="0" applyFont="1" applyFill="1" applyAlignment="1">
      <alignment horizontal="right"/>
    </xf>
    <xf numFmtId="0" fontId="5" fillId="4" borderId="0" xfId="0" applyFont="1" applyFill="1" applyAlignment="1">
      <alignment horizontal="right"/>
    </xf>
    <xf numFmtId="187" fontId="0" fillId="2" borderId="0" xfId="0" applyNumberFormat="1" applyFill="1" applyAlignment="1" applyProtection="1">
      <protection locked="0"/>
    </xf>
    <xf numFmtId="0" fontId="30" fillId="4" borderId="86" xfId="0" applyFont="1" applyFill="1" applyBorder="1" applyAlignment="1">
      <alignment horizontal="right"/>
    </xf>
    <xf numFmtId="9" fontId="4" fillId="0" borderId="0" xfId="27" quotePrefix="1" applyFont="1"/>
    <xf numFmtId="0" fontId="52" fillId="4" borderId="0" xfId="0" quotePrefix="1" applyFont="1" applyFill="1" applyAlignment="1"/>
    <xf numFmtId="0" fontId="5" fillId="4" borderId="0" xfId="0" quotePrefix="1" applyFont="1" applyFill="1" applyAlignment="1"/>
    <xf numFmtId="0" fontId="4" fillId="10" borderId="0" xfId="0" applyFont="1" applyFill="1" applyAlignment="1">
      <alignment horizontal="left"/>
    </xf>
    <xf numFmtId="0" fontId="4" fillId="6" borderId="0" xfId="0" applyFont="1" applyFill="1" applyAlignment="1" applyProtection="1">
      <protection locked="0"/>
    </xf>
    <xf numFmtId="0" fontId="60" fillId="4" borderId="76" xfId="0" applyFont="1" applyFill="1" applyBorder="1" applyAlignment="1"/>
    <xf numFmtId="185" fontId="4" fillId="0" borderId="0" xfId="9" applyNumberFormat="1" applyFont="1" applyFill="1" applyAlignment="1"/>
    <xf numFmtId="0" fontId="4" fillId="0" borderId="0" xfId="1" applyFill="1" applyAlignment="1">
      <alignment horizontal="right"/>
      <protection locked="0"/>
    </xf>
    <xf numFmtId="0" fontId="4" fillId="4" borderId="0" xfId="0" applyFont="1" applyFill="1" applyAlignment="1">
      <alignment horizontal="left"/>
    </xf>
    <xf numFmtId="0" fontId="4" fillId="10" borderId="0" xfId="0" applyFont="1" applyFill="1" applyAlignment="1"/>
    <xf numFmtId="0" fontId="4" fillId="0" borderId="0" xfId="0" applyFont="1" applyAlignment="1">
      <alignment horizontal="right"/>
    </xf>
    <xf numFmtId="43" fontId="4" fillId="0" borderId="0" xfId="0" applyNumberFormat="1" applyFont="1" applyAlignment="1"/>
    <xf numFmtId="43" fontId="4" fillId="0" borderId="0" xfId="0" applyNumberFormat="1" applyFont="1" applyFill="1" applyAlignment="1"/>
    <xf numFmtId="0" fontId="4" fillId="0" borderId="0" xfId="0" applyFont="1" applyAlignment="1">
      <alignment horizontal="right" vertical="center"/>
    </xf>
    <xf numFmtId="0" fontId="4" fillId="0" borderId="0" xfId="0" applyFont="1" applyAlignment="1" applyProtection="1">
      <alignment horizontal="left"/>
      <protection hidden="1"/>
    </xf>
    <xf numFmtId="0" fontId="4" fillId="0" borderId="0" xfId="9" applyNumberFormat="1" applyFont="1" applyAlignment="1">
      <alignment horizontal="right"/>
    </xf>
    <xf numFmtId="0" fontId="4" fillId="0" borderId="0" xfId="0" applyNumberFormat="1" applyFont="1" applyFill="1" applyAlignment="1"/>
    <xf numFmtId="0" fontId="4" fillId="0" borderId="0" xfId="27" applyNumberFormat="1" applyFont="1" applyFill="1"/>
    <xf numFmtId="0" fontId="4" fillId="0" borderId="0" xfId="0" applyFont="1" applyFill="1" applyAlignment="1" applyProtection="1">
      <protection hidden="1"/>
    </xf>
    <xf numFmtId="186" fontId="4" fillId="0" borderId="0" xfId="0" applyNumberFormat="1" applyFont="1" applyFill="1" applyAlignment="1"/>
    <xf numFmtId="0" fontId="4" fillId="10" borderId="0" xfId="0" applyFont="1" applyFill="1" applyBorder="1" applyAlignment="1">
      <alignment horizontal="left"/>
    </xf>
    <xf numFmtId="185" fontId="4" fillId="10" borderId="0" xfId="9" applyNumberFormat="1" applyFont="1" applyFill="1" applyBorder="1" applyProtection="1"/>
    <xf numFmtId="186" fontId="4" fillId="10" borderId="0" xfId="0" applyNumberFormat="1" applyFont="1" applyFill="1" applyAlignment="1">
      <alignment horizontal="left"/>
    </xf>
    <xf numFmtId="185" fontId="0" fillId="0" borderId="0" xfId="9" applyNumberFormat="1" applyFont="1" applyBorder="1" applyAlignment="1"/>
    <xf numFmtId="185" fontId="0" fillId="0" borderId="23" xfId="9" applyNumberFormat="1" applyFont="1" applyBorder="1" applyAlignment="1"/>
    <xf numFmtId="0" fontId="53" fillId="0" borderId="0" xfId="0" applyFont="1" applyAlignment="1">
      <alignment vertical="center"/>
    </xf>
    <xf numFmtId="0" fontId="0" fillId="0" borderId="27" xfId="9" applyNumberFormat="1" applyFont="1" applyBorder="1" applyAlignment="1"/>
    <xf numFmtId="0" fontId="0" fillId="0" borderId="23" xfId="9" applyNumberFormat="1" applyFont="1" applyBorder="1" applyAlignment="1"/>
    <xf numFmtId="0" fontId="0" fillId="0" borderId="29" xfId="9" applyNumberFormat="1" applyFont="1" applyBorder="1" applyAlignment="1"/>
    <xf numFmtId="0" fontId="6" fillId="0" borderId="10" xfId="0" applyNumberFormat="1" applyFont="1" applyBorder="1" applyAlignment="1"/>
    <xf numFmtId="0" fontId="6" fillId="0" borderId="25" xfId="0" applyNumberFormat="1" applyFont="1" applyBorder="1" applyAlignment="1"/>
    <xf numFmtId="0" fontId="0" fillId="10" borderId="0" xfId="0" quotePrefix="1" applyFill="1" applyAlignment="1">
      <alignment horizontal="right"/>
    </xf>
    <xf numFmtId="0" fontId="56" fillId="2" borderId="0" xfId="0" applyFont="1" applyFill="1" applyAlignment="1"/>
    <xf numFmtId="181" fontId="56" fillId="2" borderId="0" xfId="6" applyNumberFormat="1" applyFont="1" applyFill="1"/>
    <xf numFmtId="9" fontId="56" fillId="2" borderId="0" xfId="27" applyFont="1" applyFill="1"/>
    <xf numFmtId="187" fontId="56" fillId="2" borderId="0" xfId="6" applyNumberFormat="1" applyFont="1" applyFill="1"/>
    <xf numFmtId="0" fontId="4" fillId="2" borderId="0" xfId="31" applyNumberFormat="1">
      <alignment horizontal="right"/>
      <protection locked="0"/>
    </xf>
    <xf numFmtId="0" fontId="56" fillId="0" borderId="0" xfId="53" applyFont="1"/>
    <xf numFmtId="0" fontId="61" fillId="0" borderId="0" xfId="53" applyFont="1"/>
    <xf numFmtId="0" fontId="11" fillId="0" borderId="0" xfId="53" applyFont="1"/>
    <xf numFmtId="0" fontId="56" fillId="0" borderId="0" xfId="29" applyFont="1"/>
    <xf numFmtId="0" fontId="0" fillId="0" borderId="7" xfId="0" applyFill="1" applyBorder="1" applyAlignment="1"/>
    <xf numFmtId="0" fontId="5" fillId="0" borderId="81" xfId="0" applyFont="1" applyFill="1" applyBorder="1" applyAlignment="1"/>
    <xf numFmtId="0" fontId="0" fillId="0" borderId="22" xfId="0" applyFill="1" applyBorder="1" applyAlignment="1"/>
    <xf numFmtId="0" fontId="4" fillId="0" borderId="22" xfId="0" applyFont="1" applyFill="1" applyBorder="1" applyAlignment="1"/>
    <xf numFmtId="0" fontId="0" fillId="0" borderId="81" xfId="0" applyFill="1" applyBorder="1" applyAlignment="1"/>
    <xf numFmtId="0" fontId="4" fillId="0" borderId="81" xfId="0" applyFont="1" applyFill="1" applyBorder="1" applyAlignment="1"/>
    <xf numFmtId="0" fontId="4" fillId="0" borderId="7" xfId="0" applyFont="1" applyFill="1" applyBorder="1" applyAlignment="1"/>
    <xf numFmtId="0" fontId="7" fillId="0" borderId="7" xfId="0" applyFont="1" applyFill="1" applyBorder="1" applyAlignment="1"/>
    <xf numFmtId="3" fontId="5" fillId="0" borderId="81" xfId="0" applyNumberFormat="1" applyFont="1" applyFill="1" applyBorder="1" applyAlignment="1"/>
    <xf numFmtId="0" fontId="62" fillId="0" borderId="0" xfId="0" applyFont="1" applyFill="1" applyAlignment="1"/>
    <xf numFmtId="177" fontId="0" fillId="0" borderId="7" xfId="0" applyNumberFormat="1" applyFill="1" applyBorder="1" applyAlignment="1"/>
    <xf numFmtId="0" fontId="5" fillId="10" borderId="0" xfId="47" applyFont="1" applyFill="1" applyAlignment="1">
      <alignment horizontal="center" vertical="center"/>
    </xf>
    <xf numFmtId="0" fontId="4" fillId="10" borderId="0" xfId="47" applyFill="1"/>
    <xf numFmtId="49" fontId="4" fillId="10" borderId="7" xfId="47" applyNumberFormat="1" applyFill="1" applyBorder="1" applyAlignment="1">
      <alignment horizontal="center" vertical="center"/>
    </xf>
    <xf numFmtId="0" fontId="22" fillId="10" borderId="0" xfId="47" applyFont="1" applyFill="1" applyAlignment="1">
      <alignment horizontal="left" vertical="center"/>
    </xf>
    <xf numFmtId="0" fontId="4" fillId="10" borderId="0" xfId="47" applyFill="1" applyAlignment="1">
      <alignment vertical="center"/>
    </xf>
    <xf numFmtId="0" fontId="4" fillId="10" borderId="0" xfId="47" applyFill="1" applyAlignment="1">
      <alignment vertical="center" wrapText="1"/>
    </xf>
    <xf numFmtId="0" fontId="4" fillId="10" borderId="0" xfId="47" applyFill="1" applyAlignment="1">
      <alignment horizontal="left" vertical="center" indent="2"/>
    </xf>
    <xf numFmtId="0" fontId="15" fillId="10" borderId="0" xfId="54" applyFill="1" applyAlignment="1" applyProtection="1">
      <alignment vertical="center"/>
    </xf>
    <xf numFmtId="0" fontId="7" fillId="0" borderId="7" xfId="0" applyFont="1" applyFill="1" applyBorder="1" applyAlignment="1">
      <alignment horizontal="left"/>
    </xf>
    <xf numFmtId="3" fontId="0" fillId="0" borderId="0" xfId="0" applyNumberFormat="1" applyFill="1" applyAlignment="1"/>
    <xf numFmtId="4" fontId="0" fillId="0" borderId="0" xfId="0" applyNumberFormat="1" applyFill="1" applyAlignment="1"/>
    <xf numFmtId="0" fontId="7" fillId="0" borderId="0" xfId="0" applyFont="1" applyFill="1" applyBorder="1" applyAlignment="1"/>
    <xf numFmtId="4" fontId="0" fillId="0" borderId="0" xfId="0" applyNumberFormat="1" applyFill="1" applyBorder="1" applyAlignment="1"/>
    <xf numFmtId="0" fontId="4" fillId="0" borderId="7" xfId="0" applyFont="1" applyFill="1" applyBorder="1" applyAlignment="1">
      <alignment horizontal="center"/>
    </xf>
    <xf numFmtId="0" fontId="7" fillId="0" borderId="81" xfId="0" applyFont="1" applyFill="1" applyBorder="1" applyAlignment="1"/>
    <xf numFmtId="1" fontId="0" fillId="0" borderId="81" xfId="0" applyNumberFormat="1" applyFill="1" applyBorder="1" applyAlignment="1"/>
    <xf numFmtId="4" fontId="0" fillId="0" borderId="22" xfId="0" applyNumberFormat="1" applyFill="1" applyBorder="1" applyAlignment="1"/>
    <xf numFmtId="0" fontId="0" fillId="0" borderId="22" xfId="0" applyFill="1" applyBorder="1" applyAlignment="1">
      <alignment horizontal="right"/>
    </xf>
    <xf numFmtId="4" fontId="0" fillId="0" borderId="81" xfId="0" applyNumberFormat="1" applyFill="1" applyBorder="1" applyAlignment="1"/>
    <xf numFmtId="0" fontId="0" fillId="0" borderId="81" xfId="0" applyFill="1" applyBorder="1" applyAlignment="1">
      <alignment horizontal="right"/>
    </xf>
    <xf numFmtId="4" fontId="0" fillId="0" borderId="7" xfId="0" applyNumberFormat="1" applyFill="1" applyBorder="1" applyAlignment="1"/>
    <xf numFmtId="0" fontId="0" fillId="0" borderId="7" xfId="0" applyFill="1" applyBorder="1" applyAlignment="1">
      <alignment horizontal="right"/>
    </xf>
    <xf numFmtId="0" fontId="0" fillId="0" borderId="0" xfId="0" applyFill="1" applyBorder="1" applyAlignment="1">
      <alignment horizontal="right"/>
    </xf>
    <xf numFmtId="1" fontId="4" fillId="0" borderId="7" xfId="0" applyNumberFormat="1" applyFont="1" applyFill="1" applyBorder="1" applyAlignment="1">
      <alignment horizontal="center"/>
    </xf>
    <xf numFmtId="0" fontId="5" fillId="0" borderId="44" xfId="0" applyFont="1" applyFill="1" applyBorder="1" applyAlignment="1"/>
    <xf numFmtId="0" fontId="7" fillId="0" borderId="22" xfId="0" applyFont="1" applyFill="1" applyBorder="1" applyAlignment="1"/>
    <xf numFmtId="0" fontId="0" fillId="0" borderId="45" xfId="0" applyFill="1" applyBorder="1" applyAlignment="1"/>
    <xf numFmtId="0" fontId="7" fillId="0" borderId="0" xfId="0" applyFont="1" applyFill="1" applyAlignment="1">
      <alignment horizontal="left"/>
    </xf>
    <xf numFmtId="1" fontId="4" fillId="0" borderId="81" xfId="0" applyNumberFormat="1" applyFont="1" applyFill="1" applyBorder="1" applyAlignment="1"/>
    <xf numFmtId="0" fontId="4" fillId="0" borderId="81" xfId="0" applyNumberFormat="1" applyFont="1" applyFill="1" applyBorder="1" applyAlignment="1"/>
    <xf numFmtId="1" fontId="4" fillId="0" borderId="7" xfId="0" applyNumberFormat="1" applyFont="1" applyFill="1" applyBorder="1" applyAlignment="1"/>
    <xf numFmtId="0" fontId="4" fillId="0" borderId="7" xfId="0" applyNumberFormat="1" applyFont="1" applyFill="1" applyBorder="1" applyAlignment="1"/>
    <xf numFmtId="2" fontId="0" fillId="0" borderId="0" xfId="0" applyNumberFormat="1" applyFill="1" applyAlignment="1"/>
    <xf numFmtId="1" fontId="4" fillId="0" borderId="0" xfId="0" applyNumberFormat="1" applyFont="1" applyFill="1" applyAlignment="1"/>
    <xf numFmtId="3" fontId="4" fillId="0" borderId="0" xfId="0" applyNumberFormat="1" applyFont="1" applyFill="1" applyAlignment="1"/>
    <xf numFmtId="0" fontId="7" fillId="0" borderId="0" xfId="0" applyFont="1" applyFill="1" applyBorder="1" applyAlignment="1">
      <alignment horizontal="left"/>
    </xf>
    <xf numFmtId="4" fontId="4" fillId="0" borderId="0" xfId="0" applyNumberFormat="1" applyFont="1" applyFill="1" applyAlignment="1"/>
    <xf numFmtId="0" fontId="4" fillId="0" borderId="0" xfId="0" quotePrefix="1" applyFont="1" applyFill="1" applyAlignment="1"/>
    <xf numFmtId="4" fontId="4" fillId="0" borderId="0" xfId="9" applyNumberFormat="1" applyFont="1" applyFill="1"/>
    <xf numFmtId="0" fontId="7" fillId="0" borderId="81" xfId="0" applyFont="1" applyFill="1" applyBorder="1" applyAlignment="1">
      <alignment horizontal="left"/>
    </xf>
    <xf numFmtId="200" fontId="63" fillId="0" borderId="81" xfId="0" applyNumberFormat="1" applyFont="1" applyFill="1" applyBorder="1" applyAlignment="1"/>
    <xf numFmtId="0" fontId="64" fillId="0" borderId="0" xfId="0" applyFont="1" applyFill="1" applyAlignment="1"/>
    <xf numFmtId="0" fontId="65" fillId="0" borderId="0" xfId="0" applyFont="1" applyFill="1" applyAlignment="1"/>
    <xf numFmtId="0" fontId="66" fillId="0" borderId="0" xfId="0" applyFont="1" applyFill="1" applyAlignment="1"/>
    <xf numFmtId="0" fontId="7" fillId="0" borderId="7" xfId="0" applyFont="1" applyFill="1" applyBorder="1" applyAlignment="1">
      <alignment horizontal="center"/>
    </xf>
    <xf numFmtId="201" fontId="0" fillId="0" borderId="0" xfId="0" applyNumberFormat="1" applyFill="1" applyAlignment="1"/>
    <xf numFmtId="0" fontId="10" fillId="0" borderId="22" xfId="0" applyFont="1" applyFill="1" applyBorder="1" applyAlignment="1">
      <alignment horizontal="left"/>
    </xf>
    <xf numFmtId="0" fontId="29" fillId="0" borderId="22" xfId="0" applyFont="1" applyFill="1" applyBorder="1" applyAlignment="1"/>
    <xf numFmtId="0" fontId="11" fillId="0" borderId="22" xfId="0" applyFont="1" applyFill="1" applyBorder="1" applyAlignment="1"/>
    <xf numFmtId="0" fontId="10" fillId="0" borderId="22" xfId="0" applyFont="1" applyFill="1" applyBorder="1" applyAlignment="1"/>
    <xf numFmtId="3" fontId="0" fillId="0" borderId="7" xfId="0" applyNumberFormat="1" applyFill="1" applyBorder="1" applyAlignment="1"/>
    <xf numFmtId="185" fontId="4" fillId="0" borderId="0" xfId="9" applyNumberFormat="1" applyFill="1"/>
    <xf numFmtId="191" fontId="0" fillId="0" borderId="0" xfId="27" applyNumberFormat="1" applyFont="1" applyFill="1"/>
    <xf numFmtId="0" fontId="0" fillId="0" borderId="0" xfId="0" applyNumberFormat="1" applyFill="1" applyAlignment="1"/>
    <xf numFmtId="0" fontId="67" fillId="0" borderId="0" xfId="0" applyFont="1" applyFill="1" applyAlignment="1"/>
    <xf numFmtId="180" fontId="0" fillId="0" borderId="0" xfId="6" applyNumberFormat="1" applyFont="1" applyFill="1"/>
    <xf numFmtId="10" fontId="0" fillId="0" borderId="0" xfId="0" applyNumberFormat="1" applyFill="1" applyAlignment="1"/>
    <xf numFmtId="43" fontId="0" fillId="0" borderId="0" xfId="6" applyFont="1" applyFill="1"/>
    <xf numFmtId="9" fontId="4" fillId="0" borderId="0" xfId="27" applyFill="1"/>
    <xf numFmtId="10" fontId="0" fillId="0" borderId="0" xfId="27" applyNumberFormat="1" applyFont="1" applyFill="1"/>
    <xf numFmtId="0" fontId="4" fillId="0" borderId="0" xfId="11" applyFont="1" applyFill="1" applyAlignment="1" applyProtection="1"/>
    <xf numFmtId="0" fontId="0" fillId="0" borderId="0" xfId="0" applyFill="1" applyAlignment="1">
      <alignment horizontal="center" wrapText="1"/>
    </xf>
    <xf numFmtId="0" fontId="0" fillId="0" borderId="0" xfId="0" applyFill="1" applyAlignment="1">
      <alignment horizontal="center"/>
    </xf>
    <xf numFmtId="187" fontId="0" fillId="0" borderId="0" xfId="0" applyNumberFormat="1" applyFill="1" applyAlignment="1">
      <alignment horizontal="center"/>
    </xf>
    <xf numFmtId="1" fontId="0" fillId="0" borderId="0" xfId="0" applyNumberFormat="1" applyFill="1" applyAlignment="1">
      <alignment horizontal="center"/>
    </xf>
    <xf numFmtId="183" fontId="0" fillId="0" borderId="0" xfId="0" applyNumberFormat="1" applyFill="1" applyAlignment="1"/>
    <xf numFmtId="10" fontId="5" fillId="0" borderId="0" xfId="0" applyNumberFormat="1" applyFont="1" applyFill="1" applyAlignment="1"/>
    <xf numFmtId="10" fontId="6" fillId="0" borderId="0" xfId="0" applyNumberFormat="1" applyFont="1" applyFill="1" applyAlignment="1"/>
    <xf numFmtId="183" fontId="6" fillId="0" borderId="0" xfId="0" applyNumberFormat="1" applyFont="1" applyFill="1" applyAlignment="1"/>
    <xf numFmtId="1" fontId="0" fillId="0" borderId="0" xfId="6" applyNumberFormat="1" applyFont="1" applyFill="1"/>
    <xf numFmtId="22" fontId="0" fillId="0" borderId="0" xfId="0" applyNumberFormat="1" applyFill="1" applyAlignment="1"/>
    <xf numFmtId="0" fontId="0" fillId="0" borderId="33" xfId="9" applyNumberFormat="1" applyFont="1" applyBorder="1" applyProtection="1"/>
    <xf numFmtId="179" fontId="5" fillId="16" borderId="0" xfId="9" applyFont="1" applyFill="1" applyBorder="1" applyAlignment="1" applyProtection="1">
      <alignment horizontal="right"/>
      <protection hidden="1"/>
    </xf>
    <xf numFmtId="0" fontId="5" fillId="16" borderId="0" xfId="0" quotePrefix="1" applyFont="1" applyFill="1" applyBorder="1" applyAlignment="1" applyProtection="1">
      <protection hidden="1"/>
    </xf>
    <xf numFmtId="0" fontId="0" fillId="16" borderId="0" xfId="0" applyFill="1" applyAlignment="1">
      <alignment horizontal="left" vertical="center" indent="1"/>
    </xf>
    <xf numFmtId="0" fontId="7" fillId="16" borderId="0" xfId="0" applyFont="1" applyFill="1" applyAlignment="1">
      <alignment horizontal="left" vertical="center"/>
    </xf>
    <xf numFmtId="181" fontId="9" fillId="16" borderId="0" xfId="6" applyNumberFormat="1" applyFont="1" applyFill="1"/>
    <xf numFmtId="0" fontId="0" fillId="16" borderId="0" xfId="0" applyFill="1">
      <alignment horizontal="left" vertical="center"/>
    </xf>
    <xf numFmtId="185" fontId="9" fillId="16" borderId="0" xfId="9" applyNumberFormat="1" applyFont="1" applyFill="1"/>
    <xf numFmtId="0" fontId="0" fillId="16" borderId="0" xfId="0" quotePrefix="1" applyFill="1">
      <alignment horizontal="left" vertical="center"/>
    </xf>
    <xf numFmtId="0" fontId="0" fillId="16" borderId="0" xfId="0" applyFill="1" applyAlignment="1"/>
    <xf numFmtId="2" fontId="0" fillId="16" borderId="0" xfId="0" applyNumberFormat="1" applyFill="1" applyAlignment="1"/>
    <xf numFmtId="0" fontId="0" fillId="16" borderId="0" xfId="0" applyFill="1" applyAlignment="1">
      <alignment horizontal="right"/>
    </xf>
    <xf numFmtId="181" fontId="5" fillId="16" borderId="0" xfId="6" applyNumberFormat="1" applyFont="1" applyFill="1" applyBorder="1" applyProtection="1">
      <protection hidden="1"/>
    </xf>
    <xf numFmtId="0" fontId="17" fillId="16" borderId="0" xfId="0" applyFont="1" applyFill="1" applyBorder="1" applyAlignment="1" applyProtection="1">
      <protection hidden="1"/>
    </xf>
    <xf numFmtId="0" fontId="7" fillId="16" borderId="0" xfId="0" applyFont="1" applyFill="1" applyAlignment="1"/>
    <xf numFmtId="4" fontId="4" fillId="16" borderId="0" xfId="9" applyNumberFormat="1" applyFont="1" applyFill="1"/>
    <xf numFmtId="0" fontId="4" fillId="16" borderId="0" xfId="0" applyFont="1" applyFill="1" applyAlignment="1"/>
    <xf numFmtId="0" fontId="4" fillId="16" borderId="0" xfId="0" quotePrefix="1" applyFont="1" applyFill="1" applyAlignment="1"/>
    <xf numFmtId="2" fontId="0" fillId="16" borderId="0" xfId="0" applyNumberFormat="1" applyFill="1" applyBorder="1" applyAlignment="1">
      <alignment horizontal="center" vertical="center"/>
    </xf>
    <xf numFmtId="0" fontId="12" fillId="4" borderId="20"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37" fillId="10" borderId="7" xfId="23" applyFill="1" applyBorder="1">
      <alignment horizontal="right" vertical="center"/>
    </xf>
    <xf numFmtId="0" fontId="37" fillId="10" borderId="8" xfId="23" applyFill="1" applyBorder="1">
      <alignment horizontal="right" vertical="center"/>
    </xf>
    <xf numFmtId="0" fontId="28" fillId="10" borderId="0" xfId="12" applyFill="1" applyBorder="1">
      <alignment horizontal="right" vertical="center" wrapText="1"/>
    </xf>
    <xf numFmtId="0" fontId="0" fillId="10" borderId="2" xfId="0" applyFill="1" applyBorder="1" applyAlignment="1">
      <alignment horizontal="right" vertical="center" wrapText="1"/>
    </xf>
    <xf numFmtId="0" fontId="32" fillId="4" borderId="0" xfId="0" applyFont="1" applyFill="1" applyBorder="1" applyAlignment="1">
      <alignment vertical="center" wrapText="1"/>
    </xf>
    <xf numFmtId="0" fontId="0" fillId="4" borderId="0" xfId="0" applyFill="1" applyAlignment="1">
      <alignment wrapText="1"/>
    </xf>
    <xf numFmtId="0" fontId="32" fillId="4" borderId="0" xfId="0" applyFont="1" applyFill="1" applyBorder="1" applyAlignment="1">
      <alignment vertical="center"/>
    </xf>
    <xf numFmtId="0" fontId="0" fillId="4" borderId="0" xfId="0" applyFill="1" applyAlignment="1"/>
    <xf numFmtId="0" fontId="0" fillId="4" borderId="0" xfId="0" applyFill="1" applyAlignment="1">
      <alignment horizontal="left" vertical="center"/>
    </xf>
    <xf numFmtId="0" fontId="37" fillId="0" borderId="15" xfId="23" applyBorder="1" applyAlignment="1">
      <alignment horizontal="center" vertical="center"/>
    </xf>
    <xf numFmtId="0" fontId="37" fillId="0" borderId="16" xfId="23" applyBorder="1" applyAlignment="1">
      <alignment horizontal="center" vertical="center"/>
    </xf>
    <xf numFmtId="0" fontId="37" fillId="0" borderId="1" xfId="23" applyBorder="1" applyAlignment="1">
      <alignment horizontal="center" vertical="center"/>
    </xf>
    <xf numFmtId="0" fontId="37" fillId="0" borderId="2" xfId="23" applyBorder="1" applyAlignment="1">
      <alignment horizontal="center" vertical="center"/>
    </xf>
    <xf numFmtId="0" fontId="37" fillId="0" borderId="17" xfId="23" applyBorder="1" applyAlignment="1">
      <alignment horizontal="center" vertical="center"/>
    </xf>
    <xf numFmtId="0" fontId="37" fillId="0" borderId="8" xfId="23" applyBorder="1" applyAlignment="1">
      <alignment horizontal="center" vertical="center"/>
    </xf>
    <xf numFmtId="0" fontId="37" fillId="0" borderId="7" xfId="23" applyBorder="1">
      <alignment horizontal="right" vertical="center"/>
    </xf>
    <xf numFmtId="0" fontId="37" fillId="0" borderId="8" xfId="23" applyBorder="1">
      <alignment horizontal="right" vertical="center"/>
    </xf>
    <xf numFmtId="1" fontId="11" fillId="0" borderId="20" xfId="12" applyNumberFormat="1" applyFont="1" applyBorder="1">
      <alignment horizontal="right" vertical="center" wrapText="1"/>
    </xf>
    <xf numFmtId="0" fontId="5" fillId="0" borderId="16" xfId="0" applyFont="1" applyBorder="1" applyAlignment="1">
      <alignment horizontal="left" vertical="center" wrapText="1"/>
    </xf>
    <xf numFmtId="0" fontId="5" fillId="0" borderId="0" xfId="0" applyFont="1" applyAlignment="1">
      <alignment horizontal="left" vertical="center" wrapText="1"/>
    </xf>
    <xf numFmtId="0" fontId="5" fillId="0" borderId="2" xfId="0" applyFont="1" applyBorder="1" applyAlignment="1">
      <alignment horizontal="left" vertical="center" wrapText="1"/>
    </xf>
    <xf numFmtId="0" fontId="28" fillId="4" borderId="0" xfId="14" applyFill="1" applyBorder="1">
      <alignment vertical="center" wrapText="1"/>
    </xf>
    <xf numFmtId="0" fontId="0" fillId="0" borderId="0" xfId="0" applyAlignment="1">
      <alignment horizontal="left" vertical="center"/>
    </xf>
    <xf numFmtId="0" fontId="5" fillId="4" borderId="60" xfId="0" applyFont="1" applyFill="1" applyBorder="1" applyAlignment="1">
      <alignment horizontal="center"/>
    </xf>
    <xf numFmtId="0" fontId="5" fillId="4" borderId="63" xfId="0" applyFont="1" applyFill="1" applyBorder="1" applyAlignment="1">
      <alignment horizontal="center"/>
    </xf>
    <xf numFmtId="0" fontId="5" fillId="4" borderId="66" xfId="0" applyFont="1" applyFill="1" applyBorder="1" applyAlignment="1">
      <alignment horizontal="center"/>
    </xf>
    <xf numFmtId="0" fontId="5" fillId="4" borderId="61" xfId="0" applyFont="1" applyFill="1" applyBorder="1" applyAlignment="1">
      <alignment horizontal="center"/>
    </xf>
    <xf numFmtId="0" fontId="5" fillId="4" borderId="64" xfId="0" applyFont="1" applyFill="1" applyBorder="1" applyAlignment="1">
      <alignment horizontal="center"/>
    </xf>
    <xf numFmtId="0" fontId="5" fillId="4" borderId="67" xfId="0" applyFont="1" applyFill="1" applyBorder="1" applyAlignment="1">
      <alignment horizontal="center"/>
    </xf>
    <xf numFmtId="0" fontId="4" fillId="0" borderId="85" xfId="0" applyFont="1" applyFill="1" applyBorder="1" applyAlignment="1">
      <alignment horizontal="center"/>
    </xf>
    <xf numFmtId="0" fontId="4" fillId="0" borderId="0" xfId="0" applyFont="1" applyFill="1" applyBorder="1" applyAlignment="1">
      <alignment horizontal="center"/>
    </xf>
    <xf numFmtId="0" fontId="4" fillId="0" borderId="0" xfId="0" applyFont="1" applyBorder="1" applyAlignment="1">
      <alignment horizontal="center"/>
    </xf>
    <xf numFmtId="0" fontId="5" fillId="0" borderId="33" xfId="0" applyFont="1" applyBorder="1" applyAlignment="1">
      <alignment horizontal="center"/>
    </xf>
    <xf numFmtId="0" fontId="5" fillId="4" borderId="61" xfId="0" applyFont="1" applyFill="1" applyBorder="1" applyAlignment="1">
      <alignment horizontal="center" wrapText="1"/>
    </xf>
    <xf numFmtId="0" fontId="5" fillId="4" borderId="64" xfId="0" applyFont="1" applyFill="1" applyBorder="1" applyAlignment="1">
      <alignment horizontal="center" wrapText="1"/>
    </xf>
    <xf numFmtId="0" fontId="5" fillId="4" borderId="67" xfId="0" applyFont="1" applyFill="1" applyBorder="1" applyAlignment="1">
      <alignment horizontal="center" wrapText="1"/>
    </xf>
    <xf numFmtId="0" fontId="4" fillId="0" borderId="84" xfId="0" applyFont="1" applyFill="1" applyBorder="1" applyAlignment="1">
      <alignment horizontal="center"/>
    </xf>
    <xf numFmtId="0" fontId="4" fillId="0" borderId="76" xfId="0" applyFont="1" applyFill="1" applyBorder="1" applyAlignment="1">
      <alignment horizontal="center"/>
    </xf>
    <xf numFmtId="0" fontId="5" fillId="4" borderId="62" xfId="0" applyFont="1" applyFill="1" applyBorder="1" applyAlignment="1">
      <alignment horizontal="center"/>
    </xf>
    <xf numFmtId="0" fontId="5" fillId="4" borderId="65" xfId="0" applyFont="1" applyFill="1" applyBorder="1" applyAlignment="1">
      <alignment horizontal="center"/>
    </xf>
    <xf numFmtId="0" fontId="5" fillId="4" borderId="68" xfId="0" applyFont="1" applyFill="1" applyBorder="1" applyAlignment="1">
      <alignment horizontal="center"/>
    </xf>
    <xf numFmtId="0" fontId="0" fillId="0" borderId="0" xfId="0" applyAlignment="1">
      <alignment horizontal="center"/>
    </xf>
    <xf numFmtId="0" fontId="6" fillId="0" borderId="24" xfId="0" applyFont="1" applyBorder="1" applyAlignment="1">
      <alignment wrapText="1"/>
    </xf>
    <xf numFmtId="0" fontId="6" fillId="0" borderId="26" xfId="0" applyFont="1" applyBorder="1" applyAlignment="1">
      <alignment wrapText="1"/>
    </xf>
    <xf numFmtId="0" fontId="6" fillId="0" borderId="10" xfId="0" applyFont="1" applyBorder="1" applyAlignment="1"/>
    <xf numFmtId="0" fontId="6" fillId="0" borderId="0" xfId="0" applyFont="1" applyBorder="1" applyAlignment="1"/>
    <xf numFmtId="0" fontId="6" fillId="0" borderId="10" xfId="0" applyFont="1" applyBorder="1" applyAlignment="1">
      <alignment horizontal="center"/>
    </xf>
    <xf numFmtId="0" fontId="6" fillId="0" borderId="25" xfId="0" applyFont="1" applyBorder="1" applyAlignment="1">
      <alignment horizontal="center"/>
    </xf>
    <xf numFmtId="0" fontId="11" fillId="0" borderId="0" xfId="0" applyFont="1" applyAlignment="1">
      <alignment vertical="center" wrapText="1"/>
    </xf>
    <xf numFmtId="0" fontId="0" fillId="0" borderId="0" xfId="0" applyAlignment="1">
      <alignment wrapText="1"/>
    </xf>
    <xf numFmtId="3" fontId="9" fillId="0" borderId="0" xfId="25" applyNumberFormat="1" applyAlignment="1">
      <alignment horizontal="center"/>
    </xf>
    <xf numFmtId="0" fontId="16" fillId="8" borderId="44" xfId="0" applyFont="1" applyFill="1" applyBorder="1" applyAlignment="1">
      <alignment horizontal="center"/>
    </xf>
    <xf numFmtId="0" fontId="16" fillId="8" borderId="45" xfId="0" applyFont="1" applyFill="1" applyBorder="1" applyAlignment="1">
      <alignment horizontal="center"/>
    </xf>
    <xf numFmtId="0" fontId="4" fillId="0" borderId="0" xfId="0" applyFont="1" applyAlignment="1">
      <alignment horizontal="left" wrapText="1"/>
    </xf>
    <xf numFmtId="0" fontId="16" fillId="8" borderId="22" xfId="0" applyFont="1" applyFill="1" applyBorder="1" applyAlignment="1">
      <alignment horizontal="center"/>
    </xf>
    <xf numFmtId="0" fontId="0" fillId="0" borderId="0" xfId="0" applyAlignment="1"/>
  </cellXfs>
  <cellStyles count="55">
    <cellStyle name="CDA" xfId="1" xr:uid="{00000000-0005-0000-0000-000000000000}"/>
    <cellStyle name="CDA 2" xfId="31" xr:uid="{00000000-0005-0000-0000-000001000000}"/>
    <cellStyle name="CDA 3" xfId="30" xr:uid="{00000000-0005-0000-0000-000002000000}"/>
    <cellStyle name="CDA Guidance" xfId="2" xr:uid="{00000000-0005-0000-0000-000003000000}"/>
    <cellStyle name="CDA Important" xfId="3" xr:uid="{00000000-0005-0000-0000-000004000000}"/>
    <cellStyle name="CDA Important 2" xfId="32" xr:uid="{00000000-0005-0000-0000-000005000000}"/>
    <cellStyle name="CDA Information" xfId="4" xr:uid="{00000000-0005-0000-0000-000006000000}"/>
    <cellStyle name="CDA Information 2" xfId="33" xr:uid="{00000000-0005-0000-0000-000007000000}"/>
    <cellStyle name="CDA_CDA in progress" xfId="5" xr:uid="{00000000-0005-0000-0000-000008000000}"/>
    <cellStyle name="Comma 2" xfId="7" xr:uid="{00000000-0005-0000-0000-00000A000000}"/>
    <cellStyle name="Comma 2 2" xfId="34" xr:uid="{00000000-0005-0000-0000-00000B000000}"/>
    <cellStyle name="Comma 3" xfId="8" xr:uid="{00000000-0005-0000-0000-00000C000000}"/>
    <cellStyle name="Comma 3 2" xfId="35" xr:uid="{00000000-0005-0000-0000-00000D000000}"/>
    <cellStyle name="Currency 2" xfId="10" xr:uid="{00000000-0005-0000-0000-00000F000000}"/>
    <cellStyle name="Currency 2 2" xfId="36" xr:uid="{00000000-0005-0000-0000-000010000000}"/>
    <cellStyle name="Currency 3" xfId="37" xr:uid="{00000000-0005-0000-0000-000011000000}"/>
    <cellStyle name="Currency 4" xfId="43" xr:uid="{00000000-0005-0000-0000-000012000000}"/>
    <cellStyle name="Hyperlink 2" xfId="40" xr:uid="{00000000-0005-0000-0000-000014000000}"/>
    <cellStyle name="Hyperlink 2 2" xfId="54" xr:uid="{FEEFF52D-21C9-4511-80FA-A00F6D5BEF8B}"/>
    <cellStyle name="Input Design Information" xfId="12" xr:uid="{00000000-0005-0000-0000-000015000000}"/>
    <cellStyle name="Input Design Information Units" xfId="13" xr:uid="{00000000-0005-0000-0000-000016000000}"/>
    <cellStyle name="Input Guidance" xfId="14" xr:uid="{00000000-0005-0000-0000-000017000000}"/>
    <cellStyle name="Input Guidance 2" xfId="38" xr:uid="{00000000-0005-0000-0000-000018000000}"/>
    <cellStyle name="Input Guidance Hyperlink" xfId="15" xr:uid="{00000000-0005-0000-0000-000019000000}"/>
    <cellStyle name="Input Guidance_CDA in progress" xfId="16" xr:uid="{00000000-0005-0000-0000-00001A000000}"/>
    <cellStyle name="Input Header" xfId="17" xr:uid="{00000000-0005-0000-0000-00001B000000}"/>
    <cellStyle name="Input Header 2" xfId="39" xr:uid="{00000000-0005-0000-0000-00001C000000}"/>
    <cellStyle name="Input Instruction" xfId="18" xr:uid="{00000000-0005-0000-0000-00001D000000}"/>
    <cellStyle name="Input Manual Name" xfId="19" xr:uid="{00000000-0005-0000-0000-00001E000000}"/>
    <cellStyle name="Input Manual Name 2" xfId="42" xr:uid="{00000000-0005-0000-0000-00001F000000}"/>
    <cellStyle name="Input Manual Name 3" xfId="41" xr:uid="{00000000-0005-0000-0000-000020000000}"/>
    <cellStyle name="Input Optional Entry" xfId="20" xr:uid="{00000000-0005-0000-0000-000021000000}"/>
    <cellStyle name="Input Required Entry" xfId="21" xr:uid="{00000000-0005-0000-0000-000022000000}"/>
    <cellStyle name="Input Required Entry 2" xfId="44" xr:uid="{00000000-0005-0000-0000-000023000000}"/>
    <cellStyle name="Input Units" xfId="22" xr:uid="{00000000-0005-0000-0000-000024000000}"/>
    <cellStyle name="Input Warning" xfId="23" xr:uid="{00000000-0005-0000-0000-000025000000}"/>
    <cellStyle name="Input Warning 2" xfId="46" xr:uid="{00000000-0005-0000-0000-000026000000}"/>
    <cellStyle name="Main CDA" xfId="24" xr:uid="{00000000-0005-0000-0000-000027000000}"/>
    <cellStyle name="Normal 2" xfId="25" xr:uid="{00000000-0005-0000-0000-000029000000}"/>
    <cellStyle name="Normal 2 2" xfId="47" xr:uid="{00000000-0005-0000-0000-00002A000000}"/>
    <cellStyle name="Normal 3" xfId="29" xr:uid="{00000000-0005-0000-0000-00002B000000}"/>
    <cellStyle name="Normal 4" xfId="45" xr:uid="{00000000-0005-0000-0000-00002C000000}"/>
    <cellStyle name="Normal 5" xfId="51" xr:uid="{4BD86C27-6942-41AD-AFCF-D41A49DA443F}"/>
    <cellStyle name="Normal 6" xfId="52" xr:uid="{FA7BB1D5-44CD-4A31-9C3E-C6DFB01A6858}"/>
    <cellStyle name="Normal 7" xfId="53" xr:uid="{FC26423F-58C3-4121-B789-AE28296BA0B2}"/>
    <cellStyle name="Normal_Yard Piping" xfId="26" xr:uid="{00000000-0005-0000-0000-00002D000000}"/>
    <cellStyle name="Percent 2" xfId="48" xr:uid="{00000000-0005-0000-0000-00002F000000}"/>
    <cellStyle name="Range Name" xfId="28" xr:uid="{00000000-0005-0000-0000-000030000000}"/>
    <cellStyle name="Range Name 2" xfId="50" xr:uid="{00000000-0005-0000-0000-000031000000}"/>
    <cellStyle name="Range Name 3" xfId="49" xr:uid="{00000000-0005-0000-0000-000032000000}"/>
    <cellStyle name="百分比" xfId="27" builtinId="5"/>
    <cellStyle name="常规" xfId="0" builtinId="0"/>
    <cellStyle name="超链接" xfId="11" builtinId="8"/>
    <cellStyle name="货币" xfId="9" builtinId="4"/>
    <cellStyle name="千位分隔" xfId="6" builtinId="3"/>
  </cellStyles>
  <dxfs count="2018">
    <dxf>
      <font>
        <b/>
        <i/>
        <condense val="0"/>
        <extend val="0"/>
        <color indexed="23"/>
      </font>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i val="0"/>
        <condense val="0"/>
        <extend val="0"/>
        <color indexed="10"/>
      </font>
    </dxf>
    <dxf>
      <font>
        <b val="0"/>
        <i val="0"/>
        <condense val="0"/>
        <extend val="0"/>
        <color auto="1"/>
      </font>
    </dxf>
    <dxf>
      <font>
        <b val="0"/>
        <i/>
        <condense val="0"/>
        <extend val="0"/>
      </font>
    </dxf>
    <dxf>
      <font>
        <b/>
        <i val="0"/>
        <condense val="0"/>
        <extend val="0"/>
        <color indexed="10"/>
      </font>
    </dxf>
    <dxf>
      <font>
        <b val="0"/>
        <i val="0"/>
        <condense val="0"/>
        <extend val="0"/>
        <color auto="1"/>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i val="0"/>
      </font>
    </dxf>
    <dxf>
      <font>
        <b/>
        <i val="0"/>
        <condense val="0"/>
        <extend val="0"/>
        <color indexed="10"/>
      </font>
    </dxf>
    <dxf>
      <font>
        <b val="0"/>
        <i/>
        <condense val="0"/>
        <extend val="0"/>
      </font>
    </dxf>
    <dxf>
      <font>
        <b val="0"/>
        <i/>
        <condense val="0"/>
        <extend val="0"/>
      </font>
    </dxf>
    <dxf>
      <font>
        <condense val="0"/>
        <extend val="0"/>
        <color indexed="10"/>
      </font>
    </dxf>
    <dxf>
      <font>
        <b/>
        <i val="0"/>
        <condense val="0"/>
        <extend val="0"/>
        <color indexed="10"/>
      </font>
    </dxf>
    <dxf>
      <font>
        <b val="0"/>
        <i/>
        <condense val="0"/>
        <extend val="0"/>
      </font>
    </dxf>
    <dxf>
      <font>
        <b val="0"/>
        <i/>
        <condense val="0"/>
        <extend val="0"/>
      </font>
    </dxf>
    <dxf>
      <font>
        <b/>
        <i val="0"/>
        <condense val="0"/>
        <extend val="0"/>
        <color indexed="10"/>
      </font>
    </dxf>
    <dxf>
      <font>
        <b val="0"/>
        <i/>
        <condense val="0"/>
        <extend val="0"/>
      </font>
    </dxf>
    <dxf>
      <font>
        <b val="0"/>
        <i/>
        <condense val="0"/>
        <extend val="0"/>
      </font>
    </dxf>
    <dxf>
      <font>
        <b val="0"/>
        <i/>
        <condense val="0"/>
        <extend val="0"/>
      </font>
    </dxf>
    <dxf>
      <font>
        <b val="0"/>
        <i/>
        <condense val="0"/>
        <extend val="0"/>
      </font>
    </dxf>
    <dxf>
      <font>
        <b/>
        <i/>
        <color theme="0" tint="-0.499984740745262"/>
      </font>
    </dxf>
    <dxf>
      <font>
        <b/>
        <i/>
        <color theme="0" tint="-0.499984740745262"/>
      </font>
    </dxf>
    <dxf>
      <font>
        <color theme="0" tint="-0.499984740745262"/>
      </font>
      <fill>
        <patternFill>
          <bgColor theme="0" tint="-0.24994659260841701"/>
        </patternFill>
      </fill>
    </dxf>
    <dxf>
      <font>
        <color rgb="FFFF0000"/>
      </font>
    </dxf>
    <dxf>
      <font>
        <color rgb="FFFF0000"/>
      </font>
    </dxf>
    <dxf>
      <font>
        <condense val="0"/>
        <extend val="0"/>
        <color indexed="10"/>
      </font>
    </dxf>
    <dxf>
      <font>
        <condense val="0"/>
        <extend val="0"/>
        <color indexed="9"/>
      </font>
      <fill>
        <patternFill>
          <bgColor indexed="12"/>
        </patternFill>
      </fill>
    </dxf>
    <dxf>
      <font>
        <color theme="0" tint="-0.499984740745262"/>
      </font>
      <fill>
        <patternFill>
          <bgColor theme="0" tint="-0.24994659260841701"/>
        </patternFill>
      </fill>
    </dxf>
    <dxf>
      <font>
        <color theme="0" tint="-0.499984740745262"/>
      </font>
    </dxf>
    <dxf>
      <font>
        <b val="0"/>
        <i/>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63"/>
      </font>
    </dxf>
  </dxfs>
  <tableStyles count="0" defaultTableStyle="TableStyleMedium9" defaultPivotStyle="PivotStyleLight16"/>
  <colors>
    <mruColors>
      <color rgb="FF008000"/>
      <color rgb="FF96969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Lines="10" dropStyle="combo" dx="16" fmlaLink="water_index" fmlaRange="water_names" noThreeD="1" sel="6"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2</xdr:row>
          <xdr:rowOff>76200</xdr:rowOff>
        </xdr:from>
        <xdr:to>
          <xdr:col>6</xdr:col>
          <xdr:colOff>2133600</xdr:colOff>
          <xdr:row>3</xdr:row>
          <xdr:rowOff>127000</xdr:rowOff>
        </xdr:to>
        <xdr:sp macro="" textlink="">
          <xdr:nvSpPr>
            <xdr:cNvPr id="7313" name="Drop Down 145" hidden="1">
              <a:extLst>
                <a:ext uri="{63B3BB69-23CF-44E3-9099-C40C66FF867C}">
                  <a14:compatExt spid="_x0000_s7313"/>
                </a:ext>
                <a:ext uri="{FF2B5EF4-FFF2-40B4-BE49-F238E27FC236}">
                  <a16:creationId xmlns:a16="http://schemas.microsoft.com/office/drawing/2014/main" id="{00000000-0008-0000-0200-00009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31</xdr:row>
          <xdr:rowOff>88900</xdr:rowOff>
        </xdr:from>
        <xdr:to>
          <xdr:col>7</xdr:col>
          <xdr:colOff>1905000</xdr:colOff>
          <xdr:row>36</xdr:row>
          <xdr:rowOff>12700</xdr:rowOff>
        </xdr:to>
        <xdr:sp macro="" textlink="">
          <xdr:nvSpPr>
            <xdr:cNvPr id="7357" name="cmdSimulate" hidden="1">
              <a:extLst>
                <a:ext uri="{63B3BB69-23CF-44E3-9099-C40C66FF867C}">
                  <a14:compatExt spid="_x0000_s7357"/>
                </a:ext>
                <a:ext uri="{FF2B5EF4-FFF2-40B4-BE49-F238E27FC236}">
                  <a16:creationId xmlns:a16="http://schemas.microsoft.com/office/drawing/2014/main" id="{00000000-0008-0000-0200-0000BD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6</xdr:col>
          <xdr:colOff>2159000</xdr:colOff>
          <xdr:row>17</xdr:row>
          <xdr:rowOff>0</xdr:rowOff>
        </xdr:to>
        <xdr:sp macro="" textlink="">
          <xdr:nvSpPr>
            <xdr:cNvPr id="7358" name="cmdDesign1" hidden="1">
              <a:extLst>
                <a:ext uri="{63B3BB69-23CF-44E3-9099-C40C66FF867C}">
                  <a14:compatExt spid="_x0000_s7358"/>
                </a:ext>
                <a:ext uri="{FF2B5EF4-FFF2-40B4-BE49-F238E27FC236}">
                  <a16:creationId xmlns:a16="http://schemas.microsoft.com/office/drawing/2014/main" id="{00000000-0008-0000-0200-0000BE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0.030 MGD (21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2159000</xdr:colOff>
          <xdr:row>18</xdr:row>
          <xdr:rowOff>0</xdr:rowOff>
        </xdr:to>
        <xdr:sp macro="" textlink="">
          <xdr:nvSpPr>
            <xdr:cNvPr id="7359" name="cmdDesign2" hidden="1">
              <a:extLst>
                <a:ext uri="{63B3BB69-23CF-44E3-9099-C40C66FF867C}">
                  <a14:compatExt spid="_x0000_s7359"/>
                </a:ext>
                <a:ext uri="{FF2B5EF4-FFF2-40B4-BE49-F238E27FC236}">
                  <a16:creationId xmlns:a16="http://schemas.microsoft.com/office/drawing/2014/main" id="{00000000-0008-0000-0200-0000BF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0.124 MGD (86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18</xdr:row>
          <xdr:rowOff>0</xdr:rowOff>
        </xdr:from>
        <xdr:to>
          <xdr:col>6</xdr:col>
          <xdr:colOff>2159000</xdr:colOff>
          <xdr:row>19</xdr:row>
          <xdr:rowOff>0</xdr:rowOff>
        </xdr:to>
        <xdr:sp macro="" textlink="">
          <xdr:nvSpPr>
            <xdr:cNvPr id="7360" name="cmdDesign3" hidden="1">
              <a:extLst>
                <a:ext uri="{63B3BB69-23CF-44E3-9099-C40C66FF867C}">
                  <a14:compatExt spid="_x0000_s7360"/>
                </a:ext>
                <a:ext uri="{FF2B5EF4-FFF2-40B4-BE49-F238E27FC236}">
                  <a16:creationId xmlns:a16="http://schemas.microsoft.com/office/drawing/2014/main" id="{00000000-0008-0000-0200-0000C0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0.305 MGD (212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6</xdr:col>
          <xdr:colOff>2159000</xdr:colOff>
          <xdr:row>20</xdr:row>
          <xdr:rowOff>0</xdr:rowOff>
        </xdr:to>
        <xdr:sp macro="" textlink="">
          <xdr:nvSpPr>
            <xdr:cNvPr id="7361" name="cmdDesign4" hidden="1">
              <a:extLst>
                <a:ext uri="{63B3BB69-23CF-44E3-9099-C40C66FF867C}">
                  <a14:compatExt spid="_x0000_s7361"/>
                </a:ext>
                <a:ext uri="{FF2B5EF4-FFF2-40B4-BE49-F238E27FC236}">
                  <a16:creationId xmlns:a16="http://schemas.microsoft.com/office/drawing/2014/main" id="{00000000-0008-0000-0200-0000C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0.740 MGD (514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20</xdr:row>
          <xdr:rowOff>0</xdr:rowOff>
        </xdr:from>
        <xdr:to>
          <xdr:col>6</xdr:col>
          <xdr:colOff>2159000</xdr:colOff>
          <xdr:row>21</xdr:row>
          <xdr:rowOff>0</xdr:rowOff>
        </xdr:to>
        <xdr:sp macro="" textlink="">
          <xdr:nvSpPr>
            <xdr:cNvPr id="7362" name="cmdDesign5" hidden="1">
              <a:extLst>
                <a:ext uri="{63B3BB69-23CF-44E3-9099-C40C66FF867C}">
                  <a14:compatExt spid="_x0000_s7362"/>
                </a:ext>
                <a:ext uri="{FF2B5EF4-FFF2-40B4-BE49-F238E27FC236}">
                  <a16:creationId xmlns:a16="http://schemas.microsoft.com/office/drawing/2014/main" id="{00000000-0008-0000-0200-0000C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2.152 MGD (1,494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21</xdr:row>
          <xdr:rowOff>0</xdr:rowOff>
        </xdr:from>
        <xdr:to>
          <xdr:col>6</xdr:col>
          <xdr:colOff>2159000</xdr:colOff>
          <xdr:row>22</xdr:row>
          <xdr:rowOff>0</xdr:rowOff>
        </xdr:to>
        <xdr:sp macro="" textlink="">
          <xdr:nvSpPr>
            <xdr:cNvPr id="7363" name="cmdDesign6" hidden="1">
              <a:extLst>
                <a:ext uri="{63B3BB69-23CF-44E3-9099-C40C66FF867C}">
                  <a14:compatExt spid="_x0000_s7363"/>
                </a:ext>
                <a:ext uri="{FF2B5EF4-FFF2-40B4-BE49-F238E27FC236}">
                  <a16:creationId xmlns:a16="http://schemas.microsoft.com/office/drawing/2014/main" id="{00000000-0008-0000-0200-0000C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7.365 MGD (5,115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22</xdr:row>
          <xdr:rowOff>0</xdr:rowOff>
        </xdr:from>
        <xdr:to>
          <xdr:col>6</xdr:col>
          <xdr:colOff>2159000</xdr:colOff>
          <xdr:row>23</xdr:row>
          <xdr:rowOff>0</xdr:rowOff>
        </xdr:to>
        <xdr:sp macro="" textlink="">
          <xdr:nvSpPr>
            <xdr:cNvPr id="7364" name="cmdDesign7" hidden="1">
              <a:extLst>
                <a:ext uri="{63B3BB69-23CF-44E3-9099-C40C66FF867C}">
                  <a14:compatExt spid="_x0000_s7364"/>
                </a:ext>
                <a:ext uri="{FF2B5EF4-FFF2-40B4-BE49-F238E27FC236}">
                  <a16:creationId xmlns:a16="http://schemas.microsoft.com/office/drawing/2014/main" id="{00000000-0008-0000-0200-0000C4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22.614 MGD (15,704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23</xdr:row>
          <xdr:rowOff>0</xdr:rowOff>
        </xdr:from>
        <xdr:to>
          <xdr:col>6</xdr:col>
          <xdr:colOff>2159000</xdr:colOff>
          <xdr:row>24</xdr:row>
          <xdr:rowOff>0</xdr:rowOff>
        </xdr:to>
        <xdr:sp macro="" textlink="">
          <xdr:nvSpPr>
            <xdr:cNvPr id="7365" name="cmdDesign8" hidden="1">
              <a:extLst>
                <a:ext uri="{63B3BB69-23CF-44E3-9099-C40C66FF867C}">
                  <a14:compatExt spid="_x0000_s7365"/>
                </a:ext>
                <a:ext uri="{FF2B5EF4-FFF2-40B4-BE49-F238E27FC236}">
                  <a16:creationId xmlns:a16="http://schemas.microsoft.com/office/drawing/2014/main" id="{00000000-0008-0000-0200-0000C5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75.072 MGD (52,133 gpm)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24</xdr:row>
          <xdr:rowOff>0</xdr:rowOff>
        </xdr:from>
        <xdr:to>
          <xdr:col>6</xdr:col>
          <xdr:colOff>2159000</xdr:colOff>
          <xdr:row>25</xdr:row>
          <xdr:rowOff>0</xdr:rowOff>
        </xdr:to>
        <xdr:sp macro="" textlink="">
          <xdr:nvSpPr>
            <xdr:cNvPr id="7366" name="cmdClearDesign" hidden="1">
              <a:extLst>
                <a:ext uri="{63B3BB69-23CF-44E3-9099-C40C66FF867C}">
                  <a14:compatExt spid="_x0000_s7366"/>
                </a:ext>
                <a:ext uri="{FF2B5EF4-FFF2-40B4-BE49-F238E27FC236}">
                  <a16:creationId xmlns:a16="http://schemas.microsoft.com/office/drawing/2014/main" id="{00000000-0008-0000-0200-0000C6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CLEAR FOR MANUAL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38100</xdr:rowOff>
        </xdr:from>
        <xdr:to>
          <xdr:col>8</xdr:col>
          <xdr:colOff>0</xdr:colOff>
          <xdr:row>1</xdr:row>
          <xdr:rowOff>139700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200-0000C8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Get Treatability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114300</xdr:colOff>
          <xdr:row>2</xdr:row>
          <xdr:rowOff>25400</xdr:rowOff>
        </xdr:from>
        <xdr:to>
          <xdr:col>8</xdr:col>
          <xdr:colOff>596900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Record Output in a New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88900</xdr:colOff>
          <xdr:row>7</xdr:row>
          <xdr:rowOff>50800</xdr:rowOff>
        </xdr:from>
        <xdr:to>
          <xdr:col>8</xdr:col>
          <xdr:colOff>609600</xdr:colOff>
          <xdr:row>11</xdr:row>
          <xdr:rowOff>101600</xdr:rowOff>
        </xdr:to>
        <xdr:sp macro="" textlink="">
          <xdr:nvSpPr>
            <xdr:cNvPr id="1189" name="cmdCompSelect"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Generate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79</xdr:row>
          <xdr:rowOff>38100</xdr:rowOff>
        </xdr:from>
        <xdr:to>
          <xdr:col>6</xdr:col>
          <xdr:colOff>279400</xdr:colOff>
          <xdr:row>80</xdr:row>
          <xdr:rowOff>139700</xdr:rowOff>
        </xdr:to>
        <xdr:sp macro="" textlink="">
          <xdr:nvSpPr>
            <xdr:cNvPr id="66562" name="cmdSolveSystem" hidden="1">
              <a:extLst>
                <a:ext uri="{63B3BB69-23CF-44E3-9099-C40C66FF867C}">
                  <a14:compatExt spid="_x0000_s66562"/>
                </a:ext>
                <a:ext uri="{FF2B5EF4-FFF2-40B4-BE49-F238E27FC236}">
                  <a16:creationId xmlns:a16="http://schemas.microsoft.com/office/drawing/2014/main" id="{00000000-0008-0000-0800-000002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172</xdr:row>
          <xdr:rowOff>38100</xdr:rowOff>
        </xdr:from>
        <xdr:to>
          <xdr:col>1</xdr:col>
          <xdr:colOff>1422400</xdr:colOff>
          <xdr:row>173</xdr:row>
          <xdr:rowOff>139700</xdr:rowOff>
        </xdr:to>
        <xdr:sp macro="" textlink="">
          <xdr:nvSpPr>
            <xdr:cNvPr id="66563" name="cmdLoadElement" hidden="1">
              <a:extLst>
                <a:ext uri="{63B3BB69-23CF-44E3-9099-C40C66FF867C}">
                  <a14:compatExt spid="_x0000_s66563"/>
                </a:ext>
                <a:ext uri="{FF2B5EF4-FFF2-40B4-BE49-F238E27FC236}">
                  <a16:creationId xmlns:a16="http://schemas.microsoft.com/office/drawing/2014/main" id="{00000000-0008-0000-0800-0000030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Load Element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101600</xdr:colOff>
          <xdr:row>52</xdr:row>
          <xdr:rowOff>25400</xdr:rowOff>
        </xdr:from>
        <xdr:to>
          <xdr:col>4</xdr:col>
          <xdr:colOff>203200</xdr:colOff>
          <xdr:row>53</xdr:row>
          <xdr:rowOff>127000</xdr:rowOff>
        </xdr:to>
        <xdr:sp macro="" textlink="">
          <xdr:nvSpPr>
            <xdr:cNvPr id="35930" name="cmdSolveElement" hidden="1">
              <a:extLst>
                <a:ext uri="{63B3BB69-23CF-44E3-9099-C40C66FF867C}">
                  <a14:compatExt spid="_x0000_s35930"/>
                </a:ext>
                <a:ext uri="{FF2B5EF4-FFF2-40B4-BE49-F238E27FC236}">
                  <a16:creationId xmlns:a16="http://schemas.microsoft.com/office/drawing/2014/main" id="{00000000-0008-0000-1000-00005A8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Solve Element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2</xdr:row>
          <xdr:rowOff>38100</xdr:rowOff>
        </xdr:from>
        <xdr:to>
          <xdr:col>0</xdr:col>
          <xdr:colOff>1460500</xdr:colOff>
          <xdr:row>3</xdr:row>
          <xdr:rowOff>139700</xdr:rowOff>
        </xdr:to>
        <xdr:sp macro="" textlink="">
          <xdr:nvSpPr>
            <xdr:cNvPr id="48146" name="cmdNewWater" hidden="1">
              <a:extLst>
                <a:ext uri="{63B3BB69-23CF-44E3-9099-C40C66FF867C}">
                  <a14:compatExt spid="_x0000_s48146"/>
                </a:ext>
                <a:ext uri="{FF2B5EF4-FFF2-40B4-BE49-F238E27FC236}">
                  <a16:creationId xmlns:a16="http://schemas.microsoft.com/office/drawing/2014/main" id="{00000000-0008-0000-1800-000012B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Water Analysis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6</xdr:row>
          <xdr:rowOff>63500</xdr:rowOff>
        </xdr:from>
        <xdr:to>
          <xdr:col>1</xdr:col>
          <xdr:colOff>1358900</xdr:colOff>
          <xdr:row>8</xdr:row>
          <xdr:rowOff>12700</xdr:rowOff>
        </xdr:to>
        <xdr:sp macro="" textlink="">
          <xdr:nvSpPr>
            <xdr:cNvPr id="49244" name="cmdAddElement" hidden="1">
              <a:extLst>
                <a:ext uri="{63B3BB69-23CF-44E3-9099-C40C66FF867C}">
                  <a14:compatExt spid="_x0000_s49244"/>
                </a:ext>
                <a:ext uri="{FF2B5EF4-FFF2-40B4-BE49-F238E27FC236}">
                  <a16:creationId xmlns:a16="http://schemas.microsoft.com/office/drawing/2014/main" id="{00000000-0008-0000-1900-00005C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Add New Element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2</xdr:row>
          <xdr:rowOff>63500</xdr:rowOff>
        </xdr:from>
        <xdr:to>
          <xdr:col>1</xdr:col>
          <xdr:colOff>965200</xdr:colOff>
          <xdr:row>4</xdr:row>
          <xdr:rowOff>63500</xdr:rowOff>
        </xdr:to>
        <xdr:sp macro="" textlink="">
          <xdr:nvSpPr>
            <xdr:cNvPr id="45095" name="cmdFactoryDefaults" hidden="1">
              <a:extLst>
                <a:ext uri="{63B3BB69-23CF-44E3-9099-C40C66FF867C}">
                  <a14:compatExt spid="_x0000_s45095"/>
                </a:ext>
                <a:ext uri="{FF2B5EF4-FFF2-40B4-BE49-F238E27FC236}">
                  <a16:creationId xmlns:a16="http://schemas.microsoft.com/office/drawing/2014/main" id="{00000000-0008-0000-1B00-000027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000" b="0" i="0" u="none" strike="noStrike" baseline="0">
                  <a:solidFill>
                    <a:srgbClr val="000000"/>
                  </a:solidFill>
                  <a:latin typeface="Arial" charset="0"/>
                  <a:cs typeface="Arial" charset="0"/>
                </a:rPr>
                <a:t>Reset to Defaults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4.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5.xml"/><Relationship Id="rId1" Type="http://schemas.openxmlformats.org/officeDocument/2006/relationships/printerSettings" Target="../printerSettings/printerSettings25.bin"/><Relationship Id="rId4" Type="http://schemas.openxmlformats.org/officeDocument/2006/relationships/ctrlProp" Target="../ctrlProps/ctrlProp1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6.xml"/><Relationship Id="rId1" Type="http://schemas.openxmlformats.org/officeDocument/2006/relationships/printerSettings" Target="../printerSettings/printerSettings26.bin"/><Relationship Id="rId5" Type="http://schemas.openxmlformats.org/officeDocument/2006/relationships/comments" Target="../comments21.xml"/><Relationship Id="rId4" Type="http://schemas.openxmlformats.org/officeDocument/2006/relationships/ctrlProp" Target="../ctrlProps/ctrlProp1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4.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7.xml"/><Relationship Id="rId1" Type="http://schemas.openxmlformats.org/officeDocument/2006/relationships/printerSettings" Target="../printerSettings/printerSettings28.bin"/><Relationship Id="rId5" Type="http://schemas.openxmlformats.org/officeDocument/2006/relationships/comments" Target="../comments23.xml"/><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6.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7.v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C44A-A5BA-4741-BF26-484BAEB048F5}">
  <dimension ref="A1:A16"/>
  <sheetViews>
    <sheetView workbookViewId="0">
      <selection activeCell="A21" sqref="A21"/>
    </sheetView>
  </sheetViews>
  <sheetFormatPr baseColWidth="10" defaultColWidth="9.1640625" defaultRowHeight="13"/>
  <cols>
    <col min="1" max="1" width="122.6640625" style="1139" customWidth="1"/>
    <col min="2" max="16384" width="9.1640625" style="1139"/>
  </cols>
  <sheetData>
    <row r="1" spans="1:1" ht="16" customHeight="1">
      <c r="A1" s="1138" t="s">
        <v>6485</v>
      </c>
    </row>
    <row r="2" spans="1:1" ht="16" customHeight="1">
      <c r="A2" s="1138" t="s">
        <v>6497</v>
      </c>
    </row>
    <row r="3" spans="1:1" ht="16" customHeight="1">
      <c r="A3" s="1140" t="s">
        <v>6503</v>
      </c>
    </row>
    <row r="4" spans="1:1" ht="20" customHeight="1">
      <c r="A4" s="1141" t="s">
        <v>6486</v>
      </c>
    </row>
    <row r="5" spans="1:1" ht="20" customHeight="1">
      <c r="A5" s="1142" t="s">
        <v>6487</v>
      </c>
    </row>
    <row r="6" spans="1:1" ht="20" customHeight="1">
      <c r="A6" s="1142" t="s">
        <v>6488</v>
      </c>
    </row>
    <row r="7" spans="1:1" ht="20" customHeight="1">
      <c r="A7" s="1142" t="s">
        <v>6489</v>
      </c>
    </row>
    <row r="8" spans="1:1" ht="20" customHeight="1">
      <c r="A8" s="1142" t="s">
        <v>6490</v>
      </c>
    </row>
    <row r="9" spans="1:1" ht="33.75" customHeight="1">
      <c r="A9" s="1143" t="s">
        <v>6491</v>
      </c>
    </row>
    <row r="10" spans="1:1" ht="20" customHeight="1">
      <c r="A10" s="1142" t="s">
        <v>6492</v>
      </c>
    </row>
    <row r="11" spans="1:1" ht="20" customHeight="1">
      <c r="A11" s="1142" t="s">
        <v>6493</v>
      </c>
    </row>
    <row r="12" spans="1:1" ht="20" customHeight="1">
      <c r="A12" s="1142" t="s">
        <v>6494</v>
      </c>
    </row>
    <row r="13" spans="1:1" ht="20" customHeight="1">
      <c r="A13" s="1142" t="s">
        <v>6495</v>
      </c>
    </row>
    <row r="14" spans="1:1" ht="20" customHeight="1">
      <c r="A14" s="1144" t="s">
        <v>6504</v>
      </c>
    </row>
    <row r="15" spans="1:1" ht="20" customHeight="1">
      <c r="A15" s="1145" t="s">
        <v>6496</v>
      </c>
    </row>
    <row r="16" spans="1:1" ht="16" customHeight="1">
      <c r="A16" s="1142"/>
    </row>
  </sheetData>
  <phoneticPr fontId="70" type="noConversion"/>
  <hyperlinks>
    <hyperlink ref="A15" location="INPUT!A1" display="· To begin using the model, go to the INPUT sheet." xr:uid="{DDFB2060-2D92-472D-B058-FC9F1A97483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DBF5C-005B-4923-820E-D04F8208AD3A}">
  <sheetPr codeName="Sheet20"/>
  <dimension ref="A1:B350"/>
  <sheetViews>
    <sheetView workbookViewId="0">
      <pane ySplit="4" topLeftCell="A5" activePane="bottomLeft" state="frozen"/>
      <selection pane="bottomLeft"/>
    </sheetView>
  </sheetViews>
  <sheetFormatPr baseColWidth="10" defaultColWidth="9.1640625" defaultRowHeight="13"/>
  <cols>
    <col min="1" max="1" width="62.83203125" style="1123" customWidth="1"/>
    <col min="2" max="2" width="23.6640625" style="1123" customWidth="1"/>
    <col min="3" max="16384" width="9.1640625" style="1123"/>
  </cols>
  <sheetData>
    <row r="1" spans="1:2">
      <c r="A1" s="1124" t="s">
        <v>5630</v>
      </c>
    </row>
    <row r="2" spans="1:2">
      <c r="A2" s="1125" t="s">
        <v>5629</v>
      </c>
    </row>
    <row r="4" spans="1:2">
      <c r="A4" s="1124" t="s">
        <v>5628</v>
      </c>
      <c r="B4" s="1124" t="s">
        <v>5627</v>
      </c>
    </row>
    <row r="5" spans="1:2">
      <c r="A5" s="1123" t="s">
        <v>1205</v>
      </c>
      <c r="B5" s="982" t="s">
        <v>244</v>
      </c>
    </row>
    <row r="6" spans="1:2">
      <c r="A6" s="1123" t="s">
        <v>245</v>
      </c>
      <c r="B6" s="982" t="s">
        <v>242</v>
      </c>
    </row>
    <row r="7" spans="1:2">
      <c r="A7" s="1123" t="s">
        <v>1206</v>
      </c>
      <c r="B7" s="982" t="s">
        <v>243</v>
      </c>
    </row>
    <row r="8" spans="1:2">
      <c r="A8" s="1123" t="s">
        <v>412</v>
      </c>
      <c r="B8" s="982" t="s">
        <v>413</v>
      </c>
    </row>
    <row r="9" spans="1:2">
      <c r="A9" s="1123" t="s">
        <v>828</v>
      </c>
      <c r="B9" s="982" t="s">
        <v>830</v>
      </c>
    </row>
    <row r="10" spans="1:2">
      <c r="A10" s="1123" t="s">
        <v>831</v>
      </c>
      <c r="B10" s="982" t="s">
        <v>257</v>
      </c>
    </row>
    <row r="11" spans="1:2">
      <c r="A11" s="1123" t="s">
        <v>4112</v>
      </c>
      <c r="B11" s="982" t="s">
        <v>4113</v>
      </c>
    </row>
    <row r="12" spans="1:2">
      <c r="A12" s="1123" t="s">
        <v>1790</v>
      </c>
      <c r="B12" s="982" t="s">
        <v>1792</v>
      </c>
    </row>
    <row r="13" spans="1:2">
      <c r="A13" s="1123" t="s">
        <v>2510</v>
      </c>
      <c r="B13" s="982" t="s">
        <v>2508</v>
      </c>
    </row>
    <row r="14" spans="1:2">
      <c r="A14" s="1123" t="s">
        <v>5304</v>
      </c>
      <c r="B14" s="982" t="s">
        <v>5305</v>
      </c>
    </row>
    <row r="15" spans="1:2">
      <c r="A15" s="1123" t="s">
        <v>5636</v>
      </c>
      <c r="B15" s="982" t="s">
        <v>1151</v>
      </c>
    </row>
    <row r="16" spans="1:2">
      <c r="A16" s="1123" t="s">
        <v>3107</v>
      </c>
      <c r="B16" s="982" t="s">
        <v>3119</v>
      </c>
    </row>
    <row r="17" spans="1:2">
      <c r="A17" s="1123" t="s">
        <v>3554</v>
      </c>
      <c r="B17" s="982" t="s">
        <v>2905</v>
      </c>
    </row>
    <row r="18" spans="1:2">
      <c r="A18" s="1123" t="s">
        <v>786</v>
      </c>
      <c r="B18" s="982" t="s">
        <v>787</v>
      </c>
    </row>
    <row r="19" spans="1:2">
      <c r="A19" s="1123" t="s">
        <v>3620</v>
      </c>
      <c r="B19" s="982" t="s">
        <v>780</v>
      </c>
    </row>
    <row r="20" spans="1:2">
      <c r="A20" s="1123" t="s">
        <v>3617</v>
      </c>
      <c r="B20" s="982" t="s">
        <v>3618</v>
      </c>
    </row>
    <row r="21" spans="1:2">
      <c r="A21" s="1123" t="s">
        <v>4126</v>
      </c>
      <c r="B21" s="982" t="s">
        <v>2128</v>
      </c>
    </row>
    <row r="22" spans="1:2">
      <c r="A22" s="1123" t="s">
        <v>223</v>
      </c>
      <c r="B22" s="982" t="s">
        <v>225</v>
      </c>
    </row>
    <row r="23" spans="1:2">
      <c r="A23" s="1123" t="s">
        <v>221</v>
      </c>
      <c r="B23" s="982" t="s">
        <v>1335</v>
      </c>
    </row>
    <row r="24" spans="1:2">
      <c r="A24" s="1123" t="s">
        <v>2059</v>
      </c>
      <c r="B24" s="982" t="s">
        <v>2060</v>
      </c>
    </row>
    <row r="25" spans="1:2">
      <c r="A25" s="1123" t="s">
        <v>62</v>
      </c>
      <c r="B25" s="982" t="s">
        <v>63</v>
      </c>
    </row>
    <row r="26" spans="1:2">
      <c r="A26" s="1123" t="s">
        <v>60</v>
      </c>
      <c r="B26" s="982" t="s">
        <v>61</v>
      </c>
    </row>
    <row r="27" spans="1:2">
      <c r="A27" s="1123" t="s">
        <v>4032</v>
      </c>
      <c r="B27" s="982" t="s">
        <v>4033</v>
      </c>
    </row>
    <row r="28" spans="1:2">
      <c r="A28" s="1123" t="s">
        <v>849</v>
      </c>
      <c r="B28" s="982" t="s">
        <v>850</v>
      </c>
    </row>
    <row r="29" spans="1:2">
      <c r="A29" s="1123" t="s">
        <v>2682</v>
      </c>
      <c r="B29" s="982" t="s">
        <v>2191</v>
      </c>
    </row>
    <row r="30" spans="1:2">
      <c r="A30" s="1123" t="s">
        <v>4247</v>
      </c>
      <c r="B30" s="982" t="s">
        <v>4248</v>
      </c>
    </row>
    <row r="31" spans="1:2">
      <c r="A31" s="1123" t="s">
        <v>2270</v>
      </c>
      <c r="B31" s="982" t="s">
        <v>2271</v>
      </c>
    </row>
    <row r="32" spans="1:2">
      <c r="A32" s="1123" t="s">
        <v>2272</v>
      </c>
      <c r="B32" s="982" t="s">
        <v>2273</v>
      </c>
    </row>
    <row r="33" spans="1:2">
      <c r="A33" s="1123" t="s">
        <v>3803</v>
      </c>
      <c r="B33" s="982" t="s">
        <v>3644</v>
      </c>
    </row>
    <row r="34" spans="1:2">
      <c r="A34" s="1123" t="s">
        <v>574</v>
      </c>
      <c r="B34" s="982" t="s">
        <v>575</v>
      </c>
    </row>
    <row r="35" spans="1:2">
      <c r="A35" s="1123" t="s">
        <v>5565</v>
      </c>
      <c r="B35" s="982" t="s">
        <v>5566</v>
      </c>
    </row>
    <row r="36" spans="1:2">
      <c r="A36" s="1123" t="s">
        <v>2571</v>
      </c>
      <c r="B36" s="982" t="s">
        <v>2573</v>
      </c>
    </row>
    <row r="37" spans="1:2">
      <c r="A37" s="1123" t="s">
        <v>2568</v>
      </c>
      <c r="B37" s="982" t="s">
        <v>2572</v>
      </c>
    </row>
    <row r="38" spans="1:2">
      <c r="A38" s="1123" t="s">
        <v>3320</v>
      </c>
      <c r="B38" s="982" t="s">
        <v>3321</v>
      </c>
    </row>
    <row r="39" spans="1:2">
      <c r="A39" s="1123" t="s">
        <v>5631</v>
      </c>
      <c r="B39" s="982" t="s">
        <v>2342</v>
      </c>
    </row>
    <row r="40" spans="1:2">
      <c r="A40" s="1123" t="s">
        <v>5567</v>
      </c>
      <c r="B40" s="982" t="s">
        <v>5568</v>
      </c>
    </row>
    <row r="41" spans="1:2">
      <c r="A41" s="1123" t="s">
        <v>5311</v>
      </c>
      <c r="B41" s="982" t="s">
        <v>5312</v>
      </c>
    </row>
    <row r="42" spans="1:2">
      <c r="A42" s="1123" t="s">
        <v>4966</v>
      </c>
      <c r="B42" s="982" t="s">
        <v>4967</v>
      </c>
    </row>
    <row r="43" spans="1:2">
      <c r="A43" s="1123" t="s">
        <v>2511</v>
      </c>
      <c r="B43" s="982" t="s">
        <v>2512</v>
      </c>
    </row>
    <row r="44" spans="1:2">
      <c r="A44" s="1123" t="s">
        <v>2527</v>
      </c>
      <c r="B44" s="982" t="s">
        <v>2528</v>
      </c>
    </row>
    <row r="45" spans="1:2">
      <c r="A45" s="1123" t="s">
        <v>5634</v>
      </c>
      <c r="B45" s="982" t="s">
        <v>5632</v>
      </c>
    </row>
    <row r="46" spans="1:2">
      <c r="A46" s="1123" t="s">
        <v>5635</v>
      </c>
      <c r="B46" s="982" t="s">
        <v>5633</v>
      </c>
    </row>
    <row r="47" spans="1:2">
      <c r="A47" s="1123" t="s">
        <v>2499</v>
      </c>
      <c r="B47" s="982" t="s">
        <v>2505</v>
      </c>
    </row>
    <row r="48" spans="1:2">
      <c r="A48" s="1123" t="s">
        <v>3969</v>
      </c>
      <c r="B48" s="982" t="s">
        <v>3971</v>
      </c>
    </row>
    <row r="49" spans="1:2">
      <c r="A49" s="1123" t="s">
        <v>490</v>
      </c>
      <c r="B49" s="982" t="s">
        <v>491</v>
      </c>
    </row>
    <row r="50" spans="1:2">
      <c r="A50" s="1123" t="s">
        <v>4062</v>
      </c>
      <c r="B50" s="982" t="s">
        <v>4063</v>
      </c>
    </row>
    <row r="51" spans="1:2">
      <c r="A51" s="1123" t="s">
        <v>3819</v>
      </c>
      <c r="B51" s="982" t="s">
        <v>3654</v>
      </c>
    </row>
    <row r="52" spans="1:2">
      <c r="A52" s="1123" t="s">
        <v>5638</v>
      </c>
      <c r="B52" s="982" t="s">
        <v>1394</v>
      </c>
    </row>
    <row r="53" spans="1:2">
      <c r="A53" s="1123" t="s">
        <v>817</v>
      </c>
      <c r="B53" s="982" t="s">
        <v>816</v>
      </c>
    </row>
    <row r="54" spans="1:2">
      <c r="A54" s="1123" t="s">
        <v>815</v>
      </c>
      <c r="B54" s="982" t="s">
        <v>814</v>
      </c>
    </row>
    <row r="55" spans="1:2">
      <c r="A55" s="1123" t="s">
        <v>812</v>
      </c>
      <c r="B55" s="982" t="s">
        <v>813</v>
      </c>
    </row>
    <row r="56" spans="1:2">
      <c r="A56" s="1123" t="s">
        <v>687</v>
      </c>
      <c r="B56" s="982" t="s">
        <v>688</v>
      </c>
    </row>
    <row r="57" spans="1:2">
      <c r="A57" s="1123" t="s">
        <v>5051</v>
      </c>
      <c r="B57" s="982" t="s">
        <v>5052</v>
      </c>
    </row>
    <row r="58" spans="1:2">
      <c r="A58" s="1123" t="s">
        <v>1968</v>
      </c>
      <c r="B58" s="982" t="s">
        <v>1969</v>
      </c>
    </row>
    <row r="59" spans="1:2">
      <c r="A59" s="1123" t="s">
        <v>3370</v>
      </c>
      <c r="B59" s="982" t="s">
        <v>3368</v>
      </c>
    </row>
    <row r="60" spans="1:2">
      <c r="A60" s="1123" t="s">
        <v>5572</v>
      </c>
      <c r="B60" s="982" t="s">
        <v>2405</v>
      </c>
    </row>
    <row r="61" spans="1:2">
      <c r="A61" s="1123" t="s">
        <v>4604</v>
      </c>
      <c r="B61" s="982" t="s">
        <v>4620</v>
      </c>
    </row>
    <row r="62" spans="1:2">
      <c r="A62" s="1126" t="s">
        <v>5645</v>
      </c>
      <c r="B62" s="982" t="s">
        <v>751</v>
      </c>
    </row>
    <row r="63" spans="1:2">
      <c r="A63" s="1126" t="s">
        <v>5646</v>
      </c>
      <c r="B63" s="982" t="s">
        <v>752</v>
      </c>
    </row>
    <row r="64" spans="1:2">
      <c r="A64" s="1123" t="s">
        <v>784</v>
      </c>
      <c r="B64" s="982" t="s">
        <v>785</v>
      </c>
    </row>
    <row r="65" spans="1:2">
      <c r="A65" s="1123" t="s">
        <v>2728</v>
      </c>
      <c r="B65" s="982" t="s">
        <v>3076</v>
      </c>
    </row>
    <row r="66" spans="1:2">
      <c r="A66" s="1123" t="s">
        <v>851</v>
      </c>
      <c r="B66" s="982" t="s">
        <v>852</v>
      </c>
    </row>
    <row r="67" spans="1:2">
      <c r="A67" s="1123" t="s">
        <v>2170</v>
      </c>
      <c r="B67" s="982" t="s">
        <v>2171</v>
      </c>
    </row>
    <row r="68" spans="1:2">
      <c r="A68" s="1123" t="s">
        <v>2639</v>
      </c>
      <c r="B68" s="982" t="s">
        <v>2187</v>
      </c>
    </row>
    <row r="69" spans="1:2">
      <c r="A69" s="1123" t="s">
        <v>2093</v>
      </c>
      <c r="B69" s="982" t="s">
        <v>516</v>
      </c>
    </row>
    <row r="70" spans="1:2">
      <c r="A70" s="1123" t="s">
        <v>5049</v>
      </c>
      <c r="B70" s="982" t="s">
        <v>5050</v>
      </c>
    </row>
    <row r="71" spans="1:2">
      <c r="A71" s="1123" t="s">
        <v>5047</v>
      </c>
      <c r="B71" s="982" t="s">
        <v>5048</v>
      </c>
    </row>
    <row r="72" spans="1:2">
      <c r="A72" s="1123" t="s">
        <v>2131</v>
      </c>
      <c r="B72" s="982" t="s">
        <v>2340</v>
      </c>
    </row>
    <row r="73" spans="1:2">
      <c r="A73" s="1123" t="s">
        <v>5139</v>
      </c>
      <c r="B73" s="982" t="s">
        <v>5132</v>
      </c>
    </row>
    <row r="74" spans="1:2">
      <c r="A74" s="1123" t="s">
        <v>2177</v>
      </c>
      <c r="B74" s="982" t="s">
        <v>2399</v>
      </c>
    </row>
    <row r="75" spans="1:2">
      <c r="A75" s="1123" t="s">
        <v>2398</v>
      </c>
      <c r="B75" s="982" t="s">
        <v>2619</v>
      </c>
    </row>
    <row r="76" spans="1:2">
      <c r="A76" s="1123" t="s">
        <v>3488</v>
      </c>
      <c r="B76" s="982" t="s">
        <v>2151</v>
      </c>
    </row>
    <row r="77" spans="1:2">
      <c r="A77" s="1123" t="s">
        <v>3489</v>
      </c>
      <c r="B77" s="982" t="s">
        <v>3490</v>
      </c>
    </row>
    <row r="78" spans="1:2">
      <c r="A78" s="1123" t="s">
        <v>3001</v>
      </c>
      <c r="B78" s="982" t="s">
        <v>3002</v>
      </c>
    </row>
    <row r="79" spans="1:2">
      <c r="A79" s="1123" t="s">
        <v>2643</v>
      </c>
      <c r="B79" s="982" t="s">
        <v>2644</v>
      </c>
    </row>
    <row r="80" spans="1:2">
      <c r="A80" s="1123" t="s">
        <v>202</v>
      </c>
      <c r="B80" s="982" t="s">
        <v>203</v>
      </c>
    </row>
    <row r="81" spans="1:2">
      <c r="A81" s="1123" t="s">
        <v>3003</v>
      </c>
      <c r="B81" s="982" t="s">
        <v>3004</v>
      </c>
    </row>
    <row r="82" spans="1:2">
      <c r="A82" s="1123" t="s">
        <v>3486</v>
      </c>
      <c r="B82" s="982" t="s">
        <v>3487</v>
      </c>
    </row>
    <row r="83" spans="1:2">
      <c r="A83" s="1123" t="s">
        <v>3005</v>
      </c>
      <c r="B83" s="982" t="s">
        <v>4973</v>
      </c>
    </row>
    <row r="84" spans="1:2">
      <c r="A84" s="1123" t="s">
        <v>692</v>
      </c>
      <c r="B84" s="982" t="s">
        <v>693</v>
      </c>
    </row>
    <row r="85" spans="1:2">
      <c r="A85" s="1123" t="s">
        <v>3829</v>
      </c>
      <c r="B85" s="982" t="s">
        <v>3830</v>
      </c>
    </row>
    <row r="86" spans="1:2">
      <c r="A86" s="1123" t="s">
        <v>3550</v>
      </c>
      <c r="B86" s="982" t="s">
        <v>3551</v>
      </c>
    </row>
    <row r="87" spans="1:2">
      <c r="A87" s="1123" t="s">
        <v>2332</v>
      </c>
      <c r="B87" s="982" t="s">
        <v>2333</v>
      </c>
    </row>
    <row r="88" spans="1:2">
      <c r="A88" s="1123" t="s">
        <v>2997</v>
      </c>
      <c r="B88" s="982" t="s">
        <v>2998</v>
      </c>
    </row>
    <row r="89" spans="1:2">
      <c r="A89" s="1123" t="s">
        <v>1221</v>
      </c>
      <c r="B89" s="982" t="s">
        <v>2451</v>
      </c>
    </row>
    <row r="90" spans="1:2">
      <c r="A90" s="1123" t="s">
        <v>2468</v>
      </c>
      <c r="B90" s="982" t="s">
        <v>2469</v>
      </c>
    </row>
    <row r="91" spans="1:2">
      <c r="A91" s="1123" t="s">
        <v>2456</v>
      </c>
      <c r="B91" s="982" t="s">
        <v>2457</v>
      </c>
    </row>
    <row r="92" spans="1:2">
      <c r="A92" s="1123" t="s">
        <v>854</v>
      </c>
      <c r="B92" s="982" t="s">
        <v>855</v>
      </c>
    </row>
    <row r="93" spans="1:2">
      <c r="A93" s="1123" t="s">
        <v>2466</v>
      </c>
      <c r="B93" s="982" t="s">
        <v>2611</v>
      </c>
    </row>
    <row r="94" spans="1:2">
      <c r="A94" s="1123" t="s">
        <v>2466</v>
      </c>
      <c r="B94" s="982" t="s">
        <v>2467</v>
      </c>
    </row>
    <row r="95" spans="1:2">
      <c r="A95" s="1123" t="s">
        <v>2462</v>
      </c>
      <c r="B95" s="982" t="s">
        <v>2463</v>
      </c>
    </row>
    <row r="96" spans="1:2">
      <c r="A96" s="1123" t="s">
        <v>846</v>
      </c>
      <c r="B96" s="982" t="s">
        <v>847</v>
      </c>
    </row>
    <row r="97" spans="1:2">
      <c r="A97" s="1123" t="s">
        <v>4600</v>
      </c>
      <c r="B97" s="982" t="s">
        <v>4628</v>
      </c>
    </row>
    <row r="98" spans="1:2">
      <c r="A98" s="1123" t="s">
        <v>4594</v>
      </c>
      <c r="B98" s="982" t="s">
        <v>4626</v>
      </c>
    </row>
    <row r="99" spans="1:2">
      <c r="A99" s="1123" t="s">
        <v>4599</v>
      </c>
      <c r="B99" s="982" t="s">
        <v>4627</v>
      </c>
    </row>
    <row r="100" spans="1:2">
      <c r="A100" s="1123" t="s">
        <v>4396</v>
      </c>
      <c r="B100" s="982" t="s">
        <v>4402</v>
      </c>
    </row>
    <row r="101" spans="1:2">
      <c r="A101" s="1123" t="s">
        <v>4394</v>
      </c>
      <c r="B101" s="982" t="s">
        <v>4400</v>
      </c>
    </row>
    <row r="102" spans="1:2">
      <c r="A102" s="1123" t="s">
        <v>4395</v>
      </c>
      <c r="B102" s="982" t="s">
        <v>4401</v>
      </c>
    </row>
    <row r="103" spans="1:2">
      <c r="A103" s="1123" t="s">
        <v>3603</v>
      </c>
      <c r="B103" s="982" t="s">
        <v>68</v>
      </c>
    </row>
    <row r="104" spans="1:2">
      <c r="A104" s="1123" t="s">
        <v>1856</v>
      </c>
      <c r="B104" s="982" t="s">
        <v>1857</v>
      </c>
    </row>
    <row r="105" spans="1:2">
      <c r="A105" s="1123" t="s">
        <v>2344</v>
      </c>
      <c r="B105" s="982" t="s">
        <v>2341</v>
      </c>
    </row>
    <row r="106" spans="1:2">
      <c r="A106" s="1123" t="s">
        <v>5545</v>
      </c>
      <c r="B106" s="982" t="s">
        <v>3609</v>
      </c>
    </row>
    <row r="107" spans="1:2">
      <c r="A107" s="1123" t="s">
        <v>2628</v>
      </c>
      <c r="B107" s="982" t="s">
        <v>2629</v>
      </c>
    </row>
    <row r="108" spans="1:2">
      <c r="A108" s="1123" t="s">
        <v>2723</v>
      </c>
      <c r="B108" s="982" t="s">
        <v>1235</v>
      </c>
    </row>
    <row r="109" spans="1:2">
      <c r="A109" s="1123" t="s">
        <v>4603</v>
      </c>
      <c r="B109" s="982" t="s">
        <v>4619</v>
      </c>
    </row>
    <row r="110" spans="1:2">
      <c r="A110" s="1123" t="s">
        <v>4601</v>
      </c>
      <c r="B110" s="982" t="s">
        <v>4629</v>
      </c>
    </row>
    <row r="111" spans="1:2">
      <c r="A111" s="1123" t="s">
        <v>4602</v>
      </c>
      <c r="B111" s="982" t="s">
        <v>4618</v>
      </c>
    </row>
    <row r="112" spans="1:2">
      <c r="A112" s="1123" t="s">
        <v>4487</v>
      </c>
      <c r="B112" s="982" t="s">
        <v>4490</v>
      </c>
    </row>
    <row r="113" spans="1:2">
      <c r="A113" s="1123" t="s">
        <v>4485</v>
      </c>
      <c r="B113" s="982" t="s">
        <v>4488</v>
      </c>
    </row>
    <row r="114" spans="1:2">
      <c r="A114" s="1123" t="s">
        <v>4486</v>
      </c>
      <c r="B114" s="982" t="s">
        <v>4489</v>
      </c>
    </row>
    <row r="115" spans="1:2">
      <c r="A115" s="1123" t="s">
        <v>237</v>
      </c>
      <c r="B115" s="982" t="s">
        <v>2425</v>
      </c>
    </row>
    <row r="116" spans="1:2">
      <c r="A116" s="1123" t="s">
        <v>2172</v>
      </c>
      <c r="B116" s="982" t="s">
        <v>2173</v>
      </c>
    </row>
    <row r="117" spans="1:2">
      <c r="A117" s="1123" t="s">
        <v>3901</v>
      </c>
      <c r="B117" s="982" t="s">
        <v>3902</v>
      </c>
    </row>
    <row r="118" spans="1:2">
      <c r="A118" s="1123" t="s">
        <v>2719</v>
      </c>
      <c r="B118" s="982" t="s">
        <v>2720</v>
      </c>
    </row>
    <row r="119" spans="1:2">
      <c r="A119" s="1123" t="s">
        <v>4605</v>
      </c>
      <c r="B119" s="982" t="s">
        <v>4621</v>
      </c>
    </row>
    <row r="120" spans="1:2">
      <c r="A120" s="1123" t="s">
        <v>4293</v>
      </c>
      <c r="B120" s="982" t="s">
        <v>4294</v>
      </c>
    </row>
    <row r="121" spans="1:2">
      <c r="A121" s="1123" t="s">
        <v>2334</v>
      </c>
      <c r="B121" s="982" t="s">
        <v>2335</v>
      </c>
    </row>
    <row r="122" spans="1:2">
      <c r="A122" s="1123" t="s">
        <v>2708</v>
      </c>
      <c r="B122" s="982" t="s">
        <v>299</v>
      </c>
    </row>
    <row r="123" spans="1:2">
      <c r="A123" s="1126" t="s">
        <v>5643</v>
      </c>
      <c r="B123" s="982" t="s">
        <v>747</v>
      </c>
    </row>
    <row r="124" spans="1:2">
      <c r="A124" s="1126" t="s">
        <v>5644</v>
      </c>
      <c r="B124" s="982" t="s">
        <v>749</v>
      </c>
    </row>
    <row r="125" spans="1:2">
      <c r="A125" s="1123" t="s">
        <v>781</v>
      </c>
      <c r="B125" s="982" t="s">
        <v>782</v>
      </c>
    </row>
    <row r="126" spans="1:2">
      <c r="A126" s="1123" t="s">
        <v>3608</v>
      </c>
      <c r="B126" s="982" t="s">
        <v>1240</v>
      </c>
    </row>
    <row r="127" spans="1:2">
      <c r="A127" s="1123" t="s">
        <v>2358</v>
      </c>
      <c r="B127" s="982" t="s">
        <v>2630</v>
      </c>
    </row>
    <row r="128" spans="1:2">
      <c r="A128" s="1123" t="s">
        <v>1241</v>
      </c>
      <c r="B128" s="982" t="s">
        <v>1328</v>
      </c>
    </row>
    <row r="129" spans="1:2">
      <c r="A129" s="1123" t="s">
        <v>3281</v>
      </c>
      <c r="B129" s="982" t="s">
        <v>3282</v>
      </c>
    </row>
    <row r="130" spans="1:2">
      <c r="A130" s="1123" t="s">
        <v>3287</v>
      </c>
      <c r="B130" s="982" t="s">
        <v>3286</v>
      </c>
    </row>
    <row r="131" spans="1:2">
      <c r="A131" s="1123" t="s">
        <v>2588</v>
      </c>
      <c r="B131" s="982" t="s">
        <v>528</v>
      </c>
    </row>
    <row r="132" spans="1:2">
      <c r="A132" s="1123" t="s">
        <v>526</v>
      </c>
      <c r="B132" s="982" t="s">
        <v>2587</v>
      </c>
    </row>
    <row r="133" spans="1:2">
      <c r="A133" s="1123" t="s">
        <v>1962</v>
      </c>
      <c r="B133" s="982" t="s">
        <v>2612</v>
      </c>
    </row>
    <row r="134" spans="1:2">
      <c r="A134" s="1123" t="s">
        <v>3832</v>
      </c>
      <c r="B134" s="982" t="s">
        <v>3833</v>
      </c>
    </row>
    <row r="135" spans="1:2">
      <c r="A135" s="1123" t="s">
        <v>5460</v>
      </c>
      <c r="B135" s="982" t="s">
        <v>5642</v>
      </c>
    </row>
    <row r="136" spans="1:2">
      <c r="A136" s="1123" t="s">
        <v>3972</v>
      </c>
      <c r="B136" s="982" t="s">
        <v>3973</v>
      </c>
    </row>
    <row r="137" spans="1:2">
      <c r="A137" s="1123" t="s">
        <v>5637</v>
      </c>
      <c r="B137" s="982" t="s">
        <v>4965</v>
      </c>
    </row>
    <row r="138" spans="1:2">
      <c r="A138" s="1123" t="s">
        <v>5395</v>
      </c>
      <c r="B138" s="982" t="s">
        <v>5396</v>
      </c>
    </row>
    <row r="139" spans="1:2">
      <c r="A139" s="1123" t="s">
        <v>5398</v>
      </c>
      <c r="B139" s="982" t="s">
        <v>5399</v>
      </c>
    </row>
    <row r="140" spans="1:2">
      <c r="A140" s="1123" t="s">
        <v>5401</v>
      </c>
      <c r="B140" s="982" t="s">
        <v>5402</v>
      </c>
    </row>
    <row r="141" spans="1:2">
      <c r="A141" s="1123" t="s">
        <v>5273</v>
      </c>
      <c r="B141" s="982" t="s">
        <v>5274</v>
      </c>
    </row>
    <row r="142" spans="1:2">
      <c r="A142" s="1123" t="s">
        <v>4590</v>
      </c>
      <c r="B142" s="982" t="s">
        <v>3504</v>
      </c>
    </row>
    <row r="143" spans="1:2">
      <c r="A143" s="1123" t="s">
        <v>5298</v>
      </c>
      <c r="B143" s="982" t="s">
        <v>5299</v>
      </c>
    </row>
    <row r="144" spans="1:2">
      <c r="A144" s="1123" t="s">
        <v>5562</v>
      </c>
      <c r="B144" s="982" t="s">
        <v>5563</v>
      </c>
    </row>
    <row r="145" spans="1:2">
      <c r="A145" s="1123" t="s">
        <v>999</v>
      </c>
      <c r="B145" s="982" t="s">
        <v>1000</v>
      </c>
    </row>
    <row r="146" spans="1:2">
      <c r="A146" s="1123" t="s">
        <v>1819</v>
      </c>
      <c r="B146" s="982" t="s">
        <v>4016</v>
      </c>
    </row>
    <row r="147" spans="1:2">
      <c r="A147" s="1123" t="s">
        <v>887</v>
      </c>
      <c r="B147" s="982" t="s">
        <v>888</v>
      </c>
    </row>
    <row r="148" spans="1:2">
      <c r="A148" s="1123" t="s">
        <v>1820</v>
      </c>
      <c r="B148" s="982" t="s">
        <v>348</v>
      </c>
    </row>
    <row r="149" spans="1:2">
      <c r="A149" s="1123" t="s">
        <v>1238</v>
      </c>
      <c r="B149" s="982" t="s">
        <v>1239</v>
      </c>
    </row>
    <row r="150" spans="1:2">
      <c r="A150" s="1123" t="s">
        <v>4531</v>
      </c>
      <c r="B150" s="982" t="s">
        <v>4530</v>
      </c>
    </row>
    <row r="151" spans="1:2">
      <c r="A151" s="1123" t="s">
        <v>4532</v>
      </c>
      <c r="B151" s="982" t="s">
        <v>4534</v>
      </c>
    </row>
    <row r="152" spans="1:2">
      <c r="A152" s="1123" t="s">
        <v>3889</v>
      </c>
      <c r="B152" s="982" t="s">
        <v>3890</v>
      </c>
    </row>
    <row r="153" spans="1:2">
      <c r="A153" s="1123" t="s">
        <v>3308</v>
      </c>
      <c r="B153" s="982" t="s">
        <v>3885</v>
      </c>
    </row>
    <row r="154" spans="1:2">
      <c r="A154" s="1123" t="s">
        <v>3887</v>
      </c>
      <c r="B154" s="982" t="s">
        <v>3888</v>
      </c>
    </row>
    <row r="155" spans="1:2">
      <c r="A155" s="1123" t="s">
        <v>340</v>
      </c>
      <c r="B155" s="982" t="s">
        <v>341</v>
      </c>
    </row>
    <row r="156" spans="1:2">
      <c r="A156" s="1123" t="s">
        <v>3999</v>
      </c>
      <c r="B156" s="982" t="s">
        <v>4001</v>
      </c>
    </row>
    <row r="157" spans="1:2">
      <c r="A157" s="1123" t="s">
        <v>292</v>
      </c>
      <c r="B157" s="982" t="s">
        <v>293</v>
      </c>
    </row>
    <row r="158" spans="1:2">
      <c r="A158" s="1123" t="s">
        <v>4724</v>
      </c>
      <c r="B158" s="982" t="s">
        <v>4726</v>
      </c>
    </row>
    <row r="159" spans="1:2">
      <c r="A159" s="1123" t="s">
        <v>2852</v>
      </c>
      <c r="B159" s="982" t="s">
        <v>131</v>
      </c>
    </row>
    <row r="160" spans="1:2">
      <c r="A160" s="1123" t="s">
        <v>2852</v>
      </c>
      <c r="B160" s="982" t="s">
        <v>137</v>
      </c>
    </row>
    <row r="161" spans="1:2">
      <c r="A161" s="1123" t="s">
        <v>2851</v>
      </c>
      <c r="B161" s="982" t="s">
        <v>133</v>
      </c>
    </row>
    <row r="162" spans="1:2">
      <c r="A162" s="1123" t="s">
        <v>2851</v>
      </c>
      <c r="B162" s="982" t="s">
        <v>139</v>
      </c>
    </row>
    <row r="163" spans="1:2">
      <c r="A163" s="1123" t="s">
        <v>2853</v>
      </c>
      <c r="B163" s="982" t="s">
        <v>129</v>
      </c>
    </row>
    <row r="164" spans="1:2">
      <c r="A164" s="1123" t="s">
        <v>2853</v>
      </c>
      <c r="B164" s="982" t="s">
        <v>135</v>
      </c>
    </row>
    <row r="165" spans="1:2">
      <c r="A165" s="1123" t="s">
        <v>4609</v>
      </c>
      <c r="B165" s="982" t="s">
        <v>4625</v>
      </c>
    </row>
    <row r="166" spans="1:2">
      <c r="A166" s="1123" t="s">
        <v>4607</v>
      </c>
      <c r="B166" s="982" t="s">
        <v>4623</v>
      </c>
    </row>
    <row r="167" spans="1:2">
      <c r="A167" s="1123" t="s">
        <v>4608</v>
      </c>
      <c r="B167" s="982" t="s">
        <v>4624</v>
      </c>
    </row>
    <row r="168" spans="1:2">
      <c r="A168" s="1123" t="s">
        <v>5155</v>
      </c>
      <c r="B168" s="982" t="s">
        <v>5153</v>
      </c>
    </row>
    <row r="169" spans="1:2">
      <c r="A169" s="1123" t="s">
        <v>5156</v>
      </c>
      <c r="B169" s="982" t="s">
        <v>5151</v>
      </c>
    </row>
    <row r="170" spans="1:2">
      <c r="A170" s="1123" t="s">
        <v>4217</v>
      </c>
      <c r="B170" s="982" t="s">
        <v>4218</v>
      </c>
    </row>
    <row r="171" spans="1:2">
      <c r="A171" s="1123" t="s">
        <v>4213</v>
      </c>
      <c r="B171" s="982" t="s">
        <v>4215</v>
      </c>
    </row>
    <row r="172" spans="1:2">
      <c r="A172" s="1123" t="s">
        <v>355</v>
      </c>
      <c r="B172" s="982" t="s">
        <v>356</v>
      </c>
    </row>
    <row r="173" spans="1:2">
      <c r="A173" s="1123" t="s">
        <v>3585</v>
      </c>
      <c r="B173" s="982" t="s">
        <v>3442</v>
      </c>
    </row>
    <row r="174" spans="1:2">
      <c r="A174" s="1123" t="s">
        <v>353</v>
      </c>
      <c r="B174" s="982" t="s">
        <v>354</v>
      </c>
    </row>
    <row r="175" spans="1:2">
      <c r="A175" s="1123" t="s">
        <v>3584</v>
      </c>
      <c r="B175" s="982" t="s">
        <v>3441</v>
      </c>
    </row>
    <row r="176" spans="1:2">
      <c r="A176" s="1123" t="s">
        <v>3322</v>
      </c>
      <c r="B176" s="982" t="s">
        <v>3323</v>
      </c>
    </row>
    <row r="177" spans="1:2">
      <c r="A177" s="1123" t="s">
        <v>5307</v>
      </c>
      <c r="B177" s="982" t="s">
        <v>5308</v>
      </c>
    </row>
    <row r="178" spans="1:2">
      <c r="A178" s="1123" t="s">
        <v>857</v>
      </c>
      <c r="B178" s="982" t="s">
        <v>1207</v>
      </c>
    </row>
    <row r="179" spans="1:2">
      <c r="A179" s="1123" t="s">
        <v>4595</v>
      </c>
      <c r="B179" s="982" t="s">
        <v>4416</v>
      </c>
    </row>
    <row r="180" spans="1:2">
      <c r="A180" s="1123" t="s">
        <v>2175</v>
      </c>
      <c r="B180" s="982" t="s">
        <v>2176</v>
      </c>
    </row>
    <row r="181" spans="1:2">
      <c r="A181" s="1123" t="s">
        <v>1844</v>
      </c>
      <c r="B181" s="982" t="s">
        <v>1845</v>
      </c>
    </row>
    <row r="182" spans="1:2">
      <c r="A182" s="1123" t="s">
        <v>3278</v>
      </c>
      <c r="B182" s="982" t="s">
        <v>3279</v>
      </c>
    </row>
    <row r="183" spans="1:2">
      <c r="A183" s="1123" t="s">
        <v>2361</v>
      </c>
      <c r="B183" s="982" t="s">
        <v>2362</v>
      </c>
    </row>
    <row r="184" spans="1:2">
      <c r="A184" s="1123" t="s">
        <v>2360</v>
      </c>
      <c r="B184" s="982" t="s">
        <v>2363</v>
      </c>
    </row>
    <row r="185" spans="1:2">
      <c r="A185" s="1123" t="s">
        <v>5120</v>
      </c>
      <c r="B185" s="982" t="s">
        <v>5121</v>
      </c>
    </row>
    <row r="186" spans="1:2">
      <c r="A186" s="1123" t="s">
        <v>1326</v>
      </c>
      <c r="B186" s="982" t="s">
        <v>1327</v>
      </c>
    </row>
    <row r="187" spans="1:2">
      <c r="A187" s="1123" t="s">
        <v>3583</v>
      </c>
      <c r="B187" s="982" t="s">
        <v>3440</v>
      </c>
    </row>
    <row r="188" spans="1:2">
      <c r="A188" s="1123" t="s">
        <v>2667</v>
      </c>
      <c r="B188" s="982" t="s">
        <v>2669</v>
      </c>
    </row>
    <row r="189" spans="1:2">
      <c r="A189" s="1123" t="s">
        <v>2664</v>
      </c>
      <c r="B189" s="982" t="s">
        <v>2666</v>
      </c>
    </row>
    <row r="190" spans="1:2">
      <c r="A190" s="1123" t="s">
        <v>335</v>
      </c>
      <c r="B190" s="982" t="s">
        <v>336</v>
      </c>
    </row>
    <row r="191" spans="1:2">
      <c r="A191" s="1123" t="s">
        <v>5040</v>
      </c>
      <c r="B191" s="982" t="s">
        <v>5041</v>
      </c>
    </row>
    <row r="192" spans="1:2">
      <c r="A192" s="1123" t="s">
        <v>1002</v>
      </c>
      <c r="B192" s="982" t="s">
        <v>1003</v>
      </c>
    </row>
    <row r="193" spans="1:2">
      <c r="A193" s="1123" t="s">
        <v>5123</v>
      </c>
      <c r="B193" s="982" t="s">
        <v>5124</v>
      </c>
    </row>
    <row r="194" spans="1:2">
      <c r="A194" s="1123" t="s">
        <v>5125</v>
      </c>
      <c r="B194" s="982" t="s">
        <v>5126</v>
      </c>
    </row>
    <row r="195" spans="1:2">
      <c r="A195" s="1123" t="s">
        <v>980</v>
      </c>
      <c r="B195" s="982" t="s">
        <v>982</v>
      </c>
    </row>
    <row r="196" spans="1:2">
      <c r="A196" s="1123" t="s">
        <v>1861</v>
      </c>
      <c r="B196" s="982" t="s">
        <v>978</v>
      </c>
    </row>
    <row r="197" spans="1:2">
      <c r="A197" s="1123" t="s">
        <v>4533</v>
      </c>
      <c r="B197" s="982" t="s">
        <v>4535</v>
      </c>
    </row>
    <row r="198" spans="1:2">
      <c r="A198" s="1123" t="s">
        <v>357</v>
      </c>
      <c r="B198" s="982" t="s">
        <v>3444</v>
      </c>
    </row>
    <row r="199" spans="1:2">
      <c r="A199" s="1123" t="s">
        <v>3443</v>
      </c>
      <c r="B199" s="982" t="s">
        <v>3445</v>
      </c>
    </row>
    <row r="200" spans="1:2">
      <c r="A200" s="1123" t="s">
        <v>4492</v>
      </c>
      <c r="B200" s="982" t="s">
        <v>4219</v>
      </c>
    </row>
    <row r="201" spans="1:2">
      <c r="A201" s="1123" t="s">
        <v>4214</v>
      </c>
      <c r="B201" s="982" t="s">
        <v>4216</v>
      </c>
    </row>
    <row r="202" spans="1:2">
      <c r="A202" s="1123" t="s">
        <v>207</v>
      </c>
      <c r="B202" s="982" t="s">
        <v>3774</v>
      </c>
    </row>
    <row r="203" spans="1:2">
      <c r="A203" s="1123" t="s">
        <v>3406</v>
      </c>
      <c r="B203" s="982" t="s">
        <v>66</v>
      </c>
    </row>
    <row r="204" spans="1:2">
      <c r="A204" s="1123" t="s">
        <v>2845</v>
      </c>
      <c r="B204" s="982" t="s">
        <v>2847</v>
      </c>
    </row>
    <row r="205" spans="1:2">
      <c r="A205" s="1123" t="s">
        <v>2846</v>
      </c>
      <c r="B205" s="982" t="s">
        <v>2848</v>
      </c>
    </row>
    <row r="206" spans="1:2">
      <c r="A206" s="1123" t="s">
        <v>3476</v>
      </c>
      <c r="B206" s="982" t="s">
        <v>4292</v>
      </c>
    </row>
    <row r="207" spans="1:2">
      <c r="A207" s="1123" t="s">
        <v>788</v>
      </c>
      <c r="B207" s="982" t="s">
        <v>789</v>
      </c>
    </row>
    <row r="208" spans="1:2">
      <c r="A208" s="1123" t="s">
        <v>1847</v>
      </c>
      <c r="B208" s="982" t="s">
        <v>1848</v>
      </c>
    </row>
    <row r="209" spans="1:2">
      <c r="A209" s="1123" t="s">
        <v>5127</v>
      </c>
      <c r="B209" s="982" t="s">
        <v>5128</v>
      </c>
    </row>
    <row r="210" spans="1:2">
      <c r="A210" s="1123" t="s">
        <v>5129</v>
      </c>
      <c r="B210" s="982" t="s">
        <v>5130</v>
      </c>
    </row>
    <row r="211" spans="1:2">
      <c r="A211" s="1123" t="s">
        <v>344</v>
      </c>
      <c r="B211" s="982" t="s">
        <v>130</v>
      </c>
    </row>
    <row r="212" spans="1:2">
      <c r="A212" s="1123" t="s">
        <v>344</v>
      </c>
      <c r="B212" s="982" t="s">
        <v>136</v>
      </c>
    </row>
    <row r="213" spans="1:2">
      <c r="A213" s="1123" t="s">
        <v>345</v>
      </c>
      <c r="B213" s="982" t="s">
        <v>132</v>
      </c>
    </row>
    <row r="214" spans="1:2">
      <c r="A214" s="1123" t="s">
        <v>345</v>
      </c>
      <c r="B214" s="982" t="s">
        <v>138</v>
      </c>
    </row>
    <row r="215" spans="1:2">
      <c r="A215" s="1123" t="s">
        <v>343</v>
      </c>
      <c r="B215" s="982" t="s">
        <v>128</v>
      </c>
    </row>
    <row r="216" spans="1:2">
      <c r="A216" s="1123" t="s">
        <v>343</v>
      </c>
      <c r="B216" s="982" t="s">
        <v>134</v>
      </c>
    </row>
    <row r="217" spans="1:2">
      <c r="A217" s="1123" t="s">
        <v>4733</v>
      </c>
      <c r="B217" s="982" t="s">
        <v>4734</v>
      </c>
    </row>
    <row r="218" spans="1:2">
      <c r="A218" s="1123" t="s">
        <v>5275</v>
      </c>
      <c r="B218" s="982" t="s">
        <v>5276</v>
      </c>
    </row>
    <row r="219" spans="1:2">
      <c r="A219" s="1123" t="s">
        <v>808</v>
      </c>
      <c r="B219" s="982" t="s">
        <v>1761</v>
      </c>
    </row>
    <row r="220" spans="1:2">
      <c r="A220" s="1123" t="s">
        <v>5271</v>
      </c>
      <c r="B220" s="982" t="s">
        <v>5272</v>
      </c>
    </row>
    <row r="221" spans="1:2">
      <c r="A221" s="1123" t="s">
        <v>2250</v>
      </c>
      <c r="B221" s="982" t="s">
        <v>2251</v>
      </c>
    </row>
    <row r="222" spans="1:2">
      <c r="A222" s="1123" t="s">
        <v>1681</v>
      </c>
      <c r="B222" s="982" t="s">
        <v>1680</v>
      </c>
    </row>
    <row r="223" spans="1:2">
      <c r="A223" s="1123" t="s">
        <v>2671</v>
      </c>
      <c r="B223" s="982" t="s">
        <v>2668</v>
      </c>
    </row>
    <row r="224" spans="1:2">
      <c r="A224" s="1123" t="s">
        <v>2670</v>
      </c>
      <c r="B224" s="982" t="s">
        <v>2665</v>
      </c>
    </row>
    <row r="225" spans="1:2">
      <c r="A225" s="1123" t="s">
        <v>4353</v>
      </c>
      <c r="B225" s="982" t="s">
        <v>4354</v>
      </c>
    </row>
    <row r="226" spans="1:2">
      <c r="A226" s="1123" t="s">
        <v>2217</v>
      </c>
      <c r="B226" s="982" t="s">
        <v>2218</v>
      </c>
    </row>
    <row r="227" spans="1:2">
      <c r="A227" s="1123" t="s">
        <v>979</v>
      </c>
      <c r="B227" s="982" t="s">
        <v>981</v>
      </c>
    </row>
    <row r="228" spans="1:2">
      <c r="A228" s="1123" t="s">
        <v>1860</v>
      </c>
      <c r="B228" s="982" t="s">
        <v>977</v>
      </c>
    </row>
    <row r="229" spans="1:2">
      <c r="A229" s="1123" t="s">
        <v>2430</v>
      </c>
      <c r="B229" s="982" t="s">
        <v>2431</v>
      </c>
    </row>
    <row r="230" spans="1:2">
      <c r="A230" s="1123" t="s">
        <v>3553</v>
      </c>
      <c r="B230" s="982" t="s">
        <v>4141</v>
      </c>
    </row>
    <row r="231" spans="1:2">
      <c r="A231" s="1123" t="s">
        <v>2365</v>
      </c>
      <c r="B231" s="982" t="s">
        <v>2366</v>
      </c>
    </row>
    <row r="232" spans="1:2">
      <c r="A232" s="1123" t="s">
        <v>2369</v>
      </c>
      <c r="B232" s="982" t="s">
        <v>2370</v>
      </c>
    </row>
    <row r="233" spans="1:2">
      <c r="A233" s="1123" t="s">
        <v>2372</v>
      </c>
      <c r="B233" s="982" t="s">
        <v>2373</v>
      </c>
    </row>
    <row r="234" spans="1:2">
      <c r="A234" s="1123" t="s">
        <v>3318</v>
      </c>
      <c r="B234" s="982" t="s">
        <v>3319</v>
      </c>
    </row>
    <row r="235" spans="1:2">
      <c r="A235" s="1123" t="s">
        <v>4289</v>
      </c>
      <c r="B235" s="982" t="s">
        <v>4290</v>
      </c>
    </row>
    <row r="236" spans="1:2">
      <c r="A236" s="1123" t="s">
        <v>2652</v>
      </c>
      <c r="B236" s="982" t="s">
        <v>2653</v>
      </c>
    </row>
    <row r="237" spans="1:2">
      <c r="A237" s="1123" t="s">
        <v>391</v>
      </c>
      <c r="B237" s="982" t="s">
        <v>392</v>
      </c>
    </row>
    <row r="238" spans="1:2">
      <c r="A238" s="1123" t="s">
        <v>3799</v>
      </c>
      <c r="B238" s="982" t="s">
        <v>3800</v>
      </c>
    </row>
    <row r="239" spans="1:2">
      <c r="A239" s="1123" t="s">
        <v>14</v>
      </c>
      <c r="B239" s="982" t="s">
        <v>15</v>
      </c>
    </row>
    <row r="240" spans="1:2">
      <c r="A240" s="1123" t="s">
        <v>2625</v>
      </c>
      <c r="B240" s="982" t="s">
        <v>2626</v>
      </c>
    </row>
    <row r="241" spans="1:2">
      <c r="A241" s="1123" t="s">
        <v>2623</v>
      </c>
      <c r="B241" s="982" t="s">
        <v>2624</v>
      </c>
    </row>
    <row r="242" spans="1:2">
      <c r="A242" s="1123" t="s">
        <v>5079</v>
      </c>
      <c r="B242" s="982" t="s">
        <v>5083</v>
      </c>
    </row>
    <row r="243" spans="1:2">
      <c r="A243" s="1123" t="s">
        <v>5078</v>
      </c>
      <c r="B243" s="982" t="s">
        <v>5082</v>
      </c>
    </row>
    <row r="244" spans="1:2">
      <c r="A244" s="1123" t="s">
        <v>1753</v>
      </c>
      <c r="B244" s="982" t="s">
        <v>2449</v>
      </c>
    </row>
    <row r="245" spans="1:2">
      <c r="A245" s="1123" t="s">
        <v>3066</v>
      </c>
      <c r="B245" s="982" t="s">
        <v>3068</v>
      </c>
    </row>
    <row r="246" spans="1:2">
      <c r="A246" s="1123" t="s">
        <v>4431</v>
      </c>
      <c r="B246" s="982" t="s">
        <v>4441</v>
      </c>
    </row>
    <row r="247" spans="1:2">
      <c r="A247" s="1123" t="s">
        <v>4426</v>
      </c>
      <c r="B247" s="982" t="s">
        <v>4438</v>
      </c>
    </row>
    <row r="248" spans="1:2">
      <c r="A248" s="1123" t="s">
        <v>4429</v>
      </c>
      <c r="B248" s="982" t="s">
        <v>4444</v>
      </c>
    </row>
    <row r="249" spans="1:2">
      <c r="A249" s="1123" t="s">
        <v>5546</v>
      </c>
      <c r="B249" s="982" t="s">
        <v>13</v>
      </c>
    </row>
    <row r="250" spans="1:2">
      <c r="A250" s="1123" t="s">
        <v>92</v>
      </c>
      <c r="B250" s="982" t="s">
        <v>93</v>
      </c>
    </row>
    <row r="251" spans="1:2">
      <c r="A251" s="1123" t="s">
        <v>85</v>
      </c>
      <c r="B251" s="982" t="s">
        <v>86</v>
      </c>
    </row>
    <row r="252" spans="1:2">
      <c r="A252" s="1123" t="s">
        <v>4143</v>
      </c>
      <c r="B252" s="982" t="s">
        <v>4144</v>
      </c>
    </row>
    <row r="253" spans="1:2">
      <c r="A253" s="1123" t="s">
        <v>94</v>
      </c>
      <c r="B253" s="982" t="s">
        <v>95</v>
      </c>
    </row>
    <row r="254" spans="1:2">
      <c r="A254" s="1123" t="s">
        <v>87</v>
      </c>
      <c r="B254" s="982" t="s">
        <v>88</v>
      </c>
    </row>
    <row r="255" spans="1:2">
      <c r="A255" s="1123" t="s">
        <v>4146</v>
      </c>
      <c r="B255" s="982" t="s">
        <v>4147</v>
      </c>
    </row>
    <row r="256" spans="1:2">
      <c r="A256" s="1123" t="s">
        <v>89</v>
      </c>
      <c r="B256" s="982" t="s">
        <v>90</v>
      </c>
    </row>
    <row r="257" spans="1:2">
      <c r="A257" s="1123" t="s">
        <v>4148</v>
      </c>
      <c r="B257" s="982" t="s">
        <v>4149</v>
      </c>
    </row>
    <row r="258" spans="1:2">
      <c r="A258" s="1123" t="s">
        <v>204</v>
      </c>
      <c r="B258" s="982" t="s">
        <v>205</v>
      </c>
    </row>
    <row r="259" spans="1:2">
      <c r="A259" s="1123" t="s">
        <v>4347</v>
      </c>
      <c r="B259" s="982" t="s">
        <v>4350</v>
      </c>
    </row>
    <row r="260" spans="1:2">
      <c r="A260" s="1123" t="s">
        <v>593</v>
      </c>
      <c r="B260" s="982" t="s">
        <v>594</v>
      </c>
    </row>
    <row r="261" spans="1:2">
      <c r="A261" s="1123" t="s">
        <v>595</v>
      </c>
      <c r="B261" s="982" t="s">
        <v>596</v>
      </c>
    </row>
    <row r="262" spans="1:2">
      <c r="A262" s="1123" t="s">
        <v>2580</v>
      </c>
      <c r="B262" s="982" t="s">
        <v>2581</v>
      </c>
    </row>
    <row r="263" spans="1:2">
      <c r="A263" s="1123" t="s">
        <v>4119</v>
      </c>
      <c r="B263" s="982" t="s">
        <v>1149</v>
      </c>
    </row>
    <row r="264" spans="1:2">
      <c r="A264" s="1123" t="s">
        <v>1079</v>
      </c>
      <c r="B264" s="982" t="s">
        <v>1080</v>
      </c>
    </row>
    <row r="265" spans="1:2">
      <c r="A265" s="1123" t="s">
        <v>3997</v>
      </c>
      <c r="B265" s="982" t="s">
        <v>590</v>
      </c>
    </row>
    <row r="266" spans="1:2">
      <c r="A266" s="1123" t="s">
        <v>4527</v>
      </c>
      <c r="B266" s="982" t="s">
        <v>4528</v>
      </c>
    </row>
    <row r="267" spans="1:2">
      <c r="A267" s="1123" t="s">
        <v>1158</v>
      </c>
      <c r="B267" s="982" t="s">
        <v>1159</v>
      </c>
    </row>
    <row r="268" spans="1:2">
      <c r="A268" s="1123" t="s">
        <v>4356</v>
      </c>
      <c r="B268" s="982" t="s">
        <v>4357</v>
      </c>
    </row>
    <row r="269" spans="1:2">
      <c r="A269" s="1123" t="s">
        <v>1004</v>
      </c>
      <c r="B269" s="982" t="s">
        <v>1005</v>
      </c>
    </row>
    <row r="270" spans="1:2">
      <c r="A270" s="1123" t="s">
        <v>3466</v>
      </c>
      <c r="B270" s="982" t="s">
        <v>3467</v>
      </c>
    </row>
    <row r="271" spans="1:2">
      <c r="A271" s="1123" t="s">
        <v>1397</v>
      </c>
      <c r="B271" s="982" t="s">
        <v>1398</v>
      </c>
    </row>
    <row r="272" spans="1:2">
      <c r="A272" s="1123" t="s">
        <v>3365</v>
      </c>
      <c r="B272" s="982" t="s">
        <v>3366</v>
      </c>
    </row>
    <row r="273" spans="1:2">
      <c r="A273" s="1123" t="s">
        <v>4432</v>
      </c>
      <c r="B273" s="982" t="s">
        <v>4440</v>
      </c>
    </row>
    <row r="274" spans="1:2">
      <c r="A274" s="1123" t="s">
        <v>4434</v>
      </c>
      <c r="B274" s="982" t="s">
        <v>4437</v>
      </c>
    </row>
    <row r="275" spans="1:2">
      <c r="A275" s="1123" t="s">
        <v>4433</v>
      </c>
      <c r="B275" s="982" t="s">
        <v>4443</v>
      </c>
    </row>
    <row r="276" spans="1:2">
      <c r="A276" s="1123" t="s">
        <v>4430</v>
      </c>
      <c r="B276" s="982" t="s">
        <v>4439</v>
      </c>
    </row>
    <row r="277" spans="1:2">
      <c r="A277" s="1123" t="s">
        <v>4427</v>
      </c>
      <c r="B277" s="982" t="s">
        <v>4436</v>
      </c>
    </row>
    <row r="278" spans="1:2">
      <c r="A278" s="1123" t="s">
        <v>4428</v>
      </c>
      <c r="B278" s="982" t="s">
        <v>4442</v>
      </c>
    </row>
    <row r="279" spans="1:2">
      <c r="A279" s="1123" t="s">
        <v>2912</v>
      </c>
      <c r="B279" s="982" t="s">
        <v>2913</v>
      </c>
    </row>
    <row r="280" spans="1:2">
      <c r="A280" s="1123" t="s">
        <v>2914</v>
      </c>
      <c r="B280" s="982" t="s">
        <v>2916</v>
      </c>
    </row>
    <row r="281" spans="1:2">
      <c r="A281" s="1123" t="s">
        <v>762</v>
      </c>
      <c r="B281" s="982" t="s">
        <v>763</v>
      </c>
    </row>
    <row r="282" spans="1:2">
      <c r="A282" s="1123" t="s">
        <v>1752</v>
      </c>
      <c r="B282" s="982" t="s">
        <v>2452</v>
      </c>
    </row>
    <row r="283" spans="1:2">
      <c r="A283" s="1123" t="s">
        <v>3369</v>
      </c>
      <c r="B283" s="982" t="s">
        <v>3367</v>
      </c>
    </row>
    <row r="284" spans="1:2">
      <c r="A284" s="1123" t="s">
        <v>2459</v>
      </c>
      <c r="B284" s="982" t="s">
        <v>2460</v>
      </c>
    </row>
    <row r="285" spans="1:2">
      <c r="A285" s="1123" t="s">
        <v>527</v>
      </c>
      <c r="B285" s="982" t="s">
        <v>529</v>
      </c>
    </row>
    <row r="286" spans="1:2">
      <c r="A286" s="1123" t="s">
        <v>2506</v>
      </c>
      <c r="B286" s="982" t="s">
        <v>2507</v>
      </c>
    </row>
    <row r="287" spans="1:2">
      <c r="A287" s="1123" t="s">
        <v>1787</v>
      </c>
      <c r="B287" s="982" t="s">
        <v>2524</v>
      </c>
    </row>
    <row r="288" spans="1:2">
      <c r="A288" s="1123" t="s">
        <v>1788</v>
      </c>
      <c r="B288" s="982" t="s">
        <v>4065</v>
      </c>
    </row>
    <row r="289" spans="1:2">
      <c r="A289" s="1123" t="s">
        <v>2321</v>
      </c>
      <c r="B289" s="982" t="s">
        <v>2322</v>
      </c>
    </row>
    <row r="290" spans="1:2">
      <c r="A290" s="1123" t="s">
        <v>4399</v>
      </c>
      <c r="B290" s="982" t="s">
        <v>4405</v>
      </c>
    </row>
    <row r="291" spans="1:2">
      <c r="A291" s="1123" t="s">
        <v>4397</v>
      </c>
      <c r="B291" s="982" t="s">
        <v>4403</v>
      </c>
    </row>
    <row r="292" spans="1:2">
      <c r="A292" s="1123" t="s">
        <v>4398</v>
      </c>
      <c r="B292" s="982" t="s">
        <v>4404</v>
      </c>
    </row>
    <row r="293" spans="1:2">
      <c r="A293" s="1123" t="s">
        <v>1237</v>
      </c>
      <c r="B293" s="982" t="s">
        <v>1236</v>
      </c>
    </row>
    <row r="294" spans="1:2">
      <c r="A294" s="1123" t="s">
        <v>2338</v>
      </c>
      <c r="B294" s="982" t="s">
        <v>2339</v>
      </c>
    </row>
    <row r="295" spans="1:2">
      <c r="A295" s="1123" t="s">
        <v>3677</v>
      </c>
      <c r="B295" s="982" t="s">
        <v>3678</v>
      </c>
    </row>
    <row r="296" spans="1:2">
      <c r="A296" s="1123" t="s">
        <v>2227</v>
      </c>
      <c r="B296" s="982" t="s">
        <v>2228</v>
      </c>
    </row>
    <row r="297" spans="1:2">
      <c r="A297" s="1123" t="s">
        <v>4406</v>
      </c>
      <c r="B297" s="982" t="s">
        <v>4407</v>
      </c>
    </row>
    <row r="298" spans="1:2">
      <c r="A298" s="1123" t="s">
        <v>5639</v>
      </c>
      <c r="B298" s="982" t="s">
        <v>405</v>
      </c>
    </row>
    <row r="299" spans="1:2">
      <c r="A299" s="1123" t="s">
        <v>4578</v>
      </c>
      <c r="B299" s="982" t="s">
        <v>4581</v>
      </c>
    </row>
    <row r="300" spans="1:2">
      <c r="A300" s="1123" t="s">
        <v>4577</v>
      </c>
      <c r="B300" s="982" t="s">
        <v>4580</v>
      </c>
    </row>
    <row r="301" spans="1:2">
      <c r="A301" s="1123" t="s">
        <v>4579</v>
      </c>
      <c r="B301" s="982" t="s">
        <v>4582</v>
      </c>
    </row>
    <row r="302" spans="1:2">
      <c r="A302" s="1123" t="s">
        <v>3896</v>
      </c>
      <c r="B302" s="982" t="s">
        <v>3897</v>
      </c>
    </row>
    <row r="303" spans="1:2">
      <c r="A303" s="1123" t="s">
        <v>3766</v>
      </c>
      <c r="B303" s="982" t="s">
        <v>3767</v>
      </c>
    </row>
    <row r="304" spans="1:2">
      <c r="A304" s="1123" t="s">
        <v>2616</v>
      </c>
      <c r="B304" s="982" t="s">
        <v>2617</v>
      </c>
    </row>
    <row r="305" spans="1:2">
      <c r="A305" s="1123" t="s">
        <v>3764</v>
      </c>
      <c r="B305" s="982" t="s">
        <v>3765</v>
      </c>
    </row>
    <row r="306" spans="1:2">
      <c r="A306" s="1123" t="s">
        <v>486</v>
      </c>
      <c r="B306" s="982" t="s">
        <v>487</v>
      </c>
    </row>
    <row r="307" spans="1:2">
      <c r="A307" s="1123" t="s">
        <v>2163</v>
      </c>
      <c r="B307" s="982" t="s">
        <v>2164</v>
      </c>
    </row>
    <row r="308" spans="1:2">
      <c r="A308" s="1123" t="s">
        <v>5569</v>
      </c>
      <c r="B308" s="982" t="s">
        <v>5570</v>
      </c>
    </row>
    <row r="309" spans="1:2">
      <c r="A309" s="1123" t="s">
        <v>1147</v>
      </c>
      <c r="B309" s="982" t="s">
        <v>1148</v>
      </c>
    </row>
    <row r="310" spans="1:2">
      <c r="A310" s="1123" t="s">
        <v>3615</v>
      </c>
      <c r="B310" s="982" t="s">
        <v>3616</v>
      </c>
    </row>
    <row r="311" spans="1:2">
      <c r="A311" s="1123" t="s">
        <v>1936</v>
      </c>
      <c r="B311" s="982" t="s">
        <v>2792</v>
      </c>
    </row>
    <row r="312" spans="1:2">
      <c r="A312" s="1123" t="s">
        <v>4475</v>
      </c>
      <c r="B312" s="982" t="s">
        <v>4474</v>
      </c>
    </row>
    <row r="313" spans="1:2">
      <c r="A313" s="1123" t="s">
        <v>1391</v>
      </c>
      <c r="B313" s="982" t="s">
        <v>1392</v>
      </c>
    </row>
    <row r="314" spans="1:2">
      <c r="A314" s="1123" t="s">
        <v>5582</v>
      </c>
      <c r="B314" s="982" t="s">
        <v>3105</v>
      </c>
    </row>
    <row r="315" spans="1:2">
      <c r="A315" s="1123" t="s">
        <v>4522</v>
      </c>
      <c r="B315" s="982" t="s">
        <v>4523</v>
      </c>
    </row>
    <row r="316" spans="1:2">
      <c r="A316" s="1123" t="s">
        <v>4606</v>
      </c>
      <c r="B316" s="982" t="s">
        <v>4622</v>
      </c>
    </row>
    <row r="317" spans="1:2">
      <c r="A317" s="1123" t="s">
        <v>4481</v>
      </c>
      <c r="B317" s="982" t="s">
        <v>4482</v>
      </c>
    </row>
    <row r="318" spans="1:2">
      <c r="A318" s="1123" t="s">
        <v>4836</v>
      </c>
      <c r="B318" s="982" t="s">
        <v>4835</v>
      </c>
    </row>
    <row r="319" spans="1:2">
      <c r="A319" s="1123" t="s">
        <v>4598</v>
      </c>
      <c r="B319" s="982" t="s">
        <v>4419</v>
      </c>
    </row>
    <row r="320" spans="1:2">
      <c r="A320" s="1123" t="s">
        <v>4596</v>
      </c>
      <c r="B320" s="982" t="s">
        <v>4417</v>
      </c>
    </row>
    <row r="321" spans="1:2">
      <c r="A321" s="1123" t="s">
        <v>4597</v>
      </c>
      <c r="B321" s="982" t="s">
        <v>4418</v>
      </c>
    </row>
    <row r="322" spans="1:2">
      <c r="A322" s="1123" t="s">
        <v>3475</v>
      </c>
      <c r="B322" s="982" t="s">
        <v>4291</v>
      </c>
    </row>
    <row r="323" spans="1:2">
      <c r="A323" s="1123" t="s">
        <v>428</v>
      </c>
      <c r="B323" s="982" t="s">
        <v>3586</v>
      </c>
    </row>
    <row r="324" spans="1:2">
      <c r="A324" s="1123" t="s">
        <v>206</v>
      </c>
      <c r="B324" s="982" t="s">
        <v>1764</v>
      </c>
    </row>
    <row r="325" spans="1:2">
      <c r="A325" s="1123" t="s">
        <v>5571</v>
      </c>
      <c r="B325" s="982" t="s">
        <v>2996</v>
      </c>
    </row>
    <row r="326" spans="1:2">
      <c r="A326" s="1123" t="s">
        <v>2717</v>
      </c>
      <c r="B326" s="982" t="s">
        <v>2718</v>
      </c>
    </row>
    <row r="327" spans="1:2">
      <c r="A327" s="1123" t="s">
        <v>4837</v>
      </c>
      <c r="B327" s="982" t="s">
        <v>4838</v>
      </c>
    </row>
    <row r="328" spans="1:2">
      <c r="A328" s="1123" t="s">
        <v>2427</v>
      </c>
      <c r="B328" s="982" t="s">
        <v>234</v>
      </c>
    </row>
    <row r="329" spans="1:2">
      <c r="A329" s="1123" t="s">
        <v>1401</v>
      </c>
      <c r="B329" s="982" t="s">
        <v>1353</v>
      </c>
    </row>
    <row r="330" spans="1:2">
      <c r="A330" s="1123" t="s">
        <v>1362</v>
      </c>
      <c r="B330" s="982" t="s">
        <v>1363</v>
      </c>
    </row>
    <row r="331" spans="1:2">
      <c r="A331" s="1123" t="s">
        <v>1526</v>
      </c>
      <c r="B331" s="982" t="s">
        <v>2280</v>
      </c>
    </row>
    <row r="332" spans="1:2">
      <c r="A332" s="1123" t="s">
        <v>1527</v>
      </c>
      <c r="B332" s="982" t="s">
        <v>2281</v>
      </c>
    </row>
    <row r="333" spans="1:2">
      <c r="A333" s="1123" t="s">
        <v>1085</v>
      </c>
      <c r="B333" s="982" t="s">
        <v>3069</v>
      </c>
    </row>
    <row r="334" spans="1:2">
      <c r="A334" s="1123" t="s">
        <v>1793</v>
      </c>
      <c r="B334" s="982" t="s">
        <v>1794</v>
      </c>
    </row>
    <row r="335" spans="1:2">
      <c r="A335" s="1123" t="s">
        <v>2320</v>
      </c>
      <c r="B335" s="982" t="s">
        <v>2631</v>
      </c>
    </row>
    <row r="336" spans="1:2">
      <c r="A336" s="1123" t="s">
        <v>2336</v>
      </c>
      <c r="B336" s="982" t="s">
        <v>2337</v>
      </c>
    </row>
    <row r="337" spans="1:2">
      <c r="A337" s="1123" t="s">
        <v>5649</v>
      </c>
      <c r="B337" s="982" t="s">
        <v>3912</v>
      </c>
    </row>
    <row r="338" spans="1:2">
      <c r="A338" s="1123" t="s">
        <v>5647</v>
      </c>
      <c r="B338" s="982" t="s">
        <v>3905</v>
      </c>
    </row>
    <row r="339" spans="1:2">
      <c r="A339" s="1123" t="s">
        <v>5648</v>
      </c>
      <c r="B339" s="982" t="s">
        <v>3908</v>
      </c>
    </row>
    <row r="340" spans="1:2">
      <c r="A340" s="1123" t="s">
        <v>1227</v>
      </c>
      <c r="B340" s="982" t="s">
        <v>2453</v>
      </c>
    </row>
    <row r="341" spans="1:2">
      <c r="A341" s="1123" t="s">
        <v>5641</v>
      </c>
      <c r="B341" s="982" t="s">
        <v>5640</v>
      </c>
    </row>
    <row r="342" spans="1:2">
      <c r="A342" s="1123" t="s">
        <v>3020</v>
      </c>
      <c r="B342" s="982" t="s">
        <v>576</v>
      </c>
    </row>
    <row r="343" spans="1:2">
      <c r="A343" s="1123" t="s">
        <v>2225</v>
      </c>
      <c r="B343" s="982" t="s">
        <v>2226</v>
      </c>
    </row>
    <row r="344" spans="1:2">
      <c r="A344" s="1123" t="s">
        <v>3019</v>
      </c>
      <c r="B344" s="982" t="s">
        <v>2716</v>
      </c>
    </row>
    <row r="345" spans="1:2">
      <c r="A345" s="1123" t="s">
        <v>1633</v>
      </c>
      <c r="B345" s="982" t="s">
        <v>1634</v>
      </c>
    </row>
    <row r="346" spans="1:2">
      <c r="A346" s="1123" t="s">
        <v>4446</v>
      </c>
      <c r="B346" s="982" t="s">
        <v>4460</v>
      </c>
    </row>
    <row r="347" spans="1:2">
      <c r="A347" s="1123" t="s">
        <v>4452</v>
      </c>
      <c r="B347" s="982" t="s">
        <v>4461</v>
      </c>
    </row>
    <row r="348" spans="1:2">
      <c r="A348" s="1123" t="s">
        <v>2152</v>
      </c>
      <c r="B348" s="982" t="s">
        <v>2153</v>
      </c>
    </row>
    <row r="349" spans="1:2">
      <c r="A349" s="1123" t="s">
        <v>5300</v>
      </c>
      <c r="B349" s="982" t="s">
        <v>5301</v>
      </c>
    </row>
    <row r="350" spans="1:2">
      <c r="A350" s="1123" t="s">
        <v>5302</v>
      </c>
      <c r="B350" s="982" t="s">
        <v>5303</v>
      </c>
    </row>
  </sheetData>
  <sortState xmlns:xlrd2="http://schemas.microsoft.com/office/spreadsheetml/2017/richdata2" ref="A5:B350">
    <sortCondition ref="A5:A350"/>
  </sortState>
  <phoneticPr fontId="70" type="noConversion"/>
  <hyperlinks>
    <hyperlink ref="B5" location="elem_wt_16" display="elem_wt_16" xr:uid="{EA1C7D81-F761-4E37-97A2-8440B54D40E9}"/>
    <hyperlink ref="B6" location="elem_wt_4" display="elem_wt_4" xr:uid="{898835A2-4E06-4344-B17E-C95D87370A13}"/>
    <hyperlink ref="B7" location="elem_wt_8" display="elem_wt_8" xr:uid="{C031BE82-77C1-4488-A1ED-890815FECDD1}"/>
    <hyperlink ref="B8" location="perm_flow_abs_tol" display="perm_flow_abs_tol" xr:uid="{BE408100-866E-4E83-9B1C-22BE9E74E467}"/>
    <hyperlink ref="B9" location="element_extra_space" display="element_extra_space" xr:uid="{B2037C64-6721-4F61-B5E8-FEC84365F13C}"/>
    <hyperlink ref="B10" location="space_other_equip" display="space_other_equip" xr:uid="{740EB3DF-8B87-45EE-A672-BA2109C05D04}"/>
    <hyperlink ref="B11" location="space_pumps" display="space_pumps" xr:uid="{C0FA5AB3-9D1A-459A-BCE7-4324C54125E4}"/>
    <hyperlink ref="B12" location="pretreat_acid_I" display="pretreat_acid_I" xr:uid="{01B42BF8-C4D8-4017-A92B-E144AB9E2F75}"/>
    <hyperlink ref="B13" location="clean_acid" display="clean_acid" xr:uid="{61D6DDC6-D254-4B9A-8D73-EC03EDC95839}"/>
    <hyperlink ref="B14" location="sec_cont_freeboard" display="sec_cont_freeboard" xr:uid="{C9969F85-589F-422C-BBF9-EF6D2909D20A}"/>
    <hyperlink ref="B15" location="addl_redund_cart_per_flow" display="addl_redund_cart_per_flow" xr:uid="{201F3EF6-EC36-49EE-BB1C-AA8BE1ACC08B}"/>
    <hyperlink ref="B16" location="add_ports" display="add_ports" xr:uid="{B1CF8F29-F975-4F28-B66E-391908A82B75}"/>
    <hyperlink ref="B17" location="Clerical_percent" display="Clerical_percent" xr:uid="{B5407AAC-5EA3-4FF7-B3E9-CAD86ED1A6FC}"/>
    <hyperlink ref="B18" location="EER" display="EER" xr:uid="{D14B909C-8204-46CC-8FDE-A6E81364EB18}"/>
    <hyperlink ref="B19" location="cool_DD" display="cool_DD" xr:uid="{6CF6EE8A-2587-48CC-AD85-24833FB72A06}"/>
    <hyperlink ref="B20" location="heat_DD" display="heat_DD" xr:uid="{3C9C9FF8-ABA7-4950-BA3B-01F2D544C2A7}"/>
    <hyperlink ref="B21" location="use_antiscalant_I" display="use_antiscalant_I" xr:uid="{56CAAF5D-220C-4AEA-842C-F6BFED044D2A}"/>
    <hyperlink ref="B22" location="anti_density" display="anti_density" xr:uid="{2FB4FCF6-E2FF-493E-A430-EA177A498559}"/>
    <hyperlink ref="B23" location="anti_dose_conc" display="anti_dose_conc" xr:uid="{ACB82124-106A-430D-AE22-CE4B03E56E10}"/>
    <hyperlink ref="B24" location="POTW_base_fee" display="POTW_base_fee" xr:uid="{5095DF8B-32E7-4429-B23B-AFAA2A1596ED}"/>
    <hyperlink ref="B25" location="POTW_TSS_fee" display="POTW_TSS_fee" xr:uid="{383161F9-5D65-4028-800B-A355BC261E19}"/>
    <hyperlink ref="B26" location="POTW_volume_fee" display="POTW_volume_fee" xr:uid="{636DCE2E-A22C-48EF-BC94-CF149755D4AD}"/>
    <hyperlink ref="B27" location="pan_evap" display="pan_evap" xr:uid="{1B0C2542-44FC-4EA8-9697-40D1AFF9E4AE}"/>
    <hyperlink ref="B28" location="precip" display="precip" xr:uid="{B1B0D47A-8BB4-4553-A226-F1AF9B624E26}"/>
    <hyperlink ref="B29" location="average_flow_I" display="average_flow_I" xr:uid="{3EB18FDC-F9DF-45AE-BDD2-57C2E4882897}"/>
    <hyperlink ref="B30" location="avg_Y_el_targ_frac" display="avg_Y_el_targ_frac" xr:uid="{8A752E95-22EF-4C7F-9734-69717525172B}"/>
    <hyperlink ref="B31" location="P_adj_method_12" display="P_adj_method_12" xr:uid="{97CD7D20-0B92-4554-95C3-BA2D4CA5E66C}"/>
    <hyperlink ref="B32" location="P_adj_method_23" display="P_adj_method_23" xr:uid="{2962B2A6-4E2B-40EA-8F4B-9BD57ED5F07E}"/>
    <hyperlink ref="B33" location="non_fire_buffer" display="non_fire_buffer" xr:uid="{A0DCC14C-D954-4CBC-9806-BC98FDF0D376}"/>
    <hyperlink ref="B34" location="Building_height" display="Building_height" xr:uid="{033E00D4-0A26-4976-AC6C-B0696F7C58CF}"/>
    <hyperlink ref="B35" location="bp_pipe_mult" display="bp_pipe_mult" xr:uid="{E4817CD6-575C-4EB2-AF75-43308D048367}"/>
    <hyperlink ref="B36" location="bp_pump_eff" display="bp_pump_eff" xr:uid="{A2ABF7BA-6881-40C3-B073-5C63B1E5360A}"/>
    <hyperlink ref="B37" location="bp_pump_head" display="bp_pump_head" xr:uid="{D94DB77E-0A9C-48BF-95BA-2D2BF96E7EAD}"/>
    <hyperlink ref="B38" location="cleaning_freq_change" display="cleaning_freq_change" xr:uid="{8E9B26E5-0E0E-48DF-92EA-EE6B7FA5A7DA}"/>
    <hyperlink ref="B39" location="solids_haz_I" display="solids_haz_I" xr:uid="{900C264D-E9C6-4B7A-967B-B85B4ECDADBE}"/>
    <hyperlink ref="B40" location="chem_pipe_mult" display="chem_pipe_mult" xr:uid="{A8E27E1A-B626-42A9-989B-D9908C48B1DA}"/>
    <hyperlink ref="B41" location="sec_cont_coating_cvg" display="sec_cont_coating_cvg" xr:uid="{36F8C0D1-1D05-4BE2-87BA-11734DD44EED}"/>
    <hyperlink ref="B42" location="cmix_hp_per" display="cmix_hp_per" xr:uid="{7C632218-F165-4CF4-9741-A67EAF8494B9}"/>
    <hyperlink ref="B43" location="clean_high_pH" display="clean_high_pH" xr:uid="{C5A386AF-24C6-4D38-B370-B1E6742BF5A7}"/>
    <hyperlink ref="B44" location="citric_density" display="citric_density" xr:uid="{77B54718-B986-4F9D-8989-24A186D53E88}"/>
    <hyperlink ref="B45" location="city_index" display="city_index" xr:uid="{FE96640C-BAA6-4117-993F-78BCC745967B}"/>
    <hyperlink ref="B46" location="OM_City_Index" display="OM_City_Index" xr:uid="{8D97C137-5E97-44BA-8B33-5655D2858746}"/>
    <hyperlink ref="B47" location="clean_interval_override" display="clean_interval_override" xr:uid="{D0EF4B25-FF57-4675-91E8-D4EB97C97C02}"/>
    <hyperlink ref="B48" location="cleaning_temp" display="cleaning_temp" xr:uid="{36D3EFD4-9A55-4A77-91CA-7C990B0EA532}"/>
    <hyperlink ref="B49" location="ceiling_clearance" display="ceiling_clearance" xr:uid="{DEAE3EF9-5DE9-4B3B-96B9-CC4B2272AACA}"/>
    <hyperlink ref="B50" location="cleaning_cycle" display="cleaning_cycle" xr:uid="{2FFC4EC9-5E8B-4272-988F-C06AE65EF15E}"/>
    <hyperlink ref="B51" location="component_level_I" display="component_level_I" xr:uid="{FBBE2F19-41E7-466D-AA24-B3BD66740F3A}"/>
    <hyperlink ref="B52" location="workstation_ratio" display="workstation_ratio" xr:uid="{20E37F0E-81E9-44F9-AD20-830FAC5E890A}"/>
    <hyperlink ref="B53" location="caustic_strength" display="caustic_strength" xr:uid="{A18939F0-BC5F-4430-943E-29E96CB24A4E}"/>
    <hyperlink ref="B54" location="acid_strength_H2SO4" display="acid_strength_H2SO4" xr:uid="{EA04884E-C6D5-4FE5-B008-245F1AD3B160}"/>
    <hyperlink ref="B55" location="acid_strength_HCl" display="acid_strength_HCl" xr:uid="{33424FC4-CAAB-4C77-8616-881158BE2368}"/>
    <hyperlink ref="B56" location="pad_thick" display="pad_thick" xr:uid="{E848B870-6EBD-4D4F-A2DF-E2E608DF3578}"/>
    <hyperlink ref="B57" location="pad_vessels" display="pad_vessels" xr:uid="{D3C65E6B-F3BF-4380-A7E4-E335BC309DE6}"/>
    <hyperlink ref="B58" location="pad_thick_small" display="pad_thick_small" xr:uid="{E131D500-3F71-4032-9235-3120EBCF8070}"/>
    <hyperlink ref="B59" location="conc_thick" display="conc_thick" xr:uid="{EB5DF812-9E70-49C6-913E-0674D3FC321D}"/>
    <hyperlink ref="B60" location="inout_cond_meter" display="inout_cond_meter" xr:uid="{86957CE4-10A6-4316-B8A1-1279206E46CF}"/>
    <hyperlink ref="B61" location="cond_rack" display="cond_rack" xr:uid="{AD076408-D3C1-4CFC-9F22-B7A0AF1F21CC}"/>
    <hyperlink ref="B62" location="cooling_table" display="cooling_table" xr:uid="{26BC0CB6-1231-4E2C-85BA-4EA09FD9D3D7}"/>
    <hyperlink ref="B63" location="cooling_table_shed" display="cooling_table_shed" xr:uid="{E2D25758-6EF4-4978-A901-DC273659267E}"/>
    <hyperlink ref="B64" location="cool_viload" display="cool_viload" xr:uid="{673BAA22-B732-4F02-9A68-AF10FC5128C9}"/>
    <hyperlink ref="B65" location="curve" display="curve" xr:uid="{EF4643C4-37AA-4B67-9A4A-0D2656EBB250}"/>
    <hyperlink ref="B66" location="winter_days" display="winter_days" xr:uid="{DF33D4EF-2978-45DD-86FD-18AD4D84FBDD}"/>
    <hyperlink ref="B67" location="injection_well_depth" display="injection_well_depth" xr:uid="{8CC5D066-7DBD-4D44-8DB2-FC5AF6606FED}"/>
    <hyperlink ref="B68" location="design_flow_I" display="design_flow_I" xr:uid="{B05CC136-6176-4A76-880D-FDA7BC5ECBE8}"/>
    <hyperlink ref="B69" location="design_flux" display="design_flux" xr:uid="{1C18A7FD-2DD7-4B56-BB32-EC6091AD066E}"/>
    <hyperlink ref="B70" location="proprietary_dilution_highpH" display="proprietary_dilution_highpH" xr:uid="{605F3D64-4DA0-49D1-BA04-A472537E1856}"/>
    <hyperlink ref="B71" location="proprietary_dilution_lowpH" display="proprietary_dilution_lowpH" xr:uid="{A2B47B29-69D5-4F00-B1B3-7E3CCD616685}"/>
    <hyperlink ref="B72" location="res_s2_opt_I" display="res_s2_opt_I" xr:uid="{1F8F870A-32DF-4231-8DA8-4D260A3DF11B}"/>
    <hyperlink ref="B73" location="solids_method" display="solids_method" xr:uid="{17B74A3F-392C-44BC-90E0-3985AE302D2A}"/>
    <hyperlink ref="B74" location="add_res_pipe_length_direct" display="add_res_pipe_length_direct" xr:uid="{49F8DC76-4CD1-4D75-A6D4-FFEB24E960B4}"/>
    <hyperlink ref="B75" location="add_res_pipe_length" display="add_res_pipe_length" xr:uid="{E05ACA07-459A-4208-B030-BE56B848E2DB}"/>
    <hyperlink ref="B76" location="S_cm_pump" display="S_cm_pump" xr:uid="{C94160AE-2BCF-4CFA-A530-76812CB23918}"/>
    <hyperlink ref="B77" location="S_anti_pump" display="S_anti_pump" xr:uid="{901BE790-BC16-4344-8577-D04B3969A40C}"/>
    <hyperlink ref="B78" location="S_booster_pump" display="S_booster_pump" xr:uid="{9137BD3B-4F84-448C-8604-80FDD274FF01}"/>
    <hyperlink ref="B79" location="S_bypass_pump" display="S_bypass_pump" xr:uid="{F493481E-6FF6-4AC0-8E86-8B991A5E37DC}"/>
    <hyperlink ref="B80" location="S_chem_pump" display="S_chem_pump" xr:uid="{BE68EF17-0760-42A4-B952-45BD71A5AA43}"/>
    <hyperlink ref="B81" location="S_eductor" display="S_eductor" xr:uid="{463DECFD-C3A4-4B61-A109-ACAE178B2717}"/>
    <hyperlink ref="B82" location="S_feed_pump" display="S_feed_pump" xr:uid="{604672C7-073D-4C6A-A8FC-DE938CFFD503}"/>
    <hyperlink ref="B83" location="S_mix" display="S_mix" xr:uid="{43177DDD-FEBE-4F75-8D90-FC0FD7CCD029}"/>
    <hyperlink ref="B84" location="S_res_pump" display="S_res_pump" xr:uid="{E5F6541C-0A1F-49DE-BA3E-47439A055468}"/>
    <hyperlink ref="B85" location="S_slurry" display="S_slurry" xr:uid="{697173A7-F389-4FF1-A846-DAB1B2D7B452}"/>
    <hyperlink ref="B86" location="storage_height" display="storage_height" xr:uid="{3FFAB84B-640B-44AE-87B0-1D53BC165C2C}"/>
    <hyperlink ref="B87" location="resist_eff" display="resist_eff" xr:uid="{484D996D-4342-4B0E-9A3F-16FFBD75360A}"/>
    <hyperlink ref="B88" location="electric_encl" display="electric_encl" xr:uid="{930279C5-B848-4FB5-8C11-E5A944B76F05}"/>
    <hyperlink ref="B89" location="plc_ethernet " display="plc_ethernet " xr:uid="{2B608787-C575-461D-A1DA-64EDECE5238D}"/>
    <hyperlink ref="B90" location="dike_xsection" display="dike_xsection" xr:uid="{3D680F73-077B-48B8-98AE-BD29A0007B7C}"/>
    <hyperlink ref="B91" location="ep_freeboard" display="ep_freeboard" xr:uid="{8FC0D787-866E-4B85-9BFD-C525CF9341D4}"/>
    <hyperlink ref="B92" location="ep_safety_factor" display="ep_safety_factor" xr:uid="{57D16236-C173-4E59-855C-75CF2F5A72F5}"/>
    <hyperlink ref="B93" location="ht_solids_density" display="ht_solids_density" xr:uid="{FCFE178B-7F9C-4BD6-9919-67E11C5D1B61}"/>
    <hyperlink ref="B94" location="ep_solids_density" display="ep_solids_density" xr:uid="{9198B832-3126-439B-8550-17B1BECAC8B3}"/>
    <hyperlink ref="B95" location="dredging_freq" display="dredging_freq" xr:uid="{F364AA05-283C-40CF-BEB5-941D4DE00933}"/>
    <hyperlink ref="B96" location="evap_ratio" display="evap_ratio" xr:uid="{1BDEB47E-94A8-45ED-8081-4EC3EF15ABB1}"/>
    <hyperlink ref="B97" location="extra_rack_height" display="extra_rack_height" xr:uid="{B130ABC6-5F5B-4FB6-BEA4-ADBB70126037}"/>
    <hyperlink ref="B98" location="extra_rack_length" display="extra_rack_length" xr:uid="{6A0EFE01-16E6-4958-AAB6-F5CE0E7AB842}"/>
    <hyperlink ref="B99" location="extra_rack_width" display="extra_rack_width" xr:uid="{70B0FF5A-0C27-4FA0-8BC7-FDC03363D2CE}"/>
    <hyperlink ref="B100" location="feed_port_diam_16" display="feed_port_diam_16" xr:uid="{98E78C78-72D1-4D5F-B9E2-ED0093A46BAB}"/>
    <hyperlink ref="B101" location="feed_port_diam_4" display="feed_port_diam_4" xr:uid="{987848E6-2BE1-4D2D-93E1-3C716E1854FD}"/>
    <hyperlink ref="B102" location="feed_port_diam_8" display="feed_port_diam_8" xr:uid="{AE690F22-C407-4996-981B-4F94B782B7A1}"/>
    <hyperlink ref="B103" location="T_feed" display="T_feed" xr:uid="{7FC3EEAE-15B4-4305-8D09-19A09AF76E62}"/>
    <hyperlink ref="B104" location="fire_buffer" display="fire_buffer" xr:uid="{BB804923-ABB0-4523-BE80-D2248C13ACBA}"/>
    <hyperlink ref="B105" location="res_s1_opt_I" display="res_s1_opt_I" xr:uid="{D6935A9C-FE87-4991-9A1D-7AB1C8F5754A}"/>
    <hyperlink ref="B106" location="tot_fm_in" display="tot_fm_in" xr:uid="{D6BC907B-4BF7-49AC-92FB-A8EA9DB25941}"/>
    <hyperlink ref="B107" location="tot_fm_res" display="tot_fm_res" xr:uid="{821C4D9B-37D9-4D21-9CD4-E9F4054B5073}"/>
    <hyperlink ref="B108" location="fm_clean" display="fm_clean" xr:uid="{4C458664-E9CC-4B84-A066-78F35A19EBEF}"/>
    <hyperlink ref="B109" location="fm_rack_conc" display="fm_rack_conc" xr:uid="{37019F3D-FC15-4851-A808-2103BBE4B85A}"/>
    <hyperlink ref="B110" location="fm_rack_feed" display="fm_rack_feed" xr:uid="{13234FAD-358F-4DD8-BB42-59EDF39560B1}"/>
    <hyperlink ref="B111" location="fm_rack_perm" display="fm_rack_perm" xr:uid="{BC96F45B-49BF-47FC-B776-52515D0DC1E0}"/>
    <hyperlink ref="B112" location="high_circ_flow_PV_16" display="high_circ_flow_PV_16" xr:uid="{E2A3AAE3-04AA-4DB7-86FE-0079D8D3391B}"/>
    <hyperlink ref="B113" location="high_circ_flow_PV_4" display="high_circ_flow_PV_4" xr:uid="{01BC4002-7EEB-472C-8941-C2620C7820DE}"/>
    <hyperlink ref="B114" location="high_circ_flow_PV_8" display="high_circ_flow_PV_8" xr:uid="{A775B55C-9757-43B0-8602-7BDD411C5E32}"/>
    <hyperlink ref="B115" location="drain_rate_frac" display="drain_rate_frac" xr:uid="{174C4297-9E07-4BEF-8B1F-DA819E8C662F}"/>
    <hyperlink ref="B116" location="injection_well_flow_speed" display="injection_well_flow_speed" xr:uid="{EFB7DFC6-458B-48D2-8BC1-F05BB8F1FE55}"/>
    <hyperlink ref="B117" location="uloe_inst_maint" display="uloe_inst_maint" xr:uid="{886BB3CE-06D7-4B3A-8C0D-5C7C609BA030}"/>
    <hyperlink ref="B118" location="headloss_cart" display="headloss_cart" xr:uid="{3A789722-D76A-4B1B-871F-AD0166766BE6}"/>
    <hyperlink ref="B119" location="head_rack" display="head_rack" xr:uid="{976D20DB-D033-41AE-B23D-52B277075FA5}"/>
    <hyperlink ref="B120" location="hp_EER" display="hp_EER" xr:uid="{A0217A19-BDED-4CE2-BCF8-CD7A869C3CFB}"/>
    <hyperlink ref="B121" location="COP" display="COP" xr:uid="{3399F7A4-6199-4619-9CDF-97DE2A23D210}"/>
    <hyperlink ref="B122" location="diesel_heat_content" display="diesel_heat_content" xr:uid="{1AD59FF0-823B-4E11-BFAA-02694141E057}"/>
    <hyperlink ref="B123" location="heating_table" display="heating_table" xr:uid="{3490197B-4316-446C-B5C1-CA222F913A72}"/>
    <hyperlink ref="B124" location="heating_table_shed" display="heating_table_shed" xr:uid="{A79E539A-3803-44D4-B5EE-8EF36A1D6081}"/>
    <hyperlink ref="B125" location="heat_viload" display="heat_viload" xr:uid="{25BCFAB9-CCB3-47A6-8307-5401205DE097}"/>
    <hyperlink ref="B126" location="chem_alarm_cst" display="chem_alarm_cst" xr:uid="{2FD96940-77D8-4C53-B8B7-61DBA90A3833}"/>
    <hyperlink ref="B127" location="alarm_res" display="alarm_res" xr:uid="{DC2AD8D6-FCB1-4BDA-9EC5-C78FD8ED0715}"/>
    <hyperlink ref="B128" location="chem_alarm_pre" display="chem_alarm_pre" xr:uid="{E2BE8335-8397-48FF-B7F8-62B7CB2B461A}"/>
    <hyperlink ref="B129" location="hbasin_ratio" display="hbasin_ratio" xr:uid="{DC6E77FE-C731-4FB8-B6C1-8821732F316E}"/>
    <hyperlink ref="B130" location="hbasin_freeboard" display="hbasin_freeboard" xr:uid="{515CEBA7-5AB9-4AD1-997E-40C34BF4131A}"/>
    <hyperlink ref="B131" location="ldike_xsection" display="ldike_xsection" xr:uid="{1537C1FE-9E4F-4722-BA17-1F2F19DDFA1E}"/>
    <hyperlink ref="B132" location="hl_freeboard" display="hl_freeboard" xr:uid="{B6B6A78E-CBCF-435F-9D82-E68610B32784}"/>
    <hyperlink ref="B133" location="res_cap_factor" display="res_cap_factor" xr:uid="{F2E266A3-D0CE-440D-9433-0F7AAF7D77A3}"/>
    <hyperlink ref="B134" location="uloe_solids" display="uloe_solids" xr:uid="{117D8A64-B57D-40EC-AAF4-EF9DAEB9BD5F}"/>
    <hyperlink ref="B135" location="port_table" display="port_table" xr:uid="{D8D4ADF3-F7AF-42D9-BAB7-4B4492EDFF00}"/>
    <hyperlink ref="B136" location="cleaning_heat_time" display="cleaning_heat_time" xr:uid="{809E4227-0781-4CF7-A59A-9E8FC2E24AC3}"/>
    <hyperlink ref="B137" location="day_tank_needed" display="day_tank_needed" xr:uid="{72F3101C-7F89-4ADB-9295-8D3445099623}"/>
    <hyperlink ref="B138" location="include_buildings_I" display="include_buildings_I" xr:uid="{369D89E4-AC59-42EF-BCB3-EABB7F574C0A}"/>
    <hyperlink ref="B139" location="include_HVAC_I" display="include_HVAC_I" xr:uid="{559690D2-8D51-4D52-AD31-5C44D8F9A19C}"/>
    <hyperlink ref="B140" location="include_land_I" display="include_land_I" xr:uid="{38B216FE-F84A-4706-9774-535E9C5AF15D}"/>
    <hyperlink ref="B141" location="include_cmix" display="include_cmix" xr:uid="{E03158E9-1C66-4A47-8F7B-BB3667EFE43B}"/>
    <hyperlink ref="B142" location="redundancy_I" display="redundancy_I" xr:uid="{AD95582F-046D-4418-A873-1A5CDCCABB80}"/>
    <hyperlink ref="B143" location="include_sec_cont" display="include_sec_cont" xr:uid="{188ED3E2-BDC1-4242-B4F9-97A99EE52347}"/>
    <hyperlink ref="B144" location="in_out_pipe_mult" display="in_out_pipe_mult" xr:uid="{7166AEAF-2CC9-4E7C-9270-3EEB2FD57FBB}"/>
    <hyperlink ref="B145" location="well_pump_psi" display="well_pump_psi" xr:uid="{32F1613B-127C-4BAD-B80D-B3D244185985}"/>
    <hyperlink ref="B146" location="hrs_filter" display="hrs_filter" xr:uid="{1166B6CF-1EA3-4041-810D-B9D903E8BF20}"/>
    <hyperlink ref="B147" location="monthly_labor_auto_screen" display="monthly_labor_auto_screen" xr:uid="{14FB6592-73AD-4524-974D-8D2A7CEB434E}"/>
    <hyperlink ref="B148" location="labor_simplex_screen" display="labor_simplex_screen" xr:uid="{1BE87BF3-3C35-4DAF-A339-C0FEC14EADC9}"/>
    <hyperlink ref="B149" location="level_switch_clean_tank" display="level_switch_clean_tank" xr:uid="{9AFFF432-9B9C-4E22-8E9D-D42A3A8D315C}"/>
    <hyperlink ref="B150" location="cart_life_short" display="cart_life_short" xr:uid="{565AEB7D-53E4-4DBE-B16D-8D6602A98FE5}"/>
    <hyperlink ref="B151" location="cart_life_long" display="cart_life_long" xr:uid="{308D8FAE-6808-426D-95A4-CCD48B9736CC}"/>
    <hyperlink ref="B152" location="lighting_power_high" display="lighting_power_high" xr:uid="{64C0E32E-108D-4271-A06E-21F18E286663}"/>
    <hyperlink ref="B153" location="lighting_power_low" display="lighting_power_low" xr:uid="{235E6E8F-0EA0-4B52-A939-810115B1504C}"/>
    <hyperlink ref="B154" location="lighting_power_mid" display="lighting_power_mid" xr:uid="{F2993B31-3080-46B5-A62D-FAAB799D4532}"/>
    <hyperlink ref="B155" location="boost_headloss" display="boost_headloss" xr:uid="{CFC7B07F-1DBE-42DB-9523-5D192E755410}"/>
    <hyperlink ref="B156" location="influent_headloss" display="influent_headloss" xr:uid="{1E4CC9B0-F9B9-47D9-97E5-70C6047FD9D8}"/>
    <hyperlink ref="B157" location="Manager_percent" display="Manager_percent" xr:uid="{894D373B-913F-4304-AA16-E205F545B9B9}"/>
    <hyperlink ref="B158" location="rack_assembly_markup" display="rack_assembly_markup" xr:uid="{AC37E9D3-0D5F-4CBF-8942-6F08F5F412C7}"/>
    <hyperlink ref="B159" location="flux_max_SDI3_GW" display="flux_max_SDI3_GW" xr:uid="{D876D8D8-D74D-4456-A6D9-BAFACF31B33D}"/>
    <hyperlink ref="B160" location="flux_max_SDI3_SW" display="flux_max_SDI3_SW" xr:uid="{4AE91BD0-9DC9-4FB7-9E65-4115E55E69E8}"/>
    <hyperlink ref="B161" location="flux_max_SDI5_GW" display="flux_max_SDI5_GW" xr:uid="{318D2517-985D-411F-9CA5-BCFD3C320D71}"/>
    <hyperlink ref="B162" location="flux_max_SDI5_SW" display="flux_max_SDI5_SW" xr:uid="{1BF93642-9598-4A7B-9D0F-5A9095B86C1C}"/>
    <hyperlink ref="B163" location="flux_max_SDI1_GW" display="flux_max_SDI1_GW" xr:uid="{B06080A3-A396-40CC-A356-19113C6A5DEF}"/>
    <hyperlink ref="B164" location="flux_max_SDI1_SW" display="flux_max_SDI1_SW" xr:uid="{823E939F-F097-468E-9FA9-CD38EC740E87}"/>
    <hyperlink ref="B165" location="max_flow_rack_16" display="max_flow_rack_16" xr:uid="{31E99DF0-625B-4C27-9E0C-20B76339C097}"/>
    <hyperlink ref="B166" location="max_flow_rack_4" display="max_flow_rack_4" xr:uid="{EFC4CA91-DD7B-4842-9B9C-83A253C00ABC}"/>
    <hyperlink ref="B167" location="max_flow_rack_8" display="max_flow_rack_8" xr:uid="{FC03C850-D72C-4459-BF30-050BEE52E128}"/>
    <hyperlink ref="B168" location="max_space_tanks_large" display="max_space_tanks_large" xr:uid="{8B5CF2B7-2139-436C-8512-FF4A890BB4C5}"/>
    <hyperlink ref="B169" location="max_space_tanks_small" display="max_space_tanks_small" xr:uid="{CA6A1D06-4405-467C-9A06-9102B0A4A787}"/>
    <hyperlink ref="B170" location="max_baso4_antiscalant" display="max_baso4_antiscalant" xr:uid="{59128EA6-3E15-4E65-B7D1-EE1E2EE030C0}"/>
    <hyperlink ref="B171" location="max_baso4_no_antiscalant" display="max_baso4_no_antiscalant" xr:uid="{B5791F09-B808-45D7-9631-679E09C2AFA9}"/>
    <hyperlink ref="B172" location="max_caf2_antiscalant" display="max_caf2_antiscalant" xr:uid="{C94C3DAA-DF40-490F-BF7C-E1CC2927762E}"/>
    <hyperlink ref="B173" location="max_caf2_no_antiscalant" display="max_caf2_no_antiscalant" xr:uid="{09615A8F-7187-46DD-AC40-906E8C0BCFB2}"/>
    <hyperlink ref="B174" location="max_caso4_antiscalant" display="max_caso4_antiscalant" xr:uid="{011CFB0A-158B-45B5-96ED-753F0775EC4F}"/>
    <hyperlink ref="B175" location="max_caso4_no_antiscalant" display="max_caso4_no_antiscalant" xr:uid="{16836FC7-8C07-4B52-9E32-73BE26317A4D}"/>
    <hyperlink ref="B176" location="cleaning_freq_max" display="cleaning_freq_max" xr:uid="{DEF45E9C-D1DC-4AA8-9CA6-A7EB8BFD8420}"/>
    <hyperlink ref="B177" location="sec_cont_max_thick" display="sec_cont_max_thick" xr:uid="{06256CCD-4391-42D3-B643-0BEC93CE43F9}"/>
    <hyperlink ref="B178" location="max_ep_cell_area" display="max_ep_cell_area" xr:uid="{50D403D0-760C-4397-8A5E-A98A27201D71}"/>
    <hyperlink ref="B179" location="short_PV_extra_length_max" display="short_PV_extra_length_max" xr:uid="{BD1278D3-5C91-4834-B298-8184BEA76A46}"/>
    <hyperlink ref="B180" location="injection_well_max_flow" display="injection_well_max_flow" xr:uid="{EA891ADF-88F8-4FEB-946E-3015A5C855CA}"/>
    <hyperlink ref="B181" location="max_haz_ship" display="max_haz_ship" xr:uid="{6226B5D6-1507-4F1F-9ABF-4D642A27936A}"/>
    <hyperlink ref="B182" location="max_hbasin_size" display="max_hbasin_size" xr:uid="{D462F79E-A9AE-4DEA-9FCC-D476F67C03D6}"/>
    <hyperlink ref="B183" location="max_hl_cell_area" display="max_hl_cell_area" xr:uid="{8381F5CD-1B9C-4A92-A50D-AA3903EB42DA}"/>
    <hyperlink ref="B184" location="max_hl_depth" display="max_hl_depth" xr:uid="{26263830-5748-40F1-8612-D0F3D8002ACF}"/>
    <hyperlink ref="B185" location="max_lhaz_ship" display="max_lhaz_ship" xr:uid="{E223B115-3211-4D75-8A88-D7CFA92AF451}"/>
    <hyperlink ref="B186" location="max_lsi_antiscalant" display="max_lsi_antiscalant" xr:uid="{D2A41838-8A35-417D-BF7B-8FF077E211D5}"/>
    <hyperlink ref="B187" location="max_lsi_no_antiscalant" display="max_lsi_no_antiscalant" xr:uid="{5603D25F-E590-4034-8489-D6B50890DDB5}"/>
    <hyperlink ref="B188" location="el_per_vess_max_16" display="el_per_vess_max_16" xr:uid="{23DFAEFC-5B88-4DC8-928A-67BCD827B4AC}"/>
    <hyperlink ref="B189" location="el_per_vess_max_8" display="el_per_vess_max_8" xr:uid="{D88C356B-CC98-48B2-A4AC-ABC2A9EC4887}"/>
    <hyperlink ref="B190" location="max_iter_pressure" display="max_iter_pressure" xr:uid="{C5800BE6-77D0-4839-A1C6-274DEF6197C8}"/>
    <hyperlink ref="B191" location="pv_rows_max" display="pv_rows_max" xr:uid="{B1FF0331-8A65-4512-AB29-F222F9905829}"/>
    <hyperlink ref="B192" location="max_well_pump_size" display="max_well_pump_size" xr:uid="{CA0A5E6D-6795-47ED-9B3A-9925C98F2167}"/>
    <hyperlink ref="B193" location="max_rad_ship" display="max_rad_ship" xr:uid="{C8CD014D-6719-4646-ABBE-8B07AC9CAB7C}"/>
    <hyperlink ref="B194" location="max_hazrad_ship" display="max_hazrad_ship" xr:uid="{BC295538-50C5-49BD-8599-85213329B614}"/>
    <hyperlink ref="B195" location="recov_max_nf" display="recov_max_nf" xr:uid="{AD156955-C920-4DC4-9B96-3651FFF2F50C}"/>
    <hyperlink ref="B196" location="recov_max_ro" display="recov_max_ro" xr:uid="{6F3E404B-E894-48CF-9682-CD795F783A54}"/>
    <hyperlink ref="B197" location="cart_life_sdi_cutover" display="cart_life_sdi_cutover" xr:uid="{0117CBB3-5692-4D3B-A883-64BA79682F64}"/>
    <hyperlink ref="B198" location="max_sio2_conc_antiscalant" display="max_sio2_conc_antiscalant" xr:uid="{77F3697D-CDF2-4F58-B8C3-B88F97FD4FE3}"/>
    <hyperlink ref="B199" location="max_sio2_sat_no_antiscalant" display="max_sio2_sat_no_antiscalant" xr:uid="{E28A2825-D0DD-4CEA-80FB-4AF21160E481}"/>
    <hyperlink ref="B200" location="max_srso4_antiscalant" display="max_srso4_antiscalant" xr:uid="{5D38E788-897C-4AE3-90DB-3728B1BA6752}"/>
    <hyperlink ref="B201" location="max_srso4_no_antiscalant" display="max_srso4_no_antiscalant" xr:uid="{213A302E-6581-40B9-A1F3-14F6B9E021FE}"/>
    <hyperlink ref="B202" location="element_I" display="element_I" xr:uid="{71928E7F-48FA-4639-8F9B-BE98D17038CA}"/>
    <hyperlink ref="B203" location="fouling_factor" display="fouling_factor" xr:uid="{10371033-7AF0-45D0-A43A-0F933C4CF7D3}"/>
    <hyperlink ref="B204" location="membrane_life_nf" display="membrane_life_nf" xr:uid="{F83D2CEF-375B-42AC-B776-9CD707F4E658}"/>
    <hyperlink ref="B205" location="membrane_life_ro" display="membrane_life_ro" xr:uid="{5C7D5E7F-D450-4CB0-9C65-0953934A3F1F}"/>
    <hyperlink ref="B206" location="diesel_eff" display="diesel_eff" xr:uid="{9821AA79-F660-4858-9A37-BFECB40C61A0}"/>
    <hyperlink ref="B207" location="haz_miles" display="haz_miles" xr:uid="{3BB7773E-C659-4E74-BE49-39D81EA7CCA8}"/>
    <hyperlink ref="B208" location="non_haz_miles" display="non_haz_miles" xr:uid="{4E83756A-7DE2-4469-9F39-360BF8647CF0}"/>
    <hyperlink ref="B209" location="rad_miles" display="rad_miles" xr:uid="{2B12A5E0-65D0-42E3-8A42-505C4FE71532}"/>
    <hyperlink ref="B210" location="hazrad_miles" display="hazrad_miles" xr:uid="{72682729-051C-4935-BF6F-C3906FF901AD}"/>
    <hyperlink ref="B211" location="flux_min_SDI3_GW" display="flux_min_SDI3_GW" xr:uid="{3F228CCA-80CB-4688-BC51-DC8628AA2EAF}"/>
    <hyperlink ref="B212" location="flux_min_SDI3_SW" display="flux_min_SDI3_SW" xr:uid="{06DFEE9A-8D42-4557-B960-C45E9A3CF00A}"/>
    <hyperlink ref="B213" location="flux_min_SDI5_GW" display="flux_min_SDI5_GW" xr:uid="{8F04D098-9862-4299-85DA-4EB4AF9343A3}"/>
    <hyperlink ref="B214" location="flux_min_SDI5_SW" display="flux_min_SDI5_SW" xr:uid="{765D67C1-5109-4868-8CC8-1CE7E53886CA}"/>
    <hyperlink ref="B215" location="flux_min_SDI1_GW" display="flux_min_SDI1_GW" xr:uid="{7A5A26A3-A6DF-4D0D-BADB-10BD0935B9B9}"/>
    <hyperlink ref="B216" location="flux_min_SDI1_SW" display="flux_min_SDI1_SW" xr:uid="{5B4FDE90-1640-401E-9B07-17810281AB7F}"/>
    <hyperlink ref="B217" location="min_avg_flow" display="min_avg_flow" xr:uid="{A18AD459-CE9B-4E57-9E1D-97593C06C456}"/>
    <hyperlink ref="B218" location="min_chem_flow" display="min_chem_flow" xr:uid="{8B5EC5E7-4838-482B-88F7-1E419CAEBE4D}"/>
    <hyperlink ref="B219" location="min_chem_tank_vol" display="min_chem_tank_vol" xr:uid="{A0424079-114F-4562-81B5-2AC4EC1CE02D}"/>
    <hyperlink ref="B220" location="min_cmix_hp" display="min_cmix_hp" xr:uid="{628AE9B9-5E09-4478-9C0F-EA4ECF9D69BF}"/>
    <hyperlink ref="B221" location="cleaning_freq_min" display="cleaning_freq_min" xr:uid="{75B0DFF8-EDB2-48FD-8016-4195571F1AF4}"/>
    <hyperlink ref="B222" location="min_cart" display="min_cart" xr:uid="{3A902EF3-EC61-433E-8DC2-CCCA8129C312}"/>
    <hyperlink ref="B223" location="el_per_vess_std_16" display="el_per_vess_std_16" xr:uid="{CFC02BDF-DBE6-4436-9A55-F44A96F8804D}"/>
    <hyperlink ref="B224" location="el_per_vess_std_8" display="el_per_vess_std_8" xr:uid="{D29F4241-D04B-4149-BEB9-5A4B6BFA0B0D}"/>
    <hyperlink ref="B225" location="min_op_trains" display="min_op_trains" xr:uid="{E2CEB1B5-2D20-4290-ADE7-9E450CF8208A}"/>
    <hyperlink ref="B226" location="min_ep_cells" display="min_ep_cells" xr:uid="{96CF0FF9-7098-4B8D-9990-816FBB55BF81}"/>
    <hyperlink ref="B227" location="recov_min_nf" display="recov_min_nf" xr:uid="{D5E52E30-B3B1-4726-9CA8-70CD497C67D9}"/>
    <hyperlink ref="B228" location="recov_min_ro" display="recov_min_ro" xr:uid="{2546C170-1705-4D4E-A4B6-E0915B1AE38C}"/>
    <hyperlink ref="B229" location="min_res_pipe_size" display="min_res_pipe_size" xr:uid="{D8DBE2D5-A970-4BF9-86EB-73A5F770643B}"/>
    <hyperlink ref="B230" location="uloe_fp" display="uloe_fp" xr:uid="{3737C63A-F5F9-4A24-92D6-C5FA6C4C595B}"/>
    <hyperlink ref="B231" location="uloe_inst" display="uloe_inst" xr:uid="{8FD8C9F1-0A51-4533-85A5-B74432577604}"/>
    <hyperlink ref="B232" location="uloe_pump" display="uloe_pump" xr:uid="{AA21BE0B-1D92-4DD0-8939-F4566B03F4A6}"/>
    <hyperlink ref="B233" location="uloe_valve" display="uloe_valve" xr:uid="{D5F79220-D3ED-45D6-A1DF-7DF3EFD76EB8}"/>
    <hyperlink ref="B234" location="cleaning_freq_SDI2" display="cleaning_freq_SDI2" xr:uid="{8E581D8F-5D19-4D97-820A-55B23186E161}"/>
    <hyperlink ref="B235" location="gas_eff" display="gas_eff" xr:uid="{668E3B73-C7EB-4E90-AB90-02A6CFD3AAC6}"/>
    <hyperlink ref="B236" location="gas_non_eff" display="gas_non_eff" xr:uid="{4A932C20-4E54-4270-AA90-0C34C038C4C6}"/>
    <hyperlink ref="B237" location="cart_filter_per_chem" display="cart_filter_per_chem" xr:uid="{77D25DE8-BD5D-4CF6-9543-284F29E06ADA}"/>
    <hyperlink ref="B238" location="tot_bp_chv" display="tot_bp_chv" xr:uid="{8370CFF0-A39A-49F8-9D2B-979CCF831B36}"/>
    <hyperlink ref="B239" location="tot_in_chv" display="tot_in_chv" xr:uid="{8F77BA8D-5E41-4AB5-AB08-6E8E8CC54748}"/>
    <hyperlink ref="B240" location="res_chv_no_pump" display="res_chv_no_pump" xr:uid="{E3135723-8442-4B4B-873C-DC642173AAEC}"/>
    <hyperlink ref="B241" location="res_chv_pump" display="res_chv_pump" xr:uid="{3FC96B39-5370-45E0-9783-2AD6BE4638D4}"/>
    <hyperlink ref="B242" location="cleaning_chv" display="cleaning_chv" xr:uid="{2E9F7205-692D-4A8D-B149-065363ADEA45}"/>
    <hyperlink ref="B243" location="feedpump_chv" display="feedpump_chv" xr:uid="{F8154BA5-E9B3-4290-BB90-3264EF0730B8}"/>
    <hyperlink ref="B244" location="plc_cpu" display="plc_cpu" xr:uid="{58248847-FC81-4C77-AB67-2E8EBA4EB446}"/>
    <hyperlink ref="B245" location="cstore_days" display="cstore_days" xr:uid="{85F46409-8373-4C24-AA8C-9225992FEA5F}"/>
    <hyperlink ref="B246" location="short_max_el_16" display="short_max_el_16" xr:uid="{D1DA0EF6-FC04-4748-A408-5A81120A60C5}"/>
    <hyperlink ref="B247" location="short_max_el_4" display="short_max_el_4" xr:uid="{6359887D-48B6-4AE6-9464-CB917C9940E4}"/>
    <hyperlink ref="B248" location="short_max_el_8" display="short_max_el_8" xr:uid="{5DCE3371-8BFB-40D2-AACE-D82D678C89EB}"/>
    <hyperlink ref="B249" location="tot_man_valves" display="tot_man_valves" xr:uid="{2D148493-BB68-4256-B1D9-2BC0829620D0}"/>
    <hyperlink ref="B250" location="fan_days_build2_large" display="fan_days_build2_large" xr:uid="{7D1451D4-01D9-4DB9-98B9-F2AA5F5E9CB4}"/>
    <hyperlink ref="B251" location="fan_days_build2_medium" display="fan_days_build2_medium" xr:uid="{8CAB42A9-AA3A-48F4-965F-78A719127354}"/>
    <hyperlink ref="B252" location="fan_days_build2_small" display="fan_days_build2_small" xr:uid="{73C64068-07E1-45AD-9520-96F77A98869F}"/>
    <hyperlink ref="B253" location="fan_days_build3_large" display="fan_days_build3_large" xr:uid="{B843A2B5-8191-46EF-ACFE-63B95C7F4523}"/>
    <hyperlink ref="B254" location="fan_days_build3_medium" display="fan_days_build3_medium" xr:uid="{B2F0B667-6670-46B1-A3BF-9F4DD74F7872}"/>
    <hyperlink ref="B255" location="fan_days_build3_small" display="fan_days_build3_small" xr:uid="{70A20B01-4A39-4EA9-9F97-F060DFD7DC49}"/>
    <hyperlink ref="B256" location="fan_days_build1_large" display="fan_days_build1_large" xr:uid="{9AF23488-989E-4080-ABEA-3E2C9F18F4AC}"/>
    <hyperlink ref="B257" location="fan_days_build1_medium" display="fan_days_build1_medium" xr:uid="{8FCAAE54-3B26-4C7D-A1B7-1A066358D666}"/>
    <hyperlink ref="B258" location="fan_days_build1_small" display="fan_days_build1_small" xr:uid="{120DF0B5-19AF-44E9-A3A6-A9F0254AD65A}"/>
    <hyperlink ref="B259" location="op_trains_I" display="op_trains_I" xr:uid="{FE061F6B-3586-4856-82BC-A89925BA467E}"/>
    <hyperlink ref="B260" location="NRD_acid_mpumps" display="NRD_acid_mpumps" xr:uid="{3140903A-D528-4845-B12D-9CC53FCD72CB}"/>
    <hyperlink ref="B261" location="NRD_anti_mpumps" display="NRD_anti_mpumps" xr:uid="{0E9AD4DF-AEDB-4C13-B32F-E2179766E156}"/>
    <hyperlink ref="B262" location="NRD_bp_pumps" display="NRD_bp_pumps" xr:uid="{AD66F9FE-3314-4F1D-B6FD-A74D565B2BE8}"/>
    <hyperlink ref="B263" location="init_NRD_cart" display="init_NRD_cart" xr:uid="{CB457E58-7CF0-4A5D-9F6E-E91E94ECD7E5}"/>
    <hyperlink ref="B264" location="NRD_immersion_heaters" display="NRD_immersion_heaters" xr:uid="{2CEE62B9-85DE-477A-8EEF-FB9CE632F32E}"/>
    <hyperlink ref="B265" location="NRD_inf_pumps" display="NRD_inf_pumps" xr:uid="{89A0B2FD-421E-4364-8E80-07ADF1AB2690}"/>
    <hyperlink ref="B266" location="NRD_wells" display="NRD_wells" xr:uid="{F3CC19CC-E669-4239-8042-751EBBA6BA8A}"/>
    <hyperlink ref="B267" location="NRD_chem_pump" display="NRD_chem_pump" xr:uid="{A10D51D2-1E7B-4FBC-9FC6-78974E79D862}"/>
    <hyperlink ref="B268" location="NRD_trains" display="NRD_trains" xr:uid="{2278DF8A-4738-4D37-AF2D-40932C8DCC11}"/>
    <hyperlink ref="B269" location="NRD_well_pump" display="NRD_well_pump" xr:uid="{FE1C7CC5-DCEA-4DAA-8F49-49D0CABE8A44}"/>
    <hyperlink ref="B270" location="sec_screen_per_chem" display="sec_screen_per_chem" xr:uid="{81BA18CA-FCF9-4FA6-9E39-B6B76E017735}"/>
    <hyperlink ref="B271" location="shifts_day" display="shifts_day" xr:uid="{514A3849-6923-4233-8D47-31E929504A23}"/>
    <hyperlink ref="B272" location="risers" display="risers" xr:uid="{053BD745-C825-425E-8EAC-3852EC1EDE4B}"/>
    <hyperlink ref="B273" location="supports_long_16" display="supports_long_16" xr:uid="{4600C93C-506A-47F5-9016-4B4E336F15E1}"/>
    <hyperlink ref="B274" location="supports_long_4" display="supports_long_4" xr:uid="{DB1D71AB-4201-4952-B99B-21E93D132BD5}"/>
    <hyperlink ref="B275" location="supports_long_8" display="supports_long_8" xr:uid="{210FF881-1B4E-4542-A23B-A5315D56014D}"/>
    <hyperlink ref="B276" location="supports_short_16" display="supports_short_16" xr:uid="{8C380670-3ED7-439D-BED9-5E9F5B4F938E}"/>
    <hyperlink ref="B277" location="supports_short_4" display="supports_short_4" xr:uid="{93A017FE-EBEE-4BBA-B427-C716CE9299E2}"/>
    <hyperlink ref="B278" location="supports_short_8" display="supports_short_8" xr:uid="{D7FF34E2-FFB0-4CFD-A681-E8338A224DC6}"/>
    <hyperlink ref="B279" location="mat_pct" display="mat_pct" xr:uid="{E780A0A7-14E7-4EBD-B529-A59E8B7E7422}"/>
    <hyperlink ref="B280" location="mat_pct_train" display="mat_pct_train" xr:uid="{DE57AF68-C962-4D72-95C9-A5229B807F88}"/>
    <hyperlink ref="B281" location="space_office" display="space_office" xr:uid="{7A25D8AA-0D18-4E1A-B5EF-D4A3576AC330}"/>
    <hyperlink ref="B282" location="plc_interface" display="plc_interface" xr:uid="{9EE295BE-46C2-48B2-8FDE-20EBC6914BA2}"/>
    <hyperlink ref="B283" location="overexcavate" display="overexcavate" xr:uid="{9C319379-F5C9-4832-82E4-9E3825FF9036}"/>
    <hyperlink ref="B284" location="ep_overexcavate" display="ep_overexcavate" xr:uid="{39D238CD-83AD-4F6C-9CA9-870853C162D9}"/>
    <hyperlink ref="B285" location="hl_overexcavate" display="hl_overexcavate" xr:uid="{788FFD3F-91AF-4862-9458-809C4F3D83D7}"/>
    <hyperlink ref="B286" location="citric_need" display="citric_need" xr:uid="{A1F1D68E-5AA9-4331-9664-9CEF5A12AA12}"/>
    <hyperlink ref="B287" location="HCl_need" display="HCl_need" xr:uid="{78023F1B-5747-477F-A323-3E7718382D54}"/>
    <hyperlink ref="B288" location="caustic_need" display="caustic_need" xr:uid="{7EA333DC-2074-4C38-8876-67AD006E55E0}"/>
    <hyperlink ref="B289" location="bp_pct" display="bp_pct" xr:uid="{505EA87C-9A40-424F-994A-1C947E895865}"/>
    <hyperlink ref="B290" location="perm_port_diam_16" display="perm_port_diam_16" xr:uid="{0607C708-21B6-4584-9089-AA7ED4C73600}"/>
    <hyperlink ref="B291" location="perm_port_diam_4" display="perm_port_diam_4" xr:uid="{FD226AD4-003B-4702-8B22-7E1CFEE0CCEC}"/>
    <hyperlink ref="B292" location="perm_port_diam_8" display="perm_port_diam_8" xr:uid="{16D83315-FDBA-4488-B6D8-F53519D8B86A}"/>
    <hyperlink ref="B293" location="pH_controls_acid" display="pH_controls_acid" xr:uid="{456892E0-5B80-4FE1-BBC0-D1AE34BEAE4D}"/>
    <hyperlink ref="B294" location="POTW_rate_type" display="POTW_rate_type" xr:uid="{B141129E-E1FC-47E1-8463-8587415D929A}"/>
    <hyperlink ref="B295" location="POTW_TSS_limit" display="POTW_TSS_limit" xr:uid="{88999B1B-297D-480C-80F1-917A1F704415}"/>
    <hyperlink ref="B296" location="Fan_pressure_drop" display="Fan_pressure_drop" xr:uid="{A503F75B-F4D0-4B84-AD20-CA2E4A4A102D}"/>
    <hyperlink ref="B297" location="pv_arrangement_ratio" display="pv_arrangement_ratio" xr:uid="{F9305EFD-A6F0-4257-9D7F-348F788964DA}"/>
    <hyperlink ref="B298" location="printer_ratio" display="printer_ratio" xr:uid="{326323FF-099E-4CF6-82DA-666ACB665F7A}"/>
    <hyperlink ref="B299" location="cols_per_conc_hdr" display="cols_per_conc_hdr" xr:uid="{EA7039DF-84DA-4298-99F1-6D4E57FA277B}"/>
    <hyperlink ref="B300" location="cols_per_feed_hdr" display="cols_per_feed_hdr" xr:uid="{DBC56BA3-7289-4DA2-9A48-8C018EF3C4CB}"/>
    <hyperlink ref="B301" location="cols_per_perm_hdr" display="cols_per_perm_hdr" xr:uid="{89ED7E99-0C8B-478E-B38D-6BBE7D9E7C0A}"/>
    <hyperlink ref="B302" location="uloe_inst_auto" display="uloe_inst_auto" xr:uid="{108C1AAE-84FA-48F9-83D6-901D6F51F12D}"/>
    <hyperlink ref="B303" location="NRD_cart_filter" display="NRD_cart_filter" xr:uid="{0C848309-BFBE-4489-A85F-797701B5CE74}"/>
    <hyperlink ref="B304" location="NRD_res_pump" display="NRD_res_pump" xr:uid="{8CAEEE01-D99C-407E-B4A7-057CFF886D6F}"/>
    <hyperlink ref="B305" location="NRD_sec_screen" display="NRD_sec_screen" xr:uid="{D63E0E90-844F-4F99-BEEA-CD21425A357E}"/>
    <hyperlink ref="B306" location="solids_storage_height" display="solids_storage_height" xr:uid="{33332E2B-6E2A-45F4-A0D9-C7C803A12595}"/>
    <hyperlink ref="B307" location="res_transfer_method" display="res_transfer_method" xr:uid="{1D30833E-28F1-434D-9DE7-500CC750F661}"/>
    <hyperlink ref="B308" location="res_pipe_mult" display="res_pipe_mult" xr:uid="{52971448-3365-4A84-9D79-297FE5FF07BB}"/>
    <hyperlink ref="B309" location="res_pump_psi" display="res_pump_psi" xr:uid="{854D7048-CC6E-4293-BBDC-0DC9167BA075}"/>
    <hyperlink ref="B310" location="R_ceiling" display="R_ceiling" xr:uid="{056B52E6-9C2B-44B5-95C9-DF4288F361FD}"/>
    <hyperlink ref="B311" location="R_wall" display="R_wall" xr:uid="{BBAEF274-846D-4F92-B8C2-4EFA70E39A7F}"/>
    <hyperlink ref="B312" location="PV_rating_sf" display="PV_rating_sf" xr:uid="{19497B87-9D15-414B-B0A5-AB9E9B3B54E0}"/>
    <hyperlink ref="B313" location="pump_safety_factor" display="pump_safety_factor" xr:uid="{CD9C37CF-AFC6-4AE0-9C1F-A51F9D4A7D55}"/>
    <hyperlink ref="B314" location="ports_bp" display="ports_bp" xr:uid="{05FDB4B7-890D-48A8-A4DF-111213000EC1}"/>
    <hyperlink ref="B315" location="ports_cart" display="ports_cart" xr:uid="{7D5B58D7-CB52-43C3-9B85-E8A4410B63AB}"/>
    <hyperlink ref="B316" location="ports_rack" display="ports_rack" xr:uid="{BA397838-5D1B-425A-941F-6883D69590DE}"/>
    <hyperlink ref="B317" location="ports_PV" display="ports_PV" xr:uid="{D0F211F7-5451-4FCC-8940-21EC9431DD4A}"/>
    <hyperlink ref="B318" location="add_2nd_building" display="add_2nd_building" xr:uid="{A8BF2C69-ECAE-460D-9A2A-521B4EE169C1}"/>
    <hyperlink ref="B319" location="PV_spacing_16" display="PV_spacing_16" xr:uid="{1E238CFB-1AE5-46A9-B415-99024FDCCA87}"/>
    <hyperlink ref="B320" location="PV_spacing_4" display="PV_spacing_4" xr:uid="{F627FDE5-4FB8-435C-98BC-C78FB21DFEF2}"/>
    <hyperlink ref="B321" location="PV_spacing_8" display="PV_spacing_8" xr:uid="{F517628A-8A7E-457E-9740-8BF4796D4CD5}"/>
    <hyperlink ref="B322" location="diesel_non_eff" display="diesel_non_eff" xr:uid="{CE1E0C24-84EA-4D37-A287-BF7C83B3A5EE}"/>
    <hyperlink ref="B323" location="manual_I" display="manual_I" xr:uid="{18F224C5-6874-4AE6-B0DF-4A2B80818E9F}"/>
    <hyperlink ref="B324" location="target_recovery" display="target_recovery" xr:uid="{4E8FED5B-B943-4004-B770-E791C9752004}"/>
    <hyperlink ref="B325" location="temp_meter_in" display="temp_meter_in" xr:uid="{C5D6E937-C5B6-4B28-B162-01CF08508210}"/>
    <hyperlink ref="B326" location="temp_meter_clean" display="temp_meter_clean" xr:uid="{6C537C21-DE3B-438D-84AC-AFD846779C7D}"/>
    <hyperlink ref="B327" location="add_3rd_building" display="add_3rd_building" xr:uid="{F0467483-5589-4342-9AC2-E3CB1BDA7752}"/>
    <hyperlink ref="B328" location="flush_time" display="flush_time" xr:uid="{ABFE0048-7AAC-4CA3-B0DB-0DCEDC67CC7A}"/>
    <hyperlink ref="B329" location="transfer_time" display="transfer_time" xr:uid="{3C6EBA2B-545C-4726-97F1-B7E125EB2AF5}"/>
    <hyperlink ref="B330" location="perm_flow_tol" display="perm_flow_tol" xr:uid="{F24320CC-E5B3-437D-9D8B-237E7A7476AF}"/>
    <hyperlink ref="B331" location="flux_tol_hi" display="flux_tol_hi" xr:uid="{489EF9A7-9A6F-4DCD-84C4-F595ABCFB5E3}"/>
    <hyperlink ref="B332" location="flux_tol_lo" display="flux_tol_lo" xr:uid="{00847A20-CF39-4FA0-98CB-A8E771749DA3}"/>
    <hyperlink ref="B333" location="pump_effcy" display="pump_effcy" xr:uid="{1952C6C1-7FE2-44EF-B975-6BD0D02218AF}"/>
    <hyperlink ref="B334" location="treated_feed_pH" display="treated_feed_pH" xr:uid="{5FDF944F-A051-43A3-B989-FFB3A9237138}"/>
    <hyperlink ref="B335" location="influent_TSS" display="influent_TSS" xr:uid="{A8E50403-F006-47F4-8729-FD013C171E80}"/>
    <hyperlink ref="B336" location="effluent_TSS" display="effluent_TSS" xr:uid="{0BAC5B13-1DA3-442B-8F5F-55071BA92E9F}"/>
    <hyperlink ref="B337" location="uloe_chem_maint" display="uloe_chem_maint" xr:uid="{3E00227A-8BC5-4BD9-9872-28205B330DC4}"/>
    <hyperlink ref="B338" location="uloe_pump_maint" display="uloe_pump_maint" xr:uid="{2A34DCFA-78FA-44C8-AB33-A3FE1D52C264}"/>
    <hyperlink ref="B339" location="uloe_valve_maint" display="uloe_valve_maint" xr:uid="{D29DA17F-EA03-440C-A82E-CD43C4C23129}"/>
    <hyperlink ref="B340" location="ups" display="ups" xr:uid="{052C1EF1-AF0E-4949-902F-FAF52492CCF1}"/>
    <hyperlink ref="B341" location="valve_table" display="valve_table" xr:uid="{2A181D47-246E-41B6-8D0F-F6DC465DBB0D}"/>
    <hyperlink ref="B342" location="Air_changes_contactor" display="Air_changes_contactor" xr:uid="{2B52FAA3-5993-4BA4-8173-370C5B0789FB}"/>
    <hyperlink ref="B343" location="Air_changes_office" display="Air_changes_office" xr:uid="{26862171-15A3-4463-ABDA-F42E89E57D62}"/>
    <hyperlink ref="B344" location="Air_changes_chem_storage" display="Air_changes_chem_storage" xr:uid="{C5C2F18C-4D76-4DE8-AB58-7642633C2F35}"/>
    <hyperlink ref="B345" location="Air_changes_pump" display="Air_changes_pump" xr:uid="{5ECD1A4D-3AD0-4B07-9718-4EBEA6986F26}"/>
    <hyperlink ref="B346" location="conn_feed_PV" display="conn_feed_PV" xr:uid="{03CA124B-66FE-4A05-8E28-9BDD9D0A772D}"/>
    <hyperlink ref="B347" location="conn_perm_PV" display="conn_perm_PV" xr:uid="{9FC12560-AB91-410D-916C-A8715B04F64E}"/>
    <hyperlink ref="B348" location="pipe_vol_frac" display="pipe_vol_frac" xr:uid="{E42CD951-FB29-48FB-B214-8A4ADF31AC53}"/>
    <hyperlink ref="B349" location="sec_cont_pct_of_largest" display="sec_cont_pct_of_largest" xr:uid="{79F8C3DE-13A4-4CB3-80EA-8B3096A09CD6}"/>
    <hyperlink ref="B350" location="sec_cont_pct_of_total" display="sec_cont_pct_of_total" xr:uid="{E72BF6DC-A303-459C-8335-CC7E3EB7DEC8}"/>
  </hyperlink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J111"/>
  <sheetViews>
    <sheetView topLeftCell="A85" zoomScale="125" zoomScaleNormal="85" zoomScaleSheetLayoutView="75" workbookViewId="0">
      <selection activeCell="G101" sqref="G101"/>
    </sheetView>
  </sheetViews>
  <sheetFormatPr baseColWidth="10" defaultColWidth="9.1640625" defaultRowHeight="13"/>
  <cols>
    <col min="1" max="1" width="3.5" style="172" customWidth="1"/>
    <col min="2" max="2" width="9" style="172" hidden="1" customWidth="1"/>
    <col min="3" max="3" width="10.5" style="172" hidden="1" customWidth="1"/>
    <col min="4" max="4" width="12.5" style="172" hidden="1" customWidth="1"/>
    <col min="5" max="5" width="50.5" style="172" customWidth="1"/>
    <col min="6" max="6" width="22.83203125" style="211" hidden="1" customWidth="1"/>
    <col min="7" max="7" width="32.5" style="171" customWidth="1"/>
    <col min="8" max="8" width="29.5" style="171" customWidth="1"/>
    <col min="9" max="9" width="72.5" style="171" customWidth="1"/>
    <col min="10" max="10" width="12" style="171" bestFit="1" customWidth="1"/>
    <col min="11" max="11" width="9" style="171" customWidth="1"/>
    <col min="12" max="12" width="13.83203125" style="171" bestFit="1" customWidth="1"/>
    <col min="13" max="13" width="10.5" style="171" bestFit="1" customWidth="1"/>
    <col min="14" max="14" width="20.5" style="171" bestFit="1" customWidth="1"/>
    <col min="15" max="15" width="14" style="171" bestFit="1" customWidth="1"/>
    <col min="16" max="17" width="12" style="171" bestFit="1" customWidth="1"/>
    <col min="18" max="19" width="6.1640625" style="171" customWidth="1"/>
    <col min="20" max="20" width="6.5" style="171" customWidth="1"/>
    <col min="21" max="21" width="3.83203125" style="171" customWidth="1"/>
    <col min="22" max="24" width="6.1640625" style="171" customWidth="1"/>
    <col min="25" max="25" width="3.5" style="171" customWidth="1"/>
    <col min="26" max="28" width="6.1640625" style="171" customWidth="1"/>
    <col min="29" max="29" width="3.5" style="171" customWidth="1"/>
    <col min="30" max="31" width="6.1640625" style="171" customWidth="1"/>
    <col min="32" max="32" width="7.83203125" style="171" customWidth="1"/>
    <col min="33" max="33" width="4" style="171" customWidth="1"/>
    <col min="34" max="16384" width="9.1640625" style="171"/>
  </cols>
  <sheetData>
    <row r="1" spans="1:9" ht="16">
      <c r="A1" s="453" t="s">
        <v>5183</v>
      </c>
      <c r="B1" s="189"/>
      <c r="C1" s="189"/>
      <c r="D1" s="189"/>
      <c r="E1" s="152"/>
    </row>
    <row r="2" spans="1:9">
      <c r="A2" s="152"/>
      <c r="B2" s="152"/>
      <c r="C2" s="152"/>
      <c r="D2" s="152"/>
      <c r="E2" s="153"/>
    </row>
    <row r="3" spans="1:9" ht="12.75" customHeight="1">
      <c r="A3" s="152"/>
      <c r="B3" s="152"/>
      <c r="C3" s="152"/>
      <c r="D3" s="152"/>
      <c r="E3" s="154" t="s">
        <v>2632</v>
      </c>
      <c r="G3" s="156"/>
      <c r="H3" s="1234" t="str">
        <f>IF(water_index&gt;7,"Note: There is no standard design for this water.","")</f>
        <v/>
      </c>
      <c r="I3" s="1234" t="s">
        <v>3653</v>
      </c>
    </row>
    <row r="4" spans="1:9">
      <c r="A4" s="152"/>
      <c r="B4" s="152"/>
      <c r="C4" s="152"/>
      <c r="D4" s="152"/>
      <c r="E4" s="155" t="s">
        <v>3652</v>
      </c>
      <c r="G4" s="156"/>
      <c r="H4" s="1235"/>
      <c r="I4" s="1235"/>
    </row>
    <row r="5" spans="1:9" ht="14">
      <c r="A5" s="152"/>
      <c r="B5" s="152"/>
      <c r="C5" s="152"/>
      <c r="D5" s="152"/>
      <c r="E5" s="155"/>
      <c r="G5" s="156"/>
      <c r="I5" s="467" t="s">
        <v>1789</v>
      </c>
    </row>
    <row r="6" spans="1:9" ht="14">
      <c r="A6" s="152"/>
      <c r="B6" s="152"/>
      <c r="C6" s="152"/>
      <c r="D6" s="152"/>
      <c r="E6" s="186" t="s">
        <v>1157</v>
      </c>
      <c r="F6" s="179"/>
      <c r="G6" s="187" t="s">
        <v>140</v>
      </c>
      <c r="H6" s="199" t="str">
        <f ca="1">CHOOSE(feed_water_type,"Ground","Surface")</f>
        <v>Surface</v>
      </c>
    </row>
    <row r="7" spans="1:9" ht="14">
      <c r="A7" s="152"/>
      <c r="B7" s="152"/>
      <c r="C7" s="152"/>
      <c r="D7" s="152"/>
      <c r="E7" s="176"/>
      <c r="F7" s="83"/>
      <c r="G7" s="178" t="s">
        <v>1691</v>
      </c>
      <c r="H7" s="201">
        <f ca="1">IF(ISERROR(water_index),"",feed_sdi)</f>
        <v>4.8</v>
      </c>
    </row>
    <row r="8" spans="1:9" ht="14">
      <c r="A8" s="152"/>
      <c r="B8" s="152"/>
      <c r="C8" s="152"/>
      <c r="D8" s="152"/>
      <c r="E8" s="176"/>
      <c r="F8" s="83"/>
      <c r="G8" s="178" t="s">
        <v>1692</v>
      </c>
      <c r="H8" s="201" t="str">
        <f ca="1">IF(ISERROR(water_index),"",TEXT(feed_pH,"0.00"))</f>
        <v>8.20</v>
      </c>
    </row>
    <row r="9" spans="1:9" ht="14">
      <c r="A9" s="152"/>
      <c r="B9" s="152"/>
      <c r="C9" s="152"/>
      <c r="D9" s="152"/>
      <c r="E9" s="176"/>
      <c r="F9" s="83"/>
      <c r="G9" s="178" t="s">
        <v>1922</v>
      </c>
      <c r="H9" s="180">
        <f ca="1">IF(ISERROR(water_index),"",treated_feed_tds)</f>
        <v>2588.2074744330666</v>
      </c>
    </row>
    <row r="10" spans="1:9" ht="14">
      <c r="A10" s="152"/>
      <c r="B10" s="152"/>
      <c r="C10" s="152"/>
      <c r="D10" s="152"/>
      <c r="E10" s="176"/>
      <c r="F10" s="83"/>
      <c r="G10" s="178" t="s">
        <v>1923</v>
      </c>
      <c r="H10" s="181">
        <f ca="1">IF(ISERROR(water_index),"",feed_LSI)</f>
        <v>0.88879795104584947</v>
      </c>
    </row>
    <row r="11" spans="1:9" ht="14">
      <c r="A11" s="152"/>
      <c r="B11" s="152"/>
      <c r="C11" s="152"/>
      <c r="D11" s="152"/>
      <c r="E11" s="176"/>
      <c r="F11" s="83"/>
      <c r="G11" s="178" t="s">
        <v>1925</v>
      </c>
      <c r="H11" s="182">
        <f ca="1">IF(ISERROR(water_index),"",feed_caso4_sat_pct)</f>
        <v>0.24919439482368311</v>
      </c>
    </row>
    <row r="12" spans="1:9" ht="14">
      <c r="A12" s="152"/>
      <c r="B12" s="152"/>
      <c r="C12" s="152"/>
      <c r="D12" s="152"/>
      <c r="E12" s="176"/>
      <c r="F12" s="83"/>
      <c r="G12" s="178" t="s">
        <v>2129</v>
      </c>
      <c r="H12" s="182">
        <f ca="1">IF(ISERROR(water_index),"",feed_baso4_sat_pct)</f>
        <v>4.2136702929566123</v>
      </c>
    </row>
    <row r="13" spans="1:9" ht="14">
      <c r="A13" s="152"/>
      <c r="B13" s="152"/>
      <c r="C13" s="152"/>
      <c r="D13" s="152"/>
      <c r="E13" s="176"/>
      <c r="F13" s="83"/>
      <c r="G13" s="178" t="s">
        <v>2130</v>
      </c>
      <c r="H13" s="182">
        <f ca="1">IF(ISERROR(water_index),"",feed_srso4_sat_pct)</f>
        <v>5.1514984976352589E-2</v>
      </c>
    </row>
    <row r="14" spans="1:9" ht="14">
      <c r="A14" s="152"/>
      <c r="B14" s="152"/>
      <c r="C14" s="152"/>
      <c r="D14" s="152"/>
      <c r="E14" s="176"/>
      <c r="F14" s="83"/>
      <c r="G14" s="178" t="s">
        <v>1926</v>
      </c>
      <c r="H14" s="182">
        <f ca="1">IF(ISERROR(water_index),"",feed_caf2_sat_pct)</f>
        <v>2.6498958499858491E-2</v>
      </c>
    </row>
    <row r="15" spans="1:9" ht="14">
      <c r="A15" s="152"/>
      <c r="B15" s="152"/>
      <c r="C15" s="152"/>
      <c r="D15" s="152"/>
      <c r="E15" s="183"/>
      <c r="F15" s="177"/>
      <c r="G15" s="184" t="s">
        <v>1924</v>
      </c>
      <c r="H15" s="185">
        <f ca="1">IF(ISERROR(water_index),"",feed_sio2_sat_pct)</f>
        <v>3.6537243274346959E-2</v>
      </c>
    </row>
    <row r="16" spans="1:9">
      <c r="A16" s="152"/>
      <c r="B16" s="152"/>
      <c r="C16" s="152"/>
      <c r="D16" s="152"/>
      <c r="E16" s="154"/>
      <c r="G16" s="173"/>
    </row>
    <row r="17" spans="1:9" ht="25.5" customHeight="1">
      <c r="A17" s="152"/>
      <c r="B17" s="190" t="s">
        <v>941</v>
      </c>
      <c r="C17" s="190" t="s">
        <v>942</v>
      </c>
      <c r="D17" s="190" t="s">
        <v>943</v>
      </c>
      <c r="E17" s="158" t="s">
        <v>2633</v>
      </c>
      <c r="G17" s="165"/>
      <c r="H17" s="789" t="str">
        <f>IF('Standard Inputs'!AB9,"&lt;- Using this design",IF('Standard Inputs'!AC9,"&lt;- You modified this design",""))</f>
        <v/>
      </c>
      <c r="I17" s="903" t="s">
        <v>5279</v>
      </c>
    </row>
    <row r="18" spans="1:9" ht="25.5" customHeight="1">
      <c r="A18" s="152"/>
      <c r="B18" s="152"/>
      <c r="C18" s="152"/>
      <c r="D18" s="152"/>
      <c r="E18" s="902" t="s">
        <v>5278</v>
      </c>
      <c r="G18" s="166"/>
      <c r="H18" s="790" t="str">
        <f>IF('Standard Inputs'!AB10,"&lt;- Using this design",IF('Standard Inputs'!AC10,"&lt;- You modified this design",""))</f>
        <v/>
      </c>
    </row>
    <row r="19" spans="1:9" ht="25.5" customHeight="1">
      <c r="A19" s="152"/>
      <c r="B19" s="152"/>
      <c r="C19" s="152"/>
      <c r="D19" s="152"/>
      <c r="G19" s="166"/>
      <c r="H19" s="790" t="str">
        <f>IF('Standard Inputs'!AB11,"&lt;- Using this design",IF('Standard Inputs'!AC11,"&lt;- You modified this design",""))</f>
        <v/>
      </c>
    </row>
    <row r="20" spans="1:9" ht="25.5" customHeight="1">
      <c r="A20" s="152"/>
      <c r="B20" s="152"/>
      <c r="C20" s="152"/>
      <c r="D20" s="152"/>
      <c r="E20" s="159"/>
      <c r="G20" s="166"/>
      <c r="H20" s="790" t="str">
        <f>IF('Standard Inputs'!AB12,"&lt;- Using this design",IF('Standard Inputs'!AC12,"&lt;- You modified this design",""))</f>
        <v/>
      </c>
    </row>
    <row r="21" spans="1:9" ht="25.5" customHeight="1">
      <c r="A21" s="152"/>
      <c r="B21" s="152"/>
      <c r="C21" s="152"/>
      <c r="D21" s="152"/>
      <c r="G21" s="166"/>
      <c r="H21" s="790" t="str">
        <f>IF('Standard Inputs'!AB13,"&lt;- Using this design",IF('Standard Inputs'!AC13,"&lt;- You modified this design",""))</f>
        <v/>
      </c>
      <c r="I21" s="788"/>
    </row>
    <row r="22" spans="1:9" ht="25.5" customHeight="1">
      <c r="A22" s="152"/>
      <c r="B22" s="152"/>
      <c r="C22" s="152"/>
      <c r="D22" s="152"/>
      <c r="E22" s="188"/>
      <c r="G22" s="166"/>
      <c r="H22" s="790" t="str">
        <f>IF('Standard Inputs'!AB14,"&lt;- Using this design",IF('Standard Inputs'!AC14,"&lt;- You modified this design",""))</f>
        <v/>
      </c>
    </row>
    <row r="23" spans="1:9" ht="25.5" customHeight="1">
      <c r="A23" s="152"/>
      <c r="B23" s="152"/>
      <c r="C23" s="152"/>
      <c r="D23" s="152"/>
      <c r="G23" s="166"/>
      <c r="H23" s="790" t="str">
        <f>IF('Standard Inputs'!AB15,"&lt;- Using this design",IF('Standard Inputs'!AC15,"&lt;- You modified this design",""))</f>
        <v/>
      </c>
    </row>
    <row r="24" spans="1:9" ht="25.5" customHeight="1">
      <c r="A24" s="152"/>
      <c r="B24" s="152"/>
      <c r="C24" s="152"/>
      <c r="D24" s="152"/>
      <c r="G24" s="166"/>
      <c r="H24" s="790" t="str">
        <f>IF('Standard Inputs'!AB16,"&lt;- Using this design",IF('Standard Inputs'!AC16,"&lt;- You modified this design",""))</f>
        <v/>
      </c>
    </row>
    <row r="25" spans="1:9" ht="25.5" customHeight="1">
      <c r="A25" s="152"/>
      <c r="B25" s="152"/>
      <c r="C25" s="152"/>
      <c r="D25" s="152"/>
      <c r="G25" s="167"/>
      <c r="H25" s="791" t="str">
        <f>IF(OR('Standard Inputs'!AB9:AC16),"","Using a manual design")</f>
        <v>Using a manual design</v>
      </c>
    </row>
    <row r="26" spans="1:9" ht="12.75" customHeight="1">
      <c r="A26" s="152"/>
      <c r="B26" s="152"/>
      <c r="C26" s="152"/>
      <c r="D26" s="152"/>
    </row>
    <row r="27" spans="1:9" ht="12.75" customHeight="1">
      <c r="A27" s="152"/>
      <c r="B27" s="152"/>
      <c r="C27" s="152" t="b">
        <f ca="1">AND($C28,C41)</f>
        <v>1</v>
      </c>
      <c r="D27" s="152"/>
      <c r="E27" s="160" t="s">
        <v>2634</v>
      </c>
    </row>
    <row r="28" spans="1:9" ht="12.75" customHeight="1">
      <c r="A28" s="152"/>
      <c r="B28" s="152"/>
      <c r="C28" s="152" t="b">
        <f ca="1">AND(C76,C87,C93,C102,C111)</f>
        <v>1</v>
      </c>
      <c r="D28" s="152"/>
      <c r="E28" s="161" t="s">
        <v>2635</v>
      </c>
      <c r="G28" s="1239" t="str">
        <f ca="1">IF(tune_in_prog,"Input Complete -- Computation In Progress",IF(inputs_ok,IF(C41,IF('Standard Inputs'!Z91,"Input Complete -- Results Ready","Input Complete -- Press 'Generate Results'"),"Design unsuccessful -- modify flux or recovery goal"),"Input Incomplete -- Check for Error Messages Below"))</f>
        <v>Input Complete -- Results Ready</v>
      </c>
      <c r="H28" s="1240"/>
      <c r="I28" s="1236"/>
    </row>
    <row r="29" spans="1:9" ht="12.75" customHeight="1">
      <c r="A29" s="152"/>
      <c r="B29" s="152"/>
      <c r="C29" s="152"/>
      <c r="D29" s="152"/>
      <c r="E29" s="162" t="s">
        <v>2636</v>
      </c>
      <c r="G29" s="1241"/>
      <c r="H29" s="1242"/>
      <c r="I29" s="1237"/>
    </row>
    <row r="30" spans="1:9" ht="12.75" customHeight="1">
      <c r="A30" s="152"/>
      <c r="B30" s="152"/>
      <c r="C30" s="152"/>
      <c r="D30" s="152"/>
      <c r="E30" s="160"/>
      <c r="G30" s="1243"/>
      <c r="H30" s="1244"/>
      <c r="I30" s="1238"/>
    </row>
    <row r="31" spans="1:9" ht="12.75" customHeight="1">
      <c r="A31" s="152"/>
      <c r="B31" s="152"/>
      <c r="C31" s="152"/>
      <c r="D31" s="152"/>
      <c r="E31" s="171"/>
    </row>
    <row r="32" spans="1:9" ht="12.75" customHeight="1">
      <c r="A32" s="152"/>
      <c r="B32" s="152"/>
      <c r="C32" s="152"/>
      <c r="D32" s="152"/>
      <c r="E32" s="171"/>
      <c r="I32" s="407" t="str">
        <f>"Resulting Costs (in year "&amp;TEXT(current_year_cl,0)&amp;" dollars, see OUTPUT sheet for details)"</f>
        <v>Resulting Costs (in year 2021 dollars, see OUTPUT sheet for details)</v>
      </c>
    </row>
    <row r="33" spans="1:10" ht="12.75" customHeight="1">
      <c r="A33" s="152"/>
      <c r="B33" s="152"/>
      <c r="C33" s="152"/>
      <c r="D33" s="152"/>
      <c r="E33" s="160" t="s">
        <v>2637</v>
      </c>
      <c r="I33" s="168" t="str">
        <f ca="1">"Direct Capital Cost: " &amp; IF(input_status&lt;&gt;"input complete -- results ready",input_status,IF(missing_cost,"Missing cost!",IF(cost_buildup_error,"Cost buildup error!",IF(ISERROR(direct_cost),"Calculation error!",TEXT(direct_cost,"$0,0")))))</f>
        <v>Direct Capital Cost: $1,936,173</v>
      </c>
    </row>
    <row r="34" spans="1:10" ht="12.75" customHeight="1">
      <c r="A34" s="152"/>
      <c r="B34" s="152"/>
      <c r="D34" s="152"/>
      <c r="E34" s="952" t="str">
        <f ca="1">IF(inputs_ok,IF('Standard Inputs'!Z91,"Results are ready--no need to click button","Click here to generate results --&gt;"),"Check inputs, then click here to generate results --&gt;")</f>
        <v>Results are ready--no need to click button</v>
      </c>
      <c r="I34" s="168" t="str">
        <f ca="1">"Total Capital Cost: " &amp; IF(input_status&lt;&gt;"input complete -- results ready",input_status,IF(missing_cost,"Missing cost!",IF(cost_buildup_error,"Cost buildup error!",IF(ISERROR(system_cost),"Calculation error!",TEXT(system_cost,"$0,0")))))</f>
        <v>Total Capital Cost: $3,261,508</v>
      </c>
    </row>
    <row r="35" spans="1:10" ht="12.75" customHeight="1">
      <c r="A35" s="152"/>
      <c r="B35" s="152"/>
      <c r="D35" s="152"/>
      <c r="E35" s="188"/>
      <c r="I35" s="168" t="str">
        <f ca="1">"Annualized Capital Cost: "&amp;IF(input_status&lt;&gt;"Input Complete -- Results Ready",input_status,IF(missing_cost,"Missing Price!",IF(cost_buildup_error,"Cost buildup error!",IF(ISERROR(Annualized_Capital_Cost),"Calculation error!",TEXT(Annualized_Capital_Cost,"$0,0")&amp;" per year"&amp;" (over "&amp;useful_life&amp;" years at "&amp;discount_rate*100&amp;"%)"))))</f>
        <v>Annualized Capital Cost: $276,187 per year (over 25.9 years at 7%)</v>
      </c>
    </row>
    <row r="36" spans="1:10" ht="12.75" customHeight="1">
      <c r="A36" s="152"/>
      <c r="B36" s="152"/>
      <c r="C36" s="152"/>
      <c r="D36" s="152"/>
      <c r="E36" s="152"/>
      <c r="I36" s="168" t="str">
        <f ca="1">"Annual O&amp;M Cost: "&amp;IF(input_status&lt;&gt;"input complete -- results ready",input_status,IF(ISERROR(OM_cost),"Calculation error!",TEXT(OM_cost,"$0,0")&amp;" per year"))</f>
        <v>Annual O&amp;M Cost: $1,107,332 per year</v>
      </c>
    </row>
    <row r="37" spans="1:10" ht="12.75" customHeight="1">
      <c r="A37" s="152"/>
      <c r="B37" s="152"/>
      <c r="C37" s="152"/>
      <c r="D37" s="152"/>
      <c r="E37" s="163"/>
      <c r="I37" s="169" t="str">
        <f ca="1">"Total Annualized Cost: "&amp;IF(input_status&lt;&gt;"input complete -- results ready",input_status,IF(missing_cost,"Missing Price!",IF(cost_buildup_error,"Cost buildup error!",IF(ISERROR(Annualized_Cost),"Calculation error!",TEXT(Annualized_Cost,"$0,0")&amp;" per year ("&amp;TEXT(TAC_pct_cap,"0%")&amp;" capital, "&amp;TEXT(TAC_pct_OM,"0%")&amp;" O&amp;M)"))))</f>
        <v>Total Annualized Cost: $1,383,518 per year (20% capital, 80% O&amp;M)</v>
      </c>
    </row>
    <row r="38" spans="1:10" ht="12.75" customHeight="1">
      <c r="A38" s="152"/>
      <c r="B38" s="152"/>
      <c r="C38" s="152"/>
      <c r="D38" s="152"/>
      <c r="E38" s="163"/>
      <c r="I38" s="1228" t="str">
        <f>IF(missing_cost,"A price is not available for at least one required component. See Use? column on OUTPUT sheet.",IF(cost_buildup_error,"There is an Excel error in the price for at least one component. Please see the Use? column on OUTPUT sheet.",""))</f>
        <v/>
      </c>
    </row>
    <row r="39" spans="1:10" ht="12.75" customHeight="1">
      <c r="A39" s="152"/>
      <c r="B39" s="152"/>
      <c r="C39" s="152"/>
      <c r="D39" s="152"/>
      <c r="E39" s="186" t="s">
        <v>2488</v>
      </c>
      <c r="F39" s="179"/>
      <c r="G39" s="1247" t="str">
        <f ca="1">IF(inputs_ok,IF(inputs_are_current,calc_result,"Inputs have changed. Please rerun the system design."),"Inputs are incomplete. Please check for error messages below.")</f>
        <v>Calculation completed OK.</v>
      </c>
      <c r="H39" s="1248"/>
      <c r="I39" s="1229"/>
    </row>
    <row r="40" spans="1:10" ht="12.75" customHeight="1">
      <c r="A40" s="152"/>
      <c r="B40" s="152"/>
      <c r="C40" s="152"/>
      <c r="D40" s="152"/>
      <c r="E40" s="176"/>
      <c r="F40" s="83"/>
      <c r="G40" s="1249"/>
      <c r="H40" s="1250"/>
      <c r="I40" s="1229"/>
    </row>
    <row r="41" spans="1:10" ht="12.75" customHeight="1">
      <c r="A41" s="152"/>
      <c r="B41" s="152"/>
      <c r="C41" s="152" t="b">
        <f ca="1">AND(inputs_ok,OR(comp_in_prog,calc_result="Calculation completed OK."))</f>
        <v>1</v>
      </c>
      <c r="D41" s="152"/>
      <c r="E41" s="176"/>
      <c r="F41" s="83"/>
      <c r="G41" s="1249"/>
      <c r="H41" s="1250"/>
      <c r="I41" s="1229"/>
    </row>
    <row r="42" spans="1:10" ht="12.75" customHeight="1">
      <c r="A42" s="152"/>
      <c r="B42" s="152"/>
      <c r="C42" s="152"/>
      <c r="D42" s="152"/>
      <c r="E42" s="176"/>
      <c r="F42" s="83"/>
      <c r="G42" s="1249"/>
      <c r="H42" s="1250"/>
      <c r="I42" s="1229"/>
      <c r="J42" s="536"/>
    </row>
    <row r="43" spans="1:10" ht="12.75" customHeight="1">
      <c r="A43" s="152"/>
      <c r="B43" s="152"/>
      <c r="C43" s="152"/>
      <c r="D43" s="152"/>
      <c r="E43" s="204" t="s">
        <v>411</v>
      </c>
      <c r="F43" s="83"/>
      <c r="G43" s="203">
        <f>recovery_rate</f>
        <v>0.75578769258126599</v>
      </c>
      <c r="H43" s="207"/>
      <c r="I43" s="202"/>
      <c r="J43" s="536"/>
    </row>
    <row r="44" spans="1:10" ht="12.75" customHeight="1">
      <c r="A44" s="152"/>
      <c r="B44" s="152"/>
      <c r="C44" s="152"/>
      <c r="D44" s="152"/>
      <c r="E44" s="204" t="s">
        <v>2490</v>
      </c>
      <c r="F44" s="83"/>
      <c r="G44" s="206">
        <f>perm_tds_sys</f>
        <v>25.509280207183149</v>
      </c>
      <c r="H44" s="207" t="s">
        <v>2263</v>
      </c>
      <c r="I44" s="202"/>
    </row>
    <row r="45" spans="1:10" ht="12.75" customHeight="1">
      <c r="A45" s="152"/>
      <c r="B45" s="152"/>
      <c r="C45" s="152"/>
      <c r="D45" s="152"/>
      <c r="E45" s="204" t="s">
        <v>1088</v>
      </c>
      <c r="F45" s="83"/>
      <c r="G45" s="206">
        <f ca="1">perm_tds_sys_180c</f>
        <v>24.984063423653037</v>
      </c>
      <c r="H45" s="207" t="s">
        <v>2263</v>
      </c>
      <c r="I45" s="1251" t="s">
        <v>1090</v>
      </c>
    </row>
    <row r="46" spans="1:10" ht="12.75" customHeight="1">
      <c r="A46" s="152"/>
      <c r="B46" s="152"/>
      <c r="C46" s="152"/>
      <c r="D46" s="152"/>
      <c r="E46" s="204" t="s">
        <v>267</v>
      </c>
      <c r="F46" s="83"/>
      <c r="G46" s="206">
        <f ca="1">perm_gas_concs</f>
        <v>37.821998251146603</v>
      </c>
      <c r="H46" s="207" t="s">
        <v>2263</v>
      </c>
      <c r="I46" s="1252"/>
    </row>
    <row r="47" spans="1:10" ht="12.75" customHeight="1">
      <c r="A47" s="152"/>
      <c r="B47" s="152"/>
      <c r="C47" s="152"/>
      <c r="D47" s="152"/>
      <c r="E47" s="204" t="s">
        <v>2482</v>
      </c>
      <c r="F47" s="83"/>
      <c r="G47" s="203">
        <f>salt_rej_sys</f>
        <v>0.99014403580115973</v>
      </c>
      <c r="H47" s="182"/>
      <c r="I47" s="1252"/>
    </row>
    <row r="48" spans="1:10" ht="12.75" customHeight="1">
      <c r="A48" s="152"/>
      <c r="B48" s="152"/>
      <c r="C48" s="152"/>
      <c r="D48" s="152"/>
      <c r="E48" s="204" t="s">
        <v>2409</v>
      </c>
      <c r="F48" s="83"/>
      <c r="G48" s="206" t="str">
        <f>IF(bp_pct=0,"no blending",blend_TDS)</f>
        <v>no blending</v>
      </c>
      <c r="H48" s="182" t="str">
        <f>IF(bp_pct=0,"","ppm")</f>
        <v/>
      </c>
      <c r="I48" s="202"/>
    </row>
    <row r="49" spans="1:9" ht="12.75" customHeight="1">
      <c r="A49" s="152"/>
      <c r="B49" s="152"/>
      <c r="C49" s="152"/>
      <c r="D49" s="152"/>
      <c r="E49" s="204" t="s">
        <v>1089</v>
      </c>
      <c r="F49" s="83"/>
      <c r="G49" s="206" t="str">
        <f>IF(bp_pct=0,"no blending",blend_TDS_180c)</f>
        <v>no blending</v>
      </c>
      <c r="H49" s="182" t="str">
        <f>IF(bp_pct=0,"","ppm")</f>
        <v/>
      </c>
      <c r="I49" s="202"/>
    </row>
    <row r="50" spans="1:9" ht="12.75" customHeight="1">
      <c r="A50" s="152"/>
      <c r="B50" s="152"/>
      <c r="C50" s="152"/>
      <c r="D50" s="152"/>
      <c r="E50" s="176"/>
      <c r="F50" s="83"/>
      <c r="G50" s="537"/>
      <c r="H50" s="535"/>
      <c r="I50" s="202"/>
    </row>
    <row r="51" spans="1:9" ht="12.75" customHeight="1">
      <c r="A51" s="152"/>
      <c r="B51" s="152"/>
      <c r="C51" s="152"/>
      <c r="D51" s="152"/>
      <c r="E51" s="205" t="s">
        <v>1170</v>
      </c>
      <c r="F51" s="83"/>
      <c r="G51" s="206">
        <f>P_feed_try</f>
        <v>195.37119757241183</v>
      </c>
      <c r="H51" s="182" t="s">
        <v>3749</v>
      </c>
      <c r="I51" s="202"/>
    </row>
    <row r="52" spans="1:9" ht="12.75" customHeight="1">
      <c r="A52" s="152"/>
      <c r="B52" s="152"/>
      <c r="C52" s="152"/>
      <c r="D52" s="152"/>
      <c r="E52" s="205" t="s">
        <v>2486</v>
      </c>
      <c r="F52" s="83"/>
      <c r="G52" s="206">
        <f>P_boost_2_try</f>
        <v>0</v>
      </c>
      <c r="H52" s="182" t="s">
        <v>3749</v>
      </c>
      <c r="I52" s="202"/>
    </row>
    <row r="53" spans="1:9" ht="12.75" customHeight="1">
      <c r="A53" s="152"/>
      <c r="B53" s="152"/>
      <c r="C53" s="152"/>
      <c r="D53" s="152"/>
      <c r="E53" s="205" t="s">
        <v>2487</v>
      </c>
      <c r="F53" s="83"/>
      <c r="G53" s="206">
        <f>P_boost_3_try</f>
        <v>0</v>
      </c>
      <c r="H53" s="182" t="s">
        <v>3749</v>
      </c>
      <c r="I53" s="202"/>
    </row>
    <row r="54" spans="1:9" ht="12.75" customHeight="1">
      <c r="A54" s="152"/>
      <c r="B54" s="152"/>
      <c r="C54" s="152"/>
      <c r="D54" s="152"/>
      <c r="E54" s="205" t="s">
        <v>2485</v>
      </c>
      <c r="F54" s="83"/>
      <c r="G54" s="206">
        <f>P_throttle_1_try</f>
        <v>0</v>
      </c>
      <c r="H54" s="182" t="s">
        <v>3749</v>
      </c>
      <c r="I54" s="202"/>
    </row>
    <row r="55" spans="1:9" ht="12.75" customHeight="1">
      <c r="A55" s="152"/>
      <c r="B55" s="152"/>
      <c r="C55" s="152"/>
      <c r="D55" s="152"/>
      <c r="E55" s="205" t="s">
        <v>2484</v>
      </c>
      <c r="F55" s="83"/>
      <c r="G55" s="206">
        <f>P_throttle_2_try</f>
        <v>0</v>
      </c>
      <c r="H55" s="182" t="s">
        <v>3749</v>
      </c>
      <c r="I55" s="202"/>
    </row>
    <row r="56" spans="1:9" ht="12.75" customHeight="1">
      <c r="A56" s="152"/>
      <c r="B56" s="152"/>
      <c r="C56" s="152"/>
      <c r="D56" s="152"/>
      <c r="E56" s="205" t="s">
        <v>2489</v>
      </c>
      <c r="F56" s="83"/>
      <c r="G56" s="210">
        <f ca="1">pump_energy</f>
        <v>1455.8251260281729</v>
      </c>
      <c r="H56" s="182" t="s">
        <v>83</v>
      </c>
      <c r="I56" s="202"/>
    </row>
    <row r="57" spans="1:9" ht="12.75" customHeight="1">
      <c r="A57" s="152"/>
      <c r="B57" s="171"/>
      <c r="C57" s="171"/>
      <c r="D57" s="171"/>
      <c r="E57" s="205"/>
      <c r="F57" s="83"/>
      <c r="G57" s="178"/>
      <c r="H57" s="182"/>
      <c r="I57" s="202"/>
    </row>
    <row r="58" spans="1:9" ht="12.75" customHeight="1">
      <c r="A58" s="152"/>
      <c r="B58" s="152"/>
      <c r="C58" s="152"/>
      <c r="D58" s="152"/>
      <c r="E58" s="205" t="s">
        <v>2483</v>
      </c>
      <c r="F58" s="83"/>
      <c r="G58" s="208">
        <f>conc_LSI_sys</f>
        <v>0.53698937626450949</v>
      </c>
      <c r="H58" s="182"/>
      <c r="I58" s="202"/>
    </row>
    <row r="59" spans="1:9" ht="12.75" customHeight="1">
      <c r="A59" s="152"/>
      <c r="B59" s="152"/>
      <c r="C59" s="152"/>
      <c r="D59" s="152"/>
      <c r="E59" s="204" t="s">
        <v>989</v>
      </c>
      <c r="F59" s="83"/>
      <c r="G59" s="203">
        <f>conc_CaSO4_sat_sys</f>
        <v>1.548902366060775</v>
      </c>
      <c r="H59" s="181"/>
      <c r="I59" s="202"/>
    </row>
    <row r="60" spans="1:9" ht="12.75" customHeight="1">
      <c r="A60" s="152"/>
      <c r="B60" s="152"/>
      <c r="C60" s="152"/>
      <c r="D60" s="152"/>
      <c r="E60" s="204" t="s">
        <v>4195</v>
      </c>
      <c r="F60" s="83"/>
      <c r="G60" s="203">
        <f>conc_BaSO4_sat_sys</f>
        <v>22.221742129219081</v>
      </c>
      <c r="H60" s="181"/>
      <c r="I60" s="202"/>
    </row>
    <row r="61" spans="1:9" ht="12.75" customHeight="1">
      <c r="A61" s="152"/>
      <c r="B61" s="152"/>
      <c r="C61" s="152"/>
      <c r="D61" s="152"/>
      <c r="E61" s="204" t="s">
        <v>4196</v>
      </c>
      <c r="F61" s="83"/>
      <c r="G61" s="203">
        <f>conc_SrSO4_sat_sys</f>
        <v>0.25598552211159958</v>
      </c>
      <c r="H61" s="181"/>
      <c r="I61" s="202"/>
    </row>
    <row r="62" spans="1:9" ht="12.75" customHeight="1">
      <c r="A62" s="152"/>
      <c r="B62" s="152"/>
      <c r="C62" s="152"/>
      <c r="D62" s="152"/>
      <c r="E62" s="204" t="s">
        <v>990</v>
      </c>
      <c r="F62" s="83"/>
      <c r="G62" s="203">
        <f>conc_CaF2_sat_sys</f>
        <v>0.90731210350441549</v>
      </c>
      <c r="H62" s="182"/>
      <c r="I62" s="202"/>
    </row>
    <row r="63" spans="1:9" ht="12.75" customHeight="1">
      <c r="A63" s="152"/>
      <c r="B63" s="152"/>
      <c r="C63" s="152"/>
      <c r="D63" s="152"/>
      <c r="E63" s="204" t="s">
        <v>988</v>
      </c>
      <c r="F63" s="83"/>
      <c r="G63" s="203">
        <f>conc_SiO2_sat_sys</f>
        <v>0.18249161562809987</v>
      </c>
      <c r="H63" s="182"/>
      <c r="I63" s="202"/>
    </row>
    <row r="64" spans="1:9" ht="12.75" customHeight="1">
      <c r="A64" s="152"/>
      <c r="B64" s="152"/>
      <c r="C64" s="152" t="b">
        <f ca="1">(scaling_recommend=1)</f>
        <v>0</v>
      </c>
      <c r="D64" s="152" t="str">
        <f ca="1">CHOOSE(scaling_recommend,"OK","Saturation too high; use basic antiscalant.","Saturation too high; use premium antiscalant.","Saturation too high; decrease recovery and rerun.")</f>
        <v>Saturation too high; use premium antiscalant.</v>
      </c>
      <c r="E64" s="183"/>
      <c r="F64" s="177"/>
      <c r="G64" s="1245" t="str">
        <f ca="1">IF(C64,"Scaling OK.",D64)</f>
        <v>Saturation too high; use premium antiscalant.</v>
      </c>
      <c r="H64" s="1246"/>
      <c r="I64" s="202"/>
    </row>
    <row r="65" spans="1:9" ht="12.75" customHeight="1">
      <c r="A65" s="152"/>
      <c r="B65" s="152"/>
      <c r="C65" s="152"/>
      <c r="D65" s="152"/>
      <c r="E65" s="163"/>
      <c r="I65" s="202"/>
    </row>
    <row r="66" spans="1:9" ht="12.75" customHeight="1">
      <c r="A66" s="152"/>
      <c r="B66" s="152"/>
      <c r="C66" s="152"/>
      <c r="D66" s="152"/>
      <c r="E66" s="164" t="s">
        <v>2638</v>
      </c>
    </row>
    <row r="67" spans="1:9" ht="12.75" customHeight="1">
      <c r="A67" s="152"/>
      <c r="B67" s="152"/>
      <c r="C67" s="152"/>
      <c r="D67" s="152"/>
      <c r="E67" s="225" t="s">
        <v>987</v>
      </c>
    </row>
    <row r="68" spans="1:9" ht="12.75" customHeight="1">
      <c r="A68" s="152"/>
      <c r="B68" s="152"/>
      <c r="C68" s="152"/>
      <c r="D68" s="152"/>
      <c r="E68" s="163"/>
      <c r="H68" s="174" t="s">
        <v>2685</v>
      </c>
    </row>
    <row r="69" spans="1:9" ht="12.75" customHeight="1">
      <c r="A69" s="152"/>
      <c r="B69" s="152"/>
      <c r="C69" s="152" t="b">
        <f>AND(df_units&lt;&gt;"",design_flow_I&gt;0)</f>
        <v>1</v>
      </c>
      <c r="D69" s="152" t="str">
        <f>IF(C69,"OK","Flow inputs incomplete")</f>
        <v>OK</v>
      </c>
      <c r="E69" s="841" t="s">
        <v>2639</v>
      </c>
      <c r="F69" s="842" t="s">
        <v>2187</v>
      </c>
      <c r="G69" s="843">
        <v>2.1520000000000001</v>
      </c>
      <c r="H69" s="844" t="s">
        <v>6505</v>
      </c>
    </row>
    <row r="70" spans="1:9" ht="12.75" customHeight="1">
      <c r="A70" s="152"/>
      <c r="B70" s="152"/>
      <c r="C70" s="152" t="b">
        <f>AND(af_units&lt;&gt;"",average_flow_I&gt;0,average_flow&lt;=design_flow,average_flow&gt;=design_flow*min_avg_flow)</f>
        <v>1</v>
      </c>
      <c r="D70" s="152" t="str">
        <f>IF(C70,"OK",IF(average_flow&gt;design_flow,"The average flow should not be greater than design flow",IF(average_flow&lt;design_flow*min_avg_flow,"The average flow must be at least " &amp; min_avg_flow &amp; " times design flow","Flow inputs incomplete")))</f>
        <v>OK</v>
      </c>
      <c r="E70" s="845" t="s">
        <v>2682</v>
      </c>
      <c r="F70" s="846" t="s">
        <v>2191</v>
      </c>
      <c r="G70" s="847">
        <v>2.1520000000000001</v>
      </c>
      <c r="H70" s="848" t="s">
        <v>6505</v>
      </c>
    </row>
    <row r="71" spans="1:9">
      <c r="A71" s="152"/>
      <c r="B71" s="152"/>
      <c r="C71" s="152" t="b">
        <f ca="1">IF(ISERROR(max_temp),FALSE,AND(T_feed&gt;0,T_feed&lt;max_temp))</f>
        <v>1</v>
      </c>
      <c r="D71" s="152" t="str">
        <f ca="1">IF(C71,"OK",IF(ISERROR(max_temp),"Please choose a membrane element","Feed temperature must be between 0 and " &amp; TEXT(max_temp,"0") &amp; " degrees C"))</f>
        <v>OK</v>
      </c>
      <c r="E71" s="942" t="s">
        <v>3603</v>
      </c>
      <c r="F71" s="846" t="s">
        <v>68</v>
      </c>
      <c r="G71" s="847">
        <v>15</v>
      </c>
      <c r="H71" s="850" t="s">
        <v>41</v>
      </c>
    </row>
    <row r="72" spans="1:9">
      <c r="A72" s="152"/>
      <c r="B72" s="152"/>
      <c r="C72" s="152"/>
      <c r="D72" s="152"/>
      <c r="E72" s="942" t="s">
        <v>6510</v>
      </c>
      <c r="F72" s="846" t="s">
        <v>3504</v>
      </c>
      <c r="G72" s="847" t="s">
        <v>3270</v>
      </c>
      <c r="H72" s="850" t="s">
        <v>5448</v>
      </c>
    </row>
    <row r="73" spans="1:9">
      <c r="A73" s="152"/>
      <c r="B73" s="152"/>
      <c r="C73" s="152"/>
      <c r="D73" s="152"/>
      <c r="E73" s="851" t="s">
        <v>1157</v>
      </c>
      <c r="F73" s="852"/>
      <c r="G73" s="853"/>
      <c r="H73" s="854"/>
    </row>
    <row r="74" spans="1:9" ht="14">
      <c r="A74" s="152"/>
      <c r="B74" s="152"/>
      <c r="C74" s="152"/>
      <c r="D74" s="152"/>
      <c r="E74" s="855" t="s">
        <v>2683</v>
      </c>
      <c r="F74" s="852"/>
      <c r="G74" s="856">
        <f>IF(ISERROR(design_flow),"",IF(df_units="gpm",design_flow_rate, design_flow))</f>
        <v>2.1520000000000001</v>
      </c>
      <c r="H74" s="857" t="str">
        <f>IF(df_units="","",df_units)</f>
        <v>MGD</v>
      </c>
      <c r="I74" s="875" t="str">
        <f>"Current bypass percentage is "&amp;TEXT(bp_pct,"0%")&amp;". It may be revised in the Critical Design Assumptions."</f>
        <v>Current bypass percentage is 0%. It may be revised in the Critical Design Assumptions.</v>
      </c>
    </row>
    <row r="75" spans="1:9" ht="14">
      <c r="A75" s="152"/>
      <c r="B75" s="152"/>
      <c r="C75" s="152"/>
      <c r="D75" s="152"/>
      <c r="E75" s="855" t="s">
        <v>2684</v>
      </c>
      <c r="F75" s="852"/>
      <c r="G75" s="856">
        <f>IF(ISERROR(design_flow),"",IF(df_units="gpm",bp_flow_rate, bp_flow_rate*60*24/10^6))</f>
        <v>0</v>
      </c>
      <c r="H75" s="857" t="str">
        <f>IF(df_units="","",df_units)</f>
        <v>MGD</v>
      </c>
      <c r="I75" s="1061" t="s">
        <v>690</v>
      </c>
    </row>
    <row r="76" spans="1:9">
      <c r="C76" s="172" t="b">
        <f ca="1">AND(C69,C70,C71)</f>
        <v>1</v>
      </c>
      <c r="D76" s="172" t="str">
        <f ca="1">IF(C76,"OK",IF(NOT(C69),D69,IF(NOT(C70),D70,D71)))</f>
        <v>OK</v>
      </c>
      <c r="E76" s="858"/>
      <c r="F76" s="859"/>
      <c r="G76" s="1230" t="str">
        <f ca="1">IF(C76,"System size inputs OK",D76)</f>
        <v>System size inputs OK</v>
      </c>
      <c r="H76" s="1231"/>
    </row>
    <row r="77" spans="1:9">
      <c r="E77" s="170"/>
      <c r="F77" s="192"/>
      <c r="G77" s="193"/>
      <c r="H77" s="194"/>
    </row>
    <row r="78" spans="1:9">
      <c r="C78" s="172" t="b">
        <f ca="1">IF(OR(ISERROR(element_index),ISERROR(water_index)),FALSE,OR(max_feed_SDI=0,max_feed_SDI&gt;=feed_sdi))</f>
        <v>1</v>
      </c>
      <c r="D78" s="172" t="str">
        <f ca="1">IF(C78,"OK",IF(LEN(element_I)=0,"Please choose a membrane element.",IF(ISERROR(element_index),"Invalid element--please choose another.",IF(ISERROR(water_index),"Invalid feed water--please choose another.","Maximum feed SDI for this element is " &amp; TEXT(max_feed_SDI,"0.0") &amp; "."))))</f>
        <v>OK</v>
      </c>
      <c r="E78" s="865" t="s">
        <v>207</v>
      </c>
      <c r="F78" s="842" t="s">
        <v>3774</v>
      </c>
      <c r="G78" s="843" t="s">
        <v>5197</v>
      </c>
      <c r="H78" s="960" t="s">
        <v>5448</v>
      </c>
    </row>
    <row r="79" spans="1:9">
      <c r="C79" s="172" t="b">
        <f>IF(ISBLANK(op_trains_I),TRUE,IF(ISERROR(op_trains_I),FALSE,IF(NOT(ISNUMBER(op_trains_I)),FALSE,IF(op_trains_I&lt;=0,FALSE,IF(ISERROR(total_area_op),FALSE,TRUE)))))</f>
        <v>1</v>
      </c>
      <c r="D79" s="172" t="str">
        <f>IF(ISBLANK(op_trains_I),"OK",IF(OR(ISERROR(op_trains_I),NOT(ISNUMBER(op_trains_I))),"Please enter a positive number of trains or clear the cell.",IF(op_trains_I&lt;=0,"Please enter a positive number of trains or clear the cell.",IF(ISERROR(total_area_op),"Cannot stage successfully. Please adjust the number of trains, recovery rate, or target flux.","OK"))))</f>
        <v>OK</v>
      </c>
      <c r="E79" s="942" t="s">
        <v>4347</v>
      </c>
      <c r="F79" s="846" t="s">
        <v>4350</v>
      </c>
      <c r="G79" s="860"/>
      <c r="H79" s="850" t="s">
        <v>4355</v>
      </c>
      <c r="I79" s="875" t="s">
        <v>4375</v>
      </c>
    </row>
    <row r="80" spans="1:9">
      <c r="C80" s="172" t="b">
        <f ca="1">IF(C78,AND(target_recovery&gt;0,target_recovery&lt;100,n_stages&lt;=3),TRUE)</f>
        <v>1</v>
      </c>
      <c r="D80" s="172" t="str">
        <f ca="1">IF(C80,"OK",IF(OR(target_recovery&lt;=0,target_recovery&gt;=1),"Target recovery must be between 0% and 100%.","Can't achieve target recovery in three stages. Decrease recovery or increase the allowable recovery per element."))</f>
        <v>OK</v>
      </c>
      <c r="E80" s="942" t="s">
        <v>206</v>
      </c>
      <c r="F80" s="846" t="s">
        <v>1764</v>
      </c>
      <c r="G80" s="861">
        <v>0.75</v>
      </c>
      <c r="H80" s="862"/>
      <c r="I80" s="875" t="str">
        <f ca="1">IF(ISERROR(element_index),"","Typical " &amp; sys_element_type &amp; " recovery is " &amp; min_sys_recovery*100 &amp; "-" &amp; max_sys_recovery*100 &amp; "%." &amp; IF(design_flow&lt;0.5," Small systems may use lower recoveries.",""))</f>
        <v>Typical RO recovery is 50-85%.</v>
      </c>
    </row>
    <row r="81" spans="2:9">
      <c r="C81" s="172" t="b">
        <f ca="1">IF(ISERROR(water_index),FALSE,AND(design_flux&lt;=flux_max,design_flux&gt;=flux_min))</f>
        <v>1</v>
      </c>
      <c r="D81" s="172" t="str">
        <f ca="1">IF(C81,"OK",IF(ISERROR(water_index),"Please choose a feed water.",IF(design_flux&gt;flux_max,"Flux must be below "&amp;flux_max&amp;" gfd.","Flux must be greater than "&amp;flux_min&amp;" gfd.")))</f>
        <v>OK</v>
      </c>
      <c r="E81" s="942" t="s">
        <v>2093</v>
      </c>
      <c r="F81" s="846" t="s">
        <v>516</v>
      </c>
      <c r="G81" s="847">
        <v>12</v>
      </c>
      <c r="H81" s="850" t="s">
        <v>1950</v>
      </c>
      <c r="I81" s="875" t="str">
        <f ca="1">IF(ISERROR(water_index),"","Flux should be between " &amp; TEXT(flux_min,"0") &amp; " and " &amp; TEXT(flux_max,"0") &amp; " gfd, based on feed SDI. You may change these limits by following the link below.")</f>
        <v>Flux should be between 10 and 16 gfd, based on feed SDI. You may change these limits by following the link below.</v>
      </c>
    </row>
    <row r="82" spans="2:9" ht="14">
      <c r="E82" s="863" t="s">
        <v>5180</v>
      </c>
      <c r="F82" s="852"/>
      <c r="G82" s="856">
        <f ca="1">IF(ISERROR(sys_element_area_I),"",sys_element_area_I)</f>
        <v>400</v>
      </c>
      <c r="H82" s="877" t="s">
        <v>4310</v>
      </c>
      <c r="I82" s="1061" t="s">
        <v>266</v>
      </c>
    </row>
    <row r="83" spans="2:9" ht="14">
      <c r="E83" s="855" t="str">
        <f>"Total system area"&amp;IF(ISERROR(redundancy),"",IF(redundancy=1," (before redundancy)",""))</f>
        <v>Total system area</v>
      </c>
      <c r="F83" s="852"/>
      <c r="G83" s="856" t="str">
        <f ca="1">IF(OR(ISERROR(total_area_op),ISERROR(redundancy)),"",TEXT(total_area_op,"0,000"))</f>
        <v>182,400</v>
      </c>
      <c r="H83" s="877" t="s">
        <v>4310</v>
      </c>
      <c r="I83" s="875" t="str">
        <f>"Note:" &amp; " Decreasing the target recovery rate or increasing the design flux will decrease salt passage of the system."</f>
        <v>Note: Decreasing the target recovery rate or increasing the design flux will decrease salt passage of the system.</v>
      </c>
    </row>
    <row r="84" spans="2:9" ht="14">
      <c r="E84" s="855" t="str">
        <f>"Number of trains"&amp;IF(ISERROR(redundancy),"",IF(redundancy=1," (before redundancy)",""))</f>
        <v>Number of trains</v>
      </c>
      <c r="F84" s="852"/>
      <c r="G84" s="856">
        <f ca="1">IF(ISERROR(op_trains),"",op_trains)</f>
        <v>2</v>
      </c>
      <c r="H84" s="877" t="s">
        <v>4355</v>
      </c>
      <c r="I84" s="175"/>
    </row>
    <row r="85" spans="2:9" ht="14">
      <c r="E85" s="855" t="s">
        <v>0</v>
      </c>
      <c r="F85" s="852"/>
      <c r="G85" s="856" t="str">
        <f ca="1">IF(OR(ISERROR(n_stages),ISERROR(train_config),ISERROR(nves_1)),"",IF(n_stages&gt;1,train_config,nves_1))</f>
        <v>25:13</v>
      </c>
      <c r="H85" s="877" t="str">
        <f ca="1">IF(OR(ISERROR(n_stages),ISERROR(train_config),ISERROR(nves_1)),"",IF(n_stages&gt;1,"","vessels in parallel"))</f>
        <v/>
      </c>
    </row>
    <row r="86" spans="2:9" ht="14">
      <c r="E86" s="855" t="s">
        <v>5182</v>
      </c>
      <c r="F86" s="852"/>
      <c r="G86" s="856">
        <f ca="1">IF(ISERROR(el_per_vess),"",IF(el_per_vess&gt;0,el_per_vess,""))</f>
        <v>6</v>
      </c>
      <c r="H86" s="877" t="s">
        <v>5181</v>
      </c>
    </row>
    <row r="87" spans="2:9">
      <c r="C87" s="172" t="b">
        <f ca="1">AND(C78,C80,C81,C79)</f>
        <v>1</v>
      </c>
      <c r="D87" s="172" t="str">
        <f ca="1">IF(C87,"OK",IF(NOT(C78),D78,IF(NOT(C80),D80,IF(NOT(C81),D81,D79))))</f>
        <v>OK</v>
      </c>
      <c r="E87" s="864"/>
      <c r="F87" s="859"/>
      <c r="H87" s="876" t="str">
        <f ca="1">IF(C87,"Train design inputs OK.",D87)</f>
        <v>Train design inputs OK.</v>
      </c>
    </row>
    <row r="88" spans="2:9">
      <c r="E88" s="195"/>
      <c r="F88" s="196"/>
      <c r="G88" s="197"/>
      <c r="H88" s="198"/>
    </row>
    <row r="89" spans="2:9">
      <c r="C89" s="172" t="b">
        <f>(LEN(pretreat_acid_I)&gt;0)</f>
        <v>1</v>
      </c>
      <c r="D89" s="172" t="str">
        <f>IF(C89,"OK","Choose an acid pretreatment option.")</f>
        <v>OK</v>
      </c>
      <c r="E89" s="865" t="s">
        <v>6512</v>
      </c>
      <c r="F89" s="842" t="s">
        <v>1792</v>
      </c>
      <c r="G89" s="843" t="s">
        <v>810</v>
      </c>
      <c r="H89" s="960" t="s">
        <v>5448</v>
      </c>
    </row>
    <row r="90" spans="2:9">
      <c r="B90" s="172" t="b">
        <f>(pretreat_acid&lt;&gt;0)</f>
        <v>1</v>
      </c>
      <c r="C90" s="172" t="b">
        <f ca="1">IF(B90,AND(LEN(treated_feed_pH)&gt;0,treated_feed_pH&gt;=min_feed_pH,treated_feed_pH&lt;feed_pH),TRUE)</f>
        <v>1</v>
      </c>
      <c r="D90" s="172" t="str">
        <f ca="1">IF(C90,"OK",IF(LEN(treated_feed_pH)=0,"Enter the pH of the feed after acid addition.",IF(treated_feed_pH&lt;min_feed_pH,"Minimum feed pH for this element is "&amp; TEXT(min_feed_pH,"0.0")&amp;".","The treated feed pH must be less than the original feed pH.")))</f>
        <v>OK</v>
      </c>
      <c r="E90" s="942" t="s">
        <v>1793</v>
      </c>
      <c r="F90" s="846" t="s">
        <v>1794</v>
      </c>
      <c r="G90" s="866">
        <v>6.5</v>
      </c>
      <c r="H90" s="850" t="str">
        <f>IF(B90,"S.U.","not required")</f>
        <v>S.U.</v>
      </c>
    </row>
    <row r="91" spans="2:9">
      <c r="C91" s="172" t="b">
        <f>IF(LEN(use_antiscalant_I)&gt;0,NOT(ISERROR(use_antiscalant)),FALSE)</f>
        <v>1</v>
      </c>
      <c r="D91" s="172" t="str">
        <f>IF(C91,"OK",IF(LEN(use_antiscalant_I)&gt;0,"Choose an antiscalant option from the dropdown.","Choose an antiscalant option."))</f>
        <v>OK</v>
      </c>
      <c r="E91" s="942" t="s">
        <v>6511</v>
      </c>
      <c r="F91" s="846" t="s">
        <v>2128</v>
      </c>
      <c r="G91" s="866" t="s">
        <v>4230</v>
      </c>
      <c r="H91" s="850" t="s">
        <v>5448</v>
      </c>
    </row>
    <row r="92" spans="2:9" ht="14">
      <c r="E92" s="863" t="s">
        <v>1157</v>
      </c>
      <c r="F92" s="852"/>
      <c r="G92" s="1232" t="str">
        <f ca="1">IF(AND(pretreat_acid&gt;0,C89,C90),"pH adjustment requires " &amp; TEXT(acid_dose,"0") &amp; " mg/L " &amp; pretreat_acid_I &amp; ", at " &amp; TEXT(CHOOSE(pretreat_acid,acid_strength_HCl,acid_strength_H2SO4),"0%") &amp; " strength.","")</f>
        <v>pH adjustment requires 55 mg/L H2SO4, at 78% strength.</v>
      </c>
      <c r="H92" s="1233"/>
    </row>
    <row r="93" spans="2:9">
      <c r="C93" s="172" t="b">
        <f ca="1">AND(C89,C90,C91)</f>
        <v>1</v>
      </c>
      <c r="D93" s="172" t="str">
        <f ca="1">IF(NOT(C89),D89,IF(NOT(C90),D90,IF(NOT(C91),D91,"OK")))</f>
        <v>OK</v>
      </c>
      <c r="E93" s="858"/>
      <c r="F93" s="859"/>
      <c r="G93" s="1230" t="str">
        <f ca="1">IF(C93,"Pretreatment inputs OK",D93)</f>
        <v>Pretreatment inputs OK</v>
      </c>
      <c r="H93" s="1231"/>
    </row>
    <row r="94" spans="2:9">
      <c r="E94" s="200"/>
      <c r="F94" s="196"/>
      <c r="G94" s="197"/>
      <c r="H94" s="198"/>
    </row>
    <row r="95" spans="2:9">
      <c r="C95" s="172" t="b">
        <f>IF(ISBLANK(clean_interval_override),TRUE,IF(ISNUMBER(clean_interval_override),AND(clean_interval_override&lt;=cleaning_freq_max,clean_interval_override&gt;0),FALSE))</f>
        <v>1</v>
      </c>
      <c r="D95" s="172" t="str">
        <f>IF(C95,"OK",IF(ISNUMBER(clean_interval_override),IF(clean_interval_override&gt;cleaning_freq_max,"Cleaning must take place at least every " &amp; cleaning_freq_max &amp; " months.","Cleaning interval must be greater than zero."),"Cleaning interval must be between 0 and " &amp; cleaning_freq_max &amp; " months."))</f>
        <v>OK</v>
      </c>
      <c r="E95" s="865" t="s">
        <v>2499</v>
      </c>
      <c r="F95" s="842" t="s">
        <v>2505</v>
      </c>
      <c r="G95" s="867"/>
      <c r="H95" s="868" t="s">
        <v>4124</v>
      </c>
      <c r="I95" s="875" t="s">
        <v>2500</v>
      </c>
    </row>
    <row r="96" spans="2:9" ht="14">
      <c r="E96" s="863" t="s">
        <v>1157</v>
      </c>
      <c r="F96" s="852"/>
      <c r="G96" s="1232" t="str">
        <f ca="1">IF(ISERROR(water_index),"","Default cleaning interval is " &amp; default_cleaning_interval &amp; " months, based on feed SDI.")</f>
        <v>Default cleaning interval is 3 months, based on feed SDI.</v>
      </c>
      <c r="H96" s="1233"/>
      <c r="I96" s="175"/>
    </row>
    <row r="97" spans="2:9">
      <c r="C97" s="172" t="b">
        <f>C95</f>
        <v>1</v>
      </c>
      <c r="D97" s="172" t="str">
        <f>IF(C97,"OK",D95)</f>
        <v>OK</v>
      </c>
      <c r="E97" s="869"/>
      <c r="F97" s="859"/>
      <c r="G97" s="1230" t="str">
        <f>IF(C97,"Cleaning input OK",D97)</f>
        <v>Cleaning input OK</v>
      </c>
      <c r="H97" s="1231"/>
    </row>
    <row r="98" spans="2:9">
      <c r="E98" s="462"/>
      <c r="F98" s="463"/>
      <c r="G98" s="464"/>
      <c r="H98" s="465"/>
    </row>
    <row r="99" spans="2:9" ht="14">
      <c r="C99" s="172" t="b">
        <f>IF(ISERROR(res_s2_opt),FALSE,OR(res_s2_opt&lt;=4, res_s2_opt=6))</f>
        <v>1</v>
      </c>
      <c r="D99" s="172" t="str">
        <f>IF(C99,"OK",IF(ISERROR(res_s2_opt),"Please choose a residuals discharge option.",CHOOSE(res_s2_opt,"OK","OK","OK","OK","Concentrate recycling is not currently implemented.","OK")))</f>
        <v>OK</v>
      </c>
      <c r="E99" s="865" t="s">
        <v>2131</v>
      </c>
      <c r="F99" s="842" t="s">
        <v>2340</v>
      </c>
      <c r="G99" s="843" t="s">
        <v>5114</v>
      </c>
      <c r="H99" s="868" t="s">
        <v>3839</v>
      </c>
      <c r="I99" s="175" t="str">
        <f>IF(C99,CHOOSE(res_s2_opt,"","","To accurately estimate evaporation pond area, please check the climate parameters on the Critical Design Assumptions sheet. Please also review the climate assumptions on the O&amp;M Assumptions and Indirect Assumptions sheets.","","Note: Simulation and feed pressure determination do not take recycling into account.","",""),"")</f>
        <v/>
      </c>
    </row>
    <row r="100" spans="2:9" ht="13.5" customHeight="1">
      <c r="B100" s="172" t="b">
        <f>IF(ISERROR(res_s2_opt),FALSE,(res_s2_opt&lt;&gt;3))</f>
        <v>1</v>
      </c>
      <c r="C100" s="172" t="b">
        <f>IF(NOT(B100),TRUE,IF(ISERROR(res_s1_opt),FALSE,NOT(AND(OR(res_s2_opt=5,res_s2_opt=6),res_s1_opt=4))))</f>
        <v>1</v>
      </c>
      <c r="D100" s="172" t="str">
        <f>IF(C100,"OK",IF(ISERROR(res_s1_opt),"Please choose a flow equalization option.","Flow equalization is required."))</f>
        <v>OK</v>
      </c>
      <c r="E100" s="942" t="s">
        <v>2344</v>
      </c>
      <c r="F100" s="846" t="s">
        <v>2341</v>
      </c>
      <c r="G100" s="866" t="s">
        <v>954</v>
      </c>
      <c r="H100" s="850" t="str">
        <f>IF(B100,"&lt;--pick one","not required")</f>
        <v>&lt;--pick one</v>
      </c>
      <c r="I100" s="467" t="str">
        <f>IF(ISERROR(res_s2_opt),"",IF(res_s2_opt=3,"Click here to go to the evaporation pond climate parameters.",""))</f>
        <v/>
      </c>
    </row>
    <row r="101" spans="2:9" ht="13.5" customHeight="1">
      <c r="C101" s="172" t="b">
        <f>NOT(ISERROR(solids_haz))</f>
        <v>1</v>
      </c>
      <c r="D101" s="172" t="str">
        <f>IF(C101,"OK","Solids characteristics required.")</f>
        <v>OK</v>
      </c>
      <c r="E101" s="849" t="str">
        <f>"Characteristics of "&amp;IF(ISERROR(res_s2_opt),"solids",IF(res_s2_opt=3,"solids","spent membranes"))&amp;" for disposal"</f>
        <v>Characteristics of spent membranes for disposal</v>
      </c>
      <c r="F101" s="846" t="s">
        <v>2342</v>
      </c>
      <c r="G101" s="866" t="s">
        <v>950</v>
      </c>
      <c r="H101" s="850" t="s">
        <v>3839</v>
      </c>
      <c r="I101" s="175" t="str">
        <f>IF(res_s2_opt=3,"Applies to both spent membranes and evaporation pond solids","")</f>
        <v/>
      </c>
    </row>
    <row r="102" spans="2:9" ht="13.5" customHeight="1">
      <c r="C102" s="172" t="b">
        <f>AND(C99:C101)</f>
        <v>1</v>
      </c>
      <c r="D102" s="172" t="str">
        <f>IF(NOT(C99),D99,IF(NOT(C100),D100,D101))</f>
        <v>OK</v>
      </c>
      <c r="E102" s="870"/>
      <c r="F102" s="859"/>
      <c r="G102" s="1230" t="str">
        <f>IF(C102,"Residuals inputs OK" &amp; IF(res_s2_opt=5," (see note about recycling)",""),D102)</f>
        <v>Residuals inputs OK</v>
      </c>
      <c r="H102" s="1231"/>
    </row>
    <row r="103" spans="2:9">
      <c r="E103" s="170"/>
      <c r="F103" s="192"/>
      <c r="G103" s="192"/>
      <c r="H103" s="170"/>
    </row>
    <row r="104" spans="2:9" ht="14">
      <c r="C104" s="190" t="b">
        <f>NOT(ISERROR(component_level))</f>
        <v>1</v>
      </c>
      <c r="D104" s="191" t="str">
        <f>IF(C104,"OK","Invalid component level input")</f>
        <v>OK</v>
      </c>
      <c r="E104" s="874" t="s">
        <v>3819</v>
      </c>
      <c r="F104" s="842" t="s">
        <v>3654</v>
      </c>
      <c r="G104" s="867" t="s">
        <v>3599</v>
      </c>
      <c r="H104" s="868" t="s">
        <v>429</v>
      </c>
      <c r="I104" s="175" t="s">
        <v>3656</v>
      </c>
    </row>
    <row r="105" spans="2:9" ht="14">
      <c r="C105" s="190" t="b">
        <f>NOT(ISERROR(manual))</f>
        <v>1</v>
      </c>
      <c r="D105" s="191" t="str">
        <f>IF(C105,"OK","Invalid system automation input")</f>
        <v>OK</v>
      </c>
      <c r="E105" s="849" t="s">
        <v>428</v>
      </c>
      <c r="F105" s="846" t="s">
        <v>3586</v>
      </c>
      <c r="G105" s="860"/>
      <c r="H105" s="850" t="s">
        <v>429</v>
      </c>
      <c r="I105" s="175" t="s">
        <v>561</v>
      </c>
    </row>
    <row r="106" spans="2:9">
      <c r="C106" s="925"/>
      <c r="D106" s="925"/>
      <c r="E106" s="928" t="s">
        <v>5395</v>
      </c>
      <c r="F106" s="929" t="s">
        <v>5396</v>
      </c>
      <c r="G106" s="930" t="s">
        <v>3270</v>
      </c>
      <c r="H106" s="850" t="s">
        <v>429</v>
      </c>
      <c r="I106" s="606" t="s">
        <v>5397</v>
      </c>
    </row>
    <row r="107" spans="2:9">
      <c r="C107" s="925"/>
      <c r="D107" s="925"/>
      <c r="E107" s="931" t="s">
        <v>5398</v>
      </c>
      <c r="F107" s="932" t="s">
        <v>5399</v>
      </c>
      <c r="G107" s="930" t="s">
        <v>3270</v>
      </c>
      <c r="H107" s="850" t="s">
        <v>429</v>
      </c>
      <c r="I107" s="606" t="s">
        <v>5400</v>
      </c>
    </row>
    <row r="108" spans="2:9">
      <c r="C108" s="925"/>
      <c r="D108" s="925"/>
      <c r="E108" s="928" t="s">
        <v>5401</v>
      </c>
      <c r="F108" s="929" t="s">
        <v>5402</v>
      </c>
      <c r="G108" s="930" t="s">
        <v>3270</v>
      </c>
      <c r="H108" s="850" t="s">
        <v>429</v>
      </c>
      <c r="I108" s="606" t="s">
        <v>5403</v>
      </c>
    </row>
    <row r="109" spans="2:9" ht="14">
      <c r="E109" s="871" t="s">
        <v>5179</v>
      </c>
      <c r="F109" s="852"/>
      <c r="G109" s="856" t="str">
        <f>IF(component_level=2,"high cost",IF(component_level=1,"mid cost","low cost"))</f>
        <v>low cost</v>
      </c>
      <c r="H109" s="872"/>
    </row>
    <row r="110" spans="2:9" ht="14">
      <c r="E110" s="873" t="s">
        <v>5160</v>
      </c>
      <c r="F110" s="852"/>
      <c r="G110" s="856" t="str">
        <f>IF(manual=1,"manual",IF(manual=2,"semi-automated",IF(manual=3,"fully automated")))</f>
        <v>fully automated</v>
      </c>
      <c r="H110" s="872"/>
    </row>
    <row r="111" spans="2:9" ht="12.75" customHeight="1">
      <c r="C111" s="190" t="b">
        <f>AND(C104:C105)</f>
        <v>1</v>
      </c>
      <c r="D111" s="191" t="str">
        <f>IF(NOT(C104),D104,IF(NOT(C105),D105,"OK"))</f>
        <v>OK</v>
      </c>
      <c r="E111" s="870"/>
      <c r="F111" s="859"/>
      <c r="G111" s="1230" t="str">
        <f>IF(C111,"Automation and component level inputs OK",D111)</f>
        <v>Automation and component level inputs OK</v>
      </c>
      <c r="H111" s="1231"/>
    </row>
  </sheetData>
  <mergeCells count="15">
    <mergeCell ref="I38:I42"/>
    <mergeCell ref="G111:H111"/>
    <mergeCell ref="G97:H97"/>
    <mergeCell ref="G96:H96"/>
    <mergeCell ref="I3:I4"/>
    <mergeCell ref="H3:H4"/>
    <mergeCell ref="G76:H76"/>
    <mergeCell ref="I28:I30"/>
    <mergeCell ref="G28:H30"/>
    <mergeCell ref="G64:H64"/>
    <mergeCell ref="G93:H93"/>
    <mergeCell ref="G92:H92"/>
    <mergeCell ref="G102:H102"/>
    <mergeCell ref="G39:H42"/>
    <mergeCell ref="I45:I47"/>
  </mergeCells>
  <phoneticPr fontId="0" type="noConversion"/>
  <conditionalFormatting sqref="E104:E108">
    <cfRule type="expression" dxfId="2017" priority="9" stopIfTrue="1">
      <formula>NOT($B104)</formula>
    </cfRule>
  </conditionalFormatting>
  <conditionalFormatting sqref="G80:H80 G91:H91 G97:H97 G76:H76 G66:H66 G102:H102 G111:H111 H87 H109:H110">
    <cfRule type="expression" dxfId="2016" priority="10" stopIfTrue="1">
      <formula>NOT($C66)</formula>
    </cfRule>
  </conditionalFormatting>
  <conditionalFormatting sqref="G39:H40">
    <cfRule type="expression" dxfId="2015" priority="11" stopIfTrue="1">
      <formula>NOT($C41)</formula>
    </cfRule>
  </conditionalFormatting>
  <conditionalFormatting sqref="G41:H41">
    <cfRule type="expression" dxfId="2014" priority="14" stopIfTrue="1">
      <formula>NOT($C44)</formula>
    </cfRule>
  </conditionalFormatting>
  <conditionalFormatting sqref="G42:H42">
    <cfRule type="expression" dxfId="2013" priority="15" stopIfTrue="1">
      <formula>NOT($C47)</formula>
    </cfRule>
  </conditionalFormatting>
  <conditionalFormatting sqref="E43:H65">
    <cfRule type="expression" dxfId="2012" priority="18" stopIfTrue="1">
      <formula>IF($C$41,IF(ISERROR(inputs_are_current),TRUE,OR(comp_in_prog,NOT(inputs_are_current))),TRUE)</formula>
    </cfRule>
  </conditionalFormatting>
  <conditionalFormatting sqref="E100">
    <cfRule type="expression" dxfId="2011" priority="7" stopIfTrue="1">
      <formula>NOT($B$100)</formula>
    </cfRule>
  </conditionalFormatting>
  <conditionalFormatting sqref="G100">
    <cfRule type="expression" dxfId="2010" priority="6" stopIfTrue="1">
      <formula>NOT($B$100)</formula>
    </cfRule>
  </conditionalFormatting>
  <conditionalFormatting sqref="G28:H30">
    <cfRule type="expression" dxfId="2009" priority="5404" stopIfTrue="1">
      <formula>tune_in_prog</formula>
    </cfRule>
    <cfRule type="cellIs" dxfId="2008" priority="5405" stopIfTrue="1" operator="notEqual">
      <formula>"input complete -- results ready"</formula>
    </cfRule>
  </conditionalFormatting>
  <conditionalFormatting sqref="E34">
    <cfRule type="cellIs" dxfId="2007" priority="5" operator="notEqual">
      <formula>"Results are ready--no need to click button"</formula>
    </cfRule>
  </conditionalFormatting>
  <conditionalFormatting sqref="G93:H93">
    <cfRule type="expression" dxfId="2006" priority="4">
      <formula>NOT($C$93)</formula>
    </cfRule>
  </conditionalFormatting>
  <conditionalFormatting sqref="G90">
    <cfRule type="expression" dxfId="2005" priority="3">
      <formula>NOT($B$90)</formula>
    </cfRule>
  </conditionalFormatting>
  <conditionalFormatting sqref="H90">
    <cfRule type="expression" dxfId="2004" priority="2">
      <formula>NOT($B$90)</formula>
    </cfRule>
  </conditionalFormatting>
  <conditionalFormatting sqref="E90">
    <cfRule type="expression" dxfId="2003" priority="1">
      <formula>NOT($B$90)</formula>
    </cfRule>
  </conditionalFormatting>
  <dataValidations count="18">
    <dataValidation type="list" allowBlank="1" showInputMessage="1" showErrorMessage="1" errorTitle="WBS RO-NF " error="Please make a selection from the dropdown list." sqref="G105" xr:uid="{00000000-0002-0000-0300-000000000000}">
      <formula1>auto_list</formula1>
    </dataValidation>
    <dataValidation type="list" allowBlank="1" showInputMessage="1" showErrorMessage="1" error="Please make a selection from the list." sqref="G101" xr:uid="{00000000-0002-0000-0300-000001000000}">
      <formula1>solids_haz_list</formula1>
    </dataValidation>
    <dataValidation type="list" allowBlank="1" showInputMessage="1" showErrorMessage="1" errorTitle="WBS RO-NF " error="Please make a selection from the dropdown list." sqref="G104" xr:uid="{00000000-0002-0000-0300-000002000000}">
      <formula1>component_level_list</formula1>
    </dataValidation>
    <dataValidation type="list" allowBlank="1" showInputMessage="1" showErrorMessage="1" error="Please make a selection from the list." sqref="G99" xr:uid="{00000000-0002-0000-0300-000003000000}">
      <formula1>res_s2_opt_list</formula1>
    </dataValidation>
    <dataValidation type="list" allowBlank="1" showInputMessage="1" showErrorMessage="1" error="Please make a selection from the list." sqref="G100" xr:uid="{00000000-0002-0000-0300-000004000000}">
      <formula1>res_s1_opt_list</formula1>
    </dataValidation>
    <dataValidation type="list" allowBlank="1" showErrorMessage="1" error="Please select from the dropdown list." sqref="G89" xr:uid="{00000000-0002-0000-0300-000005000000}">
      <formula1>pretreat_acid_list</formula1>
    </dataValidation>
    <dataValidation type="list" allowBlank="1" showErrorMessage="1" error="Please select from the dropdown list." sqref="G91" xr:uid="{00000000-0002-0000-0300-000006000000}">
      <formula1>use_antiscalant_list</formula1>
    </dataValidation>
    <dataValidation type="list" allowBlank="1" showInputMessage="1" showErrorMessage="1" error="Invalid selection. Please make a selection from the list." sqref="G78" xr:uid="{00000000-0002-0000-0300-000007000000}">
      <formula1>element_names</formula1>
    </dataValidation>
    <dataValidation type="list" allowBlank="1" showInputMessage="1" showErrorMessage="1" error="Invalid selection. Please make a selection from the list." sqref="H69" xr:uid="{00000000-0002-0000-0300-000008000000}">
      <formula1>df_unit_list</formula1>
    </dataValidation>
    <dataValidation type="list" allowBlank="1" showInputMessage="1" showErrorMessage="1" error="Invalid selection. Please make a selection from the list." sqref="H70" xr:uid="{00000000-0002-0000-0300-000009000000}">
      <formula1>af_unit_list</formula1>
    </dataValidation>
    <dataValidation type="list" allowBlank="1" showInputMessage="1" showErrorMessage="1" error="Invalid selection. Please make a selection from the list." sqref="G72" xr:uid="{00000000-0002-0000-0300-00000A000000}">
      <formula1>redundancy_list</formula1>
    </dataValidation>
    <dataValidation type="list" allowBlank="1" showInputMessage="1" showErrorMessage="1" errorTitle="WBS RO-NF " error="Please make a selection from the dropdown list." sqref="G106:G108" xr:uid="{00000000-0002-0000-0300-00000B000000}">
      <formula1>yes_no_valid</formula1>
    </dataValidation>
    <dataValidation type="decimal" operator="greaterThan" allowBlank="1" showInputMessage="1" showErrorMessage="1" error="Select temperature greater than 0" sqref="G71" xr:uid="{00000000-0002-0000-0300-00000C000000}">
      <formula1>0</formula1>
    </dataValidation>
    <dataValidation type="whole" operator="greaterThan" allowBlank="1" showInputMessage="1" showErrorMessage="1" sqref="G79" xr:uid="{00000000-0002-0000-0300-00000D000000}">
      <formula1>0</formula1>
    </dataValidation>
    <dataValidation type="decimal" allowBlank="1" showInputMessage="1" showErrorMessage="1" sqref="G80" xr:uid="{00000000-0002-0000-0300-00000E000000}">
      <formula1>0</formula1>
      <formula2>1</formula2>
    </dataValidation>
    <dataValidation type="decimal" operator="greaterThan" allowBlank="1" showInputMessage="1" showErrorMessage="1" error="Enter flux value between 16 and 20 gfd" sqref="G81" xr:uid="{00000000-0002-0000-0300-00000F000000}">
      <formula1>0</formula1>
    </dataValidation>
    <dataValidation type="decimal" operator="greaterThan" allowBlank="1" showInputMessage="1" showErrorMessage="1" sqref="G70 G95 G69" xr:uid="{00000000-0002-0000-0300-000010000000}">
      <formula1>0</formula1>
    </dataValidation>
    <dataValidation type="decimal" allowBlank="1" showInputMessage="1" showErrorMessage="1" sqref="G90" xr:uid="{00000000-0002-0000-0300-000011000000}">
      <formula1>2</formula1>
      <formula2>14</formula2>
    </dataValidation>
  </dataValidations>
  <hyperlinks>
    <hyperlink ref="I32" location="link_output" display="Results Summary (See OUTPUT sheet for details)" xr:uid="{00000000-0004-0000-0300-000000000000}"/>
    <hyperlink ref="I82" location="flux_limits" display="Click here to go to the flux limits on the Critical Design Assumptions sheet." xr:uid="{00000000-0004-0000-0300-000001000000}"/>
    <hyperlink ref="I100" location="ep_climate_params" display="Click here to go to the evaporation pond climate parameters." xr:uid="{00000000-0004-0000-0300-000002000000}"/>
    <hyperlink ref="I5" location="'Water Specs'!A1" display="Click here to go to the Water Specs sheet." xr:uid="{00000000-0004-0000-0300-000003000000}"/>
    <hyperlink ref="I75" location="bp_pct" display="Click here to go to the bypass setting on the Critical Design Assumptions sheet." xr:uid="{00000000-0004-0000-0300-000004000000}"/>
  </hyperlinks>
  <pageMargins left="0.2" right="0.21" top="1" bottom="1" header="0.5" footer="0.5"/>
  <pageSetup scale="3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13" r:id="rId4" name="Drop Down 145">
              <controlPr defaultSize="0" autoLine="0" autoPict="0" macro="[0]!ClearDesign">
                <anchor moveWithCells="1">
                  <from>
                    <xdr:col>6</xdr:col>
                    <xdr:colOff>63500</xdr:colOff>
                    <xdr:row>2</xdr:row>
                    <xdr:rowOff>76200</xdr:rowOff>
                  </from>
                  <to>
                    <xdr:col>6</xdr:col>
                    <xdr:colOff>2133600</xdr:colOff>
                    <xdr:row>3</xdr:row>
                    <xdr:rowOff>127000</xdr:rowOff>
                  </to>
                </anchor>
              </controlPr>
            </control>
          </mc:Choice>
        </mc:AlternateContent>
        <mc:AlternateContent xmlns:mc="http://schemas.openxmlformats.org/markup-compatibility/2006">
          <mc:Choice Requires="x14">
            <control shapeId="7357" r:id="rId5" name="cmdSimulate">
              <controlPr defaultSize="0" print="0" autoFill="0" autoPict="0" macro="[0]!Sheet1.cmdSimulate_Click">
                <anchor moveWithCells="1" sizeWithCells="1">
                  <from>
                    <xdr:col>5</xdr:col>
                    <xdr:colOff>0</xdr:colOff>
                    <xdr:row>31</xdr:row>
                    <xdr:rowOff>88900</xdr:rowOff>
                  </from>
                  <to>
                    <xdr:col>7</xdr:col>
                    <xdr:colOff>1905000</xdr:colOff>
                    <xdr:row>36</xdr:row>
                    <xdr:rowOff>12700</xdr:rowOff>
                  </to>
                </anchor>
              </controlPr>
            </control>
          </mc:Choice>
        </mc:AlternateContent>
        <mc:AlternateContent xmlns:mc="http://schemas.openxmlformats.org/markup-compatibility/2006">
          <mc:Choice Requires="x14">
            <control shapeId="7358" r:id="rId6" name="cmdDesign1">
              <controlPr defaultSize="0" print="0" autoFill="0" autoPict="0" macro="[0]!Sheet1.cmdDesign1_Click">
                <anchor moveWithCells="1" sizeWithCells="1">
                  <from>
                    <xdr:col>5</xdr:col>
                    <xdr:colOff>0</xdr:colOff>
                    <xdr:row>16</xdr:row>
                    <xdr:rowOff>0</xdr:rowOff>
                  </from>
                  <to>
                    <xdr:col>6</xdr:col>
                    <xdr:colOff>2159000</xdr:colOff>
                    <xdr:row>17</xdr:row>
                    <xdr:rowOff>0</xdr:rowOff>
                  </to>
                </anchor>
              </controlPr>
            </control>
          </mc:Choice>
        </mc:AlternateContent>
        <mc:AlternateContent xmlns:mc="http://schemas.openxmlformats.org/markup-compatibility/2006">
          <mc:Choice Requires="x14">
            <control shapeId="7359" r:id="rId7" name="cmdDesign2">
              <controlPr defaultSize="0" print="0" autoFill="0" autoPict="0" macro="[0]!Sheet1.cmdDesign2_Click">
                <anchor moveWithCells="1" sizeWithCells="1">
                  <from>
                    <xdr:col>5</xdr:col>
                    <xdr:colOff>0</xdr:colOff>
                    <xdr:row>17</xdr:row>
                    <xdr:rowOff>0</xdr:rowOff>
                  </from>
                  <to>
                    <xdr:col>6</xdr:col>
                    <xdr:colOff>2159000</xdr:colOff>
                    <xdr:row>18</xdr:row>
                    <xdr:rowOff>0</xdr:rowOff>
                  </to>
                </anchor>
              </controlPr>
            </control>
          </mc:Choice>
        </mc:AlternateContent>
        <mc:AlternateContent xmlns:mc="http://schemas.openxmlformats.org/markup-compatibility/2006">
          <mc:Choice Requires="x14">
            <control shapeId="7360" r:id="rId8" name="cmdDesign3">
              <controlPr defaultSize="0" print="0" autoFill="0" autoPict="0" macro="[0]!Sheet1.cmdDesign3_Click">
                <anchor moveWithCells="1" sizeWithCells="1">
                  <from>
                    <xdr:col>5</xdr:col>
                    <xdr:colOff>0</xdr:colOff>
                    <xdr:row>18</xdr:row>
                    <xdr:rowOff>0</xdr:rowOff>
                  </from>
                  <to>
                    <xdr:col>6</xdr:col>
                    <xdr:colOff>2159000</xdr:colOff>
                    <xdr:row>19</xdr:row>
                    <xdr:rowOff>0</xdr:rowOff>
                  </to>
                </anchor>
              </controlPr>
            </control>
          </mc:Choice>
        </mc:AlternateContent>
        <mc:AlternateContent xmlns:mc="http://schemas.openxmlformats.org/markup-compatibility/2006">
          <mc:Choice Requires="x14">
            <control shapeId="7361" r:id="rId9" name="cmdDesign4">
              <controlPr defaultSize="0" print="0" autoFill="0" autoPict="0" macro="[0]!Sheet1.cmdDesign4_Click">
                <anchor moveWithCells="1" sizeWithCells="1">
                  <from>
                    <xdr:col>5</xdr:col>
                    <xdr:colOff>0</xdr:colOff>
                    <xdr:row>19</xdr:row>
                    <xdr:rowOff>0</xdr:rowOff>
                  </from>
                  <to>
                    <xdr:col>6</xdr:col>
                    <xdr:colOff>2159000</xdr:colOff>
                    <xdr:row>20</xdr:row>
                    <xdr:rowOff>0</xdr:rowOff>
                  </to>
                </anchor>
              </controlPr>
            </control>
          </mc:Choice>
        </mc:AlternateContent>
        <mc:AlternateContent xmlns:mc="http://schemas.openxmlformats.org/markup-compatibility/2006">
          <mc:Choice Requires="x14">
            <control shapeId="7362" r:id="rId10" name="cmdDesign5">
              <controlPr defaultSize="0" print="0" autoFill="0" autoPict="0" macro="[0]!Sheet1.cmdDesign5_Click">
                <anchor moveWithCells="1" sizeWithCells="1">
                  <from>
                    <xdr:col>5</xdr:col>
                    <xdr:colOff>0</xdr:colOff>
                    <xdr:row>20</xdr:row>
                    <xdr:rowOff>0</xdr:rowOff>
                  </from>
                  <to>
                    <xdr:col>6</xdr:col>
                    <xdr:colOff>2159000</xdr:colOff>
                    <xdr:row>21</xdr:row>
                    <xdr:rowOff>0</xdr:rowOff>
                  </to>
                </anchor>
              </controlPr>
            </control>
          </mc:Choice>
        </mc:AlternateContent>
        <mc:AlternateContent xmlns:mc="http://schemas.openxmlformats.org/markup-compatibility/2006">
          <mc:Choice Requires="x14">
            <control shapeId="7363" r:id="rId11" name="cmdDesign6">
              <controlPr defaultSize="0" print="0" autoFill="0" autoPict="0" macro="[0]!Sheet1.cmdDesign6_Click">
                <anchor moveWithCells="1" sizeWithCells="1">
                  <from>
                    <xdr:col>5</xdr:col>
                    <xdr:colOff>0</xdr:colOff>
                    <xdr:row>21</xdr:row>
                    <xdr:rowOff>0</xdr:rowOff>
                  </from>
                  <to>
                    <xdr:col>6</xdr:col>
                    <xdr:colOff>2159000</xdr:colOff>
                    <xdr:row>22</xdr:row>
                    <xdr:rowOff>0</xdr:rowOff>
                  </to>
                </anchor>
              </controlPr>
            </control>
          </mc:Choice>
        </mc:AlternateContent>
        <mc:AlternateContent xmlns:mc="http://schemas.openxmlformats.org/markup-compatibility/2006">
          <mc:Choice Requires="x14">
            <control shapeId="7364" r:id="rId12" name="cmdDesign7">
              <controlPr defaultSize="0" print="0" autoFill="0" autoPict="0" macro="[0]!Sheet1.cmdDesign7_Click">
                <anchor moveWithCells="1" sizeWithCells="1">
                  <from>
                    <xdr:col>5</xdr:col>
                    <xdr:colOff>0</xdr:colOff>
                    <xdr:row>22</xdr:row>
                    <xdr:rowOff>0</xdr:rowOff>
                  </from>
                  <to>
                    <xdr:col>6</xdr:col>
                    <xdr:colOff>2159000</xdr:colOff>
                    <xdr:row>23</xdr:row>
                    <xdr:rowOff>0</xdr:rowOff>
                  </to>
                </anchor>
              </controlPr>
            </control>
          </mc:Choice>
        </mc:AlternateContent>
        <mc:AlternateContent xmlns:mc="http://schemas.openxmlformats.org/markup-compatibility/2006">
          <mc:Choice Requires="x14">
            <control shapeId="7365" r:id="rId13" name="cmdDesign8">
              <controlPr defaultSize="0" print="0" autoFill="0" autoPict="0" macro="[0]!Sheet1.cmdDesign8_Click">
                <anchor moveWithCells="1" sizeWithCells="1">
                  <from>
                    <xdr:col>5</xdr:col>
                    <xdr:colOff>0</xdr:colOff>
                    <xdr:row>23</xdr:row>
                    <xdr:rowOff>0</xdr:rowOff>
                  </from>
                  <to>
                    <xdr:col>6</xdr:col>
                    <xdr:colOff>2159000</xdr:colOff>
                    <xdr:row>24</xdr:row>
                    <xdr:rowOff>0</xdr:rowOff>
                  </to>
                </anchor>
              </controlPr>
            </control>
          </mc:Choice>
        </mc:AlternateContent>
        <mc:AlternateContent xmlns:mc="http://schemas.openxmlformats.org/markup-compatibility/2006">
          <mc:Choice Requires="x14">
            <control shapeId="7366" r:id="rId14" name="cmdClearDesign">
              <controlPr defaultSize="0" print="0" autoFill="0" autoPict="0" macro="[0]!Sheet1.cmdClearDesign_Click">
                <anchor moveWithCells="1" sizeWithCells="1">
                  <from>
                    <xdr:col>5</xdr:col>
                    <xdr:colOff>0</xdr:colOff>
                    <xdr:row>24</xdr:row>
                    <xdr:rowOff>0</xdr:rowOff>
                  </from>
                  <to>
                    <xdr:col>6</xdr:col>
                    <xdr:colOff>2159000</xdr:colOff>
                    <xdr:row>25</xdr:row>
                    <xdr:rowOff>0</xdr:rowOff>
                  </to>
                </anchor>
              </controlPr>
            </control>
          </mc:Choice>
        </mc:AlternateContent>
        <mc:AlternateContent xmlns:mc="http://schemas.openxmlformats.org/markup-compatibility/2006">
          <mc:Choice Requires="x14">
            <control shapeId="7368" r:id="rId15" name="Button 200">
              <controlPr defaultSize="0" print="0" autoFill="0" autoPict="0" macro="[0]!Sheet1.cmdTDB_Click">
                <anchor moveWithCells="1" sizeWithCells="1">
                  <from>
                    <xdr:col>7</xdr:col>
                    <xdr:colOff>0</xdr:colOff>
                    <xdr:row>0</xdr:row>
                    <xdr:rowOff>38100</xdr:rowOff>
                  </from>
                  <to>
                    <xdr:col>8</xdr:col>
                    <xdr:colOff>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A493"/>
  <sheetViews>
    <sheetView tabSelected="1" zoomScaleNormal="100" zoomScaleSheetLayoutView="75" workbookViewId="0"/>
  </sheetViews>
  <sheetFormatPr baseColWidth="10" defaultColWidth="9.1640625" defaultRowHeight="13"/>
  <cols>
    <col min="1" max="1" width="13.1640625" style="957" customWidth="1"/>
    <col min="2" max="2" width="58.83203125" style="1030" customWidth="1"/>
    <col min="3" max="3" width="15.5" style="957" customWidth="1"/>
    <col min="4" max="4" width="10.83203125" style="1031" customWidth="1"/>
    <col min="5" max="5" width="22.5" style="957" customWidth="1"/>
    <col min="6" max="6" width="10.5" style="957" customWidth="1"/>
    <col min="7" max="7" width="17.83203125" style="957" customWidth="1"/>
    <col min="8" max="8" width="9.5" style="957" customWidth="1"/>
    <col min="9" max="9" width="15.1640625" style="957" customWidth="1"/>
    <col min="10" max="10" width="15.5" style="957" customWidth="1"/>
    <col min="11" max="12" width="11.5" style="957" customWidth="1"/>
    <col min="13" max="13" width="92.5" style="1089" customWidth="1"/>
    <col min="14" max="22" width="7.5" style="1095" customWidth="1"/>
    <col min="23" max="24" width="14.5" style="1089" customWidth="1"/>
    <col min="25" max="25" width="9.1640625" style="1089"/>
    <col min="26" max="26" width="11.5" style="1089" bestFit="1" customWidth="1"/>
    <col min="27" max="27" width="10.5" style="957" bestFit="1" customWidth="1"/>
    <col min="28" max="16384" width="9.1640625" style="957"/>
  </cols>
  <sheetData>
    <row r="1" spans="1:27" s="816" customFormat="1" ht="16">
      <c r="A1" s="1032" t="s">
        <v>991</v>
      </c>
      <c r="B1" s="1033"/>
      <c r="C1" s="1034"/>
      <c r="D1" s="1034"/>
      <c r="E1" s="308"/>
      <c r="F1" s="152"/>
      <c r="G1" s="152"/>
      <c r="H1" s="152"/>
      <c r="I1" s="152"/>
      <c r="J1" s="152"/>
      <c r="K1" s="152"/>
      <c r="L1" s="152"/>
      <c r="M1" s="917"/>
      <c r="N1" s="917"/>
      <c r="O1" s="917"/>
      <c r="P1" s="917"/>
      <c r="Q1" s="917"/>
      <c r="R1" s="917"/>
      <c r="S1" s="917"/>
      <c r="T1" s="917"/>
      <c r="U1" s="917"/>
      <c r="V1" s="917"/>
      <c r="W1" s="917"/>
      <c r="X1" s="917"/>
      <c r="Y1" s="917"/>
      <c r="Z1" s="917"/>
      <c r="AA1" s="152"/>
    </row>
    <row r="2" spans="1:27">
      <c r="A2" s="1035"/>
      <c r="B2" s="236" t="s">
        <v>5296</v>
      </c>
      <c r="C2" s="1036" t="s">
        <v>1990</v>
      </c>
      <c r="D2" s="1037" t="s">
        <v>2961</v>
      </c>
      <c r="E2" s="1039"/>
      <c r="F2" s="261"/>
      <c r="G2" s="261"/>
      <c r="H2" s="309"/>
      <c r="I2" s="261"/>
      <c r="J2" s="257"/>
      <c r="K2" s="257"/>
      <c r="L2" s="257"/>
      <c r="M2" s="1094"/>
      <c r="N2" s="534"/>
      <c r="O2" s="1094"/>
      <c r="P2" s="917"/>
      <c r="Q2" s="917"/>
      <c r="R2" s="917"/>
      <c r="S2" s="917"/>
      <c r="T2" s="917"/>
      <c r="U2" s="917"/>
      <c r="V2" s="917"/>
      <c r="W2" s="1094"/>
      <c r="X2" s="1094"/>
      <c r="Y2" s="1094"/>
      <c r="Z2" s="1094"/>
      <c r="AA2" s="257"/>
    </row>
    <row r="3" spans="1:27">
      <c r="A3" s="261"/>
      <c r="B3" s="376" t="s">
        <v>992</v>
      </c>
      <c r="C3" s="260" t="str">
        <f ca="1">sys_element_type</f>
        <v>RO</v>
      </c>
      <c r="D3" s="306"/>
      <c r="E3" s="259"/>
      <c r="F3" s="261"/>
      <c r="G3" s="261"/>
      <c r="H3" s="309"/>
      <c r="I3" s="261"/>
      <c r="J3" s="257"/>
      <c r="K3" s="257"/>
      <c r="L3" s="257"/>
      <c r="M3" s="1094"/>
      <c r="N3" s="534"/>
      <c r="O3" s="1094"/>
      <c r="P3" s="917"/>
      <c r="Q3" s="917"/>
      <c r="R3" s="917"/>
      <c r="S3" s="917"/>
      <c r="T3" s="917"/>
      <c r="U3" s="917"/>
      <c r="V3" s="917"/>
      <c r="W3" s="1094"/>
      <c r="X3" s="1094"/>
      <c r="Y3" s="1094"/>
      <c r="Z3" s="1094"/>
      <c r="AA3" s="257"/>
    </row>
    <row r="4" spans="1:27">
      <c r="A4" s="261"/>
      <c r="B4" s="376" t="s">
        <v>3741</v>
      </c>
      <c r="C4" s="260" t="str">
        <f>IF(design_flow&lt;1,"small","large")</f>
        <v>large</v>
      </c>
      <c r="D4" s="306"/>
      <c r="E4" s="259"/>
      <c r="F4" s="261"/>
      <c r="G4" s="261"/>
      <c r="H4" s="309"/>
      <c r="I4" s="261"/>
      <c r="J4" s="257"/>
      <c r="K4" s="257"/>
      <c r="L4" s="257"/>
      <c r="M4" s="1094"/>
      <c r="N4" s="917"/>
      <c r="O4" s="917"/>
      <c r="P4" s="917"/>
      <c r="Q4" s="917"/>
      <c r="R4" s="917"/>
      <c r="S4" s="917"/>
      <c r="T4" s="917"/>
      <c r="U4" s="917"/>
      <c r="V4" s="917"/>
      <c r="W4" s="1094"/>
      <c r="X4" s="1094"/>
      <c r="Y4" s="1094"/>
      <c r="Z4" s="1094"/>
      <c r="AA4" s="257"/>
    </row>
    <row r="5" spans="1:27">
      <c r="A5" s="261"/>
      <c r="B5" s="317" t="s">
        <v>2188</v>
      </c>
      <c r="C5" s="260">
        <f>design_flow</f>
        <v>2.1520000000000001</v>
      </c>
      <c r="D5" s="317" t="s">
        <v>1093</v>
      </c>
      <c r="E5" s="324"/>
      <c r="F5" s="260"/>
      <c r="G5" s="317"/>
      <c r="H5" s="309"/>
      <c r="I5" s="261"/>
      <c r="J5" s="257"/>
      <c r="K5" s="257"/>
      <c r="L5" s="257"/>
      <c r="M5" s="1094"/>
      <c r="N5" s="917"/>
      <c r="O5" s="917"/>
      <c r="P5" s="917"/>
      <c r="Q5" s="917"/>
      <c r="R5" s="917"/>
      <c r="S5" s="917"/>
      <c r="T5" s="917"/>
      <c r="U5" s="917"/>
      <c r="V5" s="917"/>
      <c r="W5" s="1094"/>
      <c r="X5" s="1094"/>
      <c r="Y5" s="1094"/>
      <c r="Z5" s="1094"/>
      <c r="AA5" s="257"/>
    </row>
    <row r="6" spans="1:27">
      <c r="A6" s="261"/>
      <c r="B6" s="1040" t="s">
        <v>2190</v>
      </c>
      <c r="C6" s="258">
        <f>average_flow</f>
        <v>2.1520000000000001</v>
      </c>
      <c r="D6" s="919" t="s">
        <v>1093</v>
      </c>
      <c r="E6" s="920"/>
      <c r="F6" s="260"/>
      <c r="G6" s="317"/>
      <c r="H6" s="309"/>
      <c r="I6" s="261"/>
      <c r="J6" s="257"/>
      <c r="K6" s="257"/>
      <c r="L6" s="257"/>
      <c r="M6" s="1094"/>
      <c r="N6" s="917"/>
      <c r="O6" s="917"/>
      <c r="P6" s="917"/>
      <c r="Q6" s="917"/>
      <c r="R6" s="917"/>
      <c r="S6" s="917"/>
      <c r="T6" s="917"/>
      <c r="U6" s="917"/>
      <c r="V6" s="917"/>
      <c r="W6" s="1094"/>
      <c r="X6" s="1094"/>
      <c r="Y6" s="1094"/>
      <c r="Z6" s="1094"/>
      <c r="AA6" s="257"/>
    </row>
    <row r="7" spans="1:27">
      <c r="A7" s="261"/>
      <c r="B7" s="1041" t="s">
        <v>2093</v>
      </c>
      <c r="C7" s="260">
        <f>design_flux</f>
        <v>12</v>
      </c>
      <c r="D7" s="307" t="s">
        <v>1950</v>
      </c>
      <c r="E7" s="921"/>
      <c r="F7" s="260"/>
      <c r="G7" s="317"/>
      <c r="H7" s="309"/>
      <c r="I7" s="261"/>
      <c r="J7" s="257"/>
      <c r="K7" s="257"/>
      <c r="L7" s="257"/>
      <c r="M7" s="1094"/>
      <c r="N7" s="917"/>
      <c r="O7" s="917"/>
      <c r="P7" s="917"/>
      <c r="Q7" s="917"/>
      <c r="R7" s="917"/>
      <c r="S7" s="917"/>
      <c r="T7" s="917"/>
      <c r="U7" s="917"/>
      <c r="V7" s="917"/>
      <c r="W7" s="1094"/>
      <c r="X7" s="1094"/>
      <c r="Y7" s="1094"/>
      <c r="Z7" s="1094"/>
      <c r="AA7" s="257"/>
    </row>
    <row r="8" spans="1:27">
      <c r="A8" s="261"/>
      <c r="B8" s="1041" t="s">
        <v>689</v>
      </c>
      <c r="C8" s="943" t="str">
        <f ca="1">INDEX(water_names,water_index,1)</f>
        <v>Low Qual SW</v>
      </c>
      <c r="D8" s="944"/>
      <c r="E8" s="921"/>
      <c r="F8" s="260"/>
      <c r="G8" s="317"/>
      <c r="H8" s="309"/>
      <c r="I8" s="261"/>
      <c r="J8" s="257"/>
      <c r="K8" s="257"/>
      <c r="L8" s="257"/>
      <c r="M8" s="1094"/>
      <c r="N8" s="917"/>
      <c r="O8" s="917"/>
      <c r="P8" s="917"/>
      <c r="Q8" s="917"/>
      <c r="R8" s="917"/>
      <c r="S8" s="917"/>
      <c r="T8" s="917"/>
      <c r="U8" s="917"/>
      <c r="V8" s="917"/>
      <c r="W8" s="1094"/>
      <c r="X8" s="1094"/>
      <c r="Y8" s="1094"/>
      <c r="Z8" s="1094"/>
      <c r="AA8" s="257"/>
    </row>
    <row r="9" spans="1:27">
      <c r="A9" s="261"/>
      <c r="B9" s="1041" t="s">
        <v>940</v>
      </c>
      <c r="C9" s="262">
        <f ca="1">total_area</f>
        <v>182400</v>
      </c>
      <c r="D9" s="307" t="s">
        <v>3331</v>
      </c>
      <c r="E9" s="921"/>
      <c r="F9" s="260"/>
      <c r="G9" s="317"/>
      <c r="H9" s="309"/>
      <c r="I9" s="261"/>
      <c r="J9" s="257"/>
      <c r="K9" s="257"/>
      <c r="L9" s="257"/>
      <c r="M9" s="1094"/>
      <c r="N9" s="917"/>
      <c r="O9" s="917"/>
      <c r="P9" s="917"/>
      <c r="Q9" s="917"/>
      <c r="R9" s="917"/>
      <c r="S9" s="917"/>
      <c r="T9" s="917"/>
      <c r="U9" s="917"/>
      <c r="V9" s="917"/>
      <c r="W9" s="1094"/>
      <c r="X9" s="1094"/>
      <c r="Y9" s="1094"/>
      <c r="Z9" s="1094"/>
      <c r="AA9" s="257"/>
    </row>
    <row r="10" spans="1:27">
      <c r="A10" s="261"/>
      <c r="B10" s="1041" t="s">
        <v>1586</v>
      </c>
      <c r="C10" s="314">
        <f>recovery_rate</f>
        <v>0.75578769258126599</v>
      </c>
      <c r="D10" s="307"/>
      <c r="E10" s="921"/>
      <c r="F10" s="260"/>
      <c r="G10" s="317"/>
      <c r="H10" s="309"/>
      <c r="I10" s="261"/>
      <c r="J10" s="257"/>
      <c r="K10" s="257"/>
      <c r="L10" s="257"/>
      <c r="M10" s="1094"/>
      <c r="N10" s="917"/>
      <c r="O10" s="917"/>
      <c r="P10" s="917"/>
      <c r="Q10" s="917"/>
      <c r="R10" s="917"/>
      <c r="S10" s="917"/>
      <c r="T10" s="917"/>
      <c r="U10" s="917"/>
      <c r="V10" s="917"/>
      <c r="W10" s="1094"/>
      <c r="X10" s="1094"/>
      <c r="Y10" s="1094"/>
      <c r="Z10" s="1094"/>
      <c r="AA10" s="257"/>
    </row>
    <row r="11" spans="1:27">
      <c r="A11" s="261"/>
      <c r="B11" s="1041" t="s">
        <v>0</v>
      </c>
      <c r="C11" s="260" t="str">
        <f ca="1">IF(n_stages&gt;1,train_config,nves_1 &amp; " vessels in parallel")</f>
        <v>25:13</v>
      </c>
      <c r="D11" s="307"/>
      <c r="E11" s="921"/>
      <c r="F11" s="260"/>
      <c r="G11" s="317"/>
      <c r="H11" s="309"/>
      <c r="I11" s="261"/>
      <c r="J11" s="257"/>
      <c r="K11" s="257"/>
      <c r="L11" s="257"/>
      <c r="M11" s="1094"/>
      <c r="N11" s="917"/>
      <c r="O11" s="917"/>
      <c r="P11" s="917"/>
      <c r="Q11" s="917"/>
      <c r="R11" s="917"/>
      <c r="S11" s="917"/>
      <c r="T11" s="917"/>
      <c r="U11" s="917"/>
      <c r="V11" s="917"/>
      <c r="W11" s="1094"/>
      <c r="X11" s="1094"/>
      <c r="Y11" s="1094"/>
      <c r="Z11" s="1094"/>
      <c r="AA11" s="257"/>
    </row>
    <row r="12" spans="1:27">
      <c r="A12" s="261"/>
      <c r="B12" s="1041" t="s">
        <v>4331</v>
      </c>
      <c r="C12" s="262">
        <f ca="1">el_per_vess</f>
        <v>6</v>
      </c>
      <c r="D12" s="307"/>
      <c r="E12" s="921"/>
      <c r="F12" s="260"/>
      <c r="G12" s="317"/>
      <c r="H12" s="309"/>
      <c r="I12" s="261"/>
      <c r="J12" s="257"/>
      <c r="K12" s="257"/>
      <c r="L12" s="257"/>
      <c r="M12" s="1094"/>
      <c r="N12" s="917"/>
      <c r="O12" s="917"/>
      <c r="P12" s="917"/>
      <c r="Q12" s="917"/>
      <c r="R12" s="917"/>
      <c r="S12" s="917"/>
      <c r="T12" s="917"/>
      <c r="U12" s="917"/>
      <c r="V12" s="917"/>
      <c r="W12" s="1094"/>
      <c r="X12" s="1094"/>
      <c r="Y12" s="1094"/>
      <c r="Z12" s="1094"/>
      <c r="AA12" s="257"/>
    </row>
    <row r="13" spans="1:27">
      <c r="A13" s="261"/>
      <c r="B13" s="1041" t="s">
        <v>3541</v>
      </c>
      <c r="C13" s="262">
        <f>P_feed_try</f>
        <v>195.37119757241183</v>
      </c>
      <c r="D13" s="309" t="s">
        <v>3749</v>
      </c>
      <c r="E13" s="921"/>
      <c r="F13" s="260"/>
      <c r="G13" s="317"/>
      <c r="H13" s="309"/>
      <c r="I13" s="261"/>
      <c r="J13" s="257"/>
      <c r="K13" s="257"/>
      <c r="L13" s="257"/>
      <c r="M13" s="1094"/>
      <c r="N13" s="917"/>
      <c r="O13" s="917"/>
      <c r="P13" s="917"/>
      <c r="Q13" s="917"/>
      <c r="R13" s="917"/>
      <c r="S13" s="917"/>
      <c r="T13" s="917"/>
      <c r="U13" s="917"/>
      <c r="V13" s="917"/>
      <c r="W13" s="1094"/>
      <c r="X13" s="1094"/>
      <c r="Y13" s="1094"/>
      <c r="Z13" s="1094"/>
      <c r="AA13" s="257"/>
    </row>
    <row r="14" spans="1:27">
      <c r="A14" s="261"/>
      <c r="B14" s="309" t="s">
        <v>4333</v>
      </c>
      <c r="C14" s="262">
        <f ca="1">pump_energy</f>
        <v>1455.8251260281729</v>
      </c>
      <c r="D14" s="309" t="s">
        <v>83</v>
      </c>
      <c r="E14" s="259"/>
      <c r="F14" s="261"/>
      <c r="G14" s="261"/>
      <c r="H14" s="309"/>
      <c r="I14" s="261"/>
      <c r="J14" s="257"/>
      <c r="K14" s="257"/>
      <c r="L14" s="257"/>
      <c r="M14" s="1094"/>
      <c r="N14" s="917"/>
      <c r="O14" s="917"/>
      <c r="P14" s="917"/>
      <c r="Q14" s="917"/>
      <c r="R14" s="917"/>
      <c r="S14" s="917"/>
      <c r="T14" s="917"/>
      <c r="U14" s="917"/>
      <c r="V14" s="917"/>
      <c r="W14" s="1094"/>
      <c r="X14" s="1094"/>
      <c r="Y14" s="1094"/>
      <c r="Z14" s="1094"/>
      <c r="AA14" s="257"/>
    </row>
    <row r="15" spans="1:27">
      <c r="A15" s="261"/>
      <c r="B15" s="309" t="s">
        <v>1947</v>
      </c>
      <c r="C15" s="314">
        <f>salt_rej_sys</f>
        <v>0.99014403580115973</v>
      </c>
      <c r="D15" s="309"/>
      <c r="E15" s="259"/>
      <c r="F15" s="261"/>
      <c r="G15" s="261"/>
      <c r="H15" s="309"/>
      <c r="I15" s="261"/>
      <c r="J15" s="257"/>
      <c r="K15" s="257"/>
      <c r="L15" s="257"/>
      <c r="M15" s="1094"/>
      <c r="N15" s="917"/>
      <c r="O15" s="917"/>
      <c r="P15" s="917"/>
      <c r="Q15" s="917"/>
      <c r="R15" s="917"/>
      <c r="S15" s="917"/>
      <c r="T15" s="917"/>
      <c r="U15" s="917"/>
      <c r="V15" s="917"/>
      <c r="W15" s="1094"/>
      <c r="X15" s="1094"/>
      <c r="Y15" s="1094"/>
      <c r="Z15" s="1094"/>
      <c r="AA15" s="257"/>
    </row>
    <row r="16" spans="1:27">
      <c r="A16" s="261"/>
      <c r="B16" s="1095" t="s">
        <v>3819</v>
      </c>
      <c r="C16" s="1117" t="str">
        <f>IF(component_level=2,"high cost",IF(component_level=1,"mid cost","low cost"))</f>
        <v>low cost</v>
      </c>
      <c r="D16" s="309"/>
      <c r="E16" s="259"/>
      <c r="F16" s="261"/>
      <c r="G16" s="261"/>
      <c r="H16" s="309"/>
      <c r="I16" s="261"/>
      <c r="J16" s="257"/>
      <c r="K16" s="257"/>
      <c r="L16" s="257"/>
      <c r="M16" s="1094"/>
      <c r="N16" s="917"/>
      <c r="O16" s="917"/>
      <c r="P16" s="917"/>
      <c r="Q16" s="917"/>
      <c r="R16" s="917"/>
      <c r="S16" s="917"/>
      <c r="T16" s="917"/>
      <c r="U16" s="917"/>
      <c r="V16" s="917"/>
      <c r="W16" s="1094"/>
      <c r="X16" s="1094"/>
      <c r="Y16" s="1094"/>
      <c r="Z16" s="1094"/>
      <c r="AA16" s="257"/>
    </row>
    <row r="17" spans="1:27">
      <c r="A17" s="261"/>
      <c r="B17" s="1095" t="s">
        <v>428</v>
      </c>
      <c r="C17" s="1117" t="str">
        <f>IF(manual=1,"manual",IF(manual=2,"semi-automated",IF(manual=3,"fully automated")))</f>
        <v>fully automated</v>
      </c>
      <c r="D17" s="309"/>
      <c r="E17" s="259"/>
      <c r="F17" s="261"/>
      <c r="G17" s="261"/>
      <c r="H17" s="309"/>
      <c r="I17" s="261"/>
      <c r="J17" s="257"/>
      <c r="K17" s="257"/>
      <c r="L17" s="257"/>
      <c r="M17" s="1094"/>
      <c r="N17" s="917"/>
      <c r="O17" s="917"/>
      <c r="P17" s="917"/>
      <c r="Q17" s="917"/>
      <c r="R17" s="917"/>
      <c r="S17" s="917"/>
      <c r="T17" s="917"/>
      <c r="U17" s="917"/>
      <c r="V17" s="917"/>
      <c r="W17" s="1094"/>
      <c r="X17" s="1094"/>
      <c r="Y17" s="1094"/>
      <c r="Z17" s="1094"/>
      <c r="AA17" s="257"/>
    </row>
    <row r="18" spans="1:27">
      <c r="A18" s="261"/>
      <c r="B18" s="1042" t="str">
        <f>"Resulting Costs (in year "&amp;TEXT(current_year_cl,0)&amp;" dollars)"</f>
        <v>Resulting Costs (in year 2021 dollars)</v>
      </c>
      <c r="C18" s="309"/>
      <c r="D18" s="306"/>
      <c r="E18" s="259"/>
      <c r="F18" s="261"/>
      <c r="G18" s="261"/>
      <c r="H18" s="309"/>
      <c r="I18" s="261"/>
      <c r="J18" s="257"/>
      <c r="K18" s="257"/>
      <c r="L18" s="257"/>
      <c r="M18" s="1094"/>
      <c r="N18" s="917"/>
      <c r="O18" s="917"/>
      <c r="P18" s="917"/>
      <c r="Q18" s="917"/>
      <c r="R18" s="917"/>
      <c r="S18" s="917"/>
      <c r="T18" s="917"/>
      <c r="U18" s="917"/>
      <c r="V18" s="917"/>
      <c r="W18" s="1094"/>
      <c r="X18" s="1094"/>
      <c r="Y18" s="1094"/>
      <c r="Z18" s="1094"/>
      <c r="AA18" s="257"/>
    </row>
    <row r="19" spans="1:27">
      <c r="A19" s="261"/>
      <c r="B19" s="376" t="s">
        <v>993</v>
      </c>
      <c r="C19" s="310">
        <f ca="1">IF(input_status&lt;&gt;"input complete -- results ready","Action required",IF(missing_cost,"Missing cost!",IF(cost_buildup_error,"Error in buildup!",direct_cost)))</f>
        <v>1936173.3426575128</v>
      </c>
      <c r="D19" s="405" t="s">
        <v>1351</v>
      </c>
      <c r="E19" s="951" t="str">
        <f ca="1">IF(input_status&lt;&gt;"input complete -- results ready",IF(input_complete,"Press Generate Results","Check INPUT sheet for errors"),IF(missing_cost,"A price is not available for at least one required component. See Use? column below.",IF(cost_buildup_error,"There is an Excel error in the price for at least one component. See Use? column below.","")))</f>
        <v/>
      </c>
      <c r="F19" s="261"/>
      <c r="G19" s="261"/>
      <c r="H19" s="309"/>
      <c r="I19" s="261"/>
      <c r="J19" s="257"/>
      <c r="K19" s="257"/>
      <c r="L19" s="257"/>
      <c r="M19" s="1094"/>
      <c r="N19" s="917"/>
      <c r="O19" s="917"/>
      <c r="P19" s="917"/>
      <c r="Q19" s="917"/>
      <c r="R19" s="917"/>
      <c r="S19" s="917"/>
      <c r="T19" s="917"/>
      <c r="U19" s="917"/>
      <c r="V19" s="917"/>
      <c r="W19" s="1094"/>
      <c r="X19" s="1094"/>
      <c r="Y19" s="1094"/>
      <c r="Z19" s="1094"/>
      <c r="AA19" s="257"/>
    </row>
    <row r="20" spans="1:27">
      <c r="A20" s="261"/>
      <c r="B20" s="376" t="s">
        <v>994</v>
      </c>
      <c r="C20" s="310">
        <f ca="1">IF(input_status&lt;&gt;"input complete -- results ready","Action required",IF(missing_cost,"Missing cost!",IF(cost_buildup_error,"Error in buildup!",addon_cost)))</f>
        <v>68556.37572439044</v>
      </c>
      <c r="D20" s="405" t="s">
        <v>1351</v>
      </c>
      <c r="E20" s="259"/>
      <c r="F20" s="261"/>
      <c r="G20" s="261"/>
      <c r="H20" s="309"/>
      <c r="I20" s="261"/>
      <c r="J20" s="257"/>
      <c r="K20" s="257"/>
      <c r="L20" s="257"/>
      <c r="M20" s="1094"/>
      <c r="N20" s="917"/>
      <c r="O20" s="917"/>
      <c r="P20" s="917"/>
      <c r="Q20" s="917"/>
      <c r="R20" s="917"/>
      <c r="S20" s="917"/>
      <c r="T20" s="917"/>
      <c r="U20" s="917"/>
      <c r="V20" s="917"/>
      <c r="W20" s="1094"/>
      <c r="X20" s="1094"/>
      <c r="Y20" s="1094"/>
      <c r="Z20" s="1094"/>
      <c r="AA20" s="257"/>
    </row>
    <row r="21" spans="1:27">
      <c r="A21" s="261"/>
      <c r="B21" s="1043" t="s">
        <v>995</v>
      </c>
      <c r="C21" s="311">
        <f ca="1">IF(input_status&lt;&gt;"input complete -- results ready","Action required",IF(missing_cost,"Missing cost!",IF(cost_buildup_error,"Error in buildup!",C390)))</f>
        <v>1256778.7784273445</v>
      </c>
      <c r="D21" s="406" t="s">
        <v>1351</v>
      </c>
      <c r="E21" s="259"/>
      <c r="F21" s="261"/>
      <c r="G21" s="261"/>
      <c r="H21" s="309"/>
      <c r="I21" s="261"/>
      <c r="J21" s="257"/>
      <c r="K21" s="257"/>
      <c r="L21" s="257"/>
      <c r="M21" s="1094"/>
      <c r="N21" s="917"/>
      <c r="O21" s="917"/>
      <c r="P21" s="917"/>
      <c r="Q21" s="917"/>
      <c r="R21" s="917"/>
      <c r="S21" s="917"/>
      <c r="T21" s="917"/>
      <c r="U21" s="917"/>
      <c r="V21" s="917"/>
      <c r="W21" s="1094"/>
      <c r="X21" s="1094"/>
      <c r="Y21" s="1094"/>
      <c r="Z21" s="1094"/>
      <c r="AA21" s="257"/>
    </row>
    <row r="22" spans="1:27">
      <c r="A22" s="261"/>
      <c r="B22" s="153" t="s">
        <v>996</v>
      </c>
      <c r="C22" s="312">
        <f ca="1">IF(input_status&lt;&gt;"input complete -- results ready","Action required",IF(missing_cost,"Missing cost!",IF(cost_buildup_error,"Error in buildup!",system_cost)))</f>
        <v>3261508.4968092479</v>
      </c>
      <c r="D22" s="405" t="s">
        <v>1351</v>
      </c>
      <c r="E22" s="259"/>
      <c r="F22" s="261"/>
      <c r="G22" s="261"/>
      <c r="H22" s="309"/>
      <c r="I22" s="261"/>
      <c r="J22" s="257"/>
      <c r="K22" s="257"/>
      <c r="L22" s="257"/>
      <c r="M22" s="1094"/>
      <c r="N22" s="917"/>
      <c r="O22" s="917"/>
      <c r="P22" s="917"/>
      <c r="Q22" s="917"/>
      <c r="R22" s="917"/>
      <c r="S22" s="917"/>
      <c r="T22" s="917"/>
      <c r="U22" s="917"/>
      <c r="V22" s="917"/>
      <c r="W22" s="1094"/>
      <c r="X22" s="1094"/>
      <c r="Y22" s="1094"/>
      <c r="Z22" s="1094"/>
      <c r="AA22" s="257"/>
    </row>
    <row r="23" spans="1:27">
      <c r="A23" s="261"/>
      <c r="B23" s="622" t="str">
        <f ca="1">"Annualized Capital Cost "&amp;IF(OR(input_status&lt;&gt;"input complete -- results ready",missing_cost,cost_buildup_error),"","(per year over "&amp;useful_life&amp;" years at "&amp;discount_rate*100&amp;"%)")</f>
        <v>Annualized Capital Cost (per year over 25.9 years at 7%)</v>
      </c>
      <c r="C23" s="312">
        <f ca="1">IF(input_status&lt;&gt;"input complete -- results ready","Action required",Annualized_Capital_Cost)</f>
        <v>276186.53360022348</v>
      </c>
      <c r="D23" s="918" t="s">
        <v>1351</v>
      </c>
      <c r="E23" s="259"/>
      <c r="F23" s="261"/>
      <c r="G23" s="261"/>
      <c r="H23" s="309"/>
      <c r="I23" s="261"/>
      <c r="J23" s="257"/>
      <c r="K23" s="257"/>
      <c r="L23" s="257"/>
      <c r="M23" s="1094"/>
      <c r="N23" s="917"/>
      <c r="O23" s="917"/>
      <c r="P23" s="917"/>
      <c r="Q23" s="917"/>
      <c r="R23" s="917"/>
      <c r="S23" s="917"/>
      <c r="T23" s="917"/>
      <c r="U23" s="917"/>
      <c r="V23" s="917"/>
      <c r="W23" s="1094"/>
      <c r="X23" s="1094"/>
      <c r="Y23" s="1094"/>
      <c r="Z23" s="1094"/>
      <c r="AA23" s="257"/>
    </row>
    <row r="24" spans="1:27">
      <c r="A24" s="261"/>
      <c r="B24" s="153" t="s">
        <v>5446</v>
      </c>
      <c r="C24" s="312">
        <f ca="1">IF(input_status&lt;&gt;"input complete -- results ready","Action required",OM_cost)</f>
        <v>1107331.6809584904</v>
      </c>
      <c r="D24" s="405" t="s">
        <v>1351</v>
      </c>
      <c r="E24" s="259"/>
      <c r="F24" s="261"/>
      <c r="G24" s="261"/>
      <c r="H24" s="309"/>
      <c r="I24" s="261"/>
      <c r="J24" s="257"/>
      <c r="K24" s="257"/>
      <c r="L24" s="257"/>
      <c r="M24" s="1094"/>
      <c r="N24" s="917"/>
      <c r="O24" s="917"/>
      <c r="P24" s="917"/>
      <c r="Q24" s="917"/>
      <c r="R24" s="917"/>
      <c r="S24" s="917"/>
      <c r="T24" s="917"/>
      <c r="U24" s="917"/>
      <c r="V24" s="917"/>
      <c r="W24" s="1094"/>
      <c r="X24" s="1094"/>
      <c r="Y24" s="1094"/>
      <c r="Z24" s="1094"/>
      <c r="AA24" s="257"/>
    </row>
    <row r="25" spans="1:27">
      <c r="A25" s="261"/>
      <c r="B25" s="1088" t="str">
        <f ca="1">"Total Annualized Cost (per year"&amp;IF(OR(input_status&lt;&gt;"input complete -- results ready",ISERROR(OR(TAC_pct_cap,TAC_pct_OM))),"",", "&amp;TEXT(TAC_pct_cap,"0%")&amp;" capital, "&amp;TEXT(TAC_pct_OM,"0%")&amp;" O&amp;M")&amp;")"</f>
        <v>Total Annualized Cost (per year, 20% capital, 80% O&amp;M)</v>
      </c>
      <c r="C25" s="312">
        <f ca="1">IF(input_status&lt;&gt;"input complete -- results ready","Action required",IF(missing_cost,"Missing cost!",IF(cost_buildup_error,"Error in buildup!",Annualized_Cost)))</f>
        <v>1383518.2145587138</v>
      </c>
      <c r="D25" s="405" t="s">
        <v>1351</v>
      </c>
      <c r="E25" s="308"/>
      <c r="F25" s="314"/>
      <c r="G25" s="309"/>
      <c r="H25" s="309"/>
      <c r="I25" s="261"/>
      <c r="J25" s="257"/>
      <c r="K25" s="257"/>
      <c r="L25" s="257"/>
      <c r="M25" s="1094"/>
      <c r="N25" s="917"/>
      <c r="O25" s="917"/>
      <c r="P25" s="917"/>
      <c r="Q25" s="917"/>
      <c r="R25" s="917"/>
      <c r="S25" s="917"/>
      <c r="T25" s="917"/>
      <c r="U25" s="917"/>
      <c r="V25" s="917"/>
      <c r="W25" s="1094"/>
      <c r="X25" s="1094"/>
      <c r="Y25" s="1094"/>
      <c r="Z25" s="1094"/>
      <c r="AA25" s="257"/>
    </row>
    <row r="26" spans="1:27">
      <c r="A26" s="261"/>
      <c r="B26" s="1089" t="s">
        <v>733</v>
      </c>
      <c r="C26" s="639">
        <f ca="1">IF(input_status&lt;&gt;"input complete -- results ready","Action required",IF(missing_cost,"Missing cost!",IF(cost_buildup_error,"Error in buildup!",C466)))</f>
        <v>1.7613665714705833</v>
      </c>
      <c r="D26" s="257"/>
      <c r="E26" s="308"/>
      <c r="F26" s="314"/>
      <c r="G26" s="309"/>
      <c r="H26" s="309"/>
      <c r="I26" s="261"/>
      <c r="J26" s="257"/>
      <c r="K26" s="257"/>
      <c r="L26" s="257"/>
      <c r="M26" s="1094"/>
      <c r="N26" s="1089"/>
      <c r="O26" s="1089"/>
      <c r="P26" s="1089"/>
      <c r="Q26" s="1089"/>
      <c r="R26" s="1089"/>
      <c r="S26" s="1089"/>
      <c r="T26" s="1089"/>
      <c r="U26" s="1089"/>
      <c r="V26" s="1089"/>
      <c r="Y26" s="1094"/>
      <c r="Z26" s="1094"/>
      <c r="AA26" s="257"/>
    </row>
    <row r="27" spans="1:27">
      <c r="A27" s="1038"/>
      <c r="B27" s="1044" t="s">
        <v>5560</v>
      </c>
      <c r="C27" s="311">
        <f ca="1">IF(input_status&lt;&gt;"input complete -- results ready","Action required",IF(missing_cost,"Missing cost!",IF(cost_buildup_error,"Error in buildup!",C467)))</f>
        <v>243.46857127131344</v>
      </c>
      <c r="D27" s="1038"/>
      <c r="E27" s="313"/>
      <c r="F27" s="314"/>
      <c r="G27" s="309"/>
      <c r="H27" s="309"/>
      <c r="I27" s="261"/>
      <c r="J27" s="257"/>
      <c r="K27" s="257"/>
      <c r="L27" s="257"/>
      <c r="M27" s="1094"/>
      <c r="N27" s="1089"/>
      <c r="O27" s="1089"/>
      <c r="P27" s="1089"/>
      <c r="Q27" s="1089"/>
      <c r="R27" s="1089"/>
      <c r="S27" s="1089"/>
      <c r="T27" s="1089"/>
      <c r="U27" s="1089"/>
      <c r="V27" s="1089"/>
      <c r="Y27" s="1094"/>
      <c r="Z27" s="1094"/>
      <c r="AA27" s="257"/>
    </row>
    <row r="28" spans="1:27">
      <c r="A28" s="257"/>
      <c r="B28" s="298"/>
      <c r="C28" s="257"/>
      <c r="D28" s="297"/>
      <c r="E28" s="257"/>
      <c r="F28" s="257"/>
      <c r="G28" s="257"/>
      <c r="H28" s="257"/>
      <c r="I28" s="257"/>
      <c r="J28" s="257"/>
      <c r="K28" s="257"/>
      <c r="L28" s="257"/>
      <c r="M28" s="1094"/>
      <c r="N28" s="917"/>
      <c r="O28" s="917"/>
      <c r="P28" s="917"/>
      <c r="Q28" s="917"/>
      <c r="R28" s="917"/>
      <c r="S28" s="917"/>
      <c r="T28" s="917"/>
      <c r="U28" s="917"/>
      <c r="V28" s="917"/>
      <c r="W28" s="1094"/>
      <c r="X28" s="1094"/>
      <c r="Y28" s="1094"/>
      <c r="Z28" s="1094"/>
      <c r="AA28" s="257"/>
    </row>
    <row r="29" spans="1:27">
      <c r="A29" s="257"/>
      <c r="B29" s="298"/>
      <c r="C29" s="257"/>
      <c r="D29" s="297"/>
      <c r="E29" s="257"/>
      <c r="F29" s="257"/>
      <c r="G29" s="257"/>
      <c r="H29" s="257"/>
      <c r="I29" s="257"/>
      <c r="J29" s="257"/>
      <c r="K29" s="257"/>
      <c r="L29" s="257"/>
      <c r="M29" s="1094"/>
      <c r="N29" s="917"/>
      <c r="O29" s="917"/>
      <c r="P29" s="917"/>
      <c r="Q29" s="917"/>
      <c r="R29" s="917"/>
      <c r="S29" s="917"/>
      <c r="T29" s="917"/>
      <c r="U29" s="917"/>
      <c r="V29" s="917"/>
      <c r="W29" s="1094"/>
      <c r="X29" s="1094"/>
      <c r="Y29" s="1094"/>
      <c r="Z29" s="1094"/>
      <c r="AA29" s="257"/>
    </row>
    <row r="30" spans="1:27" s="816" customFormat="1" ht="16">
      <c r="A30" s="299" t="s">
        <v>5280</v>
      </c>
      <c r="B30" s="300"/>
      <c r="C30" s="301"/>
      <c r="D30" s="302"/>
      <c r="E30" s="303"/>
      <c r="F30" s="303"/>
      <c r="G30" s="303"/>
      <c r="H30" s="303"/>
      <c r="I30" s="303"/>
      <c r="J30" s="304"/>
      <c r="K30" s="303"/>
      <c r="L30" s="305"/>
      <c r="M30" s="917"/>
      <c r="N30" s="1095"/>
      <c r="O30" s="1095"/>
      <c r="P30" s="1095"/>
      <c r="Q30" s="1095"/>
      <c r="R30" s="1095"/>
      <c r="S30" s="1095"/>
      <c r="T30" s="1095"/>
      <c r="U30" s="1095"/>
      <c r="V30" s="1095"/>
      <c r="W30" s="1095"/>
      <c r="X30" s="1095"/>
      <c r="Y30" s="238"/>
      <c r="Z30" s="1095"/>
    </row>
    <row r="31" spans="1:27" ht="12.75" customHeight="1">
      <c r="A31" s="1253" t="s">
        <v>2350</v>
      </c>
      <c r="B31" s="1256" t="s">
        <v>2351</v>
      </c>
      <c r="C31" s="1256" t="s">
        <v>5282</v>
      </c>
      <c r="D31" s="1256"/>
      <c r="E31" s="1256" t="s">
        <v>5283</v>
      </c>
      <c r="F31" s="1256"/>
      <c r="G31" s="1263" t="s">
        <v>2354</v>
      </c>
      <c r="H31" s="1263"/>
      <c r="I31" s="1256" t="s">
        <v>2355</v>
      </c>
      <c r="J31" s="1256" t="s">
        <v>3739</v>
      </c>
      <c r="K31" s="1256" t="s">
        <v>3740</v>
      </c>
      <c r="L31" s="1268" t="s">
        <v>301</v>
      </c>
      <c r="M31" s="1266" t="s">
        <v>5281</v>
      </c>
      <c r="N31" s="1259" t="s">
        <v>5284</v>
      </c>
      <c r="O31" s="1259"/>
      <c r="P31" s="1259"/>
      <c r="Q31" s="1259"/>
      <c r="R31" s="1259"/>
      <c r="S31" s="1259"/>
      <c r="T31" s="1259"/>
      <c r="U31" s="1259"/>
      <c r="V31" s="1259"/>
      <c r="W31" s="1259" t="s">
        <v>3740</v>
      </c>
      <c r="X31" s="1259"/>
      <c r="Y31" s="1259"/>
    </row>
    <row r="32" spans="1:27" ht="12.75" customHeight="1">
      <c r="A32" s="1254"/>
      <c r="B32" s="1257"/>
      <c r="C32" s="1257"/>
      <c r="D32" s="1257"/>
      <c r="E32" s="1257"/>
      <c r="F32" s="1257"/>
      <c r="G32" s="1264"/>
      <c r="H32" s="1264"/>
      <c r="I32" s="1257"/>
      <c r="J32" s="1257"/>
      <c r="K32" s="1257"/>
      <c r="L32" s="1269"/>
      <c r="M32" s="1267"/>
      <c r="N32" s="1261" t="s">
        <v>4315</v>
      </c>
      <c r="O32" s="1261"/>
      <c r="P32" s="1261"/>
      <c r="Q32" s="899" t="s">
        <v>4316</v>
      </c>
      <c r="R32" s="899"/>
      <c r="S32" s="899"/>
      <c r="T32" s="1261" t="s">
        <v>4317</v>
      </c>
      <c r="U32" s="1261"/>
      <c r="V32" s="1261"/>
      <c r="W32" s="1260"/>
      <c r="X32" s="1260"/>
      <c r="Y32" s="1260"/>
    </row>
    <row r="33" spans="1:25">
      <c r="A33" s="1255"/>
      <c r="B33" s="1258"/>
      <c r="C33" s="1258"/>
      <c r="D33" s="1258"/>
      <c r="E33" s="1258"/>
      <c r="F33" s="1258"/>
      <c r="G33" s="1265"/>
      <c r="H33" s="1265"/>
      <c r="I33" s="1258"/>
      <c r="J33" s="1258"/>
      <c r="K33" s="1258"/>
      <c r="L33" s="1270"/>
      <c r="M33" s="1267"/>
      <c r="N33" s="1045" t="s">
        <v>4318</v>
      </c>
      <c r="O33" s="1045" t="s">
        <v>4319</v>
      </c>
      <c r="P33" s="1045" t="s">
        <v>4320</v>
      </c>
      <c r="Q33" s="1045" t="s">
        <v>4318</v>
      </c>
      <c r="R33" s="1045" t="s">
        <v>4319</v>
      </c>
      <c r="S33" s="1045" t="s">
        <v>4320</v>
      </c>
      <c r="T33" s="1045" t="s">
        <v>4318</v>
      </c>
      <c r="U33" s="1045" t="s">
        <v>4319</v>
      </c>
      <c r="V33" s="1045" t="s">
        <v>4320</v>
      </c>
      <c r="W33" s="1045" t="s">
        <v>737</v>
      </c>
      <c r="X33" s="1045" t="s">
        <v>738</v>
      </c>
      <c r="Y33" s="916" t="s">
        <v>5517</v>
      </c>
    </row>
    <row r="34" spans="1:25" s="1021" customFormat="1">
      <c r="A34" s="336" t="s">
        <v>3170</v>
      </c>
      <c r="B34" s="337" t="s">
        <v>683</v>
      </c>
      <c r="C34" s="425"/>
      <c r="D34" s="338"/>
      <c r="E34" s="425"/>
      <c r="F34" s="337"/>
      <c r="G34" s="425"/>
      <c r="H34" s="337"/>
      <c r="I34" s="337"/>
      <c r="J34" s="337"/>
      <c r="K34" s="337"/>
      <c r="L34" s="339"/>
      <c r="M34" s="472"/>
      <c r="N34" s="20"/>
      <c r="O34" s="20"/>
      <c r="P34" s="20"/>
      <c r="Q34" s="20"/>
      <c r="R34" s="20"/>
      <c r="S34" s="20"/>
      <c r="T34" s="20"/>
      <c r="U34" s="20"/>
      <c r="V34" s="20"/>
      <c r="W34" s="1096">
        <f t="shared" ref="W34:W52" si="0">IF(ISERROR(K34*L34),0,IF(K34&lt;1,0,L34))</f>
        <v>0</v>
      </c>
      <c r="X34" s="1097">
        <f t="shared" ref="X34:X52" si="1">IF(W34,J34/K34,0)</f>
        <v>0</v>
      </c>
      <c r="Y34" s="472"/>
    </row>
    <row r="35" spans="1:25" s="1021" customFormat="1">
      <c r="A35" s="473" t="s">
        <v>3171</v>
      </c>
      <c r="B35" s="474" t="s">
        <v>4342</v>
      </c>
      <c r="C35" s="475">
        <f ca="1">total_elements</f>
        <v>456</v>
      </c>
      <c r="D35" s="476" t="s">
        <v>2192</v>
      </c>
      <c r="E35" s="477" t="s">
        <v>3743</v>
      </c>
      <c r="F35" s="335"/>
      <c r="G35" s="477" t="s">
        <v>3743</v>
      </c>
      <c r="H35" s="335"/>
      <c r="I35" s="501">
        <f ca="1">element_cost</f>
        <v>480</v>
      </c>
      <c r="J35" s="479">
        <f ca="1">IF(I35="contact vendor","contact vendor",C35*I35)</f>
        <v>218880</v>
      </c>
      <c r="K35" s="480" t="s">
        <v>4504</v>
      </c>
      <c r="L35" s="491">
        <v>1</v>
      </c>
      <c r="M35" s="886" t="str">
        <f>$B$34&amp;" - "&amp;B35</f>
        <v>Membrane Process - Membrane Elements</v>
      </c>
      <c r="N35" s="238">
        <v>1</v>
      </c>
      <c r="O35" s="238">
        <v>1</v>
      </c>
      <c r="P35" s="238">
        <v>1</v>
      </c>
      <c r="Q35" s="238">
        <v>1</v>
      </c>
      <c r="R35" s="238">
        <v>1</v>
      </c>
      <c r="S35" s="238">
        <v>1</v>
      </c>
      <c r="T35" s="238">
        <v>1</v>
      </c>
      <c r="U35" s="238">
        <v>1</v>
      </c>
      <c r="V35" s="238">
        <v>1</v>
      </c>
      <c r="W35" s="1096">
        <f t="shared" si="0"/>
        <v>0</v>
      </c>
      <c r="X35" s="1097">
        <f t="shared" si="1"/>
        <v>0</v>
      </c>
      <c r="Y35" s="472"/>
    </row>
    <row r="36" spans="1:25" s="1021" customFormat="1">
      <c r="A36" s="473" t="s">
        <v>4340</v>
      </c>
      <c r="B36" s="474" t="s">
        <v>4343</v>
      </c>
      <c r="C36" s="475">
        <f ca="1">total_PVs</f>
        <v>76</v>
      </c>
      <c r="D36" s="476" t="s">
        <v>2192</v>
      </c>
      <c r="E36" s="475">
        <f>PV_rating</f>
        <v>300</v>
      </c>
      <c r="F36" s="476" t="s">
        <v>3749</v>
      </c>
      <c r="G36" s="475">
        <f>PV_rating</f>
        <v>300</v>
      </c>
      <c r="H36" s="476" t="s">
        <v>3749</v>
      </c>
      <c r="I36" s="501">
        <f ca="1">pv_cost</f>
        <v>1327.1688528229802</v>
      </c>
      <c r="J36" s="479">
        <f ca="1">IF(I36="contact vendor","contact vendor",C36*I36)</f>
        <v>100864.83281454649</v>
      </c>
      <c r="K36" s="486">
        <f ca="1">IF(C36=0,"NA",VLOOKUP(PV_rating,CHOOSE(element_class,pv4_base_cost_cl,pv8_base_cost_cl,pv1618_base_cost_cl),IF(ss_cat="large",4,5)))</f>
        <v>22</v>
      </c>
      <c r="L36" s="491">
        <v>1</v>
      </c>
      <c r="M36" s="886" t="str">
        <f>$B$34&amp;" - "&amp;B36</f>
        <v>Membrane Process - RO Pressure Vessels</v>
      </c>
      <c r="N36" s="238">
        <v>1</v>
      </c>
      <c r="O36" s="238">
        <v>1</v>
      </c>
      <c r="P36" s="238">
        <v>1</v>
      </c>
      <c r="Q36" s="238">
        <v>1</v>
      </c>
      <c r="R36" s="238">
        <v>1</v>
      </c>
      <c r="S36" s="238">
        <v>1</v>
      </c>
      <c r="T36" s="238">
        <v>1</v>
      </c>
      <c r="U36" s="238">
        <v>1</v>
      </c>
      <c r="V36" s="238">
        <v>1</v>
      </c>
      <c r="W36" s="1096">
        <f t="shared" ca="1" si="0"/>
        <v>1</v>
      </c>
      <c r="X36" s="1097">
        <f t="shared" ca="1" si="1"/>
        <v>4584.7651279339316</v>
      </c>
      <c r="Y36" s="472"/>
    </row>
    <row r="37" spans="1:25" s="1021" customFormat="1">
      <c r="A37" s="473" t="s">
        <v>4341</v>
      </c>
      <c r="B37" s="474" t="s">
        <v>4495</v>
      </c>
      <c r="C37" s="494"/>
      <c r="D37" s="495"/>
      <c r="E37" s="494"/>
      <c r="F37" s="474"/>
      <c r="G37" s="494"/>
      <c r="H37" s="474"/>
      <c r="I37" s="494"/>
      <c r="J37" s="494"/>
      <c r="K37" s="494"/>
      <c r="L37" s="496"/>
      <c r="M37" s="886"/>
      <c r="N37" s="238"/>
      <c r="O37" s="238"/>
      <c r="P37" s="238"/>
      <c r="Q37" s="238"/>
      <c r="R37" s="238"/>
      <c r="S37" s="238"/>
      <c r="T37" s="238"/>
      <c r="U37" s="238"/>
      <c r="V37" s="238"/>
      <c r="W37" s="1096">
        <f t="shared" si="0"/>
        <v>0</v>
      </c>
      <c r="X37" s="1097">
        <f t="shared" si="1"/>
        <v>0</v>
      </c>
      <c r="Y37" s="472"/>
    </row>
    <row r="38" spans="1:25" s="1021" customFormat="1">
      <c r="A38" s="484" t="s">
        <v>4494</v>
      </c>
      <c r="B38" s="485" t="s">
        <v>4505</v>
      </c>
      <c r="C38" s="475">
        <f ca="1">conn_feed_total</f>
        <v>152</v>
      </c>
      <c r="D38" s="476" t="s">
        <v>2192</v>
      </c>
      <c r="E38" s="671">
        <f ca="1">IF(C38=0,"NA",conn_feed_diam)</f>
        <v>1.5</v>
      </c>
      <c r="F38" s="476" t="str">
        <f ca="1">IF(C38=0,"","in. diam")</f>
        <v>in. diam</v>
      </c>
      <c r="G38" s="486">
        <f ca="1">IF(C38=0,"NA",VLOOKUP(conn_feed_diam, pv_conn_paint_cost_cl, 2))</f>
        <v>1.5</v>
      </c>
      <c r="H38" s="485" t="str">
        <f ca="1">IF(C38=0,"","in. diam")</f>
        <v>in. diam</v>
      </c>
      <c r="I38" s="478">
        <f ca="1">IF(C38=0,"NA",VLOOKUP(conn_feed_diam, pv_conn_paint_cost_cl, 3))</f>
        <v>126.52500000000001</v>
      </c>
      <c r="J38" s="502">
        <f ca="1">IF(OR(I38="contact vendor",I38="NA"),"--",C38*I38)</f>
        <v>19231.8</v>
      </c>
      <c r="K38" s="486">
        <f ca="1">IF(C38=0,"NA",VLOOKUP(conn_feed_diam,pv_conn_paint_cost_cl,IF(ss_cat="large",4,5)))</f>
        <v>25</v>
      </c>
      <c r="L38" s="523">
        <v>1</v>
      </c>
      <c r="M38" s="886" t="str">
        <f>$B$34&amp;" - "&amp;$B$37&amp;" - "&amp;B38</f>
        <v>Membrane Process - Feed Line Connectors - Victaulic, Painted</v>
      </c>
      <c r="N38" s="238">
        <v>1</v>
      </c>
      <c r="O38" s="238">
        <v>2</v>
      </c>
      <c r="P38" s="238">
        <v>2</v>
      </c>
      <c r="Q38" s="238">
        <v>1</v>
      </c>
      <c r="R38" s="238">
        <v>2</v>
      </c>
      <c r="S38" s="238">
        <v>2</v>
      </c>
      <c r="T38" s="238">
        <v>1</v>
      </c>
      <c r="U38" s="238">
        <v>2</v>
      </c>
      <c r="V38" s="238">
        <v>2</v>
      </c>
      <c r="W38" s="1096">
        <f t="shared" ca="1" si="0"/>
        <v>1</v>
      </c>
      <c r="X38" s="1097">
        <f t="shared" ca="1" si="1"/>
        <v>769.27199999999993</v>
      </c>
      <c r="Y38" s="472"/>
    </row>
    <row r="39" spans="1:25" s="1021" customFormat="1">
      <c r="A39" s="484" t="s">
        <v>4494</v>
      </c>
      <c r="B39" s="485" t="s">
        <v>4506</v>
      </c>
      <c r="C39" s="475">
        <f ca="1">conn_feed_total</f>
        <v>152</v>
      </c>
      <c r="D39" s="476" t="s">
        <v>2192</v>
      </c>
      <c r="E39" s="671">
        <f ca="1">IF(C39=0,"NA",conn_feed_diam)</f>
        <v>1.5</v>
      </c>
      <c r="F39" s="476" t="str">
        <f ca="1">IF(C39=0,"","in. diam")</f>
        <v>in. diam</v>
      </c>
      <c r="G39" s="486">
        <f ca="1">IF(C39=0,"NA",VLOOKUP(conn_feed_diam, pv_conn_paint_cost_cl, 2))</f>
        <v>1.5</v>
      </c>
      <c r="H39" s="485" t="str">
        <f ca="1">IF(C39=0,"","in. diam")</f>
        <v>in. diam</v>
      </c>
      <c r="I39" s="478">
        <f ca="1">IF(C39=0,"NA",VLOOKUP(conn_feed_diam, pv_conn_galv_cost_cl, 3))</f>
        <v>159.86250000000001</v>
      </c>
      <c r="J39" s="502">
        <f ca="1">IF(OR(I39="contact vendor",I39="NA"),"--",C39*I39)</f>
        <v>24299.100000000002</v>
      </c>
      <c r="K39" s="486">
        <f ca="1">IF(C39=0,"NA",VLOOKUP(conn_feed_diam,pv_conn_galv_cost_cl,IF(ss_cat="large",4,5)))</f>
        <v>25</v>
      </c>
      <c r="L39" s="523">
        <v>0</v>
      </c>
      <c r="M39" s="886" t="str">
        <f>$B$34&amp;" - "&amp;$B$37&amp;" - "&amp;B39</f>
        <v>Membrane Process - Feed Line Connectors - Victaulic, Galvanized</v>
      </c>
      <c r="N39" s="238">
        <v>2</v>
      </c>
      <c r="O39" s="238">
        <v>1</v>
      </c>
      <c r="P39" s="238">
        <v>1</v>
      </c>
      <c r="Q39" s="238">
        <v>2</v>
      </c>
      <c r="R39" s="238">
        <v>1</v>
      </c>
      <c r="S39" s="238">
        <v>1</v>
      </c>
      <c r="T39" s="238">
        <v>2</v>
      </c>
      <c r="U39" s="238">
        <v>1</v>
      </c>
      <c r="V39" s="238">
        <v>1</v>
      </c>
      <c r="W39" s="1096">
        <f t="shared" ca="1" si="0"/>
        <v>0</v>
      </c>
      <c r="X39" s="1097">
        <f t="shared" ca="1" si="1"/>
        <v>0</v>
      </c>
      <c r="Y39" s="472"/>
    </row>
    <row r="40" spans="1:25" s="1021" customFormat="1">
      <c r="A40" s="473" t="s">
        <v>4493</v>
      </c>
      <c r="B40" s="474" t="s">
        <v>4496</v>
      </c>
      <c r="C40" s="494"/>
      <c r="D40" s="495"/>
      <c r="E40" s="494"/>
      <c r="F40" s="474"/>
      <c r="G40" s="494"/>
      <c r="H40" s="474"/>
      <c r="I40" s="494"/>
      <c r="J40" s="494"/>
      <c r="K40" s="494"/>
      <c r="L40" s="496"/>
      <c r="M40" s="886"/>
      <c r="N40" s="238"/>
      <c r="O40" s="238"/>
      <c r="P40" s="238"/>
      <c r="Q40" s="238"/>
      <c r="R40" s="238"/>
      <c r="S40" s="238"/>
      <c r="T40" s="238"/>
      <c r="U40" s="238"/>
      <c r="V40" s="238"/>
      <c r="W40" s="1096">
        <f t="shared" si="0"/>
        <v>0</v>
      </c>
      <c r="X40" s="1097">
        <f t="shared" si="1"/>
        <v>0</v>
      </c>
      <c r="Y40" s="472"/>
    </row>
    <row r="41" spans="1:25" s="1021" customFormat="1">
      <c r="A41" s="484" t="s">
        <v>4508</v>
      </c>
      <c r="B41" s="485" t="s">
        <v>4505</v>
      </c>
      <c r="C41" s="475">
        <f ca="1">conn_perm_total</f>
        <v>0</v>
      </c>
      <c r="D41" s="476" t="s">
        <v>2192</v>
      </c>
      <c r="E41" s="671" t="str">
        <f ca="1">IF(C41=0,"NA",conn_perm_diam)</f>
        <v>NA</v>
      </c>
      <c r="F41" s="476" t="str">
        <f t="shared" ref="F41:F46" ca="1" si="2">IF(C41=0,"","in. diam")</f>
        <v/>
      </c>
      <c r="G41" s="671" t="str">
        <f ca="1">IF(C41=0,"NA",VLOOKUP(conn_perm_diam, pv_conn_paint_cost_cl, 2))</f>
        <v>NA</v>
      </c>
      <c r="H41" s="485" t="str">
        <f ca="1">IF(C41=0,"","in. diam")</f>
        <v/>
      </c>
      <c r="I41" s="478" t="str">
        <f ca="1">IF(C41=0,"NA",VLOOKUP(conn_perm_diam, pv_conn_paint_cost_cl, 3))</f>
        <v>NA</v>
      </c>
      <c r="J41" s="502" t="str">
        <f ca="1">IF(OR(I41="contact vendor",I41="NA"),"--",C41*I41)</f>
        <v>--</v>
      </c>
      <c r="K41" s="486" t="str">
        <f ca="1">IF(C41=0,"NA",VLOOKUP(conn_feed_diam,pv_conn_paint_cost_cl,IF(ss_cat="large",4,5)))</f>
        <v>NA</v>
      </c>
      <c r="L41" s="523"/>
      <c r="M41" s="886" t="str">
        <f>$B$34&amp;" - "&amp;$B$40&amp;" - "&amp;B41</f>
        <v>Membrane Process - Permeate Line Connectors - Victaulic, Painted</v>
      </c>
      <c r="N41" s="238">
        <v>1</v>
      </c>
      <c r="O41" s="238">
        <v>2</v>
      </c>
      <c r="P41" s="238">
        <v>2</v>
      </c>
      <c r="Q41" s="238">
        <v>1</v>
      </c>
      <c r="R41" s="238">
        <v>2</v>
      </c>
      <c r="S41" s="238">
        <v>2</v>
      </c>
      <c r="T41" s="238">
        <v>1</v>
      </c>
      <c r="U41" s="238">
        <v>2</v>
      </c>
      <c r="V41" s="238">
        <v>2</v>
      </c>
      <c r="W41" s="1096">
        <f t="shared" ca="1" si="0"/>
        <v>0</v>
      </c>
      <c r="X41" s="1097">
        <f t="shared" ca="1" si="1"/>
        <v>0</v>
      </c>
      <c r="Y41" s="472"/>
    </row>
    <row r="42" spans="1:25" s="1021" customFormat="1">
      <c r="A42" s="484" t="s">
        <v>4508</v>
      </c>
      <c r="B42" s="485" t="s">
        <v>4506</v>
      </c>
      <c r="C42" s="475">
        <f ca="1">conn_perm_total</f>
        <v>0</v>
      </c>
      <c r="D42" s="476" t="s">
        <v>2192</v>
      </c>
      <c r="E42" s="671" t="str">
        <f ca="1">IF(C42=0,"NA",conn_perm_diam)</f>
        <v>NA</v>
      </c>
      <c r="F42" s="476" t="str">
        <f t="shared" ca="1" si="2"/>
        <v/>
      </c>
      <c r="G42" s="671" t="str">
        <f ca="1">IF(C42=0,"NA",VLOOKUP(conn_perm_diam, pv_conn_galv_cost_cl, 2))</f>
        <v>NA</v>
      </c>
      <c r="H42" s="485" t="str">
        <f ca="1">IF(C42=0,"","in. diam")</f>
        <v/>
      </c>
      <c r="I42" s="478" t="str">
        <f ca="1">IF(C42=0,"NA",VLOOKUP(conn_perm_diam, pv_conn_galv_cost_cl, 3))</f>
        <v>NA</v>
      </c>
      <c r="J42" s="502" t="str">
        <f ca="1">IF(OR(I42="contact vendor",I42="NA"),"--",C42*I42)</f>
        <v>--</v>
      </c>
      <c r="K42" s="486" t="str">
        <f ca="1">IF(C42=0,"NA",VLOOKUP(conn_feed_diam,pv_conn_galv_cost_cl,IF(ss_cat="large",4,5)))</f>
        <v>NA</v>
      </c>
      <c r="L42" s="523"/>
      <c r="M42" s="886" t="str">
        <f>$B$34&amp;" - "&amp;$B$40&amp;" - "&amp;B42</f>
        <v>Membrane Process - Permeate Line Connectors - Victaulic, Galvanized</v>
      </c>
      <c r="N42" s="238">
        <v>2</v>
      </c>
      <c r="O42" s="238">
        <v>1</v>
      </c>
      <c r="P42" s="238">
        <v>1</v>
      </c>
      <c r="Q42" s="238">
        <v>2</v>
      </c>
      <c r="R42" s="238">
        <v>1</v>
      </c>
      <c r="S42" s="238">
        <v>1</v>
      </c>
      <c r="T42" s="238">
        <v>2</v>
      </c>
      <c r="U42" s="238">
        <v>1</v>
      </c>
      <c r="V42" s="238">
        <v>1</v>
      </c>
      <c r="W42" s="1096">
        <f t="shared" ca="1" si="0"/>
        <v>0</v>
      </c>
      <c r="X42" s="1097">
        <f t="shared" ca="1" si="1"/>
        <v>0</v>
      </c>
      <c r="Y42" s="472"/>
    </row>
    <row r="43" spans="1:25" s="1021" customFormat="1">
      <c r="A43" s="473" t="s">
        <v>4507</v>
      </c>
      <c r="B43" s="474" t="s">
        <v>4568</v>
      </c>
      <c r="C43" s="494"/>
      <c r="D43" s="495"/>
      <c r="E43" s="494"/>
      <c r="F43" s="474"/>
      <c r="G43" s="494"/>
      <c r="H43" s="474"/>
      <c r="I43" s="494"/>
      <c r="J43" s="494"/>
      <c r="K43" s="494"/>
      <c r="L43" s="496"/>
      <c r="M43" s="886"/>
      <c r="N43" s="472"/>
      <c r="O43" s="472"/>
      <c r="P43" s="472"/>
      <c r="Q43" s="472"/>
      <c r="R43" s="472"/>
      <c r="S43" s="472"/>
      <c r="T43" s="472"/>
      <c r="U43" s="472"/>
      <c r="V43" s="472"/>
      <c r="W43" s="1096">
        <f t="shared" si="0"/>
        <v>0</v>
      </c>
      <c r="X43" s="1097">
        <f t="shared" si="1"/>
        <v>0</v>
      </c>
      <c r="Y43" s="472"/>
    </row>
    <row r="44" spans="1:25" s="1021" customFormat="1">
      <c r="A44" s="484" t="s">
        <v>4565</v>
      </c>
      <c r="B44" s="485" t="s">
        <v>4569</v>
      </c>
      <c r="C44" s="475">
        <f ca="1">feed_pipe_len</f>
        <v>304</v>
      </c>
      <c r="D44" s="476" t="s">
        <v>1777</v>
      </c>
      <c r="E44" s="688">
        <f ca="1">feed_hdr_diam</f>
        <v>6</v>
      </c>
      <c r="F44" s="487" t="str">
        <f t="shared" ca="1" si="2"/>
        <v>in. diam</v>
      </c>
      <c r="G44" s="688">
        <f ca="1">feed_hdr_diam</f>
        <v>6</v>
      </c>
      <c r="H44" s="476" t="str">
        <f ca="1">IF(E44=0,"","in. diam")</f>
        <v>in. diam</v>
      </c>
      <c r="I44" s="478">
        <f ca="1">IF(curve=1,ss_pipe_eq_feed_rack,VLOOKUP(feed_hdr_diam,ss_pipe_cost_cl,3))</f>
        <v>258.55539581699992</v>
      </c>
      <c r="J44" s="502">
        <f ca="1">IF(OR(I44="contact vendor",I44="NA"),"--",C44*I44)</f>
        <v>78600.84032836798</v>
      </c>
      <c r="K44" s="497">
        <f ca="1">IF(C44=0,"NA",VLOOKUP(E44,ss_pipe_cost_cl,IF(ss_cat="large",4,5)))</f>
        <v>45</v>
      </c>
      <c r="L44" s="511">
        <v>1</v>
      </c>
      <c r="M44" s="886" t="str">
        <f>$B$34&amp;" - "&amp;$B$43&amp;" - "&amp;B44</f>
        <v>Membrane Process - Piping On Rack - Feed - Stainless Steel</v>
      </c>
      <c r="N44" s="238">
        <v>1</v>
      </c>
      <c r="O44" s="238">
        <v>1</v>
      </c>
      <c r="P44" s="238">
        <v>1</v>
      </c>
      <c r="Q44" s="238">
        <v>1</v>
      </c>
      <c r="R44" s="238">
        <v>1</v>
      </c>
      <c r="S44" s="238">
        <v>1</v>
      </c>
      <c r="T44" s="238">
        <v>1</v>
      </c>
      <c r="U44" s="238">
        <v>1</v>
      </c>
      <c r="V44" s="238">
        <v>1</v>
      </c>
      <c r="W44" s="1096">
        <f t="shared" ca="1" si="0"/>
        <v>1</v>
      </c>
      <c r="X44" s="1097">
        <f t="shared" ca="1" si="1"/>
        <v>1746.6853406303997</v>
      </c>
      <c r="Y44" s="472"/>
    </row>
    <row r="45" spans="1:25" s="1021" customFormat="1">
      <c r="A45" s="484" t="s">
        <v>4566</v>
      </c>
      <c r="B45" s="485" t="s">
        <v>4682</v>
      </c>
      <c r="C45" s="475">
        <f ca="1">perm_pipe_len</f>
        <v>304</v>
      </c>
      <c r="D45" s="476" t="s">
        <v>1777</v>
      </c>
      <c r="E45" s="688">
        <f ca="1">perm_hdr_diam</f>
        <v>6</v>
      </c>
      <c r="F45" s="487" t="str">
        <f t="shared" ca="1" si="2"/>
        <v>in. diam</v>
      </c>
      <c r="G45" s="688">
        <f ca="1">perm_hdr_diam</f>
        <v>6</v>
      </c>
      <c r="H45" s="476" t="str">
        <f ca="1">IF(E45=0,"","in. diam")</f>
        <v>in. diam</v>
      </c>
      <c r="I45" s="478">
        <f ca="1">IF(curve=1,pvc_pipe_eq_perm_rack,VLOOKUP(perm_hdr_diam,pvc_pipe_cost_cl,3))</f>
        <v>9.7294354409999997</v>
      </c>
      <c r="J45" s="502">
        <f ca="1">IF(OR(I45="contact vendor",I45="NA"),"--",C45*I45)</f>
        <v>2957.748374064</v>
      </c>
      <c r="K45" s="497">
        <f ca="1">IF(C45=0,"NA",VLOOKUP(E45,pvc_pipe_cost_cl,IF(ss_cat="large",4,5)))</f>
        <v>22</v>
      </c>
      <c r="L45" s="511">
        <v>1</v>
      </c>
      <c r="M45" s="886" t="str">
        <f>$B$34&amp;" - "&amp;$B$43&amp;" - "&amp;B45</f>
        <v>Membrane Process - Piping On Rack - Permeate - PVC</v>
      </c>
      <c r="N45" s="238">
        <v>1</v>
      </c>
      <c r="O45" s="238">
        <v>1</v>
      </c>
      <c r="P45" s="238">
        <v>1</v>
      </c>
      <c r="Q45" s="238">
        <v>1</v>
      </c>
      <c r="R45" s="238">
        <v>1</v>
      </c>
      <c r="S45" s="238">
        <v>1</v>
      </c>
      <c r="T45" s="238">
        <v>1</v>
      </c>
      <c r="U45" s="238">
        <v>1</v>
      </c>
      <c r="V45" s="238">
        <v>1</v>
      </c>
      <c r="W45" s="1096">
        <f t="shared" ca="1" si="0"/>
        <v>1</v>
      </c>
      <c r="X45" s="1097">
        <f t="shared" ca="1" si="1"/>
        <v>134.44310791199999</v>
      </c>
      <c r="Y45" s="472"/>
    </row>
    <row r="46" spans="1:25" s="1021" customFormat="1">
      <c r="A46" s="484" t="s">
        <v>4567</v>
      </c>
      <c r="B46" s="485" t="s">
        <v>4570</v>
      </c>
      <c r="C46" s="475">
        <f ca="1">conc_pipe_len</f>
        <v>304</v>
      </c>
      <c r="D46" s="476" t="s">
        <v>1777</v>
      </c>
      <c r="E46" s="688">
        <f ca="1">conc_hdr_diam</f>
        <v>6</v>
      </c>
      <c r="F46" s="487" t="str">
        <f t="shared" ca="1" si="2"/>
        <v>in. diam</v>
      </c>
      <c r="G46" s="688">
        <f ca="1">conc_hdr_diam</f>
        <v>6</v>
      </c>
      <c r="H46" s="476" t="str">
        <f ca="1">IF(E46=0,"","in. diam")</f>
        <v>in. diam</v>
      </c>
      <c r="I46" s="478">
        <f ca="1">IF(curve=1,ss_pipe_eq_conc_rack,VLOOKUP(conc_hdr_diam,ss_pipe_cost_cl,3))</f>
        <v>258.55539581699992</v>
      </c>
      <c r="J46" s="502">
        <f ca="1">IF(OR(I46="contact vendor",I46="NA"),"--",C46*I46)</f>
        <v>78600.84032836798</v>
      </c>
      <c r="K46" s="497">
        <f ca="1">IF(C46=0,"NA",VLOOKUP(E46,ss_pipe_cost_cl,IF(ss_cat="large",4,5)))</f>
        <v>45</v>
      </c>
      <c r="L46" s="511">
        <v>1</v>
      </c>
      <c r="M46" s="886" t="str">
        <f>$B$34&amp;" - "&amp;$B$43&amp;" - "&amp;B46</f>
        <v>Membrane Process - Piping On Rack - Concentrate - Stainless Steel</v>
      </c>
      <c r="N46" s="238">
        <v>1</v>
      </c>
      <c r="O46" s="238">
        <v>1</v>
      </c>
      <c r="P46" s="238">
        <v>1</v>
      </c>
      <c r="Q46" s="238">
        <v>1</v>
      </c>
      <c r="R46" s="238">
        <v>1</v>
      </c>
      <c r="S46" s="238">
        <v>1</v>
      </c>
      <c r="T46" s="238">
        <v>1</v>
      </c>
      <c r="U46" s="238">
        <v>1</v>
      </c>
      <c r="V46" s="238">
        <v>1</v>
      </c>
      <c r="W46" s="1096">
        <f t="shared" ca="1" si="0"/>
        <v>1</v>
      </c>
      <c r="X46" s="1097">
        <f t="shared" ca="1" si="1"/>
        <v>1746.6853406303997</v>
      </c>
      <c r="Y46" s="472"/>
    </row>
    <row r="47" spans="1:25" s="1021" customFormat="1">
      <c r="A47" s="473" t="s">
        <v>4509</v>
      </c>
      <c r="B47" s="474" t="s">
        <v>4591</v>
      </c>
      <c r="C47" s="475">
        <f ca="1">total_beam_length</f>
        <v>941.10632999370887</v>
      </c>
      <c r="D47" s="476" t="s">
        <v>1777</v>
      </c>
      <c r="E47" s="672" t="s">
        <v>3743</v>
      </c>
      <c r="F47" s="487"/>
      <c r="G47" s="672" t="s">
        <v>3743</v>
      </c>
      <c r="H47" s="487"/>
      <c r="I47" s="478">
        <f>VLOOKUP(0,pv_rack_member_cost_cl,3)</f>
        <v>38.5</v>
      </c>
      <c r="J47" s="479">
        <f ca="1">IF(I47="contact vendor","contact vendor",C47*I47)</f>
        <v>36232.59370475779</v>
      </c>
      <c r="K47" s="497">
        <f>VLOOKUP(0,pv_rack_member_cost_cl,IF(ss_cat="large",4,5))</f>
        <v>25</v>
      </c>
      <c r="L47" s="523">
        <v>1</v>
      </c>
      <c r="M47" s="886" t="str">
        <f>$B$34&amp;" - "&amp;B47</f>
        <v>Membrane Process - Vessel Support Rack - Steel Beams</v>
      </c>
      <c r="N47" s="238">
        <v>1</v>
      </c>
      <c r="O47" s="238">
        <v>1</v>
      </c>
      <c r="P47" s="238">
        <v>1</v>
      </c>
      <c r="Q47" s="238">
        <v>1</v>
      </c>
      <c r="R47" s="238">
        <v>1</v>
      </c>
      <c r="S47" s="238">
        <v>1</v>
      </c>
      <c r="T47" s="238">
        <v>1</v>
      </c>
      <c r="U47" s="238">
        <v>1</v>
      </c>
      <c r="V47" s="238">
        <v>1</v>
      </c>
      <c r="W47" s="1096">
        <f t="shared" si="0"/>
        <v>1</v>
      </c>
      <c r="X47" s="1097">
        <f t="shared" ca="1" si="1"/>
        <v>1449.3037481903116</v>
      </c>
      <c r="Y47" s="472"/>
    </row>
    <row r="48" spans="1:25" s="1021" customFormat="1">
      <c r="A48" s="473" t="s">
        <v>4727</v>
      </c>
      <c r="B48" s="474" t="s">
        <v>4728</v>
      </c>
      <c r="C48" s="475">
        <f ca="1">total_racks</f>
        <v>2</v>
      </c>
      <c r="D48" s="476" t="s">
        <v>2192</v>
      </c>
      <c r="E48" s="672" t="s">
        <v>3743</v>
      </c>
      <c r="F48" s="487"/>
      <c r="G48" s="672" t="s">
        <v>3743</v>
      </c>
      <c r="H48" s="487"/>
      <c r="I48" s="501">
        <f ca="1">J48/C48</f>
        <v>78164.613259652135</v>
      </c>
      <c r="J48" s="479">
        <f ca="1">rack_assembly_markup*(SUMPRODUCT(J36:J43,L36:L43)+J47*L47)</f>
        <v>156329.22651930427</v>
      </c>
      <c r="K48" s="691">
        <f ca="1">Rack_cost_for_UL/Rack_depreciation</f>
        <v>30.340711618725845</v>
      </c>
      <c r="L48" s="523">
        <v>1</v>
      </c>
      <c r="M48" s="886" t="str">
        <f>$B$34&amp;" - "&amp;B48</f>
        <v>Membrane Process - Markup for Rack Assembly</v>
      </c>
      <c r="N48" s="238">
        <v>1</v>
      </c>
      <c r="O48" s="238">
        <v>1</v>
      </c>
      <c r="P48" s="238">
        <v>1</v>
      </c>
      <c r="Q48" s="238">
        <v>1</v>
      </c>
      <c r="R48" s="238">
        <v>1</v>
      </c>
      <c r="S48" s="238">
        <v>1</v>
      </c>
      <c r="T48" s="238">
        <v>1</v>
      </c>
      <c r="U48" s="238">
        <v>1</v>
      </c>
      <c r="V48" s="238">
        <v>1</v>
      </c>
      <c r="W48" s="1096">
        <f t="shared" ca="1" si="0"/>
        <v>1</v>
      </c>
      <c r="X48" s="1097">
        <f t="shared" ca="1" si="1"/>
        <v>5152.4574796993275</v>
      </c>
      <c r="Y48" s="472"/>
    </row>
    <row r="49" spans="1:25" s="1021" customFormat="1">
      <c r="A49" s="336">
        <v>2</v>
      </c>
      <c r="B49" s="337" t="s">
        <v>1602</v>
      </c>
      <c r="C49" s="425"/>
      <c r="D49" s="338"/>
      <c r="E49" s="425"/>
      <c r="F49" s="337"/>
      <c r="G49" s="425"/>
      <c r="H49" s="337"/>
      <c r="I49" s="425"/>
      <c r="J49" s="425"/>
      <c r="K49" s="425"/>
      <c r="L49" s="426"/>
      <c r="M49" s="886"/>
      <c r="N49" s="238"/>
      <c r="O49" s="238"/>
      <c r="P49" s="238"/>
      <c r="Q49" s="238"/>
      <c r="R49" s="238"/>
      <c r="S49" s="238"/>
      <c r="T49" s="238"/>
      <c r="U49" s="238"/>
      <c r="V49" s="238"/>
      <c r="W49" s="1096">
        <f t="shared" si="0"/>
        <v>0</v>
      </c>
      <c r="X49" s="1097">
        <f t="shared" si="1"/>
        <v>0</v>
      </c>
      <c r="Y49" s="472"/>
    </row>
    <row r="50" spans="1:25" s="1021" customFormat="1">
      <c r="A50" s="473">
        <v>2.1</v>
      </c>
      <c r="B50" s="474" t="s">
        <v>4154</v>
      </c>
      <c r="C50" s="481"/>
      <c r="D50" s="482"/>
      <c r="E50" s="481"/>
      <c r="F50" s="474"/>
      <c r="G50" s="481"/>
      <c r="H50" s="474"/>
      <c r="I50" s="481"/>
      <c r="J50" s="481"/>
      <c r="K50" s="481"/>
      <c r="L50" s="483"/>
      <c r="M50" s="886"/>
      <c r="N50" s="238"/>
      <c r="O50" s="238"/>
      <c r="P50" s="238"/>
      <c r="Q50" s="238"/>
      <c r="R50" s="238"/>
      <c r="S50" s="238"/>
      <c r="T50" s="238"/>
      <c r="U50" s="238"/>
      <c r="V50" s="238"/>
      <c r="W50" s="1096">
        <f t="shared" si="0"/>
        <v>0</v>
      </c>
      <c r="X50" s="1097">
        <f t="shared" si="1"/>
        <v>0</v>
      </c>
      <c r="Y50" s="472"/>
    </row>
    <row r="51" spans="1:25" s="1021" customFormat="1">
      <c r="A51" s="484" t="s">
        <v>3172</v>
      </c>
      <c r="B51" s="485" t="s">
        <v>5167</v>
      </c>
      <c r="C51" s="486">
        <f ca="1">acid_tanks</f>
        <v>1</v>
      </c>
      <c r="D51" s="487" t="s">
        <v>2192</v>
      </c>
      <c r="E51" s="488">
        <f ca="1">IF(C51=0,"NA",acid_tank_size)</f>
        <v>2887</v>
      </c>
      <c r="F51" s="485" t="str">
        <f ca="1">IF(C51=0,"","gal")</f>
        <v>gal</v>
      </c>
      <c r="G51" s="488">
        <f ca="1">IF(C51=0,"NA",IF(curve=1,acid_tank_size,VLOOKUP(acid_tank_size,pl_cst_cost_cl,2)))</f>
        <v>2887</v>
      </c>
      <c r="H51" s="485" t="str">
        <f ca="1">IF(C51=0,"","gal")</f>
        <v>gal</v>
      </c>
      <c r="I51" s="489">
        <f ca="1">IF(C51=0,"NA",IF(curve=1,pl_cst_eq_acid,VLOOKUP(acid_tank_size,pl_cst_cost_cl,3)))</f>
        <v>5541.1959969549998</v>
      </c>
      <c r="J51" s="490">
        <f ca="1">IF(OR(I51="contact vendor",I51="NA"),"--",C51*I51)</f>
        <v>5541.1959969549998</v>
      </c>
      <c r="K51" s="486">
        <f ca="1">IF(C51=0,"NA",VLOOKUP(acid_tank_size,pl_cst_cost_cl,IF(ss_cat="large",4,5)))</f>
        <v>10</v>
      </c>
      <c r="L51" s="491">
        <v>1</v>
      </c>
      <c r="M51" s="886" t="str">
        <f>$B$50&amp;" - "&amp;B51</f>
        <v>Pretreatment Acid Storage Tanks - Plastic (HXLPE)</v>
      </c>
      <c r="N51" s="238">
        <v>1</v>
      </c>
      <c r="O51" s="238">
        <v>2</v>
      </c>
      <c r="P51" s="238">
        <v>2</v>
      </c>
      <c r="Q51" s="238">
        <v>1</v>
      </c>
      <c r="R51" s="238">
        <v>2</v>
      </c>
      <c r="S51" s="238">
        <v>2</v>
      </c>
      <c r="T51" s="238">
        <v>1</v>
      </c>
      <c r="U51" s="238">
        <v>2</v>
      </c>
      <c r="V51" s="238">
        <v>2</v>
      </c>
      <c r="W51" s="1096">
        <f t="shared" ca="1" si="0"/>
        <v>1</v>
      </c>
      <c r="X51" s="1097">
        <f t="shared" ca="1" si="1"/>
        <v>554.11959969550003</v>
      </c>
      <c r="Y51" s="472"/>
    </row>
    <row r="52" spans="1:25" s="1021" customFormat="1">
      <c r="A52" s="484" t="s">
        <v>3172</v>
      </c>
      <c r="B52" s="485" t="s">
        <v>4155</v>
      </c>
      <c r="C52" s="486">
        <f ca="1">acid_tanks</f>
        <v>1</v>
      </c>
      <c r="D52" s="487" t="s">
        <v>2192</v>
      </c>
      <c r="E52" s="488">
        <f ca="1">IF(C52=0,"NA",acid_tank_size)</f>
        <v>2887</v>
      </c>
      <c r="F52" s="485" t="str">
        <f ca="1">IF(C52=0,"","gal")</f>
        <v>gal</v>
      </c>
      <c r="G52" s="488">
        <f ca="1">IF(C52=0,"NA",IF(curve=1,acid_tank_size,VLOOKUP(acid_tank_size,fg_cst_cost_cl,2)))</f>
        <v>2887</v>
      </c>
      <c r="H52" s="485" t="str">
        <f ca="1">IF(C52=0,"","gal")</f>
        <v>gal</v>
      </c>
      <c r="I52" s="489">
        <f ca="1">IF(C52=0,"NA",IF(curve=1,fg_cst_eq_acid,VLOOKUP(acid_tank_size,fg_cst_cost_cl,3)))</f>
        <v>20984.780323507097</v>
      </c>
      <c r="J52" s="490">
        <f ca="1">IF(OR(I52="contact vendor",I52="NA"),"--",C52*I52)</f>
        <v>20984.780323507097</v>
      </c>
      <c r="K52" s="486">
        <f ca="1">IF(C52=0,"NA",VLOOKUP(acid_tank_size,fg_cst_cost_cl,IF(ss_cat="large",4,5)))</f>
        <v>10</v>
      </c>
      <c r="L52" s="491">
        <v>0</v>
      </c>
      <c r="M52" s="886" t="str">
        <f>$B$50&amp;" - "&amp;B52</f>
        <v>Pretreatment Acid Storage Tanks - Fiberglass</v>
      </c>
      <c r="N52" s="238">
        <v>2</v>
      </c>
      <c r="O52" s="238">
        <v>1</v>
      </c>
      <c r="P52" s="238">
        <v>1</v>
      </c>
      <c r="Q52" s="238">
        <v>2</v>
      </c>
      <c r="R52" s="238">
        <v>1</v>
      </c>
      <c r="S52" s="238">
        <v>1</v>
      </c>
      <c r="T52" s="238">
        <v>2</v>
      </c>
      <c r="U52" s="238">
        <v>1</v>
      </c>
      <c r="V52" s="238">
        <v>1</v>
      </c>
      <c r="W52" s="1096">
        <f t="shared" ca="1" si="0"/>
        <v>0</v>
      </c>
      <c r="X52" s="1097">
        <f t="shared" ca="1" si="1"/>
        <v>0</v>
      </c>
      <c r="Y52" s="472"/>
    </row>
    <row r="53" spans="1:25" s="1021" customFormat="1">
      <c r="A53" s="484" t="s">
        <v>5385</v>
      </c>
      <c r="B53" s="485" t="s">
        <v>5389</v>
      </c>
      <c r="C53" s="486">
        <f ca="1">IF(OR(include_sec_cont=0,acid_tanks=0),0,acid_st_curb_concrete)</f>
        <v>6</v>
      </c>
      <c r="D53" s="487" t="s">
        <v>3747</v>
      </c>
      <c r="E53" s="499" t="s">
        <v>3743</v>
      </c>
      <c r="F53" s="581"/>
      <c r="G53" s="499" t="s">
        <v>3743</v>
      </c>
      <c r="H53" s="581"/>
      <c r="I53" s="501">
        <f ca="1">IF(C53=0,"NA",VLOOKUP(0,conc_basin_cost_cl,3))</f>
        <v>739.60558874747949</v>
      </c>
      <c r="J53" s="490">
        <f ca="1">IF(C53=0,"--",IF(I53="contact vendor","--",C53*I53))</f>
        <v>4437.6335324848769</v>
      </c>
      <c r="K53" s="497">
        <f ca="1">IF(C53=0,"NA",VLOOKUP(0,conc_basin_cost_cl,IF(ss_cat="large",4,5)))</f>
        <v>40</v>
      </c>
      <c r="L53" s="491">
        <v>1</v>
      </c>
      <c r="M53" s="886" t="str">
        <f t="shared" ref="M53:M54" si="3">$B$50&amp;" - "&amp;B53</f>
        <v>Pretreatment Acid Storage Tanks - Secondary Containment - Concrete Curbing</v>
      </c>
      <c r="N53" s="238">
        <v>1</v>
      </c>
      <c r="O53" s="238">
        <v>1</v>
      </c>
      <c r="P53" s="238">
        <v>1</v>
      </c>
      <c r="Q53" s="238">
        <v>1</v>
      </c>
      <c r="R53" s="238">
        <v>1</v>
      </c>
      <c r="S53" s="238">
        <v>1</v>
      </c>
      <c r="T53" s="238">
        <v>1</v>
      </c>
      <c r="U53" s="238">
        <v>1</v>
      </c>
      <c r="V53" s="238">
        <v>1</v>
      </c>
      <c r="W53" s="1096">
        <f t="shared" ref="W53:W54" ca="1" si="4">IF(ISERROR(K53*L53),0,IF(K53&lt;1,0,L53))</f>
        <v>1</v>
      </c>
      <c r="X53" s="1097">
        <f t="shared" ref="X53:X54" ca="1" si="5">IF(W53,J53/K53,0)</f>
        <v>110.94083831212193</v>
      </c>
      <c r="Y53" s="472"/>
    </row>
    <row r="54" spans="1:25" s="1021" customFormat="1">
      <c r="A54" s="484" t="s">
        <v>5386</v>
      </c>
      <c r="B54" s="485" t="s">
        <v>5390</v>
      </c>
      <c r="C54" s="486">
        <f ca="1">IF(OR(include_sec_cont=0,acid_tanks=0),0,acid_st_coating_gal)</f>
        <v>4</v>
      </c>
      <c r="D54" s="487" t="s">
        <v>4311</v>
      </c>
      <c r="E54" s="499" t="s">
        <v>3743</v>
      </c>
      <c r="F54" s="581"/>
      <c r="G54" s="499" t="s">
        <v>3743</v>
      </c>
      <c r="H54" s="581"/>
      <c r="I54" s="501">
        <f ca="1">IF(C54=0,"NA",VLOOKUP(0,conc_coating_cost_cl,3))</f>
        <v>389.13</v>
      </c>
      <c r="J54" s="490">
        <f ca="1">IF(C54=0,"--",IF(I54="contact vendor","--",C54*I54))</f>
        <v>1556.52</v>
      </c>
      <c r="K54" s="497">
        <f ca="1">IF(C54=0,"NA",VLOOKUP(0,conc_coating_cost_cl,IF(ss_cat="large",4,5)))</f>
        <v>10</v>
      </c>
      <c r="L54" s="491">
        <v>1</v>
      </c>
      <c r="M54" s="886" t="str">
        <f t="shared" si="3"/>
        <v>Pretreatment Acid Storage Tanks - Secondary Containment - Chemical Resistant Coating</v>
      </c>
      <c r="N54" s="238">
        <v>1</v>
      </c>
      <c r="O54" s="238">
        <v>1</v>
      </c>
      <c r="P54" s="238">
        <v>1</v>
      </c>
      <c r="Q54" s="238">
        <v>1</v>
      </c>
      <c r="R54" s="238">
        <v>1</v>
      </c>
      <c r="S54" s="238">
        <v>1</v>
      </c>
      <c r="T54" s="238">
        <v>1</v>
      </c>
      <c r="U54" s="238">
        <v>1</v>
      </c>
      <c r="V54" s="238">
        <v>1</v>
      </c>
      <c r="W54" s="1096">
        <f t="shared" ca="1" si="4"/>
        <v>1</v>
      </c>
      <c r="X54" s="1097">
        <f t="shared" ca="1" si="5"/>
        <v>155.65199999999999</v>
      </c>
      <c r="Y54" s="472"/>
    </row>
    <row r="55" spans="1:25" s="1021" customFormat="1">
      <c r="A55" s="752">
        <v>2.2000000000000002</v>
      </c>
      <c r="B55" s="945" t="s">
        <v>5425</v>
      </c>
      <c r="C55" s="576"/>
      <c r="D55" s="577"/>
      <c r="E55" s="576"/>
      <c r="F55" s="733"/>
      <c r="G55" s="753"/>
      <c r="H55" s="733"/>
      <c r="I55" s="578"/>
      <c r="J55" s="576"/>
      <c r="K55" s="576"/>
      <c r="L55" s="754"/>
      <c r="M55" s="886"/>
      <c r="N55" s="238"/>
      <c r="O55" s="238"/>
      <c r="P55" s="238"/>
      <c r="Q55" s="238"/>
      <c r="R55" s="238"/>
      <c r="S55" s="238"/>
      <c r="T55" s="238"/>
      <c r="U55" s="238"/>
      <c r="V55" s="238"/>
      <c r="W55" s="1096">
        <f>IF(ISERROR(K55*L55),0,IF(K55&lt;1,0,L55))</f>
        <v>0</v>
      </c>
      <c r="X55" s="1097">
        <f>IF(W55,J55/K55,0)</f>
        <v>0</v>
      </c>
      <c r="Y55" s="472"/>
    </row>
    <row r="56" spans="1:25" s="1021" customFormat="1">
      <c r="A56" s="508" t="s">
        <v>3173</v>
      </c>
      <c r="B56" s="509" t="s">
        <v>5170</v>
      </c>
      <c r="C56" s="608">
        <f ca="1">acid_day_tanks</f>
        <v>1</v>
      </c>
      <c r="D56" s="582" t="s">
        <v>2192</v>
      </c>
      <c r="E56" s="755">
        <f ca="1">IF(C56=0,"NA",acid_day_tank_vol)</f>
        <v>97</v>
      </c>
      <c r="F56" s="608" t="str">
        <f ca="1">IF(C56=0,"","gal")</f>
        <v>gal</v>
      </c>
      <c r="G56" s="755">
        <f ca="1">IF(C56=0,"NA",IF(curve=1,acid_day_tank_vol,VLOOKUP(acid_day_tank_vol,pl_cst_cost_cl,2)))</f>
        <v>97</v>
      </c>
      <c r="H56" s="608" t="str">
        <f ca="1">IF(C56=0,"","gal")</f>
        <v>gal</v>
      </c>
      <c r="I56" s="756">
        <f ca="1">IF(C56=0,"NA",IF(curve=1,pl_acid_day_eq,VLOOKUP(acid_day_tank_vol,pl_cst_cost_cl,3)))</f>
        <v>821.757901285</v>
      </c>
      <c r="J56" s="757">
        <f ca="1">IF(C56=0,"--",IF(I56="contact vendor","--",C56*I56))</f>
        <v>821.757901285</v>
      </c>
      <c r="K56" s="758">
        <f ca="1">IF(C56=0,"NA",VLOOKUP(acid_day_tank_vol,pl_cst_cost_cl,IF(ss_cat="large",4,5)))</f>
        <v>10</v>
      </c>
      <c r="L56" s="491">
        <v>1</v>
      </c>
      <c r="M56" s="886" t="str">
        <f>$B$55&amp;" - "&amp;B56</f>
        <v>Pretreatment Acid Day Tanks - Plastic/XLPE</v>
      </c>
      <c r="N56" s="238">
        <v>1</v>
      </c>
      <c r="O56" s="238">
        <v>2</v>
      </c>
      <c r="P56" s="238">
        <v>2</v>
      </c>
      <c r="Q56" s="238">
        <v>1</v>
      </c>
      <c r="R56" s="238">
        <v>2</v>
      </c>
      <c r="S56" s="238">
        <v>2</v>
      </c>
      <c r="T56" s="238">
        <v>1</v>
      </c>
      <c r="U56" s="238">
        <v>2</v>
      </c>
      <c r="V56" s="238">
        <v>2</v>
      </c>
      <c r="W56" s="1096">
        <f ca="1">IF(ISERROR(K56*L56),0,IF(K56&lt;1,0,L56))</f>
        <v>1</v>
      </c>
      <c r="X56" s="1097">
        <f ca="1">IF(W56,J56/K56,0)</f>
        <v>82.175790128499997</v>
      </c>
      <c r="Y56" s="472"/>
    </row>
    <row r="57" spans="1:25" s="1021" customFormat="1">
      <c r="A57" s="508" t="s">
        <v>3173</v>
      </c>
      <c r="B57" s="509" t="s">
        <v>4155</v>
      </c>
      <c r="C57" s="608">
        <f ca="1">acid_day_tanks</f>
        <v>1</v>
      </c>
      <c r="D57" s="582" t="s">
        <v>2192</v>
      </c>
      <c r="E57" s="755">
        <f ca="1">IF(C57=0,"NA",acid_day_tank_vol)</f>
        <v>97</v>
      </c>
      <c r="F57" s="608" t="str">
        <f ca="1">IF(C57=0,"","gal")</f>
        <v>gal</v>
      </c>
      <c r="G57" s="755">
        <f ca="1">IF(C57=0,"NA",IF(curve=1,acid_day_tank_vol,VLOOKUP(acid_day_tank_vol,fg_cst_cost_cl,2)))</f>
        <v>97</v>
      </c>
      <c r="H57" s="608" t="str">
        <f ca="1">IF(C57=0,"","gal")</f>
        <v>gal</v>
      </c>
      <c r="I57" s="756">
        <f ca="1">IF(C57=0,"NA",IF(curve=1,fg_acid_day_eq,VLOOKUP(acid_day_tank_vol,fg_cst_cost_cl,3)))</f>
        <v>3231.1308425945081</v>
      </c>
      <c r="J57" s="757">
        <f ca="1">IF(C57=0,"--",IF(I57="contact vendor","--",C57*I57))</f>
        <v>3231.1308425945081</v>
      </c>
      <c r="K57" s="758">
        <f ca="1">IF(C57=0,"NA",VLOOKUP(acid_day_tank_vol,fg_cst_cost_cl,IF(ss_cat="large",4,5)))</f>
        <v>10</v>
      </c>
      <c r="L57" s="491">
        <v>0</v>
      </c>
      <c r="M57" s="886" t="str">
        <f>$B$55&amp;" - "&amp;B57</f>
        <v>Pretreatment Acid Day Tanks - Fiberglass</v>
      </c>
      <c r="N57" s="238">
        <v>2</v>
      </c>
      <c r="O57" s="238">
        <v>1</v>
      </c>
      <c r="P57" s="238">
        <v>1</v>
      </c>
      <c r="Q57" s="238">
        <v>2</v>
      </c>
      <c r="R57" s="238">
        <v>1</v>
      </c>
      <c r="S57" s="238">
        <v>1</v>
      </c>
      <c r="T57" s="238">
        <v>2</v>
      </c>
      <c r="U57" s="238">
        <v>1</v>
      </c>
      <c r="V57" s="238">
        <v>1</v>
      </c>
      <c r="W57" s="1096">
        <f ca="1">IF(ISERROR(K57*L57),0,IF(K57&lt;1,0,L57))</f>
        <v>0</v>
      </c>
      <c r="X57" s="1097">
        <f ca="1">IF(W57,J57/K57,0)</f>
        <v>0</v>
      </c>
      <c r="Y57" s="472"/>
    </row>
    <row r="58" spans="1:25" s="1021" customFormat="1">
      <c r="A58" s="508" t="s">
        <v>5387</v>
      </c>
      <c r="B58" s="509" t="s">
        <v>5389</v>
      </c>
      <c r="C58" s="486">
        <f ca="1">IF(OR(include_sec_cont=0,acid_day_tanks=0),0,acid_dt_curb_concrete)</f>
        <v>1</v>
      </c>
      <c r="D58" s="487" t="s">
        <v>3747</v>
      </c>
      <c r="E58" s="499" t="s">
        <v>3743</v>
      </c>
      <c r="F58" s="581"/>
      <c r="G58" s="499" t="s">
        <v>3743</v>
      </c>
      <c r="H58" s="581"/>
      <c r="I58" s="501">
        <f ca="1">IF(C58=0,"NA",VLOOKUP(0,conc_basin_cost_cl,3))</f>
        <v>739.60558874747949</v>
      </c>
      <c r="J58" s="490">
        <f ca="1">IF(C58=0,"--",IF(I58="contact vendor","--",C58*I58))</f>
        <v>739.60558874747949</v>
      </c>
      <c r="K58" s="497">
        <f ca="1">IF(C58=0,"NA",VLOOKUP(0,conc_basin_cost_cl,IF(ss_cat="large",4,5)))</f>
        <v>40</v>
      </c>
      <c r="L58" s="491">
        <v>1</v>
      </c>
      <c r="M58" s="886" t="str">
        <f>$B$55&amp;" - "&amp;B58</f>
        <v>Pretreatment Acid Day Tanks - Secondary Containment - Concrete Curbing</v>
      </c>
      <c r="N58" s="238">
        <v>1</v>
      </c>
      <c r="O58" s="238">
        <v>1</v>
      </c>
      <c r="P58" s="238">
        <v>1</v>
      </c>
      <c r="Q58" s="238">
        <v>1</v>
      </c>
      <c r="R58" s="238">
        <v>1</v>
      </c>
      <c r="S58" s="238">
        <v>1</v>
      </c>
      <c r="T58" s="238">
        <v>1</v>
      </c>
      <c r="U58" s="238">
        <v>1</v>
      </c>
      <c r="V58" s="238">
        <v>1</v>
      </c>
      <c r="W58" s="1096">
        <f t="shared" ref="W58:W59" ca="1" si="6">IF(ISERROR(K58*L58),0,IF(K58&lt;1,0,L58))</f>
        <v>1</v>
      </c>
      <c r="X58" s="1097">
        <f t="shared" ref="X58:X59" ca="1" si="7">IF(W58,J58/K58,0)</f>
        <v>18.490139718686986</v>
      </c>
      <c r="Y58" s="472"/>
    </row>
    <row r="59" spans="1:25" s="1021" customFormat="1">
      <c r="A59" s="508" t="s">
        <v>5388</v>
      </c>
      <c r="B59" s="509" t="s">
        <v>5390</v>
      </c>
      <c r="C59" s="486">
        <f ca="1">IF(OR(include_sec_cont=0,acid_day_tanks=0),0,acid_dt_coating_gal)</f>
        <v>1</v>
      </c>
      <c r="D59" s="487" t="s">
        <v>4311</v>
      </c>
      <c r="E59" s="499" t="s">
        <v>3743</v>
      </c>
      <c r="F59" s="581"/>
      <c r="G59" s="499" t="s">
        <v>3743</v>
      </c>
      <c r="H59" s="581"/>
      <c r="I59" s="501">
        <f ca="1">IF(C59=0,"NA",VLOOKUP(0,conc_coating_cost_cl,3))</f>
        <v>389.13</v>
      </c>
      <c r="J59" s="490">
        <f ca="1">IF(C59=0,"--",IF(I59="contact vendor","--",C59*I59))</f>
        <v>389.13</v>
      </c>
      <c r="K59" s="497">
        <f ca="1">IF(C59=0,"NA",VLOOKUP(0,conc_coating_cost_cl,IF(ss_cat="large",4,5)))</f>
        <v>10</v>
      </c>
      <c r="L59" s="491">
        <v>1</v>
      </c>
      <c r="M59" s="886" t="str">
        <f>$B$55&amp;" - "&amp;B59</f>
        <v>Pretreatment Acid Day Tanks - Secondary Containment - Chemical Resistant Coating</v>
      </c>
      <c r="N59" s="238">
        <v>1</v>
      </c>
      <c r="O59" s="238">
        <v>1</v>
      </c>
      <c r="P59" s="238">
        <v>1</v>
      </c>
      <c r="Q59" s="238">
        <v>1</v>
      </c>
      <c r="R59" s="238">
        <v>1</v>
      </c>
      <c r="S59" s="238">
        <v>1</v>
      </c>
      <c r="T59" s="238">
        <v>1</v>
      </c>
      <c r="U59" s="238">
        <v>1</v>
      </c>
      <c r="V59" s="238">
        <v>1</v>
      </c>
      <c r="W59" s="1096">
        <f t="shared" ca="1" si="6"/>
        <v>1</v>
      </c>
      <c r="X59" s="1097">
        <f t="shared" ca="1" si="7"/>
        <v>38.912999999999997</v>
      </c>
      <c r="Y59" s="472"/>
    </row>
    <row r="60" spans="1:25" s="1021" customFormat="1">
      <c r="A60" s="473" t="s">
        <v>5427</v>
      </c>
      <c r="B60" s="474" t="s">
        <v>502</v>
      </c>
      <c r="C60" s="481"/>
      <c r="D60" s="482"/>
      <c r="E60" s="481"/>
      <c r="F60" s="474"/>
      <c r="G60" s="481"/>
      <c r="H60" s="474"/>
      <c r="I60" s="481"/>
      <c r="J60" s="481"/>
      <c r="K60" s="481"/>
      <c r="L60" s="483"/>
      <c r="M60" s="886"/>
      <c r="N60" s="238"/>
      <c r="O60" s="238"/>
      <c r="P60" s="238"/>
      <c r="Q60" s="238"/>
      <c r="R60" s="238"/>
      <c r="S60" s="238"/>
      <c r="T60" s="238"/>
      <c r="U60" s="238"/>
      <c r="V60" s="238"/>
      <c r="W60" s="1096">
        <f>IF(ISERROR(K60*L60),0,IF(K60&lt;1,0,L60))</f>
        <v>0</v>
      </c>
      <c r="X60" s="1097">
        <f>IF(W60,J60/K60,0)</f>
        <v>0</v>
      </c>
      <c r="Y60" s="472"/>
    </row>
    <row r="61" spans="1:25" s="1021" customFormat="1">
      <c r="A61" s="484" t="s">
        <v>3174</v>
      </c>
      <c r="B61" s="485" t="s">
        <v>5168</v>
      </c>
      <c r="C61" s="486">
        <f>anti_tanks</f>
        <v>1</v>
      </c>
      <c r="D61" s="487" t="s">
        <v>2192</v>
      </c>
      <c r="E61" s="488">
        <f>IF(C61=0,"NA",anti_tank_size)</f>
        <v>268</v>
      </c>
      <c r="F61" s="485" t="str">
        <f>IF(C61=0,"","gal")</f>
        <v>gal</v>
      </c>
      <c r="G61" s="488">
        <f>IF(C61=0,"NA",IF(curve=1,anti_tank_size,VLOOKUP(anti_tank_size,pl_cst_cost_cl,2)))</f>
        <v>268</v>
      </c>
      <c r="H61" s="485" t="str">
        <f>IF(C61=0,"","gal")</f>
        <v>gal</v>
      </c>
      <c r="I61" s="489">
        <f>IF(C61=0,"NA",IF(curve=1,pl_cst_eq_anti,VLOOKUP(anti_tank_size,pl_cst_cost_cl,3)))</f>
        <v>1025.9936825589998</v>
      </c>
      <c r="J61" s="490">
        <f>IF(OR(I61="contact vendor",I61="NA"),"--",C61*I61)</f>
        <v>1025.9936825589998</v>
      </c>
      <c r="K61" s="486">
        <f>IF(C61=0,"NA",VLOOKUP(anti_tank_size,pl_cst_cost_cl,IF(ss_cat="large",4,5)))</f>
        <v>10</v>
      </c>
      <c r="L61" s="491">
        <v>1</v>
      </c>
      <c r="M61" s="886" t="str">
        <f>$B$60&amp;" - "&amp;B61</f>
        <v>Pretreatment Antiscalant Tanks - Plastic (XLPE)</v>
      </c>
      <c r="N61" s="238">
        <v>1</v>
      </c>
      <c r="O61" s="238">
        <v>2</v>
      </c>
      <c r="P61" s="238">
        <v>3</v>
      </c>
      <c r="Q61" s="238">
        <v>1</v>
      </c>
      <c r="R61" s="238">
        <v>2</v>
      </c>
      <c r="S61" s="238">
        <v>3</v>
      </c>
      <c r="T61" s="238">
        <v>1</v>
      </c>
      <c r="U61" s="238">
        <v>2</v>
      </c>
      <c r="V61" s="238">
        <v>3</v>
      </c>
      <c r="W61" s="1096">
        <f>IF(ISERROR(K61*L61),0,IF(K61&lt;1,0,L61))</f>
        <v>1</v>
      </c>
      <c r="X61" s="1097">
        <f>IF(W61,J61/K61,0)</f>
        <v>102.59936825589998</v>
      </c>
      <c r="Y61" s="472"/>
    </row>
    <row r="62" spans="1:25" s="1021" customFormat="1">
      <c r="A62" s="484" t="s">
        <v>3174</v>
      </c>
      <c r="B62" s="485" t="s">
        <v>4155</v>
      </c>
      <c r="C62" s="486">
        <f>anti_tanks</f>
        <v>1</v>
      </c>
      <c r="D62" s="487" t="s">
        <v>2192</v>
      </c>
      <c r="E62" s="488">
        <f>IF(C62=0,"NA",anti_tank_size)</f>
        <v>268</v>
      </c>
      <c r="F62" s="485" t="str">
        <f>IF(C62=0,"","gal")</f>
        <v>gal</v>
      </c>
      <c r="G62" s="488">
        <f>IF(C62=0,"NA",IF(curve=1,anti_tank_size,VLOOKUP(anti_tank_size,fg_cst_cost_cl,2)))</f>
        <v>268</v>
      </c>
      <c r="H62" s="485" t="str">
        <f>IF(C62=0,"","gal")</f>
        <v>gal</v>
      </c>
      <c r="I62" s="489">
        <f>IF(C62=0,"NA",IF(curve=1,fg_cst_eq_anti,VLOOKUP(anti_tank_size,fg_cst_cost_cl,3)))</f>
        <v>5658.6364316687659</v>
      </c>
      <c r="J62" s="490">
        <f>IF(OR(I62="contact vendor",I62="NA"),"--",C62*I62)</f>
        <v>5658.6364316687659</v>
      </c>
      <c r="K62" s="486">
        <f>IF(C62=0,"NA",VLOOKUP(anti_tank_size,fg_cst_cost_cl,IF(ss_cat="large",4,5)))</f>
        <v>10</v>
      </c>
      <c r="L62" s="491">
        <v>0</v>
      </c>
      <c r="M62" s="886" t="str">
        <f>$B$60&amp;" - "&amp;B62</f>
        <v>Pretreatment Antiscalant Tanks - Fiberglass</v>
      </c>
      <c r="N62" s="238">
        <v>2</v>
      </c>
      <c r="O62" s="238">
        <v>1</v>
      </c>
      <c r="P62" s="238">
        <v>2</v>
      </c>
      <c r="Q62" s="238">
        <v>2</v>
      </c>
      <c r="R62" s="238">
        <v>1</v>
      </c>
      <c r="S62" s="238">
        <v>2</v>
      </c>
      <c r="T62" s="238">
        <v>2</v>
      </c>
      <c r="U62" s="238">
        <v>1</v>
      </c>
      <c r="V62" s="238">
        <v>2</v>
      </c>
      <c r="W62" s="1096">
        <f>IF(ISERROR(K62*L62),0,IF(K62&lt;1,0,L62))</f>
        <v>0</v>
      </c>
      <c r="X62" s="1097">
        <f>IF(W62,J62/K62,0)</f>
        <v>0</v>
      </c>
      <c r="Y62" s="472"/>
    </row>
    <row r="63" spans="1:25" s="1021" customFormat="1">
      <c r="A63" s="484" t="s">
        <v>3174</v>
      </c>
      <c r="B63" s="485" t="s">
        <v>2474</v>
      </c>
      <c r="C63" s="486">
        <f>anti_tanks</f>
        <v>1</v>
      </c>
      <c r="D63" s="487" t="s">
        <v>2192</v>
      </c>
      <c r="E63" s="488">
        <f>IF(C63=0,"NA",anti_tank_size)</f>
        <v>268</v>
      </c>
      <c r="F63" s="485" t="str">
        <f>IF(C63=0,"","gal")</f>
        <v>gal</v>
      </c>
      <c r="G63" s="488">
        <f>IF(C63=0,"NA",IF(curve=1,anti_tank_size,VLOOKUP(anti_tank_size,ss_cst_cost_cl,2)))</f>
        <v>268</v>
      </c>
      <c r="H63" s="485" t="str">
        <f>IF(C63=0,"","gal")</f>
        <v>gal</v>
      </c>
      <c r="I63" s="489">
        <f>IF(C63=0,"NA",IF(curve=1,ss_cst_eq_anti,VLOOKUP(anti_tank_size,ss_cst_cost_cl,3)))</f>
        <v>3364.648302255649</v>
      </c>
      <c r="J63" s="490">
        <f>IF(OR(I63="contact vendor",I63="NA"),"--",C63*I63)</f>
        <v>3364.648302255649</v>
      </c>
      <c r="K63" s="486">
        <f>IF(C63=0,"NA",VLOOKUP(anti_tank_size,ss_cst_cost_cl,IF(ss_cat="large",4,5)))</f>
        <v>35</v>
      </c>
      <c r="L63" s="491">
        <v>0</v>
      </c>
      <c r="M63" s="886" t="str">
        <f>$B$60&amp;" - "&amp;B63</f>
        <v>Pretreatment Antiscalant Tanks - Stainless Steel</v>
      </c>
      <c r="N63" s="238">
        <v>3</v>
      </c>
      <c r="O63" s="238">
        <v>3</v>
      </c>
      <c r="P63" s="238">
        <v>1</v>
      </c>
      <c r="Q63" s="238">
        <v>3</v>
      </c>
      <c r="R63" s="238">
        <v>3</v>
      </c>
      <c r="S63" s="238">
        <v>1</v>
      </c>
      <c r="T63" s="238">
        <v>3</v>
      </c>
      <c r="U63" s="238">
        <v>3</v>
      </c>
      <c r="V63" s="238">
        <v>1</v>
      </c>
      <c r="W63" s="1096">
        <f>IF(ISERROR(K63*L63),0,IF(K63&lt;1,0,L63))</f>
        <v>0</v>
      </c>
      <c r="X63" s="1097">
        <f>IF(W63,J63/K63,0)</f>
        <v>0</v>
      </c>
      <c r="Y63" s="472"/>
    </row>
    <row r="64" spans="1:25" s="1021" customFormat="1">
      <c r="A64" s="484" t="s">
        <v>5428</v>
      </c>
      <c r="B64" s="485" t="s">
        <v>5389</v>
      </c>
      <c r="C64" s="486">
        <f>IF(OR(include_sec_cont=0,anti_tanks=0),0,anti_st_curb_concrete)</f>
        <v>2</v>
      </c>
      <c r="D64" s="487" t="s">
        <v>3747</v>
      </c>
      <c r="E64" s="499" t="s">
        <v>3743</v>
      </c>
      <c r="F64" s="581"/>
      <c r="G64" s="499" t="s">
        <v>3743</v>
      </c>
      <c r="H64" s="581"/>
      <c r="I64" s="501">
        <f>IF(C64=0,"NA",VLOOKUP(0,conc_basin_cost_cl,3))</f>
        <v>739.60558874747949</v>
      </c>
      <c r="J64" s="490">
        <f>IF(C64=0,"--",IF(I64="contact vendor","--",C64*I64))</f>
        <v>1479.211177494959</v>
      </c>
      <c r="K64" s="497">
        <f>IF(C64=0,"NA",VLOOKUP(0,conc_basin_cost_cl,IF(ss_cat="large",4,5)))</f>
        <v>40</v>
      </c>
      <c r="L64" s="491">
        <v>1</v>
      </c>
      <c r="M64" s="886" t="str">
        <f t="shared" ref="M64:M65" si="8">$B$60&amp;" - "&amp;B64</f>
        <v>Pretreatment Antiscalant Tanks - Secondary Containment - Concrete Curbing</v>
      </c>
      <c r="N64" s="238">
        <v>1</v>
      </c>
      <c r="O64" s="238">
        <v>1</v>
      </c>
      <c r="P64" s="238">
        <v>1</v>
      </c>
      <c r="Q64" s="238">
        <v>1</v>
      </c>
      <c r="R64" s="238">
        <v>1</v>
      </c>
      <c r="S64" s="238">
        <v>1</v>
      </c>
      <c r="T64" s="238">
        <v>1</v>
      </c>
      <c r="U64" s="238">
        <v>1</v>
      </c>
      <c r="V64" s="238">
        <v>1</v>
      </c>
      <c r="W64" s="1096">
        <f t="shared" ref="W64:W65" si="9">IF(ISERROR(K64*L64),0,IF(K64&lt;1,0,L64))</f>
        <v>1</v>
      </c>
      <c r="X64" s="1097">
        <f t="shared" ref="X64:X65" si="10">IF(W64,J64/K64,0)</f>
        <v>36.980279437373973</v>
      </c>
      <c r="Y64" s="472"/>
    </row>
    <row r="65" spans="1:25" s="1021" customFormat="1">
      <c r="A65" s="484" t="s">
        <v>5429</v>
      </c>
      <c r="B65" s="485" t="s">
        <v>5390</v>
      </c>
      <c r="C65" s="486">
        <f>IF(OR(include_sec_cont=0,anti_tanks=0),0,anti_st_coating_gal)</f>
        <v>1</v>
      </c>
      <c r="D65" s="487" t="s">
        <v>4311</v>
      </c>
      <c r="E65" s="499" t="s">
        <v>3743</v>
      </c>
      <c r="F65" s="581"/>
      <c r="G65" s="499" t="s">
        <v>3743</v>
      </c>
      <c r="H65" s="581"/>
      <c r="I65" s="501">
        <f>IF(C65=0,"NA",VLOOKUP(0,conc_coating_cost_cl,3))</f>
        <v>389.13</v>
      </c>
      <c r="J65" s="490">
        <f>IF(C65=0,"--",IF(I65="contact vendor","--",C65*I65))</f>
        <v>389.13</v>
      </c>
      <c r="K65" s="497">
        <f>IF(C65=0,"NA",VLOOKUP(0,conc_coating_cost_cl,IF(ss_cat="large",4,5)))</f>
        <v>10</v>
      </c>
      <c r="L65" s="491">
        <v>1</v>
      </c>
      <c r="M65" s="886" t="str">
        <f t="shared" si="8"/>
        <v>Pretreatment Antiscalant Tanks - Secondary Containment - Chemical Resistant Coating</v>
      </c>
      <c r="N65" s="238">
        <v>1</v>
      </c>
      <c r="O65" s="238">
        <v>1</v>
      </c>
      <c r="P65" s="238">
        <v>1</v>
      </c>
      <c r="Q65" s="238">
        <v>1</v>
      </c>
      <c r="R65" s="238">
        <v>1</v>
      </c>
      <c r="S65" s="238">
        <v>1</v>
      </c>
      <c r="T65" s="238">
        <v>1</v>
      </c>
      <c r="U65" s="238">
        <v>1</v>
      </c>
      <c r="V65" s="238">
        <v>1</v>
      </c>
      <c r="W65" s="1096">
        <f t="shared" si="9"/>
        <v>1</v>
      </c>
      <c r="X65" s="1097">
        <f t="shared" si="10"/>
        <v>38.912999999999997</v>
      </c>
      <c r="Y65" s="472"/>
    </row>
    <row r="66" spans="1:25" s="1021" customFormat="1">
      <c r="A66" s="752">
        <v>2.4</v>
      </c>
      <c r="B66" s="945" t="s">
        <v>5426</v>
      </c>
      <c r="C66" s="576"/>
      <c r="D66" s="577"/>
      <c r="E66" s="576"/>
      <c r="F66" s="733"/>
      <c r="G66" s="753"/>
      <c r="H66" s="733"/>
      <c r="I66" s="578"/>
      <c r="J66" s="576"/>
      <c r="K66" s="576"/>
      <c r="L66" s="754"/>
      <c r="M66" s="886"/>
      <c r="N66" s="238"/>
      <c r="O66" s="238"/>
      <c r="P66" s="238"/>
      <c r="Q66" s="238"/>
      <c r="R66" s="238"/>
      <c r="S66" s="238"/>
      <c r="T66" s="238"/>
      <c r="U66" s="238"/>
      <c r="V66" s="238"/>
      <c r="W66" s="1096">
        <f>IF(ISERROR(K66*L66),0,IF(K66&lt;1,0,L66))</f>
        <v>0</v>
      </c>
      <c r="X66" s="1097">
        <f>IF(W66,J66/K66,0)</f>
        <v>0</v>
      </c>
      <c r="Y66" s="472"/>
    </row>
    <row r="67" spans="1:25" s="1021" customFormat="1">
      <c r="A67" s="508" t="s">
        <v>3175</v>
      </c>
      <c r="B67" s="509" t="s">
        <v>5170</v>
      </c>
      <c r="C67" s="608">
        <f>anti_day_tanks</f>
        <v>1</v>
      </c>
      <c r="D67" s="582" t="s">
        <v>2192</v>
      </c>
      <c r="E67" s="755">
        <f>IF(C67=0,"NA",anti_day_tank_vol)</f>
        <v>9</v>
      </c>
      <c r="F67" s="608" t="str">
        <f>IF(C67=0,"","gal")</f>
        <v>gal</v>
      </c>
      <c r="G67" s="755">
        <f>IF(C67=0,"NA",IF(curve=1,anti_day_tank_vol,VLOOKUP(anti_day_tank_vol,pl_cst_cost_cl,2)))</f>
        <v>9</v>
      </c>
      <c r="H67" s="608" t="str">
        <f>IF(C67=0,"","gal")</f>
        <v>gal</v>
      </c>
      <c r="I67" s="756">
        <f>IF(C67=0,"NA",IF(curve=1,pl_anti_day_eq,VLOOKUP(anti_day_tank_vol,pl_cst_cost_cl,3)))</f>
        <v>720.98096348499996</v>
      </c>
      <c r="J67" s="757">
        <f>IF(C67=0,"--",IF(I67="contact vendor","--",C67*I67))</f>
        <v>720.98096348499996</v>
      </c>
      <c r="K67" s="758">
        <f>IF(C67=0,"NA",VLOOKUP(anti_day_tank_vol,pl_cst_cost_cl,IF(ss_cat="large",4,5)))</f>
        <v>10</v>
      </c>
      <c r="L67" s="491">
        <v>1</v>
      </c>
      <c r="M67" s="886" t="str">
        <f>$B$66&amp;" - "&amp;B67</f>
        <v>Pretreatment Antiscalant Day Tanks - Plastic/XLPE</v>
      </c>
      <c r="N67" s="238">
        <v>1</v>
      </c>
      <c r="O67" s="238">
        <v>2</v>
      </c>
      <c r="P67" s="238">
        <v>3</v>
      </c>
      <c r="Q67" s="238">
        <v>1</v>
      </c>
      <c r="R67" s="238">
        <v>2</v>
      </c>
      <c r="S67" s="238">
        <v>3</v>
      </c>
      <c r="T67" s="238">
        <v>1</v>
      </c>
      <c r="U67" s="238">
        <v>2</v>
      </c>
      <c r="V67" s="238">
        <v>3</v>
      </c>
      <c r="W67" s="1096">
        <f>IF(ISERROR(K67*L67),0,IF(K67&lt;1,0,L67))</f>
        <v>1</v>
      </c>
      <c r="X67" s="1097">
        <f>IF(W67,J67/K67,0)</f>
        <v>72.098096348499993</v>
      </c>
      <c r="Y67" s="472"/>
    </row>
    <row r="68" spans="1:25" s="1021" customFormat="1">
      <c r="A68" s="508" t="s">
        <v>3175</v>
      </c>
      <c r="B68" s="509" t="s">
        <v>4155</v>
      </c>
      <c r="C68" s="608">
        <f>anti_day_tanks</f>
        <v>1</v>
      </c>
      <c r="D68" s="582" t="s">
        <v>2192</v>
      </c>
      <c r="E68" s="755">
        <f>IF(C68=0,"NA",anti_day_tank_vol)</f>
        <v>9</v>
      </c>
      <c r="F68" s="608" t="str">
        <f>IF(C68=0,"","gal")</f>
        <v>gal</v>
      </c>
      <c r="G68" s="755">
        <f>IF(C68=0,"NA",IF(curve=1,anti_day_tank_vol,VLOOKUP(anti_day_tank_vol,fg_cst_cost_cl,2)))</f>
        <v>9</v>
      </c>
      <c r="H68" s="608" t="str">
        <f>IF(C68=0,"","gal")</f>
        <v>gal</v>
      </c>
      <c r="I68" s="756">
        <f>IF(C68=0,"NA",IF(curve=1,fg_anti_day_eq,VLOOKUP(anti_day_tank_vol,fg_cst_cost_cl,3)))</f>
        <v>871.04808582340024</v>
      </c>
      <c r="J68" s="757">
        <f>IF(C68=0,"--",IF(I68="contact vendor","--",C68*I68))</f>
        <v>871.04808582340024</v>
      </c>
      <c r="K68" s="758">
        <f>IF(C68=0,"NA",VLOOKUP(anti_day_tank_vol,fg_cst_cost_cl,IF(ss_cat="large",4,5)))</f>
        <v>10</v>
      </c>
      <c r="L68" s="491">
        <v>0</v>
      </c>
      <c r="M68" s="886" t="str">
        <f>$B$66&amp;" - "&amp;B68</f>
        <v>Pretreatment Antiscalant Day Tanks - Fiberglass</v>
      </c>
      <c r="N68" s="238">
        <v>2</v>
      </c>
      <c r="O68" s="238">
        <v>1</v>
      </c>
      <c r="P68" s="238">
        <v>2</v>
      </c>
      <c r="Q68" s="238">
        <v>2</v>
      </c>
      <c r="R68" s="238">
        <v>1</v>
      </c>
      <c r="S68" s="238">
        <v>2</v>
      </c>
      <c r="T68" s="238">
        <v>2</v>
      </c>
      <c r="U68" s="238">
        <v>1</v>
      </c>
      <c r="V68" s="238">
        <v>2</v>
      </c>
      <c r="W68" s="1096">
        <f>IF(ISERROR(K68*L68),0,IF(K68&lt;1,0,L68))</f>
        <v>0</v>
      </c>
      <c r="X68" s="1097">
        <f>IF(W68,J68/K68,0)</f>
        <v>0</v>
      </c>
      <c r="Y68" s="472"/>
    </row>
    <row r="69" spans="1:25" s="1021" customFormat="1">
      <c r="A69" s="508" t="s">
        <v>3175</v>
      </c>
      <c r="B69" s="509" t="s">
        <v>2474</v>
      </c>
      <c r="C69" s="608">
        <f>anti_day_tanks</f>
        <v>1</v>
      </c>
      <c r="D69" s="582" t="s">
        <v>2192</v>
      </c>
      <c r="E69" s="755">
        <f>IF(C69=0,"NA",anti_day_tank_vol)</f>
        <v>9</v>
      </c>
      <c r="F69" s="608" t="str">
        <f>IF(C69=0,"","gal")</f>
        <v>gal</v>
      </c>
      <c r="G69" s="755">
        <f>IF(C69=0,"NA",IF(curve=1,anti_day_tank_vol,VLOOKUP(anti_day_tank_vol,ss_cst_cost_cl,2)))</f>
        <v>9</v>
      </c>
      <c r="H69" s="608" t="str">
        <f>IF(C69=0,"","gal")</f>
        <v>gal</v>
      </c>
      <c r="I69" s="756">
        <f>IF(C69=0,"NA",IF(curve=1,ss_anti_day_eq,VLOOKUP(anti_day_tank_vol,ss_cst_cost_cl,3)))</f>
        <v>283.13438073940387</v>
      </c>
      <c r="J69" s="757">
        <f>IF(C69=0,"--",IF(I69="contact vendor","--",C69*I69))</f>
        <v>283.13438073940387</v>
      </c>
      <c r="K69" s="758">
        <f>IF(C69=0,"NA",VLOOKUP(anti_day_tank_vol,ss_cst_cost_cl,IF(ss_cat="large",4,5)))</f>
        <v>35</v>
      </c>
      <c r="L69" s="491">
        <v>0</v>
      </c>
      <c r="M69" s="886" t="str">
        <f>$B$66&amp;" - "&amp;B69</f>
        <v>Pretreatment Antiscalant Day Tanks - Stainless Steel</v>
      </c>
      <c r="N69" s="238">
        <v>3</v>
      </c>
      <c r="O69" s="238">
        <v>3</v>
      </c>
      <c r="P69" s="238">
        <v>1</v>
      </c>
      <c r="Q69" s="238">
        <v>3</v>
      </c>
      <c r="R69" s="238">
        <v>3</v>
      </c>
      <c r="S69" s="238">
        <v>1</v>
      </c>
      <c r="T69" s="238">
        <v>3</v>
      </c>
      <c r="U69" s="238">
        <v>3</v>
      </c>
      <c r="V69" s="238">
        <v>1</v>
      </c>
      <c r="W69" s="1096">
        <f>IF(ISERROR(K69*L69),0,IF(K69&lt;1,0,L69))</f>
        <v>0</v>
      </c>
      <c r="X69" s="1097">
        <f>IF(W69,J69/K69,0)</f>
        <v>0</v>
      </c>
      <c r="Y69" s="472"/>
    </row>
    <row r="70" spans="1:25" s="1021" customFormat="1">
      <c r="A70" s="508" t="s">
        <v>3176</v>
      </c>
      <c r="B70" s="509" t="s">
        <v>5389</v>
      </c>
      <c r="C70" s="486">
        <f>IF(OR(include_sec_cont=0,anti_day_tanks=0),0,anti_dt_curb_concrete)</f>
        <v>1</v>
      </c>
      <c r="D70" s="487" t="s">
        <v>3747</v>
      </c>
      <c r="E70" s="499" t="s">
        <v>3743</v>
      </c>
      <c r="F70" s="581"/>
      <c r="G70" s="499" t="s">
        <v>3743</v>
      </c>
      <c r="H70" s="581"/>
      <c r="I70" s="501">
        <f>IF(C70=0,"NA",VLOOKUP(0,conc_basin_cost_cl,3))</f>
        <v>739.60558874747949</v>
      </c>
      <c r="J70" s="490">
        <f>IF(C70=0,"--",IF(I70="contact vendor","--",C70*I70))</f>
        <v>739.60558874747949</v>
      </c>
      <c r="K70" s="497">
        <f>IF(C70=0,"NA",VLOOKUP(0,conc_basin_cost_cl,IF(ss_cat="large",4,5)))</f>
        <v>40</v>
      </c>
      <c r="L70" s="491">
        <v>1</v>
      </c>
      <c r="M70" s="886" t="str">
        <f>$B$66&amp;" - "&amp;B70</f>
        <v>Pretreatment Antiscalant Day Tanks - Secondary Containment - Concrete Curbing</v>
      </c>
      <c r="N70" s="238">
        <v>1</v>
      </c>
      <c r="O70" s="238">
        <v>1</v>
      </c>
      <c r="P70" s="238">
        <v>1</v>
      </c>
      <c r="Q70" s="238">
        <v>1</v>
      </c>
      <c r="R70" s="238">
        <v>1</v>
      </c>
      <c r="S70" s="238">
        <v>1</v>
      </c>
      <c r="T70" s="238">
        <v>1</v>
      </c>
      <c r="U70" s="238">
        <v>1</v>
      </c>
      <c r="V70" s="238">
        <v>1</v>
      </c>
      <c r="W70" s="1096">
        <f t="shared" ref="W70:W71" si="11">IF(ISERROR(K70*L70),0,IF(K70&lt;1,0,L70))</f>
        <v>1</v>
      </c>
      <c r="X70" s="1097">
        <f t="shared" ref="X70:X71" si="12">IF(W70,J70/K70,0)</f>
        <v>18.490139718686986</v>
      </c>
      <c r="Y70" s="472"/>
    </row>
    <row r="71" spans="1:25" s="1021" customFormat="1">
      <c r="A71" s="508" t="s">
        <v>5042</v>
      </c>
      <c r="B71" s="509" t="s">
        <v>5390</v>
      </c>
      <c r="C71" s="486">
        <f>IF(OR(include_sec_cont=0,anti_day_tanks=0),0,anti_dt_coating_gal)</f>
        <v>1</v>
      </c>
      <c r="D71" s="487" t="s">
        <v>4311</v>
      </c>
      <c r="E71" s="499" t="s">
        <v>3743</v>
      </c>
      <c r="F71" s="581"/>
      <c r="G71" s="499" t="s">
        <v>3743</v>
      </c>
      <c r="H71" s="581"/>
      <c r="I71" s="501">
        <f>IF(C71=0,"NA",VLOOKUP(0,conc_coating_cost_cl,3))</f>
        <v>389.13</v>
      </c>
      <c r="J71" s="490">
        <f>IF(C71=0,"--",IF(I71="contact vendor","--",C71*I71))</f>
        <v>389.13</v>
      </c>
      <c r="K71" s="497">
        <f>IF(C71=0,"NA",VLOOKUP(0,conc_coating_cost_cl,IF(ss_cat="large",4,5)))</f>
        <v>10</v>
      </c>
      <c r="L71" s="491">
        <v>1</v>
      </c>
      <c r="M71" s="886" t="str">
        <f>$B$66&amp;" - "&amp;B71</f>
        <v>Pretreatment Antiscalant Day Tanks - Secondary Containment - Chemical Resistant Coating</v>
      </c>
      <c r="N71" s="238">
        <v>1</v>
      </c>
      <c r="O71" s="238">
        <v>1</v>
      </c>
      <c r="P71" s="238">
        <v>1</v>
      </c>
      <c r="Q71" s="238">
        <v>1</v>
      </c>
      <c r="R71" s="238">
        <v>1</v>
      </c>
      <c r="S71" s="238">
        <v>1</v>
      </c>
      <c r="T71" s="238">
        <v>1</v>
      </c>
      <c r="U71" s="238">
        <v>1</v>
      </c>
      <c r="V71" s="238">
        <v>1</v>
      </c>
      <c r="W71" s="1096">
        <f t="shared" si="11"/>
        <v>1</v>
      </c>
      <c r="X71" s="1097">
        <f t="shared" si="12"/>
        <v>38.912999999999997</v>
      </c>
      <c r="Y71" s="472"/>
    </row>
    <row r="72" spans="1:25" s="1021" customFormat="1">
      <c r="A72" s="946">
        <v>2.5</v>
      </c>
      <c r="B72" s="280" t="s">
        <v>5018</v>
      </c>
      <c r="C72" s="576"/>
      <c r="D72" s="577"/>
      <c r="E72" s="576"/>
      <c r="F72" s="576"/>
      <c r="G72" s="576"/>
      <c r="H72" s="576"/>
      <c r="I72" s="578"/>
      <c r="J72" s="576"/>
      <c r="K72" s="576"/>
      <c r="L72" s="759"/>
      <c r="M72" s="886"/>
      <c r="N72" s="238"/>
      <c r="O72" s="238"/>
      <c r="P72" s="238"/>
      <c r="Q72" s="238"/>
      <c r="R72" s="238"/>
      <c r="S72" s="238"/>
      <c r="T72" s="238"/>
      <c r="U72" s="238"/>
      <c r="V72" s="238"/>
      <c r="W72" s="1096">
        <f t="shared" ref="W72:W79" si="13">IF(ISERROR(K72*L72),0,IF(K72&lt;1,0,L72))</f>
        <v>0</v>
      </c>
      <c r="X72" s="1097">
        <f t="shared" ref="X72:X79" si="14">IF(W72,J72/K72,0)</f>
        <v>0</v>
      </c>
      <c r="Y72" s="472"/>
    </row>
    <row r="73" spans="1:25" s="1021" customFormat="1">
      <c r="A73" s="760" t="s">
        <v>3178</v>
      </c>
      <c r="B73" s="761" t="s">
        <v>4138</v>
      </c>
      <c r="C73" s="608">
        <f>cmixers</f>
        <v>0</v>
      </c>
      <c r="D73" s="582" t="s">
        <v>2192</v>
      </c>
      <c r="E73" s="762" t="str">
        <f>IF(C73=0,"NA",cmix_size)</f>
        <v>NA</v>
      </c>
      <c r="F73" s="608" t="str">
        <f>IF(C73=0,"","hp")</f>
        <v/>
      </c>
      <c r="G73" s="763" t="str">
        <f>IF(C73=0,"NA",VLOOKUP(cmix_size,port_mix_cost_cl,2))</f>
        <v>NA</v>
      </c>
      <c r="H73" s="608" t="str">
        <f>IF(C73=0,"","hp")</f>
        <v/>
      </c>
      <c r="I73" s="756" t="str">
        <f>IF(C73=0,"NA",VLOOKUP(cmix_size,port_mix_cost_cl,3))</f>
        <v>NA</v>
      </c>
      <c r="J73" s="757" t="str">
        <f>IF(C73=0,"--",IF(I73="contact vendor","--",C73*I73))</f>
        <v>--</v>
      </c>
      <c r="K73" s="758" t="str">
        <f>IF(C73=0,"NA",VLOOKUP(cmix_size,port_mix_cost_cl,IF(ss_cat="large",4,5)))</f>
        <v>NA</v>
      </c>
      <c r="L73" s="504"/>
      <c r="M73" s="886" t="str">
        <f>$B$72&amp;" - "&amp;B73</f>
        <v>Mixers for Antiscalant Storage Tanks - Portable</v>
      </c>
      <c r="N73" s="238">
        <v>3</v>
      </c>
      <c r="O73" s="238">
        <v>3</v>
      </c>
      <c r="P73" s="238">
        <v>3</v>
      </c>
      <c r="Q73" s="238">
        <v>3</v>
      </c>
      <c r="R73" s="238">
        <v>3</v>
      </c>
      <c r="S73" s="238">
        <v>3</v>
      </c>
      <c r="T73" s="238">
        <v>3</v>
      </c>
      <c r="U73" s="238">
        <v>3</v>
      </c>
      <c r="V73" s="238">
        <v>3</v>
      </c>
      <c r="W73" s="1096">
        <f t="shared" si="13"/>
        <v>0</v>
      </c>
      <c r="X73" s="1097">
        <f t="shared" si="14"/>
        <v>0</v>
      </c>
      <c r="Y73" s="472"/>
    </row>
    <row r="74" spans="1:25" s="1021" customFormat="1">
      <c r="A74" s="760" t="s">
        <v>3178</v>
      </c>
      <c r="B74" s="761" t="s">
        <v>4139</v>
      </c>
      <c r="C74" s="608">
        <f>cmixers</f>
        <v>0</v>
      </c>
      <c r="D74" s="582" t="s">
        <v>2192</v>
      </c>
      <c r="E74" s="762" t="str">
        <f>IF(C74=0,"NA",cmix_size)</f>
        <v>NA</v>
      </c>
      <c r="F74" s="608" t="str">
        <f>IF(C74=0,"","hp")</f>
        <v/>
      </c>
      <c r="G74" s="762" t="str">
        <f>IF(C74=0,"NA",IF(curve=1,cmix_size,VLOOKUP(cmix_size,mount_mix_cost_cl,2)))</f>
        <v>NA</v>
      </c>
      <c r="H74" s="608" t="str">
        <f>IF(C74=0,"","hp")</f>
        <v/>
      </c>
      <c r="I74" s="756" t="str">
        <f>IF(C74=0,"NA",IF(curve=1,cmount_mix_eq,VLOOKUP(cmix_size,mount_mix_cost_cl,3)))</f>
        <v>NA</v>
      </c>
      <c r="J74" s="764" t="str">
        <f>IF(C74=0,"--",IF(I74="contact vendor","--",C74*I74))</f>
        <v>--</v>
      </c>
      <c r="K74" s="758" t="str">
        <f>IF(C74=0,"NA",VLOOKUP(cmix_size,mount_mix_cost_cl,IF(ss_cat="large",4,5)))</f>
        <v>NA</v>
      </c>
      <c r="L74" s="504"/>
      <c r="M74" s="886" t="str">
        <f>$B$72&amp;" - "&amp;B74</f>
        <v>Mixers for Antiscalant Storage Tanks - Mounted</v>
      </c>
      <c r="N74" s="238">
        <v>1</v>
      </c>
      <c r="O74" s="238">
        <v>1</v>
      </c>
      <c r="P74" s="238">
        <v>1</v>
      </c>
      <c r="Q74" s="238">
        <v>1</v>
      </c>
      <c r="R74" s="238">
        <v>1</v>
      </c>
      <c r="S74" s="238">
        <v>1</v>
      </c>
      <c r="T74" s="238">
        <v>1</v>
      </c>
      <c r="U74" s="238">
        <v>1</v>
      </c>
      <c r="V74" s="238">
        <v>1</v>
      </c>
      <c r="W74" s="1096">
        <f t="shared" si="13"/>
        <v>0</v>
      </c>
      <c r="X74" s="1097">
        <f t="shared" si="14"/>
        <v>0</v>
      </c>
      <c r="Y74" s="472"/>
    </row>
    <row r="75" spans="1:25" s="1021" customFormat="1">
      <c r="A75" s="760" t="s">
        <v>3178</v>
      </c>
      <c r="B75" s="515" t="s">
        <v>5020</v>
      </c>
      <c r="C75" s="608">
        <f>cmixers</f>
        <v>0</v>
      </c>
      <c r="D75" s="582" t="s">
        <v>2192</v>
      </c>
      <c r="E75" s="762" t="str">
        <f>IF(C75=0,"NA",cmix_size)</f>
        <v>NA</v>
      </c>
      <c r="F75" s="608" t="str">
        <f>IF(C75=0,"","hp")</f>
        <v/>
      </c>
      <c r="G75" s="762" t="str">
        <f>IF(C75=0,"NA",IF(curve=1,cmix_size,VLOOKUP(cmix_size,imp_mix_cost_cl,2)))</f>
        <v>NA</v>
      </c>
      <c r="H75" s="608" t="str">
        <f>IF(C75=0,"","hp")</f>
        <v/>
      </c>
      <c r="I75" s="756" t="str">
        <f>IF(C75=0,"NA",IF(curve=1,cimp_mix_eq,VLOOKUP(cmix_size,imp_mix_cost_cl,3)))</f>
        <v>NA</v>
      </c>
      <c r="J75" s="764" t="str">
        <f>IF(C75=0,"--",IF(I75="contact vendor","--",C75*I75))</f>
        <v>--</v>
      </c>
      <c r="K75" s="758" t="str">
        <f>IF(C75=0,"NA",VLOOKUP(cmix_size,imp_mix_cost_cl,IF(ss_cat="large",4,5)))</f>
        <v>NA</v>
      </c>
      <c r="L75" s="504"/>
      <c r="M75" s="886" t="str">
        <f>$B$72&amp;" - "&amp;B75</f>
        <v>Mixers for Antiscalant Storage Tanks - Impeller</v>
      </c>
      <c r="N75" s="238">
        <v>2</v>
      </c>
      <c r="O75" s="238">
        <v>2</v>
      </c>
      <c r="P75" s="238">
        <v>2</v>
      </c>
      <c r="Q75" s="238">
        <v>2</v>
      </c>
      <c r="R75" s="238">
        <v>2</v>
      </c>
      <c r="S75" s="238">
        <v>2</v>
      </c>
      <c r="T75" s="238">
        <v>2</v>
      </c>
      <c r="U75" s="238">
        <v>2</v>
      </c>
      <c r="V75" s="238">
        <v>2</v>
      </c>
      <c r="W75" s="1096">
        <f t="shared" si="13"/>
        <v>0</v>
      </c>
      <c r="X75" s="1097">
        <f t="shared" si="14"/>
        <v>0</v>
      </c>
      <c r="Y75" s="472"/>
    </row>
    <row r="76" spans="1:25" s="1021" customFormat="1">
      <c r="A76" s="947">
        <v>2.6</v>
      </c>
      <c r="B76" s="280" t="s">
        <v>5022</v>
      </c>
      <c r="C76" s="576"/>
      <c r="D76" s="577"/>
      <c r="E76" s="765"/>
      <c r="F76" s="576"/>
      <c r="G76" s="765"/>
      <c r="H76" s="576"/>
      <c r="I76" s="578"/>
      <c r="J76" s="576"/>
      <c r="K76" s="576"/>
      <c r="L76" s="759"/>
      <c r="M76" s="886"/>
      <c r="N76" s="238"/>
      <c r="O76" s="238"/>
      <c r="P76" s="238"/>
      <c r="Q76" s="238"/>
      <c r="R76" s="238"/>
      <c r="S76" s="238"/>
      <c r="T76" s="238"/>
      <c r="U76" s="238"/>
      <c r="V76" s="238"/>
      <c r="W76" s="1096">
        <f t="shared" si="13"/>
        <v>0</v>
      </c>
      <c r="X76" s="1097">
        <f t="shared" si="14"/>
        <v>0</v>
      </c>
      <c r="Y76" s="472"/>
    </row>
    <row r="77" spans="1:25" s="1021" customFormat="1">
      <c r="A77" s="760" t="s">
        <v>3177</v>
      </c>
      <c r="B77" s="761" t="s">
        <v>4138</v>
      </c>
      <c r="C77" s="608">
        <f>dmixers</f>
        <v>0</v>
      </c>
      <c r="D77" s="582" t="s">
        <v>2192</v>
      </c>
      <c r="E77" s="762" t="str">
        <f>IF(C77=0,"NA",dmix_size)</f>
        <v>NA</v>
      </c>
      <c r="F77" s="608" t="str">
        <f>IF(C77=0,"","hp")</f>
        <v/>
      </c>
      <c r="G77" s="766" t="str">
        <f>IF(C77=0,"NA",VLOOKUP(dmix_size,port_mix_cost_cl,2))</f>
        <v>NA</v>
      </c>
      <c r="H77" s="608" t="str">
        <f>IF(C77=0,"","hp")</f>
        <v/>
      </c>
      <c r="I77" s="756" t="str">
        <f>IF(C77=0,"NA",VLOOKUP(dmix_size,port_mix_cost_cl,3))</f>
        <v>NA</v>
      </c>
      <c r="J77" s="757" t="str">
        <f>IF(C77=0,"--",IF(I77="contact vendor","--",C77*I77))</f>
        <v>--</v>
      </c>
      <c r="K77" s="758" t="str">
        <f>IF(C77=0,"NA",VLOOKUP(dmix_size,port_mix_cost_cl,IF(ss_cat="large",4,5)))</f>
        <v>NA</v>
      </c>
      <c r="L77" s="504"/>
      <c r="M77" s="886" t="str">
        <f>$B$76&amp;" - "&amp;B77</f>
        <v>Mixers for Antiscalant Day Tanks - Portable</v>
      </c>
      <c r="N77" s="238">
        <v>3</v>
      </c>
      <c r="O77" s="238">
        <v>3</v>
      </c>
      <c r="P77" s="238">
        <v>3</v>
      </c>
      <c r="Q77" s="238">
        <v>3</v>
      </c>
      <c r="R77" s="238">
        <v>3</v>
      </c>
      <c r="S77" s="238">
        <v>3</v>
      </c>
      <c r="T77" s="238">
        <v>3</v>
      </c>
      <c r="U77" s="238">
        <v>3</v>
      </c>
      <c r="V77" s="238">
        <v>3</v>
      </c>
      <c r="W77" s="1096">
        <f t="shared" si="13"/>
        <v>0</v>
      </c>
      <c r="X77" s="1097">
        <f t="shared" si="14"/>
        <v>0</v>
      </c>
      <c r="Y77" s="472"/>
    </row>
    <row r="78" spans="1:25" s="1021" customFormat="1">
      <c r="A78" s="760" t="s">
        <v>3177</v>
      </c>
      <c r="B78" s="761" t="s">
        <v>4139</v>
      </c>
      <c r="C78" s="608">
        <f>dmixers</f>
        <v>0</v>
      </c>
      <c r="D78" s="582" t="s">
        <v>2192</v>
      </c>
      <c r="E78" s="762" t="str">
        <f>IF(C78=0,"NA",dmix_size)</f>
        <v>NA</v>
      </c>
      <c r="F78" s="608" t="str">
        <f>IF(C78=0,"","hp")</f>
        <v/>
      </c>
      <c r="G78" s="762" t="str">
        <f>IF(C78=0,"NA",IF(curve=1,dmix_size,VLOOKUP(dmix_size,mount_mix_cost_cl,2)))</f>
        <v>NA</v>
      </c>
      <c r="H78" s="608" t="str">
        <f>IF(C78=0,"","hp")</f>
        <v/>
      </c>
      <c r="I78" s="756" t="str">
        <f>IF(C78=0,"NA",IF(curve=1,dmount_mix_eq,VLOOKUP(dmix_size,mount_mix_cost_cl,3)))</f>
        <v>NA</v>
      </c>
      <c r="J78" s="764" t="str">
        <f>IF(C78=0,"--",IF(I78="contact vendor","--",C78*I78))</f>
        <v>--</v>
      </c>
      <c r="K78" s="758" t="str">
        <f>IF(C78=0,"NA",VLOOKUP(dmix_size,mount_mix_cost_cl,IF(ss_cat="large",4,5)))</f>
        <v>NA</v>
      </c>
      <c r="L78" s="504"/>
      <c r="M78" s="886" t="str">
        <f>$B$76&amp;" - "&amp;B78</f>
        <v>Mixers for Antiscalant Day Tanks - Mounted</v>
      </c>
      <c r="N78" s="238">
        <v>1</v>
      </c>
      <c r="O78" s="238">
        <v>1</v>
      </c>
      <c r="P78" s="238">
        <v>1</v>
      </c>
      <c r="Q78" s="238">
        <v>1</v>
      </c>
      <c r="R78" s="238">
        <v>1</v>
      </c>
      <c r="S78" s="238">
        <v>1</v>
      </c>
      <c r="T78" s="238">
        <v>1</v>
      </c>
      <c r="U78" s="238">
        <v>1</v>
      </c>
      <c r="V78" s="238">
        <v>1</v>
      </c>
      <c r="W78" s="1096">
        <f t="shared" si="13"/>
        <v>0</v>
      </c>
      <c r="X78" s="1097">
        <f t="shared" si="14"/>
        <v>0</v>
      </c>
      <c r="Y78" s="472"/>
    </row>
    <row r="79" spans="1:25" s="1021" customFormat="1">
      <c r="A79" s="760" t="s">
        <v>3177</v>
      </c>
      <c r="B79" s="515" t="s">
        <v>5020</v>
      </c>
      <c r="C79" s="608">
        <f>dmixers</f>
        <v>0</v>
      </c>
      <c r="D79" s="582" t="s">
        <v>2192</v>
      </c>
      <c r="E79" s="762" t="str">
        <f>IF(C79=0,"NA",dmix_size)</f>
        <v>NA</v>
      </c>
      <c r="F79" s="608" t="str">
        <f>IF(C79=0,"","hp")</f>
        <v/>
      </c>
      <c r="G79" s="762" t="str">
        <f>IF(C79=0,"NA",IF(curve=1,dmix_size,VLOOKUP(dmix_size,imp_mix_cost_cl,2)))</f>
        <v>NA</v>
      </c>
      <c r="H79" s="608" t="str">
        <f>IF(C79=0,"","hp")</f>
        <v/>
      </c>
      <c r="I79" s="756" t="str">
        <f>IF(C79=0,"NA",IF(curve=1,dimp_mix_eq,VLOOKUP(dmix_size,imp_mix_cost_cl,3)))</f>
        <v>NA</v>
      </c>
      <c r="J79" s="764" t="str">
        <f>IF(C79=0,"--",IF(I79="contact vendor","--",C79*I79))</f>
        <v>--</v>
      </c>
      <c r="K79" s="758" t="str">
        <f>IF(C79=0,"NA",VLOOKUP(dmix_size,imp_mix_cost_cl,IF(ss_cat="large",4,5)))</f>
        <v>NA</v>
      </c>
      <c r="L79" s="504"/>
      <c r="M79" s="886" t="str">
        <f>$B$76&amp;" - "&amp;B79</f>
        <v>Mixers for Antiscalant Day Tanks - Impeller</v>
      </c>
      <c r="N79" s="238">
        <v>2</v>
      </c>
      <c r="O79" s="238">
        <v>2</v>
      </c>
      <c r="P79" s="238">
        <v>2</v>
      </c>
      <c r="Q79" s="238">
        <v>2</v>
      </c>
      <c r="R79" s="238">
        <v>2</v>
      </c>
      <c r="S79" s="238">
        <v>2</v>
      </c>
      <c r="T79" s="238">
        <v>2</v>
      </c>
      <c r="U79" s="238">
        <v>2</v>
      </c>
      <c r="V79" s="238">
        <v>2</v>
      </c>
      <c r="W79" s="1096">
        <f t="shared" si="13"/>
        <v>0</v>
      </c>
      <c r="X79" s="1097">
        <f t="shared" si="14"/>
        <v>0</v>
      </c>
      <c r="Y79" s="472"/>
    </row>
    <row r="80" spans="1:25" s="1021" customFormat="1">
      <c r="A80" s="473" t="s">
        <v>5430</v>
      </c>
      <c r="B80" s="474" t="s">
        <v>3500</v>
      </c>
      <c r="C80" s="481"/>
      <c r="D80" s="482"/>
      <c r="E80" s="481"/>
      <c r="F80" s="474"/>
      <c r="G80" s="481"/>
      <c r="H80" s="474"/>
      <c r="I80" s="481"/>
      <c r="J80" s="481"/>
      <c r="K80" s="481"/>
      <c r="L80" s="483"/>
      <c r="M80" s="886"/>
      <c r="N80" s="238"/>
      <c r="O80" s="238"/>
      <c r="P80" s="238"/>
      <c r="Q80" s="238"/>
      <c r="R80" s="238"/>
      <c r="S80" s="238"/>
      <c r="T80" s="238"/>
      <c r="U80" s="238"/>
      <c r="V80" s="238"/>
      <c r="W80" s="1096">
        <f t="shared" ref="W80:W87" si="15">IF(ISERROR(K80*L80),0,IF(K80&lt;1,0,L80))</f>
        <v>0</v>
      </c>
      <c r="X80" s="1097">
        <f t="shared" ref="X80:X86" si="16">IF(W80,J80/K80,0)</f>
        <v>0</v>
      </c>
      <c r="Y80" s="472"/>
    </row>
    <row r="81" spans="1:25" s="1021" customFormat="1">
      <c r="A81" s="484" t="s">
        <v>5431</v>
      </c>
      <c r="B81" s="485" t="s">
        <v>5168</v>
      </c>
      <c r="C81" s="477">
        <f ca="1">total_chem_tanks</f>
        <v>2</v>
      </c>
      <c r="D81" s="476" t="s">
        <v>2192</v>
      </c>
      <c r="E81" s="480">
        <f ca="1">chem_tank_vol</f>
        <v>1371</v>
      </c>
      <c r="F81" s="335" t="s">
        <v>4311</v>
      </c>
      <c r="G81" s="480">
        <f ca="1">IF(curve=1,chem_tank_vol,VLOOKUP(chem_tank_vol,pl_cst_cost_cl,2))</f>
        <v>1371</v>
      </c>
      <c r="H81" s="335" t="s">
        <v>4311</v>
      </c>
      <c r="I81" s="489">
        <f ca="1">IF(curve=1,pl_makeup_eq,VLOOKUP(chem_tank_vol,pl_cst_cost_cl,3))</f>
        <v>2610.142939543</v>
      </c>
      <c r="J81" s="479">
        <f ca="1">IF(I81="contact vendor","--",C81*I81)</f>
        <v>5220.285879086</v>
      </c>
      <c r="K81" s="477">
        <f ca="1">VLOOKUP(chem_tank_vol,pl_cst_cost_cl,IF(ss_cat="large",4,5))</f>
        <v>10</v>
      </c>
      <c r="L81" s="491">
        <v>1</v>
      </c>
      <c r="M81" s="886" t="str">
        <f>$B$80&amp;" - "&amp;B81</f>
        <v>Cleaning Solution Makeup Tanks - Plastic (XLPE)</v>
      </c>
      <c r="N81" s="238">
        <v>1</v>
      </c>
      <c r="O81" s="238">
        <v>2</v>
      </c>
      <c r="P81" s="238">
        <v>3</v>
      </c>
      <c r="Q81" s="238">
        <v>1</v>
      </c>
      <c r="R81" s="238">
        <v>2</v>
      </c>
      <c r="S81" s="238">
        <v>3</v>
      </c>
      <c r="T81" s="238">
        <v>1</v>
      </c>
      <c r="U81" s="238">
        <v>2</v>
      </c>
      <c r="V81" s="238">
        <v>3</v>
      </c>
      <c r="W81" s="1096">
        <f t="shared" ca="1" si="15"/>
        <v>1</v>
      </c>
      <c r="X81" s="1097">
        <f t="shared" ca="1" si="16"/>
        <v>522.0285879086</v>
      </c>
      <c r="Y81" s="472"/>
    </row>
    <row r="82" spans="1:25" s="1021" customFormat="1">
      <c r="A82" s="484" t="s">
        <v>5431</v>
      </c>
      <c r="B82" s="485" t="s">
        <v>4155</v>
      </c>
      <c r="C82" s="477">
        <f ca="1">total_chem_tanks</f>
        <v>2</v>
      </c>
      <c r="D82" s="476" t="s">
        <v>2192</v>
      </c>
      <c r="E82" s="480">
        <f ca="1">chem_tank_vol</f>
        <v>1371</v>
      </c>
      <c r="F82" s="335" t="s">
        <v>4311</v>
      </c>
      <c r="G82" s="480">
        <f ca="1">IF(curve=1,chem_tank_vol,VLOOKUP(chem_tank_vol,fg_cst_cost_cl,2))</f>
        <v>1371</v>
      </c>
      <c r="H82" s="335" t="s">
        <v>4311</v>
      </c>
      <c r="I82" s="489">
        <f ca="1">IF(curve=1,fg_makeup_eq,VLOOKUP(chem_tank_vol,fg_cst_cost_cl,3))</f>
        <v>13918.23302046312</v>
      </c>
      <c r="J82" s="492">
        <f ca="1">IF(I82="contact vendor","--",C82*I82)</f>
        <v>27836.46604092624</v>
      </c>
      <c r="K82" s="477">
        <f ca="1">VLOOKUP(chem_tank_vol,fg_cst_cost_cl,IF(ss_cat="large",4,5))</f>
        <v>10</v>
      </c>
      <c r="L82" s="491">
        <v>0</v>
      </c>
      <c r="M82" s="886" t="str">
        <f>$B$80&amp;" - "&amp;B82</f>
        <v>Cleaning Solution Makeup Tanks - Fiberglass</v>
      </c>
      <c r="N82" s="238">
        <v>2</v>
      </c>
      <c r="O82" s="238">
        <v>1</v>
      </c>
      <c r="P82" s="238">
        <v>2</v>
      </c>
      <c r="Q82" s="238">
        <v>2</v>
      </c>
      <c r="R82" s="238">
        <v>1</v>
      </c>
      <c r="S82" s="238">
        <v>2</v>
      </c>
      <c r="T82" s="238">
        <v>2</v>
      </c>
      <c r="U82" s="238">
        <v>1</v>
      </c>
      <c r="V82" s="238">
        <v>2</v>
      </c>
      <c r="W82" s="1096">
        <f t="shared" ca="1" si="15"/>
        <v>0</v>
      </c>
      <c r="X82" s="1097">
        <f t="shared" ca="1" si="16"/>
        <v>0</v>
      </c>
      <c r="Y82" s="472"/>
    </row>
    <row r="83" spans="1:25" s="1021" customFormat="1">
      <c r="A83" s="484" t="s">
        <v>5431</v>
      </c>
      <c r="B83" s="485" t="s">
        <v>2474</v>
      </c>
      <c r="C83" s="486">
        <f ca="1">total_chem_tanks</f>
        <v>2</v>
      </c>
      <c r="D83" s="487" t="s">
        <v>2192</v>
      </c>
      <c r="E83" s="488">
        <f ca="1">chem_tank_vol</f>
        <v>1371</v>
      </c>
      <c r="F83" s="485" t="s">
        <v>4311</v>
      </c>
      <c r="G83" s="488">
        <f ca="1">IF(curve=1,chem_tank_vol,VLOOKUP(chem_tank_vol,ss_cst_cost_cl,2))</f>
        <v>1371</v>
      </c>
      <c r="H83" s="485" t="s">
        <v>4311</v>
      </c>
      <c r="I83" s="489">
        <f ca="1">IF(curve=1,ss_makeup_eq,VLOOKUP(chem_tank_vol,ss_cst_cost_cl,3))</f>
        <v>11065.228471178823</v>
      </c>
      <c r="J83" s="479">
        <f ca="1">IF(I83="contact vendor","--",C83*I83)</f>
        <v>22130.456942357647</v>
      </c>
      <c r="K83" s="486">
        <f ca="1">VLOOKUP(chem_tank_vol,ss_cst_cost_cl,IF(ss_cat="large",4,5))</f>
        <v>35</v>
      </c>
      <c r="L83" s="523">
        <v>0</v>
      </c>
      <c r="M83" s="807" t="str">
        <f>$B$80&amp;" - "&amp;B83</f>
        <v>Cleaning Solution Makeup Tanks - Stainless Steel</v>
      </c>
      <c r="N83" s="633">
        <v>3</v>
      </c>
      <c r="O83" s="633">
        <v>3</v>
      </c>
      <c r="P83" s="633">
        <v>1</v>
      </c>
      <c r="Q83" s="633">
        <v>3</v>
      </c>
      <c r="R83" s="633">
        <v>3</v>
      </c>
      <c r="S83" s="633">
        <v>1</v>
      </c>
      <c r="T83" s="633">
        <v>3</v>
      </c>
      <c r="U83" s="633">
        <v>3</v>
      </c>
      <c r="V83" s="633">
        <v>1</v>
      </c>
      <c r="W83" s="1046">
        <f t="shared" ca="1" si="15"/>
        <v>0</v>
      </c>
      <c r="X83" s="1098">
        <f t="shared" ca="1" si="16"/>
        <v>0</v>
      </c>
      <c r="Y83" s="524"/>
    </row>
    <row r="84" spans="1:25" s="1021" customFormat="1">
      <c r="A84" s="473" t="s">
        <v>5432</v>
      </c>
      <c r="B84" s="474" t="s">
        <v>1255</v>
      </c>
      <c r="C84" s="481"/>
      <c r="D84" s="482"/>
      <c r="E84" s="481"/>
      <c r="F84" s="474"/>
      <c r="G84" s="481"/>
      <c r="H84" s="474"/>
      <c r="I84" s="481"/>
      <c r="J84" s="481"/>
      <c r="K84" s="481"/>
      <c r="L84" s="483"/>
      <c r="M84" s="886"/>
      <c r="N84" s="238"/>
      <c r="O84" s="238"/>
      <c r="P84" s="238"/>
      <c r="Q84" s="238"/>
      <c r="R84" s="238"/>
      <c r="S84" s="238"/>
      <c r="T84" s="238"/>
      <c r="U84" s="238"/>
      <c r="V84" s="238"/>
      <c r="W84" s="1096">
        <f t="shared" si="15"/>
        <v>0</v>
      </c>
      <c r="X84" s="1097">
        <f t="shared" si="16"/>
        <v>0</v>
      </c>
      <c r="Y84" s="472"/>
    </row>
    <row r="85" spans="1:25" s="1021" customFormat="1">
      <c r="A85" s="484" t="s">
        <v>5014</v>
      </c>
      <c r="B85" s="485" t="s">
        <v>5414</v>
      </c>
      <c r="C85" s="486">
        <f ca="1">clean_acid_store_tanks</f>
        <v>1</v>
      </c>
      <c r="D85" s="493" t="s">
        <v>2192</v>
      </c>
      <c r="E85" s="488">
        <f ca="1">IF(C85=0,"NA",clean_acid_store_tank_size)</f>
        <v>35</v>
      </c>
      <c r="F85" s="485" t="str">
        <f t="shared" ref="F85:F95" ca="1" si="17">IF(C85=0,"","gal")</f>
        <v>gal</v>
      </c>
      <c r="G85" s="488">
        <f ca="1">IF(C85=0,"NA",IF(curve=1,clean_acid_store_tank_size,VLOOKUP(clean_acid_store_tank_size,pl_cst_cost_cl,2)))</f>
        <v>35</v>
      </c>
      <c r="H85" s="485" t="str">
        <f t="shared" ref="H85:H95" ca="1" si="18">IF(C85=0,"","gal")</f>
        <v>gal</v>
      </c>
      <c r="I85" s="489">
        <f ca="1">IF(C85=0,"NA",IF(curve=1,pl_clncst_eq_acid,VLOOKUP(clean_acid_store_tank_size,pl_cst_cost_cl,3)))</f>
        <v>750.44994414299993</v>
      </c>
      <c r="J85" s="490">
        <f ca="1">IF(OR(I85="contact vendor",I85="NA"),"--",C85*I85)</f>
        <v>750.44994414299993</v>
      </c>
      <c r="K85" s="486">
        <f ca="1">IF(C85=0,"NA",VLOOKUP(clean_acid_store_tank_size,pl_cst_cost_cl,IF(ss_cat="large",4,5)))</f>
        <v>10</v>
      </c>
      <c r="L85" s="491">
        <v>1</v>
      </c>
      <c r="M85" s="886" t="str">
        <f t="shared" ref="M85:M95" si="19">$B$84&amp;" - "&amp;B85</f>
        <v>Cleaning Chemical Storage Tanks - Acid - Plastic (XLPE)</v>
      </c>
      <c r="N85" s="238">
        <v>1</v>
      </c>
      <c r="O85" s="238">
        <v>2</v>
      </c>
      <c r="P85" s="238">
        <v>2</v>
      </c>
      <c r="Q85" s="238">
        <v>1</v>
      </c>
      <c r="R85" s="238">
        <v>2</v>
      </c>
      <c r="S85" s="238">
        <v>2</v>
      </c>
      <c r="T85" s="238">
        <v>1</v>
      </c>
      <c r="U85" s="238">
        <v>2</v>
      </c>
      <c r="V85" s="238">
        <v>2</v>
      </c>
      <c r="W85" s="1096">
        <f t="shared" ca="1" si="15"/>
        <v>1</v>
      </c>
      <c r="X85" s="1097">
        <f t="shared" ca="1" si="16"/>
        <v>75.044994414299993</v>
      </c>
      <c r="Y85" s="472"/>
    </row>
    <row r="86" spans="1:25" s="1021" customFormat="1">
      <c r="A86" s="484" t="s">
        <v>5014</v>
      </c>
      <c r="B86" s="485" t="s">
        <v>5415</v>
      </c>
      <c r="C86" s="486">
        <f ca="1">clean_acid_store_tanks</f>
        <v>1</v>
      </c>
      <c r="D86" s="493" t="s">
        <v>2192</v>
      </c>
      <c r="E86" s="488">
        <f ca="1">IF(C86=0,"NA",clean_acid_store_tank_size)</f>
        <v>35</v>
      </c>
      <c r="F86" s="485" t="str">
        <f t="shared" ca="1" si="17"/>
        <v>gal</v>
      </c>
      <c r="G86" s="488">
        <f ca="1">IF(C86=0,"NA",IF(curve=1,clean_acid_store_tank_size,VLOOKUP(clean_acid_store_tank_size,fg_cst_cost_cl,2)))</f>
        <v>35</v>
      </c>
      <c r="H86" s="485" t="str">
        <f t="shared" ca="1" si="18"/>
        <v>gal</v>
      </c>
      <c r="I86" s="489">
        <f ca="1">IF(C86=0,"NA",IF(curve=1,fg_clncst_eq_acid,VLOOKUP(clean_acid_store_tank_size,fg_cst_cost_cl,3)))</f>
        <v>1841.866319088369</v>
      </c>
      <c r="J86" s="490">
        <f ca="1">IF(OR(I86="contact vendor",I86="NA"),"--",C86*I86)</f>
        <v>1841.866319088369</v>
      </c>
      <c r="K86" s="486">
        <f ca="1">IF(C86=0,"NA",VLOOKUP(clean_acid_store_tank_size,fg_cst_cost_cl,IF(ss_cat="large",4,5)))</f>
        <v>10</v>
      </c>
      <c r="L86" s="491">
        <v>0</v>
      </c>
      <c r="M86" s="886" t="str">
        <f t="shared" si="19"/>
        <v>Cleaning Chemical Storage Tanks - Acid - Fiberglass</v>
      </c>
      <c r="N86" s="238">
        <v>2</v>
      </c>
      <c r="O86" s="238">
        <v>1</v>
      </c>
      <c r="P86" s="238">
        <v>1</v>
      </c>
      <c r="Q86" s="238">
        <v>2</v>
      </c>
      <c r="R86" s="238">
        <v>1</v>
      </c>
      <c r="S86" s="238">
        <v>1</v>
      </c>
      <c r="T86" s="238">
        <v>2</v>
      </c>
      <c r="U86" s="238">
        <v>1</v>
      </c>
      <c r="V86" s="238">
        <v>1</v>
      </c>
      <c r="W86" s="1096">
        <f t="shared" ca="1" si="15"/>
        <v>0</v>
      </c>
      <c r="X86" s="1097">
        <f t="shared" ca="1" si="16"/>
        <v>0</v>
      </c>
      <c r="Y86" s="472"/>
    </row>
    <row r="87" spans="1:25" s="1021" customFormat="1">
      <c r="A87" s="484" t="s">
        <v>5391</v>
      </c>
      <c r="B87" s="485" t="s">
        <v>5416</v>
      </c>
      <c r="C87" s="486">
        <f ca="1">IF(OR(include_sec_cont=0,clean_acid_store_tanks=0),0,acid_tank_curb_concrete)</f>
        <v>1</v>
      </c>
      <c r="D87" s="487" t="s">
        <v>3747</v>
      </c>
      <c r="E87" s="499" t="s">
        <v>3743</v>
      </c>
      <c r="F87" s="581"/>
      <c r="G87" s="499" t="s">
        <v>3743</v>
      </c>
      <c r="H87" s="581"/>
      <c r="I87" s="501">
        <f ca="1">IF(C87=0,"NA",VLOOKUP(0,conc_basin_cost_cl,3))</f>
        <v>739.60558874747949</v>
      </c>
      <c r="J87" s="490">
        <f ca="1">IF(C87=0,"--",IF(I87="contact vendor","--",C87*I87))</f>
        <v>739.60558874747949</v>
      </c>
      <c r="K87" s="497">
        <f ca="1">IF(C87=0,"NA",VLOOKUP(0,conc_basin_cost_cl,IF(ss_cat="large",4,5)))</f>
        <v>40</v>
      </c>
      <c r="L87" s="491">
        <v>1</v>
      </c>
      <c r="M87" s="886" t="str">
        <f t="shared" si="19"/>
        <v>Cleaning Chemical Storage Tanks - Acid - Secondary Containment - Concrete Curbing</v>
      </c>
      <c r="N87" s="238">
        <v>1</v>
      </c>
      <c r="O87" s="238">
        <v>1</v>
      </c>
      <c r="P87" s="238">
        <v>1</v>
      </c>
      <c r="Q87" s="238">
        <v>1</v>
      </c>
      <c r="R87" s="238">
        <v>1</v>
      </c>
      <c r="S87" s="238">
        <v>1</v>
      </c>
      <c r="T87" s="238">
        <v>1</v>
      </c>
      <c r="U87" s="238">
        <v>1</v>
      </c>
      <c r="V87" s="238">
        <v>1</v>
      </c>
      <c r="W87" s="1096">
        <f t="shared" ca="1" si="15"/>
        <v>1</v>
      </c>
      <c r="X87" s="1097"/>
      <c r="Y87" s="472"/>
    </row>
    <row r="88" spans="1:25" s="1021" customFormat="1">
      <c r="A88" s="484" t="s">
        <v>5392</v>
      </c>
      <c r="B88" s="485" t="s">
        <v>5417</v>
      </c>
      <c r="C88" s="486">
        <f ca="1">IF(OR(include_sec_cont=0,clean_acid_store_tanks=0),0,acid_tank_coating_gal)</f>
        <v>1</v>
      </c>
      <c r="D88" s="487" t="s">
        <v>4311</v>
      </c>
      <c r="E88" s="499" t="s">
        <v>3743</v>
      </c>
      <c r="F88" s="581"/>
      <c r="G88" s="499" t="s">
        <v>3743</v>
      </c>
      <c r="H88" s="581"/>
      <c r="I88" s="501">
        <f ca="1">IF(C88=0,"NA",VLOOKUP(0,conc_coating_cost_cl,3))</f>
        <v>389.13</v>
      </c>
      <c r="J88" s="490">
        <f ca="1">IF(C88=0,"--",IF(I88="contact vendor","--",C88*I88))</f>
        <v>389.13</v>
      </c>
      <c r="K88" s="497">
        <f ca="1">IF(C88=0,"NA",VLOOKUP(0,conc_coating_cost_cl,IF(ss_cat="large",4,5)))</f>
        <v>10</v>
      </c>
      <c r="L88" s="491">
        <v>1</v>
      </c>
      <c r="M88" s="886" t="str">
        <f t="shared" si="19"/>
        <v>Cleaning Chemical Storage Tanks - Acid - Secondary Containment - Chemical Resistant Coating</v>
      </c>
      <c r="N88" s="238">
        <v>1</v>
      </c>
      <c r="O88" s="238">
        <v>1</v>
      </c>
      <c r="P88" s="238">
        <v>1</v>
      </c>
      <c r="Q88" s="238">
        <v>1</v>
      </c>
      <c r="R88" s="238">
        <v>1</v>
      </c>
      <c r="S88" s="238">
        <v>1</v>
      </c>
      <c r="T88" s="238">
        <v>1</v>
      </c>
      <c r="U88" s="238">
        <v>1</v>
      </c>
      <c r="V88" s="238">
        <v>1</v>
      </c>
      <c r="W88" s="1096">
        <f t="shared" ref="W88" ca="1" si="20">IF(ISERROR(K88*L88),0,IF(K88&lt;1,0,L88))</f>
        <v>1</v>
      </c>
      <c r="X88" s="1097"/>
      <c r="Y88" s="472"/>
    </row>
    <row r="89" spans="1:25" s="1021" customFormat="1">
      <c r="A89" s="484" t="s">
        <v>5433</v>
      </c>
      <c r="B89" s="485" t="s">
        <v>5418</v>
      </c>
      <c r="C89" s="486">
        <f ca="1">clean_caustic_store_tanks</f>
        <v>1</v>
      </c>
      <c r="D89" s="493" t="s">
        <v>2192</v>
      </c>
      <c r="E89" s="488">
        <f ca="1">IF(C89=0,"NA",clean_caustic_store_tank_size)</f>
        <v>35</v>
      </c>
      <c r="F89" s="485" t="str">
        <f t="shared" ca="1" si="17"/>
        <v>gal</v>
      </c>
      <c r="G89" s="488">
        <f ca="1">IF(C89=0,"NA",IF(curve=1,clean_caustic_store_tank_size,VLOOKUP(clean_caustic_store_tank_size,pl_cst_cost_cl,2)))</f>
        <v>35</v>
      </c>
      <c r="H89" s="485" t="str">
        <f t="shared" ca="1" si="18"/>
        <v>gal</v>
      </c>
      <c r="I89" s="489">
        <f ca="1">IF(C89=0,"NA",IF(curve=1,pl_clncst_eq_caustic,VLOOKUP(clean_caustic_store_tank_size,pl_cst_cost_cl,3)))</f>
        <v>750.44994414299993</v>
      </c>
      <c r="J89" s="490">
        <f ca="1">IF(OR(I89="contact vendor",I89="NA"),"--",C89*I89)</f>
        <v>750.44994414299993</v>
      </c>
      <c r="K89" s="486">
        <f ca="1">IF(C89=0,"NA",VLOOKUP(clean_caustic_store_tank_size,pl_cst_cost_cl,IF(ss_cat="large",4,5)))</f>
        <v>10</v>
      </c>
      <c r="L89" s="491">
        <v>1</v>
      </c>
      <c r="M89" s="886" t="str">
        <f t="shared" si="19"/>
        <v>Cleaning Chemical Storage Tanks - High pH - Plastic (XLPE)</v>
      </c>
      <c r="N89" s="238">
        <v>1</v>
      </c>
      <c r="O89" s="238">
        <v>2</v>
      </c>
      <c r="P89" s="238">
        <v>3</v>
      </c>
      <c r="Q89" s="238">
        <v>1</v>
      </c>
      <c r="R89" s="238">
        <v>2</v>
      </c>
      <c r="S89" s="238">
        <v>3</v>
      </c>
      <c r="T89" s="238">
        <v>1</v>
      </c>
      <c r="U89" s="238">
        <v>2</v>
      </c>
      <c r="V89" s="238">
        <v>3</v>
      </c>
      <c r="W89" s="1096">
        <f ca="1">IF(ISERROR(K89*L89),0,IF(K89&lt;1,0,L89))</f>
        <v>1</v>
      </c>
      <c r="X89" s="1097">
        <f ca="1">IF(W89,J89/K89,0)</f>
        <v>75.044994414299993</v>
      </c>
      <c r="Y89" s="472"/>
    </row>
    <row r="90" spans="1:25" s="1021" customFormat="1">
      <c r="A90" s="484" t="s">
        <v>5433</v>
      </c>
      <c r="B90" s="485" t="s">
        <v>5419</v>
      </c>
      <c r="C90" s="486">
        <f ca="1">clean_caustic_store_tanks</f>
        <v>1</v>
      </c>
      <c r="D90" s="493" t="s">
        <v>2192</v>
      </c>
      <c r="E90" s="488">
        <f ca="1">IF(C90=0,"NA",clean_caustic_store_tank_size)</f>
        <v>35</v>
      </c>
      <c r="F90" s="485" t="str">
        <f t="shared" ca="1" si="17"/>
        <v>gal</v>
      </c>
      <c r="G90" s="488">
        <f ca="1">IF(C90=0,"NA",IF(curve=1,clean_caustic_store_tank_size,VLOOKUP(clean_caustic_store_tank_size,fg_cst_cost_cl,2)))</f>
        <v>35</v>
      </c>
      <c r="H90" s="485" t="str">
        <f t="shared" ca="1" si="18"/>
        <v>gal</v>
      </c>
      <c r="I90" s="489">
        <f ca="1">IF(C90=0,"NA",IF(curve=1,fg_clncst_eq_caustic,VLOOKUP(clean_caustic_store_tank_size,fg_cst_cost_cl,3)))</f>
        <v>1841.866319088369</v>
      </c>
      <c r="J90" s="490">
        <f ca="1">IF(OR(I90="contact vendor",I90="NA"),"--",C90*I90)</f>
        <v>1841.866319088369</v>
      </c>
      <c r="K90" s="486">
        <f ca="1">IF(C90=0,"NA",VLOOKUP(clean_caustic_store_tank_size,fg_cst_cost_cl,IF(ss_cat="large",4,5)))</f>
        <v>10</v>
      </c>
      <c r="L90" s="491">
        <v>0</v>
      </c>
      <c r="M90" s="886" t="str">
        <f t="shared" si="19"/>
        <v>Cleaning Chemical Storage Tanks - High pH - Fiberglass</v>
      </c>
      <c r="N90" s="238">
        <v>2</v>
      </c>
      <c r="O90" s="238">
        <v>1</v>
      </c>
      <c r="P90" s="238">
        <v>2</v>
      </c>
      <c r="Q90" s="238">
        <v>2</v>
      </c>
      <c r="R90" s="238">
        <v>1</v>
      </c>
      <c r="S90" s="238">
        <v>2</v>
      </c>
      <c r="T90" s="238">
        <v>2</v>
      </c>
      <c r="U90" s="238">
        <v>1</v>
      </c>
      <c r="V90" s="238">
        <v>2</v>
      </c>
      <c r="W90" s="1096">
        <f ca="1">IF(ISERROR(K90*L90),0,IF(K90&lt;1,0,L90))</f>
        <v>0</v>
      </c>
      <c r="X90" s="1097">
        <f ca="1">IF(W90,J90/K90,0)</f>
        <v>0</v>
      </c>
      <c r="Y90" s="472"/>
    </row>
    <row r="91" spans="1:25" s="1021" customFormat="1">
      <c r="A91" s="484" t="s">
        <v>5433</v>
      </c>
      <c r="B91" s="485" t="s">
        <v>5420</v>
      </c>
      <c r="C91" s="486">
        <f ca="1">clean_caustic_store_tanks</f>
        <v>1</v>
      </c>
      <c r="D91" s="493" t="s">
        <v>2192</v>
      </c>
      <c r="E91" s="488">
        <f ca="1">IF(C91=0,"NA",clean_caustic_store_tank_size)</f>
        <v>35</v>
      </c>
      <c r="F91" s="485" t="str">
        <f ca="1">IF(C91=0,"","gal")</f>
        <v>gal</v>
      </c>
      <c r="G91" s="488">
        <f ca="1">IF(C91=0,"NA",IF(curve=1,clean_caustic_store_tank_size,VLOOKUP(clean_caustic_store_tank_size,ss_cst_cost_cl,2)))</f>
        <v>35</v>
      </c>
      <c r="H91" s="485" t="str">
        <f ca="1">IF(C91=0,"","gal")</f>
        <v>gal</v>
      </c>
      <c r="I91" s="489">
        <f ca="1">IF(C91=0,"NA",IF(curve=1,ss_clncst_eq_caustic,VLOOKUP(clean_caustic_store_tank_size,ss_cst_cost_cl,3)))</f>
        <v>762.37271976457305</v>
      </c>
      <c r="J91" s="490">
        <f ca="1">IF(OR(I91="contact vendor",I91="NA"),"--",C91*I91)</f>
        <v>762.37271976457305</v>
      </c>
      <c r="K91" s="486">
        <f ca="1">IF(C91=0,"NA",VLOOKUP(clean_caustic_store_tank_size,ss_cst_cost_cl,IF(ss_cat="large",4,5)))</f>
        <v>35</v>
      </c>
      <c r="L91" s="491">
        <v>0</v>
      </c>
      <c r="M91" s="886" t="str">
        <f t="shared" si="19"/>
        <v>Cleaning Chemical Storage Tanks - High pH - Stainless Steel</v>
      </c>
      <c r="N91" s="238">
        <v>3</v>
      </c>
      <c r="O91" s="238">
        <v>3</v>
      </c>
      <c r="P91" s="238">
        <v>1</v>
      </c>
      <c r="Q91" s="238">
        <v>3</v>
      </c>
      <c r="R91" s="238">
        <v>3</v>
      </c>
      <c r="S91" s="238">
        <v>1</v>
      </c>
      <c r="T91" s="238">
        <v>3</v>
      </c>
      <c r="U91" s="238">
        <v>3</v>
      </c>
      <c r="V91" s="238">
        <v>1</v>
      </c>
      <c r="W91" s="1096">
        <f ca="1">IF(ISERROR(K91*L91),0,IF(K91&lt;1,0,L91))</f>
        <v>0</v>
      </c>
      <c r="X91" s="1097">
        <f ca="1">IF(W91,J91/K91,0)</f>
        <v>0</v>
      </c>
      <c r="Y91" s="472"/>
    </row>
    <row r="92" spans="1:25" s="1021" customFormat="1">
      <c r="A92" s="484" t="s">
        <v>5434</v>
      </c>
      <c r="B92" s="485" t="s">
        <v>5421</v>
      </c>
      <c r="C92" s="486">
        <f ca="1">IF(OR(include_sec_cont=0,clean_caustic_store_tanks=0),0,caustic_curb_concrete)</f>
        <v>2</v>
      </c>
      <c r="D92" s="487" t="s">
        <v>3747</v>
      </c>
      <c r="E92" s="499" t="s">
        <v>3743</v>
      </c>
      <c r="F92" s="581"/>
      <c r="G92" s="499" t="s">
        <v>3743</v>
      </c>
      <c r="H92" s="581"/>
      <c r="I92" s="501">
        <f ca="1">IF(C92=0,"NA",VLOOKUP(0,conc_basin_cost_cl,3))</f>
        <v>739.60558874747949</v>
      </c>
      <c r="J92" s="490">
        <f ca="1">IF(C92=0,"--",IF(I92="contact vendor","--",C92*I92))</f>
        <v>1479.211177494959</v>
      </c>
      <c r="K92" s="497">
        <f ca="1">IF(C92=0,"NA",VLOOKUP(0,conc_basin_cost_cl,IF(ss_cat="large",4,5)))</f>
        <v>40</v>
      </c>
      <c r="L92" s="491">
        <v>1</v>
      </c>
      <c r="M92" s="886" t="str">
        <f t="shared" si="19"/>
        <v>Cleaning Chemical Storage Tanks - High pH - Secondary Containment - Concrete Curbing</v>
      </c>
      <c r="N92" s="238">
        <v>1</v>
      </c>
      <c r="O92" s="238">
        <v>1</v>
      </c>
      <c r="P92" s="238">
        <v>1</v>
      </c>
      <c r="Q92" s="238">
        <v>1</v>
      </c>
      <c r="R92" s="238">
        <v>1</v>
      </c>
      <c r="S92" s="238">
        <v>1</v>
      </c>
      <c r="T92" s="238">
        <v>1</v>
      </c>
      <c r="U92" s="238">
        <v>1</v>
      </c>
      <c r="V92" s="238">
        <v>1</v>
      </c>
      <c r="W92" s="1096">
        <f t="shared" ref="W92:W93" ca="1" si="21">IF(ISERROR(K92*L92),0,IF(K92&lt;1,0,L92))</f>
        <v>1</v>
      </c>
      <c r="X92" s="1097">
        <f t="shared" ref="X92:X93" ca="1" si="22">IF(W92,J92/K92,0)</f>
        <v>36.980279437373973</v>
      </c>
      <c r="Y92" s="472"/>
    </row>
    <row r="93" spans="1:25" s="1021" customFormat="1">
      <c r="A93" s="484" t="s">
        <v>5435</v>
      </c>
      <c r="B93" s="485" t="s">
        <v>5422</v>
      </c>
      <c r="C93" s="486">
        <f ca="1">IF(OR(include_sec_cont=0,clean_caustic_store_tanks=0),0,caustic_coating_gal)</f>
        <v>1</v>
      </c>
      <c r="D93" s="487" t="s">
        <v>4311</v>
      </c>
      <c r="E93" s="499" t="s">
        <v>3743</v>
      </c>
      <c r="F93" s="581"/>
      <c r="G93" s="499" t="s">
        <v>3743</v>
      </c>
      <c r="H93" s="581"/>
      <c r="I93" s="501">
        <f ca="1">IF(C93=0,"NA",VLOOKUP(0,conc_coating_cost_cl,3))</f>
        <v>389.13</v>
      </c>
      <c r="J93" s="490">
        <f ca="1">IF(C93=0,"--",IF(I93="contact vendor","--",C93*I93))</f>
        <v>389.13</v>
      </c>
      <c r="K93" s="497">
        <f ca="1">IF(C93=0,"NA",VLOOKUP(0,conc_coating_cost_cl,IF(ss_cat="large",4,5)))</f>
        <v>10</v>
      </c>
      <c r="L93" s="491">
        <v>1</v>
      </c>
      <c r="M93" s="886" t="str">
        <f t="shared" si="19"/>
        <v>Cleaning Chemical Storage Tanks - High pH - Secondary Containment - Chemical Resistant Coating</v>
      </c>
      <c r="N93" s="238">
        <v>1</v>
      </c>
      <c r="O93" s="238">
        <v>1</v>
      </c>
      <c r="P93" s="238">
        <v>1</v>
      </c>
      <c r="Q93" s="238">
        <v>1</v>
      </c>
      <c r="R93" s="238">
        <v>1</v>
      </c>
      <c r="S93" s="238">
        <v>1</v>
      </c>
      <c r="T93" s="238">
        <v>1</v>
      </c>
      <c r="U93" s="238">
        <v>1</v>
      </c>
      <c r="V93" s="238">
        <v>1</v>
      </c>
      <c r="W93" s="1096">
        <f t="shared" ca="1" si="21"/>
        <v>1</v>
      </c>
      <c r="X93" s="1097">
        <f t="shared" ca="1" si="22"/>
        <v>38.912999999999997</v>
      </c>
      <c r="Y93" s="472"/>
    </row>
    <row r="94" spans="1:25" s="1021" customFormat="1">
      <c r="A94" s="484" t="s">
        <v>5436</v>
      </c>
      <c r="B94" s="509" t="s">
        <v>5423</v>
      </c>
      <c r="C94" s="486">
        <f>IF(clean_high_pH=1,clean_caustic_store_tanks,0)</f>
        <v>0</v>
      </c>
      <c r="D94" s="582" t="s">
        <v>2192</v>
      </c>
      <c r="E94" s="773" t="str">
        <f>IF(C94=0,"NA",clean_caustic_store_tank_size)</f>
        <v>NA</v>
      </c>
      <c r="F94" s="500" t="str">
        <f t="shared" si="17"/>
        <v/>
      </c>
      <c r="G94" s="488" t="str">
        <f>IF(C94=0,"NA",IF(curve=1,clean_caustic_store_tank_size,VLOOKUP(clean_caustic_store_tank_size,cst_heat_cost_cl,2)))</f>
        <v>NA</v>
      </c>
      <c r="H94" s="500" t="str">
        <f t="shared" si="18"/>
        <v/>
      </c>
      <c r="I94" s="774">
        <f>IF(C94=0,0,IF(curve=1,cst_heat_eq,VLOOKUP(clean_caustic_store_tank_size,cst_heat_cost_cl,3)))</f>
        <v>0</v>
      </c>
      <c r="J94" s="502">
        <f>IF(I94="contact vendor","--",C94*I94)</f>
        <v>0</v>
      </c>
      <c r="K94" s="527" t="str">
        <f>IF(C94=0,"NA",VLOOKUP(E94,cst_heat_cost_cl,IF(ss_cat="large",4,5)))</f>
        <v>NA</v>
      </c>
      <c r="L94" s="491"/>
      <c r="M94" s="886" t="str">
        <f t="shared" si="19"/>
        <v>Cleaning Chemical Storage Tanks - High pH - Heat Tracing</v>
      </c>
      <c r="N94" s="238">
        <v>1</v>
      </c>
      <c r="O94" s="238">
        <v>1</v>
      </c>
      <c r="P94" s="238">
        <v>1</v>
      </c>
      <c r="Q94" s="238">
        <v>1</v>
      </c>
      <c r="R94" s="238">
        <v>1</v>
      </c>
      <c r="S94" s="238">
        <v>1</v>
      </c>
      <c r="T94" s="238">
        <v>1</v>
      </c>
      <c r="U94" s="238">
        <v>1</v>
      </c>
      <c r="V94" s="238">
        <v>1</v>
      </c>
      <c r="W94" s="1099">
        <f t="shared" ref="W94:W110" si="23">IF(ISERROR(K94*L94),0,IF(K94&lt;1,0,L94))</f>
        <v>0</v>
      </c>
      <c r="X94" s="238">
        <f t="shared" ref="X94:X110" si="24">IF(W94,J94/K94,0)</f>
        <v>0</v>
      </c>
      <c r="Y94" s="472"/>
    </row>
    <row r="95" spans="1:25" s="1021" customFormat="1">
      <c r="A95" s="484" t="s">
        <v>5437</v>
      </c>
      <c r="B95" s="509" t="s">
        <v>5424</v>
      </c>
      <c r="C95" s="486">
        <f>IF(clean_high_pH=1,clean_caustic_store_tanks,0)</f>
        <v>0</v>
      </c>
      <c r="D95" s="582" t="s">
        <v>2192</v>
      </c>
      <c r="E95" s="773" t="str">
        <f>IF(C94=0,"NA",clean_caustic_store_tank_size)</f>
        <v>NA</v>
      </c>
      <c r="F95" s="500" t="str">
        <f t="shared" si="17"/>
        <v/>
      </c>
      <c r="G95" s="488" t="str">
        <f>IF(C95=0,"NA",IF(curve=1,clean_caustic_store_tank_size,VLOOKUP(clean_caustic_store_tank_size,cst_insul_cost_cl,2)))</f>
        <v>NA</v>
      </c>
      <c r="H95" s="500" t="str">
        <f t="shared" si="18"/>
        <v/>
      </c>
      <c r="I95" s="774">
        <f>IF(C95=0,0,IF(curve=1,cst_insul_eq,VLOOKUP(clean_caustic_store_tank_size,cst_insul_cost_cl,3)))</f>
        <v>0</v>
      </c>
      <c r="J95" s="502">
        <f>IF(I95="contact vendor","--",C95*I95)</f>
        <v>0</v>
      </c>
      <c r="K95" s="527" t="str">
        <f>IF(C95=0,"NA",VLOOKUP(E95,cst_insul_cost_cl,IF(ss_cat="large",4,5)))</f>
        <v>NA</v>
      </c>
      <c r="L95" s="491"/>
      <c r="M95" s="886" t="str">
        <f t="shared" si="19"/>
        <v>Cleaning Chemical Storage Tanks - High pH - Insulation</v>
      </c>
      <c r="N95" s="238">
        <v>1</v>
      </c>
      <c r="O95" s="238">
        <v>1</v>
      </c>
      <c r="P95" s="238">
        <v>1</v>
      </c>
      <c r="Q95" s="238">
        <v>1</v>
      </c>
      <c r="R95" s="238">
        <v>1</v>
      </c>
      <c r="S95" s="238">
        <v>1</v>
      </c>
      <c r="T95" s="238">
        <v>1</v>
      </c>
      <c r="U95" s="238">
        <v>1</v>
      </c>
      <c r="V95" s="238">
        <v>1</v>
      </c>
      <c r="W95" s="1099">
        <f t="shared" si="23"/>
        <v>0</v>
      </c>
      <c r="X95" s="238">
        <f t="shared" si="24"/>
        <v>0</v>
      </c>
      <c r="Y95" s="472"/>
    </row>
    <row r="96" spans="1:25" s="1021" customFormat="1">
      <c r="A96" s="473" t="s">
        <v>5438</v>
      </c>
      <c r="B96" s="474" t="s">
        <v>452</v>
      </c>
      <c r="C96" s="494"/>
      <c r="D96" s="495"/>
      <c r="E96" s="494"/>
      <c r="F96" s="474"/>
      <c r="G96" s="494"/>
      <c r="H96" s="474"/>
      <c r="I96" s="494"/>
      <c r="J96" s="494"/>
      <c r="K96" s="494"/>
      <c r="L96" s="496"/>
      <c r="M96" s="886"/>
      <c r="N96" s="238"/>
      <c r="O96" s="238"/>
      <c r="P96" s="238"/>
      <c r="Q96" s="238"/>
      <c r="R96" s="238"/>
      <c r="S96" s="238"/>
      <c r="T96" s="238"/>
      <c r="U96" s="238"/>
      <c r="V96" s="238"/>
      <c r="W96" s="1096">
        <f t="shared" si="23"/>
        <v>0</v>
      </c>
      <c r="X96" s="1097">
        <f t="shared" si="24"/>
        <v>0</v>
      </c>
      <c r="Y96" s="472"/>
    </row>
    <row r="97" spans="1:25" s="1021" customFormat="1">
      <c r="A97" s="484" t="s">
        <v>5016</v>
      </c>
      <c r="B97" s="485" t="s">
        <v>453</v>
      </c>
      <c r="C97" s="497">
        <f ca="1">htanks</f>
        <v>3</v>
      </c>
      <c r="D97" s="498" t="s">
        <v>2192</v>
      </c>
      <c r="E97" s="499">
        <f ca="1">IF(C97=0,"NA",htank_vol)</f>
        <v>235364.50469560674</v>
      </c>
      <c r="F97" s="500" t="str">
        <f ca="1">IF(C97=0,"","gal")</f>
        <v>gal</v>
      </c>
      <c r="G97" s="499">
        <f ca="1">IF(htanks=0,"NA",IF(curve=1,htank_vol,VLOOKUP(htank_vol,st_bwt_cost_cl,2)))</f>
        <v>235364.50469560674</v>
      </c>
      <c r="H97" s="500" t="str">
        <f ca="1">IF(C97=0,"","gal")</f>
        <v>gal</v>
      </c>
      <c r="I97" s="501">
        <f ca="1">IF(htanks=0,0,IF(curve=1,st_ht_eq,VLOOKUP(htank_vol,st_bwt_cost_cl,3)))</f>
        <v>152624.41207122896</v>
      </c>
      <c r="J97" s="502">
        <f ca="1">IF(I97="contact vendor","--",C97*I97)</f>
        <v>457873.23621368688</v>
      </c>
      <c r="K97" s="503">
        <f ca="1">IF(htanks=0,"NA",VLOOKUP(htank_vol,st_bwt_cost_cl,IF(ss_cat="large",4,5)))</f>
        <v>35</v>
      </c>
      <c r="L97" s="491">
        <v>1</v>
      </c>
      <c r="M97" s="886" t="str">
        <f>$B$96&amp;" - "&amp;B97</f>
        <v>Residuals Holding Tanks - Steel Tanks</v>
      </c>
      <c r="N97" s="238">
        <v>3</v>
      </c>
      <c r="O97" s="898">
        <v>3</v>
      </c>
      <c r="P97" s="238">
        <v>1</v>
      </c>
      <c r="Q97" s="238">
        <v>3</v>
      </c>
      <c r="R97" s="898">
        <v>3</v>
      </c>
      <c r="S97" s="238">
        <v>1</v>
      </c>
      <c r="T97" s="238">
        <v>3</v>
      </c>
      <c r="U97" s="898">
        <v>3</v>
      </c>
      <c r="V97" s="238">
        <v>1</v>
      </c>
      <c r="W97" s="1096">
        <f t="shared" ca="1" si="23"/>
        <v>1</v>
      </c>
      <c r="X97" s="1097">
        <f t="shared" ca="1" si="24"/>
        <v>13082.092463248197</v>
      </c>
      <c r="Y97" s="472"/>
    </row>
    <row r="98" spans="1:25" s="1021" customFormat="1">
      <c r="A98" s="484" t="s">
        <v>5016</v>
      </c>
      <c r="B98" s="485" t="s">
        <v>454</v>
      </c>
      <c r="C98" s="497">
        <f ca="1">htanks</f>
        <v>3</v>
      </c>
      <c r="D98" s="498" t="s">
        <v>2192</v>
      </c>
      <c r="E98" s="499">
        <f ca="1">IF(C98=0,"NA",htank_vol)</f>
        <v>235364.50469560674</v>
      </c>
      <c r="F98" s="500" t="str">
        <f ca="1">IF(C98=0,"","gal")</f>
        <v>gal</v>
      </c>
      <c r="G98" s="499">
        <f ca="1">IF(htanks=0,"NA",IF(curve=1,htank_vol,VLOOKUP(htank_vol,fg_bwt_cost_cl,2)))</f>
        <v>235364.50469560674</v>
      </c>
      <c r="H98" s="500" t="str">
        <f ca="1">IF(C98=0,"","gal")</f>
        <v>gal</v>
      </c>
      <c r="I98" s="501" t="str">
        <f ca="1">IF(htanks=0,0,IF(curve=1,fg_ht_eq,VLOOKUP(htank_vol,fg_bwt_cost_cl,3)))</f>
        <v>contact vendor</v>
      </c>
      <c r="J98" s="502" t="str">
        <f ca="1">IF(I98="contact vendor","--",C98*I98)</f>
        <v>--</v>
      </c>
      <c r="K98" s="503">
        <f ca="1">IF(htanks=0,"NA",VLOOKUP(htank_vol,fg_bwt_cost_cl,IF(ss_cat="large",4,5)))</f>
        <v>25</v>
      </c>
      <c r="L98" s="491">
        <v>0</v>
      </c>
      <c r="M98" s="886" t="str">
        <f>$B$96&amp;" - "&amp;B98</f>
        <v>Residuals Holding Tanks - Fiberglass Tanks</v>
      </c>
      <c r="N98" s="238">
        <v>2</v>
      </c>
      <c r="O98" s="238">
        <v>1</v>
      </c>
      <c r="P98" s="238">
        <v>2</v>
      </c>
      <c r="Q98" s="238">
        <v>2</v>
      </c>
      <c r="R98" s="238">
        <v>1</v>
      </c>
      <c r="S98" s="238">
        <v>2</v>
      </c>
      <c r="T98" s="238">
        <v>2</v>
      </c>
      <c r="U98" s="238">
        <v>1</v>
      </c>
      <c r="V98" s="238">
        <v>2</v>
      </c>
      <c r="W98" s="1096">
        <f t="shared" ca="1" si="23"/>
        <v>0</v>
      </c>
      <c r="X98" s="1097">
        <f t="shared" ca="1" si="24"/>
        <v>0</v>
      </c>
      <c r="Y98" s="472"/>
    </row>
    <row r="99" spans="1:25" s="1021" customFormat="1">
      <c r="A99" s="484" t="s">
        <v>5016</v>
      </c>
      <c r="B99" s="485" t="s">
        <v>455</v>
      </c>
      <c r="C99" s="497">
        <f ca="1">htanks</f>
        <v>3</v>
      </c>
      <c r="D99" s="498" t="s">
        <v>2192</v>
      </c>
      <c r="E99" s="499">
        <f ca="1">IF(C99=0,"NA",htank_vol)</f>
        <v>235364.50469560674</v>
      </c>
      <c r="F99" s="500" t="str">
        <f ca="1">IF(C99=0,"","gal")</f>
        <v>gal</v>
      </c>
      <c r="G99" s="499">
        <f ca="1">IF(htanks=0,"NA",IF(curve=1,htank_vol,VLOOKUP(htank_vol,hdpe_bwt_cost_cl,2)))</f>
        <v>235364.50469560674</v>
      </c>
      <c r="H99" s="500" t="str">
        <f ca="1">IF(C99=0,"","gal")</f>
        <v>gal</v>
      </c>
      <c r="I99" s="501" t="str">
        <f ca="1">IF(htanks=0,0,IF(curve=1,hdpe_ht_eq,VLOOKUP(htank_vol,hdpe_bwt_cost_cl,3)))</f>
        <v>contact vendor</v>
      </c>
      <c r="J99" s="502" t="str">
        <f ca="1">IF(I99="contact vendor","--",C99*I99)</f>
        <v>--</v>
      </c>
      <c r="K99" s="503">
        <f ca="1">IF(htanks=0,"NA",VLOOKUP(htank_vol,hdpe_bwt_cost_cl,IF(ss_cat="large",4,5)))</f>
        <v>25</v>
      </c>
      <c r="L99" s="491">
        <v>0</v>
      </c>
      <c r="M99" s="886" t="str">
        <f>$B$96&amp;" - "&amp;B99</f>
        <v>Residuals Holding Tanks - Plastic/HDPE Tanks</v>
      </c>
      <c r="N99" s="238">
        <v>1</v>
      </c>
      <c r="O99" s="238">
        <v>2</v>
      </c>
      <c r="P99" s="238">
        <v>3</v>
      </c>
      <c r="Q99" s="238">
        <v>1</v>
      </c>
      <c r="R99" s="238">
        <v>2</v>
      </c>
      <c r="S99" s="238">
        <v>3</v>
      </c>
      <c r="T99" s="238">
        <v>1</v>
      </c>
      <c r="U99" s="238">
        <v>2</v>
      </c>
      <c r="V99" s="238">
        <v>3</v>
      </c>
      <c r="W99" s="1096">
        <f t="shared" ca="1" si="23"/>
        <v>0</v>
      </c>
      <c r="X99" s="1097">
        <f t="shared" ca="1" si="24"/>
        <v>0</v>
      </c>
      <c r="Y99" s="472"/>
    </row>
    <row r="100" spans="1:25" s="1021" customFormat="1">
      <c r="A100" s="948" t="s">
        <v>5017</v>
      </c>
      <c r="B100" s="474" t="s">
        <v>462</v>
      </c>
      <c r="C100" s="494"/>
      <c r="D100" s="495"/>
      <c r="E100" s="494"/>
      <c r="F100" s="474"/>
      <c r="G100" s="494"/>
      <c r="H100" s="474"/>
      <c r="I100" s="494"/>
      <c r="J100" s="494"/>
      <c r="K100" s="494"/>
      <c r="L100" s="496"/>
      <c r="M100" s="886"/>
      <c r="N100" s="238"/>
      <c r="O100" s="238"/>
      <c r="P100" s="238"/>
      <c r="Q100" s="238"/>
      <c r="R100" s="238"/>
      <c r="S100" s="238"/>
      <c r="T100" s="238"/>
      <c r="U100" s="238"/>
      <c r="V100" s="238"/>
      <c r="W100" s="1096">
        <f t="shared" si="23"/>
        <v>0</v>
      </c>
      <c r="X100" s="1097">
        <f t="shared" si="24"/>
        <v>0</v>
      </c>
      <c r="Y100" s="472"/>
    </row>
    <row r="101" spans="1:25" s="1021" customFormat="1">
      <c r="A101" s="484" t="s">
        <v>5019</v>
      </c>
      <c r="B101" s="485" t="s">
        <v>463</v>
      </c>
      <c r="C101" s="497">
        <f>hbasins</f>
        <v>0</v>
      </c>
      <c r="D101" s="498" t="s">
        <v>2192</v>
      </c>
      <c r="E101" s="499" t="str">
        <f>IF(C101=0,"NA",hbasin_vol)</f>
        <v>NA</v>
      </c>
      <c r="F101" s="500" t="str">
        <f>IF(C101=0,"","gal")</f>
        <v/>
      </c>
      <c r="G101" s="499" t="str">
        <f>IF(C101=0,"NA",hbasin_vol)</f>
        <v>NA</v>
      </c>
      <c r="H101" s="500" t="str">
        <f>IF(C101=0,"","gal")</f>
        <v/>
      </c>
      <c r="I101" s="501">
        <f>IF(hbasins=0,0,hbasin_conc_vol/hbasins*VLOOKUP(0,conc_basin_cost_cl,3))</f>
        <v>0</v>
      </c>
      <c r="J101" s="502">
        <f>IF(I101="contact vendor","--",C101*I101)</f>
        <v>0</v>
      </c>
      <c r="K101" s="503" t="str">
        <f>IF(hbasins=0,"NA",VLOOKUP(0,conc_basin_cost_cl,IF(ss_cat="large",4,5)))</f>
        <v>NA</v>
      </c>
      <c r="L101" s="491"/>
      <c r="M101" s="886" t="str">
        <f>$B$100&amp;" - "&amp;B101</f>
        <v>Residuals Holding Basins - Concrete</v>
      </c>
      <c r="N101" s="238">
        <v>1</v>
      </c>
      <c r="O101" s="238">
        <v>1</v>
      </c>
      <c r="P101" s="238">
        <v>1</v>
      </c>
      <c r="Q101" s="238">
        <v>1</v>
      </c>
      <c r="R101" s="238">
        <v>1</v>
      </c>
      <c r="S101" s="238">
        <v>1</v>
      </c>
      <c r="T101" s="238">
        <v>1</v>
      </c>
      <c r="U101" s="238">
        <v>1</v>
      </c>
      <c r="V101" s="238">
        <v>1</v>
      </c>
      <c r="W101" s="1096">
        <f t="shared" si="23"/>
        <v>0</v>
      </c>
      <c r="X101" s="1097">
        <f t="shared" si="24"/>
        <v>0</v>
      </c>
      <c r="Y101" s="472"/>
    </row>
    <row r="102" spans="1:25" s="1021" customFormat="1">
      <c r="A102" s="484" t="s">
        <v>5439</v>
      </c>
      <c r="B102" s="485" t="s">
        <v>464</v>
      </c>
      <c r="C102" s="497">
        <f>hbasin_railing</f>
        <v>0</v>
      </c>
      <c r="D102" s="498" t="s">
        <v>1777</v>
      </c>
      <c r="E102" s="499" t="s">
        <v>3743</v>
      </c>
      <c r="F102" s="335"/>
      <c r="G102" s="499" t="s">
        <v>3743</v>
      </c>
      <c r="H102" s="335"/>
      <c r="I102" s="478">
        <f>IF(hbasins=0,0,VLOOKUP(B102,metal_cost_cl,3))</f>
        <v>0</v>
      </c>
      <c r="J102" s="502">
        <f>IF(I102="contact vendor","--",C102*I102)</f>
        <v>0</v>
      </c>
      <c r="K102" s="503" t="str">
        <f>IF(hbasins=0,"NA",VLOOKUP(B102,metal_cost_cl,IF(ss_cat="large",4,5)))</f>
        <v>NA</v>
      </c>
      <c r="L102" s="491"/>
      <c r="M102" s="886" t="str">
        <f>$B$100&amp;" - "&amp;B102</f>
        <v>Residuals Holding Basins - Aluminum Railing</v>
      </c>
      <c r="N102" s="238">
        <v>1</v>
      </c>
      <c r="O102" s="238">
        <v>1</v>
      </c>
      <c r="P102" s="238">
        <v>1</v>
      </c>
      <c r="Q102" s="238">
        <v>1</v>
      </c>
      <c r="R102" s="238">
        <v>1</v>
      </c>
      <c r="S102" s="238">
        <v>1</v>
      </c>
      <c r="T102" s="238">
        <v>1</v>
      </c>
      <c r="U102" s="238">
        <v>1</v>
      </c>
      <c r="V102" s="238">
        <v>1</v>
      </c>
      <c r="W102" s="1096">
        <f t="shared" si="23"/>
        <v>0</v>
      </c>
      <c r="X102" s="1097">
        <f t="shared" si="24"/>
        <v>0</v>
      </c>
      <c r="Y102" s="472"/>
    </row>
    <row r="103" spans="1:25" s="1021" customFormat="1">
      <c r="A103" s="484" t="s">
        <v>5440</v>
      </c>
      <c r="B103" s="485" t="s">
        <v>465</v>
      </c>
      <c r="C103" s="497">
        <f>IF(hbasins=0,0,risers*hbasins)</f>
        <v>0</v>
      </c>
      <c r="D103" s="498" t="s">
        <v>3366</v>
      </c>
      <c r="E103" s="499" t="s">
        <v>3743</v>
      </c>
      <c r="F103" s="500"/>
      <c r="G103" s="499" t="s">
        <v>3743</v>
      </c>
      <c r="H103" s="500"/>
      <c r="I103" s="478">
        <f>IF(hbasins=0,0,VLOOKUP(B103,metal_cost_cl,3))</f>
        <v>0</v>
      </c>
      <c r="J103" s="502">
        <f>IF(I103="contact vendor","--",C103*I103)</f>
        <v>0</v>
      </c>
      <c r="K103" s="503" t="str">
        <f>IF(hbasins=0,"NA",VLOOKUP(B103,metal_cost_cl,IF(ss_cat="large",4,5)))</f>
        <v>NA</v>
      </c>
      <c r="L103" s="491"/>
      <c r="M103" s="886" t="str">
        <f>$B$100&amp;" - "&amp;B103</f>
        <v>Residuals Holding Basins - Aluminum Stairs</v>
      </c>
      <c r="N103" s="238">
        <v>1</v>
      </c>
      <c r="O103" s="238">
        <v>1</v>
      </c>
      <c r="P103" s="238">
        <v>1</v>
      </c>
      <c r="Q103" s="238">
        <v>1</v>
      </c>
      <c r="R103" s="238">
        <v>1</v>
      </c>
      <c r="S103" s="238">
        <v>1</v>
      </c>
      <c r="T103" s="238">
        <v>1</v>
      </c>
      <c r="U103" s="238">
        <v>1</v>
      </c>
      <c r="V103" s="238">
        <v>1</v>
      </c>
      <c r="W103" s="1096">
        <f t="shared" si="23"/>
        <v>0</v>
      </c>
      <c r="X103" s="1097">
        <f t="shared" si="24"/>
        <v>0</v>
      </c>
      <c r="Y103" s="472"/>
    </row>
    <row r="104" spans="1:25" s="1021" customFormat="1">
      <c r="A104" s="484" t="s">
        <v>5441</v>
      </c>
      <c r="B104" s="485" t="s">
        <v>466</v>
      </c>
      <c r="C104" s="497">
        <f>IF(hbasins=0,0,1)</f>
        <v>0</v>
      </c>
      <c r="D104" s="498" t="s">
        <v>2192</v>
      </c>
      <c r="E104" s="499" t="str">
        <f>IF(C104=0,"NA",hbasin_excavation_vol)</f>
        <v>NA</v>
      </c>
      <c r="F104" s="500" t="str">
        <f>IF(C104=0,"","cy")</f>
        <v/>
      </c>
      <c r="G104" s="499" t="str">
        <f>IF(C104=0,"NA",hbasin_excavation_vol)</f>
        <v>NA</v>
      </c>
      <c r="H104" s="500" t="str">
        <f>IF(C104=0,"","cy")</f>
        <v/>
      </c>
      <c r="I104" s="501">
        <f>IF(hbasins=0,0,VLOOKUP(0,excavate_cost_cl,3))</f>
        <v>0</v>
      </c>
      <c r="J104" s="502">
        <f>IF(hbasins=0,0,IF(I104="contact vendor","--",E104*I104))</f>
        <v>0</v>
      </c>
      <c r="K104" s="477" t="str">
        <f>IF(C104=0,"NA",VLOOKUP(0,conc_basin_cost_cl,IF(ss_cat="large",4,5)))</f>
        <v>NA</v>
      </c>
      <c r="L104" s="491"/>
      <c r="M104" s="886" t="str">
        <f>$B$100&amp;" - "&amp;B104</f>
        <v>Residuals Holding Basins - Excavation</v>
      </c>
      <c r="N104" s="238">
        <v>1</v>
      </c>
      <c r="O104" s="238">
        <v>1</v>
      </c>
      <c r="P104" s="238">
        <v>1</v>
      </c>
      <c r="Q104" s="238">
        <v>1</v>
      </c>
      <c r="R104" s="238">
        <v>1</v>
      </c>
      <c r="S104" s="238">
        <v>1</v>
      </c>
      <c r="T104" s="238">
        <v>1</v>
      </c>
      <c r="U104" s="238">
        <v>1</v>
      </c>
      <c r="V104" s="238">
        <v>1</v>
      </c>
      <c r="W104" s="1096">
        <f t="shared" si="23"/>
        <v>0</v>
      </c>
      <c r="X104" s="1097">
        <f t="shared" si="24"/>
        <v>0</v>
      </c>
      <c r="Y104" s="472"/>
    </row>
    <row r="105" spans="1:25" s="1021" customFormat="1">
      <c r="A105" s="484" t="s">
        <v>5442</v>
      </c>
      <c r="B105" s="485" t="s">
        <v>467</v>
      </c>
      <c r="C105" s="497">
        <f>IF(hbasins=0,0,1)</f>
        <v>0</v>
      </c>
      <c r="D105" s="498" t="s">
        <v>2192</v>
      </c>
      <c r="E105" s="499" t="str">
        <f>IF(C105=0,"NA",hbasin_backfill_vol)</f>
        <v>NA</v>
      </c>
      <c r="F105" s="500" t="str">
        <f>IF(C105=0,"","cy")</f>
        <v/>
      </c>
      <c r="G105" s="499" t="str">
        <f>IF(C105=0,"NA",hbasin_backfill_vol)</f>
        <v>NA</v>
      </c>
      <c r="H105" s="500" t="str">
        <f>IF(C105=0,"","cy")</f>
        <v/>
      </c>
      <c r="I105" s="501">
        <f>IF(hbasins=0,0,VLOOKUP(0,backfill_cost_cl,3))</f>
        <v>0</v>
      </c>
      <c r="J105" s="502">
        <f>IF(hbasins=0,0,IF(I105="contact vendor","--",E105*I105))</f>
        <v>0</v>
      </c>
      <c r="K105" s="477" t="str">
        <f>IF(C105=0,"NA",VLOOKUP(0,conc_basin_cost_cl,IF(ss_cat="large",4,5)))</f>
        <v>NA</v>
      </c>
      <c r="L105" s="491"/>
      <c r="M105" s="886" t="str">
        <f>$B$100&amp;" - "&amp;B105</f>
        <v>Residuals Holding Basins - Backfill and Compaction</v>
      </c>
      <c r="N105" s="238">
        <v>1</v>
      </c>
      <c r="O105" s="238">
        <v>1</v>
      </c>
      <c r="P105" s="238">
        <v>1</v>
      </c>
      <c r="Q105" s="238">
        <v>1</v>
      </c>
      <c r="R105" s="238">
        <v>1</v>
      </c>
      <c r="S105" s="238">
        <v>1</v>
      </c>
      <c r="T105" s="238">
        <v>1</v>
      </c>
      <c r="U105" s="238">
        <v>1</v>
      </c>
      <c r="V105" s="238">
        <v>1</v>
      </c>
      <c r="W105" s="1096">
        <f t="shared" si="23"/>
        <v>0</v>
      </c>
      <c r="X105" s="1097">
        <f t="shared" si="24"/>
        <v>0</v>
      </c>
      <c r="Y105" s="472"/>
    </row>
    <row r="106" spans="1:25" s="1021" customFormat="1">
      <c r="A106" s="473" t="s">
        <v>5021</v>
      </c>
      <c r="B106" s="474" t="s">
        <v>471</v>
      </c>
      <c r="C106" s="494"/>
      <c r="D106" s="495"/>
      <c r="E106" s="494"/>
      <c r="F106" s="474"/>
      <c r="G106" s="494"/>
      <c r="H106" s="474"/>
      <c r="I106" s="494"/>
      <c r="J106" s="494"/>
      <c r="K106" s="494"/>
      <c r="L106" s="496"/>
      <c r="M106" s="886"/>
      <c r="N106" s="238"/>
      <c r="O106" s="238"/>
      <c r="P106" s="238"/>
      <c r="Q106" s="238"/>
      <c r="R106" s="238"/>
      <c r="S106" s="238"/>
      <c r="T106" s="238"/>
      <c r="U106" s="238"/>
      <c r="V106" s="238"/>
      <c r="W106" s="1096">
        <f t="shared" si="23"/>
        <v>0</v>
      </c>
      <c r="X106" s="1097">
        <f t="shared" si="24"/>
        <v>0</v>
      </c>
      <c r="Y106" s="472"/>
    </row>
    <row r="107" spans="1:25" s="1021" customFormat="1">
      <c r="A107" s="657" t="s">
        <v>5023</v>
      </c>
      <c r="B107" s="605" t="s">
        <v>466</v>
      </c>
      <c r="C107" s="497">
        <f>hlagoons</f>
        <v>0</v>
      </c>
      <c r="D107" s="506" t="s">
        <v>2219</v>
      </c>
      <c r="E107" s="499" t="str">
        <f>IF(C107=0,"NA",hl_excavation_vol/hlagoons)</f>
        <v>NA</v>
      </c>
      <c r="F107" s="500" t="str">
        <f>IF(C107=0,"","cy")</f>
        <v/>
      </c>
      <c r="G107" s="499" t="str">
        <f>IF(C107=0,"NA",hl_excavation_vol/hlagoons)</f>
        <v>NA</v>
      </c>
      <c r="H107" s="500" t="str">
        <f>IF(C107=0,"","cy")</f>
        <v/>
      </c>
      <c r="I107" s="478" t="str">
        <f>IF(C107=0,"NA",VLOOKUP(0,excavate_cost_cl,3))</f>
        <v>NA</v>
      </c>
      <c r="J107" s="490" t="str">
        <f>IF(C107=0,"--",IF(I107="contact vendor","--",E107*I107))</f>
        <v>--</v>
      </c>
      <c r="K107" s="497" t="str">
        <f>IF(C107=0,"NA",VLOOKUP(0,ep_liner_cost_cl,IF(ss_cat="large",4,5)))</f>
        <v>NA</v>
      </c>
      <c r="L107" s="504"/>
      <c r="M107" s="886" t="str">
        <f>$B$106&amp;" - "&amp;B107</f>
        <v>Residuals Holding Lagoons - Excavation</v>
      </c>
      <c r="N107" s="238">
        <v>1</v>
      </c>
      <c r="O107" s="238">
        <v>1</v>
      </c>
      <c r="P107" s="238">
        <v>1</v>
      </c>
      <c r="Q107" s="238">
        <v>1</v>
      </c>
      <c r="R107" s="238">
        <v>1</v>
      </c>
      <c r="S107" s="238">
        <v>1</v>
      </c>
      <c r="T107" s="238">
        <v>1</v>
      </c>
      <c r="U107" s="238">
        <v>1</v>
      </c>
      <c r="V107" s="238">
        <v>1</v>
      </c>
      <c r="W107" s="1096">
        <f t="shared" si="23"/>
        <v>0</v>
      </c>
      <c r="X107" s="1097">
        <f t="shared" si="24"/>
        <v>0</v>
      </c>
      <c r="Y107" s="472"/>
    </row>
    <row r="108" spans="1:25" s="1021" customFormat="1">
      <c r="A108" s="657" t="s">
        <v>5443</v>
      </c>
      <c r="B108" s="605" t="s">
        <v>468</v>
      </c>
      <c r="C108" s="497">
        <f>hlagoons</f>
        <v>0</v>
      </c>
      <c r="D108" s="506" t="s">
        <v>2219</v>
      </c>
      <c r="E108" s="499" t="str">
        <f>IF(C108=0,"NA",hl_backfill_vol/hlagoons)</f>
        <v>NA</v>
      </c>
      <c r="F108" s="500" t="str">
        <f>IF(C108=0,"","cy")</f>
        <v/>
      </c>
      <c r="G108" s="499" t="str">
        <f>IF(C108=0,"NA",hl_backfill_vol/hlagoons)</f>
        <v>NA</v>
      </c>
      <c r="H108" s="500" t="str">
        <f>IF(C108=0,"","cy")</f>
        <v/>
      </c>
      <c r="I108" s="478" t="str">
        <f>IF(C108=0,"NA",VLOOKUP(0,backfill_cost_cl,3))</f>
        <v>NA</v>
      </c>
      <c r="J108" s="490" t="str">
        <f>IF(C108=0,"--",IF(I108="contact vendor","--",E108*I108))</f>
        <v>--</v>
      </c>
      <c r="K108" s="497" t="str">
        <f>IF(C108=0,"NA",VLOOKUP(0,ep_liner_cost_cl,IF(ss_cat="large",4,5)))</f>
        <v>NA</v>
      </c>
      <c r="L108" s="504"/>
      <c r="M108" s="886" t="str">
        <f>$B$106&amp;" - "&amp;B108</f>
        <v>Residuals Holding Lagoons - Backfill</v>
      </c>
      <c r="N108" s="238">
        <v>1</v>
      </c>
      <c r="O108" s="238">
        <v>1</v>
      </c>
      <c r="P108" s="238">
        <v>1</v>
      </c>
      <c r="Q108" s="238">
        <v>1</v>
      </c>
      <c r="R108" s="238">
        <v>1</v>
      </c>
      <c r="S108" s="238">
        <v>1</v>
      </c>
      <c r="T108" s="238">
        <v>1</v>
      </c>
      <c r="U108" s="238">
        <v>1</v>
      </c>
      <c r="V108" s="238">
        <v>1</v>
      </c>
      <c r="W108" s="1096">
        <f t="shared" si="23"/>
        <v>0</v>
      </c>
      <c r="X108" s="1097">
        <f t="shared" si="24"/>
        <v>0</v>
      </c>
      <c r="Y108" s="472"/>
    </row>
    <row r="109" spans="1:25" s="1021" customFormat="1">
      <c r="A109" s="657" t="s">
        <v>5444</v>
      </c>
      <c r="B109" s="605" t="s">
        <v>469</v>
      </c>
      <c r="C109" s="497">
        <f>hlagoons</f>
        <v>0</v>
      </c>
      <c r="D109" s="506" t="s">
        <v>2219</v>
      </c>
      <c r="E109" s="499" t="str">
        <f>IF(C109=0,"NA",hl_liner_area/hlagoons)</f>
        <v>NA</v>
      </c>
      <c r="F109" s="500" t="str">
        <f>IF(C109=0,"","sf")</f>
        <v/>
      </c>
      <c r="G109" s="499" t="str">
        <f>IF(C109=0,"NA",hl_liner_area/hlagoons)</f>
        <v>NA</v>
      </c>
      <c r="H109" s="500" t="str">
        <f>IF(C109=0,"","sf")</f>
        <v/>
      </c>
      <c r="I109" s="478" t="str">
        <f>IF(C109=0,"NA",VLOOKUP(0,ep_liner_cost_cl,3))</f>
        <v>NA</v>
      </c>
      <c r="J109" s="490" t="str">
        <f>IF(C109=0,"--",IF(I109="contact vendor","--",E109*I109))</f>
        <v>--</v>
      </c>
      <c r="K109" s="497" t="str">
        <f>IF(C109=0,"NA",VLOOKUP(0,ep_liner_cost_cl,IF(ss_cat="large",4,5)))</f>
        <v>NA</v>
      </c>
      <c r="L109" s="504"/>
      <c r="M109" s="886" t="str">
        <f>$B$106&amp;" - "&amp;B109</f>
        <v>Residuals Holding Lagoons - Liner</v>
      </c>
      <c r="N109" s="238">
        <v>1</v>
      </c>
      <c r="O109" s="238">
        <v>1</v>
      </c>
      <c r="P109" s="238">
        <v>1</v>
      </c>
      <c r="Q109" s="238">
        <v>1</v>
      </c>
      <c r="R109" s="238">
        <v>1</v>
      </c>
      <c r="S109" s="238">
        <v>1</v>
      </c>
      <c r="T109" s="238">
        <v>1</v>
      </c>
      <c r="U109" s="238">
        <v>1</v>
      </c>
      <c r="V109" s="238">
        <v>1</v>
      </c>
      <c r="W109" s="1096">
        <f t="shared" si="23"/>
        <v>0</v>
      </c>
      <c r="X109" s="1097">
        <f t="shared" si="24"/>
        <v>0</v>
      </c>
      <c r="Y109" s="472"/>
    </row>
    <row r="110" spans="1:25" s="1021" customFormat="1">
      <c r="A110" s="657" t="s">
        <v>5445</v>
      </c>
      <c r="B110" s="605" t="s">
        <v>470</v>
      </c>
      <c r="C110" s="497">
        <f>hlagoons</f>
        <v>0</v>
      </c>
      <c r="D110" s="506" t="s">
        <v>2219</v>
      </c>
      <c r="E110" s="499" t="str">
        <f>IF(C110=0,"NA",hl_dike_volume/hlagoons)</f>
        <v>NA</v>
      </c>
      <c r="F110" s="500" t="str">
        <f>IF(C110=0,"","cy")</f>
        <v/>
      </c>
      <c r="G110" s="499" t="str">
        <f>IF(C110=0,"NA",hl_dike_volume/hlagoons)</f>
        <v>NA</v>
      </c>
      <c r="H110" s="500" t="str">
        <f>IF(C110=0,"","cy")</f>
        <v/>
      </c>
      <c r="I110" s="478" t="str">
        <f>IF(C110=0,"NA",ep_dike_construct_cl)</f>
        <v>NA</v>
      </c>
      <c r="J110" s="490" t="str">
        <f>IF(C110=0,"--",IF(I110="contact vendor","--",E110*I110))</f>
        <v>--</v>
      </c>
      <c r="K110" s="497" t="str">
        <f>IF(C110=0,"NA",VLOOKUP(0,ep_liner_cost_cl,IF(ss_cat="large",4,5)))</f>
        <v>NA</v>
      </c>
      <c r="L110" s="504"/>
      <c r="M110" s="886" t="str">
        <f>$B$106&amp;" - "&amp;B110</f>
        <v>Residuals Holding Lagoons - Dike Construction</v>
      </c>
      <c r="N110" s="238">
        <v>1</v>
      </c>
      <c r="O110" s="238">
        <v>1</v>
      </c>
      <c r="P110" s="238">
        <v>1</v>
      </c>
      <c r="Q110" s="238">
        <v>1</v>
      </c>
      <c r="R110" s="238">
        <v>1</v>
      </c>
      <c r="S110" s="238">
        <v>1</v>
      </c>
      <c r="T110" s="238">
        <v>1</v>
      </c>
      <c r="U110" s="238">
        <v>1</v>
      </c>
      <c r="V110" s="238">
        <v>1</v>
      </c>
      <c r="W110" s="1096">
        <f t="shared" si="23"/>
        <v>0</v>
      </c>
      <c r="X110" s="1097">
        <f t="shared" si="24"/>
        <v>0</v>
      </c>
      <c r="Y110" s="472"/>
    </row>
    <row r="111" spans="1:25" s="1021" customFormat="1">
      <c r="A111" s="658">
        <v>3</v>
      </c>
      <c r="B111" s="342" t="s">
        <v>5065</v>
      </c>
      <c r="C111" s="425"/>
      <c r="D111" s="338"/>
      <c r="E111" s="425"/>
      <c r="F111" s="337"/>
      <c r="G111" s="425"/>
      <c r="H111" s="337"/>
      <c r="I111" s="425"/>
      <c r="J111" s="425"/>
      <c r="K111" s="425"/>
      <c r="L111" s="426"/>
      <c r="M111" s="886"/>
      <c r="N111" s="238"/>
      <c r="O111" s="238"/>
      <c r="P111" s="238"/>
      <c r="Q111" s="238"/>
      <c r="R111" s="238"/>
      <c r="S111" s="238"/>
      <c r="T111" s="238"/>
      <c r="U111" s="238"/>
      <c r="V111" s="238"/>
      <c r="W111" s="1096">
        <f t="shared" ref="W111:W134" si="25">IF(ISERROR(K111*L111),0,IF(K111&lt;1,0,L111))</f>
        <v>0</v>
      </c>
      <c r="X111" s="1097">
        <f t="shared" ref="X111:X134" si="26">IF(W111,J111/K111,0)</f>
        <v>0</v>
      </c>
      <c r="Y111" s="472"/>
    </row>
    <row r="112" spans="1:25" s="1022" customFormat="1">
      <c r="A112" s="584" t="s">
        <v>5057</v>
      </c>
      <c r="B112" s="507" t="s">
        <v>5581</v>
      </c>
      <c r="C112" s="494"/>
      <c r="D112" s="495"/>
      <c r="E112" s="512"/>
      <c r="F112" s="474"/>
      <c r="G112" s="512"/>
      <c r="H112" s="474"/>
      <c r="I112" s="494"/>
      <c r="J112" s="494"/>
      <c r="K112" s="494"/>
      <c r="L112" s="496"/>
      <c r="M112" s="898"/>
      <c r="N112" s="238"/>
      <c r="O112" s="238"/>
      <c r="P112" s="238"/>
      <c r="Q112" s="238"/>
      <c r="R112" s="238"/>
      <c r="S112" s="238"/>
      <c r="T112" s="238"/>
      <c r="U112" s="238"/>
      <c r="V112" s="238"/>
      <c r="W112" s="1096">
        <f t="shared" si="25"/>
        <v>0</v>
      </c>
      <c r="X112" s="1097">
        <f t="shared" si="26"/>
        <v>0</v>
      </c>
      <c r="Y112" s="20"/>
    </row>
    <row r="113" spans="1:26" s="1022" customFormat="1">
      <c r="A113" s="508" t="s">
        <v>3179</v>
      </c>
      <c r="B113" s="509" t="s">
        <v>3468</v>
      </c>
      <c r="C113" s="497">
        <f ca="1">in_out_pipe_length</f>
        <v>240</v>
      </c>
      <c r="D113" s="498" t="s">
        <v>1777</v>
      </c>
      <c r="E113" s="510">
        <f>in_out_pipe_diam</f>
        <v>10</v>
      </c>
      <c r="F113" s="500" t="s">
        <v>2919</v>
      </c>
      <c r="G113" s="510">
        <f>IF(curve=1,in_out_pipe_diam,VLOOKUP(in_out_pipe_diam,di_pipe_cost_cl,2))</f>
        <v>10</v>
      </c>
      <c r="H113" s="500" t="s">
        <v>2919</v>
      </c>
      <c r="I113" s="478">
        <f>IF(curve=1,di_pipe_eq_in_out,VLOOKUP(in_out_pipe_diam,di_pipe_cost_cl,3))</f>
        <v>141.73754675700002</v>
      </c>
      <c r="J113" s="502">
        <f ca="1">IF(OR(I113="contact vendor",I113="NA"),"--",C113*I113)</f>
        <v>34017.011221680004</v>
      </c>
      <c r="K113" s="497">
        <f ca="1">IF(C113=0,"NA",VLOOKUP(E113,di_pipe_cost_cl,IF(ss_cat="large",4,5)))</f>
        <v>40</v>
      </c>
      <c r="L113" s="511">
        <v>0</v>
      </c>
      <c r="M113" s="1100" t="str">
        <f>$B$112&amp;" "&amp;" - "&amp;B113</f>
        <v>Influent and Treated Water Piping  - Ductile Iron</v>
      </c>
      <c r="N113" s="238">
        <v>3</v>
      </c>
      <c r="O113" s="238">
        <v>3</v>
      </c>
      <c r="P113" s="238">
        <v>3</v>
      </c>
      <c r="Q113" s="238">
        <v>3</v>
      </c>
      <c r="R113" s="238">
        <v>3</v>
      </c>
      <c r="S113" s="238">
        <v>3</v>
      </c>
      <c r="T113" s="238">
        <v>3</v>
      </c>
      <c r="U113" s="238">
        <v>3</v>
      </c>
      <c r="V113" s="238">
        <v>3</v>
      </c>
      <c r="W113" s="1096">
        <f t="shared" ca="1" si="25"/>
        <v>0</v>
      </c>
      <c r="X113" s="1097">
        <f t="shared" ca="1" si="26"/>
        <v>0</v>
      </c>
      <c r="Y113" s="20"/>
    </row>
    <row r="114" spans="1:26" s="1022" customFormat="1">
      <c r="A114" s="508" t="s">
        <v>3179</v>
      </c>
      <c r="B114" s="509" t="s">
        <v>473</v>
      </c>
      <c r="C114" s="497">
        <f ca="1">in_out_pipe_length</f>
        <v>240</v>
      </c>
      <c r="D114" s="498" t="s">
        <v>1777</v>
      </c>
      <c r="E114" s="510">
        <f>in_out_pipe_diam</f>
        <v>10</v>
      </c>
      <c r="F114" s="500" t="s">
        <v>2919</v>
      </c>
      <c r="G114" s="510">
        <f>IF(curve=1,in_out_pipe_diam,VLOOKUP(in_out_pipe_diam,cpvc_pipe_cost_cl,2))</f>
        <v>10</v>
      </c>
      <c r="H114" s="500" t="s">
        <v>2919</v>
      </c>
      <c r="I114" s="478">
        <f>IF(curve=1,cpvc_pipe_eq_in_out,VLOOKUP(in_out_pipe_diam,cpvc_pipe_cost_cl,3))</f>
        <v>110.97367943600001</v>
      </c>
      <c r="J114" s="502">
        <f ca="1">IF(OR(I114="contact vendor",I114="NA"),"--",C114*I114)</f>
        <v>26633.683064640001</v>
      </c>
      <c r="K114" s="497">
        <f ca="1">IF(C114=0,"NA",VLOOKUP(E114,cpvc_pipe_cost_cl,IF(ss_cat="large",4,5)))</f>
        <v>22</v>
      </c>
      <c r="L114" s="511">
        <v>0</v>
      </c>
      <c r="M114" s="1100" t="str">
        <f>$B$112&amp;" "&amp;" - "&amp;B114</f>
        <v>Influent and Treated Water Piping  - CPVC</v>
      </c>
      <c r="N114" s="238">
        <v>2</v>
      </c>
      <c r="O114" s="238">
        <v>1</v>
      </c>
      <c r="P114" s="238">
        <v>4</v>
      </c>
      <c r="Q114" s="238">
        <v>2</v>
      </c>
      <c r="R114" s="238">
        <v>1</v>
      </c>
      <c r="S114" s="238">
        <v>4</v>
      </c>
      <c r="T114" s="238">
        <v>2</v>
      </c>
      <c r="U114" s="238">
        <v>1</v>
      </c>
      <c r="V114" s="238">
        <v>4</v>
      </c>
      <c r="W114" s="1096">
        <f t="shared" ca="1" si="25"/>
        <v>0</v>
      </c>
      <c r="X114" s="1097">
        <f t="shared" ca="1" si="26"/>
        <v>0</v>
      </c>
      <c r="Y114" s="20"/>
    </row>
    <row r="115" spans="1:26" s="1022" customFormat="1">
      <c r="A115" s="508" t="s">
        <v>3179</v>
      </c>
      <c r="B115" s="509" t="s">
        <v>474</v>
      </c>
      <c r="C115" s="497">
        <f ca="1">in_out_pipe_length</f>
        <v>240</v>
      </c>
      <c r="D115" s="498" t="s">
        <v>1777</v>
      </c>
      <c r="E115" s="510">
        <f>in_out_pipe_diam</f>
        <v>10</v>
      </c>
      <c r="F115" s="500" t="s">
        <v>2919</v>
      </c>
      <c r="G115" s="510">
        <f>IF(curve=1,in_out_pipe_diam,VLOOKUP(in_out_pipe_diam,pvc_pipe_cost_cl,2))</f>
        <v>10</v>
      </c>
      <c r="H115" s="500" t="s">
        <v>2919</v>
      </c>
      <c r="I115" s="478">
        <f>IF(curve=1,pvc_pipe_eq_in_out,VLOOKUP(in_out_pipe_diam,pvc_pipe_cost_cl,3))</f>
        <v>19.148192264999999</v>
      </c>
      <c r="J115" s="502">
        <f ca="1">IF(OR(I115="contact vendor",I115="NA"),"--",C115*I115)</f>
        <v>4595.5661436</v>
      </c>
      <c r="K115" s="497">
        <f ca="1">IF(C115=0,"NA",VLOOKUP(E115,pvc_pipe_cost_cl,IF(ss_cat="large",4,5)))</f>
        <v>22</v>
      </c>
      <c r="L115" s="511">
        <v>1</v>
      </c>
      <c r="M115" s="1100" t="str">
        <f>$B$112&amp;" "&amp;" - "&amp;B115</f>
        <v>Influent and Treated Water Piping  - PVC</v>
      </c>
      <c r="N115" s="238">
        <v>1</v>
      </c>
      <c r="O115" s="238">
        <v>2</v>
      </c>
      <c r="P115" s="238">
        <v>5</v>
      </c>
      <c r="Q115" s="238">
        <v>1</v>
      </c>
      <c r="R115" s="238">
        <v>2</v>
      </c>
      <c r="S115" s="238">
        <v>5</v>
      </c>
      <c r="T115" s="238">
        <v>1</v>
      </c>
      <c r="U115" s="238">
        <v>2</v>
      </c>
      <c r="V115" s="238">
        <v>5</v>
      </c>
      <c r="W115" s="1096">
        <f t="shared" ca="1" si="25"/>
        <v>1</v>
      </c>
      <c r="X115" s="1097">
        <f t="shared" ca="1" si="26"/>
        <v>208.88937016363636</v>
      </c>
      <c r="Y115" s="20"/>
    </row>
    <row r="116" spans="1:26" s="1022" customFormat="1">
      <c r="A116" s="508" t="s">
        <v>3179</v>
      </c>
      <c r="B116" s="509" t="s">
        <v>2474</v>
      </c>
      <c r="C116" s="497">
        <f ca="1">in_out_pipe_length</f>
        <v>240</v>
      </c>
      <c r="D116" s="498" t="s">
        <v>1777</v>
      </c>
      <c r="E116" s="510">
        <f>in_out_pipe_diam</f>
        <v>10</v>
      </c>
      <c r="F116" s="500" t="s">
        <v>2919</v>
      </c>
      <c r="G116" s="510">
        <f>IF(curve=1,in_out_pipe_diam,VLOOKUP(in_out_pipe_diam,ss_pipe_cost_cl,2))</f>
        <v>10</v>
      </c>
      <c r="H116" s="500" t="s">
        <v>2919</v>
      </c>
      <c r="I116" s="478">
        <f>IF(curve=1,ss_pipe_eq_in_out,VLOOKUP(in_out_pipe_diam,ss_pipe_cost_cl,3))</f>
        <v>366.94979630500001</v>
      </c>
      <c r="J116" s="502">
        <f ca="1">IF(OR(I116="contact vendor",I116="NA"),"--",C116*I116)</f>
        <v>88067.951113200004</v>
      </c>
      <c r="K116" s="497">
        <f ca="1">IF(C116=0,"NA",VLOOKUP(E116,ss_pipe_cost_cl,IF(ss_cat="large",4,5)))</f>
        <v>45</v>
      </c>
      <c r="L116" s="511">
        <v>0</v>
      </c>
      <c r="M116" s="1100" t="str">
        <f>$B$112&amp;" "&amp;" - "&amp;B116</f>
        <v>Influent and Treated Water Piping  - Stainless Steel</v>
      </c>
      <c r="N116" s="238">
        <v>5</v>
      </c>
      <c r="O116" s="238">
        <v>5</v>
      </c>
      <c r="P116" s="238">
        <v>1</v>
      </c>
      <c r="Q116" s="238">
        <v>5</v>
      </c>
      <c r="R116" s="238">
        <v>5</v>
      </c>
      <c r="S116" s="238">
        <v>1</v>
      </c>
      <c r="T116" s="238">
        <v>5</v>
      </c>
      <c r="U116" s="238">
        <v>5</v>
      </c>
      <c r="V116" s="238">
        <v>1</v>
      </c>
      <c r="W116" s="1096">
        <f t="shared" ca="1" si="25"/>
        <v>0</v>
      </c>
      <c r="X116" s="1097">
        <f t="shared" ca="1" si="26"/>
        <v>0</v>
      </c>
      <c r="Y116" s="20"/>
    </row>
    <row r="117" spans="1:26" s="1022" customFormat="1">
      <c r="A117" s="508" t="s">
        <v>3179</v>
      </c>
      <c r="B117" s="509" t="s">
        <v>2475</v>
      </c>
      <c r="C117" s="497">
        <f ca="1">in_out_pipe_length</f>
        <v>240</v>
      </c>
      <c r="D117" s="498" t="s">
        <v>1777</v>
      </c>
      <c r="E117" s="510">
        <f>in_out_pipe_diam</f>
        <v>10</v>
      </c>
      <c r="F117" s="500" t="s">
        <v>2919</v>
      </c>
      <c r="G117" s="510">
        <f>IF(curve=1,in_out_pipe_diam,VLOOKUP(in_out_pipe_diam,st_pipe_cost_cl,2))</f>
        <v>10</v>
      </c>
      <c r="H117" s="500" t="s">
        <v>2919</v>
      </c>
      <c r="I117" s="478">
        <f>IF(curve=1,st_pipe_eq_in_out,VLOOKUP(in_out_pipe_diam,st_pipe_cost_cl,3))</f>
        <v>174.27949943716169</v>
      </c>
      <c r="J117" s="502">
        <f ca="1">IF(OR(I117="contact vendor",I117="NA"),"--",C117*I117)</f>
        <v>41827.079864918807</v>
      </c>
      <c r="K117" s="497">
        <f ca="1">IF(C117=0,"NA",VLOOKUP(E117,st_pipe_cost_cl,IF(ss_cat="large",4,5)))</f>
        <v>35</v>
      </c>
      <c r="L117" s="511">
        <v>0</v>
      </c>
      <c r="M117" s="1100" t="str">
        <f>$B$112&amp;" "&amp;" - "&amp;B117</f>
        <v>Influent and Treated Water Piping  - Steel</v>
      </c>
      <c r="N117" s="238">
        <v>4</v>
      </c>
      <c r="O117" s="238">
        <v>4</v>
      </c>
      <c r="P117" s="238">
        <v>2</v>
      </c>
      <c r="Q117" s="238">
        <v>4</v>
      </c>
      <c r="R117" s="238">
        <v>4</v>
      </c>
      <c r="S117" s="238">
        <v>2</v>
      </c>
      <c r="T117" s="238">
        <v>4</v>
      </c>
      <c r="U117" s="238">
        <v>4</v>
      </c>
      <c r="V117" s="238">
        <v>2</v>
      </c>
      <c r="W117" s="1096">
        <f t="shared" ca="1" si="25"/>
        <v>0</v>
      </c>
      <c r="X117" s="1097">
        <f t="shared" ca="1" si="26"/>
        <v>0</v>
      </c>
      <c r="Y117" s="20"/>
    </row>
    <row r="118" spans="1:26" s="1022" customFormat="1">
      <c r="A118" s="584" t="s">
        <v>5058</v>
      </c>
      <c r="B118" s="507" t="s">
        <v>1428</v>
      </c>
      <c r="C118" s="494"/>
      <c r="D118" s="495"/>
      <c r="E118" s="512"/>
      <c r="F118" s="474"/>
      <c r="G118" s="512"/>
      <c r="H118" s="474"/>
      <c r="I118" s="494"/>
      <c r="J118" s="494"/>
      <c r="K118" s="494"/>
      <c r="L118" s="496"/>
      <c r="M118" s="898"/>
      <c r="N118" s="238"/>
      <c r="O118" s="238"/>
      <c r="P118" s="238"/>
      <c r="Q118" s="238"/>
      <c r="R118" s="238"/>
      <c r="S118" s="238"/>
      <c r="T118" s="238"/>
      <c r="U118" s="238"/>
      <c r="V118" s="238"/>
      <c r="W118" s="1096">
        <f t="shared" si="25"/>
        <v>0</v>
      </c>
      <c r="X118" s="1097">
        <f t="shared" si="26"/>
        <v>0</v>
      </c>
      <c r="Y118" s="20"/>
    </row>
    <row r="119" spans="1:26" s="1022" customFormat="1">
      <c r="A119" s="508" t="s">
        <v>3180</v>
      </c>
      <c r="B119" s="509" t="s">
        <v>473</v>
      </c>
      <c r="C119" s="497">
        <f ca="1">clean_pipe_length</f>
        <v>120</v>
      </c>
      <c r="D119" s="498" t="s">
        <v>1777</v>
      </c>
      <c r="E119" s="510">
        <f ca="1">clean_pipe_diam</f>
        <v>4</v>
      </c>
      <c r="F119" s="500" t="s">
        <v>2919</v>
      </c>
      <c r="G119" s="497">
        <f ca="1">IF(curve=1,clean_pipe_diam,VLOOKUP(clean_pipe_diam,cpvc_pipe_cost_cl,2))</f>
        <v>4</v>
      </c>
      <c r="H119" s="500" t="s">
        <v>2919</v>
      </c>
      <c r="I119" s="478">
        <f ca="1">IF(curve=1,cpvc_pipe_eq_clean,VLOOKUP(clean_pipe_diam,cpvc_pipe_cost_cl,3))</f>
        <v>24.915632816000002</v>
      </c>
      <c r="J119" s="502">
        <f ca="1">IF(OR(I119="contact vendor",I119="NA"),"--",C119*I119)</f>
        <v>2989.8759379200001</v>
      </c>
      <c r="K119" s="477">
        <f ca="1">VLOOKUP(clean_pipe_diam,cpvc_pipe_cost_cl,IF(ss_cat="large",4,5))</f>
        <v>22</v>
      </c>
      <c r="L119" s="511">
        <v>0</v>
      </c>
      <c r="M119" s="898" t="str">
        <f>$B$118&amp;" - "&amp;B119</f>
        <v>Cleaning System Piping - CPVC</v>
      </c>
      <c r="N119" s="238">
        <v>2</v>
      </c>
      <c r="O119" s="238">
        <v>1</v>
      </c>
      <c r="P119" s="238">
        <v>2</v>
      </c>
      <c r="Q119" s="238">
        <v>2</v>
      </c>
      <c r="R119" s="238">
        <v>1</v>
      </c>
      <c r="S119" s="238">
        <v>2</v>
      </c>
      <c r="T119" s="238">
        <v>2</v>
      </c>
      <c r="U119" s="238">
        <v>1</v>
      </c>
      <c r="V119" s="238">
        <v>2</v>
      </c>
      <c r="W119" s="1096">
        <f t="shared" ca="1" si="25"/>
        <v>0</v>
      </c>
      <c r="X119" s="1097">
        <f t="shared" ca="1" si="26"/>
        <v>0</v>
      </c>
      <c r="Y119" s="20"/>
    </row>
    <row r="120" spans="1:26" s="1022" customFormat="1">
      <c r="A120" s="508" t="s">
        <v>3180</v>
      </c>
      <c r="B120" s="509" t="s">
        <v>474</v>
      </c>
      <c r="C120" s="497">
        <f ca="1">clean_pipe_length</f>
        <v>120</v>
      </c>
      <c r="D120" s="498" t="s">
        <v>1777</v>
      </c>
      <c r="E120" s="510">
        <f ca="1">clean_pipe_diam</f>
        <v>4</v>
      </c>
      <c r="F120" s="500" t="s">
        <v>2919</v>
      </c>
      <c r="G120" s="497">
        <f ca="1">IF(curve=1,clean_pipe_diam,VLOOKUP(clean_pipe_diam,pvc_pipe_cost_cl,2))</f>
        <v>4</v>
      </c>
      <c r="H120" s="500" t="s">
        <v>2919</v>
      </c>
      <c r="I120" s="478">
        <f ca="1">IF(curve=1,pvc_pipe_eq_clean,VLOOKUP(clean_pipe_diam,pvc_pipe_cost_cl,3))</f>
        <v>6.1853408730000004</v>
      </c>
      <c r="J120" s="502">
        <f ca="1">IF(OR(I120="contact vendor",I120="NA"),"--",C120*I120)</f>
        <v>742.24090476000003</v>
      </c>
      <c r="K120" s="477">
        <f ca="1">VLOOKUP(clean_pipe_diam,pvc_pipe_cost_cl,IF(ss_cat="large",4,5))</f>
        <v>22</v>
      </c>
      <c r="L120" s="511">
        <v>1</v>
      </c>
      <c r="M120" s="898" t="str">
        <f>$B$118&amp;" - "&amp;B120</f>
        <v>Cleaning System Piping - PVC</v>
      </c>
      <c r="N120" s="238">
        <v>1</v>
      </c>
      <c r="O120" s="238">
        <v>2</v>
      </c>
      <c r="P120" s="238">
        <v>3</v>
      </c>
      <c r="Q120" s="238">
        <v>1</v>
      </c>
      <c r="R120" s="238">
        <v>2</v>
      </c>
      <c r="S120" s="238">
        <v>3</v>
      </c>
      <c r="T120" s="238">
        <v>1</v>
      </c>
      <c r="U120" s="238">
        <v>2</v>
      </c>
      <c r="V120" s="238">
        <v>3</v>
      </c>
      <c r="W120" s="1096">
        <f t="shared" ca="1" si="25"/>
        <v>1</v>
      </c>
      <c r="X120" s="1097">
        <f t="shared" ca="1" si="26"/>
        <v>33.738222943636366</v>
      </c>
      <c r="Y120" s="20"/>
    </row>
    <row r="121" spans="1:26" s="1022" customFormat="1">
      <c r="A121" s="508" t="s">
        <v>3180</v>
      </c>
      <c r="B121" s="509" t="s">
        <v>2474</v>
      </c>
      <c r="C121" s="497">
        <f ca="1">clean_pipe_length</f>
        <v>120</v>
      </c>
      <c r="D121" s="498" t="s">
        <v>1777</v>
      </c>
      <c r="E121" s="510">
        <f ca="1">clean_pipe_diam</f>
        <v>4</v>
      </c>
      <c r="F121" s="500" t="s">
        <v>2919</v>
      </c>
      <c r="G121" s="497">
        <f ca="1">IF(curve=1,clean_pipe_diam,VLOOKUP(clean_pipe_diam,ss_pipe_cost_cl,2))</f>
        <v>4</v>
      </c>
      <c r="H121" s="500" t="s">
        <v>2919</v>
      </c>
      <c r="I121" s="478">
        <f ca="1">IF(curve=1,ss_pipe_eq_clean,VLOOKUP(clean_pipe_diam,ss_pipe_cost_cl,3))</f>
        <v>185.004314749</v>
      </c>
      <c r="J121" s="502">
        <f ca="1">IF(OR(I121="contact vendor",I121="NA"),"--",C121*I121)</f>
        <v>22200.51776988</v>
      </c>
      <c r="K121" s="477">
        <f ca="1">VLOOKUP(clean_pipe_diam,ss_pipe_cost_cl,IF(ss_cat="large",4,5))</f>
        <v>45</v>
      </c>
      <c r="L121" s="511">
        <v>0</v>
      </c>
      <c r="M121" s="898" t="str">
        <f>$B$118&amp;" - "&amp;B121</f>
        <v>Cleaning System Piping - Stainless Steel</v>
      </c>
      <c r="N121" s="238">
        <v>3</v>
      </c>
      <c r="O121" s="238">
        <v>3</v>
      </c>
      <c r="P121" s="238">
        <v>1</v>
      </c>
      <c r="Q121" s="238">
        <v>3</v>
      </c>
      <c r="R121" s="238">
        <v>3</v>
      </c>
      <c r="S121" s="238">
        <v>1</v>
      </c>
      <c r="T121" s="238">
        <v>3</v>
      </c>
      <c r="U121" s="238">
        <v>3</v>
      </c>
      <c r="V121" s="238">
        <v>1</v>
      </c>
      <c r="W121" s="1096">
        <f t="shared" ca="1" si="25"/>
        <v>0</v>
      </c>
      <c r="X121" s="1097">
        <f t="shared" ca="1" si="26"/>
        <v>0</v>
      </c>
      <c r="Y121" s="20"/>
    </row>
    <row r="122" spans="1:26" s="1021" customFormat="1">
      <c r="A122" s="473" t="s">
        <v>5059</v>
      </c>
      <c r="B122" s="474" t="s">
        <v>472</v>
      </c>
      <c r="C122" s="494"/>
      <c r="D122" s="495"/>
      <c r="E122" s="494"/>
      <c r="F122" s="513"/>
      <c r="G122" s="494"/>
      <c r="H122" s="513"/>
      <c r="I122" s="494"/>
      <c r="J122" s="494"/>
      <c r="K122" s="481"/>
      <c r="L122" s="483"/>
      <c r="M122" s="1100"/>
      <c r="N122" s="238"/>
      <c r="O122" s="238"/>
      <c r="P122" s="238"/>
      <c r="Q122" s="238"/>
      <c r="R122" s="238"/>
      <c r="S122" s="238"/>
      <c r="T122" s="238"/>
      <c r="U122" s="238"/>
      <c r="V122" s="238"/>
      <c r="W122" s="1096">
        <f t="shared" si="25"/>
        <v>0</v>
      </c>
      <c r="X122" s="1097">
        <f t="shared" si="26"/>
        <v>0</v>
      </c>
      <c r="Y122" s="472"/>
    </row>
    <row r="123" spans="1:26" s="1021" customFormat="1">
      <c r="A123" s="659" t="s">
        <v>3181</v>
      </c>
      <c r="B123" s="335" t="s">
        <v>473</v>
      </c>
      <c r="C123" s="497">
        <f ca="1">res_pipe_length</f>
        <v>160</v>
      </c>
      <c r="D123" s="498" t="s">
        <v>1777</v>
      </c>
      <c r="E123" s="497">
        <f ca="1">res_pipe_diam</f>
        <v>6</v>
      </c>
      <c r="F123" s="500" t="s">
        <v>2919</v>
      </c>
      <c r="G123" s="497">
        <f ca="1">IF(curve=1,res_pipe_diam,VLOOKUP(res_pipe_diam,cpvc_pipe_cost_cl,2))</f>
        <v>6</v>
      </c>
      <c r="H123" s="500" t="s">
        <v>2919</v>
      </c>
      <c r="I123" s="478">
        <f ca="1">IF(curve=1,cpvc_pipe_eq_res,VLOOKUP(res_pipe_diam,cpvc_pipe_cost_cl,3))</f>
        <v>46.607783347999998</v>
      </c>
      <c r="J123" s="502">
        <f ca="1">IF(OR(I123="contact vendor",I123="NA"),"--",C123*I123)</f>
        <v>7457.2453356799997</v>
      </c>
      <c r="K123" s="477">
        <f ca="1">VLOOKUP(res_pipe_diam,cpvc_pipe_cost_cl,IF(ss_cat="large",4,5))</f>
        <v>22</v>
      </c>
      <c r="L123" s="491">
        <v>0</v>
      </c>
      <c r="M123" s="1100" t="str">
        <f t="shared" ref="M123:M130" si="27">$B$122&amp;" "&amp;" - "&amp;B123</f>
        <v>Residuals Piping  - CPVC</v>
      </c>
      <c r="N123" s="238">
        <v>2</v>
      </c>
      <c r="O123" s="238">
        <v>1</v>
      </c>
      <c r="P123" s="238">
        <v>2</v>
      </c>
      <c r="Q123" s="238">
        <v>2</v>
      </c>
      <c r="R123" s="238">
        <v>1</v>
      </c>
      <c r="S123" s="238">
        <v>2</v>
      </c>
      <c r="T123" s="238">
        <v>2</v>
      </c>
      <c r="U123" s="238">
        <v>1</v>
      </c>
      <c r="V123" s="238">
        <v>2</v>
      </c>
      <c r="W123" s="1096">
        <f t="shared" ca="1" si="25"/>
        <v>0</v>
      </c>
      <c r="X123" s="1097">
        <f t="shared" ca="1" si="26"/>
        <v>0</v>
      </c>
      <c r="Y123" s="472"/>
    </row>
    <row r="124" spans="1:26" s="1021" customFormat="1">
      <c r="A124" s="659" t="s">
        <v>3181</v>
      </c>
      <c r="B124" s="335" t="s">
        <v>474</v>
      </c>
      <c r="C124" s="497">
        <f ca="1">res_pipe_length</f>
        <v>160</v>
      </c>
      <c r="D124" s="498" t="s">
        <v>1777</v>
      </c>
      <c r="E124" s="497">
        <f ca="1">res_pipe_diam</f>
        <v>6</v>
      </c>
      <c r="F124" s="500" t="s">
        <v>2919</v>
      </c>
      <c r="G124" s="497">
        <f ca="1">IF(curve=1,res_pipe_diam,VLOOKUP(res_pipe_diam,pvc_pipe_cost_cl,2))</f>
        <v>6</v>
      </c>
      <c r="H124" s="500" t="s">
        <v>2919</v>
      </c>
      <c r="I124" s="478">
        <f ca="1">IF(curve=1,pvc_pipe_eq_res,VLOOKUP(res_pipe_diam,pvc_pipe_cost_cl,3))</f>
        <v>9.7294354409999997</v>
      </c>
      <c r="J124" s="502">
        <f ca="1">IF(OR(I124="contact vendor",I124="NA"),"--",C124*I124)</f>
        <v>1556.7096705599999</v>
      </c>
      <c r="K124" s="477">
        <f ca="1">VLOOKUP(res_pipe_diam,pvc_pipe_cost_cl,IF(ss_cat="large",4,5))</f>
        <v>22</v>
      </c>
      <c r="L124" s="491">
        <v>1</v>
      </c>
      <c r="M124" s="1100" t="str">
        <f t="shared" si="27"/>
        <v>Residuals Piping  - PVC</v>
      </c>
      <c r="N124" s="238">
        <v>1</v>
      </c>
      <c r="O124" s="898">
        <v>2</v>
      </c>
      <c r="P124" s="238">
        <v>3</v>
      </c>
      <c r="Q124" s="238">
        <v>1</v>
      </c>
      <c r="R124" s="898">
        <v>2</v>
      </c>
      <c r="S124" s="238">
        <v>3</v>
      </c>
      <c r="T124" s="238">
        <v>1</v>
      </c>
      <c r="U124" s="898">
        <v>2</v>
      </c>
      <c r="V124" s="238">
        <v>3</v>
      </c>
      <c r="W124" s="1096">
        <f t="shared" ca="1" si="25"/>
        <v>1</v>
      </c>
      <c r="X124" s="1097">
        <f t="shared" ca="1" si="26"/>
        <v>70.759530479999995</v>
      </c>
      <c r="Y124" s="472"/>
    </row>
    <row r="125" spans="1:26" s="1021" customFormat="1">
      <c r="A125" s="659" t="s">
        <v>3181</v>
      </c>
      <c r="B125" s="335" t="s">
        <v>2474</v>
      </c>
      <c r="C125" s="497">
        <f ca="1">res_pipe_length</f>
        <v>160</v>
      </c>
      <c r="D125" s="498" t="s">
        <v>1777</v>
      </c>
      <c r="E125" s="497">
        <f ca="1">res_pipe_diam</f>
        <v>6</v>
      </c>
      <c r="F125" s="500" t="s">
        <v>2919</v>
      </c>
      <c r="G125" s="497">
        <f ca="1">IF(curve=1,res_pipe_diam,VLOOKUP(res_pipe_diam,ss_pipe_cost_cl,2))</f>
        <v>6</v>
      </c>
      <c r="H125" s="500" t="s">
        <v>2919</v>
      </c>
      <c r="I125" s="478">
        <f ca="1">IF(curve=1,ss_pipe_eq_res,VLOOKUP(res_pipe_diam,ss_pipe_cost_cl,3))</f>
        <v>258.55539581699992</v>
      </c>
      <c r="J125" s="502">
        <f ca="1">IF(OR(I125="contact vendor",I125="NA"),"--",C125*I125)</f>
        <v>41368.863330719985</v>
      </c>
      <c r="K125" s="477">
        <f ca="1">VLOOKUP(res_pipe_diam,ss_pipe_cost_cl,IF(ss_cat="large",4,5))</f>
        <v>45</v>
      </c>
      <c r="L125" s="491">
        <v>0</v>
      </c>
      <c r="M125" s="1100" t="str">
        <f t="shared" si="27"/>
        <v>Residuals Piping  - Stainless Steel</v>
      </c>
      <c r="N125" s="238">
        <v>0</v>
      </c>
      <c r="O125" s="898">
        <v>0</v>
      </c>
      <c r="P125" s="238">
        <v>0</v>
      </c>
      <c r="Q125" s="238">
        <v>0</v>
      </c>
      <c r="R125" s="898">
        <v>0</v>
      </c>
      <c r="S125" s="238">
        <v>0</v>
      </c>
      <c r="T125" s="238">
        <v>0</v>
      </c>
      <c r="U125" s="898">
        <v>0</v>
      </c>
      <c r="V125" s="238">
        <v>0</v>
      </c>
      <c r="W125" s="1096">
        <f t="shared" ca="1" si="25"/>
        <v>0</v>
      </c>
      <c r="X125" s="1097">
        <f t="shared" ca="1" si="26"/>
        <v>0</v>
      </c>
      <c r="Y125" s="472"/>
    </row>
    <row r="126" spans="1:26" s="1021" customFormat="1">
      <c r="A126" s="659" t="s">
        <v>3181</v>
      </c>
      <c r="B126" s="335" t="s">
        <v>2475</v>
      </c>
      <c r="C126" s="497">
        <f ca="1">res_pipe_length</f>
        <v>160</v>
      </c>
      <c r="D126" s="498" t="s">
        <v>1777</v>
      </c>
      <c r="E126" s="497">
        <f ca="1">res_pipe_diam</f>
        <v>6</v>
      </c>
      <c r="F126" s="500" t="s">
        <v>2919</v>
      </c>
      <c r="G126" s="497">
        <f ca="1">IF(curve=1,res_pipe_diam,VLOOKUP(res_pipe_diam,st_pipe_cost_cl,2))</f>
        <v>6</v>
      </c>
      <c r="H126" s="500" t="s">
        <v>2919</v>
      </c>
      <c r="I126" s="478">
        <f ca="1">IF(curve=1,st_pipe_eq_res,VLOOKUP(res_pipe_diam,st_pipe_cost_cl,3))</f>
        <v>108.71702273657689</v>
      </c>
      <c r="J126" s="502">
        <f ca="1">IF(OR(I126="contact vendor",I126="NA"),"--",C126*I126)</f>
        <v>17394.723637852301</v>
      </c>
      <c r="K126" s="477">
        <f ca="1">VLOOKUP(res_pipe_diam,st_pipe_cost_cl,IF(ss_cat="large",4,5))</f>
        <v>35</v>
      </c>
      <c r="L126" s="491">
        <v>0</v>
      </c>
      <c r="M126" s="1100" t="str">
        <f t="shared" si="27"/>
        <v>Residuals Piping  - Steel</v>
      </c>
      <c r="N126" s="238">
        <v>3</v>
      </c>
      <c r="O126" s="898">
        <v>3</v>
      </c>
      <c r="P126" s="238">
        <v>1</v>
      </c>
      <c r="Q126" s="238">
        <v>3</v>
      </c>
      <c r="R126" s="898">
        <v>3</v>
      </c>
      <c r="S126" s="238">
        <v>1</v>
      </c>
      <c r="T126" s="238">
        <v>3</v>
      </c>
      <c r="U126" s="898">
        <v>3</v>
      </c>
      <c r="V126" s="238">
        <v>1</v>
      </c>
      <c r="W126" s="1096">
        <f t="shared" ca="1" si="25"/>
        <v>0</v>
      </c>
      <c r="X126" s="1097">
        <f t="shared" ca="1" si="26"/>
        <v>0</v>
      </c>
      <c r="Y126" s="472"/>
    </row>
    <row r="127" spans="1:26" s="816" customFormat="1">
      <c r="A127" s="659" t="s">
        <v>5060</v>
      </c>
      <c r="B127" s="603" t="s">
        <v>466</v>
      </c>
      <c r="C127" s="588">
        <f>res_trench_vol</f>
        <v>0</v>
      </c>
      <c r="D127" s="582" t="s">
        <v>3747</v>
      </c>
      <c r="E127" s="497" t="s">
        <v>3743</v>
      </c>
      <c r="F127" s="497"/>
      <c r="G127" s="497" t="s">
        <v>3743</v>
      </c>
      <c r="H127" s="581"/>
      <c r="I127" s="478" t="str">
        <f>IF(C127=0,"NA",VLOOKUP(0,excavate_cost_cl,3))</f>
        <v>NA</v>
      </c>
      <c r="J127" s="490" t="str">
        <f>IF(OR(I127="contact vendor",C127=0),"--",C127*I127)</f>
        <v>--</v>
      </c>
      <c r="K127" s="527" t="str">
        <f>IF(I127="NA","N/A",IF(L123=1,K123,IF(L124=1,K124,IF(L125=1,K125,IF(L126=1,K126,"N/A")))))</f>
        <v>N/A</v>
      </c>
      <c r="L127" s="604"/>
      <c r="M127" s="1100" t="str">
        <f t="shared" si="27"/>
        <v>Residuals Piping  - Excavation</v>
      </c>
      <c r="N127" s="238">
        <v>1</v>
      </c>
      <c r="O127" s="238">
        <v>1</v>
      </c>
      <c r="P127" s="238">
        <v>1</v>
      </c>
      <c r="Q127" s="238">
        <v>1</v>
      </c>
      <c r="R127" s="238">
        <v>1</v>
      </c>
      <c r="S127" s="238">
        <v>1</v>
      </c>
      <c r="T127" s="238">
        <v>1</v>
      </c>
      <c r="U127" s="238">
        <v>1</v>
      </c>
      <c r="V127" s="238">
        <v>1</v>
      </c>
      <c r="W127" s="1096">
        <f t="shared" si="25"/>
        <v>0</v>
      </c>
      <c r="X127" s="1097">
        <f t="shared" si="26"/>
        <v>0</v>
      </c>
      <c r="Y127" s="238"/>
      <c r="Z127" s="1095"/>
    </row>
    <row r="128" spans="1:26" s="816" customFormat="1">
      <c r="A128" s="659" t="s">
        <v>5061</v>
      </c>
      <c r="B128" s="603" t="s">
        <v>3946</v>
      </c>
      <c r="C128" s="588">
        <f ca="1">res_pipe_bedding_vol</f>
        <v>0</v>
      </c>
      <c r="D128" s="582" t="s">
        <v>3747</v>
      </c>
      <c r="E128" s="497" t="s">
        <v>3743</v>
      </c>
      <c r="F128" s="497"/>
      <c r="G128" s="497" t="s">
        <v>3743</v>
      </c>
      <c r="H128" s="581"/>
      <c r="I128" s="478" t="str">
        <f ca="1">IF(C128=0,"NA",VLOOKUP(0,bedding_cost_cl,3))</f>
        <v>NA</v>
      </c>
      <c r="J128" s="490" t="str">
        <f ca="1">IF(OR(I128="contact vendor",C128=0),"--",C128*I128)</f>
        <v>--</v>
      </c>
      <c r="K128" s="527" t="str">
        <f ca="1">IF(I128="NA","N/A",IF(L123=1,K123,IF(L124=1,K124,IF(L125=1,K125,IF(L126=1,K126,"N/A")))))</f>
        <v>N/A</v>
      </c>
      <c r="L128" s="604"/>
      <c r="M128" s="1100" t="str">
        <f t="shared" si="27"/>
        <v>Residuals Piping  - Bedding</v>
      </c>
      <c r="N128" s="238">
        <v>1</v>
      </c>
      <c r="O128" s="238">
        <v>1</v>
      </c>
      <c r="P128" s="238">
        <v>1</v>
      </c>
      <c r="Q128" s="238">
        <v>1</v>
      </c>
      <c r="R128" s="238">
        <v>1</v>
      </c>
      <c r="S128" s="238">
        <v>1</v>
      </c>
      <c r="T128" s="238">
        <v>1</v>
      </c>
      <c r="U128" s="238">
        <v>1</v>
      </c>
      <c r="V128" s="238">
        <v>1</v>
      </c>
      <c r="W128" s="1096">
        <f t="shared" ca="1" si="25"/>
        <v>0</v>
      </c>
      <c r="X128" s="1097">
        <f t="shared" ca="1" si="26"/>
        <v>0</v>
      </c>
      <c r="Y128" s="238"/>
      <c r="Z128" s="1095"/>
    </row>
    <row r="129" spans="1:26" s="816" customFormat="1">
      <c r="A129" s="659" t="s">
        <v>5062</v>
      </c>
      <c r="B129" s="603" t="s">
        <v>3947</v>
      </c>
      <c r="C129" s="588">
        <f>res_trench_vol</f>
        <v>0</v>
      </c>
      <c r="D129" s="582" t="s">
        <v>3747</v>
      </c>
      <c r="E129" s="497" t="s">
        <v>3743</v>
      </c>
      <c r="F129" s="497"/>
      <c r="G129" s="497" t="s">
        <v>3743</v>
      </c>
      <c r="H129" s="581"/>
      <c r="I129" s="478" t="str">
        <f>IF(C129=0,"NA",VLOOKUP(0,backfill_cost_cl,3))</f>
        <v>NA</v>
      </c>
      <c r="J129" s="490" t="str">
        <f>IF(OR(I129="contact vendor",C129=0),"--",C129*I129)</f>
        <v>--</v>
      </c>
      <c r="K129" s="527" t="str">
        <f>IF(I129="NA","N/A",IF(L123=1,K123,IF(L124=1,K124,IF(L125=1,K125,IF(L126=1,K126,"N/A")))))</f>
        <v>N/A</v>
      </c>
      <c r="L129" s="491"/>
      <c r="M129" s="1100" t="str">
        <f t="shared" si="27"/>
        <v xml:space="preserve">Residuals Piping  - Backfill and Compaction </v>
      </c>
      <c r="N129" s="238">
        <v>1</v>
      </c>
      <c r="O129" s="238">
        <v>1</v>
      </c>
      <c r="P129" s="238">
        <v>1</v>
      </c>
      <c r="Q129" s="238">
        <v>1</v>
      </c>
      <c r="R129" s="238">
        <v>1</v>
      </c>
      <c r="S129" s="238">
        <v>1</v>
      </c>
      <c r="T129" s="238">
        <v>1</v>
      </c>
      <c r="U129" s="238">
        <v>1</v>
      </c>
      <c r="V129" s="238">
        <v>1</v>
      </c>
      <c r="W129" s="1096">
        <f t="shared" si="25"/>
        <v>0</v>
      </c>
      <c r="X129" s="1097">
        <f t="shared" si="26"/>
        <v>0</v>
      </c>
      <c r="Y129" s="238"/>
      <c r="Z129" s="1095"/>
    </row>
    <row r="130" spans="1:26" s="816" customFormat="1">
      <c r="A130" s="659" t="s">
        <v>5063</v>
      </c>
      <c r="B130" s="603" t="s">
        <v>3948</v>
      </c>
      <c r="C130" s="588">
        <f>res_block_vol</f>
        <v>0</v>
      </c>
      <c r="D130" s="582" t="s">
        <v>3747</v>
      </c>
      <c r="E130" s="497" t="s">
        <v>3743</v>
      </c>
      <c r="F130" s="497"/>
      <c r="G130" s="497" t="s">
        <v>3743</v>
      </c>
      <c r="H130" s="581"/>
      <c r="I130" s="478" t="str">
        <f>IF(C130=0,"NA",VLOOKUP(0,conc_basin_cost_cl,3))</f>
        <v>NA</v>
      </c>
      <c r="J130" s="490" t="str">
        <f>IF(OR(I130="contact vendor",C130=0),"--",C130*I130)</f>
        <v>--</v>
      </c>
      <c r="K130" s="527" t="str">
        <f>IF(I130="NA","N/A",IF(L123=1,K123,IF(L124=1,K124,IF(L125=1,K125,IF(L126=1,K126,"N/A")))))</f>
        <v>N/A</v>
      </c>
      <c r="L130" s="491"/>
      <c r="M130" s="1100" t="str">
        <f t="shared" si="27"/>
        <v>Residuals Piping  - Thrust Blocks</v>
      </c>
      <c r="N130" s="238">
        <v>1</v>
      </c>
      <c r="O130" s="238">
        <v>1</v>
      </c>
      <c r="P130" s="238">
        <v>1</v>
      </c>
      <c r="Q130" s="238">
        <v>1</v>
      </c>
      <c r="R130" s="238">
        <v>1</v>
      </c>
      <c r="S130" s="238">
        <v>1</v>
      </c>
      <c r="T130" s="238">
        <v>1</v>
      </c>
      <c r="U130" s="238">
        <v>1</v>
      </c>
      <c r="V130" s="238">
        <v>1</v>
      </c>
      <c r="W130" s="1096">
        <f t="shared" si="25"/>
        <v>0</v>
      </c>
      <c r="X130" s="1097">
        <f t="shared" si="26"/>
        <v>0</v>
      </c>
      <c r="Y130" s="238"/>
      <c r="Z130" s="1095"/>
    </row>
    <row r="131" spans="1:26" s="1022" customFormat="1">
      <c r="A131" s="473" t="s">
        <v>5064</v>
      </c>
      <c r="B131" s="514" t="s">
        <v>1268</v>
      </c>
      <c r="C131" s="494"/>
      <c r="D131" s="495"/>
      <c r="E131" s="512"/>
      <c r="F131" s="513"/>
      <c r="G131" s="512"/>
      <c r="H131" s="513"/>
      <c r="I131" s="494"/>
      <c r="J131" s="494"/>
      <c r="K131" s="494"/>
      <c r="L131" s="496"/>
      <c r="M131" s="898"/>
      <c r="N131" s="898"/>
      <c r="O131" s="898"/>
      <c r="P131" s="898"/>
      <c r="Q131" s="898"/>
      <c r="R131" s="898"/>
      <c r="S131" s="898"/>
      <c r="T131" s="898"/>
      <c r="U131" s="898"/>
      <c r="V131" s="898"/>
      <c r="W131" s="1096">
        <f t="shared" si="25"/>
        <v>0</v>
      </c>
      <c r="X131" s="1097">
        <f t="shared" si="26"/>
        <v>0</v>
      </c>
      <c r="Y131" s="20"/>
    </row>
    <row r="132" spans="1:26" s="1022" customFormat="1">
      <c r="A132" s="659" t="s">
        <v>3182</v>
      </c>
      <c r="B132" s="515" t="s">
        <v>473</v>
      </c>
      <c r="C132" s="497">
        <f>bp_pipe_length</f>
        <v>0</v>
      </c>
      <c r="D132" s="498" t="s">
        <v>1777</v>
      </c>
      <c r="E132" s="516" t="str">
        <f>IF(C132=0,"NA",bp_pipe_diam)</f>
        <v>NA</v>
      </c>
      <c r="F132" s="335" t="str">
        <f>IF(C132=0,"","in. diam")</f>
        <v/>
      </c>
      <c r="G132" s="497" t="str">
        <f>IF(C132=0,"NA",IF(curve=1,bp_pipe_diam,VLOOKUP(bp_pipe_diam,cpvc_pipe_cost_cl,2)))</f>
        <v>NA</v>
      </c>
      <c r="H132" s="335" t="str">
        <f>IF(C132=0,"","in. diam")</f>
        <v/>
      </c>
      <c r="I132" s="478" t="str">
        <f>IF(C132=0,"NA",IF(curve=1,cpvc_pipe_eq_bp,VLOOKUP(bp_pipe_diam,cpvc_pipe_cost_cl,3)))</f>
        <v>NA</v>
      </c>
      <c r="J132" s="502" t="str">
        <f>IF(OR(I132="contact vendor",I132="NA"),"--",C132*I132)</f>
        <v>--</v>
      </c>
      <c r="K132" s="477" t="str">
        <f>IF(C132=0,"NA",VLOOKUP(bp_pipe_diam,cpvc_pipe_cost_cl,IF(ss_cat="large",4,5)))</f>
        <v>NA</v>
      </c>
      <c r="L132" s="504"/>
      <c r="M132" s="1100" t="str">
        <f>$B$131&amp;" "&amp;" - "&amp;B132</f>
        <v>Bypass Piping  - CPVC</v>
      </c>
      <c r="N132" s="238">
        <v>2</v>
      </c>
      <c r="O132" s="898">
        <v>1</v>
      </c>
      <c r="P132" s="238">
        <v>3</v>
      </c>
      <c r="Q132" s="238">
        <v>2</v>
      </c>
      <c r="R132" s="898">
        <v>1</v>
      </c>
      <c r="S132" s="238">
        <v>3</v>
      </c>
      <c r="T132" s="238">
        <v>2</v>
      </c>
      <c r="U132" s="898">
        <v>1</v>
      </c>
      <c r="V132" s="238">
        <v>3</v>
      </c>
      <c r="W132" s="1096">
        <f t="shared" si="25"/>
        <v>0</v>
      </c>
      <c r="X132" s="1097">
        <f t="shared" si="26"/>
        <v>0</v>
      </c>
      <c r="Y132" s="20"/>
    </row>
    <row r="133" spans="1:26" s="1022" customFormat="1">
      <c r="A133" s="659" t="s">
        <v>3182</v>
      </c>
      <c r="B133" s="515" t="s">
        <v>474</v>
      </c>
      <c r="C133" s="497">
        <f>bp_pipe_length</f>
        <v>0</v>
      </c>
      <c r="D133" s="498" t="s">
        <v>1777</v>
      </c>
      <c r="E133" s="516" t="str">
        <f>IF(C133=0,"NA",bp_pipe_diam)</f>
        <v>NA</v>
      </c>
      <c r="F133" s="335" t="str">
        <f>IF(C133=0,"","in. diam")</f>
        <v/>
      </c>
      <c r="G133" s="497" t="str">
        <f>IF(C133=0,"NA",IF(curve=1,bp_pipe_diam,VLOOKUP(bp_pipe_diam,pvc_pipe_cost_cl,2)))</f>
        <v>NA</v>
      </c>
      <c r="H133" s="335" t="str">
        <f>IF(C133=0,"","in. diam")</f>
        <v/>
      </c>
      <c r="I133" s="478" t="str">
        <f>IF(C133=0,"NA",IF(curve=1,pvc_pipe_eq_bp,VLOOKUP(bp_pipe_diam,pvc_pipe_cost_cl,3)))</f>
        <v>NA</v>
      </c>
      <c r="J133" s="502" t="str">
        <f>IF(OR(I133="contact vendor",I133="NA"),"--",C133*I133)</f>
        <v>--</v>
      </c>
      <c r="K133" s="477" t="str">
        <f>IF(C133=0,"NA",VLOOKUP(bp_pipe_diam,pvc_pipe_cost_cl,IF(ss_cat="large",4,5)))</f>
        <v>NA</v>
      </c>
      <c r="L133" s="504"/>
      <c r="M133" s="1100" t="str">
        <f>$B$131&amp;" "&amp;" - "&amp;B133</f>
        <v>Bypass Piping  - PVC</v>
      </c>
      <c r="N133" s="238">
        <v>1</v>
      </c>
      <c r="O133" s="898">
        <v>2</v>
      </c>
      <c r="P133" s="238">
        <v>4</v>
      </c>
      <c r="Q133" s="238">
        <v>1</v>
      </c>
      <c r="R133" s="898">
        <v>2</v>
      </c>
      <c r="S133" s="238">
        <v>4</v>
      </c>
      <c r="T133" s="238">
        <v>1</v>
      </c>
      <c r="U133" s="898">
        <v>2</v>
      </c>
      <c r="V133" s="238">
        <v>4</v>
      </c>
      <c r="W133" s="1096">
        <f t="shared" si="25"/>
        <v>0</v>
      </c>
      <c r="X133" s="1097">
        <f t="shared" si="26"/>
        <v>0</v>
      </c>
      <c r="Y133" s="20"/>
    </row>
    <row r="134" spans="1:26" s="1022" customFormat="1">
      <c r="A134" s="659" t="s">
        <v>3182</v>
      </c>
      <c r="B134" s="515" t="s">
        <v>2474</v>
      </c>
      <c r="C134" s="497">
        <f>bp_pipe_length</f>
        <v>0</v>
      </c>
      <c r="D134" s="498" t="s">
        <v>1777</v>
      </c>
      <c r="E134" s="516" t="str">
        <f>IF(C134=0,"NA",bp_pipe_diam)</f>
        <v>NA</v>
      </c>
      <c r="F134" s="335" t="str">
        <f>IF(C134=0,"","in. diam")</f>
        <v/>
      </c>
      <c r="G134" s="497" t="str">
        <f>IF(C134=0,"NA",IF(curve=1,bp_pipe_diam,VLOOKUP(bp_pipe_diam,ss_pipe_cost_cl,2)))</f>
        <v>NA</v>
      </c>
      <c r="H134" s="335" t="str">
        <f>IF(C134=0,"","in. diam")</f>
        <v/>
      </c>
      <c r="I134" s="478" t="str">
        <f>IF(C134=0,"NA",IF(curve=1,ss_pipe_eq_bp,VLOOKUP(bp_pipe_diam,ss_pipe_cost_cl,3)))</f>
        <v>NA</v>
      </c>
      <c r="J134" s="502" t="str">
        <f>IF(OR(I134="contact vendor",I134="NA"),"--",C134*I134)</f>
        <v>--</v>
      </c>
      <c r="K134" s="477" t="str">
        <f>IF(C134=0,"NA",VLOOKUP(bp_pipe_diam,ss_pipe_cost_cl,IF(ss_cat="large",4,5)))</f>
        <v>NA</v>
      </c>
      <c r="L134" s="504"/>
      <c r="M134" s="1100" t="str">
        <f>$B$131&amp;" "&amp;" - "&amp;B134</f>
        <v>Bypass Piping  - Stainless Steel</v>
      </c>
      <c r="N134" s="238">
        <v>4</v>
      </c>
      <c r="O134" s="238">
        <v>4</v>
      </c>
      <c r="P134" s="238">
        <v>1</v>
      </c>
      <c r="Q134" s="238">
        <v>4</v>
      </c>
      <c r="R134" s="238">
        <v>4</v>
      </c>
      <c r="S134" s="238">
        <v>1</v>
      </c>
      <c r="T134" s="238">
        <v>4</v>
      </c>
      <c r="U134" s="238">
        <v>4</v>
      </c>
      <c r="V134" s="238">
        <v>1</v>
      </c>
      <c r="W134" s="1096">
        <f t="shared" si="25"/>
        <v>0</v>
      </c>
      <c r="X134" s="1097">
        <f t="shared" si="26"/>
        <v>0</v>
      </c>
      <c r="Y134" s="20"/>
    </row>
    <row r="135" spans="1:26" s="1022" customFormat="1">
      <c r="A135" s="659" t="s">
        <v>3182</v>
      </c>
      <c r="B135" s="515" t="s">
        <v>2475</v>
      </c>
      <c r="C135" s="497">
        <f>bp_pipe_length</f>
        <v>0</v>
      </c>
      <c r="D135" s="498" t="s">
        <v>1777</v>
      </c>
      <c r="E135" s="516" t="str">
        <f>IF(C135=0,"NA",bp_pipe_diam)</f>
        <v>NA</v>
      </c>
      <c r="F135" s="335" t="str">
        <f>IF(C135=0,"","in. diam")</f>
        <v/>
      </c>
      <c r="G135" s="497" t="str">
        <f>IF(C135=0,"NA",IF(curve=1,bp_pipe_diam,VLOOKUP(bp_pipe_diam,st_pipe_cost_cl,2)))</f>
        <v>NA</v>
      </c>
      <c r="H135" s="335" t="str">
        <f>IF(C135=0,"","in. diam")</f>
        <v/>
      </c>
      <c r="I135" s="478" t="str">
        <f>IF(C135=0,"NA",IF(curve=1,st_pipe_eq_bp,VLOOKUP(bp_pipe_diam,st_pipe_cost_cl,3)))</f>
        <v>NA</v>
      </c>
      <c r="J135" s="502" t="str">
        <f>IF(OR(I135="contact vendor",I135="NA"),"--",C135*I135)</f>
        <v>--</v>
      </c>
      <c r="K135" s="477" t="str">
        <f>IF(C135=0,"NA",VLOOKUP(bp_pipe_diam,st_pipe_cost_cl,IF(ss_cat="large",4,5)))</f>
        <v>NA</v>
      </c>
      <c r="L135" s="504"/>
      <c r="M135" s="1100" t="str">
        <f>$B$131&amp;" "&amp;" - "&amp;B135</f>
        <v>Bypass Piping  - Steel</v>
      </c>
      <c r="N135" s="238">
        <v>3</v>
      </c>
      <c r="O135" s="238">
        <v>3</v>
      </c>
      <c r="P135" s="238">
        <v>2</v>
      </c>
      <c r="Q135" s="238">
        <v>3</v>
      </c>
      <c r="R135" s="238">
        <v>3</v>
      </c>
      <c r="S135" s="238">
        <v>2</v>
      </c>
      <c r="T135" s="238">
        <v>3</v>
      </c>
      <c r="U135" s="238">
        <v>3</v>
      </c>
      <c r="V135" s="238">
        <v>2</v>
      </c>
      <c r="W135" s="1096">
        <f t="shared" ref="W135:W166" si="28">IF(ISERROR(K135*L135),0,IF(K135&lt;1,0,L135))</f>
        <v>0</v>
      </c>
      <c r="X135" s="1097">
        <f t="shared" ref="X135:X166" si="29">IF(W135,J135/K135,0)</f>
        <v>0</v>
      </c>
      <c r="Y135" s="20"/>
    </row>
    <row r="136" spans="1:26" s="1021" customFormat="1">
      <c r="A136" s="658">
        <v>4</v>
      </c>
      <c r="B136" s="342" t="s">
        <v>1605</v>
      </c>
      <c r="C136" s="425"/>
      <c r="D136" s="338"/>
      <c r="E136" s="425"/>
      <c r="F136" s="337"/>
      <c r="G136" s="425"/>
      <c r="H136" s="337"/>
      <c r="I136" s="425"/>
      <c r="J136" s="425"/>
      <c r="K136" s="425"/>
      <c r="L136" s="426"/>
      <c r="M136" s="886"/>
      <c r="N136" s="238"/>
      <c r="O136" s="238"/>
      <c r="P136" s="238"/>
      <c r="Q136" s="238"/>
      <c r="R136" s="238"/>
      <c r="S136" s="238"/>
      <c r="T136" s="238"/>
      <c r="U136" s="238"/>
      <c r="V136" s="238"/>
      <c r="W136" s="1096">
        <f t="shared" si="28"/>
        <v>0</v>
      </c>
      <c r="X136" s="1097">
        <f t="shared" si="29"/>
        <v>0</v>
      </c>
      <c r="Y136" s="472"/>
    </row>
    <row r="137" spans="1:26" s="1021" customFormat="1">
      <c r="A137" s="660">
        <v>4.0999999999999996</v>
      </c>
      <c r="B137" s="474" t="s">
        <v>1265</v>
      </c>
      <c r="C137" s="494"/>
      <c r="D137" s="495"/>
      <c r="E137" s="494"/>
      <c r="F137" s="474"/>
      <c r="G137" s="494"/>
      <c r="H137" s="474"/>
      <c r="I137" s="494"/>
      <c r="J137" s="494"/>
      <c r="K137" s="494"/>
      <c r="L137" s="496"/>
      <c r="M137" s="886"/>
      <c r="N137" s="238"/>
      <c r="O137" s="238"/>
      <c r="P137" s="238"/>
      <c r="Q137" s="238"/>
      <c r="R137" s="238"/>
      <c r="S137" s="238"/>
      <c r="T137" s="238"/>
      <c r="U137" s="238"/>
      <c r="V137" s="238"/>
      <c r="W137" s="1096">
        <f t="shared" si="28"/>
        <v>0</v>
      </c>
      <c r="X137" s="1097">
        <f t="shared" si="29"/>
        <v>0</v>
      </c>
      <c r="Y137" s="472"/>
    </row>
    <row r="138" spans="1:26" s="1022" customFormat="1">
      <c r="A138" s="659" t="s">
        <v>3183</v>
      </c>
      <c r="B138" s="515" t="s">
        <v>1604</v>
      </c>
      <c r="C138" s="497">
        <f ca="1">tot_pretreat_acid_MOVs</f>
        <v>4</v>
      </c>
      <c r="D138" s="498" t="s">
        <v>2192</v>
      </c>
      <c r="E138" s="516">
        <f ca="1">IF(C138=0,"NA",pretreat_acid_valve_size)</f>
        <v>0.5</v>
      </c>
      <c r="F138" s="335" t="str">
        <f t="shared" ref="F138:F162" ca="1" si="30">IF(C138=0,"","in. diam")</f>
        <v>in. diam</v>
      </c>
      <c r="G138" s="497">
        <f ca="1">IF(C138=0,"NA",IF(curve=1,pretreat_acid_valve_size,VLOOKUP(pretreat_acid_valve_size,pp_mov_cost_cl,2)))</f>
        <v>0.5</v>
      </c>
      <c r="H138" s="335" t="str">
        <f t="shared" ref="H138:H162" ca="1" si="31">IF(C138=0,"","in. diam")</f>
        <v>in. diam</v>
      </c>
      <c r="I138" s="478">
        <f ca="1">IF(C138=0,"NA",IF(curve=1,pp_mov_eq_acid,VLOOKUP(pretreat_acid_valve_size,pp_mov_cost_cl,3)))</f>
        <v>656.06319532697046</v>
      </c>
      <c r="J138" s="502">
        <f t="shared" ref="J138:J162" ca="1" si="32">IF(OR(I138="contact vendor",I138="NA"),"--",C138*I138)</f>
        <v>2624.2527813078818</v>
      </c>
      <c r="K138" s="477">
        <f ca="1">IF(C138=0,"NA",VLOOKUP(pretreat_acid_valve_size,pp_mov_cost_cl,IF(ss_cat="large",4,5)))</f>
        <v>25</v>
      </c>
      <c r="L138" s="504">
        <v>1</v>
      </c>
      <c r="M138" s="1100" t="str">
        <f>$B$137&amp;" "&amp;$B$136&amp;" - "&amp;B138</f>
        <v>Motor/Air Operated (on/off) Valves - Pretreatment acid - Polypropylene/PVC</v>
      </c>
      <c r="N138" s="238">
        <v>1</v>
      </c>
      <c r="O138" s="898">
        <v>2</v>
      </c>
      <c r="P138" s="238">
        <v>2</v>
      </c>
      <c r="Q138" s="238">
        <v>1</v>
      </c>
      <c r="R138" s="898">
        <v>2</v>
      </c>
      <c r="S138" s="238">
        <v>2</v>
      </c>
      <c r="T138" s="238">
        <v>1</v>
      </c>
      <c r="U138" s="898">
        <v>2</v>
      </c>
      <c r="V138" s="238">
        <v>2</v>
      </c>
      <c r="W138" s="1096">
        <f t="shared" ca="1" si="28"/>
        <v>1</v>
      </c>
      <c r="X138" s="1097">
        <f t="shared" ca="1" si="29"/>
        <v>104.97011125231528</v>
      </c>
      <c r="Y138" s="20"/>
    </row>
    <row r="139" spans="1:26" s="1022" customFormat="1">
      <c r="A139" s="659" t="s">
        <v>3183</v>
      </c>
      <c r="B139" s="515" t="s">
        <v>1269</v>
      </c>
      <c r="C139" s="497">
        <f ca="1">tot_pretreat_acid_MOVs</f>
        <v>4</v>
      </c>
      <c r="D139" s="498" t="s">
        <v>2192</v>
      </c>
      <c r="E139" s="516">
        <f ca="1">IF(C139=0,"NA",pretreat_acid_valve_size)</f>
        <v>0.5</v>
      </c>
      <c r="F139" s="335" t="str">
        <f t="shared" ca="1" si="30"/>
        <v>in. diam</v>
      </c>
      <c r="G139" s="497">
        <f ca="1">IF(C139=0,"NA",IF(curve=1,pretreat_acid_valve_size,VLOOKUP(pretreat_acid_valve_size,ss_mov_cost_cl,2)))</f>
        <v>0.5</v>
      </c>
      <c r="H139" s="335" t="str">
        <f t="shared" ca="1" si="31"/>
        <v>in. diam</v>
      </c>
      <c r="I139" s="478">
        <f ca="1">IF(C139=0,"NA",IF(curve=1,ss_mov_eq_acid,VLOOKUP(pretreat_acid_valve_size,ss_mov_cost_cl,3)))</f>
        <v>1419.4889475299999</v>
      </c>
      <c r="J139" s="502">
        <f t="shared" ca="1" si="32"/>
        <v>5677.9557901199996</v>
      </c>
      <c r="K139" s="477">
        <f ca="1">IF(C139=0,"NA",VLOOKUP(pretreat_acid_valve_size,ss_mov_cost_cl,IF(ss_cat="large",4,5)))</f>
        <v>25</v>
      </c>
      <c r="L139" s="504">
        <v>0</v>
      </c>
      <c r="M139" s="1100" t="str">
        <f t="shared" ref="M139:M165" si="33">$B$137&amp;" "&amp;$B$136&amp;" - "&amp;B139</f>
        <v>Motor/Air Operated (on/off) Valves - Pretreatment acid - Stainless Steel</v>
      </c>
      <c r="N139" s="238">
        <v>2</v>
      </c>
      <c r="O139" s="898">
        <v>1</v>
      </c>
      <c r="P139" s="238">
        <v>1</v>
      </c>
      <c r="Q139" s="238">
        <v>2</v>
      </c>
      <c r="R139" s="898">
        <v>1</v>
      </c>
      <c r="S139" s="238">
        <v>1</v>
      </c>
      <c r="T139" s="238">
        <v>2</v>
      </c>
      <c r="U139" s="898">
        <v>1</v>
      </c>
      <c r="V139" s="238">
        <v>1</v>
      </c>
      <c r="W139" s="1096">
        <f t="shared" ca="1" si="28"/>
        <v>0</v>
      </c>
      <c r="X139" s="1097">
        <f t="shared" ca="1" si="29"/>
        <v>0</v>
      </c>
      <c r="Y139" s="20"/>
    </row>
    <row r="140" spans="1:26" s="1022" customFormat="1">
      <c r="A140" s="659" t="s">
        <v>3184</v>
      </c>
      <c r="B140" s="515" t="s">
        <v>1270</v>
      </c>
      <c r="C140" s="497">
        <f>tot_antiscalant_MOVs</f>
        <v>4</v>
      </c>
      <c r="D140" s="498" t="s">
        <v>2192</v>
      </c>
      <c r="E140" s="516">
        <f>IF(C140=0,"NA",antiscalant_valve_size)</f>
        <v>0.5</v>
      </c>
      <c r="F140" s="335" t="str">
        <f t="shared" si="30"/>
        <v>in. diam</v>
      </c>
      <c r="G140" s="497">
        <f>IF(C140=0,"NA",IF(curve=1,antiscalant_valve_size,VLOOKUP(antiscalant_valve_size,pp_mov_cost_cl,2)))</f>
        <v>0.5</v>
      </c>
      <c r="H140" s="335" t="str">
        <f t="shared" si="31"/>
        <v>in. diam</v>
      </c>
      <c r="I140" s="478">
        <f>IF(C140=0,"NA",IF(curve=1,pp_mov_eq_anti,VLOOKUP(antiscalant_valve_size,pp_mov_cost_cl,3)))</f>
        <v>656.06319532697046</v>
      </c>
      <c r="J140" s="502">
        <f t="shared" si="32"/>
        <v>2624.2527813078818</v>
      </c>
      <c r="K140" s="477">
        <f>IF(C140=0,"NA",VLOOKUP(antiscalant_valve_size,pp_mov_cost_cl,IF(ss_cat="large",4,5)))</f>
        <v>25</v>
      </c>
      <c r="L140" s="504">
        <v>1</v>
      </c>
      <c r="M140" s="1100" t="str">
        <f t="shared" si="33"/>
        <v>Motor/Air Operated (on/off) Valves - Antiscalant - Polypropylene/PVC</v>
      </c>
      <c r="N140" s="238">
        <v>1</v>
      </c>
      <c r="O140" s="898">
        <v>2</v>
      </c>
      <c r="P140" s="238">
        <v>2</v>
      </c>
      <c r="Q140" s="238">
        <v>1</v>
      </c>
      <c r="R140" s="898">
        <v>2</v>
      </c>
      <c r="S140" s="238">
        <v>2</v>
      </c>
      <c r="T140" s="238">
        <v>1</v>
      </c>
      <c r="U140" s="898">
        <v>2</v>
      </c>
      <c r="V140" s="238">
        <v>2</v>
      </c>
      <c r="W140" s="1096">
        <f t="shared" si="28"/>
        <v>1</v>
      </c>
      <c r="X140" s="1097">
        <f t="shared" si="29"/>
        <v>104.97011125231528</v>
      </c>
      <c r="Y140" s="20"/>
    </row>
    <row r="141" spans="1:26" s="1022" customFormat="1">
      <c r="A141" s="659" t="s">
        <v>3184</v>
      </c>
      <c r="B141" s="515" t="s">
        <v>1271</v>
      </c>
      <c r="C141" s="497">
        <f>tot_antiscalant_MOVs</f>
        <v>4</v>
      </c>
      <c r="D141" s="498" t="s">
        <v>2192</v>
      </c>
      <c r="E141" s="516">
        <f>IF(C141=0,"NA",antiscalant_valve_size)</f>
        <v>0.5</v>
      </c>
      <c r="F141" s="335" t="str">
        <f t="shared" si="30"/>
        <v>in. diam</v>
      </c>
      <c r="G141" s="497">
        <f>IF(C141=0,"NA",IF(curve=1,antiscalant_valve_size,VLOOKUP(antiscalant_valve_size,ss_mov_cost_cl,2)))</f>
        <v>0.5</v>
      </c>
      <c r="H141" s="335" t="str">
        <f t="shared" si="31"/>
        <v>in. diam</v>
      </c>
      <c r="I141" s="478">
        <f>IF(C141=0,"NA",IF(curve=1,ss_mov_eq_anti,VLOOKUP(antiscalant_valve_size,ss_mov_cost_cl,3)))</f>
        <v>1419.4889475299999</v>
      </c>
      <c r="J141" s="502">
        <f t="shared" si="32"/>
        <v>5677.9557901199996</v>
      </c>
      <c r="K141" s="477">
        <f>IF(C141=0,"NA",VLOOKUP(antiscalant_valve_size,ss_mov_cost_cl,IF(ss_cat="large",4,5)))</f>
        <v>25</v>
      </c>
      <c r="L141" s="504">
        <v>0</v>
      </c>
      <c r="M141" s="1100" t="str">
        <f t="shared" si="33"/>
        <v>Motor/Air Operated (on/off) Valves - Antiscalant - Stainless Steel</v>
      </c>
      <c r="N141" s="238">
        <v>2</v>
      </c>
      <c r="O141" s="898">
        <v>1</v>
      </c>
      <c r="P141" s="238">
        <v>1</v>
      </c>
      <c r="Q141" s="238">
        <v>2</v>
      </c>
      <c r="R141" s="898">
        <v>1</v>
      </c>
      <c r="S141" s="238">
        <v>1</v>
      </c>
      <c r="T141" s="238">
        <v>2</v>
      </c>
      <c r="U141" s="898">
        <v>1</v>
      </c>
      <c r="V141" s="238">
        <v>1</v>
      </c>
      <c r="W141" s="1096">
        <f t="shared" si="28"/>
        <v>0</v>
      </c>
      <c r="X141" s="1097">
        <f t="shared" si="29"/>
        <v>0</v>
      </c>
      <c r="Y141" s="20"/>
    </row>
    <row r="142" spans="1:26" s="1022" customFormat="1">
      <c r="A142" s="659" t="s">
        <v>3185</v>
      </c>
      <c r="B142" s="515" t="s">
        <v>164</v>
      </c>
      <c r="C142" s="497">
        <f ca="1">tot_feed_MOVs</f>
        <v>5</v>
      </c>
      <c r="D142" s="498" t="s">
        <v>2192</v>
      </c>
      <c r="E142" s="516">
        <f ca="1">IF(C142=0,"NA",feed_valve_size)</f>
        <v>6</v>
      </c>
      <c r="F142" s="335" t="str">
        <f t="shared" ca="1" si="30"/>
        <v>in. diam</v>
      </c>
      <c r="G142" s="497">
        <f ca="1">IF(C142=0,"NA",IF(curve=1,feed_valve_size,VLOOKUP(feed_valve_size,pp_mov_cost_cl,2)))</f>
        <v>6</v>
      </c>
      <c r="H142" s="335" t="str">
        <f t="shared" ca="1" si="31"/>
        <v>in. diam</v>
      </c>
      <c r="I142" s="478">
        <f ca="1">IF(C142=0,"NA",IF(curve=1,pp_mov_eq_feed,VLOOKUP(feed_valve_size,pp_mov_cost_cl,3)))</f>
        <v>1785.0406260455554</v>
      </c>
      <c r="J142" s="502">
        <f t="shared" ca="1" si="32"/>
        <v>8925.2031302277774</v>
      </c>
      <c r="K142" s="477">
        <f ca="1">IF(C142=0,"NA",VLOOKUP(feed_valve_size,pp_mov_cost_cl,IF(ss_cat="large",4,5)))</f>
        <v>25</v>
      </c>
      <c r="L142" s="504">
        <v>1</v>
      </c>
      <c r="M142" s="1100" t="str">
        <f t="shared" si="33"/>
        <v>Motor/Air Operated (on/off) Valves - Feed line - Polypropylene/PVC</v>
      </c>
      <c r="N142" s="238">
        <v>1</v>
      </c>
      <c r="O142" s="898">
        <v>2</v>
      </c>
      <c r="P142" s="238">
        <v>3</v>
      </c>
      <c r="Q142" s="238">
        <v>1</v>
      </c>
      <c r="R142" s="898">
        <v>2</v>
      </c>
      <c r="S142" s="238">
        <v>3</v>
      </c>
      <c r="T142" s="238">
        <v>1</v>
      </c>
      <c r="U142" s="898">
        <v>2</v>
      </c>
      <c r="V142" s="238">
        <v>3</v>
      </c>
      <c r="W142" s="1096">
        <f t="shared" ca="1" si="28"/>
        <v>1</v>
      </c>
      <c r="X142" s="1097">
        <f t="shared" ca="1" si="29"/>
        <v>357.00812520911109</v>
      </c>
      <c r="Y142" s="20"/>
    </row>
    <row r="143" spans="1:26" s="1022" customFormat="1">
      <c r="A143" s="659" t="s">
        <v>3185</v>
      </c>
      <c r="B143" s="515" t="s">
        <v>609</v>
      </c>
      <c r="C143" s="497">
        <f ca="1">tot_feed_MOVs</f>
        <v>5</v>
      </c>
      <c r="D143" s="498" t="s">
        <v>2192</v>
      </c>
      <c r="E143" s="516">
        <f ca="1">IF(C143=0,"NA",feed_valve_size)</f>
        <v>6</v>
      </c>
      <c r="F143" s="335" t="str">
        <f t="shared" ca="1" si="30"/>
        <v>in. diam</v>
      </c>
      <c r="G143" s="497">
        <f ca="1">IF(C143=0,"NA",IF(curve=1,feed_valve_size,VLOOKUP(feed_valve_size,ss_mov_cost_cl,2)))</f>
        <v>6</v>
      </c>
      <c r="H143" s="335" t="str">
        <f t="shared" ca="1" si="31"/>
        <v>in. diam</v>
      </c>
      <c r="I143" s="478">
        <f ca="1">IF(C143=0,"NA",IF(curve=1,ss_mov_eq_feed,VLOOKUP(feed_valve_size,ss_mov_cost_cl,3)))</f>
        <v>3097.1800170789998</v>
      </c>
      <c r="J143" s="502">
        <f t="shared" ca="1" si="32"/>
        <v>15485.900085394998</v>
      </c>
      <c r="K143" s="477">
        <f ca="1">IF(C143=0,"NA",VLOOKUP(feed_valve_size,ss_mov_cost_cl,IF(ss_cat="large",4,5)))</f>
        <v>25</v>
      </c>
      <c r="L143" s="504">
        <v>0</v>
      </c>
      <c r="M143" s="1100" t="str">
        <f t="shared" si="33"/>
        <v>Motor/Air Operated (on/off) Valves - Feed line - Stainless Steel</v>
      </c>
      <c r="N143" s="238">
        <v>3</v>
      </c>
      <c r="O143" s="898">
        <v>3</v>
      </c>
      <c r="P143" s="238">
        <v>1</v>
      </c>
      <c r="Q143" s="238">
        <v>3</v>
      </c>
      <c r="R143" s="898">
        <v>3</v>
      </c>
      <c r="S143" s="238">
        <v>1</v>
      </c>
      <c r="T143" s="238">
        <v>3</v>
      </c>
      <c r="U143" s="898">
        <v>3</v>
      </c>
      <c r="V143" s="238">
        <v>1</v>
      </c>
      <c r="W143" s="1096">
        <f t="shared" ca="1" si="28"/>
        <v>0</v>
      </c>
      <c r="X143" s="1097">
        <f t="shared" ca="1" si="29"/>
        <v>0</v>
      </c>
      <c r="Y143" s="20"/>
    </row>
    <row r="144" spans="1:26" s="1022" customFormat="1">
      <c r="A144" s="659" t="s">
        <v>3185</v>
      </c>
      <c r="B144" s="515" t="s">
        <v>610</v>
      </c>
      <c r="C144" s="497">
        <f ca="1">tot_feed_MOVs</f>
        <v>5</v>
      </c>
      <c r="D144" s="498" t="s">
        <v>2192</v>
      </c>
      <c r="E144" s="516">
        <f ca="1">IF(C144=0,"NA",feed_valve_size)</f>
        <v>6</v>
      </c>
      <c r="F144" s="335" t="str">
        <f t="shared" ca="1" si="30"/>
        <v>in. diam</v>
      </c>
      <c r="G144" s="497">
        <f ca="1">IF(C144=0,"NA",IF(curve=1,feed_valve_size,VLOOKUP(feed_valve_size,ci_mov_cost_cl,2)))</f>
        <v>6</v>
      </c>
      <c r="H144" s="335" t="str">
        <f t="shared" ca="1" si="31"/>
        <v>in. diam</v>
      </c>
      <c r="I144" s="478">
        <f ca="1">IF(C144=0,"NA",IF(curve=1,ci_mov_eq_feed,VLOOKUP(feed_valve_size,ci_mov_cost_cl,3)))</f>
        <v>6662.6239318830012</v>
      </c>
      <c r="J144" s="502">
        <f t="shared" ca="1" si="32"/>
        <v>33313.11965941501</v>
      </c>
      <c r="K144" s="477">
        <f ca="1">IF(C144=0,"NA",VLOOKUP(feed_valve_size,ci_mov_cost_cl,IF(ss_cat="large",4,5)))</f>
        <v>25</v>
      </c>
      <c r="L144" s="504">
        <v>0</v>
      </c>
      <c r="M144" s="1100" t="str">
        <f t="shared" si="33"/>
        <v>Motor/Air Operated (on/off) Valves - Feed line - Cast Iron</v>
      </c>
      <c r="N144" s="238">
        <v>2</v>
      </c>
      <c r="O144" s="898">
        <v>1</v>
      </c>
      <c r="P144" s="238">
        <v>2</v>
      </c>
      <c r="Q144" s="238">
        <v>2</v>
      </c>
      <c r="R144" s="898">
        <v>1</v>
      </c>
      <c r="S144" s="238">
        <v>2</v>
      </c>
      <c r="T144" s="238">
        <v>2</v>
      </c>
      <c r="U144" s="898">
        <v>1</v>
      </c>
      <c r="V144" s="238">
        <v>2</v>
      </c>
      <c r="W144" s="1096">
        <f t="shared" ca="1" si="28"/>
        <v>0</v>
      </c>
      <c r="X144" s="1097">
        <f t="shared" ca="1" si="29"/>
        <v>0</v>
      </c>
      <c r="Y144" s="20"/>
    </row>
    <row r="145" spans="1:25" s="1022" customFormat="1">
      <c r="A145" s="659" t="s">
        <v>3186</v>
      </c>
      <c r="B145" s="515" t="s">
        <v>4705</v>
      </c>
      <c r="C145" s="497">
        <f ca="1">tot_conc_MOVs</f>
        <v>2</v>
      </c>
      <c r="D145" s="498" t="s">
        <v>2192</v>
      </c>
      <c r="E145" s="516">
        <f ca="1">IF(C145=0,"NA",conc_valve_size)</f>
        <v>6</v>
      </c>
      <c r="F145" s="335" t="str">
        <f t="shared" ca="1" si="30"/>
        <v>in. diam</v>
      </c>
      <c r="G145" s="497">
        <f ca="1">IF(C145=0,"NA",IF(curve=1,conc_valve_size,VLOOKUP(conc_valve_size,ss_mov_cost_cl,2)))</f>
        <v>6</v>
      </c>
      <c r="H145" s="335" t="str">
        <f t="shared" ca="1" si="31"/>
        <v>in. diam</v>
      </c>
      <c r="I145" s="478">
        <f ca="1">IF(C145=0,"NA",IF(curve=1,ss_mov_eq_conc,VLOOKUP(conc_valve_size,ss_mov_cost_cl,3)))</f>
        <v>3097.1800170789998</v>
      </c>
      <c r="J145" s="502">
        <f t="shared" ca="1" si="32"/>
        <v>6194.3600341579995</v>
      </c>
      <c r="K145" s="477">
        <f ca="1">IF(C145=0,"NA",VLOOKUP(conc_valve_size,ss_mov_cost_cl,IF(ss_cat="large",4,5)))</f>
        <v>25</v>
      </c>
      <c r="L145" s="504">
        <v>0</v>
      </c>
      <c r="M145" s="1100" t="str">
        <f t="shared" si="33"/>
        <v>Motor/Air Operated (on/off) Valves - Concentrate control - Stainless Steel</v>
      </c>
      <c r="N145" s="238">
        <v>2</v>
      </c>
      <c r="O145" s="898">
        <v>1</v>
      </c>
      <c r="P145" s="238">
        <v>1</v>
      </c>
      <c r="Q145" s="238">
        <v>2</v>
      </c>
      <c r="R145" s="898">
        <v>1</v>
      </c>
      <c r="S145" s="238">
        <v>1</v>
      </c>
      <c r="T145" s="238">
        <v>2</v>
      </c>
      <c r="U145" s="898">
        <v>1</v>
      </c>
      <c r="V145" s="238">
        <v>1</v>
      </c>
      <c r="W145" s="1096">
        <f t="shared" ca="1" si="28"/>
        <v>0</v>
      </c>
      <c r="X145" s="1097">
        <f t="shared" ca="1" si="29"/>
        <v>0</v>
      </c>
      <c r="Y145" s="20"/>
    </row>
    <row r="146" spans="1:25" s="1022" customFormat="1">
      <c r="A146" s="659" t="s">
        <v>3186</v>
      </c>
      <c r="B146" s="515" t="s">
        <v>4706</v>
      </c>
      <c r="C146" s="497">
        <f ca="1">tot_conc_MOVs</f>
        <v>2</v>
      </c>
      <c r="D146" s="498" t="s">
        <v>2192</v>
      </c>
      <c r="E146" s="516">
        <f ca="1">IF(C146=0,"NA",conc_valve_size)</f>
        <v>6</v>
      </c>
      <c r="F146" s="335" t="str">
        <f ca="1">IF(C146=0,"","in. diam")</f>
        <v>in. diam</v>
      </c>
      <c r="G146" s="497">
        <f ca="1">IF(C146=0,"NA",IF(curve=1,conc_valve_size,VLOOKUP(conc_valve_size,ci_mov_cost_cl,2)))</f>
        <v>6</v>
      </c>
      <c r="H146" s="335" t="str">
        <f ca="1">IF(C146=0,"","in. diam")</f>
        <v>in. diam</v>
      </c>
      <c r="I146" s="478">
        <f ca="1">IF(C146=0,"NA",IF(curve=1,ci_mov_eq_conc,VLOOKUP(conc_valve_size,ci_mov_cost_cl,3)))</f>
        <v>6662.6239318830012</v>
      </c>
      <c r="J146" s="502">
        <f t="shared" ca="1" si="32"/>
        <v>13325.247863766002</v>
      </c>
      <c r="K146" s="477">
        <f ca="1">IF(C146=0,"NA",VLOOKUP(conc_valve_size,ci_mov_cost_cl,IF(ss_cat="large",4,5)))</f>
        <v>25</v>
      </c>
      <c r="L146" s="504">
        <v>1</v>
      </c>
      <c r="M146" s="1100" t="str">
        <f>$B$137&amp;" "&amp;$B$136&amp;" - "&amp;B146</f>
        <v>Motor/Air Operated (on/off) Valves - Concentrate control - Cast Iron</v>
      </c>
      <c r="N146" s="238">
        <v>1</v>
      </c>
      <c r="O146" s="898">
        <v>2</v>
      </c>
      <c r="P146" s="238">
        <v>2</v>
      </c>
      <c r="Q146" s="238">
        <v>1</v>
      </c>
      <c r="R146" s="898">
        <v>2</v>
      </c>
      <c r="S146" s="238">
        <v>2</v>
      </c>
      <c r="T146" s="238">
        <v>1</v>
      </c>
      <c r="U146" s="898">
        <v>2</v>
      </c>
      <c r="V146" s="238">
        <v>2</v>
      </c>
      <c r="W146" s="1096">
        <f t="shared" ca="1" si="28"/>
        <v>1</v>
      </c>
      <c r="X146" s="1097">
        <f t="shared" ca="1" si="29"/>
        <v>533.00991455064013</v>
      </c>
      <c r="Y146" s="20"/>
    </row>
    <row r="147" spans="1:25" s="1022" customFormat="1">
      <c r="A147" s="659" t="s">
        <v>3186</v>
      </c>
      <c r="B147" s="515" t="s">
        <v>5034</v>
      </c>
      <c r="C147" s="497">
        <f ca="1">tot_conc_MOVs</f>
        <v>2</v>
      </c>
      <c r="D147" s="498" t="s">
        <v>2192</v>
      </c>
      <c r="E147" s="516">
        <f ca="1">IF(C147=0,"NA",conc_valve_size)</f>
        <v>6</v>
      </c>
      <c r="F147" s="335" t="str">
        <f ca="1">IF(C147=0,"","in. diam")</f>
        <v>in. diam</v>
      </c>
      <c r="G147" s="497">
        <f ca="1">IF(C147=0,"NA",IF(curve=1,conc_valve_size,VLOOKUP(conc_valve_size,pp_mov_cost_cl,2)))</f>
        <v>6</v>
      </c>
      <c r="H147" s="335" t="str">
        <f ca="1">IF(C147=0,"","in. diam")</f>
        <v>in. diam</v>
      </c>
      <c r="I147" s="478">
        <f ca="1">IF(C147=0,"NA",IF(curve=1,pp_mov_eq_conc,VLOOKUP(conc_valve_size,pp_mov_cost_cl,3)))</f>
        <v>1785.0406260455554</v>
      </c>
      <c r="J147" s="502">
        <f t="shared" ca="1" si="32"/>
        <v>3570.0812520911109</v>
      </c>
      <c r="K147" s="477">
        <f ca="1">IF(C147=0,"NA",VLOOKUP(conc_valve_size,pp_mov_cost_cl,IF(ss_cat="large",4,5)))</f>
        <v>25</v>
      </c>
      <c r="L147" s="504">
        <v>0</v>
      </c>
      <c r="M147" s="1100" t="str">
        <f>$B$137&amp;" "&amp;$B$136&amp;" - "&amp;B147</f>
        <v>Motor/Air Operated (on/off) Valves - Concentrate control - Polypropylene/PVC</v>
      </c>
      <c r="N147" s="238">
        <v>3</v>
      </c>
      <c r="O147" s="238">
        <v>3</v>
      </c>
      <c r="P147" s="238">
        <v>3</v>
      </c>
      <c r="Q147" s="238">
        <v>3</v>
      </c>
      <c r="R147" s="238">
        <v>3</v>
      </c>
      <c r="S147" s="238">
        <v>3</v>
      </c>
      <c r="T147" s="238">
        <v>3</v>
      </c>
      <c r="U147" s="238">
        <v>3</v>
      </c>
      <c r="V147" s="238">
        <v>3</v>
      </c>
      <c r="W147" s="1096">
        <f t="shared" ca="1" si="28"/>
        <v>0</v>
      </c>
      <c r="X147" s="1097">
        <f t="shared" ca="1" si="29"/>
        <v>0</v>
      </c>
      <c r="Y147" s="20"/>
    </row>
    <row r="148" spans="1:25" s="1022" customFormat="1">
      <c r="A148" s="659" t="s">
        <v>3187</v>
      </c>
      <c r="B148" s="515" t="s">
        <v>611</v>
      </c>
      <c r="C148" s="497">
        <f>tot_boost_2_MOVs</f>
        <v>0</v>
      </c>
      <c r="D148" s="498" t="s">
        <v>2192</v>
      </c>
      <c r="E148" s="516" t="str">
        <f>IF(C148=0,"NA",boost_valve_2_diam)</f>
        <v>NA</v>
      </c>
      <c r="F148" s="335" t="str">
        <f t="shared" si="30"/>
        <v/>
      </c>
      <c r="G148" s="497" t="str">
        <f>IF(C148=0,"NA",IF(curve=1,boost_valve_2_diam,VLOOKUP(boost_valve_2_diam,pp_mov_cost_cl,2)))</f>
        <v>NA</v>
      </c>
      <c r="H148" s="335" t="str">
        <f t="shared" si="31"/>
        <v/>
      </c>
      <c r="I148" s="478" t="str">
        <f>IF(C148=0,"NA",IF(curve=1,pp_mov_eq_b2,VLOOKUP(boost_valve_2_diam,pp_mov_cost_cl,3)))</f>
        <v>NA</v>
      </c>
      <c r="J148" s="502" t="str">
        <f t="shared" si="32"/>
        <v>--</v>
      </c>
      <c r="K148" s="477" t="str">
        <f>IF(C148=0,"NA",VLOOKUP(boost_valve_2_diam,pp_mov_cost_cl,IF(ss_cat="large",4,5)))</f>
        <v>NA</v>
      </c>
      <c r="L148" s="504"/>
      <c r="M148" s="1100" t="str">
        <f t="shared" si="33"/>
        <v>Motor/Air Operated (on/off) Valves - Stage 2 boost - Polypropylene/PVC</v>
      </c>
      <c r="N148" s="238">
        <v>1</v>
      </c>
      <c r="O148" s="898">
        <v>1</v>
      </c>
      <c r="P148" s="238">
        <v>2</v>
      </c>
      <c r="Q148" s="238">
        <v>1</v>
      </c>
      <c r="R148" s="898">
        <v>1</v>
      </c>
      <c r="S148" s="238">
        <v>2</v>
      </c>
      <c r="T148" s="238">
        <v>1</v>
      </c>
      <c r="U148" s="898">
        <v>1</v>
      </c>
      <c r="V148" s="238">
        <v>2</v>
      </c>
      <c r="W148" s="1096">
        <f t="shared" si="28"/>
        <v>0</v>
      </c>
      <c r="X148" s="1097">
        <f t="shared" si="29"/>
        <v>0</v>
      </c>
      <c r="Y148" s="20"/>
    </row>
    <row r="149" spans="1:25" s="1022" customFormat="1">
      <c r="A149" s="659" t="s">
        <v>3187</v>
      </c>
      <c r="B149" s="515" t="s">
        <v>612</v>
      </c>
      <c r="C149" s="497">
        <f>tot_boost_2_MOVs</f>
        <v>0</v>
      </c>
      <c r="D149" s="498" t="s">
        <v>2192</v>
      </c>
      <c r="E149" s="516" t="str">
        <f>IF(C149=0,"NA",boost_valve_2_diam)</f>
        <v>NA</v>
      </c>
      <c r="F149" s="335" t="str">
        <f t="shared" si="30"/>
        <v/>
      </c>
      <c r="G149" s="497" t="str">
        <f>IF(C149=0,"NA",IF(curve=1,boost_valve_2_diam,VLOOKUP(boost_valve_2_diam,ss_mov_cost_cl,2)))</f>
        <v>NA</v>
      </c>
      <c r="H149" s="335" t="str">
        <f t="shared" si="31"/>
        <v/>
      </c>
      <c r="I149" s="478" t="str">
        <f>IF(C149=0,"NA",IF(curve=1,ss_mov_eq_b2,VLOOKUP(boost_valve_2_diam,ss_mov_cost_cl,3)))</f>
        <v>NA</v>
      </c>
      <c r="J149" s="502" t="str">
        <f t="shared" si="32"/>
        <v>--</v>
      </c>
      <c r="K149" s="477" t="str">
        <f>IF(C149=0,"NA",VLOOKUP(boost_valve_2_diam,ss_mov_cost_cl,IF(ss_cat="large",4,5)))</f>
        <v>NA</v>
      </c>
      <c r="L149" s="504"/>
      <c r="M149" s="1100" t="str">
        <f t="shared" si="33"/>
        <v>Motor/Air Operated (on/off) Valves - Stage 2 boost - Stainless Steel</v>
      </c>
      <c r="N149" s="238">
        <v>2</v>
      </c>
      <c r="O149" s="898">
        <v>2</v>
      </c>
      <c r="P149" s="238">
        <v>1</v>
      </c>
      <c r="Q149" s="238">
        <v>2</v>
      </c>
      <c r="R149" s="898">
        <v>2</v>
      </c>
      <c r="S149" s="238">
        <v>1</v>
      </c>
      <c r="T149" s="238">
        <v>2</v>
      </c>
      <c r="U149" s="898">
        <v>2</v>
      </c>
      <c r="V149" s="238">
        <v>1</v>
      </c>
      <c r="W149" s="1096">
        <f t="shared" si="28"/>
        <v>0</v>
      </c>
      <c r="X149" s="1097">
        <f t="shared" si="29"/>
        <v>0</v>
      </c>
      <c r="Y149" s="20"/>
    </row>
    <row r="150" spans="1:25" s="1022" customFormat="1">
      <c r="A150" s="659" t="s">
        <v>3188</v>
      </c>
      <c r="B150" s="515" t="s">
        <v>613</v>
      </c>
      <c r="C150" s="497">
        <f>tot_boost_3_MOVs</f>
        <v>0</v>
      </c>
      <c r="D150" s="498" t="s">
        <v>2192</v>
      </c>
      <c r="E150" s="516" t="str">
        <f>IF(C150=0,"NA",boost_valve_3_diam)</f>
        <v>NA</v>
      </c>
      <c r="F150" s="335" t="str">
        <f t="shared" si="30"/>
        <v/>
      </c>
      <c r="G150" s="497" t="str">
        <f>IF(C150=0,"NA",IF(curve=1,boost_valve_3_diam,VLOOKUP(boost_valve_3_diam,pp_mov_cost_cl,2)))</f>
        <v>NA</v>
      </c>
      <c r="H150" s="335" t="str">
        <f t="shared" si="31"/>
        <v/>
      </c>
      <c r="I150" s="478" t="str">
        <f>IF(C150=0,"NA",IF(curve=1,pp_mov_eq_b3,VLOOKUP(boost_valve_3_diam,pp_mov_cost_cl,3)))</f>
        <v>NA</v>
      </c>
      <c r="J150" s="502" t="str">
        <f t="shared" si="32"/>
        <v>--</v>
      </c>
      <c r="K150" s="477" t="str">
        <f>IF(C150=0,"NA",VLOOKUP(boost_valve_3_diam,pp_mov_cost_cl,IF(ss_cat="large",4,5)))</f>
        <v>NA</v>
      </c>
      <c r="L150" s="504"/>
      <c r="M150" s="1100" t="str">
        <f t="shared" si="33"/>
        <v>Motor/Air Operated (on/off) Valves - Stage 3 boost - Polypropylene/PVC</v>
      </c>
      <c r="N150" s="238">
        <v>1</v>
      </c>
      <c r="O150" s="898">
        <v>1</v>
      </c>
      <c r="P150" s="238">
        <v>2</v>
      </c>
      <c r="Q150" s="238">
        <v>1</v>
      </c>
      <c r="R150" s="898">
        <v>1</v>
      </c>
      <c r="S150" s="238">
        <v>2</v>
      </c>
      <c r="T150" s="238">
        <v>1</v>
      </c>
      <c r="U150" s="898">
        <v>1</v>
      </c>
      <c r="V150" s="238">
        <v>2</v>
      </c>
      <c r="W150" s="1096">
        <f t="shared" si="28"/>
        <v>0</v>
      </c>
      <c r="X150" s="1097">
        <f t="shared" si="29"/>
        <v>0</v>
      </c>
      <c r="Y150" s="20"/>
    </row>
    <row r="151" spans="1:25" s="1022" customFormat="1">
      <c r="A151" s="659" t="s">
        <v>3188</v>
      </c>
      <c r="B151" s="515" t="s">
        <v>614</v>
      </c>
      <c r="C151" s="497">
        <f>tot_boost_3_MOVs</f>
        <v>0</v>
      </c>
      <c r="D151" s="498" t="s">
        <v>2192</v>
      </c>
      <c r="E151" s="516" t="str">
        <f>IF(C151=0,"NA",boost_valve_3_diam)</f>
        <v>NA</v>
      </c>
      <c r="F151" s="335" t="str">
        <f t="shared" si="30"/>
        <v/>
      </c>
      <c r="G151" s="497" t="str">
        <f>IF(C151=0,"NA",IF(curve=1,boost_valve_3_diam,VLOOKUP(boost_valve_3_diam,ss_mov_cost_cl,2)))</f>
        <v>NA</v>
      </c>
      <c r="H151" s="335" t="str">
        <f t="shared" si="31"/>
        <v/>
      </c>
      <c r="I151" s="478" t="str">
        <f>IF(C151=0,"NA",IF(curve=1,ss_mov_eq_b3,VLOOKUP(boost_valve_3_diam,ss_mov_cost_cl,3)))</f>
        <v>NA</v>
      </c>
      <c r="J151" s="502" t="str">
        <f t="shared" si="32"/>
        <v>--</v>
      </c>
      <c r="K151" s="477" t="str">
        <f>IF(C151=0,"NA",VLOOKUP(boost_valve_3_diam,ss_mov_cost_cl,IF(ss_cat="large",4,5)))</f>
        <v>NA</v>
      </c>
      <c r="L151" s="504"/>
      <c r="M151" s="1100" t="str">
        <f t="shared" si="33"/>
        <v>Motor/Air Operated (on/off) Valves - Stage 3 boost - Stainless Steel</v>
      </c>
      <c r="N151" s="238">
        <v>2</v>
      </c>
      <c r="O151" s="898">
        <v>2</v>
      </c>
      <c r="P151" s="238">
        <v>1</v>
      </c>
      <c r="Q151" s="238">
        <v>2</v>
      </c>
      <c r="R151" s="898">
        <v>2</v>
      </c>
      <c r="S151" s="238">
        <v>1</v>
      </c>
      <c r="T151" s="238">
        <v>2</v>
      </c>
      <c r="U151" s="898">
        <v>2</v>
      </c>
      <c r="V151" s="238">
        <v>1</v>
      </c>
      <c r="W151" s="1096">
        <f t="shared" si="28"/>
        <v>0</v>
      </c>
      <c r="X151" s="1097">
        <f t="shared" si="29"/>
        <v>0</v>
      </c>
      <c r="Y151" s="20"/>
    </row>
    <row r="152" spans="1:25" s="1022" customFormat="1">
      <c r="A152" s="659" t="s">
        <v>3189</v>
      </c>
      <c r="B152" s="515" t="s">
        <v>615</v>
      </c>
      <c r="C152" s="497">
        <f>tot_perm_1_MOVs</f>
        <v>0</v>
      </c>
      <c r="D152" s="498" t="s">
        <v>2192</v>
      </c>
      <c r="E152" s="516" t="str">
        <f>IF(C152=0,"NA",perm_valve_1_diam)</f>
        <v>NA</v>
      </c>
      <c r="F152" s="335" t="str">
        <f t="shared" si="30"/>
        <v/>
      </c>
      <c r="G152" s="497" t="str">
        <f>IF(C152=0,"NA",IF(curve=1,perm_valve_1_diam,VLOOKUP(perm_valve_1_diam,pp_mov_cost_cl,2)))</f>
        <v>NA</v>
      </c>
      <c r="H152" s="335" t="str">
        <f t="shared" si="31"/>
        <v/>
      </c>
      <c r="I152" s="478" t="str">
        <f>IF(C152=0,"NA",IF(curve=1,pp_mov_eq_pt1,VLOOKUP(perm_valve_1_diam,pp_mov_cost_cl,3)))</f>
        <v>NA</v>
      </c>
      <c r="J152" s="502" t="str">
        <f t="shared" si="32"/>
        <v>--</v>
      </c>
      <c r="K152" s="477" t="str">
        <f>IF(C152=0,"NA",VLOOKUP(perm_valve_1_diam,pp_mov_cost_cl,IF(ss_cat="large",4,5)))</f>
        <v>NA</v>
      </c>
      <c r="L152" s="504"/>
      <c r="M152" s="1100" t="str">
        <f t="shared" si="33"/>
        <v>Motor/Air Operated (on/off) Valves - Stage 1 throttle - Polypropylene/PVC</v>
      </c>
      <c r="N152" s="238">
        <v>1</v>
      </c>
      <c r="O152" s="898">
        <v>1</v>
      </c>
      <c r="P152" s="238">
        <v>2</v>
      </c>
      <c r="Q152" s="238">
        <v>1</v>
      </c>
      <c r="R152" s="898">
        <v>1</v>
      </c>
      <c r="S152" s="238">
        <v>2</v>
      </c>
      <c r="T152" s="238">
        <v>1</v>
      </c>
      <c r="U152" s="898">
        <v>1</v>
      </c>
      <c r="V152" s="238">
        <v>2</v>
      </c>
      <c r="W152" s="1096">
        <f t="shared" si="28"/>
        <v>0</v>
      </c>
      <c r="X152" s="1097">
        <f t="shared" si="29"/>
        <v>0</v>
      </c>
      <c r="Y152" s="20"/>
    </row>
    <row r="153" spans="1:25" s="1022" customFormat="1">
      <c r="A153" s="659" t="s">
        <v>3189</v>
      </c>
      <c r="B153" s="515" t="s">
        <v>616</v>
      </c>
      <c r="C153" s="497">
        <f>tot_perm_1_MOVs</f>
        <v>0</v>
      </c>
      <c r="D153" s="498" t="s">
        <v>2192</v>
      </c>
      <c r="E153" s="516" t="str">
        <f>IF(C153=0,"NA",perm_valve_1_diam)</f>
        <v>NA</v>
      </c>
      <c r="F153" s="335" t="str">
        <f t="shared" si="30"/>
        <v/>
      </c>
      <c r="G153" s="497" t="str">
        <f>IF(C153=0,"NA",IF(curve=1,perm_valve_1_diam,VLOOKUP(perm_valve_1_diam,ss_mov_cost_cl,2)))</f>
        <v>NA</v>
      </c>
      <c r="H153" s="335" t="str">
        <f t="shared" si="31"/>
        <v/>
      </c>
      <c r="I153" s="478" t="str">
        <f>IF(C153=0,"NA",IF(curve=1,ss_mov_eq_pt1,VLOOKUP(perm_valve_1_diam,ss_mov_cost_cl,3)))</f>
        <v>NA</v>
      </c>
      <c r="J153" s="502" t="str">
        <f t="shared" si="32"/>
        <v>--</v>
      </c>
      <c r="K153" s="477" t="str">
        <f>IF(C153=0,"NA",VLOOKUP(perm_valve_1_diam,ss_mov_cost_cl,IF(ss_cat="large",4,5)))</f>
        <v>NA</v>
      </c>
      <c r="L153" s="504"/>
      <c r="M153" s="1100" t="str">
        <f t="shared" si="33"/>
        <v>Motor/Air Operated (on/off) Valves - Stage 1 throttle - Stainless Steel</v>
      </c>
      <c r="N153" s="238">
        <v>2</v>
      </c>
      <c r="O153" s="898">
        <v>2</v>
      </c>
      <c r="P153" s="238">
        <v>1</v>
      </c>
      <c r="Q153" s="238">
        <v>2</v>
      </c>
      <c r="R153" s="898">
        <v>2</v>
      </c>
      <c r="S153" s="238">
        <v>1</v>
      </c>
      <c r="T153" s="238">
        <v>2</v>
      </c>
      <c r="U153" s="898">
        <v>2</v>
      </c>
      <c r="V153" s="238">
        <v>1</v>
      </c>
      <c r="W153" s="1096">
        <f t="shared" si="28"/>
        <v>0</v>
      </c>
      <c r="X153" s="1097">
        <f t="shared" si="29"/>
        <v>0</v>
      </c>
      <c r="Y153" s="20"/>
    </row>
    <row r="154" spans="1:25" s="1022" customFormat="1">
      <c r="A154" s="659" t="s">
        <v>3190</v>
      </c>
      <c r="B154" s="515" t="s">
        <v>1528</v>
      </c>
      <c r="C154" s="497">
        <f>tot_perm_2_MOVs</f>
        <v>0</v>
      </c>
      <c r="D154" s="498" t="s">
        <v>2192</v>
      </c>
      <c r="E154" s="516" t="str">
        <f>IF(C154=0,"NA",perm_valve_2_diam)</f>
        <v>NA</v>
      </c>
      <c r="F154" s="335" t="str">
        <f t="shared" si="30"/>
        <v/>
      </c>
      <c r="G154" s="497" t="str">
        <f>IF(C154=0,"NA",IF(curve=1,perm_valve_2_diam,VLOOKUP(perm_valve_2_diam,pp_mov_cost_cl,2)))</f>
        <v>NA</v>
      </c>
      <c r="H154" s="335" t="str">
        <f t="shared" si="31"/>
        <v/>
      </c>
      <c r="I154" s="478" t="str">
        <f>IF(C154=0,"NA",IF(curve=1,pp_mov_eq_pt2,VLOOKUP(perm_valve_2_diam,pp_mov_cost_cl,3)))</f>
        <v>NA</v>
      </c>
      <c r="J154" s="502" t="str">
        <f t="shared" si="32"/>
        <v>--</v>
      </c>
      <c r="K154" s="477" t="str">
        <f>IF(C154=0,"NA",VLOOKUP(perm_valve_2_diam,pp_mov_cost_cl,IF(ss_cat="large",4,5)))</f>
        <v>NA</v>
      </c>
      <c r="L154" s="504"/>
      <c r="M154" s="1100" t="str">
        <f t="shared" si="33"/>
        <v>Motor/Air Operated (on/off) Valves - Stage 2 throttle - Polypropylene/PVC</v>
      </c>
      <c r="N154" s="238">
        <v>1</v>
      </c>
      <c r="O154" s="898">
        <v>1</v>
      </c>
      <c r="P154" s="238">
        <v>2</v>
      </c>
      <c r="Q154" s="238">
        <v>1</v>
      </c>
      <c r="R154" s="898">
        <v>1</v>
      </c>
      <c r="S154" s="238">
        <v>2</v>
      </c>
      <c r="T154" s="238">
        <v>1</v>
      </c>
      <c r="U154" s="898">
        <v>1</v>
      </c>
      <c r="V154" s="238">
        <v>2</v>
      </c>
      <c r="W154" s="1096">
        <f t="shared" si="28"/>
        <v>0</v>
      </c>
      <c r="X154" s="1097">
        <f t="shared" si="29"/>
        <v>0</v>
      </c>
      <c r="Y154" s="20"/>
    </row>
    <row r="155" spans="1:25" s="1022" customFormat="1">
      <c r="A155" s="659" t="s">
        <v>3190</v>
      </c>
      <c r="B155" s="515" t="s">
        <v>1529</v>
      </c>
      <c r="C155" s="497">
        <f>tot_perm_2_MOVs</f>
        <v>0</v>
      </c>
      <c r="D155" s="498" t="s">
        <v>2192</v>
      </c>
      <c r="E155" s="516" t="str">
        <f>IF(C155=0,"NA",perm_valve_2_diam)</f>
        <v>NA</v>
      </c>
      <c r="F155" s="335" t="str">
        <f t="shared" si="30"/>
        <v/>
      </c>
      <c r="G155" s="497" t="str">
        <f>IF(C155=0,"NA",IF(curve=1,perm_valve_2_diam,VLOOKUP(perm_valve_2_diam,ss_mov_cost_cl,2)))</f>
        <v>NA</v>
      </c>
      <c r="H155" s="335" t="str">
        <f t="shared" si="31"/>
        <v/>
      </c>
      <c r="I155" s="478" t="str">
        <f>IF(C155=0,"NA",IF(curve=1,ss_mov_eq_pt2,VLOOKUP(perm_valve_2_diam,ss_mov_cost_cl,3)))</f>
        <v>NA</v>
      </c>
      <c r="J155" s="502" t="str">
        <f t="shared" si="32"/>
        <v>--</v>
      </c>
      <c r="K155" s="477" t="str">
        <f>IF(C155=0,"NA",VLOOKUP(perm_valve_2_diam,ss_mov_cost_cl,IF(ss_cat="large",4,5)))</f>
        <v>NA</v>
      </c>
      <c r="L155" s="504"/>
      <c r="M155" s="1100" t="str">
        <f t="shared" si="33"/>
        <v>Motor/Air Operated (on/off) Valves - Stage 2 throttle - Stainless Steel</v>
      </c>
      <c r="N155" s="238">
        <v>2</v>
      </c>
      <c r="O155" s="898">
        <v>2</v>
      </c>
      <c r="P155" s="238">
        <v>1</v>
      </c>
      <c r="Q155" s="238">
        <v>2</v>
      </c>
      <c r="R155" s="898">
        <v>2</v>
      </c>
      <c r="S155" s="238">
        <v>1</v>
      </c>
      <c r="T155" s="238">
        <v>2</v>
      </c>
      <c r="U155" s="898">
        <v>2</v>
      </c>
      <c r="V155" s="238">
        <v>1</v>
      </c>
      <c r="W155" s="1096">
        <f t="shared" si="28"/>
        <v>0</v>
      </c>
      <c r="X155" s="1097">
        <f t="shared" si="29"/>
        <v>0</v>
      </c>
      <c r="Y155" s="20"/>
    </row>
    <row r="156" spans="1:25" s="1022" customFormat="1">
      <c r="A156" s="659" t="s">
        <v>3191</v>
      </c>
      <c r="B156" s="515" t="s">
        <v>1530</v>
      </c>
      <c r="C156" s="497">
        <f>tot_perm_3_MOVs</f>
        <v>0</v>
      </c>
      <c r="D156" s="498" t="s">
        <v>2192</v>
      </c>
      <c r="E156" s="516" t="str">
        <f>IF(C156=0,"NA",perm_valve_3_diam)</f>
        <v>NA</v>
      </c>
      <c r="F156" s="335" t="str">
        <f t="shared" si="30"/>
        <v/>
      </c>
      <c r="G156" s="497" t="str">
        <f>IF(C156=0,"NA",IF(curve=1,perm_valve_3_diam,VLOOKUP(perm_valve_3_diam,pp_mov_cost_cl,2)))</f>
        <v>NA</v>
      </c>
      <c r="H156" s="335" t="str">
        <f t="shared" si="31"/>
        <v/>
      </c>
      <c r="I156" s="478" t="str">
        <f>IF(C156=0,"NA",IF(curve=1,pp_mov_eq_pt3,VLOOKUP(perm_valve_3_diam,pp_mov_cost_cl,3)))</f>
        <v>NA</v>
      </c>
      <c r="J156" s="502" t="str">
        <f t="shared" si="32"/>
        <v>--</v>
      </c>
      <c r="K156" s="477" t="str">
        <f>IF(C156=0,"NA",VLOOKUP(perm_valve_3_diam,pp_mov_cost_cl,IF(ss_cat="large",4,5)))</f>
        <v>NA</v>
      </c>
      <c r="L156" s="504"/>
      <c r="M156" s="1100" t="str">
        <f t="shared" si="33"/>
        <v>Motor/Air Operated (on/off) Valves - Stage 3 throttle - Polypropylene/PVC</v>
      </c>
      <c r="N156" s="238">
        <v>1</v>
      </c>
      <c r="O156" s="898">
        <v>1</v>
      </c>
      <c r="P156" s="238">
        <v>2</v>
      </c>
      <c r="Q156" s="238">
        <v>1</v>
      </c>
      <c r="R156" s="898">
        <v>1</v>
      </c>
      <c r="S156" s="238">
        <v>2</v>
      </c>
      <c r="T156" s="238">
        <v>1</v>
      </c>
      <c r="U156" s="898">
        <v>1</v>
      </c>
      <c r="V156" s="238">
        <v>2</v>
      </c>
      <c r="W156" s="1096">
        <f t="shared" si="28"/>
        <v>0</v>
      </c>
      <c r="X156" s="1097">
        <f t="shared" si="29"/>
        <v>0</v>
      </c>
      <c r="Y156" s="20"/>
    </row>
    <row r="157" spans="1:25" s="1022" customFormat="1">
      <c r="A157" s="659" t="s">
        <v>3191</v>
      </c>
      <c r="B157" s="515" t="s">
        <v>1531</v>
      </c>
      <c r="C157" s="497">
        <f>tot_perm_3_MOVs</f>
        <v>0</v>
      </c>
      <c r="D157" s="498" t="s">
        <v>2192</v>
      </c>
      <c r="E157" s="516" t="str">
        <f>IF(C157=0,"NA",perm_valve_3_diam)</f>
        <v>NA</v>
      </c>
      <c r="F157" s="335" t="str">
        <f t="shared" si="30"/>
        <v/>
      </c>
      <c r="G157" s="497" t="str">
        <f>IF(C157=0,"NA",IF(curve=1,perm_valve_3_diam,VLOOKUP(perm_valve_3_diam,ss_mov_cost_cl,2)))</f>
        <v>NA</v>
      </c>
      <c r="H157" s="335" t="str">
        <f t="shared" si="31"/>
        <v/>
      </c>
      <c r="I157" s="478" t="str">
        <f>IF(C157=0,"NA",IF(curve=1,ss_mov_eq_pt3,VLOOKUP(perm_valve_3_diam,ss_mov_cost_cl,3)))</f>
        <v>NA</v>
      </c>
      <c r="J157" s="502" t="str">
        <f t="shared" si="32"/>
        <v>--</v>
      </c>
      <c r="K157" s="477" t="str">
        <f>IF(C157=0,"NA",VLOOKUP(perm_valve_3_diam,ss_mov_cost_cl,IF(ss_cat="large",4,5)))</f>
        <v>NA</v>
      </c>
      <c r="L157" s="504"/>
      <c r="M157" s="1100" t="str">
        <f t="shared" si="33"/>
        <v>Motor/Air Operated (on/off) Valves - Stage 3 throttle - Stainless Steel</v>
      </c>
      <c r="N157" s="238">
        <v>2</v>
      </c>
      <c r="O157" s="898">
        <v>2</v>
      </c>
      <c r="P157" s="238">
        <v>1</v>
      </c>
      <c r="Q157" s="238">
        <v>2</v>
      </c>
      <c r="R157" s="898">
        <v>2</v>
      </c>
      <c r="S157" s="238">
        <v>1</v>
      </c>
      <c r="T157" s="238">
        <v>2</v>
      </c>
      <c r="U157" s="898">
        <v>2</v>
      </c>
      <c r="V157" s="238">
        <v>1</v>
      </c>
      <c r="W157" s="1096">
        <f t="shared" si="28"/>
        <v>0</v>
      </c>
      <c r="X157" s="1097">
        <f t="shared" si="29"/>
        <v>0</v>
      </c>
      <c r="Y157" s="20"/>
    </row>
    <row r="158" spans="1:25" s="1022" customFormat="1">
      <c r="A158" s="659" t="s">
        <v>3192</v>
      </c>
      <c r="B158" s="515" t="s">
        <v>1532</v>
      </c>
      <c r="C158" s="497">
        <f ca="1">tot_clean_MOVs</f>
        <v>40</v>
      </c>
      <c r="D158" s="498" t="s">
        <v>2192</v>
      </c>
      <c r="E158" s="516">
        <f ca="1">IF(C158=0,"NA",clean_valve_size)</f>
        <v>4</v>
      </c>
      <c r="F158" s="335" t="str">
        <f t="shared" ca="1" si="30"/>
        <v>in. diam</v>
      </c>
      <c r="G158" s="497">
        <f ca="1">IF(C158=0,"NA",IF(curve=1,clean_valve_size,VLOOKUP(clean_valve_size,pp_mov_cost_cl,2)))</f>
        <v>4</v>
      </c>
      <c r="H158" s="335" t="str">
        <f t="shared" ca="1" si="31"/>
        <v>in. diam</v>
      </c>
      <c r="I158" s="478">
        <f ca="1">IF(C158=0,"NA",IF(curve=1,pp_mov_eq_clean,VLOOKUP(clean_valve_size,pp_mov_cost_cl,3)))</f>
        <v>1240.4363770220834</v>
      </c>
      <c r="J158" s="502">
        <f t="shared" ca="1" si="32"/>
        <v>49617.455080883337</v>
      </c>
      <c r="K158" s="477">
        <f ca="1">IF(C158=0,"NA",VLOOKUP(clean_valve_size,pp_mov_cost_cl,IF(ss_cat="large",4,5)))</f>
        <v>25</v>
      </c>
      <c r="L158" s="504">
        <v>1</v>
      </c>
      <c r="M158" s="1100" t="str">
        <f t="shared" si="33"/>
        <v>Motor/Air Operated (on/off) Valves - Cleaning - Polypropylene/PVC</v>
      </c>
      <c r="N158" s="238">
        <v>1</v>
      </c>
      <c r="O158" s="898">
        <v>2</v>
      </c>
      <c r="P158" s="238">
        <v>2</v>
      </c>
      <c r="Q158" s="238">
        <v>1</v>
      </c>
      <c r="R158" s="898">
        <v>2</v>
      </c>
      <c r="S158" s="238">
        <v>2</v>
      </c>
      <c r="T158" s="238">
        <v>1</v>
      </c>
      <c r="U158" s="898">
        <v>2</v>
      </c>
      <c r="V158" s="238">
        <v>2</v>
      </c>
      <c r="W158" s="1096">
        <f t="shared" ca="1" si="28"/>
        <v>1</v>
      </c>
      <c r="X158" s="1097">
        <f t="shared" ca="1" si="29"/>
        <v>1984.6982032353335</v>
      </c>
      <c r="Y158" s="20"/>
    </row>
    <row r="159" spans="1:25" s="1022" customFormat="1">
      <c r="A159" s="659" t="s">
        <v>3192</v>
      </c>
      <c r="B159" s="515" t="s">
        <v>1533</v>
      </c>
      <c r="C159" s="497">
        <f ca="1">tot_clean_MOVs</f>
        <v>40</v>
      </c>
      <c r="D159" s="498" t="s">
        <v>2192</v>
      </c>
      <c r="E159" s="516">
        <f ca="1">IF(C159=0,"NA",clean_valve_size)</f>
        <v>4</v>
      </c>
      <c r="F159" s="335" t="str">
        <f t="shared" ca="1" si="30"/>
        <v>in. diam</v>
      </c>
      <c r="G159" s="497">
        <f ca="1">IF(C159=0,"NA",IF(curve=1,clean_valve_size,VLOOKUP(clean_valve_size,ss_mov_cost_cl,2)))</f>
        <v>4</v>
      </c>
      <c r="H159" s="335" t="str">
        <f t="shared" ca="1" si="31"/>
        <v>in. diam</v>
      </c>
      <c r="I159" s="478">
        <f ca="1">IF(C159=0,"NA",IF(curve=1,ss_mov_eq_clean,VLOOKUP(clean_valve_size,ss_mov_cost_cl,3)))</f>
        <v>2066.2008893709999</v>
      </c>
      <c r="J159" s="502">
        <f t="shared" ca="1" si="32"/>
        <v>82648.035574840003</v>
      </c>
      <c r="K159" s="477">
        <f ca="1">IF(C159=0,"NA",VLOOKUP(clean_valve_size,ss_mov_cost_cl,IF(ss_cat="large",4,5)))</f>
        <v>25</v>
      </c>
      <c r="L159" s="504">
        <v>0</v>
      </c>
      <c r="M159" s="1100" t="str">
        <f t="shared" si="33"/>
        <v>Motor/Air Operated (on/off) Valves - Cleaning - Stainless Steel</v>
      </c>
      <c r="N159" s="238">
        <v>2</v>
      </c>
      <c r="O159" s="898">
        <v>1</v>
      </c>
      <c r="P159" s="238">
        <v>1</v>
      </c>
      <c r="Q159" s="238">
        <v>2</v>
      </c>
      <c r="R159" s="898">
        <v>1</v>
      </c>
      <c r="S159" s="238">
        <v>1</v>
      </c>
      <c r="T159" s="238">
        <v>2</v>
      </c>
      <c r="U159" s="898">
        <v>1</v>
      </c>
      <c r="V159" s="238">
        <v>1</v>
      </c>
      <c r="W159" s="1096">
        <f t="shared" ca="1" si="28"/>
        <v>0</v>
      </c>
      <c r="X159" s="1097">
        <f t="shared" ca="1" si="29"/>
        <v>0</v>
      </c>
      <c r="Y159" s="20"/>
    </row>
    <row r="160" spans="1:25" s="1022" customFormat="1">
      <c r="A160" s="659" t="s">
        <v>3193</v>
      </c>
      <c r="B160" s="515" t="s">
        <v>1537</v>
      </c>
      <c r="C160" s="497">
        <f>tot_bp_MOVs</f>
        <v>0</v>
      </c>
      <c r="D160" s="498" t="s">
        <v>2192</v>
      </c>
      <c r="E160" s="516" t="str">
        <f>IF(C160=0,"NA",bypass_valve_size)</f>
        <v>NA</v>
      </c>
      <c r="F160" s="335" t="str">
        <f t="shared" si="30"/>
        <v/>
      </c>
      <c r="G160" s="497" t="str">
        <f>IF(C160=0,"NA",IF(curve=1,bypass_valve_size,VLOOKUP(bypass_valve_size,pp_mov_cost_cl,2)))</f>
        <v>NA</v>
      </c>
      <c r="H160" s="335" t="str">
        <f t="shared" si="31"/>
        <v/>
      </c>
      <c r="I160" s="478" t="str">
        <f>IF(C160=0,"NA",IF(curve=1,pp_mov_eq_bp,VLOOKUP(bypass_valve_size,pp_mov_cost_cl,3)))</f>
        <v>NA</v>
      </c>
      <c r="J160" s="502" t="str">
        <f t="shared" si="32"/>
        <v>--</v>
      </c>
      <c r="K160" s="477" t="str">
        <f>IF(C160=0,"NA",VLOOKUP(bypass_valve_size,pp_mov_cost_cl,IF(ss_cat="large",4,5)))</f>
        <v>NA</v>
      </c>
      <c r="L160" s="504"/>
      <c r="M160" s="1100" t="str">
        <f t="shared" si="33"/>
        <v>Motor/Air Operated (on/off) Valves - Bypass - Polypropylene/PVC</v>
      </c>
      <c r="N160" s="238">
        <v>1</v>
      </c>
      <c r="O160" s="898">
        <v>2</v>
      </c>
      <c r="P160" s="238">
        <v>3</v>
      </c>
      <c r="Q160" s="238">
        <v>1</v>
      </c>
      <c r="R160" s="898">
        <v>2</v>
      </c>
      <c r="S160" s="238">
        <v>3</v>
      </c>
      <c r="T160" s="238">
        <v>1</v>
      </c>
      <c r="U160" s="898">
        <v>2</v>
      </c>
      <c r="V160" s="238">
        <v>3</v>
      </c>
      <c r="W160" s="1096">
        <f t="shared" si="28"/>
        <v>0</v>
      </c>
      <c r="X160" s="1097">
        <f t="shared" si="29"/>
        <v>0</v>
      </c>
      <c r="Y160" s="20"/>
    </row>
    <row r="161" spans="1:25" s="1022" customFormat="1">
      <c r="A161" s="659" t="s">
        <v>3193</v>
      </c>
      <c r="B161" s="515" t="s">
        <v>1538</v>
      </c>
      <c r="C161" s="497">
        <f>tot_bp_MOVs</f>
        <v>0</v>
      </c>
      <c r="D161" s="498" t="s">
        <v>2192</v>
      </c>
      <c r="E161" s="516" t="str">
        <f>IF(C161=0,"NA",bypass_valve_size)</f>
        <v>NA</v>
      </c>
      <c r="F161" s="335" t="str">
        <f t="shared" si="30"/>
        <v/>
      </c>
      <c r="G161" s="497" t="str">
        <f>IF(C161=0,"NA",IF(curve=1,bypass_valve_size,VLOOKUP(bypass_valve_size,ss_mov_cost_cl,2)))</f>
        <v>NA</v>
      </c>
      <c r="H161" s="335" t="str">
        <f t="shared" si="31"/>
        <v/>
      </c>
      <c r="I161" s="478" t="str">
        <f>IF(C161=0,"NA",IF(curve=1,ss_mov_eq_bp,VLOOKUP(bypass_valve_size,ss_mov_cost_cl,3)))</f>
        <v>NA</v>
      </c>
      <c r="J161" s="502" t="str">
        <f t="shared" si="32"/>
        <v>--</v>
      </c>
      <c r="K161" s="477" t="str">
        <f>IF(C161=0,"NA",VLOOKUP(bypass_valve_size,ss_mov_cost_cl,IF(ss_cat="large",4,5)))</f>
        <v>NA</v>
      </c>
      <c r="L161" s="504"/>
      <c r="M161" s="1100" t="str">
        <f t="shared" si="33"/>
        <v>Motor/Air Operated (on/off) Valves - Bypass - Stainless Steel</v>
      </c>
      <c r="N161" s="238">
        <v>3</v>
      </c>
      <c r="O161" s="898">
        <v>3</v>
      </c>
      <c r="P161" s="238">
        <v>1</v>
      </c>
      <c r="Q161" s="238">
        <v>3</v>
      </c>
      <c r="R161" s="898">
        <v>3</v>
      </c>
      <c r="S161" s="238">
        <v>1</v>
      </c>
      <c r="T161" s="238">
        <v>3</v>
      </c>
      <c r="U161" s="898">
        <v>3</v>
      </c>
      <c r="V161" s="238">
        <v>1</v>
      </c>
      <c r="W161" s="1096">
        <f t="shared" si="28"/>
        <v>0</v>
      </c>
      <c r="X161" s="1097">
        <f t="shared" si="29"/>
        <v>0</v>
      </c>
      <c r="Y161" s="20"/>
    </row>
    <row r="162" spans="1:25" s="1022" customFormat="1">
      <c r="A162" s="659" t="s">
        <v>3193</v>
      </c>
      <c r="B162" s="515" t="s">
        <v>1601</v>
      </c>
      <c r="C162" s="497">
        <f>tot_bp_MOVs</f>
        <v>0</v>
      </c>
      <c r="D162" s="498" t="s">
        <v>2192</v>
      </c>
      <c r="E162" s="516" t="str">
        <f>IF(C162=0,"NA",bypass_valve_size)</f>
        <v>NA</v>
      </c>
      <c r="F162" s="335" t="str">
        <f t="shared" si="30"/>
        <v/>
      </c>
      <c r="G162" s="497" t="str">
        <f>IF(C162=0,"NA",IF(curve=1,bypass_valve_size,VLOOKUP(bypass_valve_size,ci_mov_cost_cl,2)))</f>
        <v>NA</v>
      </c>
      <c r="H162" s="335" t="str">
        <f t="shared" si="31"/>
        <v/>
      </c>
      <c r="I162" s="478" t="str">
        <f>IF(C162=0,"NA",IF(curve=1,ci_mov_eq_bp,VLOOKUP(bypass_valve_size,ci_mov_cost_cl,3)))</f>
        <v>NA</v>
      </c>
      <c r="J162" s="502" t="str">
        <f t="shared" si="32"/>
        <v>--</v>
      </c>
      <c r="K162" s="477" t="str">
        <f>IF(C162=0,"NA",VLOOKUP(bypass_valve_size,ci_mov_cost_cl,IF(ss_cat="large",4,5)))</f>
        <v>NA</v>
      </c>
      <c r="L162" s="504"/>
      <c r="M162" s="1100" t="str">
        <f t="shared" si="33"/>
        <v>Motor/Air Operated (on/off) Valves - Bypass - Cast Iron</v>
      </c>
      <c r="N162" s="238">
        <v>2</v>
      </c>
      <c r="O162" s="898">
        <v>1</v>
      </c>
      <c r="P162" s="238">
        <v>2</v>
      </c>
      <c r="Q162" s="238">
        <v>2</v>
      </c>
      <c r="R162" s="898">
        <v>1</v>
      </c>
      <c r="S162" s="238">
        <v>2</v>
      </c>
      <c r="T162" s="238">
        <v>2</v>
      </c>
      <c r="U162" s="898">
        <v>1</v>
      </c>
      <c r="V162" s="238">
        <v>2</v>
      </c>
      <c r="W162" s="1096">
        <f t="shared" si="28"/>
        <v>0</v>
      </c>
      <c r="X162" s="1097">
        <f t="shared" si="29"/>
        <v>0</v>
      </c>
      <c r="Y162" s="20"/>
    </row>
    <row r="163" spans="1:25" s="1022" customFormat="1">
      <c r="A163" s="659" t="s">
        <v>4729</v>
      </c>
      <c r="B163" s="515" t="s">
        <v>1534</v>
      </c>
      <c r="C163" s="497">
        <f ca="1">total_res_MOVs</f>
        <v>5</v>
      </c>
      <c r="D163" s="498" t="s">
        <v>2192</v>
      </c>
      <c r="E163" s="516">
        <f ca="1">IF(C163=0,"NA",res_valve_size)</f>
        <v>6</v>
      </c>
      <c r="F163" s="335" t="str">
        <f ca="1">IF(C163=0,"","in. diam")</f>
        <v>in. diam</v>
      </c>
      <c r="G163" s="497">
        <f ca="1">IF(C163=0,"NA",IF(curve=1,res_valve_size,VLOOKUP(res_valve_size,pp_mov_cost_cl,2)))</f>
        <v>6</v>
      </c>
      <c r="H163" s="335" t="str">
        <f ca="1">IF(C163=0,"","in. diam")</f>
        <v>in. diam</v>
      </c>
      <c r="I163" s="478">
        <f ca="1">IF(C163=0,"NA",IF(curve=1,pp_mov_eq_res,VLOOKUP(res_valve_size,pp_mov_cost_cl,3)))</f>
        <v>1785.0406260455554</v>
      </c>
      <c r="J163" s="502">
        <f ca="1">IF(OR(I163="contact vendor",I163="NA"),"--",C163*I163)</f>
        <v>8925.2031302277774</v>
      </c>
      <c r="K163" s="477">
        <f ca="1">IF(C163=0,"NA",VLOOKUP(res_valve_size,pp_mov_cost_cl,IF(ss_cat="large",4,5)))</f>
        <v>25</v>
      </c>
      <c r="L163" s="504">
        <v>1</v>
      </c>
      <c r="M163" s="1100" t="str">
        <f t="shared" si="33"/>
        <v>Motor/Air Operated (on/off) Valves - Residuals - Polypropylene/PVC</v>
      </c>
      <c r="N163" s="238">
        <v>1</v>
      </c>
      <c r="O163" s="898">
        <v>2</v>
      </c>
      <c r="P163" s="238">
        <v>3</v>
      </c>
      <c r="Q163" s="238">
        <v>1</v>
      </c>
      <c r="R163" s="898">
        <v>2</v>
      </c>
      <c r="S163" s="238">
        <v>3</v>
      </c>
      <c r="T163" s="238">
        <v>1</v>
      </c>
      <c r="U163" s="898">
        <v>2</v>
      </c>
      <c r="V163" s="238">
        <v>3</v>
      </c>
      <c r="W163" s="1096">
        <f t="shared" ca="1" si="28"/>
        <v>1</v>
      </c>
      <c r="X163" s="1097">
        <f t="shared" ca="1" si="29"/>
        <v>357.00812520911109</v>
      </c>
      <c r="Y163" s="20"/>
    </row>
    <row r="164" spans="1:25" s="1022" customFormat="1">
      <c r="A164" s="659" t="s">
        <v>4729</v>
      </c>
      <c r="B164" s="515" t="s">
        <v>1535</v>
      </c>
      <c r="C164" s="497">
        <f ca="1">total_res_MOVs</f>
        <v>5</v>
      </c>
      <c r="D164" s="498" t="s">
        <v>2192</v>
      </c>
      <c r="E164" s="516">
        <f ca="1">IF(C164=0,"NA",res_valve_size)</f>
        <v>6</v>
      </c>
      <c r="F164" s="335" t="str">
        <f ca="1">IF(C164=0,"","in. diam")</f>
        <v>in. diam</v>
      </c>
      <c r="G164" s="497">
        <f ca="1">IF(C164=0,"NA",IF(curve=1,res_valve_size,VLOOKUP(res_valve_size,ss_mov_cost_cl,2)))</f>
        <v>6</v>
      </c>
      <c r="H164" s="335" t="str">
        <f ca="1">IF(C164=0,"","in. diam")</f>
        <v>in. diam</v>
      </c>
      <c r="I164" s="478">
        <f ca="1">IF(C164=0,"NA",IF(curve=1,ss_mov_eq_res,VLOOKUP(res_valve_size,ss_mov_cost_cl,3)))</f>
        <v>3097.1800170789998</v>
      </c>
      <c r="J164" s="502">
        <f ca="1">IF(OR(I164="contact vendor",I164="NA"),"--",C164*I164)</f>
        <v>15485.900085394998</v>
      </c>
      <c r="K164" s="477">
        <f ca="1">IF(C164=0,"NA",VLOOKUP(res_valve_size,ss_mov_cost_cl,IF(ss_cat="large",4,5)))</f>
        <v>25</v>
      </c>
      <c r="L164" s="504">
        <v>0</v>
      </c>
      <c r="M164" s="1100" t="str">
        <f t="shared" si="33"/>
        <v>Motor/Air Operated (on/off) Valves - Residuals - Stainless Steel</v>
      </c>
      <c r="N164" s="238">
        <v>3</v>
      </c>
      <c r="O164" s="898">
        <v>3</v>
      </c>
      <c r="P164" s="238">
        <v>1</v>
      </c>
      <c r="Q164" s="238">
        <v>3</v>
      </c>
      <c r="R164" s="898">
        <v>3</v>
      </c>
      <c r="S164" s="238">
        <v>1</v>
      </c>
      <c r="T164" s="238">
        <v>3</v>
      </c>
      <c r="U164" s="898">
        <v>3</v>
      </c>
      <c r="V164" s="238">
        <v>1</v>
      </c>
      <c r="W164" s="1096">
        <f t="shared" ca="1" si="28"/>
        <v>0</v>
      </c>
      <c r="X164" s="1097">
        <f t="shared" ca="1" si="29"/>
        <v>0</v>
      </c>
      <c r="Y164" s="20"/>
    </row>
    <row r="165" spans="1:25" s="1022" customFormat="1">
      <c r="A165" s="659" t="s">
        <v>4729</v>
      </c>
      <c r="B165" s="515" t="s">
        <v>1536</v>
      </c>
      <c r="C165" s="497">
        <f ca="1">total_res_MOVs</f>
        <v>5</v>
      </c>
      <c r="D165" s="498" t="s">
        <v>2192</v>
      </c>
      <c r="E165" s="516">
        <f ca="1">IF(C165=0,"NA",res_valve_size)</f>
        <v>6</v>
      </c>
      <c r="F165" s="335" t="str">
        <f ca="1">IF(C165=0,"","in. diam")</f>
        <v>in. diam</v>
      </c>
      <c r="G165" s="497">
        <f ca="1">IF(C165=0,"NA",IF(curve=1,res_valve_size,VLOOKUP(res_valve_size,ci_mov_cost_cl,2)))</f>
        <v>6</v>
      </c>
      <c r="H165" s="335" t="str">
        <f ca="1">IF(C165=0,"","in. diam")</f>
        <v>in. diam</v>
      </c>
      <c r="I165" s="478">
        <f ca="1">IF(C165=0,"NA",IF(curve=1,ci_mov_eq_res,VLOOKUP(res_valve_size,ci_mov_cost_cl,3)))</f>
        <v>6662.6239318830012</v>
      </c>
      <c r="J165" s="502">
        <f ca="1">IF(OR(I165="contact vendor",I165="NA"),"--",C165*I165)</f>
        <v>33313.11965941501</v>
      </c>
      <c r="K165" s="477">
        <f ca="1">IF(C165=0,"NA",VLOOKUP(res_valve_size,ci_mov_cost_cl,IF(ss_cat="large",4,5)))</f>
        <v>25</v>
      </c>
      <c r="L165" s="504">
        <v>0</v>
      </c>
      <c r="M165" s="1100" t="str">
        <f t="shared" si="33"/>
        <v>Motor/Air Operated (on/off) Valves - Residuals - Cast Iron</v>
      </c>
      <c r="N165" s="238">
        <v>2</v>
      </c>
      <c r="O165" s="898">
        <v>1</v>
      </c>
      <c r="P165" s="238">
        <v>2</v>
      </c>
      <c r="Q165" s="238">
        <v>2</v>
      </c>
      <c r="R165" s="898">
        <v>1</v>
      </c>
      <c r="S165" s="238">
        <v>2</v>
      </c>
      <c r="T165" s="238">
        <v>2</v>
      </c>
      <c r="U165" s="898">
        <v>1</v>
      </c>
      <c r="V165" s="238">
        <v>2</v>
      </c>
      <c r="W165" s="1096">
        <f t="shared" ca="1" si="28"/>
        <v>0</v>
      </c>
      <c r="X165" s="1097">
        <f t="shared" ca="1" si="29"/>
        <v>0</v>
      </c>
      <c r="Y165" s="20"/>
    </row>
    <row r="166" spans="1:25" s="1021" customFormat="1">
      <c r="A166" s="660">
        <v>4.2</v>
      </c>
      <c r="B166" s="474" t="s">
        <v>3526</v>
      </c>
      <c r="C166" s="494"/>
      <c r="D166" s="495"/>
      <c r="E166" s="494"/>
      <c r="F166" s="474"/>
      <c r="G166" s="494"/>
      <c r="H166" s="474"/>
      <c r="I166" s="494"/>
      <c r="J166" s="494"/>
      <c r="K166" s="494"/>
      <c r="L166" s="496"/>
      <c r="M166" s="886"/>
      <c r="N166" s="238"/>
      <c r="O166" s="238"/>
      <c r="P166" s="238"/>
      <c r="Q166" s="238"/>
      <c r="R166" s="238"/>
      <c r="S166" s="238"/>
      <c r="T166" s="238"/>
      <c r="U166" s="238"/>
      <c r="V166" s="238"/>
      <c r="W166" s="1096">
        <f t="shared" si="28"/>
        <v>0</v>
      </c>
      <c r="X166" s="1097">
        <f t="shared" si="29"/>
        <v>0</v>
      </c>
      <c r="Y166" s="472"/>
    </row>
    <row r="167" spans="1:25" s="1022" customFormat="1">
      <c r="A167" s="659" t="s">
        <v>3194</v>
      </c>
      <c r="B167" s="515" t="s">
        <v>5539</v>
      </c>
      <c r="C167" s="497">
        <f>tot_man_valves</f>
        <v>2</v>
      </c>
      <c r="D167" s="498" t="s">
        <v>2192</v>
      </c>
      <c r="E167" s="516">
        <f>IF(C167=0,"NA",in_valve_size)</f>
        <v>10</v>
      </c>
      <c r="F167" s="335" t="str">
        <f>IF(C167=0,"","in. diam")</f>
        <v>in. diam</v>
      </c>
      <c r="G167" s="497">
        <f>IF(C167=0,"NA",IF(curve=1,in_valve_size,VLOOKUP(in_valve_size,pp_man_cost_cl,2)))</f>
        <v>10</v>
      </c>
      <c r="H167" s="335" t="str">
        <f>IF(C167=0,"","in. diam")</f>
        <v>in. diam</v>
      </c>
      <c r="I167" s="478">
        <f>IF(C167=0,"NA",IF(curve=1,pp_man_eq,VLOOKUP(in_valve_size,pp_man_cost_cl,3)))</f>
        <v>1775.3570923089999</v>
      </c>
      <c r="J167" s="502">
        <f>IF(OR(I167="contact vendor",I167="NA"),"--",C167*I167)</f>
        <v>3550.7141846179998</v>
      </c>
      <c r="K167" s="477">
        <f>IF(C167=0,"NA",VLOOKUP(in_valve_size,pp_man_cost_cl,IF(ss_cat="large",4,5)))</f>
        <v>25</v>
      </c>
      <c r="L167" s="504">
        <v>1</v>
      </c>
      <c r="M167" s="1100" t="str">
        <f t="shared" ref="M167:M196" si="34">$B$166&amp;" "&amp;$B$136&amp;" - "&amp;B167</f>
        <v>Manual Valves - Influent and treated water - Polypropylene/PVC</v>
      </c>
      <c r="N167" s="238">
        <v>1</v>
      </c>
      <c r="O167" s="898">
        <v>2</v>
      </c>
      <c r="P167" s="238">
        <v>3</v>
      </c>
      <c r="Q167" s="238">
        <v>1</v>
      </c>
      <c r="R167" s="898">
        <v>2</v>
      </c>
      <c r="S167" s="238">
        <v>3</v>
      </c>
      <c r="T167" s="238">
        <v>1</v>
      </c>
      <c r="U167" s="898">
        <v>2</v>
      </c>
      <c r="V167" s="238">
        <v>3</v>
      </c>
      <c r="W167" s="1096">
        <f t="shared" ref="W167:W198" si="35">IF(ISERROR(K167*L167),0,IF(K167&lt;1,0,L167))</f>
        <v>1</v>
      </c>
      <c r="X167" s="1097">
        <f t="shared" ref="X167:X198" si="36">IF(W167,J167/K167,0)</f>
        <v>142.02856738471999</v>
      </c>
      <c r="Y167" s="20"/>
    </row>
    <row r="168" spans="1:25" s="1022" customFormat="1">
      <c r="A168" s="659" t="s">
        <v>3194</v>
      </c>
      <c r="B168" s="515" t="s">
        <v>5540</v>
      </c>
      <c r="C168" s="497">
        <f>tot_man_valves</f>
        <v>2</v>
      </c>
      <c r="D168" s="498" t="s">
        <v>2192</v>
      </c>
      <c r="E168" s="516">
        <f>IF(C168=0,"NA",in_valve_size)</f>
        <v>10</v>
      </c>
      <c r="F168" s="335" t="str">
        <f>IF(C168=0,"","in. diam")</f>
        <v>in. diam</v>
      </c>
      <c r="G168" s="497">
        <f>IF(C168=0,"NA",IF(curve=1,in_valve_size,VLOOKUP(in_valve_size,ss_man_cost_cl,2)))</f>
        <v>10</v>
      </c>
      <c r="H168" s="335" t="str">
        <f>IF(C168=0,"","in. diam")</f>
        <v>in. diam</v>
      </c>
      <c r="I168" s="478">
        <f>IF(C168=0,"NA",IF(curve=1,ss_man_eq,VLOOKUP(in_valve_size,ss_man_cost_cl,3)))</f>
        <v>2292.5888431361109</v>
      </c>
      <c r="J168" s="502">
        <f>IF(OR(I168="contact vendor",I168="NA"),"--",C168*I168)</f>
        <v>4585.1776862722218</v>
      </c>
      <c r="K168" s="477">
        <f>IF(C168=0,"NA",VLOOKUP(in_valve_size,ss_man_cost_cl,IF(ss_cat="large",4,5)))</f>
        <v>25</v>
      </c>
      <c r="L168" s="504">
        <v>0</v>
      </c>
      <c r="M168" s="1100" t="str">
        <f t="shared" si="34"/>
        <v>Manual Valves - Influent and treated water - Stainless Steel</v>
      </c>
      <c r="N168" s="238">
        <v>3</v>
      </c>
      <c r="O168" s="898">
        <v>3</v>
      </c>
      <c r="P168" s="238">
        <v>1</v>
      </c>
      <c r="Q168" s="238">
        <v>3</v>
      </c>
      <c r="R168" s="898">
        <v>3</v>
      </c>
      <c r="S168" s="238">
        <v>1</v>
      </c>
      <c r="T168" s="238">
        <v>3</v>
      </c>
      <c r="U168" s="898">
        <v>3</v>
      </c>
      <c r="V168" s="238">
        <v>1</v>
      </c>
      <c r="W168" s="1096">
        <f t="shared" si="35"/>
        <v>0</v>
      </c>
      <c r="X168" s="1097">
        <f t="shared" si="36"/>
        <v>0</v>
      </c>
      <c r="Y168" s="20"/>
    </row>
    <row r="169" spans="1:25" s="1022" customFormat="1">
      <c r="A169" s="659" t="s">
        <v>3194</v>
      </c>
      <c r="B169" s="515" t="s">
        <v>5544</v>
      </c>
      <c r="C169" s="497">
        <f>tot_man_valves</f>
        <v>2</v>
      </c>
      <c r="D169" s="498" t="s">
        <v>2192</v>
      </c>
      <c r="E169" s="516">
        <f>IF(C169=0,"NA",in_valve_size)</f>
        <v>10</v>
      </c>
      <c r="F169" s="335" t="str">
        <f>IF(C169=0,"","in. diam")</f>
        <v>in. diam</v>
      </c>
      <c r="G169" s="497">
        <f>IF(C169=0,"NA",IF(curve=1,in_valve_size,VLOOKUP(in_valve_size,ci_bfv_cost_cl,2)))</f>
        <v>10</v>
      </c>
      <c r="H169" s="335" t="str">
        <f>IF(C169=0,"","in. diam")</f>
        <v>in. diam</v>
      </c>
      <c r="I169" s="478">
        <f>IF(C169=0,"NA",IF(curve=1,ci_bfv_eq,VLOOKUP(in_valve_size,ci_bfv_cost_cl,3)))</f>
        <v>2467.6673917276885</v>
      </c>
      <c r="J169" s="502">
        <f>IF(OR(I169="contact vendor",I169="NA"),"--",C169*I169)</f>
        <v>4935.334783455377</v>
      </c>
      <c r="K169" s="477">
        <f>IF(C169=0,"NA",VLOOKUP(in_valve_size,ci_bfv_cost_cl,IF(ss_cat="large",4,5)))</f>
        <v>25</v>
      </c>
      <c r="L169" s="504">
        <v>0</v>
      </c>
      <c r="M169" s="1100" t="str">
        <f t="shared" si="34"/>
        <v>Manual Valves - Influent and treated water - Cast Iron</v>
      </c>
      <c r="N169" s="238">
        <v>2</v>
      </c>
      <c r="O169" s="898">
        <v>1</v>
      </c>
      <c r="P169" s="238">
        <v>2</v>
      </c>
      <c r="Q169" s="238">
        <v>2</v>
      </c>
      <c r="R169" s="898">
        <v>1</v>
      </c>
      <c r="S169" s="238">
        <v>2</v>
      </c>
      <c r="T169" s="238">
        <v>2</v>
      </c>
      <c r="U169" s="898">
        <v>1</v>
      </c>
      <c r="V169" s="238">
        <v>2</v>
      </c>
      <c r="W169" s="1096">
        <f t="shared" si="35"/>
        <v>0</v>
      </c>
      <c r="X169" s="1097">
        <f t="shared" si="36"/>
        <v>0</v>
      </c>
      <c r="Y169" s="20"/>
    </row>
    <row r="170" spans="1:25" s="1022" customFormat="1">
      <c r="A170" s="659" t="s">
        <v>3195</v>
      </c>
      <c r="B170" s="515" t="s">
        <v>1604</v>
      </c>
      <c r="C170" s="497">
        <f ca="1">tot_pretreat_acid_man</f>
        <v>0</v>
      </c>
      <c r="D170" s="498" t="s">
        <v>2192</v>
      </c>
      <c r="E170" s="516" t="str">
        <f ca="1">IF(C170=0,"NA",pretreat_acid_valve_size)</f>
        <v>NA</v>
      </c>
      <c r="F170" s="335" t="str">
        <f t="shared" ref="F170:F193" ca="1" si="37">IF(C170=0,"","in. diam")</f>
        <v/>
      </c>
      <c r="G170" s="497" t="str">
        <f ca="1">IF(C170=0,"NA",IF(curve=1,pretreat_acid_valve_size,VLOOKUP(pretreat_acid_valve_size,pp_man_cost_cl,2)))</f>
        <v>NA</v>
      </c>
      <c r="H170" s="335" t="str">
        <f t="shared" ref="H170:H193" ca="1" si="38">IF(C170=0,"","in. diam")</f>
        <v/>
      </c>
      <c r="I170" s="478" t="str">
        <f ca="1">IF(C170=0,"NA",IF(curve=1,pp_man_eq_acid,VLOOKUP(pretreat_acid_valve_size,pp_man_cost_cl,3)))</f>
        <v>NA</v>
      </c>
      <c r="J170" s="502" t="str">
        <f t="shared" ref="J170:J193" ca="1" si="39">IF(OR(I170="contact vendor",I170="NA"),"--",C170*I170)</f>
        <v>--</v>
      </c>
      <c r="K170" s="477" t="str">
        <f ca="1">IF(C170=0,"NA",VLOOKUP(pretreat_acid_valve_size,pp_man_cost_cl,IF(ss_cat="large",4,5)))</f>
        <v>NA</v>
      </c>
      <c r="L170" s="504"/>
      <c r="M170" s="1100" t="str">
        <f t="shared" si="34"/>
        <v>Manual Valves - Pretreatment acid - Polypropylene/PVC</v>
      </c>
      <c r="N170" s="238">
        <v>1</v>
      </c>
      <c r="O170" s="898">
        <v>2</v>
      </c>
      <c r="P170" s="238">
        <v>2</v>
      </c>
      <c r="Q170" s="238">
        <v>1</v>
      </c>
      <c r="R170" s="898">
        <v>2</v>
      </c>
      <c r="S170" s="238">
        <v>2</v>
      </c>
      <c r="T170" s="238">
        <v>1</v>
      </c>
      <c r="U170" s="898">
        <v>2</v>
      </c>
      <c r="V170" s="238">
        <v>2</v>
      </c>
      <c r="W170" s="1096">
        <f t="shared" ca="1" si="35"/>
        <v>0</v>
      </c>
      <c r="X170" s="1097">
        <f t="shared" ca="1" si="36"/>
        <v>0</v>
      </c>
      <c r="Y170" s="20"/>
    </row>
    <row r="171" spans="1:25" s="1022" customFormat="1">
      <c r="A171" s="659" t="s">
        <v>3195</v>
      </c>
      <c r="B171" s="515" t="s">
        <v>1269</v>
      </c>
      <c r="C171" s="497">
        <f ca="1">tot_pretreat_acid_man</f>
        <v>0</v>
      </c>
      <c r="D171" s="498" t="s">
        <v>2192</v>
      </c>
      <c r="E171" s="516" t="str">
        <f ca="1">IF(C171=0,"NA",pretreat_acid_valve_size)</f>
        <v>NA</v>
      </c>
      <c r="F171" s="335" t="str">
        <f t="shared" ca="1" si="37"/>
        <v/>
      </c>
      <c r="G171" s="497" t="str">
        <f ca="1">IF(C171=0,"NA",IF(curve=1,pretreat_acid_valve_size,VLOOKUP(pretreat_acid_valve_size,ss_man_cost_cl,2)))</f>
        <v>NA</v>
      </c>
      <c r="H171" s="335" t="str">
        <f t="shared" ca="1" si="38"/>
        <v/>
      </c>
      <c r="I171" s="478" t="str">
        <f ca="1">IF(C171=0,"NA",IF(curve=1,ss_man_eq_acid,VLOOKUP(pretreat_acid_valve_size,ss_man_cost_cl,3)))</f>
        <v>NA</v>
      </c>
      <c r="J171" s="502" t="str">
        <f t="shared" ca="1" si="39"/>
        <v>--</v>
      </c>
      <c r="K171" s="477" t="str">
        <f ca="1">IF(C171=0,"NA",VLOOKUP(pretreat_acid_valve_size,ss_man_cost_cl,IF(ss_cat="large",4,5)))</f>
        <v>NA</v>
      </c>
      <c r="L171" s="504"/>
      <c r="M171" s="1100" t="str">
        <f t="shared" si="34"/>
        <v>Manual Valves - Pretreatment acid - Stainless Steel</v>
      </c>
      <c r="N171" s="238">
        <v>2</v>
      </c>
      <c r="O171" s="898">
        <v>1</v>
      </c>
      <c r="P171" s="238">
        <v>1</v>
      </c>
      <c r="Q171" s="238">
        <v>2</v>
      </c>
      <c r="R171" s="898">
        <v>1</v>
      </c>
      <c r="S171" s="238">
        <v>1</v>
      </c>
      <c r="T171" s="238">
        <v>2</v>
      </c>
      <c r="U171" s="898">
        <v>1</v>
      </c>
      <c r="V171" s="238">
        <v>1</v>
      </c>
      <c r="W171" s="1096">
        <f t="shared" ca="1" si="35"/>
        <v>0</v>
      </c>
      <c r="X171" s="1097">
        <f t="shared" ca="1" si="36"/>
        <v>0</v>
      </c>
      <c r="Y171" s="20"/>
    </row>
    <row r="172" spans="1:25" s="1022" customFormat="1">
      <c r="A172" s="659" t="s">
        <v>3196</v>
      </c>
      <c r="B172" s="515" t="s">
        <v>1270</v>
      </c>
      <c r="C172" s="497">
        <f>tot_antiscalant_man</f>
        <v>0</v>
      </c>
      <c r="D172" s="498" t="s">
        <v>2192</v>
      </c>
      <c r="E172" s="516" t="str">
        <f>IF(C172=0,"NA",antiscalant_valve_size)</f>
        <v>NA</v>
      </c>
      <c r="F172" s="335" t="str">
        <f t="shared" si="37"/>
        <v/>
      </c>
      <c r="G172" s="497" t="str">
        <f>IF(C172=0,"NA",IF(curve=1,antiscalant_valve_size,VLOOKUP(antiscalant_valve_size,pp_man_cost_cl,2)))</f>
        <v>NA</v>
      </c>
      <c r="H172" s="335" t="str">
        <f t="shared" si="38"/>
        <v/>
      </c>
      <c r="I172" s="478" t="str">
        <f>IF(C172=0,"NA",IF(curve=1,pp_man_eq_anti,VLOOKUP(antiscalant_valve_size,pp_man_cost_cl,3)))</f>
        <v>NA</v>
      </c>
      <c r="J172" s="502" t="str">
        <f t="shared" si="39"/>
        <v>--</v>
      </c>
      <c r="K172" s="477" t="str">
        <f>IF(C172=0,"NA",VLOOKUP(antiscalant_valve_size,pp_man_cost_cl,IF(ss_cat="large",4,5)))</f>
        <v>NA</v>
      </c>
      <c r="L172" s="504"/>
      <c r="M172" s="1100" t="str">
        <f t="shared" si="34"/>
        <v>Manual Valves - Antiscalant - Polypropylene/PVC</v>
      </c>
      <c r="N172" s="238">
        <v>1</v>
      </c>
      <c r="O172" s="898">
        <v>2</v>
      </c>
      <c r="P172" s="238">
        <v>2</v>
      </c>
      <c r="Q172" s="238">
        <v>1</v>
      </c>
      <c r="R172" s="898">
        <v>2</v>
      </c>
      <c r="S172" s="238">
        <v>2</v>
      </c>
      <c r="T172" s="238">
        <v>1</v>
      </c>
      <c r="U172" s="898">
        <v>2</v>
      </c>
      <c r="V172" s="238">
        <v>2</v>
      </c>
      <c r="W172" s="1096">
        <f t="shared" si="35"/>
        <v>0</v>
      </c>
      <c r="X172" s="1097">
        <f t="shared" si="36"/>
        <v>0</v>
      </c>
      <c r="Y172" s="20"/>
    </row>
    <row r="173" spans="1:25" s="1022" customFormat="1">
      <c r="A173" s="659" t="s">
        <v>3196</v>
      </c>
      <c r="B173" s="515" t="s">
        <v>1271</v>
      </c>
      <c r="C173" s="497">
        <f>tot_antiscalant_man</f>
        <v>0</v>
      </c>
      <c r="D173" s="498" t="s">
        <v>2192</v>
      </c>
      <c r="E173" s="516" t="str">
        <f>IF(C173=0,"NA",antiscalant_valve_size)</f>
        <v>NA</v>
      </c>
      <c r="F173" s="335" t="str">
        <f t="shared" si="37"/>
        <v/>
      </c>
      <c r="G173" s="497" t="str">
        <f>IF(C173=0,"NA",IF(curve=1,antiscalant_valve_size,VLOOKUP(antiscalant_valve_size,ss_man_cost_cl,2)))</f>
        <v>NA</v>
      </c>
      <c r="H173" s="335" t="str">
        <f t="shared" si="38"/>
        <v/>
      </c>
      <c r="I173" s="478" t="str">
        <f>IF(C173=0,"NA",IF(curve=1,ss_man_eq_anti,VLOOKUP(antiscalant_valve_size,ss_man_cost_cl,3)))</f>
        <v>NA</v>
      </c>
      <c r="J173" s="502" t="str">
        <f t="shared" si="39"/>
        <v>--</v>
      </c>
      <c r="K173" s="477" t="str">
        <f>IF(C173=0,"NA",VLOOKUP(antiscalant_valve_size,ss_man_cost_cl,IF(ss_cat="large",4,5)))</f>
        <v>NA</v>
      </c>
      <c r="L173" s="504"/>
      <c r="M173" s="1100" t="str">
        <f t="shared" si="34"/>
        <v>Manual Valves - Antiscalant - Stainless Steel</v>
      </c>
      <c r="N173" s="238">
        <v>2</v>
      </c>
      <c r="O173" s="898">
        <v>1</v>
      </c>
      <c r="P173" s="238">
        <v>1</v>
      </c>
      <c r="Q173" s="238">
        <v>2</v>
      </c>
      <c r="R173" s="898">
        <v>1</v>
      </c>
      <c r="S173" s="238">
        <v>1</v>
      </c>
      <c r="T173" s="238">
        <v>2</v>
      </c>
      <c r="U173" s="898">
        <v>1</v>
      </c>
      <c r="V173" s="238">
        <v>1</v>
      </c>
      <c r="W173" s="1096">
        <f t="shared" si="35"/>
        <v>0</v>
      </c>
      <c r="X173" s="1097">
        <f t="shared" si="36"/>
        <v>0</v>
      </c>
      <c r="Y173" s="20"/>
    </row>
    <row r="174" spans="1:25" s="1022" customFormat="1">
      <c r="A174" s="659" t="s">
        <v>3197</v>
      </c>
      <c r="B174" s="515" t="s">
        <v>164</v>
      </c>
      <c r="C174" s="497">
        <f ca="1">tot_feed_man</f>
        <v>0</v>
      </c>
      <c r="D174" s="498" t="s">
        <v>2192</v>
      </c>
      <c r="E174" s="516" t="str">
        <f ca="1">IF(C174=0,"NA",feed_valve_size)</f>
        <v>NA</v>
      </c>
      <c r="F174" s="335" t="str">
        <f t="shared" ca="1" si="37"/>
        <v/>
      </c>
      <c r="G174" s="497" t="str">
        <f ca="1">IF(C174=0,"NA",IF(curve=1,feed_valve_size,VLOOKUP(feed_valve_size,pp_man_cost_cl,2)))</f>
        <v>NA</v>
      </c>
      <c r="H174" s="335" t="str">
        <f t="shared" ca="1" si="38"/>
        <v/>
      </c>
      <c r="I174" s="478" t="str">
        <f ca="1">IF(C174=0,"NA",IF(curve=1,pp_man_eq_feed,VLOOKUP(feed_valve_size,pp_man_cost_cl,3)))</f>
        <v>NA</v>
      </c>
      <c r="J174" s="502" t="str">
        <f t="shared" ca="1" si="39"/>
        <v>--</v>
      </c>
      <c r="K174" s="477" t="str">
        <f ca="1">IF(C174=0,"NA",VLOOKUP(feed_valve_size,pp_man_cost_cl,IF(ss_cat="large",4,5)))</f>
        <v>NA</v>
      </c>
      <c r="L174" s="504"/>
      <c r="M174" s="1100" t="str">
        <f t="shared" si="34"/>
        <v>Manual Valves - Feed line - Polypropylene/PVC</v>
      </c>
      <c r="N174" s="238">
        <v>1</v>
      </c>
      <c r="O174" s="898">
        <v>2</v>
      </c>
      <c r="P174" s="238">
        <v>3</v>
      </c>
      <c r="Q174" s="238">
        <v>1</v>
      </c>
      <c r="R174" s="898">
        <v>2</v>
      </c>
      <c r="S174" s="238">
        <v>3</v>
      </c>
      <c r="T174" s="238">
        <v>1</v>
      </c>
      <c r="U174" s="898">
        <v>2</v>
      </c>
      <c r="V174" s="238">
        <v>3</v>
      </c>
      <c r="W174" s="1096">
        <f t="shared" ca="1" si="35"/>
        <v>0</v>
      </c>
      <c r="X174" s="1097">
        <f t="shared" ca="1" si="36"/>
        <v>0</v>
      </c>
      <c r="Y174" s="20"/>
    </row>
    <row r="175" spans="1:25" s="1022" customFormat="1">
      <c r="A175" s="659" t="s">
        <v>3197</v>
      </c>
      <c r="B175" s="515" t="s">
        <v>609</v>
      </c>
      <c r="C175" s="497">
        <f ca="1">tot_feed_man</f>
        <v>0</v>
      </c>
      <c r="D175" s="498" t="s">
        <v>2192</v>
      </c>
      <c r="E175" s="516" t="str">
        <f ca="1">IF(C175=0,"NA",feed_valve_size)</f>
        <v>NA</v>
      </c>
      <c r="F175" s="335" t="str">
        <f t="shared" ca="1" si="37"/>
        <v/>
      </c>
      <c r="G175" s="497" t="str">
        <f ca="1">IF(C175=0,"NA",IF(curve=1,feed_valve_size,VLOOKUP(feed_valve_size,ss_man_cost_cl,2)))</f>
        <v>NA</v>
      </c>
      <c r="H175" s="335" t="str">
        <f t="shared" ca="1" si="38"/>
        <v/>
      </c>
      <c r="I175" s="478" t="str">
        <f ca="1">IF(C175=0,"NA",IF(curve=1,ss_man_eq_feed,VLOOKUP(feed_valve_size,ss_man_cost_cl,3)))</f>
        <v>NA</v>
      </c>
      <c r="J175" s="502" t="str">
        <f t="shared" ca="1" si="39"/>
        <v>--</v>
      </c>
      <c r="K175" s="477" t="str">
        <f ca="1">IF(C175=0,"NA",VLOOKUP(feed_valve_size,ss_man_cost_cl,IF(ss_cat="large",4,5)))</f>
        <v>NA</v>
      </c>
      <c r="L175" s="504"/>
      <c r="M175" s="1100" t="str">
        <f t="shared" si="34"/>
        <v>Manual Valves - Feed line - Stainless Steel</v>
      </c>
      <c r="N175" s="238">
        <v>3</v>
      </c>
      <c r="O175" s="898">
        <v>3</v>
      </c>
      <c r="P175" s="238">
        <v>1</v>
      </c>
      <c r="Q175" s="238">
        <v>3</v>
      </c>
      <c r="R175" s="898">
        <v>3</v>
      </c>
      <c r="S175" s="238">
        <v>1</v>
      </c>
      <c r="T175" s="238">
        <v>3</v>
      </c>
      <c r="U175" s="898">
        <v>3</v>
      </c>
      <c r="V175" s="238">
        <v>1</v>
      </c>
      <c r="W175" s="1096">
        <f t="shared" ca="1" si="35"/>
        <v>0</v>
      </c>
      <c r="X175" s="1097">
        <f t="shared" ca="1" si="36"/>
        <v>0</v>
      </c>
      <c r="Y175" s="20"/>
    </row>
    <row r="176" spans="1:25" s="1022" customFormat="1">
      <c r="A176" s="659" t="s">
        <v>3197</v>
      </c>
      <c r="B176" s="515" t="s">
        <v>610</v>
      </c>
      <c r="C176" s="497">
        <f ca="1">tot_feed_man</f>
        <v>0</v>
      </c>
      <c r="D176" s="498" t="s">
        <v>2192</v>
      </c>
      <c r="E176" s="516" t="str">
        <f ca="1">IF(C176=0,"NA",feed_valve_size)</f>
        <v>NA</v>
      </c>
      <c r="F176" s="335" t="str">
        <f t="shared" ca="1" si="37"/>
        <v/>
      </c>
      <c r="G176" s="497" t="str">
        <f ca="1">IF(C176=0,"NA",IF(curve=1,feed_valve_size,VLOOKUP(feed_valve_size,ci_bfv_cost_cl,2)))</f>
        <v>NA</v>
      </c>
      <c r="H176" s="335" t="str">
        <f t="shared" ca="1" si="38"/>
        <v/>
      </c>
      <c r="I176" s="478" t="str">
        <f ca="1">IF(C176=0,"NA",IF(curve=1,ci_bfv_eq_feed,VLOOKUP(feed_valve_size,ci_bfv_cost_cl,3)))</f>
        <v>NA</v>
      </c>
      <c r="J176" s="502" t="str">
        <f t="shared" ca="1" si="39"/>
        <v>--</v>
      </c>
      <c r="K176" s="477" t="str">
        <f ca="1">IF(C176=0,"NA",VLOOKUP(feed_valve_size,ci_bfv_cost_cl,IF(ss_cat="large",4,5)))</f>
        <v>NA</v>
      </c>
      <c r="L176" s="504"/>
      <c r="M176" s="1100" t="str">
        <f t="shared" si="34"/>
        <v>Manual Valves - Feed line - Cast Iron</v>
      </c>
      <c r="N176" s="238">
        <v>2</v>
      </c>
      <c r="O176" s="898">
        <v>1</v>
      </c>
      <c r="P176" s="238">
        <v>2</v>
      </c>
      <c r="Q176" s="238">
        <v>2</v>
      </c>
      <c r="R176" s="898">
        <v>1</v>
      </c>
      <c r="S176" s="238">
        <v>2</v>
      </c>
      <c r="T176" s="238">
        <v>2</v>
      </c>
      <c r="U176" s="898">
        <v>1</v>
      </c>
      <c r="V176" s="238">
        <v>2</v>
      </c>
      <c r="W176" s="1096">
        <f t="shared" ca="1" si="35"/>
        <v>0</v>
      </c>
      <c r="X176" s="1097">
        <f t="shared" ca="1" si="36"/>
        <v>0</v>
      </c>
      <c r="Y176" s="20"/>
    </row>
    <row r="177" spans="1:25" s="1022" customFormat="1">
      <c r="A177" s="659" t="s">
        <v>3198</v>
      </c>
      <c r="B177" s="515" t="s">
        <v>4705</v>
      </c>
      <c r="C177" s="497">
        <f ca="1">tot_conc_man</f>
        <v>0</v>
      </c>
      <c r="D177" s="498" t="s">
        <v>2192</v>
      </c>
      <c r="E177" s="516" t="str">
        <f ca="1">IF(C177=0,"NA",conc_valve_size)</f>
        <v>NA</v>
      </c>
      <c r="F177" s="335" t="str">
        <f t="shared" ca="1" si="37"/>
        <v/>
      </c>
      <c r="G177" s="497" t="str">
        <f ca="1">IF(C177=0,"NA",IF(curve=1,conc_valve_size,VLOOKUP(conc_valve_size,ss_mov_cost_cl,2)))</f>
        <v>NA</v>
      </c>
      <c r="H177" s="335" t="str">
        <f t="shared" ca="1" si="38"/>
        <v/>
      </c>
      <c r="I177" s="478" t="str">
        <f ca="1">IF(C177=0,"NA",IF(curve=1,ss_man_eq_conc,VLOOKUP(conc_valve_size,ss_man_cost_cl,3)))</f>
        <v>NA</v>
      </c>
      <c r="J177" s="502" t="str">
        <f t="shared" ca="1" si="39"/>
        <v>--</v>
      </c>
      <c r="K177" s="477" t="str">
        <f ca="1">IF(C177=0,"NA",VLOOKUP(conc_valve_size,ss_man_cost_cl,IF(ss_cat="large",4,5)))</f>
        <v>NA</v>
      </c>
      <c r="L177" s="504"/>
      <c r="M177" s="1100" t="str">
        <f t="shared" si="34"/>
        <v>Manual Valves - Concentrate control - Stainless Steel</v>
      </c>
      <c r="N177" s="238">
        <v>2</v>
      </c>
      <c r="O177" s="898">
        <v>2</v>
      </c>
      <c r="P177" s="238">
        <v>1</v>
      </c>
      <c r="Q177" s="238">
        <v>2</v>
      </c>
      <c r="R177" s="898">
        <v>2</v>
      </c>
      <c r="S177" s="238">
        <v>1</v>
      </c>
      <c r="T177" s="238">
        <v>2</v>
      </c>
      <c r="U177" s="898">
        <v>2</v>
      </c>
      <c r="V177" s="238">
        <v>1</v>
      </c>
      <c r="W177" s="1096">
        <f t="shared" ca="1" si="35"/>
        <v>0</v>
      </c>
      <c r="X177" s="1097">
        <f t="shared" ca="1" si="36"/>
        <v>0</v>
      </c>
      <c r="Y177" s="20"/>
    </row>
    <row r="178" spans="1:25" s="1022" customFormat="1">
      <c r="A178" s="659" t="s">
        <v>3198</v>
      </c>
      <c r="B178" s="515" t="s">
        <v>4706</v>
      </c>
      <c r="C178" s="497">
        <f ca="1">tot_conc_man</f>
        <v>0</v>
      </c>
      <c r="D178" s="498" t="s">
        <v>2192</v>
      </c>
      <c r="E178" s="516" t="str">
        <f ca="1">IF(C178=0,"NA",conc_valve_size)</f>
        <v>NA</v>
      </c>
      <c r="F178" s="335" t="str">
        <f t="shared" ca="1" si="37"/>
        <v/>
      </c>
      <c r="G178" s="497" t="str">
        <f ca="1">IF(C178=0,"NA",IF(curve=1,conc_valve_size,VLOOKUP(conc_valve_size,ci_mov_cost_cl,2)))</f>
        <v>NA</v>
      </c>
      <c r="H178" s="335" t="str">
        <f t="shared" ca="1" si="38"/>
        <v/>
      </c>
      <c r="I178" s="478" t="str">
        <f ca="1">IF(C178=0,"NA",IF(curve=1,ci_bfv_eq_conc,VLOOKUP(conc_valve_size,ci_bfv_cost_cl,3)))</f>
        <v>NA</v>
      </c>
      <c r="J178" s="502" t="str">
        <f t="shared" ca="1" si="39"/>
        <v>--</v>
      </c>
      <c r="K178" s="477" t="str">
        <f ca="1">IF(C178=0,"NA",VLOOKUP(conc_valve_size,ci_bfv_cost_cl,IF(ss_cat="large",4,5)))</f>
        <v>NA</v>
      </c>
      <c r="L178" s="504"/>
      <c r="M178" s="1100" t="str">
        <f t="shared" si="34"/>
        <v>Manual Valves - Concentrate control - Cast Iron</v>
      </c>
      <c r="N178" s="238">
        <v>1</v>
      </c>
      <c r="O178" s="898">
        <v>1</v>
      </c>
      <c r="P178" s="238">
        <v>2</v>
      </c>
      <c r="Q178" s="238">
        <v>1</v>
      </c>
      <c r="R178" s="898">
        <v>1</v>
      </c>
      <c r="S178" s="238">
        <v>2</v>
      </c>
      <c r="T178" s="238">
        <v>1</v>
      </c>
      <c r="U178" s="898">
        <v>1</v>
      </c>
      <c r="V178" s="238">
        <v>2</v>
      </c>
      <c r="W178" s="1096">
        <f t="shared" ca="1" si="35"/>
        <v>0</v>
      </c>
      <c r="X178" s="1097">
        <f t="shared" ca="1" si="36"/>
        <v>0</v>
      </c>
      <c r="Y178" s="20"/>
    </row>
    <row r="179" spans="1:25" s="1022" customFormat="1">
      <c r="A179" s="659" t="s">
        <v>3199</v>
      </c>
      <c r="B179" s="515" t="s">
        <v>611</v>
      </c>
      <c r="C179" s="497">
        <f>tot_boost_2_man</f>
        <v>0</v>
      </c>
      <c r="D179" s="498" t="s">
        <v>2192</v>
      </c>
      <c r="E179" s="516" t="str">
        <f>IF(C179=0,"NA",boost_valve_2_diam)</f>
        <v>NA</v>
      </c>
      <c r="F179" s="335" t="str">
        <f t="shared" si="37"/>
        <v/>
      </c>
      <c r="G179" s="497" t="str">
        <f>IF(C179=0,"NA",IF(curve=1,boost_valve_2_diam,VLOOKUP(boost_valve_2_diam,pp_man_cost_cl,2)))</f>
        <v>NA</v>
      </c>
      <c r="H179" s="335" t="str">
        <f t="shared" si="38"/>
        <v/>
      </c>
      <c r="I179" s="478" t="str">
        <f>IF(C179=0,"NA",IF(curve=1,pp_man_eq_b2,VLOOKUP(boost_valve_2_diam,pp_man_cost_cl,3)))</f>
        <v>NA</v>
      </c>
      <c r="J179" s="502" t="str">
        <f t="shared" si="39"/>
        <v>--</v>
      </c>
      <c r="K179" s="477" t="str">
        <f>IF(C179=0,"NA",VLOOKUP(boost_valve_2_diam,pp_man_cost_cl,IF(ss_cat="large",4,5)))</f>
        <v>NA</v>
      </c>
      <c r="L179" s="504"/>
      <c r="M179" s="1100" t="str">
        <f t="shared" si="34"/>
        <v>Manual Valves - Stage 2 boost - Polypropylene/PVC</v>
      </c>
      <c r="N179" s="238">
        <v>1</v>
      </c>
      <c r="O179" s="898">
        <v>1</v>
      </c>
      <c r="P179" s="238">
        <v>2</v>
      </c>
      <c r="Q179" s="238">
        <v>1</v>
      </c>
      <c r="R179" s="898">
        <v>1</v>
      </c>
      <c r="S179" s="238">
        <v>2</v>
      </c>
      <c r="T179" s="238">
        <v>1</v>
      </c>
      <c r="U179" s="898">
        <v>1</v>
      </c>
      <c r="V179" s="238">
        <v>2</v>
      </c>
      <c r="W179" s="1096">
        <f t="shared" si="35"/>
        <v>0</v>
      </c>
      <c r="X179" s="1097">
        <f t="shared" si="36"/>
        <v>0</v>
      </c>
      <c r="Y179" s="20"/>
    </row>
    <row r="180" spans="1:25" s="1022" customFormat="1">
      <c r="A180" s="659" t="s">
        <v>3199</v>
      </c>
      <c r="B180" s="515" t="s">
        <v>612</v>
      </c>
      <c r="C180" s="497">
        <f>tot_boost_2_man</f>
        <v>0</v>
      </c>
      <c r="D180" s="498" t="s">
        <v>2192</v>
      </c>
      <c r="E180" s="516" t="str">
        <f>IF(C180=0,"NA",boost_valve_2_diam)</f>
        <v>NA</v>
      </c>
      <c r="F180" s="335" t="str">
        <f t="shared" si="37"/>
        <v/>
      </c>
      <c r="G180" s="497" t="str">
        <f>IF(C180=0,"NA",IF(curve=1,boost_valve_2_diam,VLOOKUP(boost_valve_2_diam,ss_man_cost_cl,2)))</f>
        <v>NA</v>
      </c>
      <c r="H180" s="335" t="str">
        <f t="shared" si="38"/>
        <v/>
      </c>
      <c r="I180" s="478" t="str">
        <f>IF(C180=0,"NA",IF(curve=1,ss_man_eq_b2,VLOOKUP(boost_valve_2_diam,ss_man_cost_cl,3)))</f>
        <v>NA</v>
      </c>
      <c r="J180" s="502" t="str">
        <f t="shared" si="39"/>
        <v>--</v>
      </c>
      <c r="K180" s="477" t="str">
        <f>IF(C180=0,"NA",VLOOKUP(boost_valve_2_diam,ss_man_cost_cl,IF(ss_cat="large",4,5)))</f>
        <v>NA</v>
      </c>
      <c r="L180" s="504"/>
      <c r="M180" s="1100" t="str">
        <f t="shared" si="34"/>
        <v>Manual Valves - Stage 2 boost - Stainless Steel</v>
      </c>
      <c r="N180" s="238">
        <v>2</v>
      </c>
      <c r="O180" s="898">
        <v>2</v>
      </c>
      <c r="P180" s="238">
        <v>1</v>
      </c>
      <c r="Q180" s="238">
        <v>2</v>
      </c>
      <c r="R180" s="898">
        <v>2</v>
      </c>
      <c r="S180" s="238">
        <v>1</v>
      </c>
      <c r="T180" s="238">
        <v>2</v>
      </c>
      <c r="U180" s="898">
        <v>2</v>
      </c>
      <c r="V180" s="238">
        <v>1</v>
      </c>
      <c r="W180" s="1096">
        <f t="shared" si="35"/>
        <v>0</v>
      </c>
      <c r="X180" s="1097">
        <f t="shared" si="36"/>
        <v>0</v>
      </c>
      <c r="Y180" s="20"/>
    </row>
    <row r="181" spans="1:25" s="1022" customFormat="1">
      <c r="A181" s="659" t="s">
        <v>3200</v>
      </c>
      <c r="B181" s="515" t="s">
        <v>613</v>
      </c>
      <c r="C181" s="497">
        <f>tot_boost_3_man</f>
        <v>0</v>
      </c>
      <c r="D181" s="498" t="s">
        <v>2192</v>
      </c>
      <c r="E181" s="516" t="str">
        <f>IF(C181=0,"NA",boost_valve_3_diam)</f>
        <v>NA</v>
      </c>
      <c r="F181" s="335" t="str">
        <f t="shared" si="37"/>
        <v/>
      </c>
      <c r="G181" s="497" t="str">
        <f>IF(C181=0,"NA",IF(curve=1,boost_valve_3_diam,VLOOKUP(boost_valve_3_diam,pp_man_cost_cl,2)))</f>
        <v>NA</v>
      </c>
      <c r="H181" s="335" t="str">
        <f t="shared" si="38"/>
        <v/>
      </c>
      <c r="I181" s="478" t="str">
        <f>IF(C181=0,"NA",IF(curve=1,pp_man_eq_b3,VLOOKUP(boost_valve_3_diam,pp_man_cost_cl,3)))</f>
        <v>NA</v>
      </c>
      <c r="J181" s="502" t="str">
        <f t="shared" si="39"/>
        <v>--</v>
      </c>
      <c r="K181" s="477" t="str">
        <f>IF(C181=0,"NA",VLOOKUP(boost_valve_3_diam,pp_man_cost_cl,IF(ss_cat="large",4,5)))</f>
        <v>NA</v>
      </c>
      <c r="L181" s="504"/>
      <c r="M181" s="1100" t="str">
        <f t="shared" si="34"/>
        <v>Manual Valves - Stage 3 boost - Polypropylene/PVC</v>
      </c>
      <c r="N181" s="238">
        <v>1</v>
      </c>
      <c r="O181" s="898">
        <v>1</v>
      </c>
      <c r="P181" s="238">
        <v>2</v>
      </c>
      <c r="Q181" s="238">
        <v>1</v>
      </c>
      <c r="R181" s="898">
        <v>1</v>
      </c>
      <c r="S181" s="238">
        <v>2</v>
      </c>
      <c r="T181" s="238">
        <v>1</v>
      </c>
      <c r="U181" s="898">
        <v>1</v>
      </c>
      <c r="V181" s="238">
        <v>2</v>
      </c>
      <c r="W181" s="1096">
        <f t="shared" si="35"/>
        <v>0</v>
      </c>
      <c r="X181" s="1097">
        <f t="shared" si="36"/>
        <v>0</v>
      </c>
      <c r="Y181" s="20"/>
    </row>
    <row r="182" spans="1:25" s="1022" customFormat="1">
      <c r="A182" s="659" t="s">
        <v>3200</v>
      </c>
      <c r="B182" s="515" t="s">
        <v>614</v>
      </c>
      <c r="C182" s="497">
        <f>tot_boost_3_man</f>
        <v>0</v>
      </c>
      <c r="D182" s="498" t="s">
        <v>2192</v>
      </c>
      <c r="E182" s="516" t="str">
        <f>IF(C182=0,"NA",boost_valve_3_diam)</f>
        <v>NA</v>
      </c>
      <c r="F182" s="335" t="str">
        <f t="shared" si="37"/>
        <v/>
      </c>
      <c r="G182" s="497" t="str">
        <f>IF(C182=0,"NA",IF(curve=1,boost_valve_3_diam,VLOOKUP(boost_valve_3_diam,ss_man_cost_cl,2)))</f>
        <v>NA</v>
      </c>
      <c r="H182" s="335" t="str">
        <f t="shared" si="38"/>
        <v/>
      </c>
      <c r="I182" s="478" t="str">
        <f>IF(C182=0,"NA",IF(curve=1,ss_man_eq_b3,VLOOKUP(boost_valve_3_diam,ss_man_cost_cl,3)))</f>
        <v>NA</v>
      </c>
      <c r="J182" s="502" t="str">
        <f t="shared" si="39"/>
        <v>--</v>
      </c>
      <c r="K182" s="477" t="str">
        <f>IF(C182=0,"NA",VLOOKUP(boost_valve_3_diam,ss_man_cost_cl,IF(ss_cat="large",4,5)))</f>
        <v>NA</v>
      </c>
      <c r="L182" s="504"/>
      <c r="M182" s="1100" t="str">
        <f t="shared" si="34"/>
        <v>Manual Valves - Stage 3 boost - Stainless Steel</v>
      </c>
      <c r="N182" s="238">
        <v>2</v>
      </c>
      <c r="O182" s="898">
        <v>2</v>
      </c>
      <c r="P182" s="238">
        <v>1</v>
      </c>
      <c r="Q182" s="238">
        <v>2</v>
      </c>
      <c r="R182" s="898">
        <v>2</v>
      </c>
      <c r="S182" s="238">
        <v>1</v>
      </c>
      <c r="T182" s="238">
        <v>2</v>
      </c>
      <c r="U182" s="898">
        <v>2</v>
      </c>
      <c r="V182" s="238">
        <v>1</v>
      </c>
      <c r="W182" s="1096">
        <f t="shared" si="35"/>
        <v>0</v>
      </c>
      <c r="X182" s="1097">
        <f t="shared" si="36"/>
        <v>0</v>
      </c>
      <c r="Y182" s="20"/>
    </row>
    <row r="183" spans="1:25" s="1022" customFormat="1">
      <c r="A183" s="659" t="s">
        <v>3201</v>
      </c>
      <c r="B183" s="515" t="s">
        <v>615</v>
      </c>
      <c r="C183" s="497">
        <f>tot_perm_1_man</f>
        <v>0</v>
      </c>
      <c r="D183" s="498" t="s">
        <v>2192</v>
      </c>
      <c r="E183" s="516" t="str">
        <f>IF(C183=0,"NA",perm_valve_1_diam)</f>
        <v>NA</v>
      </c>
      <c r="F183" s="335" t="str">
        <f t="shared" si="37"/>
        <v/>
      </c>
      <c r="G183" s="497" t="str">
        <f>IF(C183=0,"NA",IF(curve=1,perm_valve_1_diam,VLOOKUP(perm_valve_1_diam,pp_man_cost_cl,2)))</f>
        <v>NA</v>
      </c>
      <c r="H183" s="335" t="str">
        <f t="shared" si="38"/>
        <v/>
      </c>
      <c r="I183" s="478" t="str">
        <f>IF(C183=0,"NA",IF(curve=1,pp_man_eq_pt1,VLOOKUP(perm_valve_1_diam,pp_man_cost_cl,3)))</f>
        <v>NA</v>
      </c>
      <c r="J183" s="502" t="str">
        <f t="shared" si="39"/>
        <v>--</v>
      </c>
      <c r="K183" s="477" t="str">
        <f>IF(C183=0,"NA",VLOOKUP(perm_valve_1_diam,pp_man_cost_cl,IF(ss_cat="large",4,5)))</f>
        <v>NA</v>
      </c>
      <c r="L183" s="504"/>
      <c r="M183" s="1100" t="str">
        <f t="shared" si="34"/>
        <v>Manual Valves - Stage 1 throttle - Polypropylene/PVC</v>
      </c>
      <c r="N183" s="238">
        <v>1</v>
      </c>
      <c r="O183" s="898">
        <v>1</v>
      </c>
      <c r="P183" s="238">
        <v>2</v>
      </c>
      <c r="Q183" s="238">
        <v>1</v>
      </c>
      <c r="R183" s="898">
        <v>1</v>
      </c>
      <c r="S183" s="238">
        <v>2</v>
      </c>
      <c r="T183" s="238">
        <v>1</v>
      </c>
      <c r="U183" s="898">
        <v>1</v>
      </c>
      <c r="V183" s="238">
        <v>2</v>
      </c>
      <c r="W183" s="1096">
        <f t="shared" si="35"/>
        <v>0</v>
      </c>
      <c r="X183" s="1097">
        <f t="shared" si="36"/>
        <v>0</v>
      </c>
      <c r="Y183" s="20"/>
    </row>
    <row r="184" spans="1:25" s="1022" customFormat="1">
      <c r="A184" s="659" t="s">
        <v>3201</v>
      </c>
      <c r="B184" s="515" t="s">
        <v>616</v>
      </c>
      <c r="C184" s="497">
        <f>tot_perm_1_man</f>
        <v>0</v>
      </c>
      <c r="D184" s="498" t="s">
        <v>2192</v>
      </c>
      <c r="E184" s="516" t="str">
        <f>IF(C184=0,"NA",perm_valve_1_diam)</f>
        <v>NA</v>
      </c>
      <c r="F184" s="335" t="str">
        <f t="shared" si="37"/>
        <v/>
      </c>
      <c r="G184" s="497" t="str">
        <f>IF(C184=0,"NA",IF(curve=1,perm_valve_1_diam,VLOOKUP(perm_valve_1_diam,ss_man_cost_cl,2)))</f>
        <v>NA</v>
      </c>
      <c r="H184" s="335" t="str">
        <f t="shared" si="38"/>
        <v/>
      </c>
      <c r="I184" s="478" t="str">
        <f>IF(C184=0,"NA",IF(curve=1,ss_man_eq_pt1,VLOOKUP(perm_valve_1_diam,ss_man_cost_cl,3)))</f>
        <v>NA</v>
      </c>
      <c r="J184" s="502" t="str">
        <f t="shared" si="39"/>
        <v>--</v>
      </c>
      <c r="K184" s="477" t="str">
        <f>IF(C184=0,"NA",VLOOKUP(perm_valve_1_diam,ss_man_cost_cl,IF(ss_cat="large",4,5)))</f>
        <v>NA</v>
      </c>
      <c r="L184" s="504"/>
      <c r="M184" s="1100" t="str">
        <f t="shared" si="34"/>
        <v>Manual Valves - Stage 1 throttle - Stainless Steel</v>
      </c>
      <c r="N184" s="238">
        <v>2</v>
      </c>
      <c r="O184" s="898">
        <v>2</v>
      </c>
      <c r="P184" s="238">
        <v>1</v>
      </c>
      <c r="Q184" s="238">
        <v>2</v>
      </c>
      <c r="R184" s="898">
        <v>2</v>
      </c>
      <c r="S184" s="238">
        <v>1</v>
      </c>
      <c r="T184" s="238">
        <v>2</v>
      </c>
      <c r="U184" s="898">
        <v>2</v>
      </c>
      <c r="V184" s="238">
        <v>1</v>
      </c>
      <c r="W184" s="1096">
        <f t="shared" si="35"/>
        <v>0</v>
      </c>
      <c r="X184" s="1097">
        <f t="shared" si="36"/>
        <v>0</v>
      </c>
      <c r="Y184" s="20"/>
    </row>
    <row r="185" spans="1:25" s="1022" customFormat="1">
      <c r="A185" s="659" t="s">
        <v>3202</v>
      </c>
      <c r="B185" s="515" t="s">
        <v>1528</v>
      </c>
      <c r="C185" s="497">
        <f>tot_perm_2_man</f>
        <v>0</v>
      </c>
      <c r="D185" s="498" t="s">
        <v>2192</v>
      </c>
      <c r="E185" s="516" t="str">
        <f>IF(C185=0,"NA",perm_valve_2_diam)</f>
        <v>NA</v>
      </c>
      <c r="F185" s="335" t="str">
        <f t="shared" si="37"/>
        <v/>
      </c>
      <c r="G185" s="497" t="str">
        <f>IF(C185=0,"NA",IF(curve=1,perm_valve_2_diam,VLOOKUP(perm_valve_2_diam,pp_man_cost_cl,2)))</f>
        <v>NA</v>
      </c>
      <c r="H185" s="335" t="str">
        <f t="shared" si="38"/>
        <v/>
      </c>
      <c r="I185" s="478" t="str">
        <f>IF(C185=0,"NA",IF(curve=1,pp_man_eq_pt2,VLOOKUP(perm_valve_2_diam,pp_man_cost_cl,3)))</f>
        <v>NA</v>
      </c>
      <c r="J185" s="502" t="str">
        <f t="shared" si="39"/>
        <v>--</v>
      </c>
      <c r="K185" s="477" t="str">
        <f>IF(C185=0,"NA",VLOOKUP(perm_valve_2_diam,pp_man_cost_cl,IF(ss_cat="large",4,5)))</f>
        <v>NA</v>
      </c>
      <c r="L185" s="504"/>
      <c r="M185" s="1100" t="str">
        <f t="shared" si="34"/>
        <v>Manual Valves - Stage 2 throttle - Polypropylene/PVC</v>
      </c>
      <c r="N185" s="238">
        <v>1</v>
      </c>
      <c r="O185" s="898">
        <v>1</v>
      </c>
      <c r="P185" s="238">
        <v>2</v>
      </c>
      <c r="Q185" s="238">
        <v>1</v>
      </c>
      <c r="R185" s="898">
        <v>1</v>
      </c>
      <c r="S185" s="238">
        <v>2</v>
      </c>
      <c r="T185" s="238">
        <v>1</v>
      </c>
      <c r="U185" s="898">
        <v>1</v>
      </c>
      <c r="V185" s="238">
        <v>2</v>
      </c>
      <c r="W185" s="1096">
        <f t="shared" si="35"/>
        <v>0</v>
      </c>
      <c r="X185" s="1097">
        <f t="shared" si="36"/>
        <v>0</v>
      </c>
      <c r="Y185" s="20"/>
    </row>
    <row r="186" spans="1:25" s="1022" customFormat="1">
      <c r="A186" s="659" t="s">
        <v>3202</v>
      </c>
      <c r="B186" s="515" t="s">
        <v>1529</v>
      </c>
      <c r="C186" s="497">
        <f>tot_perm_2_man</f>
        <v>0</v>
      </c>
      <c r="D186" s="498" t="s">
        <v>2192</v>
      </c>
      <c r="E186" s="516" t="str">
        <f>IF(C186=0,"NA",perm_valve_2_diam)</f>
        <v>NA</v>
      </c>
      <c r="F186" s="335" t="str">
        <f t="shared" si="37"/>
        <v/>
      </c>
      <c r="G186" s="497" t="str">
        <f>IF(C186=0,"NA",IF(curve=1,perm_valve_2_diam,VLOOKUP(perm_valve_2_diam,ss_man_cost_cl,2)))</f>
        <v>NA</v>
      </c>
      <c r="H186" s="335" t="str">
        <f t="shared" si="38"/>
        <v/>
      </c>
      <c r="I186" s="478" t="str">
        <f>IF(C186=0,"NA",IF(curve=1,ss_man_eq_pt2,VLOOKUP(perm_valve_2_diam,ss_man_cost_cl,3)))</f>
        <v>NA</v>
      </c>
      <c r="J186" s="502" t="str">
        <f t="shared" si="39"/>
        <v>--</v>
      </c>
      <c r="K186" s="477" t="str">
        <f>IF(C186=0,"NA",VLOOKUP(perm_valve_2_diam,ss_man_cost_cl,IF(ss_cat="large",4,5)))</f>
        <v>NA</v>
      </c>
      <c r="L186" s="504"/>
      <c r="M186" s="1100" t="str">
        <f t="shared" si="34"/>
        <v>Manual Valves - Stage 2 throttle - Stainless Steel</v>
      </c>
      <c r="N186" s="238">
        <v>2</v>
      </c>
      <c r="O186" s="898">
        <v>2</v>
      </c>
      <c r="P186" s="238">
        <v>1</v>
      </c>
      <c r="Q186" s="238">
        <v>2</v>
      </c>
      <c r="R186" s="898">
        <v>2</v>
      </c>
      <c r="S186" s="238">
        <v>1</v>
      </c>
      <c r="T186" s="238">
        <v>2</v>
      </c>
      <c r="U186" s="898">
        <v>2</v>
      </c>
      <c r="V186" s="238">
        <v>1</v>
      </c>
      <c r="W186" s="1096">
        <f t="shared" si="35"/>
        <v>0</v>
      </c>
      <c r="X186" s="1097">
        <f t="shared" si="36"/>
        <v>0</v>
      </c>
      <c r="Y186" s="20"/>
    </row>
    <row r="187" spans="1:25" s="1022" customFormat="1">
      <c r="A187" s="659" t="s">
        <v>3203</v>
      </c>
      <c r="B187" s="515" t="s">
        <v>1530</v>
      </c>
      <c r="C187" s="497">
        <f>tot_perm_3_man</f>
        <v>0</v>
      </c>
      <c r="D187" s="498" t="s">
        <v>2192</v>
      </c>
      <c r="E187" s="516" t="str">
        <f>IF(C187=0,"NA",perm_valve_3_diam)</f>
        <v>NA</v>
      </c>
      <c r="F187" s="335" t="str">
        <f t="shared" si="37"/>
        <v/>
      </c>
      <c r="G187" s="497" t="str">
        <f>IF(C187=0,"NA",IF(curve=1,perm_valve_3_diam,VLOOKUP(perm_valve_3_diam,pp_man_cost_cl,2)))</f>
        <v>NA</v>
      </c>
      <c r="H187" s="335" t="str">
        <f t="shared" si="38"/>
        <v/>
      </c>
      <c r="I187" s="478" t="str">
        <f>IF(C187=0,"NA",IF(curve=1,pp_man_eq_pt3,VLOOKUP(perm_valve_3_diam,pp_man_cost_cl,3)))</f>
        <v>NA</v>
      </c>
      <c r="J187" s="502" t="str">
        <f t="shared" si="39"/>
        <v>--</v>
      </c>
      <c r="K187" s="477" t="str">
        <f>IF(C187=0,"NA",VLOOKUP(perm_valve_3_diam,pp_man_cost_cl,IF(ss_cat="large",4,5)))</f>
        <v>NA</v>
      </c>
      <c r="L187" s="504"/>
      <c r="M187" s="1100" t="str">
        <f t="shared" si="34"/>
        <v>Manual Valves - Stage 3 throttle - Polypropylene/PVC</v>
      </c>
      <c r="N187" s="238">
        <v>1</v>
      </c>
      <c r="O187" s="898">
        <v>1</v>
      </c>
      <c r="P187" s="238">
        <v>2</v>
      </c>
      <c r="Q187" s="238">
        <v>1</v>
      </c>
      <c r="R187" s="898">
        <v>1</v>
      </c>
      <c r="S187" s="238">
        <v>2</v>
      </c>
      <c r="T187" s="238">
        <v>1</v>
      </c>
      <c r="U187" s="898">
        <v>1</v>
      </c>
      <c r="V187" s="238">
        <v>2</v>
      </c>
      <c r="W187" s="1096">
        <f t="shared" si="35"/>
        <v>0</v>
      </c>
      <c r="X187" s="1097">
        <f t="shared" si="36"/>
        <v>0</v>
      </c>
      <c r="Y187" s="20"/>
    </row>
    <row r="188" spans="1:25" s="1022" customFormat="1">
      <c r="A188" s="659" t="s">
        <v>3203</v>
      </c>
      <c r="B188" s="515" t="s">
        <v>1531</v>
      </c>
      <c r="C188" s="497">
        <f>tot_perm_3_man</f>
        <v>0</v>
      </c>
      <c r="D188" s="498" t="s">
        <v>2192</v>
      </c>
      <c r="E188" s="516" t="str">
        <f>IF(C188=0,"NA",perm_valve_3_diam)</f>
        <v>NA</v>
      </c>
      <c r="F188" s="335" t="str">
        <f t="shared" si="37"/>
        <v/>
      </c>
      <c r="G188" s="497" t="str">
        <f>IF(C188=0,"NA",IF(curve=1,perm_valve_3_diam,VLOOKUP(perm_valve_3_diam,ss_man_cost_cl,2)))</f>
        <v>NA</v>
      </c>
      <c r="H188" s="335" t="str">
        <f t="shared" si="38"/>
        <v/>
      </c>
      <c r="I188" s="478" t="str">
        <f>IF(C188=0,"NA",IF(curve=1,ss_man_eq_pt3,VLOOKUP(perm_valve_3_diam,ss_man_cost_cl,3)))</f>
        <v>NA</v>
      </c>
      <c r="J188" s="502" t="str">
        <f t="shared" si="39"/>
        <v>--</v>
      </c>
      <c r="K188" s="477" t="str">
        <f>IF(C188=0,"NA",VLOOKUP(perm_valve_3_diam,ss_man_cost_cl,IF(ss_cat="large",4,5)))</f>
        <v>NA</v>
      </c>
      <c r="L188" s="504"/>
      <c r="M188" s="1100" t="str">
        <f t="shared" si="34"/>
        <v>Manual Valves - Stage 3 throttle - Stainless Steel</v>
      </c>
      <c r="N188" s="238">
        <v>2</v>
      </c>
      <c r="O188" s="898">
        <v>2</v>
      </c>
      <c r="P188" s="238">
        <v>1</v>
      </c>
      <c r="Q188" s="238">
        <v>2</v>
      </c>
      <c r="R188" s="898">
        <v>2</v>
      </c>
      <c r="S188" s="238">
        <v>1</v>
      </c>
      <c r="T188" s="238">
        <v>2</v>
      </c>
      <c r="U188" s="898">
        <v>2</v>
      </c>
      <c r="V188" s="238">
        <v>1</v>
      </c>
      <c r="W188" s="1096">
        <f t="shared" si="35"/>
        <v>0</v>
      </c>
      <c r="X188" s="1097">
        <f t="shared" si="36"/>
        <v>0</v>
      </c>
      <c r="Y188" s="20"/>
    </row>
    <row r="189" spans="1:25" s="1022" customFormat="1">
      <c r="A189" s="659" t="s">
        <v>3204</v>
      </c>
      <c r="B189" s="515" t="s">
        <v>1532</v>
      </c>
      <c r="C189" s="497">
        <f ca="1">tot_clean_man</f>
        <v>0</v>
      </c>
      <c r="D189" s="498" t="s">
        <v>2192</v>
      </c>
      <c r="E189" s="516" t="str">
        <f ca="1">IF(C189=0,"NA",clean_valve_size)</f>
        <v>NA</v>
      </c>
      <c r="F189" s="335" t="str">
        <f t="shared" ca="1" si="37"/>
        <v/>
      </c>
      <c r="G189" s="497" t="str">
        <f ca="1">IF(C189=0,"NA",IF(curve=1,clean_valve_size,VLOOKUP(clean_valve_size,pp_man_cost_cl,2)))</f>
        <v>NA</v>
      </c>
      <c r="H189" s="335" t="str">
        <f t="shared" ca="1" si="38"/>
        <v/>
      </c>
      <c r="I189" s="478" t="str">
        <f ca="1">IF(C189=0,"NA",IF(curve=1,pp_man_eq_clean,VLOOKUP(clean_valve_size,pp_man_cost_cl,3)))</f>
        <v>NA</v>
      </c>
      <c r="J189" s="502" t="str">
        <f t="shared" ca="1" si="39"/>
        <v>--</v>
      </c>
      <c r="K189" s="477" t="str">
        <f ca="1">IF(C189=0,"NA",VLOOKUP(clean_valve_size,pp_man_cost_cl,IF(ss_cat="large",4,5)))</f>
        <v>NA</v>
      </c>
      <c r="L189" s="504"/>
      <c r="M189" s="1100" t="str">
        <f t="shared" si="34"/>
        <v>Manual Valves - Cleaning - Polypropylene/PVC</v>
      </c>
      <c r="N189" s="238">
        <v>1</v>
      </c>
      <c r="O189" s="898">
        <v>2</v>
      </c>
      <c r="P189" s="238">
        <v>2</v>
      </c>
      <c r="Q189" s="238">
        <v>1</v>
      </c>
      <c r="R189" s="898">
        <v>2</v>
      </c>
      <c r="S189" s="238">
        <v>2</v>
      </c>
      <c r="T189" s="238">
        <v>1</v>
      </c>
      <c r="U189" s="898">
        <v>2</v>
      </c>
      <c r="V189" s="238">
        <v>2</v>
      </c>
      <c r="W189" s="1096">
        <f t="shared" ca="1" si="35"/>
        <v>0</v>
      </c>
      <c r="X189" s="1097">
        <f t="shared" ca="1" si="36"/>
        <v>0</v>
      </c>
      <c r="Y189" s="20"/>
    </row>
    <row r="190" spans="1:25" s="1022" customFormat="1">
      <c r="A190" s="659" t="s">
        <v>3204</v>
      </c>
      <c r="B190" s="515" t="s">
        <v>1533</v>
      </c>
      <c r="C190" s="497">
        <f ca="1">tot_clean_man</f>
        <v>0</v>
      </c>
      <c r="D190" s="498" t="s">
        <v>2192</v>
      </c>
      <c r="E190" s="516" t="str">
        <f ca="1">IF(C190=0,"NA",clean_valve_size)</f>
        <v>NA</v>
      </c>
      <c r="F190" s="335" t="str">
        <f t="shared" ca="1" si="37"/>
        <v/>
      </c>
      <c r="G190" s="497" t="str">
        <f ca="1">IF(C190=0,"NA",IF(curve=1,clean_valve_size,VLOOKUP(clean_valve_size,ss_man_cost_cl,2)))</f>
        <v>NA</v>
      </c>
      <c r="H190" s="335" t="str">
        <f t="shared" ca="1" si="38"/>
        <v/>
      </c>
      <c r="I190" s="478" t="str">
        <f ca="1">IF(C190=0,"NA",IF(curve=1,ss_man_eq_clean,VLOOKUP(clean_valve_size,ss_man_cost_cl,3)))</f>
        <v>NA</v>
      </c>
      <c r="J190" s="502" t="str">
        <f t="shared" ca="1" si="39"/>
        <v>--</v>
      </c>
      <c r="K190" s="477" t="str">
        <f ca="1">IF(C190=0,"NA",VLOOKUP(clean_valve_size,ss_man_cost_cl,IF(ss_cat="large",4,5)))</f>
        <v>NA</v>
      </c>
      <c r="L190" s="504"/>
      <c r="M190" s="1100" t="str">
        <f t="shared" si="34"/>
        <v>Manual Valves - Cleaning - Stainless Steel</v>
      </c>
      <c r="N190" s="238">
        <v>2</v>
      </c>
      <c r="O190" s="898">
        <v>1</v>
      </c>
      <c r="P190" s="238">
        <v>1</v>
      </c>
      <c r="Q190" s="238">
        <v>2</v>
      </c>
      <c r="R190" s="898">
        <v>1</v>
      </c>
      <c r="S190" s="238">
        <v>1</v>
      </c>
      <c r="T190" s="238">
        <v>2</v>
      </c>
      <c r="U190" s="898">
        <v>1</v>
      </c>
      <c r="V190" s="238">
        <v>1</v>
      </c>
      <c r="W190" s="1096">
        <f t="shared" ca="1" si="35"/>
        <v>0</v>
      </c>
      <c r="X190" s="1097">
        <f t="shared" ca="1" si="36"/>
        <v>0</v>
      </c>
      <c r="Y190" s="20"/>
    </row>
    <row r="191" spans="1:25" s="1022" customFormat="1">
      <c r="A191" s="659" t="s">
        <v>3205</v>
      </c>
      <c r="B191" s="515" t="s">
        <v>1537</v>
      </c>
      <c r="C191" s="497">
        <f>tot_bp_man</f>
        <v>0</v>
      </c>
      <c r="D191" s="498" t="s">
        <v>2192</v>
      </c>
      <c r="E191" s="516" t="str">
        <f>IF(C191=0,"NA",bypass_valve_size)</f>
        <v>NA</v>
      </c>
      <c r="F191" s="335" t="str">
        <f t="shared" si="37"/>
        <v/>
      </c>
      <c r="G191" s="497" t="str">
        <f>IF(C191=0,"NA",IF(curve=1,bypass_valve_size,VLOOKUP(bypass_valve_size,pp_man_cost_cl,2)))</f>
        <v>NA</v>
      </c>
      <c r="H191" s="335" t="str">
        <f t="shared" si="38"/>
        <v/>
      </c>
      <c r="I191" s="478" t="str">
        <f>IF(C191=0,"NA",IF(curve=1,pp_man_eq_bp,VLOOKUP(bypass_valve_size,pp_man_cost_cl,3)))</f>
        <v>NA</v>
      </c>
      <c r="J191" s="502" t="str">
        <f t="shared" si="39"/>
        <v>--</v>
      </c>
      <c r="K191" s="477" t="str">
        <f>IF(C191=0,"NA",VLOOKUP(bypass_valve_size,pp_man_cost_cl,IF(ss_cat="large",4,5)))</f>
        <v>NA</v>
      </c>
      <c r="L191" s="504"/>
      <c r="M191" s="1100" t="str">
        <f t="shared" si="34"/>
        <v>Manual Valves - Bypass - Polypropylene/PVC</v>
      </c>
      <c r="N191" s="238">
        <v>1</v>
      </c>
      <c r="O191" s="898">
        <v>2</v>
      </c>
      <c r="P191" s="238">
        <v>3</v>
      </c>
      <c r="Q191" s="238">
        <v>1</v>
      </c>
      <c r="R191" s="898">
        <v>2</v>
      </c>
      <c r="S191" s="238">
        <v>3</v>
      </c>
      <c r="T191" s="238">
        <v>1</v>
      </c>
      <c r="U191" s="898">
        <v>2</v>
      </c>
      <c r="V191" s="238">
        <v>3</v>
      </c>
      <c r="W191" s="1096">
        <f t="shared" si="35"/>
        <v>0</v>
      </c>
      <c r="X191" s="1097">
        <f t="shared" si="36"/>
        <v>0</v>
      </c>
      <c r="Y191" s="20"/>
    </row>
    <row r="192" spans="1:25" s="1022" customFormat="1">
      <c r="A192" s="659" t="s">
        <v>3205</v>
      </c>
      <c r="B192" s="515" t="s">
        <v>1538</v>
      </c>
      <c r="C192" s="497">
        <f>tot_bp_man</f>
        <v>0</v>
      </c>
      <c r="D192" s="498" t="s">
        <v>2192</v>
      </c>
      <c r="E192" s="516" t="str">
        <f>IF(C192=0,"NA",bypass_valve_size)</f>
        <v>NA</v>
      </c>
      <c r="F192" s="335" t="str">
        <f t="shared" si="37"/>
        <v/>
      </c>
      <c r="G192" s="497" t="str">
        <f>IF(C192=0,"NA",IF(curve=1,bypass_valve_size,VLOOKUP(bypass_valve_size,ss_man_cost_cl,2)))</f>
        <v>NA</v>
      </c>
      <c r="H192" s="335" t="str">
        <f t="shared" si="38"/>
        <v/>
      </c>
      <c r="I192" s="478" t="str">
        <f>IF(C192=0,"NA",IF(curve=1,ss_man_eq_bp,VLOOKUP(bypass_valve_size,ss_man_cost_cl,3)))</f>
        <v>NA</v>
      </c>
      <c r="J192" s="502" t="str">
        <f t="shared" si="39"/>
        <v>--</v>
      </c>
      <c r="K192" s="477" t="str">
        <f>IF(C192=0,"NA",VLOOKUP(bypass_valve_size,ss_man_cost_cl,IF(ss_cat="large",4,5)))</f>
        <v>NA</v>
      </c>
      <c r="L192" s="504"/>
      <c r="M192" s="1100" t="str">
        <f t="shared" si="34"/>
        <v>Manual Valves - Bypass - Stainless Steel</v>
      </c>
      <c r="N192" s="238">
        <v>3</v>
      </c>
      <c r="O192" s="898">
        <v>3</v>
      </c>
      <c r="P192" s="238">
        <v>1</v>
      </c>
      <c r="Q192" s="238">
        <v>3</v>
      </c>
      <c r="R192" s="898">
        <v>3</v>
      </c>
      <c r="S192" s="238">
        <v>1</v>
      </c>
      <c r="T192" s="238">
        <v>3</v>
      </c>
      <c r="U192" s="898">
        <v>3</v>
      </c>
      <c r="V192" s="238">
        <v>1</v>
      </c>
      <c r="W192" s="1096">
        <f t="shared" si="35"/>
        <v>0</v>
      </c>
      <c r="X192" s="1097">
        <f t="shared" si="36"/>
        <v>0</v>
      </c>
      <c r="Y192" s="20"/>
    </row>
    <row r="193" spans="1:25" s="1022" customFormat="1">
      <c r="A193" s="659" t="s">
        <v>3205</v>
      </c>
      <c r="B193" s="515" t="s">
        <v>1601</v>
      </c>
      <c r="C193" s="497">
        <f>tot_bp_man</f>
        <v>0</v>
      </c>
      <c r="D193" s="498" t="s">
        <v>2192</v>
      </c>
      <c r="E193" s="516" t="str">
        <f>IF(C193=0,"NA",bypass_valve_size)</f>
        <v>NA</v>
      </c>
      <c r="F193" s="335" t="str">
        <f t="shared" si="37"/>
        <v/>
      </c>
      <c r="G193" s="497" t="str">
        <f>IF(C193=0,"NA",IF(curve=1,bypass_valve_size,VLOOKUP(bypass_valve_size,ci_bfv_cost_cl,2)))</f>
        <v>NA</v>
      </c>
      <c r="H193" s="335" t="str">
        <f t="shared" si="38"/>
        <v/>
      </c>
      <c r="I193" s="478" t="str">
        <f>IF(C193=0,"NA",IF(curve=1,ci_bfv_eq_bp,VLOOKUP(bypass_valve_size,ci_bfv_cost_cl,3)))</f>
        <v>NA</v>
      </c>
      <c r="J193" s="502" t="str">
        <f t="shared" si="39"/>
        <v>--</v>
      </c>
      <c r="K193" s="477" t="str">
        <f>IF(C193=0,"NA",VLOOKUP(bypass_valve_size,ci_bfv_cost_cl,IF(ss_cat="large",4,5)))</f>
        <v>NA</v>
      </c>
      <c r="L193" s="504"/>
      <c r="M193" s="1100" t="str">
        <f t="shared" si="34"/>
        <v>Manual Valves - Bypass - Cast Iron</v>
      </c>
      <c r="N193" s="238">
        <v>2</v>
      </c>
      <c r="O193" s="898">
        <v>1</v>
      </c>
      <c r="P193" s="238">
        <v>2</v>
      </c>
      <c r="Q193" s="238">
        <v>2</v>
      </c>
      <c r="R193" s="898">
        <v>1</v>
      </c>
      <c r="S193" s="238">
        <v>2</v>
      </c>
      <c r="T193" s="238">
        <v>2</v>
      </c>
      <c r="U193" s="898">
        <v>1</v>
      </c>
      <c r="V193" s="238">
        <v>2</v>
      </c>
      <c r="W193" s="1096">
        <f t="shared" si="35"/>
        <v>0</v>
      </c>
      <c r="X193" s="1097">
        <f t="shared" si="36"/>
        <v>0</v>
      </c>
      <c r="Y193" s="20"/>
    </row>
    <row r="194" spans="1:25" s="1022" customFormat="1">
      <c r="A194" s="659" t="s">
        <v>4730</v>
      </c>
      <c r="B194" s="515" t="s">
        <v>1534</v>
      </c>
      <c r="C194" s="497">
        <f ca="1">total_res_man</f>
        <v>0</v>
      </c>
      <c r="D194" s="498" t="s">
        <v>2192</v>
      </c>
      <c r="E194" s="516" t="str">
        <f ca="1">IF(C194=0,"NA",res_valve_size)</f>
        <v>NA</v>
      </c>
      <c r="F194" s="335" t="str">
        <f ca="1">IF(C194=0,"","in. diam")</f>
        <v/>
      </c>
      <c r="G194" s="497" t="str">
        <f ca="1">IF(C194=0,"NA",IF(curve=1,res_valve_size,VLOOKUP(res_valve_size,pp_man_cost_cl,2)))</f>
        <v>NA</v>
      </c>
      <c r="H194" s="335" t="str">
        <f ca="1">IF(C194=0,"","in. diam")</f>
        <v/>
      </c>
      <c r="I194" s="478" t="str">
        <f ca="1">IF(C194=0,"NA",IF(curve=1,pp_man_eq_res,VLOOKUP(res_valve_size,pp_man_cost_cl,3)))</f>
        <v>NA</v>
      </c>
      <c r="J194" s="502" t="str">
        <f ca="1">IF(OR(I194="contact vendor",I194="NA"),"--",C194*I194)</f>
        <v>--</v>
      </c>
      <c r="K194" s="477" t="str">
        <f ca="1">IF(C194=0,"NA",VLOOKUP(res_valve_size,pp_man_cost_cl,IF(ss_cat="large",4,5)))</f>
        <v>NA</v>
      </c>
      <c r="L194" s="504"/>
      <c r="M194" s="1100" t="str">
        <f t="shared" si="34"/>
        <v>Manual Valves - Residuals - Polypropylene/PVC</v>
      </c>
      <c r="N194" s="238">
        <v>1</v>
      </c>
      <c r="O194" s="898">
        <v>2</v>
      </c>
      <c r="P194" s="238">
        <v>3</v>
      </c>
      <c r="Q194" s="238">
        <v>1</v>
      </c>
      <c r="R194" s="898">
        <v>2</v>
      </c>
      <c r="S194" s="238">
        <v>3</v>
      </c>
      <c r="T194" s="238">
        <v>1</v>
      </c>
      <c r="U194" s="898">
        <v>2</v>
      </c>
      <c r="V194" s="238">
        <v>3</v>
      </c>
      <c r="W194" s="1096">
        <f t="shared" ca="1" si="35"/>
        <v>0</v>
      </c>
      <c r="X194" s="1097">
        <f t="shared" ca="1" si="36"/>
        <v>0</v>
      </c>
      <c r="Y194" s="20"/>
    </row>
    <row r="195" spans="1:25" s="1022" customFormat="1">
      <c r="A195" s="659" t="s">
        <v>4730</v>
      </c>
      <c r="B195" s="515" t="s">
        <v>1535</v>
      </c>
      <c r="C195" s="497">
        <f ca="1">total_res_man</f>
        <v>0</v>
      </c>
      <c r="D195" s="498" t="s">
        <v>2192</v>
      </c>
      <c r="E195" s="516" t="str">
        <f ca="1">IF(C195=0,"NA",res_valve_size)</f>
        <v>NA</v>
      </c>
      <c r="F195" s="335" t="str">
        <f t="shared" ref="F195:F206" ca="1" si="40">IF(C195=0,"","in. diam")</f>
        <v/>
      </c>
      <c r="G195" s="497" t="str">
        <f ca="1">IF(C195=0,"NA",IF(curve=1,res_valve_size,VLOOKUP(res_valve_size,ss_man_cost_cl,2)))</f>
        <v>NA</v>
      </c>
      <c r="H195" s="335" t="str">
        <f t="shared" ref="H195:H206" ca="1" si="41">IF(C195=0,"","in. diam")</f>
        <v/>
      </c>
      <c r="I195" s="478" t="str">
        <f ca="1">IF(C195=0,"NA",IF(curve=1,ss_man_eq_res,VLOOKUP(res_valve_size,ss_man_cost_cl,3)))</f>
        <v>NA</v>
      </c>
      <c r="J195" s="502" t="str">
        <f ca="1">IF(OR(I195="contact vendor",I195="NA"),"--",C195*I195)</f>
        <v>--</v>
      </c>
      <c r="K195" s="477" t="str">
        <f ca="1">IF(C195=0,"NA",VLOOKUP(res_valve_size,ss_man_cost_cl,IF(ss_cat="large",4,5)))</f>
        <v>NA</v>
      </c>
      <c r="L195" s="504"/>
      <c r="M195" s="1100" t="str">
        <f t="shared" si="34"/>
        <v>Manual Valves - Residuals - Stainless Steel</v>
      </c>
      <c r="N195" s="238">
        <v>3</v>
      </c>
      <c r="O195" s="898">
        <v>3</v>
      </c>
      <c r="P195" s="238">
        <v>1</v>
      </c>
      <c r="Q195" s="238">
        <v>3</v>
      </c>
      <c r="R195" s="898">
        <v>3</v>
      </c>
      <c r="S195" s="238">
        <v>1</v>
      </c>
      <c r="T195" s="238">
        <v>3</v>
      </c>
      <c r="U195" s="898">
        <v>3</v>
      </c>
      <c r="V195" s="238">
        <v>1</v>
      </c>
      <c r="W195" s="1096">
        <f t="shared" ca="1" si="35"/>
        <v>0</v>
      </c>
      <c r="X195" s="1097">
        <f t="shared" ca="1" si="36"/>
        <v>0</v>
      </c>
      <c r="Y195" s="20"/>
    </row>
    <row r="196" spans="1:25" s="1022" customFormat="1">
      <c r="A196" s="659" t="s">
        <v>4730</v>
      </c>
      <c r="B196" s="515" t="s">
        <v>1536</v>
      </c>
      <c r="C196" s="497">
        <f ca="1">total_res_man</f>
        <v>0</v>
      </c>
      <c r="D196" s="498" t="s">
        <v>2192</v>
      </c>
      <c r="E196" s="516" t="str">
        <f ca="1">IF(C196=0,"NA",res_valve_size)</f>
        <v>NA</v>
      </c>
      <c r="F196" s="335" t="str">
        <f t="shared" ca="1" si="40"/>
        <v/>
      </c>
      <c r="G196" s="497" t="str">
        <f ca="1">IF(C196=0,"NA",IF(curve=1,res_valve_size,VLOOKUP(res_valve_size,ci_bfv_cost_cl,2)))</f>
        <v>NA</v>
      </c>
      <c r="H196" s="335" t="str">
        <f t="shared" ca="1" si="41"/>
        <v/>
      </c>
      <c r="I196" s="478" t="str">
        <f ca="1">IF(C196=0,"NA",IF(curve=1,ci_bfv_eq_res,VLOOKUP(res_valve_size,ci_bfv_cost_cl,3)))</f>
        <v>NA</v>
      </c>
      <c r="J196" s="502" t="str">
        <f ca="1">IF(OR(I196="contact vendor",I196="NA"),"--",C196*I196)</f>
        <v>--</v>
      </c>
      <c r="K196" s="477" t="str">
        <f ca="1">IF(C196=0,"NA",VLOOKUP(res_valve_size,ci_bfv_cost_cl,IF(ss_cat="large",4,5)))</f>
        <v>NA</v>
      </c>
      <c r="L196" s="504"/>
      <c r="M196" s="1100" t="str">
        <f t="shared" si="34"/>
        <v>Manual Valves - Residuals - Cast Iron</v>
      </c>
      <c r="N196" s="238">
        <v>2</v>
      </c>
      <c r="O196" s="898">
        <v>1</v>
      </c>
      <c r="P196" s="238">
        <v>2</v>
      </c>
      <c r="Q196" s="238">
        <v>2</v>
      </c>
      <c r="R196" s="898">
        <v>1</v>
      </c>
      <c r="S196" s="238">
        <v>2</v>
      </c>
      <c r="T196" s="238">
        <v>2</v>
      </c>
      <c r="U196" s="898">
        <v>1</v>
      </c>
      <c r="V196" s="238">
        <v>2</v>
      </c>
      <c r="W196" s="1096">
        <f t="shared" ca="1" si="35"/>
        <v>0</v>
      </c>
      <c r="X196" s="1097">
        <f t="shared" ca="1" si="36"/>
        <v>0</v>
      </c>
      <c r="Y196" s="20"/>
    </row>
    <row r="197" spans="1:25" s="1022" customFormat="1">
      <c r="A197" s="584">
        <v>4.3</v>
      </c>
      <c r="B197" s="507" t="s">
        <v>1603</v>
      </c>
      <c r="C197" s="494"/>
      <c r="D197" s="495"/>
      <c r="E197" s="512"/>
      <c r="F197" s="474"/>
      <c r="G197" s="512"/>
      <c r="H197" s="474"/>
      <c r="I197" s="494"/>
      <c r="J197" s="494"/>
      <c r="K197" s="494"/>
      <c r="L197" s="496"/>
      <c r="M197" s="898"/>
      <c r="N197" s="238"/>
      <c r="O197" s="238"/>
      <c r="P197" s="238"/>
      <c r="Q197" s="238"/>
      <c r="R197" s="238"/>
      <c r="S197" s="238"/>
      <c r="T197" s="238"/>
      <c r="U197" s="238"/>
      <c r="V197" s="238"/>
      <c r="W197" s="1096">
        <f t="shared" si="35"/>
        <v>0</v>
      </c>
      <c r="X197" s="1097">
        <f t="shared" si="36"/>
        <v>0</v>
      </c>
      <c r="Y197" s="20"/>
    </row>
    <row r="198" spans="1:25" s="1021" customFormat="1">
      <c r="A198" s="661" t="s">
        <v>3206</v>
      </c>
      <c r="B198" s="485" t="s">
        <v>1534</v>
      </c>
      <c r="C198" s="497">
        <f ca="1">tot_res_chv</f>
        <v>2</v>
      </c>
      <c r="D198" s="498" t="s">
        <v>2192</v>
      </c>
      <c r="E198" s="497">
        <f ca="1">IF(C198=0,"NA",res_valve_size)</f>
        <v>6</v>
      </c>
      <c r="F198" s="335" t="str">
        <f t="shared" ca="1" si="40"/>
        <v>in. diam</v>
      </c>
      <c r="G198" s="497">
        <f ca="1">IF(C198=0,"NA",IF(curve=1,res_valve_size,VLOOKUP(res_valve_size,pp_chv_cost_cl,2)))</f>
        <v>6</v>
      </c>
      <c r="H198" s="335" t="str">
        <f t="shared" ca="1" si="41"/>
        <v>in. diam</v>
      </c>
      <c r="I198" s="501">
        <f ca="1">IF(C198=0,0,IF(curve=1,pp_chv_eq_res,VLOOKUP(res_valve_size,pp_chv_cost_cl,3)))</f>
        <v>1226.2284409620001</v>
      </c>
      <c r="J198" s="502">
        <f t="shared" ref="J198:J206" ca="1" si="42">IF(OR(I198="contact vendor",I198="NA"),"--",C198*I198)</f>
        <v>2452.4568819240003</v>
      </c>
      <c r="K198" s="497">
        <f ca="1">IF(C198=0,"NA",VLOOKUP(res_valve_size,pp_chv_cost_cl,IF(ss_cat="large",4,5)))</f>
        <v>25</v>
      </c>
      <c r="L198" s="504">
        <v>1</v>
      </c>
      <c r="M198" s="1100" t="str">
        <f>$B$197&amp;" - "&amp;B198</f>
        <v>Check Valves - Residuals - Polypropylene/PVC</v>
      </c>
      <c r="N198" s="238">
        <v>1</v>
      </c>
      <c r="O198" s="238">
        <v>2</v>
      </c>
      <c r="P198" s="238">
        <v>3</v>
      </c>
      <c r="Q198" s="238">
        <v>1</v>
      </c>
      <c r="R198" s="238">
        <v>2</v>
      </c>
      <c r="S198" s="238">
        <v>3</v>
      </c>
      <c r="T198" s="238">
        <v>1</v>
      </c>
      <c r="U198" s="238">
        <v>2</v>
      </c>
      <c r="V198" s="238">
        <v>3</v>
      </c>
      <c r="W198" s="1096">
        <f t="shared" ca="1" si="35"/>
        <v>1</v>
      </c>
      <c r="X198" s="1097">
        <f t="shared" ca="1" si="36"/>
        <v>98.09827527696001</v>
      </c>
      <c r="Y198" s="472"/>
    </row>
    <row r="199" spans="1:25" s="1021" customFormat="1">
      <c r="A199" s="661" t="s">
        <v>3206</v>
      </c>
      <c r="B199" s="335" t="s">
        <v>1535</v>
      </c>
      <c r="C199" s="497">
        <f ca="1">tot_res_chv</f>
        <v>2</v>
      </c>
      <c r="D199" s="498" t="s">
        <v>2192</v>
      </c>
      <c r="E199" s="497">
        <f ca="1">IF(C199=0,"NA",res_valve_size)</f>
        <v>6</v>
      </c>
      <c r="F199" s="335" t="str">
        <f t="shared" ca="1" si="40"/>
        <v>in. diam</v>
      </c>
      <c r="G199" s="497">
        <f ca="1">IF(C199=0,"NA",IF(curve=1,res_valve_size,VLOOKUP(res_valve_size,ss_chv_cost_cl,2)))</f>
        <v>6</v>
      </c>
      <c r="H199" s="335" t="str">
        <f t="shared" ca="1" si="41"/>
        <v>in. diam</v>
      </c>
      <c r="I199" s="501">
        <f ca="1">IF(C199=0,0,IF(curve=1,ss_chv_eq_res,VLOOKUP(res_valve_size,ss_chv_cost_cl,3)))</f>
        <v>2809.4367461900001</v>
      </c>
      <c r="J199" s="502">
        <f t="shared" ca="1" si="42"/>
        <v>5618.8734923800002</v>
      </c>
      <c r="K199" s="497">
        <f ca="1">IF(C199=0,"NA",VLOOKUP(res_valve_size,ss_chv_cost_cl,IF(ss_cat="large",4,5)))</f>
        <v>25</v>
      </c>
      <c r="L199" s="504">
        <v>0</v>
      </c>
      <c r="M199" s="1100" t="str">
        <f>$B$197&amp;" - "&amp;B199</f>
        <v>Check Valves - Residuals - Stainless Steel</v>
      </c>
      <c r="N199" s="238">
        <v>3</v>
      </c>
      <c r="O199" s="238">
        <v>3</v>
      </c>
      <c r="P199" s="238">
        <v>1</v>
      </c>
      <c r="Q199" s="238">
        <v>3</v>
      </c>
      <c r="R199" s="238">
        <v>3</v>
      </c>
      <c r="S199" s="238">
        <v>1</v>
      </c>
      <c r="T199" s="238">
        <v>3</v>
      </c>
      <c r="U199" s="238">
        <v>3</v>
      </c>
      <c r="V199" s="238">
        <v>1</v>
      </c>
      <c r="W199" s="1096">
        <f t="shared" ref="W199:W230" ca="1" si="43">IF(ISERROR(K199*L199),0,IF(K199&lt;1,0,L199))</f>
        <v>0</v>
      </c>
      <c r="X199" s="1097">
        <f t="shared" ref="X199:X230" ca="1" si="44">IF(W199,J199/K199,0)</f>
        <v>0</v>
      </c>
      <c r="Y199" s="472"/>
    </row>
    <row r="200" spans="1:25" s="1021" customFormat="1">
      <c r="A200" s="661" t="s">
        <v>3206</v>
      </c>
      <c r="B200" s="335" t="s">
        <v>1536</v>
      </c>
      <c r="C200" s="497">
        <f ca="1">tot_res_chv</f>
        <v>2</v>
      </c>
      <c r="D200" s="498" t="s">
        <v>2192</v>
      </c>
      <c r="E200" s="497">
        <f ca="1">IF(C200=0,"NA",res_valve_size)</f>
        <v>6</v>
      </c>
      <c r="F200" s="335" t="str">
        <f t="shared" ca="1" si="40"/>
        <v>in. diam</v>
      </c>
      <c r="G200" s="497">
        <f ca="1">IF(C200=0,"NA",IF(curve=1,res_valve_size,VLOOKUP(res_valve_size,ci_chv_cost_cl,2)))</f>
        <v>6</v>
      </c>
      <c r="H200" s="335" t="str">
        <f t="shared" ca="1" si="41"/>
        <v>in. diam</v>
      </c>
      <c r="I200" s="501">
        <f ca="1">IF(C200=0,0,IF(curve=1,ci_chv_eq_res,VLOOKUP(res_valve_size,ci_chv_cost_cl,3)))</f>
        <v>2862.6188274380002</v>
      </c>
      <c r="J200" s="502">
        <f t="shared" ca="1" si="42"/>
        <v>5725.2376548760003</v>
      </c>
      <c r="K200" s="517">
        <f ca="1">IF(C200=0,"NA",VLOOKUP(res_valve_size,ci_chv_cost_cl,IF(ss_cat="large",4,5)))</f>
        <v>25</v>
      </c>
      <c r="L200" s="518">
        <v>0</v>
      </c>
      <c r="M200" s="1100" t="str">
        <f>$B$197&amp;" - "&amp;B200</f>
        <v>Check Valves - Residuals - Cast Iron</v>
      </c>
      <c r="N200" s="238">
        <v>2</v>
      </c>
      <c r="O200" s="238">
        <v>1</v>
      </c>
      <c r="P200" s="238">
        <v>2</v>
      </c>
      <c r="Q200" s="238">
        <v>2</v>
      </c>
      <c r="R200" s="238">
        <v>1</v>
      </c>
      <c r="S200" s="238">
        <v>2</v>
      </c>
      <c r="T200" s="238">
        <v>2</v>
      </c>
      <c r="U200" s="238">
        <v>1</v>
      </c>
      <c r="V200" s="238">
        <v>2</v>
      </c>
      <c r="W200" s="1096">
        <f t="shared" ca="1" si="43"/>
        <v>0</v>
      </c>
      <c r="X200" s="1097">
        <f t="shared" ca="1" si="44"/>
        <v>0</v>
      </c>
      <c r="Y200" s="472"/>
    </row>
    <row r="201" spans="1:25" s="1021" customFormat="1">
      <c r="A201" s="661" t="s">
        <v>3207</v>
      </c>
      <c r="B201" s="515" t="s">
        <v>5548</v>
      </c>
      <c r="C201" s="497">
        <f>tot_in_chv</f>
        <v>1</v>
      </c>
      <c r="D201" s="498" t="s">
        <v>2192</v>
      </c>
      <c r="E201" s="497">
        <f>IF(C201=0,"NA",in_valve_size)</f>
        <v>10</v>
      </c>
      <c r="F201" s="335" t="str">
        <f t="shared" si="40"/>
        <v>in. diam</v>
      </c>
      <c r="G201" s="516">
        <f>IF(curve=1,in_valve_size,VLOOKUP(in_valve_size,pp_chv_cost_cl,2))</f>
        <v>10</v>
      </c>
      <c r="H201" s="335" t="str">
        <f t="shared" si="41"/>
        <v>in. diam</v>
      </c>
      <c r="I201" s="501">
        <f>IF(curve=1,pp_chv_eq_in,VLOOKUP(in_valve_size,pp_chv_cost_cl,3))</f>
        <v>2969.62455361</v>
      </c>
      <c r="J201" s="502">
        <f t="shared" si="42"/>
        <v>2969.62455361</v>
      </c>
      <c r="K201" s="497">
        <f>IF(C201=0,"NA",VLOOKUP(in_valve_size,pp_chv_cost_cl,IF(ss_cat="large",4,5)))</f>
        <v>25</v>
      </c>
      <c r="L201" s="504">
        <v>1</v>
      </c>
      <c r="M201" s="1100" t="str">
        <f t="shared" ref="M201:M206" si="45">$B$197&amp;" - "&amp;B201</f>
        <v>Check Valves - Influent - Polypropylene/PVC</v>
      </c>
      <c r="N201" s="238">
        <v>1</v>
      </c>
      <c r="O201" s="238">
        <v>2</v>
      </c>
      <c r="P201" s="238">
        <v>3</v>
      </c>
      <c r="Q201" s="238">
        <v>1</v>
      </c>
      <c r="R201" s="238">
        <v>2</v>
      </c>
      <c r="S201" s="238">
        <v>3</v>
      </c>
      <c r="T201" s="238">
        <v>1</v>
      </c>
      <c r="U201" s="238">
        <v>2</v>
      </c>
      <c r="V201" s="238">
        <v>3</v>
      </c>
      <c r="W201" s="1096">
        <f t="shared" si="43"/>
        <v>1</v>
      </c>
      <c r="X201" s="1097">
        <f t="shared" si="44"/>
        <v>118.7849821444</v>
      </c>
      <c r="Y201" s="472"/>
    </row>
    <row r="202" spans="1:25" s="1021" customFormat="1">
      <c r="A202" s="661" t="s">
        <v>3207</v>
      </c>
      <c r="B202" s="515" t="s">
        <v>5549</v>
      </c>
      <c r="C202" s="497">
        <f>tot_in_chv</f>
        <v>1</v>
      </c>
      <c r="D202" s="498" t="s">
        <v>2192</v>
      </c>
      <c r="E202" s="497">
        <f>IF(C202=0,"NA",in_valve_size)</f>
        <v>10</v>
      </c>
      <c r="F202" s="335" t="str">
        <f t="shared" si="40"/>
        <v>in. diam</v>
      </c>
      <c r="G202" s="516">
        <f>IF(curve=1,in_valve_size,VLOOKUP(in_valve_size,ss_chv_cost_cl,2))</f>
        <v>10</v>
      </c>
      <c r="H202" s="335" t="str">
        <f t="shared" si="41"/>
        <v>in. diam</v>
      </c>
      <c r="I202" s="501">
        <f>IF(curve=1,ss_chv_eq_in,VLOOKUP(in_valve_size,ss_chv_cost_cl,3))</f>
        <v>6355.9204678860006</v>
      </c>
      <c r="J202" s="502">
        <f t="shared" si="42"/>
        <v>6355.9204678860006</v>
      </c>
      <c r="K202" s="497">
        <f>IF(C202=0,"NA",VLOOKUP(in_valve_size,ss_chv_cost_cl,IF(ss_cat="large",4,5)))</f>
        <v>25</v>
      </c>
      <c r="L202" s="504">
        <v>0</v>
      </c>
      <c r="M202" s="1100" t="str">
        <f t="shared" si="45"/>
        <v>Check Valves - Influent - Stainless Steel</v>
      </c>
      <c r="N202" s="238">
        <v>3</v>
      </c>
      <c r="O202" s="238">
        <v>3</v>
      </c>
      <c r="P202" s="238">
        <v>1</v>
      </c>
      <c r="Q202" s="238">
        <v>3</v>
      </c>
      <c r="R202" s="238">
        <v>3</v>
      </c>
      <c r="S202" s="238">
        <v>1</v>
      </c>
      <c r="T202" s="238">
        <v>3</v>
      </c>
      <c r="U202" s="238">
        <v>3</v>
      </c>
      <c r="V202" s="238">
        <v>1</v>
      </c>
      <c r="W202" s="1096">
        <f t="shared" si="43"/>
        <v>0</v>
      </c>
      <c r="X202" s="1097">
        <f t="shared" si="44"/>
        <v>0</v>
      </c>
      <c r="Y202" s="472"/>
    </row>
    <row r="203" spans="1:25" s="1021" customFormat="1">
      <c r="A203" s="661" t="s">
        <v>3207</v>
      </c>
      <c r="B203" s="515" t="s">
        <v>5550</v>
      </c>
      <c r="C203" s="497">
        <f>tot_in_chv</f>
        <v>1</v>
      </c>
      <c r="D203" s="498" t="s">
        <v>2192</v>
      </c>
      <c r="E203" s="497">
        <f>IF(C203=0,"NA",in_valve_size)</f>
        <v>10</v>
      </c>
      <c r="F203" s="335" t="str">
        <f t="shared" si="40"/>
        <v>in. diam</v>
      </c>
      <c r="G203" s="516">
        <f>IF(curve=1,in_valve_size,VLOOKUP(in_valve_size,ci_chv_cost_cl,2))</f>
        <v>10</v>
      </c>
      <c r="H203" s="335" t="str">
        <f t="shared" si="41"/>
        <v>in. diam</v>
      </c>
      <c r="I203" s="501">
        <f>IF(curve=1,ci_chv_eq_in,VLOOKUP(in_valve_size,ci_chv_cost_cl,3))</f>
        <v>8480.7544933100016</v>
      </c>
      <c r="J203" s="502">
        <f t="shared" si="42"/>
        <v>8480.7544933100016</v>
      </c>
      <c r="K203" s="497">
        <f>IF(C203=0,"NA",VLOOKUP(in_valve_size,ci_chv_cost_cl,IF(ss_cat="large",4,5)))</f>
        <v>25</v>
      </c>
      <c r="L203" s="504">
        <v>0</v>
      </c>
      <c r="M203" s="1100" t="str">
        <f t="shared" si="45"/>
        <v>Check Valves - Influent - Cast Iron</v>
      </c>
      <c r="N203" s="238">
        <v>2</v>
      </c>
      <c r="O203" s="238">
        <v>1</v>
      </c>
      <c r="P203" s="238">
        <v>2</v>
      </c>
      <c r="Q203" s="238">
        <v>2</v>
      </c>
      <c r="R203" s="238">
        <v>1</v>
      </c>
      <c r="S203" s="238">
        <v>2</v>
      </c>
      <c r="T203" s="238">
        <v>2</v>
      </c>
      <c r="U203" s="238">
        <v>1</v>
      </c>
      <c r="V203" s="238">
        <v>2</v>
      </c>
      <c r="W203" s="1096">
        <f t="shared" si="43"/>
        <v>0</v>
      </c>
      <c r="X203" s="1097">
        <f t="shared" si="44"/>
        <v>0</v>
      </c>
      <c r="Y203" s="472"/>
    </row>
    <row r="204" spans="1:25" s="1021" customFormat="1">
      <c r="A204" s="661" t="s">
        <v>3208</v>
      </c>
      <c r="B204" s="515" t="s">
        <v>1537</v>
      </c>
      <c r="C204" s="497">
        <f>IF(bp_pct&gt;0,tot_bp_chv,0)</f>
        <v>0</v>
      </c>
      <c r="D204" s="498" t="s">
        <v>2192</v>
      </c>
      <c r="E204" s="497" t="str">
        <f>IF(C204=0,"NA",bypass_valve_size)</f>
        <v>NA</v>
      </c>
      <c r="F204" s="335" t="str">
        <f t="shared" si="40"/>
        <v/>
      </c>
      <c r="G204" s="516" t="str">
        <f>IF(C204=0,"NA",(IF(curve=1,bypass_valve_size,VLOOKUP(bypass_valve_size,pp_chv_cost_cl,2))))</f>
        <v>NA</v>
      </c>
      <c r="H204" s="335" t="str">
        <f t="shared" si="41"/>
        <v/>
      </c>
      <c r="I204" s="501" t="str">
        <f>IF(C204=0,"NA",(IF(curve=1,pp_chv_eq_bp,VLOOKUP(bypass_valve_size,pp_chv_cost_cl,3))))</f>
        <v>NA</v>
      </c>
      <c r="J204" s="502" t="str">
        <f t="shared" si="42"/>
        <v>--</v>
      </c>
      <c r="K204" s="497" t="str">
        <f>IF(C204=0,"NA",VLOOKUP(bypass_valve_size,pp_chv_cost_cl,IF(ss_cat="large",4,5)))</f>
        <v>NA</v>
      </c>
      <c r="L204" s="504"/>
      <c r="M204" s="1100" t="str">
        <f t="shared" si="45"/>
        <v>Check Valves - Bypass - Polypropylene/PVC</v>
      </c>
      <c r="N204" s="238">
        <v>1</v>
      </c>
      <c r="O204" s="238">
        <v>2</v>
      </c>
      <c r="P204" s="238">
        <v>3</v>
      </c>
      <c r="Q204" s="238">
        <v>1</v>
      </c>
      <c r="R204" s="238">
        <v>2</v>
      </c>
      <c r="S204" s="238">
        <v>3</v>
      </c>
      <c r="T204" s="238">
        <v>1</v>
      </c>
      <c r="U204" s="238">
        <v>2</v>
      </c>
      <c r="V204" s="238">
        <v>3</v>
      </c>
      <c r="W204" s="1096">
        <f t="shared" si="43"/>
        <v>0</v>
      </c>
      <c r="X204" s="1097">
        <f t="shared" si="44"/>
        <v>0</v>
      </c>
      <c r="Y204" s="472"/>
    </row>
    <row r="205" spans="1:25" s="1021" customFormat="1">
      <c r="A205" s="661" t="s">
        <v>3208</v>
      </c>
      <c r="B205" s="515" t="s">
        <v>1538</v>
      </c>
      <c r="C205" s="497">
        <f>IF(bp_pct&gt;0,tot_bp_chv,0)</f>
        <v>0</v>
      </c>
      <c r="D205" s="498" t="s">
        <v>2192</v>
      </c>
      <c r="E205" s="497" t="str">
        <f>IF(C205=0,"NA",bypass_valve_size)</f>
        <v>NA</v>
      </c>
      <c r="F205" s="335" t="str">
        <f t="shared" si="40"/>
        <v/>
      </c>
      <c r="G205" s="516" t="str">
        <f>IF(C205=0,"NA",(IF(curve=1,bypass_valve_size,VLOOKUP(bypass_valve_size,ss_chv_cost_cl,2))))</f>
        <v>NA</v>
      </c>
      <c r="H205" s="335" t="str">
        <f t="shared" si="41"/>
        <v/>
      </c>
      <c r="I205" s="501" t="str">
        <f>IF(C205=0,"NA",(IF(curve=1,ss_chv_eq_bp,VLOOKUP(bypass_valve_size,ss_chv_cost_cl,3))))</f>
        <v>NA</v>
      </c>
      <c r="J205" s="502" t="str">
        <f t="shared" si="42"/>
        <v>--</v>
      </c>
      <c r="K205" s="497" t="str">
        <f>IF(C205=0,"NA",VLOOKUP(bypass_valve_size,ss_chv_cost_cl,IF(ss_cat="large",4,5)))</f>
        <v>NA</v>
      </c>
      <c r="L205" s="504"/>
      <c r="M205" s="1100" t="str">
        <f t="shared" si="45"/>
        <v>Check Valves - Bypass - Stainless Steel</v>
      </c>
      <c r="N205" s="238">
        <v>3</v>
      </c>
      <c r="O205" s="238">
        <v>3</v>
      </c>
      <c r="P205" s="238">
        <v>1</v>
      </c>
      <c r="Q205" s="238">
        <v>3</v>
      </c>
      <c r="R205" s="238">
        <v>3</v>
      </c>
      <c r="S205" s="238">
        <v>1</v>
      </c>
      <c r="T205" s="238">
        <v>3</v>
      </c>
      <c r="U205" s="238">
        <v>3</v>
      </c>
      <c r="V205" s="238">
        <v>1</v>
      </c>
      <c r="W205" s="1096">
        <f t="shared" si="43"/>
        <v>0</v>
      </c>
      <c r="X205" s="1097">
        <f t="shared" si="44"/>
        <v>0</v>
      </c>
      <c r="Y205" s="472"/>
    </row>
    <row r="206" spans="1:25" s="1021" customFormat="1">
      <c r="A206" s="661" t="s">
        <v>3208</v>
      </c>
      <c r="B206" s="515" t="s">
        <v>1601</v>
      </c>
      <c r="C206" s="497">
        <f>IF(bp_pct&gt;0,tot_bp_chv,0)</f>
        <v>0</v>
      </c>
      <c r="D206" s="498" t="s">
        <v>2192</v>
      </c>
      <c r="E206" s="497" t="str">
        <f>IF(C206=0,"NA",bypass_valve_size)</f>
        <v>NA</v>
      </c>
      <c r="F206" s="335" t="str">
        <f t="shared" si="40"/>
        <v/>
      </c>
      <c r="G206" s="516" t="str">
        <f>IF(C206=0,"NA",(IF(curve=1,bypass_valve_size,VLOOKUP(bypass_valve_size,ci_chv_cost_cl,2))))</f>
        <v>NA</v>
      </c>
      <c r="H206" s="335" t="str">
        <f t="shared" si="41"/>
        <v/>
      </c>
      <c r="I206" s="501" t="str">
        <f>IF(C206=0,"NA",(IF(curve=1,ci_chv_eq_bp,VLOOKUP(bypass_valve_size,ci_chv_cost_cl,3))))</f>
        <v>NA</v>
      </c>
      <c r="J206" s="502" t="str">
        <f t="shared" si="42"/>
        <v>--</v>
      </c>
      <c r="K206" s="497" t="str">
        <f>IF(C206=0,"NA",VLOOKUP(bypass_valve_size,ci_chv_cost_cl,IF(ss_cat="large",4,5)))</f>
        <v>NA</v>
      </c>
      <c r="L206" s="504"/>
      <c r="M206" s="1100" t="str">
        <f t="shared" si="45"/>
        <v>Check Valves - Bypass - Cast Iron</v>
      </c>
      <c r="N206" s="238">
        <v>2</v>
      </c>
      <c r="O206" s="238">
        <v>1</v>
      </c>
      <c r="P206" s="238">
        <v>2</v>
      </c>
      <c r="Q206" s="238">
        <v>2</v>
      </c>
      <c r="R206" s="238">
        <v>1</v>
      </c>
      <c r="S206" s="238">
        <v>2</v>
      </c>
      <c r="T206" s="238">
        <v>2</v>
      </c>
      <c r="U206" s="238">
        <v>1</v>
      </c>
      <c r="V206" s="238">
        <v>2</v>
      </c>
      <c r="W206" s="1096">
        <f t="shared" si="43"/>
        <v>0</v>
      </c>
      <c r="X206" s="1097">
        <f t="shared" si="44"/>
        <v>0</v>
      </c>
      <c r="Y206" s="472"/>
    </row>
    <row r="207" spans="1:25" s="1021" customFormat="1">
      <c r="A207" s="661" t="s">
        <v>5088</v>
      </c>
      <c r="B207" s="515" t="s">
        <v>5090</v>
      </c>
      <c r="C207" s="497">
        <f ca="1">+tot_feedpump_chv</f>
        <v>2</v>
      </c>
      <c r="D207" s="498" t="s">
        <v>2192</v>
      </c>
      <c r="E207" s="497">
        <f ca="1">IF(C207=0,"NA",feed_valve_size)</f>
        <v>6</v>
      </c>
      <c r="F207" s="335" t="str">
        <f t="shared" ref="F207:F212" ca="1" si="46">IF(C207=0,"","in. diam")</f>
        <v>in. diam</v>
      </c>
      <c r="G207" s="516">
        <f ca="1">IF(C207=0,"NA",(IF(curve=1,feed_valve_size,VLOOKUP(feed_valve_size,pp_chv_cost_cl,2))))</f>
        <v>6</v>
      </c>
      <c r="H207" s="335" t="str">
        <f t="shared" ref="H207:H212" ca="1" si="47">IF(C207=0,"","in. diam")</f>
        <v>in. diam</v>
      </c>
      <c r="I207" s="501">
        <f ca="1">IF(C207=0,"NA",(IF(curve=1,pp_chv_eq_feed,VLOOKUP(feed_valve_size,pp_chv_cost_cl,3))))</f>
        <v>1226.2284409620001</v>
      </c>
      <c r="J207" s="502">
        <f t="shared" ref="J207:J212" ca="1" si="48">IF(OR(I207="contact vendor",I207="NA"),"--",C207*I207)</f>
        <v>2452.4568819240003</v>
      </c>
      <c r="K207" s="497">
        <f ca="1">IF(C207=0,"NA",VLOOKUP(feed_valve_size,pp_chv_cost_cl,IF(ss_cat="large",4,5)))</f>
        <v>25</v>
      </c>
      <c r="L207" s="504">
        <v>1</v>
      </c>
      <c r="M207" s="1100" t="str">
        <f t="shared" ref="M207:M212" si="49">$B$197&amp;" - "&amp;B207</f>
        <v>Check Valves - Feed pumps - Polypropylene/PVC</v>
      </c>
      <c r="N207" s="238">
        <v>1</v>
      </c>
      <c r="O207" s="238">
        <v>2</v>
      </c>
      <c r="P207" s="238">
        <v>3</v>
      </c>
      <c r="Q207" s="238">
        <v>1</v>
      </c>
      <c r="R207" s="238">
        <v>2</v>
      </c>
      <c r="S207" s="238">
        <v>3</v>
      </c>
      <c r="T207" s="238">
        <v>1</v>
      </c>
      <c r="U207" s="238">
        <v>2</v>
      </c>
      <c r="V207" s="238">
        <v>3</v>
      </c>
      <c r="W207" s="1096">
        <f t="shared" ca="1" si="43"/>
        <v>1</v>
      </c>
      <c r="X207" s="1097">
        <f t="shared" ca="1" si="44"/>
        <v>98.09827527696001</v>
      </c>
      <c r="Y207" s="472"/>
    </row>
    <row r="208" spans="1:25" s="1021" customFormat="1">
      <c r="A208" s="661" t="s">
        <v>5088</v>
      </c>
      <c r="B208" s="515" t="s">
        <v>5091</v>
      </c>
      <c r="C208" s="497">
        <f ca="1">+tot_feedpump_chv</f>
        <v>2</v>
      </c>
      <c r="D208" s="498" t="s">
        <v>2192</v>
      </c>
      <c r="E208" s="497">
        <f ca="1">IF(C208=0,"NA",feed_valve_size)</f>
        <v>6</v>
      </c>
      <c r="F208" s="335" t="str">
        <f t="shared" ca="1" si="46"/>
        <v>in. diam</v>
      </c>
      <c r="G208" s="516">
        <f ca="1">IF(C208=0,"NA",(IF(curve=1,feed_valve_size,VLOOKUP(feed_valve_size,ss_chv_cost_cl,2))))</f>
        <v>6</v>
      </c>
      <c r="H208" s="335" t="str">
        <f t="shared" ca="1" si="47"/>
        <v>in. diam</v>
      </c>
      <c r="I208" s="501">
        <f ca="1">IF(C208=0,"NA",(IF(curve=1,ss_chv_eq_feed,VLOOKUP(bypass_valve_size,ss_chv_cost_cl,3))))</f>
        <v>2809.4367461900001</v>
      </c>
      <c r="J208" s="502">
        <f t="shared" ca="1" si="48"/>
        <v>5618.8734923800002</v>
      </c>
      <c r="K208" s="497">
        <f ca="1">IF(C208=0,"NA",VLOOKUP(feed_valve_size,ss_chv_cost_cl,IF(ss_cat="large",4,5)))</f>
        <v>25</v>
      </c>
      <c r="L208" s="504">
        <v>0</v>
      </c>
      <c r="M208" s="1100" t="str">
        <f t="shared" si="49"/>
        <v>Check Valves - Feed pumps - Stainless Steel</v>
      </c>
      <c r="N208" s="238">
        <v>3</v>
      </c>
      <c r="O208" s="238">
        <v>3</v>
      </c>
      <c r="P208" s="238">
        <v>1</v>
      </c>
      <c r="Q208" s="238">
        <v>3</v>
      </c>
      <c r="R208" s="238">
        <v>3</v>
      </c>
      <c r="S208" s="238">
        <v>1</v>
      </c>
      <c r="T208" s="238">
        <v>3</v>
      </c>
      <c r="U208" s="238">
        <v>3</v>
      </c>
      <c r="V208" s="238">
        <v>1</v>
      </c>
      <c r="W208" s="1096">
        <f t="shared" ca="1" si="43"/>
        <v>0</v>
      </c>
      <c r="X208" s="1097">
        <f t="shared" ca="1" si="44"/>
        <v>0</v>
      </c>
      <c r="Y208" s="472"/>
    </row>
    <row r="209" spans="1:25" s="1021" customFormat="1">
      <c r="A209" s="661" t="s">
        <v>5088</v>
      </c>
      <c r="B209" s="515" t="s">
        <v>5092</v>
      </c>
      <c r="C209" s="497">
        <f ca="1">+tot_feedpump_chv</f>
        <v>2</v>
      </c>
      <c r="D209" s="498" t="s">
        <v>2192</v>
      </c>
      <c r="E209" s="497">
        <f ca="1">IF(C209=0,"NA",feed_valve_size)</f>
        <v>6</v>
      </c>
      <c r="F209" s="335" t="str">
        <f t="shared" ca="1" si="46"/>
        <v>in. diam</v>
      </c>
      <c r="G209" s="516">
        <f ca="1">IF(C209=0,"NA",(IF(curve=1,feed_valve_size,VLOOKUP(feed_valve_size,ci_chv_cost_cl,2))))</f>
        <v>6</v>
      </c>
      <c r="H209" s="335" t="str">
        <f t="shared" ca="1" si="47"/>
        <v>in. diam</v>
      </c>
      <c r="I209" s="501">
        <f ca="1">IF(C209=0,"NA",(IF(curve=1,ci_chv_eq_feed,VLOOKUP(bypass_valve_size,ci_chv_cost_cl,3))))</f>
        <v>2862.6188274380002</v>
      </c>
      <c r="J209" s="502">
        <f t="shared" ca="1" si="48"/>
        <v>5725.2376548760003</v>
      </c>
      <c r="K209" s="497">
        <f ca="1">IF(C209=0,"NA",VLOOKUP(feed_valve_size,ci_chv_cost_cl,IF(ss_cat="large",4,5)))</f>
        <v>25</v>
      </c>
      <c r="L209" s="504">
        <v>0</v>
      </c>
      <c r="M209" s="1100" t="str">
        <f t="shared" si="49"/>
        <v>Check Valves - Feed pumps - Cast Iron</v>
      </c>
      <c r="N209" s="238">
        <v>2</v>
      </c>
      <c r="O209" s="238">
        <v>1</v>
      </c>
      <c r="P209" s="238">
        <v>2</v>
      </c>
      <c r="Q209" s="238">
        <v>2</v>
      </c>
      <c r="R209" s="238">
        <v>1</v>
      </c>
      <c r="S209" s="238">
        <v>2</v>
      </c>
      <c r="T209" s="238">
        <v>2</v>
      </c>
      <c r="U209" s="238">
        <v>1</v>
      </c>
      <c r="V209" s="238">
        <v>2</v>
      </c>
      <c r="W209" s="1096">
        <f t="shared" ca="1" si="43"/>
        <v>0</v>
      </c>
      <c r="X209" s="1097">
        <f t="shared" ca="1" si="44"/>
        <v>0</v>
      </c>
      <c r="Y209" s="472"/>
    </row>
    <row r="210" spans="1:25" s="1021" customFormat="1">
      <c r="A210" s="661" t="s">
        <v>5089</v>
      </c>
      <c r="B210" s="515" t="s">
        <v>1532</v>
      </c>
      <c r="C210" s="497">
        <f ca="1">+tot_cleaning_chv</f>
        <v>3</v>
      </c>
      <c r="D210" s="498" t="s">
        <v>2192</v>
      </c>
      <c r="E210" s="497">
        <f ca="1">IF(C210=0,"NA",clean_valve_size)</f>
        <v>4</v>
      </c>
      <c r="F210" s="335" t="str">
        <f t="shared" ca="1" si="46"/>
        <v>in. diam</v>
      </c>
      <c r="G210" s="516">
        <f ca="1">IF(C210=0,"NA",(IF(curve=1,clean_valve_size,VLOOKUP(clean_valve_size,pp_chv_cost_cl,2))))</f>
        <v>4</v>
      </c>
      <c r="H210" s="335" t="str">
        <f t="shared" ca="1" si="47"/>
        <v>in. diam</v>
      </c>
      <c r="I210" s="501">
        <f ca="1">IF(C210=0,"NA",(IF(curve=1,pp_chv_eq_cln,VLOOKUP(bypass_valve_size,pp_chv_cost_cl,3))))</f>
        <v>640.93656039399991</v>
      </c>
      <c r="J210" s="502">
        <f t="shared" ca="1" si="48"/>
        <v>1922.8096811819996</v>
      </c>
      <c r="K210" s="497">
        <f ca="1">IF(C210=0,"NA",VLOOKUP(clean_valve_size,pp_chv_cost_cl,IF(ss_cat="large",4,5)))</f>
        <v>25</v>
      </c>
      <c r="L210" s="504">
        <v>1</v>
      </c>
      <c r="M210" s="1100" t="str">
        <f t="shared" si="49"/>
        <v>Check Valves - Cleaning - Polypropylene/PVC</v>
      </c>
      <c r="N210" s="238">
        <v>1</v>
      </c>
      <c r="O210" s="238">
        <v>2</v>
      </c>
      <c r="P210" s="238">
        <v>3</v>
      </c>
      <c r="Q210" s="238">
        <v>1</v>
      </c>
      <c r="R210" s="238">
        <v>2</v>
      </c>
      <c r="S210" s="238">
        <v>3</v>
      </c>
      <c r="T210" s="238">
        <v>1</v>
      </c>
      <c r="U210" s="238">
        <v>2</v>
      </c>
      <c r="V210" s="238">
        <v>3</v>
      </c>
      <c r="W210" s="1096">
        <f t="shared" ca="1" si="43"/>
        <v>1</v>
      </c>
      <c r="X210" s="1097">
        <f t="shared" ca="1" si="44"/>
        <v>76.91238724727998</v>
      </c>
      <c r="Y210" s="472"/>
    </row>
    <row r="211" spans="1:25" s="1021" customFormat="1">
      <c r="A211" s="661" t="s">
        <v>5089</v>
      </c>
      <c r="B211" s="515" t="s">
        <v>1533</v>
      </c>
      <c r="C211" s="497">
        <f ca="1">+tot_cleaning_chv</f>
        <v>3</v>
      </c>
      <c r="D211" s="498" t="s">
        <v>2192</v>
      </c>
      <c r="E211" s="497">
        <f ca="1">IF(C211=0,"NA",clean_valve_size)</f>
        <v>4</v>
      </c>
      <c r="F211" s="335" t="str">
        <f t="shared" ca="1" si="46"/>
        <v>in. diam</v>
      </c>
      <c r="G211" s="516">
        <f ca="1">IF(C211=0,"NA",(IF(curve=1,clean_valve_size,VLOOKUP(clean_valve_size,ss_chv_cost_cl,2))))</f>
        <v>4</v>
      </c>
      <c r="H211" s="335" t="str">
        <f t="shared" ca="1" si="47"/>
        <v>in. diam</v>
      </c>
      <c r="I211" s="501">
        <f ca="1">IF(C211=0,"NA",(IF(curve=1,ss_chv_eq_cln,VLOOKUP(bypass_valve_size,ss_chv_cost_cl,3))))</f>
        <v>1561.067334162</v>
      </c>
      <c r="J211" s="502">
        <f t="shared" ca="1" si="48"/>
        <v>4683.2020024859994</v>
      </c>
      <c r="K211" s="497">
        <f ca="1">IF(C211=0,"NA",VLOOKUP(clean_valve_size,ss_chv_cost_cl,IF(ss_cat="large",4,5)))</f>
        <v>25</v>
      </c>
      <c r="L211" s="504">
        <v>0</v>
      </c>
      <c r="M211" s="1100" t="str">
        <f t="shared" si="49"/>
        <v>Check Valves - Cleaning - Stainless Steel</v>
      </c>
      <c r="N211" s="238">
        <v>3</v>
      </c>
      <c r="O211" s="238">
        <v>3</v>
      </c>
      <c r="P211" s="238">
        <v>1</v>
      </c>
      <c r="Q211" s="238">
        <v>3</v>
      </c>
      <c r="R211" s="238">
        <v>3</v>
      </c>
      <c r="S211" s="238">
        <v>1</v>
      </c>
      <c r="T211" s="238">
        <v>3</v>
      </c>
      <c r="U211" s="238">
        <v>3</v>
      </c>
      <c r="V211" s="238">
        <v>1</v>
      </c>
      <c r="W211" s="1096">
        <f t="shared" ca="1" si="43"/>
        <v>0</v>
      </c>
      <c r="X211" s="1097">
        <f t="shared" ca="1" si="44"/>
        <v>0</v>
      </c>
      <c r="Y211" s="472"/>
    </row>
    <row r="212" spans="1:25" s="1021" customFormat="1">
      <c r="A212" s="661" t="s">
        <v>5089</v>
      </c>
      <c r="B212" s="515" t="s">
        <v>5093</v>
      </c>
      <c r="C212" s="497">
        <f ca="1">+tot_cleaning_chv</f>
        <v>3</v>
      </c>
      <c r="D212" s="498" t="s">
        <v>2192</v>
      </c>
      <c r="E212" s="497">
        <f ca="1">IF(C212=0,"NA",clean_valve_size)</f>
        <v>4</v>
      </c>
      <c r="F212" s="335" t="str">
        <f t="shared" ca="1" si="46"/>
        <v>in. diam</v>
      </c>
      <c r="G212" s="516">
        <f ca="1">IF(C212=0,"NA",(IF(curve=1,clean_valve_size,VLOOKUP(clean_valve_size,ci_chv_cost_cl,2))))</f>
        <v>4</v>
      </c>
      <c r="H212" s="335" t="str">
        <f t="shared" ca="1" si="47"/>
        <v>in. diam</v>
      </c>
      <c r="I212" s="501">
        <f ca="1">IF(C212=0,"NA",(IF(curve=1,ci_chv_eq_cln,VLOOKUP(bypass_valve_size,ci_chv_cost_cl,3))))</f>
        <v>1432.7510239100002</v>
      </c>
      <c r="J212" s="502">
        <f t="shared" ca="1" si="48"/>
        <v>4298.2530717300006</v>
      </c>
      <c r="K212" s="497">
        <f ca="1">IF(C212=0,"NA",VLOOKUP(clean_valve_size,ci_chv_cost_cl,IF(ss_cat="large",4,5)))</f>
        <v>25</v>
      </c>
      <c r="L212" s="504">
        <v>0</v>
      </c>
      <c r="M212" s="1100" t="str">
        <f t="shared" si="49"/>
        <v>Check Valves - Cleaning - Cast Iron</v>
      </c>
      <c r="N212" s="238">
        <v>2</v>
      </c>
      <c r="O212" s="238">
        <v>1</v>
      </c>
      <c r="P212" s="238">
        <v>2</v>
      </c>
      <c r="Q212" s="238">
        <v>2</v>
      </c>
      <c r="R212" s="238">
        <v>1</v>
      </c>
      <c r="S212" s="238">
        <v>2</v>
      </c>
      <c r="T212" s="238">
        <v>2</v>
      </c>
      <c r="U212" s="238">
        <v>1</v>
      </c>
      <c r="V212" s="238">
        <v>2</v>
      </c>
      <c r="W212" s="1096">
        <f t="shared" ca="1" si="43"/>
        <v>0</v>
      </c>
      <c r="X212" s="1097">
        <f t="shared" ca="1" si="44"/>
        <v>0</v>
      </c>
      <c r="Y212" s="472"/>
    </row>
    <row r="213" spans="1:25" s="1021" customFormat="1">
      <c r="A213" s="336">
        <v>5</v>
      </c>
      <c r="B213" s="337" t="s">
        <v>3742</v>
      </c>
      <c r="C213" s="425"/>
      <c r="D213" s="338"/>
      <c r="E213" s="425"/>
      <c r="F213" s="337"/>
      <c r="G213" s="425"/>
      <c r="H213" s="337"/>
      <c r="I213" s="425"/>
      <c r="J213" s="425"/>
      <c r="K213" s="425"/>
      <c r="L213" s="426"/>
      <c r="M213" s="886"/>
      <c r="N213" s="238"/>
      <c r="O213" s="238"/>
      <c r="P213" s="238"/>
      <c r="Q213" s="238"/>
      <c r="R213" s="238"/>
      <c r="S213" s="238"/>
      <c r="T213" s="238"/>
      <c r="U213" s="238"/>
      <c r="V213" s="238"/>
      <c r="W213" s="1096">
        <f t="shared" si="43"/>
        <v>0</v>
      </c>
      <c r="X213" s="1097">
        <f t="shared" si="44"/>
        <v>0</v>
      </c>
      <c r="Y213" s="472"/>
    </row>
    <row r="214" spans="1:25" s="1021" customFormat="1">
      <c r="A214" s="473">
        <v>5.0999999999999996</v>
      </c>
      <c r="B214" s="474" t="s">
        <v>1606</v>
      </c>
      <c r="C214" s="519"/>
      <c r="D214" s="482"/>
      <c r="E214" s="481"/>
      <c r="F214" s="474"/>
      <c r="G214" s="481"/>
      <c r="H214" s="474"/>
      <c r="I214" s="520"/>
      <c r="J214" s="521"/>
      <c r="K214" s="481"/>
      <c r="L214" s="483"/>
      <c r="M214" s="886"/>
      <c r="N214" s="238"/>
      <c r="O214" s="238"/>
      <c r="P214" s="238"/>
      <c r="Q214" s="238"/>
      <c r="R214" s="238"/>
      <c r="S214" s="238"/>
      <c r="T214" s="238"/>
      <c r="U214" s="238"/>
      <c r="V214" s="238"/>
      <c r="W214" s="1096">
        <f t="shared" si="43"/>
        <v>0</v>
      </c>
      <c r="X214" s="1097">
        <f t="shared" si="44"/>
        <v>0</v>
      </c>
      <c r="Y214" s="472"/>
    </row>
    <row r="215" spans="1:25" s="1021" customFormat="1">
      <c r="A215" s="484" t="s">
        <v>1253</v>
      </c>
      <c r="B215" s="515" t="s">
        <v>1608</v>
      </c>
      <c r="C215" s="486">
        <f ca="1">acid_mpumps</f>
        <v>2</v>
      </c>
      <c r="D215" s="487" t="s">
        <v>2192</v>
      </c>
      <c r="E215" s="522">
        <f ca="1">IF(C215=0,"NA",acid_mpump_rating)</f>
        <v>5.011805289372874</v>
      </c>
      <c r="F215" s="485" t="str">
        <f ca="1">IF(C215=0,"","gph")</f>
        <v>gph</v>
      </c>
      <c r="G215" s="522">
        <f ca="1">IF(C215=0,"NA",IF(curve=1,acid_mpump_rating,VLOOKUP(acid_mpump_rating,pvc_mmpump_cost_cl,2)))</f>
        <v>5.011805289372874</v>
      </c>
      <c r="H215" s="485" t="str">
        <f ca="1">IF(C215=0,"","gph")</f>
        <v>gph</v>
      </c>
      <c r="I215" s="489">
        <f ca="1">IF(C215=0,"NA",IF(curve=1,pvc_mmpump_eq_acid,VLOOKUP(acid_mpump_rating,pvc_mmpump_cost_cl,3)))</f>
        <v>3287.4408262041247</v>
      </c>
      <c r="J215" s="502">
        <f ca="1">IF(OR(I215="contact vendor",I215="NA"),"--",C215*I215)</f>
        <v>6574.8816524082495</v>
      </c>
      <c r="K215" s="497">
        <f ca="1">IF(C215=0,"NA",VLOOKUP(acid_mpump_rating,pvc_mmpump_cost_cl,IF(ss_cat="large",4,5)))</f>
        <v>20</v>
      </c>
      <c r="L215" s="523">
        <v>0</v>
      </c>
      <c r="M215" s="807" t="str">
        <f>$B$214&amp;" - "&amp;B215</f>
        <v>Acid Metering Pumps for Pretreatment - PVC - Motor Driven</v>
      </c>
      <c r="N215" s="1101">
        <v>2</v>
      </c>
      <c r="O215" s="1101">
        <v>2</v>
      </c>
      <c r="P215" s="1101">
        <v>1</v>
      </c>
      <c r="Q215" s="1101">
        <v>2</v>
      </c>
      <c r="R215" s="1101">
        <v>2</v>
      </c>
      <c r="S215" s="1101">
        <v>1</v>
      </c>
      <c r="T215" s="1101">
        <v>2</v>
      </c>
      <c r="U215" s="1101">
        <v>2</v>
      </c>
      <c r="V215" s="1101">
        <v>1</v>
      </c>
      <c r="W215" s="1096">
        <f t="shared" ca="1" si="43"/>
        <v>0</v>
      </c>
      <c r="X215" s="1097">
        <f t="shared" ca="1" si="44"/>
        <v>0</v>
      </c>
      <c r="Y215" s="524"/>
    </row>
    <row r="216" spans="1:25" s="1021" customFormat="1">
      <c r="A216" s="484" t="s">
        <v>1253</v>
      </c>
      <c r="B216" s="515" t="s">
        <v>1609</v>
      </c>
      <c r="C216" s="486">
        <f ca="1">acid_mpumps</f>
        <v>2</v>
      </c>
      <c r="D216" s="487" t="s">
        <v>2192</v>
      </c>
      <c r="E216" s="522">
        <f ca="1">IF(C216=0,"NA",acid_mpump_rating)</f>
        <v>5.011805289372874</v>
      </c>
      <c r="F216" s="485" t="str">
        <f ca="1">IF(C216=0,"","gph")</f>
        <v>gph</v>
      </c>
      <c r="G216" s="522">
        <f ca="1">IF(C216=0,"NA",IF(curve=1,acid_mpump_rating,VLOOKUP(acid_mpump_rating,pvc_empump_cost_cl,2)))</f>
        <v>5.011805289372874</v>
      </c>
      <c r="H216" s="485" t="str">
        <f ca="1">IF(C216=0,"","gph")</f>
        <v>gph</v>
      </c>
      <c r="I216" s="489">
        <f ca="1">IF(C216=0,"NA",IF(curve=1,pvc_empump_eq_acid,VLOOKUP(acid_mpump_rating,pvc_empump_cost_cl,3)))</f>
        <v>1510.3590105806197</v>
      </c>
      <c r="J216" s="502">
        <f ca="1">IF(OR(I216="contact vendor",I216="NA"),"--",C216*I216)</f>
        <v>3020.7180211612394</v>
      </c>
      <c r="K216" s="497">
        <f ca="1">IF(C216=0,"NA",VLOOKUP(acid_mpump_rating,pvc_empump_cost_cl,IF(ss_cat="large",4,5)))</f>
        <v>20</v>
      </c>
      <c r="L216" s="523">
        <v>1</v>
      </c>
      <c r="M216" s="807" t="str">
        <f>$B$214&amp;" - "&amp;B216</f>
        <v>Acid Metering Pumps for Pretreatment - PVC - Electric</v>
      </c>
      <c r="N216" s="1101">
        <v>1</v>
      </c>
      <c r="O216" s="1101">
        <v>1</v>
      </c>
      <c r="P216" s="1101">
        <v>2</v>
      </c>
      <c r="Q216" s="1101">
        <v>1</v>
      </c>
      <c r="R216" s="1101">
        <v>1</v>
      </c>
      <c r="S216" s="1101">
        <v>2</v>
      </c>
      <c r="T216" s="1101">
        <v>1</v>
      </c>
      <c r="U216" s="1101">
        <v>1</v>
      </c>
      <c r="V216" s="1101">
        <v>2</v>
      </c>
      <c r="W216" s="1096">
        <f t="shared" ca="1" si="43"/>
        <v>1</v>
      </c>
      <c r="X216" s="1097">
        <f t="shared" ca="1" si="44"/>
        <v>151.03590105806197</v>
      </c>
      <c r="Y216" s="524"/>
    </row>
    <row r="217" spans="1:25" s="1021" customFormat="1">
      <c r="A217" s="473">
        <v>5.2</v>
      </c>
      <c r="B217" s="474" t="s">
        <v>1607</v>
      </c>
      <c r="C217" s="519"/>
      <c r="D217" s="482"/>
      <c r="E217" s="481"/>
      <c r="F217" s="474"/>
      <c r="G217" s="481"/>
      <c r="H217" s="474"/>
      <c r="I217" s="520"/>
      <c r="J217" s="521"/>
      <c r="K217" s="481"/>
      <c r="L217" s="483"/>
      <c r="M217" s="886"/>
      <c r="N217" s="238"/>
      <c r="O217" s="238"/>
      <c r="P217" s="238"/>
      <c r="Q217" s="238"/>
      <c r="R217" s="238"/>
      <c r="S217" s="238"/>
      <c r="T217" s="238"/>
      <c r="U217" s="238"/>
      <c r="V217" s="238"/>
      <c r="W217" s="1096">
        <f t="shared" si="43"/>
        <v>0</v>
      </c>
      <c r="X217" s="1097">
        <f t="shared" si="44"/>
        <v>0</v>
      </c>
      <c r="Y217" s="472"/>
    </row>
    <row r="218" spans="1:25" s="1021" customFormat="1">
      <c r="A218" s="484" t="s">
        <v>1254</v>
      </c>
      <c r="B218" s="515" t="s">
        <v>1608</v>
      </c>
      <c r="C218" s="486">
        <f>anti_mpumps</f>
        <v>2</v>
      </c>
      <c r="D218" s="487" t="s">
        <v>2192</v>
      </c>
      <c r="E218" s="522">
        <f>IF(C218=0,"NA",anti_mpump_rating)</f>
        <v>0.46380832665161215</v>
      </c>
      <c r="F218" s="485" t="str">
        <f>IF(C218=0,"","gph")</f>
        <v>gph</v>
      </c>
      <c r="G218" s="522">
        <f>IF(C218=0,"NA",IF(curve=1,anti_mpump_rating,VLOOKUP(anti_mpump_rating,pvc_mmpump_cost_cl,2)))</f>
        <v>0.46380832665161215</v>
      </c>
      <c r="H218" s="485" t="str">
        <f>IF(C218=0,"","gph")</f>
        <v>gph</v>
      </c>
      <c r="I218" s="489">
        <f>IF(C218=0,"NA",IF(curve=1,pvc_mmpump_eq_anti,VLOOKUP(anti_mpump_rating,pvc_mmpump_cost_cl,3)))</f>
        <v>3027.7355410332716</v>
      </c>
      <c r="J218" s="502">
        <f>IF(OR(I218="contact vendor",I218="NA"),"--",C218*I218)</f>
        <v>6055.4710820665432</v>
      </c>
      <c r="K218" s="497">
        <f>IF(C218=0,"NA",VLOOKUP(anti_mpump_rating,pvc_mmpump_cost_cl,IF(ss_cat="large",4,5)))</f>
        <v>20</v>
      </c>
      <c r="L218" s="523">
        <v>0</v>
      </c>
      <c r="M218" s="807" t="str">
        <f>$B$217&amp;" - "&amp;B218</f>
        <v>Antiscalant Metering Pumps for Pretreatment - PVC - Motor Driven</v>
      </c>
      <c r="N218" s="1101">
        <v>3</v>
      </c>
      <c r="O218" s="1101">
        <v>3</v>
      </c>
      <c r="P218" s="1101">
        <v>2</v>
      </c>
      <c r="Q218" s="1101">
        <v>4</v>
      </c>
      <c r="R218" s="1101">
        <v>4</v>
      </c>
      <c r="S218" s="1101">
        <v>1</v>
      </c>
      <c r="T218" s="1101">
        <v>4</v>
      </c>
      <c r="U218" s="1101">
        <v>4</v>
      </c>
      <c r="V218" s="1101">
        <v>1</v>
      </c>
      <c r="W218" s="1096">
        <f t="shared" si="43"/>
        <v>0</v>
      </c>
      <c r="X218" s="1097">
        <f t="shared" si="44"/>
        <v>0</v>
      </c>
      <c r="Y218" s="524"/>
    </row>
    <row r="219" spans="1:25" s="1021" customFormat="1">
      <c r="A219" s="484" t="s">
        <v>1254</v>
      </c>
      <c r="B219" s="515" t="s">
        <v>1610</v>
      </c>
      <c r="C219" s="486">
        <f>anti_mpumps</f>
        <v>2</v>
      </c>
      <c r="D219" s="487" t="s">
        <v>2192</v>
      </c>
      <c r="E219" s="522">
        <f>IF(C219=0,"NA",anti_mpump_rating)</f>
        <v>0.46380832665161215</v>
      </c>
      <c r="F219" s="485" t="str">
        <f>IF(C219=0,"","gph")</f>
        <v>gph</v>
      </c>
      <c r="G219" s="522">
        <f>IF(C219=0,"NA",IF(curve=1,anti_mpump_rating,VLOOKUP(anti_mpump_rating,ss_mmpump_cost_cl,2)))</f>
        <v>0.46380832665161215</v>
      </c>
      <c r="H219" s="485" t="str">
        <f>IF(C219=0,"","gph")</f>
        <v>gph</v>
      </c>
      <c r="I219" s="489">
        <f>IF(C219=0,"NA",IF(curve=1,ss_mmpump_eq_anti,VLOOKUP(anti_mpump_rating,ss_mmpump_cost_cl,3)))</f>
        <v>3459.0168842991816</v>
      </c>
      <c r="J219" s="502">
        <f>IF(OR(I219="contact vendor",I219="NA"),"--",C219*I219)</f>
        <v>6918.0337685983632</v>
      </c>
      <c r="K219" s="497">
        <f>IF(C219=0,"NA",VLOOKUP(anti_mpump_rating,ss_mmpump_cost_cl,IF(ss_cat="large",4,5)))</f>
        <v>20</v>
      </c>
      <c r="L219" s="523">
        <v>0</v>
      </c>
      <c r="M219" s="807" t="str">
        <f>$B$217&amp;" - "&amp;B219</f>
        <v>Antiscalant Metering Pumps for Pretreatment - Stainless Steel - Motor Driven</v>
      </c>
      <c r="N219" s="1101">
        <v>4</v>
      </c>
      <c r="O219" s="1101">
        <v>4</v>
      </c>
      <c r="P219" s="1101">
        <v>1</v>
      </c>
      <c r="Q219" s="1101">
        <v>3</v>
      </c>
      <c r="R219" s="1101">
        <v>3</v>
      </c>
      <c r="S219" s="1101">
        <v>2</v>
      </c>
      <c r="T219" s="1101">
        <v>3</v>
      </c>
      <c r="U219" s="1101">
        <v>3</v>
      </c>
      <c r="V219" s="1101">
        <v>2</v>
      </c>
      <c r="W219" s="1096">
        <f t="shared" si="43"/>
        <v>0</v>
      </c>
      <c r="X219" s="1097">
        <f t="shared" si="44"/>
        <v>0</v>
      </c>
      <c r="Y219" s="524"/>
    </row>
    <row r="220" spans="1:25" s="1021" customFormat="1">
      <c r="A220" s="484" t="s">
        <v>1254</v>
      </c>
      <c r="B220" s="515" t="s">
        <v>1609</v>
      </c>
      <c r="C220" s="486">
        <f>anti_mpumps</f>
        <v>2</v>
      </c>
      <c r="D220" s="487" t="s">
        <v>2192</v>
      </c>
      <c r="E220" s="522">
        <f>IF(C220=0,"NA",anti_mpump_rating)</f>
        <v>0.46380832665161215</v>
      </c>
      <c r="F220" s="485" t="str">
        <f>IF(C220=0,"","gph")</f>
        <v>gph</v>
      </c>
      <c r="G220" s="522">
        <f>IF(C220=0,"NA",IF(curve=1,anti_mpump_rating,VLOOKUP(anti_mpump_rating,pvc_empump_cost_cl,2)))</f>
        <v>0.46380832665161215</v>
      </c>
      <c r="H220" s="485" t="str">
        <f>IF(C220=0,"","gph")</f>
        <v>gph</v>
      </c>
      <c r="I220" s="489">
        <f>IF(C220=0,"NA",IF(curve=1,pvc_empump_eq_anti,VLOOKUP(anti_mpump_rating,pvc_empump_cost_cl,3)))</f>
        <v>1177.4916802635855</v>
      </c>
      <c r="J220" s="502">
        <f>IF(OR(I220="contact vendor",I220="NA"),"--",C220*I220)</f>
        <v>2354.983360527171</v>
      </c>
      <c r="K220" s="497">
        <f>IF(C220=0,"NA",VLOOKUP(anti_mpump_rating,pvc_empump_cost_cl,IF(ss_cat="large",4,5)))</f>
        <v>20</v>
      </c>
      <c r="L220" s="523">
        <v>1</v>
      </c>
      <c r="M220" s="807" t="str">
        <f>$B$217&amp;" - "&amp;B220</f>
        <v>Antiscalant Metering Pumps for Pretreatment - PVC - Electric</v>
      </c>
      <c r="N220" s="1101">
        <v>1</v>
      </c>
      <c r="O220" s="1101">
        <v>2</v>
      </c>
      <c r="P220" s="1101">
        <v>4</v>
      </c>
      <c r="Q220" s="1101">
        <v>1</v>
      </c>
      <c r="R220" s="1101">
        <v>2</v>
      </c>
      <c r="S220" s="1101">
        <v>4</v>
      </c>
      <c r="T220" s="1101">
        <v>1</v>
      </c>
      <c r="U220" s="1101">
        <v>2</v>
      </c>
      <c r="V220" s="1101">
        <v>4</v>
      </c>
      <c r="W220" s="1096">
        <f t="shared" si="43"/>
        <v>1</v>
      </c>
      <c r="X220" s="1097">
        <f t="shared" si="44"/>
        <v>117.74916802635855</v>
      </c>
      <c r="Y220" s="524"/>
    </row>
    <row r="221" spans="1:25" s="1021" customFormat="1">
      <c r="A221" s="484" t="s">
        <v>1254</v>
      </c>
      <c r="B221" s="515" t="s">
        <v>1611</v>
      </c>
      <c r="C221" s="486">
        <f>anti_mpumps</f>
        <v>2</v>
      </c>
      <c r="D221" s="487" t="s">
        <v>2192</v>
      </c>
      <c r="E221" s="522">
        <f>IF(C221=0,"NA",anti_mpump_rating)</f>
        <v>0.46380832665161215</v>
      </c>
      <c r="F221" s="485" t="str">
        <f>IF(C221=0,"","gph")</f>
        <v>gph</v>
      </c>
      <c r="G221" s="522">
        <f>IF(C221=0,"NA",IF(curve=1,anti_mpump_rating,VLOOKUP(anti_mpump_rating,ss_empump_cost_cl,2)))</f>
        <v>0.46380832665161215</v>
      </c>
      <c r="H221" s="485" t="str">
        <f>IF(C221=0,"","gph")</f>
        <v>gph</v>
      </c>
      <c r="I221" s="489">
        <f>IF(C221=0,"NA",IF(curve=1,ss_empump_eq_anti,VLOOKUP(anti_mpump_rating,ss_empump_cost_cl,3)))</f>
        <v>2069.1970027429188</v>
      </c>
      <c r="J221" s="502">
        <f>IF(OR(I221="contact vendor",I221="NA"),"--",C221*I221)</f>
        <v>4138.3940054858376</v>
      </c>
      <c r="K221" s="497">
        <f>IF(C221=0,"NA",VLOOKUP(anti_mpump_rating,ss_empump_cost_cl,IF(ss_cat="large",4,5)))</f>
        <v>20</v>
      </c>
      <c r="L221" s="523">
        <v>0</v>
      </c>
      <c r="M221" s="807" t="str">
        <f>$B$217&amp;" - "&amp;B221</f>
        <v>Antiscalant Metering Pumps for Pretreatment - Stainless Steel - Electric</v>
      </c>
      <c r="N221" s="1101">
        <v>2</v>
      </c>
      <c r="O221" s="1101">
        <v>1</v>
      </c>
      <c r="P221" s="1101">
        <v>3</v>
      </c>
      <c r="Q221" s="1101">
        <v>2</v>
      </c>
      <c r="R221" s="1101">
        <v>1</v>
      </c>
      <c r="S221" s="1101">
        <v>3</v>
      </c>
      <c r="T221" s="1101">
        <v>2</v>
      </c>
      <c r="U221" s="1101">
        <v>1</v>
      </c>
      <c r="V221" s="1101">
        <v>3</v>
      </c>
      <c r="W221" s="1096">
        <f t="shared" si="43"/>
        <v>0</v>
      </c>
      <c r="X221" s="1097">
        <f t="shared" si="44"/>
        <v>0</v>
      </c>
      <c r="Y221" s="524"/>
    </row>
    <row r="222" spans="1:25" s="1021" customFormat="1">
      <c r="A222" s="473">
        <v>5.3</v>
      </c>
      <c r="B222" s="474" t="s">
        <v>525</v>
      </c>
      <c r="C222" s="480">
        <f>tot_num_bp_pumps</f>
        <v>0</v>
      </c>
      <c r="D222" s="487" t="s">
        <v>2192</v>
      </c>
      <c r="E222" s="571" t="str">
        <f>IF(C222=0,"NA",bp_pump_rating)</f>
        <v>NA</v>
      </c>
      <c r="F222" s="485" t="str">
        <f>IF(C222=0,"","gpm")</f>
        <v/>
      </c>
      <c r="G222" s="480" t="str">
        <f>IF(tot_num_bp_pumps=0,"NA",IF(curve=1,bp_pump_rating,VLOOKUP(bp_pump_rating,pump_cost_cl,2)))</f>
        <v>NA</v>
      </c>
      <c r="H222" s="485" t="str">
        <f>IF(C222=0,"","gpm")</f>
        <v/>
      </c>
      <c r="I222" s="525">
        <f>IF(tot_num_bp_pumps=0,0,IF(curve=1,bp_pump_eq,VLOOKUP(bp_pump_rating,pump_cost_cl,3)))</f>
        <v>0</v>
      </c>
      <c r="J222" s="502">
        <f>IF(OR(I222="contact vendor",I222="NA"),"--",C222*I222)</f>
        <v>0</v>
      </c>
      <c r="K222" s="497" t="str">
        <f>IF(C222=0,"NA",VLOOKUP(bp_pump_rating,pump_cost_cl,IF(ss_cat="large",4,5)))</f>
        <v>NA</v>
      </c>
      <c r="L222" s="491"/>
      <c r="M222" s="886" t="str">
        <f t="shared" ref="M222:M228" si="50">$B$213&amp;" - "&amp;B222</f>
        <v>Pumps - Bypass</v>
      </c>
      <c r="N222" s="238">
        <v>1</v>
      </c>
      <c r="O222" s="238">
        <v>1</v>
      </c>
      <c r="P222" s="238">
        <v>1</v>
      </c>
      <c r="Q222" s="238">
        <v>1</v>
      </c>
      <c r="R222" s="238">
        <v>1</v>
      </c>
      <c r="S222" s="238">
        <v>1</v>
      </c>
      <c r="T222" s="238">
        <v>1</v>
      </c>
      <c r="U222" s="238">
        <v>1</v>
      </c>
      <c r="V222" s="238">
        <v>1</v>
      </c>
      <c r="W222" s="1096">
        <f t="shared" si="43"/>
        <v>0</v>
      </c>
      <c r="X222" s="1097">
        <f t="shared" si="44"/>
        <v>0</v>
      </c>
      <c r="Y222" s="472"/>
    </row>
    <row r="223" spans="1:25" s="1021" customFormat="1">
      <c r="A223" s="473">
        <v>5.4</v>
      </c>
      <c r="B223" s="474" t="s">
        <v>3077</v>
      </c>
      <c r="C223" s="480">
        <f ca="1">total_inf_pumps</f>
        <v>2</v>
      </c>
      <c r="D223" s="476" t="s">
        <v>2192</v>
      </c>
      <c r="E223" s="480">
        <f ca="1">inf_pump_gpm</f>
        <v>1235.8335375742395</v>
      </c>
      <c r="F223" s="335" t="s">
        <v>2193</v>
      </c>
      <c r="G223" s="480">
        <f ca="1">IF(curve=1,inf_pump_gpm,VLOOKUP(inf_pump_class,inf_pump_lkp_costs,2,FALSE))</f>
        <v>1235.8335375742395</v>
      </c>
      <c r="H223" s="335" t="s">
        <v>2193</v>
      </c>
      <c r="I223" s="525">
        <f ca="1">IF(curve=1,inf_pump_eq,VLOOKUP(inf_pump_class,inf_pump_lkp_costs,3,FALSE))</f>
        <v>38548.002875207392</v>
      </c>
      <c r="J223" s="479">
        <f t="shared" ref="J223:J228" ca="1" si="51">IF(I223="contact vendor","--",C223*I223)</f>
        <v>77096.005750414784</v>
      </c>
      <c r="K223" s="477">
        <f ca="1">VLOOKUP(inf_pump_class, inf_pump_lkp_costs,IF(ss_cat="large",4,5))</f>
        <v>20</v>
      </c>
      <c r="L223" s="491">
        <v>1</v>
      </c>
      <c r="M223" s="886" t="str">
        <f t="shared" si="50"/>
        <v>Pumps - Feed Water</v>
      </c>
      <c r="N223" s="238">
        <v>1</v>
      </c>
      <c r="O223" s="238">
        <v>1</v>
      </c>
      <c r="P223" s="238">
        <v>1</v>
      </c>
      <c r="Q223" s="238">
        <v>1</v>
      </c>
      <c r="R223" s="238">
        <v>1</v>
      </c>
      <c r="S223" s="238">
        <v>1</v>
      </c>
      <c r="T223" s="238">
        <v>1</v>
      </c>
      <c r="U223" s="238">
        <v>1</v>
      </c>
      <c r="V223" s="238">
        <v>1</v>
      </c>
      <c r="W223" s="1096">
        <f t="shared" ca="1" si="43"/>
        <v>1</v>
      </c>
      <c r="X223" s="1097">
        <f t="shared" ca="1" si="44"/>
        <v>3854.8002875207394</v>
      </c>
      <c r="Y223" s="472"/>
    </row>
    <row r="224" spans="1:25" s="1021" customFormat="1">
      <c r="A224" s="473">
        <v>5.5</v>
      </c>
      <c r="B224" s="474" t="s">
        <v>1757</v>
      </c>
      <c r="C224" s="667">
        <f>boost_pumps_2_tot</f>
        <v>0</v>
      </c>
      <c r="D224" s="476" t="s">
        <v>2192</v>
      </c>
      <c r="E224" s="480" t="str">
        <f>IF(C224=0,"NA",boost_pump_2_gpm)</f>
        <v>NA</v>
      </c>
      <c r="F224" s="335" t="str">
        <f>IF(C224=0,"","gpm")</f>
        <v/>
      </c>
      <c r="G224" s="480" t="str">
        <f>IF(C224=0,"NA",IF(curve=1,boost_pump_2_gpm,VLOOKUP(boost_2_class,boost_2_pump_lkp_costs,2,FALSE)))</f>
        <v>NA</v>
      </c>
      <c r="H224" s="335" t="str">
        <f>IF(C224=0,"","gpm")</f>
        <v/>
      </c>
      <c r="I224" s="525">
        <f>IF(C224=0,0,IF(curve=1,boost2_pump_eq,VLOOKUP(boost_2_class,boost_2_pump_lkp_costs,3,FALSE)))</f>
        <v>0</v>
      </c>
      <c r="J224" s="479">
        <f t="shared" si="51"/>
        <v>0</v>
      </c>
      <c r="K224" s="477">
        <f>VLOOKUP(boost_2_class,boost_2_pump_lkp_costs,IF(ss_cat="large",4,5))</f>
        <v>20</v>
      </c>
      <c r="L224" s="491"/>
      <c r="M224" s="886" t="str">
        <f t="shared" si="50"/>
        <v>Pumps - Booster pumps, stage 2</v>
      </c>
      <c r="N224" s="238">
        <v>1</v>
      </c>
      <c r="O224" s="238">
        <v>1</v>
      </c>
      <c r="P224" s="238">
        <v>1</v>
      </c>
      <c r="Q224" s="238">
        <v>1</v>
      </c>
      <c r="R224" s="238">
        <v>1</v>
      </c>
      <c r="S224" s="238">
        <v>1</v>
      </c>
      <c r="T224" s="238">
        <v>1</v>
      </c>
      <c r="U224" s="238">
        <v>1</v>
      </c>
      <c r="V224" s="238">
        <v>1</v>
      </c>
      <c r="W224" s="1096">
        <f t="shared" si="43"/>
        <v>0</v>
      </c>
      <c r="X224" s="1097">
        <f t="shared" si="44"/>
        <v>0</v>
      </c>
      <c r="Y224" s="472"/>
    </row>
    <row r="225" spans="1:25" s="1021" customFormat="1">
      <c r="A225" s="473">
        <v>5.6</v>
      </c>
      <c r="B225" s="474" t="s">
        <v>1758</v>
      </c>
      <c r="C225" s="667">
        <f>boost_pumps_3_tot</f>
        <v>0</v>
      </c>
      <c r="D225" s="476" t="s">
        <v>2192</v>
      </c>
      <c r="E225" s="480" t="str">
        <f>IF(C225=0,"NA",boost_pump_3_gpm)</f>
        <v>NA</v>
      </c>
      <c r="F225" s="335" t="str">
        <f>IF(C225=0,"","gpm")</f>
        <v/>
      </c>
      <c r="G225" s="480" t="str">
        <f>IF(C225=0,"NA",IF(curve=1,boost_pump_3_gpm,VLOOKUP(boost_3_class,boost_3_pump_lkp_costs,2,FALSE)))</f>
        <v>NA</v>
      </c>
      <c r="H225" s="335" t="str">
        <f>IF(C225=0,"","gpm")</f>
        <v/>
      </c>
      <c r="I225" s="525">
        <f>IF(C225=0,0,IF(curve=1,boost3_pump_eq,VLOOKUP(boost_3_class,boost_3_pump_lkp_costs,3,FALSE)))</f>
        <v>0</v>
      </c>
      <c r="J225" s="479">
        <f t="shared" si="51"/>
        <v>0</v>
      </c>
      <c r="K225" s="477">
        <f>VLOOKUP(boost_3_class,boost_3_pump_lkp_costs,IF(ss_cat="large",4,5))</f>
        <v>20</v>
      </c>
      <c r="L225" s="491"/>
      <c r="M225" s="886" t="str">
        <f t="shared" si="50"/>
        <v>Pumps - Booster pumps, stage 3</v>
      </c>
      <c r="N225" s="238">
        <v>1</v>
      </c>
      <c r="O225" s="238">
        <v>1</v>
      </c>
      <c r="P225" s="238">
        <v>1</v>
      </c>
      <c r="Q225" s="238">
        <v>1</v>
      </c>
      <c r="R225" s="238">
        <v>1</v>
      </c>
      <c r="S225" s="238">
        <v>1</v>
      </c>
      <c r="T225" s="238">
        <v>1</v>
      </c>
      <c r="U225" s="238">
        <v>1</v>
      </c>
      <c r="V225" s="238">
        <v>1</v>
      </c>
      <c r="W225" s="1096">
        <f t="shared" si="43"/>
        <v>0</v>
      </c>
      <c r="X225" s="1097">
        <f t="shared" si="44"/>
        <v>0</v>
      </c>
      <c r="Y225" s="472"/>
    </row>
    <row r="226" spans="1:25" s="1021" customFormat="1">
      <c r="A226" s="473">
        <v>5.7</v>
      </c>
      <c r="B226" s="474" t="s">
        <v>3485</v>
      </c>
      <c r="C226" s="477">
        <f ca="1">total_chem_pumps</f>
        <v>11</v>
      </c>
      <c r="D226" s="476" t="s">
        <v>2192</v>
      </c>
      <c r="E226" s="488">
        <f ca="1">chem_pump_gph</f>
        <v>10500</v>
      </c>
      <c r="F226" s="485" t="s">
        <v>1040</v>
      </c>
      <c r="G226" s="488">
        <f ca="1">IF(curve=1,chem_pump_gph,VLOOKUP(chem_pump_gph,chem_pump_cost_cl,2))</f>
        <v>10500</v>
      </c>
      <c r="H226" s="485" t="s">
        <v>1040</v>
      </c>
      <c r="I226" s="489">
        <f ca="1">IF(curve=1,pump_eq_chem,IF(VLOOKUP(chem_pump_gph,chem_pump_cost_cl,3)="contact vendor","contact vendor",VLOOKUP(chem_pump_gph,chem_pump_cost_cl,3)))</f>
        <v>369.50995692200001</v>
      </c>
      <c r="J226" s="479">
        <f t="shared" ca="1" si="51"/>
        <v>4064.609526142</v>
      </c>
      <c r="K226" s="477">
        <f ca="1">VLOOKUP(chem_pump_gph,chem_pump_cost_cl,IF(ss_cat="large",4,5))</f>
        <v>20</v>
      </c>
      <c r="L226" s="491">
        <v>1</v>
      </c>
      <c r="M226" s="886" t="str">
        <f t="shared" si="50"/>
        <v>Pumps - Cleaning Pumps (separate for acid and caustic)</v>
      </c>
      <c r="N226" s="238">
        <v>1</v>
      </c>
      <c r="O226" s="238">
        <v>1</v>
      </c>
      <c r="P226" s="238">
        <v>1</v>
      </c>
      <c r="Q226" s="238">
        <v>1</v>
      </c>
      <c r="R226" s="238">
        <v>1</v>
      </c>
      <c r="S226" s="238">
        <v>1</v>
      </c>
      <c r="T226" s="238">
        <v>1</v>
      </c>
      <c r="U226" s="238">
        <v>1</v>
      </c>
      <c r="V226" s="238">
        <v>1</v>
      </c>
      <c r="W226" s="1096">
        <f t="shared" ca="1" si="43"/>
        <v>1</v>
      </c>
      <c r="X226" s="1097">
        <f t="shared" ca="1" si="44"/>
        <v>203.23047630709999</v>
      </c>
      <c r="Y226" s="472"/>
    </row>
    <row r="227" spans="1:25" s="1021" customFormat="1">
      <c r="A227" s="473">
        <v>5.8</v>
      </c>
      <c r="B227" s="474" t="s">
        <v>4134</v>
      </c>
      <c r="C227" s="497">
        <f ca="1">res_pumps</f>
        <v>2</v>
      </c>
      <c r="D227" s="498" t="s">
        <v>2192</v>
      </c>
      <c r="E227" s="499">
        <f ca="1">IF(res_pumps=0,"NA",res_pump_rating)</f>
        <v>827.01954347814251</v>
      </c>
      <c r="F227" s="500" t="str">
        <f ca="1">IF(C227=0,"","gpm")</f>
        <v>gpm</v>
      </c>
      <c r="G227" s="499">
        <f ca="1">IF(res_pumps=0,"NA",IF(curve=1,res_pump_rating,VLOOKUP(res_pump_rating,pump_cost_cl,2)))</f>
        <v>827.01954347814251</v>
      </c>
      <c r="H227" s="500" t="str">
        <f ca="1">IF(C227=0,"","gpm")</f>
        <v>gpm</v>
      </c>
      <c r="I227" s="501">
        <f ca="1">IF(res_pumps=0,0,IF(curve=1,res_pump_eq,VLOOKUP(res_pump_rating,pump_cost_cl,3)))</f>
        <v>15882.564886169301</v>
      </c>
      <c r="J227" s="502">
        <f t="shared" ca="1" si="51"/>
        <v>31765.129772338601</v>
      </c>
      <c r="K227" s="477">
        <f ca="1">IF(res_pumps=0,"NA",VLOOKUP(res_pump_rating,pump_cost_cl,IF(ss_cat="large",4,5)))</f>
        <v>20</v>
      </c>
      <c r="L227" s="491">
        <v>1</v>
      </c>
      <c r="M227" s="1100" t="str">
        <f t="shared" si="50"/>
        <v>Pumps - Residuals</v>
      </c>
      <c r="N227" s="238">
        <v>1</v>
      </c>
      <c r="O227" s="238">
        <v>1</v>
      </c>
      <c r="P227" s="238">
        <v>1</v>
      </c>
      <c r="Q227" s="238">
        <v>1</v>
      </c>
      <c r="R227" s="238">
        <v>1</v>
      </c>
      <c r="S227" s="238">
        <v>1</v>
      </c>
      <c r="T227" s="238">
        <v>1</v>
      </c>
      <c r="U227" s="238">
        <v>1</v>
      </c>
      <c r="V227" s="238">
        <v>1</v>
      </c>
      <c r="W227" s="1096">
        <f t="shared" ca="1" si="43"/>
        <v>1</v>
      </c>
      <c r="X227" s="1097">
        <f t="shared" ca="1" si="44"/>
        <v>1588.25648861693</v>
      </c>
      <c r="Y227" s="472"/>
    </row>
    <row r="228" spans="1:25" s="1021" customFormat="1">
      <c r="A228" s="473">
        <v>5.9</v>
      </c>
      <c r="B228" s="474" t="s">
        <v>4010</v>
      </c>
      <c r="C228" s="497">
        <f>num_well_pumps</f>
        <v>0</v>
      </c>
      <c r="D228" s="498" t="s">
        <v>2192</v>
      </c>
      <c r="E228" s="499" t="str">
        <f>IF(C228=0,"NA",well_pump_rating)</f>
        <v>NA</v>
      </c>
      <c r="F228" s="500" t="str">
        <f>IF(C228=0,"","gpm")</f>
        <v/>
      </c>
      <c r="G228" s="499" t="str">
        <f>IF(C228=0,"NA",IF(curve=1,well_pump_rating,VLOOKUP(well_pump_rating,lp40_pump_cost_cl,2)))</f>
        <v>NA</v>
      </c>
      <c r="H228" s="500" t="str">
        <f>IF(C228=0,"","gpm")</f>
        <v/>
      </c>
      <c r="I228" s="501">
        <f>IF(C228=0,0,IF(curve=1,well_pump_eq,VLOOKUP(well_pump_rating,lp40_pump_cost_cl,3)))</f>
        <v>0</v>
      </c>
      <c r="J228" s="502">
        <f t="shared" si="51"/>
        <v>0</v>
      </c>
      <c r="K228" s="477" t="str">
        <f>IF(C228=0,"NA",VLOOKUP(res_pump_rating,lp40_pump_cost_cl,IF(ss_cat="large",4,5)))</f>
        <v>NA</v>
      </c>
      <c r="L228" s="491"/>
      <c r="M228" s="1100" t="str">
        <f t="shared" si="50"/>
        <v>Pumps - Injection wells</v>
      </c>
      <c r="N228" s="238">
        <v>1</v>
      </c>
      <c r="O228" s="238">
        <v>1</v>
      </c>
      <c r="P228" s="238">
        <v>1</v>
      </c>
      <c r="Q228" s="238">
        <v>1</v>
      </c>
      <c r="R228" s="238">
        <v>1</v>
      </c>
      <c r="S228" s="238">
        <v>1</v>
      </c>
      <c r="T228" s="238">
        <v>1</v>
      </c>
      <c r="U228" s="238">
        <v>1</v>
      </c>
      <c r="V228" s="238">
        <v>1</v>
      </c>
      <c r="W228" s="1096">
        <f t="shared" si="43"/>
        <v>0</v>
      </c>
      <c r="X228" s="1097">
        <f t="shared" si="44"/>
        <v>0</v>
      </c>
      <c r="Y228" s="472"/>
    </row>
    <row r="229" spans="1:25" s="1021" customFormat="1">
      <c r="A229" s="336">
        <v>6</v>
      </c>
      <c r="B229" s="337" t="s">
        <v>1257</v>
      </c>
      <c r="C229" s="425"/>
      <c r="D229" s="338"/>
      <c r="E229" s="425"/>
      <c r="F229" s="337"/>
      <c r="G229" s="425"/>
      <c r="H229" s="337"/>
      <c r="I229" s="425"/>
      <c r="J229" s="425"/>
      <c r="K229" s="425"/>
      <c r="L229" s="426"/>
      <c r="M229" s="886"/>
      <c r="N229" s="238"/>
      <c r="O229" s="238"/>
      <c r="P229" s="238"/>
      <c r="Q229" s="238"/>
      <c r="R229" s="238"/>
      <c r="S229" s="238"/>
      <c r="T229" s="238"/>
      <c r="U229" s="238"/>
      <c r="V229" s="238"/>
      <c r="W229" s="1096">
        <f t="shared" si="43"/>
        <v>0</v>
      </c>
      <c r="X229" s="1097">
        <f t="shared" si="44"/>
        <v>0</v>
      </c>
      <c r="Y229" s="472"/>
    </row>
    <row r="230" spans="1:25" s="1021" customFormat="1">
      <c r="A230" s="473">
        <v>6.1</v>
      </c>
      <c r="B230" s="474" t="s">
        <v>1258</v>
      </c>
      <c r="C230" s="477">
        <f>num_filters</f>
        <v>3</v>
      </c>
      <c r="D230" s="476" t="s">
        <v>2192</v>
      </c>
      <c r="E230" s="526">
        <f>filter_size</f>
        <v>1.423680235285524</v>
      </c>
      <c r="F230" s="335" t="s">
        <v>1093</v>
      </c>
      <c r="G230" s="526">
        <f>IF(curve=1,filter_size,VLOOKUP(filter_size,cart_cost_cl,2))</f>
        <v>1.423680235285524</v>
      </c>
      <c r="H230" s="335" t="s">
        <v>1093</v>
      </c>
      <c r="I230" s="489">
        <f>IF(curve=1,cart_eq,VLOOKUP(filter_size,cart_cost_cl,3))</f>
        <v>22813.242029879595</v>
      </c>
      <c r="J230" s="479">
        <f>IF(I230="contact vendor","--",C230*I230)</f>
        <v>68439.726089638789</v>
      </c>
      <c r="K230" s="486">
        <f>VLOOKUP(E230,cart_cost_cl,IF(ss_cat="large",4,5))</f>
        <v>35</v>
      </c>
      <c r="L230" s="491">
        <v>1</v>
      </c>
      <c r="M230" s="886" t="str">
        <f>$B$229&amp;" - "&amp;B230</f>
        <v>Screens and Filters - Cartridge Filters for Feed</v>
      </c>
      <c r="N230" s="238">
        <v>1</v>
      </c>
      <c r="O230" s="238">
        <v>1</v>
      </c>
      <c r="P230" s="238">
        <v>1</v>
      </c>
      <c r="Q230" s="238">
        <v>1</v>
      </c>
      <c r="R230" s="238">
        <v>1</v>
      </c>
      <c r="S230" s="238">
        <v>1</v>
      </c>
      <c r="T230" s="238">
        <v>1</v>
      </c>
      <c r="U230" s="238">
        <v>1</v>
      </c>
      <c r="V230" s="238">
        <v>1</v>
      </c>
      <c r="W230" s="1096">
        <f t="shared" si="43"/>
        <v>1</v>
      </c>
      <c r="X230" s="1097">
        <f t="shared" si="44"/>
        <v>1955.420745418251</v>
      </c>
      <c r="Y230" s="472"/>
    </row>
    <row r="231" spans="1:25" s="1021" customFormat="1">
      <c r="A231" s="473">
        <v>6.2</v>
      </c>
      <c r="B231" s="474" t="s">
        <v>1504</v>
      </c>
      <c r="C231" s="519"/>
      <c r="D231" s="482"/>
      <c r="E231" s="481"/>
      <c r="F231" s="474"/>
      <c r="G231" s="481"/>
      <c r="H231" s="474"/>
      <c r="I231" s="520"/>
      <c r="J231" s="521"/>
      <c r="K231" s="481"/>
      <c r="L231" s="483"/>
      <c r="M231" s="886"/>
      <c r="N231" s="886"/>
      <c r="O231" s="886"/>
      <c r="P231" s="886"/>
      <c r="Q231" s="886"/>
      <c r="R231" s="886"/>
      <c r="S231" s="886"/>
      <c r="T231" s="886"/>
      <c r="U231" s="886"/>
      <c r="V231" s="886"/>
      <c r="W231" s="1096">
        <f t="shared" ref="W231:W255" si="52">IF(ISERROR(K231*L231),0,IF(K231&lt;1,0,L231))</f>
        <v>0</v>
      </c>
      <c r="X231" s="1097">
        <f t="shared" ref="X231:X255" si="53">IF(W231,J231/K231,0)</f>
        <v>0</v>
      </c>
      <c r="Y231" s="472"/>
    </row>
    <row r="232" spans="1:25" s="1021" customFormat="1">
      <c r="A232" s="484" t="s">
        <v>3209</v>
      </c>
      <c r="B232" s="515" t="s">
        <v>1502</v>
      </c>
      <c r="C232" s="486">
        <f ca="1">IF(simplex_screens,total_sec_screens,0)</f>
        <v>3</v>
      </c>
      <c r="D232" s="487" t="s">
        <v>2192</v>
      </c>
      <c r="E232" s="480">
        <f ca="1">IF(C232=0,"NA",sec_screen_flow)</f>
        <v>875</v>
      </c>
      <c r="F232" s="335" t="str">
        <f ca="1">IF(C232=0,"","gpm")</f>
        <v>gpm</v>
      </c>
      <c r="G232" s="480">
        <f ca="1">IF(C232=0,"NA",IF(curve=1,E232,VLOOKUP(E232,simplex_prescreen_cost_cl,2)))</f>
        <v>875</v>
      </c>
      <c r="H232" s="335" t="str">
        <f ca="1">IF(C232=0,"","gpm")</f>
        <v>gpm</v>
      </c>
      <c r="I232" s="501">
        <f ca="1">IF(C232=0,0,IF(curve=1,simplex_clean_screen_eq,VLOOKUP(E232,simplex_prescreen_cost_cl,3)))</f>
        <v>7612.6201300400007</v>
      </c>
      <c r="J232" s="502">
        <f ca="1">IF(OR(I232="contact vendor",I232="NA"),"--",C232*I232)</f>
        <v>22837.860390120004</v>
      </c>
      <c r="K232" s="497">
        <f ca="1">IF(C232=0,"NA",VLOOKUP(E232,simplex_prescreen_cost_cl,IF(ss_cat="large",4,5)))</f>
        <v>35</v>
      </c>
      <c r="L232" s="523">
        <v>1</v>
      </c>
      <c r="M232" s="886" t="str">
        <f>$B$229&amp;" - "&amp;$B$231&amp;" - "&amp;B232</f>
        <v>Screens and Filters - Security Screens for Cleaning - Simplex Basket Screens</v>
      </c>
      <c r="N232" s="238">
        <v>1</v>
      </c>
      <c r="O232" s="238">
        <v>1</v>
      </c>
      <c r="P232" s="238">
        <v>1</v>
      </c>
      <c r="Q232" s="238">
        <v>1</v>
      </c>
      <c r="R232" s="238">
        <v>1</v>
      </c>
      <c r="S232" s="238">
        <v>1</v>
      </c>
      <c r="T232" s="238">
        <v>1</v>
      </c>
      <c r="U232" s="238">
        <v>1</v>
      </c>
      <c r="V232" s="238">
        <v>1</v>
      </c>
      <c r="W232" s="1096">
        <f t="shared" ca="1" si="52"/>
        <v>1</v>
      </c>
      <c r="X232" s="1097">
        <f t="shared" ca="1" si="53"/>
        <v>652.51029686057154</v>
      </c>
      <c r="Y232" s="524"/>
    </row>
    <row r="233" spans="1:25" s="1021" customFormat="1">
      <c r="A233" s="484" t="s">
        <v>3210</v>
      </c>
      <c r="B233" s="515" t="s">
        <v>1503</v>
      </c>
      <c r="C233" s="486">
        <f ca="1">IF(simplex_screens,0,total_sec_screens)</f>
        <v>0</v>
      </c>
      <c r="D233" s="487" t="s">
        <v>2192</v>
      </c>
      <c r="E233" s="480" t="str">
        <f ca="1">IF(C233=0,"NA",sec_screen_flow)</f>
        <v>NA</v>
      </c>
      <c r="F233" s="335" t="str">
        <f ca="1">IF(C233=0,"","gpm")</f>
        <v/>
      </c>
      <c r="G233" s="480" t="str">
        <f ca="1">IF(C233=0,"NA",IF(curve=1,E233,VLOOKUP(E233,auto_prescreen_cost_cl,2)))</f>
        <v>NA</v>
      </c>
      <c r="H233" s="335" t="str">
        <f ca="1">IF(C233=0,"","gpm")</f>
        <v/>
      </c>
      <c r="I233" s="501">
        <f ca="1">IF(C233=0,0,IF(curve=1,auto_clean_screen_eq,VLOOKUP(E233,auto_prescreen_cost_cl,3)))</f>
        <v>0</v>
      </c>
      <c r="J233" s="502">
        <f ca="1">IF(OR(I233="contact vendor",I233="NA"),"--",C233*I233)</f>
        <v>0</v>
      </c>
      <c r="K233" s="497" t="str">
        <f ca="1">IF(C233=0,"NA",VLOOKUP(E233,auto_prescreen_cost_cl,IF(ss_cat="large",4,5)))</f>
        <v>NA</v>
      </c>
      <c r="L233" s="523"/>
      <c r="M233" s="886" t="str">
        <f>$B$229&amp;" - "&amp;$B$231&amp;" - "&amp;B233</f>
        <v>Screens and Filters - Security Screens for Cleaning - Automatic Self-Cleaning Screens</v>
      </c>
      <c r="N233" s="238">
        <v>1</v>
      </c>
      <c r="O233" s="238">
        <v>1</v>
      </c>
      <c r="P233" s="238">
        <v>1</v>
      </c>
      <c r="Q233" s="238">
        <v>1</v>
      </c>
      <c r="R233" s="238">
        <v>1</v>
      </c>
      <c r="S233" s="238">
        <v>1</v>
      </c>
      <c r="T233" s="238">
        <v>1</v>
      </c>
      <c r="U233" s="238">
        <v>1</v>
      </c>
      <c r="V233" s="238">
        <v>1</v>
      </c>
      <c r="W233" s="1096">
        <f t="shared" ca="1" si="52"/>
        <v>0</v>
      </c>
      <c r="X233" s="1097">
        <f t="shared" ca="1" si="53"/>
        <v>0</v>
      </c>
      <c r="Y233" s="524"/>
    </row>
    <row r="234" spans="1:25" s="1021" customFormat="1">
      <c r="A234" s="473">
        <v>6.3</v>
      </c>
      <c r="B234" s="474" t="s">
        <v>1505</v>
      </c>
      <c r="C234" s="477">
        <f ca="1">total_clean_cart_filters</f>
        <v>3</v>
      </c>
      <c r="D234" s="476" t="s">
        <v>2192</v>
      </c>
      <c r="E234" s="526">
        <f ca="1">IF(C234=0,"NA",clean_cart_filter_flow)</f>
        <v>1.26</v>
      </c>
      <c r="F234" s="335" t="str">
        <f ca="1">IF(C234=0,"","MGD")</f>
        <v>MGD</v>
      </c>
      <c r="G234" s="526">
        <f ca="1">IF(C234=0,"NA",IF(curve=1,E234,VLOOKUP(E234,cart_cost_cl,2)))</f>
        <v>1.26</v>
      </c>
      <c r="H234" s="485" t="str">
        <f ca="1">IF(C234=0,"","MGD")</f>
        <v>MGD</v>
      </c>
      <c r="I234" s="501">
        <f ca="1">IF(C234=0,0,IF(curve=1,clean_cart_eq,VLOOKUP(E234,cart_cost_cl,3)))</f>
        <v>20743.19015774428</v>
      </c>
      <c r="J234" s="502">
        <f ca="1">IF(OR(I234="contact vendor",I234="NA"),"--",C234*I234)</f>
        <v>62229.570473232845</v>
      </c>
      <c r="K234" s="497">
        <f ca="1">IF(C234=0,"NA",VLOOKUP(E234,cart_cost_cl,IF(ss_cat="large",4,5)))</f>
        <v>35</v>
      </c>
      <c r="L234" s="491">
        <v>1</v>
      </c>
      <c r="M234" s="886" t="str">
        <f>$B$229&amp;" - "&amp;B234</f>
        <v>Screens and Filters - Cartridge Filters for Cleaning</v>
      </c>
      <c r="N234" s="238">
        <v>1</v>
      </c>
      <c r="O234" s="238">
        <v>1</v>
      </c>
      <c r="P234" s="238">
        <v>1</v>
      </c>
      <c r="Q234" s="238">
        <v>1</v>
      </c>
      <c r="R234" s="238">
        <v>1</v>
      </c>
      <c r="S234" s="238">
        <v>1</v>
      </c>
      <c r="T234" s="238">
        <v>1</v>
      </c>
      <c r="U234" s="238">
        <v>1</v>
      </c>
      <c r="V234" s="238">
        <v>1</v>
      </c>
      <c r="W234" s="1096">
        <f t="shared" ca="1" si="52"/>
        <v>1</v>
      </c>
      <c r="X234" s="1097">
        <f t="shared" ca="1" si="53"/>
        <v>1777.9877278066526</v>
      </c>
      <c r="Y234" s="472"/>
    </row>
    <row r="235" spans="1:25" s="1021" customFormat="1">
      <c r="A235" s="336">
        <v>7</v>
      </c>
      <c r="B235" s="337" t="s">
        <v>1256</v>
      </c>
      <c r="C235" s="425"/>
      <c r="D235" s="338"/>
      <c r="E235" s="425"/>
      <c r="F235" s="337"/>
      <c r="G235" s="425"/>
      <c r="H235" s="337"/>
      <c r="I235" s="425"/>
      <c r="J235" s="425"/>
      <c r="K235" s="425"/>
      <c r="L235" s="426"/>
      <c r="M235" s="886"/>
      <c r="N235" s="238"/>
      <c r="O235" s="238"/>
      <c r="P235" s="238"/>
      <c r="Q235" s="238"/>
      <c r="R235" s="238"/>
      <c r="S235" s="238"/>
      <c r="T235" s="238"/>
      <c r="U235" s="238"/>
      <c r="V235" s="238"/>
      <c r="W235" s="1096">
        <f t="shared" si="52"/>
        <v>0</v>
      </c>
      <c r="X235" s="1097">
        <f t="shared" si="53"/>
        <v>0</v>
      </c>
      <c r="Y235" s="472"/>
    </row>
    <row r="236" spans="1:25" s="1021" customFormat="1">
      <c r="A236" s="660">
        <v>7.1</v>
      </c>
      <c r="B236" s="514" t="s">
        <v>3836</v>
      </c>
      <c r="C236" s="494"/>
      <c r="D236" s="495"/>
      <c r="E236" s="494"/>
      <c r="F236" s="513"/>
      <c r="G236" s="494"/>
      <c r="H236" s="513"/>
      <c r="I236" s="494"/>
      <c r="J236" s="494"/>
      <c r="K236" s="494"/>
      <c r="L236" s="496"/>
      <c r="M236" s="1100"/>
      <c r="N236" s="238"/>
      <c r="O236" s="238"/>
      <c r="P236" s="238"/>
      <c r="Q236" s="238"/>
      <c r="R236" s="238"/>
      <c r="S236" s="238"/>
      <c r="T236" s="238"/>
      <c r="U236" s="238"/>
      <c r="V236" s="238"/>
      <c r="W236" s="1096">
        <f t="shared" si="52"/>
        <v>0</v>
      </c>
      <c r="X236" s="1097">
        <f t="shared" si="53"/>
        <v>0</v>
      </c>
      <c r="Y236" s="472"/>
    </row>
    <row r="237" spans="1:25" s="1021" customFormat="1">
      <c r="A237" s="657" t="s">
        <v>3211</v>
      </c>
      <c r="B237" s="515" t="str">
        <f>CHOOSE(res_transfer_method,"Slurry Pump System for Holding Tanks","Eductors for Holding Tanks","Manual holding tank solids transfer, no equipment needed")</f>
        <v>Manual holding tank solids transfer, no equipment needed</v>
      </c>
      <c r="C237" s="497">
        <f ca="1">IF(AND(htanks=0,hbasins=0),0,CHOOSE(res_transfer_method,res_slurry_pumps,res_eductors,0))</f>
        <v>0</v>
      </c>
      <c r="D237" s="498" t="s">
        <v>2192</v>
      </c>
      <c r="E237" s="499" t="str">
        <f ca="1">IF(C237=0,"NA",CHOOSE(res_transfer_method,res_transfer_rate,res_eductor_size,"NA"))</f>
        <v>NA</v>
      </c>
      <c r="F237" s="500" t="str">
        <f ca="1">IF(C237=0,"",CHOOSE(res_transfer_method,"lbs/hr","in. diam",""))</f>
        <v/>
      </c>
      <c r="G237" s="499" t="str">
        <f ca="1">IF(C237=0,"NA",CHOOSE(res_transfer_method,IF(curve=1,res_transfer_rate,VLOOKUP(res_transfer_rate,gac_slurry_cost_cl,2)),IF(curve=1,res_eductor_size,VLOOKUP(res_eductor_size,seductor_cost_cl,2)),"NA"))</f>
        <v>NA</v>
      </c>
      <c r="H237" s="500" t="str">
        <f ca="1">IF(C237=0,"",CHOOSE(res_transfer_method,"lbs/hr","in. diam",""))</f>
        <v/>
      </c>
      <c r="I237" s="501" t="str">
        <f ca="1">IF(C237=0,"NA",CHOOSE(res_transfer_method,IF(curve=1,res_slurry_eq,VLOOKUP(res_transfer_rate,gac_slurry_cost_cl,3)),IF(curve=1,res_seductor_eq,VLOOKUP(res_eductor_size,seductor_cost_cl,3)),"NA"))</f>
        <v>NA</v>
      </c>
      <c r="J237" s="502">
        <f ca="1">IF(C237=0,0,CHOOSE(res_transfer_method,IF(I237="contact vendor","--",C237*I237),IF(I237="contact vendor","--",C237*I237),0))</f>
        <v>0</v>
      </c>
      <c r="K237" s="527" t="str">
        <f ca="1">IF(C237=0,"NA",VLOOKUP(E237,CHOOSE(res_transfer_method,gac_slurry_cost_cl,seductor_cost_cl),IF(ss_cat="large",4,5)))</f>
        <v>NA</v>
      </c>
      <c r="L237" s="504"/>
      <c r="M237" s="1100" t="str">
        <f>B237</f>
        <v>Manual holding tank solids transfer, no equipment needed</v>
      </c>
      <c r="N237" s="238">
        <v>1</v>
      </c>
      <c r="O237" s="238">
        <v>1</v>
      </c>
      <c r="P237" s="238">
        <v>1</v>
      </c>
      <c r="Q237" s="238">
        <v>1</v>
      </c>
      <c r="R237" s="238">
        <v>1</v>
      </c>
      <c r="S237" s="238">
        <v>1</v>
      </c>
      <c r="T237" s="238">
        <v>1</v>
      </c>
      <c r="U237" s="238">
        <v>1</v>
      </c>
      <c r="V237" s="238">
        <v>1</v>
      </c>
      <c r="W237" s="1096">
        <f t="shared" ca="1" si="52"/>
        <v>0</v>
      </c>
      <c r="X237" s="1097">
        <f t="shared" ca="1" si="53"/>
        <v>0</v>
      </c>
      <c r="Y237" s="472"/>
    </row>
    <row r="238" spans="1:25" s="1021" customFormat="1">
      <c r="A238" s="336">
        <v>8</v>
      </c>
      <c r="B238" s="337" t="s">
        <v>1262</v>
      </c>
      <c r="C238" s="425"/>
      <c r="D238" s="338"/>
      <c r="E238" s="425"/>
      <c r="F238" s="337"/>
      <c r="G238" s="425"/>
      <c r="H238" s="337"/>
      <c r="I238" s="425"/>
      <c r="J238" s="425"/>
      <c r="K238" s="425"/>
      <c r="L238" s="426"/>
      <c r="M238" s="886"/>
      <c r="N238" s="238"/>
      <c r="O238" s="238"/>
      <c r="P238" s="238"/>
      <c r="Q238" s="238"/>
      <c r="R238" s="238"/>
      <c r="S238" s="238"/>
      <c r="T238" s="238"/>
      <c r="U238" s="238"/>
      <c r="V238" s="238"/>
      <c r="W238" s="1096">
        <f t="shared" si="52"/>
        <v>0</v>
      </c>
      <c r="X238" s="1097">
        <f t="shared" si="53"/>
        <v>0</v>
      </c>
      <c r="Y238" s="472"/>
    </row>
    <row r="239" spans="1:25" s="1021" customFormat="1">
      <c r="A239" s="473">
        <v>8.1</v>
      </c>
      <c r="B239" s="474" t="s">
        <v>1307</v>
      </c>
      <c r="C239" s="477">
        <f ca="1">immersion_heaters</f>
        <v>4</v>
      </c>
      <c r="D239" s="476" t="s">
        <v>2192</v>
      </c>
      <c r="E239" s="528">
        <f ca="1">heater_power</f>
        <v>15.186461538461538</v>
      </c>
      <c r="F239" s="335" t="s">
        <v>821</v>
      </c>
      <c r="G239" s="528">
        <f ca="1">IF(C239=0,"NA",IF(curve=1,E239,VLOOKUP(E239,ptfe_imm_htr_cost_cl,2)))</f>
        <v>15.186461538461538</v>
      </c>
      <c r="H239" s="335" t="s">
        <v>821</v>
      </c>
      <c r="I239" s="489">
        <f ca="1">IF(C239=0,0,IF(curve=1,ptfe_imm_htr_eq,VLOOKUP(E239,ptfe_imm_htr_cost_cl,3)))</f>
        <v>4453.5469752924082</v>
      </c>
      <c r="J239" s="502">
        <f ca="1">IF(OR(I239="contact vendor",I239="NA"),"--",C239*I239)</f>
        <v>17814.187901169633</v>
      </c>
      <c r="K239" s="497">
        <f ca="1">IF(C239=0,"NA",VLOOKUP(E239,ptfe_imm_htr_cost_cl,IF(ss_cat="large",4,5)))</f>
        <v>15</v>
      </c>
      <c r="L239" s="491">
        <v>1</v>
      </c>
      <c r="M239" s="886" t="str">
        <f>B239</f>
        <v>Teflon Immersion Heaters for Cleaning Tanks</v>
      </c>
      <c r="N239" s="238">
        <v>1</v>
      </c>
      <c r="O239" s="238">
        <v>1</v>
      </c>
      <c r="P239" s="238">
        <v>1</v>
      </c>
      <c r="Q239" s="238">
        <v>1</v>
      </c>
      <c r="R239" s="238">
        <v>1</v>
      </c>
      <c r="S239" s="238">
        <v>1</v>
      </c>
      <c r="T239" s="238">
        <v>1</v>
      </c>
      <c r="U239" s="238">
        <v>1</v>
      </c>
      <c r="V239" s="238">
        <v>1</v>
      </c>
      <c r="W239" s="1096">
        <f t="shared" ca="1" si="52"/>
        <v>1</v>
      </c>
      <c r="X239" s="1097">
        <f t="shared" ca="1" si="53"/>
        <v>1187.6125267446421</v>
      </c>
      <c r="Y239" s="472"/>
    </row>
    <row r="240" spans="1:25" s="1021" customFormat="1">
      <c r="A240" s="336" t="s">
        <v>3212</v>
      </c>
      <c r="B240" s="337" t="s">
        <v>1261</v>
      </c>
      <c r="C240" s="425"/>
      <c r="D240" s="338"/>
      <c r="E240" s="425"/>
      <c r="F240" s="337"/>
      <c r="G240" s="425"/>
      <c r="H240" s="337"/>
      <c r="I240" s="425"/>
      <c r="J240" s="425"/>
      <c r="K240" s="425"/>
      <c r="L240" s="426"/>
      <c r="M240" s="886"/>
      <c r="N240" s="238"/>
      <c r="O240" s="238"/>
      <c r="P240" s="238"/>
      <c r="Q240" s="238"/>
      <c r="R240" s="238"/>
      <c r="S240" s="238"/>
      <c r="T240" s="238"/>
      <c r="U240" s="238"/>
      <c r="V240" s="238"/>
      <c r="W240" s="1096">
        <f t="shared" si="52"/>
        <v>0</v>
      </c>
      <c r="X240" s="1097">
        <f t="shared" si="53"/>
        <v>0</v>
      </c>
      <c r="Y240" s="472"/>
    </row>
    <row r="241" spans="1:26" s="1021" customFormat="1">
      <c r="A241" s="473">
        <v>9.1</v>
      </c>
      <c r="B241" s="507" t="s">
        <v>5580</v>
      </c>
      <c r="C241" s="494"/>
      <c r="D241" s="495"/>
      <c r="E241" s="494"/>
      <c r="F241" s="474"/>
      <c r="G241" s="494"/>
      <c r="H241" s="474"/>
      <c r="I241" s="494"/>
      <c r="J241" s="494"/>
      <c r="K241" s="494"/>
      <c r="L241" s="496"/>
      <c r="M241" s="1100"/>
      <c r="N241" s="238"/>
      <c r="O241" s="238"/>
      <c r="P241" s="238"/>
      <c r="Q241" s="238"/>
      <c r="R241" s="238"/>
      <c r="S241" s="238"/>
      <c r="T241" s="238"/>
      <c r="U241" s="238"/>
      <c r="V241" s="238"/>
      <c r="W241" s="1096">
        <f t="shared" si="52"/>
        <v>0</v>
      </c>
      <c r="X241" s="1097">
        <f t="shared" si="53"/>
        <v>0</v>
      </c>
      <c r="Y241" s="472"/>
    </row>
    <row r="242" spans="1:26" s="816" customFormat="1">
      <c r="A242" s="662" t="s">
        <v>3213</v>
      </c>
      <c r="B242" s="509" t="s">
        <v>3708</v>
      </c>
      <c r="C242" s="581">
        <f>tot_fm_in</f>
        <v>2</v>
      </c>
      <c r="D242" s="582" t="s">
        <v>2192</v>
      </c>
      <c r="E242" s="497">
        <f>in_meter_size</f>
        <v>10</v>
      </c>
      <c r="F242" s="583" t="s">
        <v>2919</v>
      </c>
      <c r="G242" s="497">
        <f>IF(curve=1,in_meter_size,VLOOKUP(in_meter_size,op_fm_cost_cl,2))</f>
        <v>10</v>
      </c>
      <c r="H242" s="583" t="s">
        <v>2919</v>
      </c>
      <c r="I242" s="501">
        <f>IF(curve=1,op_fm_eq_in,VLOOKUP(in_meter_size,op_fm_cost_cl,3))</f>
        <v>4626.8161419190001</v>
      </c>
      <c r="J242" s="490">
        <f>IF(I242="contact vendor","--",C242*I242)</f>
        <v>9253.6322838380001</v>
      </c>
      <c r="K242" s="497">
        <f>VLOOKUP(in_meter_size,op_fm_cost_cl,IF(ss_cat="large",4,5))</f>
        <v>15</v>
      </c>
      <c r="L242" s="491">
        <v>0</v>
      </c>
      <c r="M242" s="898" t="str">
        <f>$B$240&amp;" - "&amp;$B$241&amp;" - "&amp;B242</f>
        <v>Instrumentation - Flow Meters - Influent and Treated Water Line - Orifice Plate</v>
      </c>
      <c r="N242" s="238">
        <v>3</v>
      </c>
      <c r="O242" s="238">
        <v>4</v>
      </c>
      <c r="P242" s="238">
        <v>4</v>
      </c>
      <c r="Q242" s="238">
        <v>3</v>
      </c>
      <c r="R242" s="238">
        <v>4</v>
      </c>
      <c r="S242" s="238">
        <v>4</v>
      </c>
      <c r="T242" s="238">
        <v>3</v>
      </c>
      <c r="U242" s="238">
        <v>3</v>
      </c>
      <c r="V242" s="238">
        <v>4</v>
      </c>
      <c r="W242" s="1096">
        <f t="shared" si="52"/>
        <v>0</v>
      </c>
      <c r="X242" s="1097">
        <f t="shared" si="53"/>
        <v>0</v>
      </c>
      <c r="Y242" s="238"/>
      <c r="Z242" s="1095"/>
    </row>
    <row r="243" spans="1:26" s="816" customFormat="1">
      <c r="A243" s="662" t="s">
        <v>3213</v>
      </c>
      <c r="B243" s="509" t="s">
        <v>3709</v>
      </c>
      <c r="C243" s="581">
        <f>tot_fm_in</f>
        <v>2</v>
      </c>
      <c r="D243" s="582" t="s">
        <v>2192</v>
      </c>
      <c r="E243" s="497">
        <f>in_meter_size</f>
        <v>10</v>
      </c>
      <c r="F243" s="583" t="s">
        <v>2919</v>
      </c>
      <c r="G243" s="497">
        <f>IF(curve=1,in_meter_size,VLOOKUP(in_meter_size,prop_fm_cost_cl,2))</f>
        <v>10</v>
      </c>
      <c r="H243" s="583" t="s">
        <v>2919</v>
      </c>
      <c r="I243" s="501">
        <f>IF(curve=1,prop_fm_eq_in,VLOOKUP(in_meter_size,prop_fm_cost_cl,3))</f>
        <v>6008.2861197009997</v>
      </c>
      <c r="J243" s="490">
        <f>IF(I243="contact vendor","--",C243*I243)</f>
        <v>12016.572239401999</v>
      </c>
      <c r="K243" s="497">
        <f>VLOOKUP(in_meter_size,prop_fm_cost_cl,IF(ss_cat="large",4,5))</f>
        <v>15</v>
      </c>
      <c r="L243" s="491">
        <v>1</v>
      </c>
      <c r="M243" s="898" t="str">
        <f>$B$240&amp;" - "&amp;$B$241&amp;" - "&amp;B243</f>
        <v>Instrumentation - Flow Meters - Influent and Treated Water Line - Propeller</v>
      </c>
      <c r="N243" s="238">
        <v>1</v>
      </c>
      <c r="O243" s="238">
        <v>2</v>
      </c>
      <c r="P243" s="238">
        <v>3</v>
      </c>
      <c r="Q243" s="238">
        <v>1</v>
      </c>
      <c r="R243" s="238">
        <v>2</v>
      </c>
      <c r="S243" s="238">
        <v>3</v>
      </c>
      <c r="T243" s="238">
        <v>4</v>
      </c>
      <c r="U243" s="238">
        <v>4</v>
      </c>
      <c r="V243" s="238">
        <v>2</v>
      </c>
      <c r="W243" s="1096">
        <f t="shared" si="52"/>
        <v>1</v>
      </c>
      <c r="X243" s="1097">
        <f t="shared" si="53"/>
        <v>801.10481596013335</v>
      </c>
      <c r="Y243" s="238"/>
      <c r="Z243" s="1095"/>
    </row>
    <row r="244" spans="1:26" s="816" customFormat="1">
      <c r="A244" s="662" t="s">
        <v>3213</v>
      </c>
      <c r="B244" s="509" t="s">
        <v>3712</v>
      </c>
      <c r="C244" s="581">
        <f>tot_fm_in</f>
        <v>2</v>
      </c>
      <c r="D244" s="582" t="s">
        <v>2192</v>
      </c>
      <c r="E244" s="497">
        <f>in_meter_size</f>
        <v>10</v>
      </c>
      <c r="F244" s="583" t="s">
        <v>2919</v>
      </c>
      <c r="G244" s="497">
        <f>IF(curve=1,in_meter_size,VLOOKUP(in_meter_size,ven_fm_cost_cl,2))</f>
        <v>10</v>
      </c>
      <c r="H244" s="583" t="s">
        <v>2919</v>
      </c>
      <c r="I244" s="501">
        <f>IF(curve=1,ven_fm_eq_in,VLOOKUP(in_meter_size,ven_fm_cost_cl,3))</f>
        <v>4013.0326495740001</v>
      </c>
      <c r="J244" s="490">
        <f>IF(I244="contact vendor","--",C244*I244)</f>
        <v>8026.0652991480001</v>
      </c>
      <c r="K244" s="497">
        <f>VLOOKUP(in_meter_size,ven_fm_cost_cl,IF(ss_cat="large",4,5))</f>
        <v>15</v>
      </c>
      <c r="L244" s="491">
        <v>0</v>
      </c>
      <c r="M244" s="898" t="str">
        <f>$B$240&amp;" - "&amp;$B$241&amp;" - "&amp;B244</f>
        <v>Instrumentation - Flow Meters - Influent and Treated Water Line - Venturi</v>
      </c>
      <c r="N244" s="238">
        <v>2</v>
      </c>
      <c r="O244" s="238">
        <v>1</v>
      </c>
      <c r="P244" s="238">
        <v>2</v>
      </c>
      <c r="Q244" s="238">
        <v>2</v>
      </c>
      <c r="R244" s="238">
        <v>1</v>
      </c>
      <c r="S244" s="238">
        <v>2</v>
      </c>
      <c r="T244" s="238">
        <v>1</v>
      </c>
      <c r="U244" s="238">
        <v>2</v>
      </c>
      <c r="V244" s="238">
        <v>3</v>
      </c>
      <c r="W244" s="1096">
        <f t="shared" si="52"/>
        <v>0</v>
      </c>
      <c r="X244" s="1097">
        <f t="shared" si="53"/>
        <v>0</v>
      </c>
      <c r="Y244" s="238"/>
      <c r="Z244" s="1095"/>
    </row>
    <row r="245" spans="1:26" s="816" customFormat="1">
      <c r="A245" s="662" t="s">
        <v>3213</v>
      </c>
      <c r="B245" s="509" t="s">
        <v>3715</v>
      </c>
      <c r="C245" s="581">
        <f>tot_fm_in</f>
        <v>2</v>
      </c>
      <c r="D245" s="582" t="s">
        <v>2192</v>
      </c>
      <c r="E245" s="497">
        <f>in_meter_size</f>
        <v>10</v>
      </c>
      <c r="F245" s="583" t="s">
        <v>2919</v>
      </c>
      <c r="G245" s="497">
        <f>IF(curve=1,in_meter_size,VLOOKUP(in_meter_size,mag_fm_cost_cl,2))</f>
        <v>10</v>
      </c>
      <c r="H245" s="583" t="s">
        <v>2919</v>
      </c>
      <c r="I245" s="501">
        <f>IF(curve=1,mag_fm_eq_in,VLOOKUP(in_meter_size,mag_fm_cost_cl,3))</f>
        <v>8445.7466193210003</v>
      </c>
      <c r="J245" s="490">
        <f>IF(I245="contact vendor","--",C245*I245)</f>
        <v>16891.493238642001</v>
      </c>
      <c r="K245" s="497">
        <f>VLOOKUP(in_meter_size,mag_fm_cost_cl,IF(ss_cat="large",4,5))</f>
        <v>15</v>
      </c>
      <c r="L245" s="491">
        <v>0</v>
      </c>
      <c r="M245" s="898" t="str">
        <f>$B$240&amp;" - "&amp;$B$241&amp;" - "&amp;B245</f>
        <v>Instrumentation - Flow Meters - Influent and Treated Water Line - Magnetic</v>
      </c>
      <c r="N245" s="238">
        <v>4</v>
      </c>
      <c r="O245" s="238">
        <v>3</v>
      </c>
      <c r="P245" s="238">
        <v>1</v>
      </c>
      <c r="Q245" s="238">
        <v>4</v>
      </c>
      <c r="R245" s="238">
        <v>3</v>
      </c>
      <c r="S245" s="238">
        <v>1</v>
      </c>
      <c r="T245" s="238">
        <v>2</v>
      </c>
      <c r="U245" s="238">
        <v>1</v>
      </c>
      <c r="V245" s="238">
        <v>1</v>
      </c>
      <c r="W245" s="1096">
        <f t="shared" si="52"/>
        <v>0</v>
      </c>
      <c r="X245" s="1097">
        <f t="shared" si="53"/>
        <v>0</v>
      </c>
      <c r="Y245" s="238"/>
      <c r="Z245" s="1095"/>
    </row>
    <row r="246" spans="1:26" s="1021" customFormat="1">
      <c r="A246" s="473">
        <v>9.1999999999999993</v>
      </c>
      <c r="B246" s="507" t="s">
        <v>4511</v>
      </c>
      <c r="C246" s="494"/>
      <c r="D246" s="495"/>
      <c r="E246" s="494"/>
      <c r="F246" s="474"/>
      <c r="G246" s="494"/>
      <c r="H246" s="474"/>
      <c r="I246" s="494"/>
      <c r="J246" s="494"/>
      <c r="K246" s="494"/>
      <c r="L246" s="496"/>
      <c r="M246" s="898"/>
      <c r="N246" s="238"/>
      <c r="O246" s="238"/>
      <c r="P246" s="238"/>
      <c r="Q246" s="238"/>
      <c r="R246" s="238"/>
      <c r="S246" s="238"/>
      <c r="T246" s="238"/>
      <c r="U246" s="238"/>
      <c r="V246" s="238"/>
      <c r="W246" s="1096">
        <f t="shared" si="52"/>
        <v>0</v>
      </c>
      <c r="X246" s="1097">
        <f t="shared" si="53"/>
        <v>0</v>
      </c>
      <c r="Y246" s="472"/>
    </row>
    <row r="247" spans="1:26" s="1021" customFormat="1">
      <c r="A247" s="663" t="s">
        <v>3214</v>
      </c>
      <c r="B247" s="515" t="s">
        <v>3708</v>
      </c>
      <c r="C247" s="497">
        <f ca="1">tot_fm_feed</f>
        <v>2</v>
      </c>
      <c r="D247" s="498" t="s">
        <v>2192</v>
      </c>
      <c r="E247" s="497">
        <f ca="1">IF(C247=0,"NA",feed_meter_size)</f>
        <v>6</v>
      </c>
      <c r="F247" s="500" t="str">
        <f ca="1">IF(C247=0,"","in. diam")</f>
        <v>in. diam</v>
      </c>
      <c r="G247" s="497">
        <f ca="1">IF(C247=0,"NA",IF(curve=1,feed_meter_size,VLOOKUP(feed_meter_size,op_fm_cost_cl,2)))</f>
        <v>6</v>
      </c>
      <c r="H247" s="500" t="str">
        <f ca="1">IF(C247=0,"","in. diam")</f>
        <v>in. diam</v>
      </c>
      <c r="I247" s="501">
        <f ca="1">IF(C247=0,"NA",IF(curve=1,op_fm_eq_feed,VLOOKUP(feed_meter_size,op_fm_cost_cl,3)))</f>
        <v>3417.5755455509998</v>
      </c>
      <c r="J247" s="490">
        <f ca="1">IF(OR(I247="contact vendor",I247="NA"),"--",C247*I247)</f>
        <v>6835.1510911019996</v>
      </c>
      <c r="K247" s="497">
        <f ca="1">VLOOKUP(feed_meter_size,op_fm_cost_cl,IF(ss_cat="large",4,5))</f>
        <v>15</v>
      </c>
      <c r="L247" s="491">
        <v>0</v>
      </c>
      <c r="M247" s="898" t="str">
        <f>$B$240&amp;" - "&amp;$B$246&amp;" - "&amp;B247</f>
        <v>Instrumentation - Flow Meters - Membrane Trains - Feed Line - Orifice Plate</v>
      </c>
      <c r="N247" s="238">
        <v>3</v>
      </c>
      <c r="O247" s="238">
        <v>4</v>
      </c>
      <c r="P247" s="238">
        <v>4</v>
      </c>
      <c r="Q247" s="238">
        <v>3</v>
      </c>
      <c r="R247" s="238">
        <v>4</v>
      </c>
      <c r="S247" s="238">
        <v>4</v>
      </c>
      <c r="T247" s="238">
        <v>3</v>
      </c>
      <c r="U247" s="238">
        <v>3</v>
      </c>
      <c r="V247" s="238">
        <v>4</v>
      </c>
      <c r="W247" s="1096">
        <f t="shared" ca="1" si="52"/>
        <v>0</v>
      </c>
      <c r="X247" s="1097">
        <f t="shared" ca="1" si="53"/>
        <v>0</v>
      </c>
      <c r="Y247" s="472"/>
    </row>
    <row r="248" spans="1:26" s="816" customFormat="1">
      <c r="A248" s="663" t="s">
        <v>3214</v>
      </c>
      <c r="B248" s="509" t="s">
        <v>3709</v>
      </c>
      <c r="C248" s="497">
        <f ca="1">tot_fm_feed</f>
        <v>2</v>
      </c>
      <c r="D248" s="582" t="s">
        <v>2192</v>
      </c>
      <c r="E248" s="497">
        <f ca="1">IF(C248=0,"NA",feed_meter_size)</f>
        <v>6</v>
      </c>
      <c r="F248" s="583" t="s">
        <v>2919</v>
      </c>
      <c r="G248" s="497">
        <f ca="1">IF(C248=0,"NA",IF(curve=1,feed_meter_size,VLOOKUP(feed_meter_size,prop_fm_cost_cl,2)))</f>
        <v>6</v>
      </c>
      <c r="H248" s="583" t="s">
        <v>2919</v>
      </c>
      <c r="I248" s="501">
        <f ca="1">IF(C248=0,"NA",IF(curve=1,prop_fm_eq_feed,VLOOKUP(feed_meter_size,prop_fm_cost_cl,3)))</f>
        <v>4478.5640461209996</v>
      </c>
      <c r="J248" s="490">
        <f ca="1">IF(OR(I248="contact vendor",I248="NA"),"--",C248*I248)</f>
        <v>8957.1280922419992</v>
      </c>
      <c r="K248" s="497">
        <f ca="1">VLOOKUP(feed_meter_size,prop_fm_cost_cl,IF(ss_cat="large",4,5))</f>
        <v>15</v>
      </c>
      <c r="L248" s="491">
        <v>1</v>
      </c>
      <c r="M248" s="898" t="str">
        <f>$B$240&amp;" - "&amp;$B$246&amp;" - "&amp;B248</f>
        <v>Instrumentation - Flow Meters - Membrane Trains - Feed Line - Propeller</v>
      </c>
      <c r="N248" s="238">
        <v>1</v>
      </c>
      <c r="O248" s="238">
        <v>2</v>
      </c>
      <c r="P248" s="238">
        <v>3</v>
      </c>
      <c r="Q248" s="238">
        <v>1</v>
      </c>
      <c r="R248" s="238">
        <v>2</v>
      </c>
      <c r="S248" s="238">
        <v>3</v>
      </c>
      <c r="T248" s="238">
        <v>4</v>
      </c>
      <c r="U248" s="238">
        <v>4</v>
      </c>
      <c r="V248" s="238">
        <v>2</v>
      </c>
      <c r="W248" s="1096">
        <f t="shared" ca="1" si="52"/>
        <v>1</v>
      </c>
      <c r="X248" s="1097">
        <f t="shared" ca="1" si="53"/>
        <v>597.14187281613329</v>
      </c>
      <c r="Y248" s="238"/>
      <c r="Z248" s="1095"/>
    </row>
    <row r="249" spans="1:26" s="816" customFormat="1">
      <c r="A249" s="663" t="s">
        <v>3214</v>
      </c>
      <c r="B249" s="509" t="s">
        <v>3712</v>
      </c>
      <c r="C249" s="497">
        <f ca="1">tot_fm_feed</f>
        <v>2</v>
      </c>
      <c r="D249" s="582" t="s">
        <v>2192</v>
      </c>
      <c r="E249" s="497">
        <f ca="1">IF(C249=0,"NA",feed_meter_size)</f>
        <v>6</v>
      </c>
      <c r="F249" s="583" t="s">
        <v>2919</v>
      </c>
      <c r="G249" s="497">
        <f ca="1">IF(C249=0,"NA",IF(curve=1,feed_meter_size,VLOOKUP(feed_meter_size,ven_fm_cost_cl,2)))</f>
        <v>6</v>
      </c>
      <c r="H249" s="583" t="s">
        <v>2919</v>
      </c>
      <c r="I249" s="501">
        <f ca="1">IF(C249=0,"NA",IF(curve=1,ven_fm_eq_feed,VLOOKUP(feed_meter_size,ven_fm_cost_cl,3)))</f>
        <v>3069.2794628780002</v>
      </c>
      <c r="J249" s="490">
        <f ca="1">IF(OR(I249="contact vendor",I249="NA"),"--",C249*I249)</f>
        <v>6138.5589257560005</v>
      </c>
      <c r="K249" s="497">
        <f ca="1">VLOOKUP(feed_meter_size,ven_fm_cost_cl,IF(ss_cat="large",4,5))</f>
        <v>15</v>
      </c>
      <c r="L249" s="491">
        <v>0</v>
      </c>
      <c r="M249" s="898" t="str">
        <f>$B$240&amp;" - "&amp;$B$246&amp;" - "&amp;B249</f>
        <v>Instrumentation - Flow Meters - Membrane Trains - Feed Line - Venturi</v>
      </c>
      <c r="N249" s="238">
        <v>2</v>
      </c>
      <c r="O249" s="238">
        <v>1</v>
      </c>
      <c r="P249" s="238">
        <v>2</v>
      </c>
      <c r="Q249" s="238">
        <v>2</v>
      </c>
      <c r="R249" s="238">
        <v>1</v>
      </c>
      <c r="S249" s="238">
        <v>2</v>
      </c>
      <c r="T249" s="238">
        <v>1</v>
      </c>
      <c r="U249" s="238">
        <v>2</v>
      </c>
      <c r="V249" s="238">
        <v>3</v>
      </c>
      <c r="W249" s="1096">
        <f t="shared" ca="1" si="52"/>
        <v>0</v>
      </c>
      <c r="X249" s="1097">
        <f t="shared" ca="1" si="53"/>
        <v>0</v>
      </c>
      <c r="Y249" s="238"/>
      <c r="Z249" s="1095"/>
    </row>
    <row r="250" spans="1:26" s="816" customFormat="1">
      <c r="A250" s="663" t="s">
        <v>3214</v>
      </c>
      <c r="B250" s="509" t="s">
        <v>3715</v>
      </c>
      <c r="C250" s="497">
        <f ca="1">tot_fm_feed</f>
        <v>2</v>
      </c>
      <c r="D250" s="582" t="s">
        <v>2192</v>
      </c>
      <c r="E250" s="497">
        <f ca="1">IF(C250=0,"NA",feed_meter_size)</f>
        <v>6</v>
      </c>
      <c r="F250" s="583" t="s">
        <v>2919</v>
      </c>
      <c r="G250" s="497">
        <f ca="1">IF(C250=0,"NA",IF(curve=1,feed_meter_size,VLOOKUP(feed_meter_size,mag_fm_cost_cl,2)))</f>
        <v>6</v>
      </c>
      <c r="H250" s="583" t="s">
        <v>2919</v>
      </c>
      <c r="I250" s="501">
        <f ca="1">IF(C250=0,"NA",IF(curve=1,mag_fm_eq_feed,VLOOKUP(feed_meter_size,mag_fm_cost_cl,3)))</f>
        <v>6185.8840061850005</v>
      </c>
      <c r="J250" s="490">
        <f ca="1">IF(OR(I250="contact vendor",I250="NA"),"--",C250*I250)</f>
        <v>12371.768012370001</v>
      </c>
      <c r="K250" s="497">
        <f ca="1">VLOOKUP(feed_meter_size,mag_fm_cost_cl,IF(ss_cat="large",4,5))</f>
        <v>15</v>
      </c>
      <c r="L250" s="491">
        <v>0</v>
      </c>
      <c r="M250" s="898" t="str">
        <f>$B$240&amp;" - "&amp;$B$246&amp;" - "&amp;B250</f>
        <v>Instrumentation - Flow Meters - Membrane Trains - Feed Line - Magnetic</v>
      </c>
      <c r="N250" s="238">
        <v>4</v>
      </c>
      <c r="O250" s="238">
        <v>3</v>
      </c>
      <c r="P250" s="238">
        <v>1</v>
      </c>
      <c r="Q250" s="238">
        <v>4</v>
      </c>
      <c r="R250" s="238">
        <v>3</v>
      </c>
      <c r="S250" s="238">
        <v>1</v>
      </c>
      <c r="T250" s="238">
        <v>2</v>
      </c>
      <c r="U250" s="238">
        <v>1</v>
      </c>
      <c r="V250" s="238">
        <v>1</v>
      </c>
      <c r="W250" s="1096">
        <f t="shared" ca="1" si="52"/>
        <v>0</v>
      </c>
      <c r="X250" s="1097">
        <f t="shared" ca="1" si="53"/>
        <v>0</v>
      </c>
      <c r="Y250" s="238"/>
      <c r="Z250" s="1095"/>
    </row>
    <row r="251" spans="1:26" s="1021" customFormat="1">
      <c r="A251" s="473">
        <v>9.3000000000000007</v>
      </c>
      <c r="B251" s="507" t="s">
        <v>4512</v>
      </c>
      <c r="C251" s="494"/>
      <c r="D251" s="495"/>
      <c r="E251" s="494"/>
      <c r="F251" s="474"/>
      <c r="G251" s="494"/>
      <c r="H251" s="474"/>
      <c r="I251" s="494"/>
      <c r="J251" s="494"/>
      <c r="K251" s="494"/>
      <c r="L251" s="496"/>
      <c r="M251" s="898"/>
      <c r="N251" s="238"/>
      <c r="O251" s="238"/>
      <c r="P251" s="238"/>
      <c r="Q251" s="238"/>
      <c r="R251" s="238"/>
      <c r="S251" s="238"/>
      <c r="T251" s="238"/>
      <c r="U251" s="238"/>
      <c r="V251" s="238"/>
      <c r="W251" s="1096">
        <f t="shared" si="52"/>
        <v>0</v>
      </c>
      <c r="X251" s="1097">
        <f t="shared" si="53"/>
        <v>0</v>
      </c>
      <c r="Y251" s="472"/>
    </row>
    <row r="252" spans="1:26" s="1021" customFormat="1" ht="13.5" customHeight="1">
      <c r="A252" s="663" t="s">
        <v>5237</v>
      </c>
      <c r="B252" s="515" t="s">
        <v>3708</v>
      </c>
      <c r="C252" s="497">
        <f ca="1">tot_fm_perm</f>
        <v>2</v>
      </c>
      <c r="D252" s="498" t="s">
        <v>2192</v>
      </c>
      <c r="E252" s="497">
        <f ca="1">IF(C252=0,"NA",perm_meter_size)</f>
        <v>6</v>
      </c>
      <c r="F252" s="500" t="str">
        <f ca="1">IF(C252=0,"","in. diam")</f>
        <v>in. diam</v>
      </c>
      <c r="G252" s="497">
        <f ca="1">IF(C252=0,"NA",IF(curve=1,perm_meter_size,VLOOKUP(perm_meter_size,op_fm_cost_cl,2)))</f>
        <v>6</v>
      </c>
      <c r="H252" s="500" t="str">
        <f ca="1">IF(C252=0,"","in. diam")</f>
        <v>in. diam</v>
      </c>
      <c r="I252" s="501">
        <f ca="1">IF(C252=0,"NA",IF(curve=1,op_fm_eq_perm,VLOOKUP(perm_meter_size,op_fm_cost_cl,3)))</f>
        <v>3417.5755455509998</v>
      </c>
      <c r="J252" s="490">
        <f ca="1">IF(OR(I252="contact vendor",I252="NA"),"--",C252*I252)</f>
        <v>6835.1510911019996</v>
      </c>
      <c r="K252" s="497">
        <f ca="1">VLOOKUP(perm_meter_size,op_fm_cost_cl,IF(ss_cat="large",4,5))</f>
        <v>15</v>
      </c>
      <c r="L252" s="491">
        <v>0</v>
      </c>
      <c r="M252" s="898" t="str">
        <f>$B$240&amp;" - "&amp;$B$251&amp;" - "&amp;B252</f>
        <v>Instrumentation - Flow Meters - Membrane Trains - Permeate Line - Orifice Plate</v>
      </c>
      <c r="N252" s="238">
        <v>3</v>
      </c>
      <c r="O252" s="238">
        <v>4</v>
      </c>
      <c r="P252" s="238">
        <v>4</v>
      </c>
      <c r="Q252" s="238">
        <v>3</v>
      </c>
      <c r="R252" s="238">
        <v>4</v>
      </c>
      <c r="S252" s="238">
        <v>4</v>
      </c>
      <c r="T252" s="238">
        <v>3</v>
      </c>
      <c r="U252" s="238">
        <v>3</v>
      </c>
      <c r="V252" s="238">
        <v>4</v>
      </c>
      <c r="W252" s="1096">
        <f t="shared" ca="1" si="52"/>
        <v>0</v>
      </c>
      <c r="X252" s="1097">
        <f t="shared" ca="1" si="53"/>
        <v>0</v>
      </c>
      <c r="Y252" s="472"/>
    </row>
    <row r="253" spans="1:26" s="816" customFormat="1">
      <c r="A253" s="663" t="s">
        <v>5237</v>
      </c>
      <c r="B253" s="509" t="s">
        <v>3709</v>
      </c>
      <c r="C253" s="497">
        <f ca="1">tot_fm_perm</f>
        <v>2</v>
      </c>
      <c r="D253" s="582" t="s">
        <v>2192</v>
      </c>
      <c r="E253" s="497">
        <f ca="1">IF(C253=0,"NA",perm_meter_size)</f>
        <v>6</v>
      </c>
      <c r="F253" s="583" t="s">
        <v>2919</v>
      </c>
      <c r="G253" s="497">
        <f ca="1">IF(C253=0,"NA",IF(curve=1,perm_meter_size,VLOOKUP(perm_meter_size,prop_fm_cost_cl,2)))</f>
        <v>6</v>
      </c>
      <c r="H253" s="583" t="s">
        <v>2919</v>
      </c>
      <c r="I253" s="501">
        <f ca="1">IF(C253=0,"NA",IF(curve=1,prop_fm_eq_perm,VLOOKUP(perm_meter_size,prop_fm_cost_cl,3)))</f>
        <v>4478.5640461209996</v>
      </c>
      <c r="J253" s="490">
        <f ca="1">IF(OR(I253="contact vendor",I253="NA"),"--",C253*I253)</f>
        <v>8957.1280922419992</v>
      </c>
      <c r="K253" s="497">
        <f ca="1">VLOOKUP(perm_meter_size,prop_fm_cost_cl,IF(ss_cat="large",4,5))</f>
        <v>15</v>
      </c>
      <c r="L253" s="491">
        <v>1</v>
      </c>
      <c r="M253" s="898" t="str">
        <f>$B$240&amp;" - "&amp;$B$251&amp;" - "&amp;B253</f>
        <v>Instrumentation - Flow Meters - Membrane Trains - Permeate Line - Propeller</v>
      </c>
      <c r="N253" s="238">
        <v>1</v>
      </c>
      <c r="O253" s="238">
        <v>2</v>
      </c>
      <c r="P253" s="238">
        <v>3</v>
      </c>
      <c r="Q253" s="238">
        <v>1</v>
      </c>
      <c r="R253" s="238">
        <v>2</v>
      </c>
      <c r="S253" s="238">
        <v>3</v>
      </c>
      <c r="T253" s="238">
        <v>4</v>
      </c>
      <c r="U253" s="238">
        <v>4</v>
      </c>
      <c r="V253" s="238">
        <v>2</v>
      </c>
      <c r="W253" s="1096">
        <f t="shared" ca="1" si="52"/>
        <v>1</v>
      </c>
      <c r="X253" s="1097">
        <f t="shared" ca="1" si="53"/>
        <v>597.14187281613329</v>
      </c>
      <c r="Y253" s="238"/>
      <c r="Z253" s="1095"/>
    </row>
    <row r="254" spans="1:26" s="816" customFormat="1">
      <c r="A254" s="663" t="s">
        <v>5237</v>
      </c>
      <c r="B254" s="509" t="s">
        <v>3712</v>
      </c>
      <c r="C254" s="497">
        <f ca="1">tot_fm_perm</f>
        <v>2</v>
      </c>
      <c r="D254" s="582" t="s">
        <v>2192</v>
      </c>
      <c r="E254" s="497">
        <f ca="1">IF(C254=0,"NA",perm_meter_size)</f>
        <v>6</v>
      </c>
      <c r="F254" s="583" t="s">
        <v>2919</v>
      </c>
      <c r="G254" s="497">
        <f ca="1">IF(C254=0,"NA",IF(curve=1,perm_meter_size,VLOOKUP(perm_meter_size,ven_fm_cost_cl,2)))</f>
        <v>6</v>
      </c>
      <c r="H254" s="583" t="s">
        <v>2919</v>
      </c>
      <c r="I254" s="501">
        <f ca="1">IF(C254=0,"NA",IF(curve=1,ven_fm_eq_perm,VLOOKUP(perm_meter_size,ven_fm_cost_cl,3)))</f>
        <v>3069.2794628780002</v>
      </c>
      <c r="J254" s="490">
        <f ca="1">IF(OR(I254="contact vendor",I254="NA"),"--",C254*I254)</f>
        <v>6138.5589257560005</v>
      </c>
      <c r="K254" s="497">
        <f ca="1">VLOOKUP(perm_meter_size,ven_fm_cost_cl,IF(ss_cat="large",4,5))</f>
        <v>15</v>
      </c>
      <c r="L254" s="491">
        <v>0</v>
      </c>
      <c r="M254" s="898" t="str">
        <f>$B$240&amp;" - "&amp;$B$251&amp;" - "&amp;B254</f>
        <v>Instrumentation - Flow Meters - Membrane Trains - Permeate Line - Venturi</v>
      </c>
      <c r="N254" s="238">
        <v>2</v>
      </c>
      <c r="O254" s="238">
        <v>1</v>
      </c>
      <c r="P254" s="238">
        <v>2</v>
      </c>
      <c r="Q254" s="238">
        <v>2</v>
      </c>
      <c r="R254" s="238">
        <v>1</v>
      </c>
      <c r="S254" s="238">
        <v>2</v>
      </c>
      <c r="T254" s="238">
        <v>1</v>
      </c>
      <c r="U254" s="238">
        <v>2</v>
      </c>
      <c r="V254" s="238">
        <v>3</v>
      </c>
      <c r="W254" s="1096">
        <f t="shared" ca="1" si="52"/>
        <v>0</v>
      </c>
      <c r="X254" s="1097">
        <f t="shared" ca="1" si="53"/>
        <v>0</v>
      </c>
      <c r="Y254" s="238"/>
      <c r="Z254" s="1095"/>
    </row>
    <row r="255" spans="1:26" s="816" customFormat="1">
      <c r="A255" s="663" t="s">
        <v>5237</v>
      </c>
      <c r="B255" s="509" t="s">
        <v>3715</v>
      </c>
      <c r="C255" s="497">
        <f ca="1">tot_fm_perm</f>
        <v>2</v>
      </c>
      <c r="D255" s="582" t="s">
        <v>2192</v>
      </c>
      <c r="E255" s="497">
        <f ca="1">IF(C255=0,"NA",perm_meter_size)</f>
        <v>6</v>
      </c>
      <c r="F255" s="583" t="s">
        <v>2919</v>
      </c>
      <c r="G255" s="497">
        <f ca="1">IF(C255=0,"NA",IF(curve=1,perm_meter_size,VLOOKUP(perm_meter_size,mag_fm_cost_cl,2)))</f>
        <v>6</v>
      </c>
      <c r="H255" s="583" t="s">
        <v>2919</v>
      </c>
      <c r="I255" s="501">
        <f ca="1">IF(C255=0,"NA",IF(curve=1,mag_fm_eq_perm,VLOOKUP(perm_meter_size,mag_fm_cost_cl,3)))</f>
        <v>6185.8840061850005</v>
      </c>
      <c r="J255" s="490">
        <f ca="1">IF(OR(I255="contact vendor",I255="NA"),"--",C255*I255)</f>
        <v>12371.768012370001</v>
      </c>
      <c r="K255" s="497">
        <f ca="1">VLOOKUP(perm_meter_size,mag_fm_cost_cl,IF(ss_cat="large",4,5))</f>
        <v>15</v>
      </c>
      <c r="L255" s="491">
        <v>0</v>
      </c>
      <c r="M255" s="898" t="str">
        <f>$B$240&amp;" - "&amp;$B$251&amp;" - "&amp;B255</f>
        <v>Instrumentation - Flow Meters - Membrane Trains - Permeate Line - Magnetic</v>
      </c>
      <c r="N255" s="238">
        <v>4</v>
      </c>
      <c r="O255" s="238">
        <v>3</v>
      </c>
      <c r="P255" s="238">
        <v>1</v>
      </c>
      <c r="Q255" s="238">
        <v>4</v>
      </c>
      <c r="R255" s="238">
        <v>3</v>
      </c>
      <c r="S255" s="238">
        <v>1</v>
      </c>
      <c r="T255" s="238">
        <v>2</v>
      </c>
      <c r="U255" s="238">
        <v>1</v>
      </c>
      <c r="V255" s="238">
        <v>1</v>
      </c>
      <c r="W255" s="1096">
        <f t="shared" ca="1" si="52"/>
        <v>0</v>
      </c>
      <c r="X255" s="1097">
        <f t="shared" ca="1" si="53"/>
        <v>0</v>
      </c>
      <c r="Y255" s="238"/>
      <c r="Z255" s="1095"/>
    </row>
    <row r="256" spans="1:26" s="816" customFormat="1">
      <c r="A256" s="473">
        <v>9.3000000000000007</v>
      </c>
      <c r="B256" s="507" t="s">
        <v>4510</v>
      </c>
      <c r="C256" s="494"/>
      <c r="D256" s="495"/>
      <c r="E256" s="494"/>
      <c r="F256" s="474"/>
      <c r="G256" s="494"/>
      <c r="H256" s="474"/>
      <c r="I256" s="494"/>
      <c r="J256" s="494"/>
      <c r="K256" s="494"/>
      <c r="L256" s="496"/>
      <c r="M256" s="898"/>
      <c r="N256" s="238"/>
      <c r="O256" s="238"/>
      <c r="P256" s="238"/>
      <c r="Q256" s="238"/>
      <c r="R256" s="238"/>
      <c r="S256" s="238"/>
      <c r="T256" s="238"/>
      <c r="U256" s="238"/>
      <c r="V256" s="238"/>
      <c r="W256" s="1096"/>
      <c r="X256" s="1097"/>
      <c r="Y256" s="238"/>
      <c r="Z256" s="1095"/>
    </row>
    <row r="257" spans="1:26" s="816" customFormat="1">
      <c r="A257" s="663" t="s">
        <v>5237</v>
      </c>
      <c r="B257" s="515" t="s">
        <v>3708</v>
      </c>
      <c r="C257" s="497">
        <f ca="1">tot_fm_conc</f>
        <v>2</v>
      </c>
      <c r="D257" s="498" t="s">
        <v>2192</v>
      </c>
      <c r="E257" s="497">
        <f ca="1">IF(C257=0,"NA",conc_meter_size)</f>
        <v>6</v>
      </c>
      <c r="F257" s="500" t="str">
        <f ca="1">IF(C257=0,"","in. diam")</f>
        <v>in. diam</v>
      </c>
      <c r="G257" s="497">
        <f ca="1">IF(C257=0,"NA",IF(curve=1,conc_meter_size,VLOOKUP(conc_meter_size,op_fm_cost_cl,2)))</f>
        <v>6</v>
      </c>
      <c r="H257" s="500" t="str">
        <f ca="1">IF(C257=0,"","in. diam")</f>
        <v>in. diam</v>
      </c>
      <c r="I257" s="501">
        <f ca="1">IF(C257=0,"NA",IF(curve=1,op_fm_eq_conc,VLOOKUP(conc_meter_size,op_fm_cost_cl,3)))</f>
        <v>3417.5755455509998</v>
      </c>
      <c r="J257" s="490">
        <f ca="1">IF(OR(I257="contact vendor",I257="NA"),"--",C257*I257)</f>
        <v>6835.1510911019996</v>
      </c>
      <c r="K257" s="497">
        <f ca="1">VLOOKUP(conc_meter_size,op_fm_cost_cl,IF(ss_cat="large",4,5))</f>
        <v>15</v>
      </c>
      <c r="L257" s="491">
        <v>0</v>
      </c>
      <c r="M257" s="898" t="str">
        <f>$B$240&amp;" - "&amp;$B$256&amp;" - "&amp;B257</f>
        <v>Instrumentation - Flow Meters - Membrane Trains - Concentrate Line - Orifice Plate</v>
      </c>
      <c r="N257" s="238">
        <v>3</v>
      </c>
      <c r="O257" s="238">
        <v>4</v>
      </c>
      <c r="P257" s="238">
        <v>4</v>
      </c>
      <c r="Q257" s="238">
        <v>3</v>
      </c>
      <c r="R257" s="238">
        <v>4</v>
      </c>
      <c r="S257" s="238">
        <v>4</v>
      </c>
      <c r="T257" s="238">
        <v>3</v>
      </c>
      <c r="U257" s="238">
        <v>3</v>
      </c>
      <c r="V257" s="238">
        <v>4</v>
      </c>
      <c r="W257" s="1096">
        <f t="shared" ref="W257:W288" ca="1" si="54">IF(ISERROR(K257*L257),0,IF(K257&lt;1,0,L257))</f>
        <v>0</v>
      </c>
      <c r="X257" s="1097">
        <f t="shared" ref="X257:X288" ca="1" si="55">IF(W257,J257/K257,0)</f>
        <v>0</v>
      </c>
      <c r="Y257" s="238"/>
      <c r="Z257" s="1095"/>
    </row>
    <row r="258" spans="1:26" s="816" customFormat="1">
      <c r="A258" s="663" t="s">
        <v>5237</v>
      </c>
      <c r="B258" s="509" t="s">
        <v>3709</v>
      </c>
      <c r="C258" s="497">
        <f ca="1">tot_fm_conc</f>
        <v>2</v>
      </c>
      <c r="D258" s="582" t="s">
        <v>2192</v>
      </c>
      <c r="E258" s="497">
        <f ca="1">IF(C258=0,"NA",conc_meter_size)</f>
        <v>6</v>
      </c>
      <c r="F258" s="583" t="s">
        <v>2919</v>
      </c>
      <c r="G258" s="497">
        <f ca="1">IF(C258=0,"NA",IF(curve=1,conc_meter_size,VLOOKUP(conc_meter_size,prop_fm_cost_cl,2)))</f>
        <v>6</v>
      </c>
      <c r="H258" s="583" t="s">
        <v>2919</v>
      </c>
      <c r="I258" s="501">
        <f ca="1">IF(C258=0,"NA",IF(curve=1,prop_fm_eq_conc,VLOOKUP(conc_meter_size,prop_fm_cost_cl,3)))</f>
        <v>4478.5640461209996</v>
      </c>
      <c r="J258" s="490">
        <f ca="1">IF(OR(I258="contact vendor",I258="NA"),"--",C258*I258)</f>
        <v>8957.1280922419992</v>
      </c>
      <c r="K258" s="497">
        <f ca="1">VLOOKUP(conc_meter_size,prop_fm_cost_cl,IF(ss_cat="large",4,5))</f>
        <v>15</v>
      </c>
      <c r="L258" s="491">
        <v>1</v>
      </c>
      <c r="M258" s="898" t="str">
        <f>$B$240&amp;" - "&amp;$B$256&amp;" - "&amp;B258</f>
        <v>Instrumentation - Flow Meters - Membrane Trains - Concentrate Line - Propeller</v>
      </c>
      <c r="N258" s="238">
        <v>1</v>
      </c>
      <c r="O258" s="238">
        <v>2</v>
      </c>
      <c r="P258" s="238">
        <v>3</v>
      </c>
      <c r="Q258" s="238">
        <v>1</v>
      </c>
      <c r="R258" s="238">
        <v>2</v>
      </c>
      <c r="S258" s="238">
        <v>3</v>
      </c>
      <c r="T258" s="238">
        <v>4</v>
      </c>
      <c r="U258" s="238">
        <v>4</v>
      </c>
      <c r="V258" s="238">
        <v>2</v>
      </c>
      <c r="W258" s="1096">
        <f t="shared" ca="1" si="54"/>
        <v>1</v>
      </c>
      <c r="X258" s="1097">
        <f t="shared" ca="1" si="55"/>
        <v>597.14187281613329</v>
      </c>
      <c r="Y258" s="238"/>
      <c r="Z258" s="1095"/>
    </row>
    <row r="259" spans="1:26" s="816" customFormat="1">
      <c r="A259" s="663" t="s">
        <v>5237</v>
      </c>
      <c r="B259" s="509" t="s">
        <v>3712</v>
      </c>
      <c r="C259" s="497">
        <f ca="1">tot_fm_conc</f>
        <v>2</v>
      </c>
      <c r="D259" s="582" t="s">
        <v>2192</v>
      </c>
      <c r="E259" s="497">
        <f ca="1">IF(C259=0,"NA",conc_meter_size)</f>
        <v>6</v>
      </c>
      <c r="F259" s="583" t="s">
        <v>2919</v>
      </c>
      <c r="G259" s="497">
        <f ca="1">IF(C259=0,"NA",IF(curve=1,conc_meter_size,VLOOKUP(conc_meter_size,ven_fm_cost_cl,2)))</f>
        <v>6</v>
      </c>
      <c r="H259" s="583" t="s">
        <v>2919</v>
      </c>
      <c r="I259" s="501">
        <f ca="1">IF(C259=0,"NA",IF(curve=1,ven_fm_eq_conc,VLOOKUP(conc_meter_size,ven_fm_cost_cl,3)))</f>
        <v>3069.2794628780002</v>
      </c>
      <c r="J259" s="490">
        <f ca="1">IF(OR(I259="contact vendor",I259="NA"),"--",C259*I259)</f>
        <v>6138.5589257560005</v>
      </c>
      <c r="K259" s="497">
        <f ca="1">VLOOKUP(conc_meter_size,ven_fm_cost_cl,IF(ss_cat="large",4,5))</f>
        <v>15</v>
      </c>
      <c r="L259" s="491">
        <v>0</v>
      </c>
      <c r="M259" s="898" t="str">
        <f>$B$240&amp;" - "&amp;$B$256&amp;" - "&amp;B259</f>
        <v>Instrumentation - Flow Meters - Membrane Trains - Concentrate Line - Venturi</v>
      </c>
      <c r="N259" s="238">
        <v>2</v>
      </c>
      <c r="O259" s="238">
        <v>1</v>
      </c>
      <c r="P259" s="238">
        <v>2</v>
      </c>
      <c r="Q259" s="238">
        <v>2</v>
      </c>
      <c r="R259" s="238">
        <v>1</v>
      </c>
      <c r="S259" s="238">
        <v>2</v>
      </c>
      <c r="T259" s="238">
        <v>1</v>
      </c>
      <c r="U259" s="238">
        <v>2</v>
      </c>
      <c r="V259" s="238">
        <v>3</v>
      </c>
      <c r="W259" s="1096">
        <f t="shared" ca="1" si="54"/>
        <v>0</v>
      </c>
      <c r="X259" s="1097">
        <f t="shared" ca="1" si="55"/>
        <v>0</v>
      </c>
      <c r="Y259" s="238"/>
      <c r="Z259" s="1095"/>
    </row>
    <row r="260" spans="1:26" s="816" customFormat="1">
      <c r="A260" s="663" t="s">
        <v>5237</v>
      </c>
      <c r="B260" s="509" t="s">
        <v>3715</v>
      </c>
      <c r="C260" s="497">
        <f ca="1">tot_fm_conc</f>
        <v>2</v>
      </c>
      <c r="D260" s="582" t="s">
        <v>2192</v>
      </c>
      <c r="E260" s="497">
        <f ca="1">IF(C260=0,"NA",conc_meter_size)</f>
        <v>6</v>
      </c>
      <c r="F260" s="583" t="s">
        <v>2919</v>
      </c>
      <c r="G260" s="497">
        <f ca="1">IF(C260=0,"NA",IF(curve=1,conc_meter_size,VLOOKUP(conc_meter_size,mag_fm_cost_cl,2)))</f>
        <v>6</v>
      </c>
      <c r="H260" s="583" t="s">
        <v>2919</v>
      </c>
      <c r="I260" s="501">
        <f ca="1">IF(C260=0,"NA",IF(curve=1,mag_fm_eq_conc,VLOOKUP(conc_meter_size,mag_fm_cost_cl,3)))</f>
        <v>6185.8840061850005</v>
      </c>
      <c r="J260" s="490">
        <f ca="1">IF(OR(I260="contact vendor",I260="NA"),"--",C260*I260)</f>
        <v>12371.768012370001</v>
      </c>
      <c r="K260" s="497">
        <f ca="1">VLOOKUP(conc_meter_size,mag_fm_cost_cl,IF(ss_cat="large",4,5))</f>
        <v>15</v>
      </c>
      <c r="L260" s="491">
        <v>0</v>
      </c>
      <c r="M260" s="898" t="str">
        <f>$B$240&amp;" - "&amp;$B$256&amp;" - "&amp;B260</f>
        <v>Instrumentation - Flow Meters - Membrane Trains - Concentrate Line - Magnetic</v>
      </c>
      <c r="N260" s="238">
        <v>4</v>
      </c>
      <c r="O260" s="238">
        <v>3</v>
      </c>
      <c r="P260" s="238">
        <v>1</v>
      </c>
      <c r="Q260" s="238">
        <v>4</v>
      </c>
      <c r="R260" s="238">
        <v>3</v>
      </c>
      <c r="S260" s="238">
        <v>1</v>
      </c>
      <c r="T260" s="238">
        <v>2</v>
      </c>
      <c r="U260" s="238">
        <v>1</v>
      </c>
      <c r="V260" s="238">
        <v>1</v>
      </c>
      <c r="W260" s="1096">
        <f t="shared" ca="1" si="54"/>
        <v>0</v>
      </c>
      <c r="X260" s="1097">
        <f t="shared" ca="1" si="55"/>
        <v>0</v>
      </c>
      <c r="Y260" s="238"/>
      <c r="Z260" s="1095"/>
    </row>
    <row r="261" spans="1:26" s="1021" customFormat="1">
      <c r="A261" s="473">
        <v>9.4</v>
      </c>
      <c r="B261" s="507" t="s">
        <v>3732</v>
      </c>
      <c r="C261" s="494"/>
      <c r="D261" s="495"/>
      <c r="E261" s="494"/>
      <c r="F261" s="474"/>
      <c r="G261" s="494"/>
      <c r="H261" s="474"/>
      <c r="I261" s="494"/>
      <c r="J261" s="494"/>
      <c r="K261" s="494"/>
      <c r="L261" s="496"/>
      <c r="M261" s="898"/>
      <c r="N261" s="238"/>
      <c r="O261" s="238"/>
      <c r="P261" s="238"/>
      <c r="Q261" s="238"/>
      <c r="R261" s="238"/>
      <c r="S261" s="238"/>
      <c r="T261" s="238"/>
      <c r="U261" s="238"/>
      <c r="V261" s="238"/>
      <c r="W261" s="1096">
        <f t="shared" si="54"/>
        <v>0</v>
      </c>
      <c r="X261" s="1097">
        <f t="shared" si="55"/>
        <v>0</v>
      </c>
      <c r="Y261" s="472"/>
    </row>
    <row r="262" spans="1:26" s="1021" customFormat="1">
      <c r="A262" s="663" t="s">
        <v>5238</v>
      </c>
      <c r="B262" s="515" t="s">
        <v>3708</v>
      </c>
      <c r="C262" s="497">
        <f ca="1">tot_fm_clean</f>
        <v>11</v>
      </c>
      <c r="D262" s="498" t="s">
        <v>2192</v>
      </c>
      <c r="E262" s="497">
        <f ca="1">IF(C262=0,"NA",clean_meter_size)</f>
        <v>4</v>
      </c>
      <c r="F262" s="500" t="str">
        <f ca="1">IF(C262=0,"","in. diam")</f>
        <v>in. diam</v>
      </c>
      <c r="G262" s="497">
        <f ca="1">IF(C262=0,"NA",IF(curve=1,clean_meter_size,VLOOKUP(clean_meter_size,op_fm_cost_cl,2)))</f>
        <v>4</v>
      </c>
      <c r="H262" s="500" t="str">
        <f ca="1">IF(C262=0,"","in. diam")</f>
        <v>in. diam</v>
      </c>
      <c r="I262" s="501">
        <f ca="1">IF(C262=0,"NA",IF(curve=1,op_fm_eq_clean,VLOOKUP(clean_meter_size,op_fm_cost_cl,3)))</f>
        <v>2640.9899335509999</v>
      </c>
      <c r="J262" s="490">
        <f ca="1">IF(OR(I262="contact vendor",I262="NA"),"--",C262*I262)</f>
        <v>29050.889269061001</v>
      </c>
      <c r="K262" s="497">
        <f ca="1">VLOOKUP(clean_meter_size,op_fm_cost_cl,IF(ss_cat="large",4,5))</f>
        <v>15</v>
      </c>
      <c r="L262" s="504">
        <v>0</v>
      </c>
      <c r="M262" s="898" t="str">
        <f>$B$240&amp;" - "&amp;$B$261&amp;" - "&amp;B262</f>
        <v>Instrumentation - Flow Meters -  Cleaning - Orifice Plate</v>
      </c>
      <c r="N262" s="238">
        <v>3</v>
      </c>
      <c r="O262" s="238">
        <v>4</v>
      </c>
      <c r="P262" s="238">
        <v>4</v>
      </c>
      <c r="Q262" s="238">
        <v>3</v>
      </c>
      <c r="R262" s="238">
        <v>4</v>
      </c>
      <c r="S262" s="238">
        <v>4</v>
      </c>
      <c r="T262" s="238">
        <v>3</v>
      </c>
      <c r="U262" s="238">
        <v>3</v>
      </c>
      <c r="V262" s="238">
        <v>4</v>
      </c>
      <c r="W262" s="1096">
        <f t="shared" ca="1" si="54"/>
        <v>0</v>
      </c>
      <c r="X262" s="1097">
        <f t="shared" ca="1" si="55"/>
        <v>0</v>
      </c>
      <c r="Y262" s="472"/>
    </row>
    <row r="263" spans="1:26" s="816" customFormat="1">
      <c r="A263" s="663" t="s">
        <v>5238</v>
      </c>
      <c r="B263" s="509" t="s">
        <v>3709</v>
      </c>
      <c r="C263" s="497">
        <f ca="1">tot_fm_clean</f>
        <v>11</v>
      </c>
      <c r="D263" s="582" t="s">
        <v>2192</v>
      </c>
      <c r="E263" s="497">
        <f ca="1">IF(C263=0,"NA",clean_meter_size)</f>
        <v>4</v>
      </c>
      <c r="F263" s="583" t="s">
        <v>2919</v>
      </c>
      <c r="G263" s="497">
        <f ca="1">IF(C263=0,"NA",IF(curve=1,clean_meter_size,VLOOKUP(clean_meter_size,prop_fm_cost_cl,2)))</f>
        <v>4</v>
      </c>
      <c r="H263" s="583" t="s">
        <v>2919</v>
      </c>
      <c r="I263" s="501">
        <f>IF(curve=1,prop_fm_eq_in,VLOOKUP(in_meter_size,prop_fm_cost_cl,3))</f>
        <v>6008.2861197009997</v>
      </c>
      <c r="J263" s="490">
        <f ca="1">IF(OR(I263="contact vendor",I263="NA"),"--",C263*I263)</f>
        <v>66091.147316710994</v>
      </c>
      <c r="K263" s="497">
        <f ca="1">VLOOKUP(clean_meter_size,prop_fm_cost_cl,IF(ss_cat="large",4,5))</f>
        <v>15</v>
      </c>
      <c r="L263" s="491">
        <v>1</v>
      </c>
      <c r="M263" s="898" t="str">
        <f>$B$240&amp;" - "&amp;$B$261&amp;" - "&amp;B263</f>
        <v>Instrumentation - Flow Meters -  Cleaning - Propeller</v>
      </c>
      <c r="N263" s="238">
        <v>1</v>
      </c>
      <c r="O263" s="238">
        <v>2</v>
      </c>
      <c r="P263" s="238">
        <v>3</v>
      </c>
      <c r="Q263" s="238">
        <v>1</v>
      </c>
      <c r="R263" s="238">
        <v>2</v>
      </c>
      <c r="S263" s="238">
        <v>3</v>
      </c>
      <c r="T263" s="238">
        <v>4</v>
      </c>
      <c r="U263" s="238">
        <v>4</v>
      </c>
      <c r="V263" s="238">
        <v>2</v>
      </c>
      <c r="W263" s="1096">
        <f t="shared" ca="1" si="54"/>
        <v>1</v>
      </c>
      <c r="X263" s="1097">
        <f t="shared" ca="1" si="55"/>
        <v>4406.0764877807333</v>
      </c>
      <c r="Y263" s="238"/>
      <c r="Z263" s="1095"/>
    </row>
    <row r="264" spans="1:26" s="816" customFormat="1">
      <c r="A264" s="663" t="s">
        <v>5238</v>
      </c>
      <c r="B264" s="509" t="s">
        <v>3712</v>
      </c>
      <c r="C264" s="497">
        <f ca="1">tot_fm_clean</f>
        <v>11</v>
      </c>
      <c r="D264" s="582" t="s">
        <v>2192</v>
      </c>
      <c r="E264" s="497">
        <f ca="1">IF(C264=0,"NA",clean_meter_size)</f>
        <v>4</v>
      </c>
      <c r="F264" s="583" t="s">
        <v>2919</v>
      </c>
      <c r="G264" s="497">
        <f ca="1">IF(C262=0,"NA",IF(curve=1,clean_meter_size,VLOOKUP(clean_meter_size,ven_fm_cost_cl,2)))</f>
        <v>4</v>
      </c>
      <c r="H264" s="583" t="s">
        <v>2919</v>
      </c>
      <c r="I264" s="501">
        <f>IF(curve=1,ven_fm_eq_in,VLOOKUP(in_meter_size,ven_fm_cost_cl,3))</f>
        <v>4013.0326495740001</v>
      </c>
      <c r="J264" s="490">
        <f ca="1">IF(OR(I264="contact vendor",I264="NA"),"--",C264*I264)</f>
        <v>44143.359145314003</v>
      </c>
      <c r="K264" s="497">
        <f ca="1">VLOOKUP(clean_meter_size,ven_fm_cost_cl,IF(ss_cat="large",4,5))</f>
        <v>15</v>
      </c>
      <c r="L264" s="491">
        <v>0</v>
      </c>
      <c r="M264" s="898" t="str">
        <f>$B$240&amp;" - "&amp;$B$261&amp;" - "&amp;B264</f>
        <v>Instrumentation - Flow Meters -  Cleaning - Venturi</v>
      </c>
      <c r="N264" s="238">
        <v>2</v>
      </c>
      <c r="O264" s="238">
        <v>1</v>
      </c>
      <c r="P264" s="238">
        <v>2</v>
      </c>
      <c r="Q264" s="238">
        <v>2</v>
      </c>
      <c r="R264" s="238">
        <v>1</v>
      </c>
      <c r="S264" s="238">
        <v>2</v>
      </c>
      <c r="T264" s="238">
        <v>1</v>
      </c>
      <c r="U264" s="238">
        <v>2</v>
      </c>
      <c r="V264" s="238">
        <v>3</v>
      </c>
      <c r="W264" s="1096">
        <f t="shared" ca="1" si="54"/>
        <v>0</v>
      </c>
      <c r="X264" s="1097">
        <f t="shared" ca="1" si="55"/>
        <v>0</v>
      </c>
      <c r="Y264" s="238"/>
      <c r="Z264" s="1095"/>
    </row>
    <row r="265" spans="1:26" s="816" customFormat="1">
      <c r="A265" s="663" t="s">
        <v>5238</v>
      </c>
      <c r="B265" s="509" t="s">
        <v>3715</v>
      </c>
      <c r="C265" s="497">
        <f ca="1">tot_fm_clean</f>
        <v>11</v>
      </c>
      <c r="D265" s="582" t="s">
        <v>2192</v>
      </c>
      <c r="E265" s="497">
        <f ca="1">IF(C265=0,"NA",clean_meter_size)</f>
        <v>4</v>
      </c>
      <c r="F265" s="583" t="s">
        <v>2919</v>
      </c>
      <c r="G265" s="497">
        <f ca="1">IF(C262=0,"NA",IF(curve=1,clean_meter_size,VLOOKUP(clean_meter_size,mag_fm_cost_cl,2)))</f>
        <v>4</v>
      </c>
      <c r="H265" s="583" t="s">
        <v>2919</v>
      </c>
      <c r="I265" s="501">
        <f>IF(curve=1,mag_fm_eq_in,VLOOKUP(in_meter_size,mag_fm_cost_cl,3))</f>
        <v>8445.7466193210003</v>
      </c>
      <c r="J265" s="490">
        <f ca="1">IF(OR(I265="contact vendor",I265="NA"),"--",C265*I265)</f>
        <v>92903.212812530997</v>
      </c>
      <c r="K265" s="497">
        <f ca="1">VLOOKUP(clean_meter_size,mag_fm_cost_cl,IF(ss_cat="large",4,5))</f>
        <v>15</v>
      </c>
      <c r="L265" s="491">
        <v>0</v>
      </c>
      <c r="M265" s="898" t="str">
        <f>$B$240&amp;" - "&amp;$B$261&amp;" - "&amp;B265</f>
        <v>Instrumentation - Flow Meters -  Cleaning - Magnetic</v>
      </c>
      <c r="N265" s="238">
        <v>4</v>
      </c>
      <c r="O265" s="238">
        <v>3</v>
      </c>
      <c r="P265" s="238">
        <v>1</v>
      </c>
      <c r="Q265" s="238">
        <v>4</v>
      </c>
      <c r="R265" s="238">
        <v>3</v>
      </c>
      <c r="S265" s="238">
        <v>1</v>
      </c>
      <c r="T265" s="238">
        <v>2</v>
      </c>
      <c r="U265" s="238">
        <v>1</v>
      </c>
      <c r="V265" s="238">
        <v>1</v>
      </c>
      <c r="W265" s="1096">
        <f t="shared" ca="1" si="54"/>
        <v>0</v>
      </c>
      <c r="X265" s="1097">
        <f t="shared" ca="1" si="55"/>
        <v>0</v>
      </c>
      <c r="Y265" s="238"/>
      <c r="Z265" s="1095"/>
    </row>
    <row r="266" spans="1:26" s="816" customFormat="1">
      <c r="A266" s="584">
        <v>9.5</v>
      </c>
      <c r="B266" s="507" t="s">
        <v>3719</v>
      </c>
      <c r="C266" s="576"/>
      <c r="D266" s="577"/>
      <c r="E266" s="578"/>
      <c r="F266" s="576"/>
      <c r="G266" s="578"/>
      <c r="H266" s="576"/>
      <c r="I266" s="578"/>
      <c r="J266" s="578"/>
      <c r="K266" s="579"/>
      <c r="L266" s="580"/>
      <c r="M266" s="898"/>
      <c r="N266" s="238"/>
      <c r="O266" s="238"/>
      <c r="P266" s="238"/>
      <c r="Q266" s="238"/>
      <c r="R266" s="238"/>
      <c r="S266" s="238"/>
      <c r="T266" s="238"/>
      <c r="U266" s="238"/>
      <c r="V266" s="238"/>
      <c r="W266" s="1096">
        <f t="shared" si="54"/>
        <v>0</v>
      </c>
      <c r="X266" s="1097">
        <f t="shared" si="55"/>
        <v>0</v>
      </c>
      <c r="Y266" s="238"/>
      <c r="Z266" s="1095"/>
    </row>
    <row r="267" spans="1:26" s="816" customFormat="1">
      <c r="A267" s="662" t="s">
        <v>5239</v>
      </c>
      <c r="B267" s="509" t="s">
        <v>3708</v>
      </c>
      <c r="C267" s="581">
        <f>tot_fm_res</f>
        <v>1</v>
      </c>
      <c r="D267" s="582" t="s">
        <v>2192</v>
      </c>
      <c r="E267" s="497">
        <f ca="1">res_meter_size</f>
        <v>6</v>
      </c>
      <c r="F267" s="583" t="s">
        <v>2919</v>
      </c>
      <c r="G267" s="497">
        <f ca="1">IF(curve=1,res_meter_size,VLOOKUP(res_meter_size,op_fm_cost_cl,2))</f>
        <v>6</v>
      </c>
      <c r="H267" s="583" t="s">
        <v>2919</v>
      </c>
      <c r="I267" s="501">
        <f ca="1">IF(curve=1,op_fm_eq_res,VLOOKUP(res_meter_size,op_fm_cost_cl,3))</f>
        <v>3417.5755455509998</v>
      </c>
      <c r="J267" s="490">
        <f ca="1">IF(I267="contact vendor","--",C267*I267)</f>
        <v>3417.5755455509998</v>
      </c>
      <c r="K267" s="497">
        <f ca="1">VLOOKUP(res_meter_size,op_fm_cost_cl,IF(ss_cat="large",4,5))</f>
        <v>15</v>
      </c>
      <c r="L267" s="491">
        <v>0</v>
      </c>
      <c r="M267" s="898" t="str">
        <f>$B$240&amp;" - "&amp;B267</f>
        <v>Instrumentation - Orifice Plate</v>
      </c>
      <c r="N267" s="238">
        <v>3</v>
      </c>
      <c r="O267" s="238">
        <v>4</v>
      </c>
      <c r="P267" s="238">
        <v>4</v>
      </c>
      <c r="Q267" s="238">
        <v>3</v>
      </c>
      <c r="R267" s="238">
        <v>4</v>
      </c>
      <c r="S267" s="238">
        <v>4</v>
      </c>
      <c r="T267" s="238">
        <v>3</v>
      </c>
      <c r="U267" s="238">
        <v>3</v>
      </c>
      <c r="V267" s="238">
        <v>4</v>
      </c>
      <c r="W267" s="1096">
        <f t="shared" ca="1" si="54"/>
        <v>0</v>
      </c>
      <c r="X267" s="1097">
        <f t="shared" ca="1" si="55"/>
        <v>0</v>
      </c>
      <c r="Y267" s="238"/>
      <c r="Z267" s="1095"/>
    </row>
    <row r="268" spans="1:26" s="816" customFormat="1">
      <c r="A268" s="662" t="s">
        <v>5239</v>
      </c>
      <c r="B268" s="509" t="s">
        <v>3709</v>
      </c>
      <c r="C268" s="581">
        <f>tot_fm_res</f>
        <v>1</v>
      </c>
      <c r="D268" s="582" t="s">
        <v>2192</v>
      </c>
      <c r="E268" s="497">
        <f ca="1">res_meter_size</f>
        <v>6</v>
      </c>
      <c r="F268" s="583" t="s">
        <v>2919</v>
      </c>
      <c r="G268" s="497">
        <f ca="1">IF(curve=1,res_meter_size,VLOOKUP(res_meter_size,prop_fm_cost_cl,2))</f>
        <v>6</v>
      </c>
      <c r="H268" s="583" t="s">
        <v>2919</v>
      </c>
      <c r="I268" s="501">
        <f ca="1">IF(curve=1,prop_fm_eq_res,VLOOKUP(res_meter_size,prop_fm_cost_cl,3))</f>
        <v>4478.5640461209996</v>
      </c>
      <c r="J268" s="490">
        <f ca="1">IF(I268="contact vendor","--",C268*I268)</f>
        <v>4478.5640461209996</v>
      </c>
      <c r="K268" s="497">
        <f ca="1">VLOOKUP(res_meter_size,prop_fm_cost_cl,IF(ss_cat="large",4,5))</f>
        <v>15</v>
      </c>
      <c r="L268" s="491">
        <v>1</v>
      </c>
      <c r="M268" s="898" t="str">
        <f t="shared" ref="M268:M278" si="56">$B$240&amp;" - "&amp;B268</f>
        <v>Instrumentation - Propeller</v>
      </c>
      <c r="N268" s="238">
        <v>1</v>
      </c>
      <c r="O268" s="238">
        <v>2</v>
      </c>
      <c r="P268" s="238">
        <v>3</v>
      </c>
      <c r="Q268" s="238">
        <v>1</v>
      </c>
      <c r="R268" s="238">
        <v>2</v>
      </c>
      <c r="S268" s="238">
        <v>3</v>
      </c>
      <c r="T268" s="238">
        <v>4</v>
      </c>
      <c r="U268" s="238">
        <v>4</v>
      </c>
      <c r="V268" s="238">
        <v>2</v>
      </c>
      <c r="W268" s="1096">
        <f t="shared" ca="1" si="54"/>
        <v>1</v>
      </c>
      <c r="X268" s="1097">
        <f t="shared" ca="1" si="55"/>
        <v>298.57093640806664</v>
      </c>
      <c r="Y268" s="238"/>
      <c r="Z268" s="1095"/>
    </row>
    <row r="269" spans="1:26" s="816" customFormat="1">
      <c r="A269" s="662" t="s">
        <v>5239</v>
      </c>
      <c r="B269" s="509" t="s">
        <v>3712</v>
      </c>
      <c r="C269" s="581">
        <f>tot_fm_res</f>
        <v>1</v>
      </c>
      <c r="D269" s="582" t="s">
        <v>2192</v>
      </c>
      <c r="E269" s="497">
        <f ca="1">res_meter_size</f>
        <v>6</v>
      </c>
      <c r="F269" s="583" t="s">
        <v>2919</v>
      </c>
      <c r="G269" s="497">
        <f ca="1">IF(curve=1,res_meter_size,VLOOKUP(res_meter_size,ven_fm_cost_cl,2))</f>
        <v>6</v>
      </c>
      <c r="H269" s="583" t="s">
        <v>2919</v>
      </c>
      <c r="I269" s="501">
        <f ca="1">IF(curve=1,ven_fm_eq_res,VLOOKUP(res_meter_size,ven_fm_cost_cl,3))</f>
        <v>3069.2794628780002</v>
      </c>
      <c r="J269" s="490">
        <f ca="1">IF(I269="contact vendor","--",C269*I269)</f>
        <v>3069.2794628780002</v>
      </c>
      <c r="K269" s="497">
        <f ca="1">VLOOKUP(res_meter_size,ven_fm_cost_cl,IF(ss_cat="large",4,5))</f>
        <v>15</v>
      </c>
      <c r="L269" s="491">
        <v>0</v>
      </c>
      <c r="M269" s="898" t="str">
        <f t="shared" si="56"/>
        <v>Instrumentation - Venturi</v>
      </c>
      <c r="N269" s="238">
        <v>2</v>
      </c>
      <c r="O269" s="238">
        <v>1</v>
      </c>
      <c r="P269" s="238">
        <v>2</v>
      </c>
      <c r="Q269" s="238">
        <v>2</v>
      </c>
      <c r="R269" s="238">
        <v>1</v>
      </c>
      <c r="S269" s="238">
        <v>2</v>
      </c>
      <c r="T269" s="238">
        <v>1</v>
      </c>
      <c r="U269" s="238">
        <v>2</v>
      </c>
      <c r="V269" s="238">
        <v>3</v>
      </c>
      <c r="W269" s="1096">
        <f t="shared" ca="1" si="54"/>
        <v>0</v>
      </c>
      <c r="X269" s="1097">
        <f t="shared" ca="1" si="55"/>
        <v>0</v>
      </c>
      <c r="Y269" s="238"/>
      <c r="Z269" s="1095"/>
    </row>
    <row r="270" spans="1:26" s="816" customFormat="1">
      <c r="A270" s="662" t="s">
        <v>5239</v>
      </c>
      <c r="B270" s="509" t="s">
        <v>3715</v>
      </c>
      <c r="C270" s="581">
        <f>tot_fm_res</f>
        <v>1</v>
      </c>
      <c r="D270" s="582" t="s">
        <v>2192</v>
      </c>
      <c r="E270" s="497">
        <f ca="1">res_meter_size</f>
        <v>6</v>
      </c>
      <c r="F270" s="583" t="s">
        <v>2919</v>
      </c>
      <c r="G270" s="497">
        <f ca="1">IF(curve=1,res_meter_size,VLOOKUP(res_meter_size,mag_fm_cost_cl,2))</f>
        <v>6</v>
      </c>
      <c r="H270" s="583" t="s">
        <v>2919</v>
      </c>
      <c r="I270" s="501">
        <f ca="1">IF(curve=1,mag_fm_eq_res,VLOOKUP(res_meter_size,mag_fm_cost_cl,3))</f>
        <v>6185.8840061850005</v>
      </c>
      <c r="J270" s="490">
        <f ca="1">IF(I270="contact vendor","--",C270*I270)</f>
        <v>6185.8840061850005</v>
      </c>
      <c r="K270" s="497">
        <f ca="1">VLOOKUP(res_meter_size,mag_fm_cost_cl,IF(ss_cat="large",4,5))</f>
        <v>15</v>
      </c>
      <c r="L270" s="491">
        <v>0</v>
      </c>
      <c r="M270" s="898" t="str">
        <f t="shared" si="56"/>
        <v>Instrumentation - Magnetic</v>
      </c>
      <c r="N270" s="238">
        <v>4</v>
      </c>
      <c r="O270" s="238">
        <v>3</v>
      </c>
      <c r="P270" s="238">
        <v>1</v>
      </c>
      <c r="Q270" s="238">
        <v>4</v>
      </c>
      <c r="R270" s="238">
        <v>3</v>
      </c>
      <c r="S270" s="238">
        <v>1</v>
      </c>
      <c r="T270" s="238">
        <v>2</v>
      </c>
      <c r="U270" s="238">
        <v>1</v>
      </c>
      <c r="V270" s="238">
        <v>1</v>
      </c>
      <c r="W270" s="1096">
        <f t="shared" ca="1" si="54"/>
        <v>0</v>
      </c>
      <c r="X270" s="1097">
        <f t="shared" ca="1" si="55"/>
        <v>0</v>
      </c>
      <c r="Y270" s="238"/>
      <c r="Z270" s="1095"/>
    </row>
    <row r="271" spans="1:26" s="1021" customFormat="1">
      <c r="A271" s="660">
        <v>9.6</v>
      </c>
      <c r="B271" s="474" t="s">
        <v>264</v>
      </c>
      <c r="C271" s="497">
        <f ca="1">tot_level_switch</f>
        <v>2</v>
      </c>
      <c r="D271" s="498" t="s">
        <v>2192</v>
      </c>
      <c r="E271" s="497" t="s">
        <v>3743</v>
      </c>
      <c r="F271" s="500"/>
      <c r="G271" s="497" t="s">
        <v>3743</v>
      </c>
      <c r="H271" s="500"/>
      <c r="I271" s="501">
        <f ca="1">IF(C271=0,"NA",VLOOKUP(0,alarm_cost_cl,3))</f>
        <v>600.18707669670891</v>
      </c>
      <c r="J271" s="490">
        <f t="shared" ref="J271:J278" ca="1" si="57">IF(OR(I271="contact vendor",I271="NA"),"--",C271*I271)</f>
        <v>1200.3741533934178</v>
      </c>
      <c r="K271" s="497">
        <f ca="1">IF(C271=0,"NA",VLOOKUP(0,alarm_cost_cl,IF(ss_cat="large",4,5)))</f>
        <v>15</v>
      </c>
      <c r="L271" s="491">
        <v>1</v>
      </c>
      <c r="M271" s="898" t="str">
        <f t="shared" si="56"/>
        <v>Instrumentation - Level Switches/Alarms (for cleaning tanks)</v>
      </c>
      <c r="N271" s="238">
        <v>1</v>
      </c>
      <c r="O271" s="238">
        <v>1</v>
      </c>
      <c r="P271" s="238">
        <v>1</v>
      </c>
      <c r="Q271" s="238">
        <v>1</v>
      </c>
      <c r="R271" s="238">
        <v>1</v>
      </c>
      <c r="S271" s="238">
        <v>1</v>
      </c>
      <c r="T271" s="238">
        <v>1</v>
      </c>
      <c r="U271" s="238">
        <v>1</v>
      </c>
      <c r="V271" s="238">
        <v>1</v>
      </c>
      <c r="W271" s="1096">
        <f t="shared" ca="1" si="54"/>
        <v>1</v>
      </c>
      <c r="X271" s="1097">
        <f t="shared" ca="1" si="55"/>
        <v>80.024943559561194</v>
      </c>
      <c r="Y271" s="472"/>
    </row>
    <row r="272" spans="1:26" s="1021" customFormat="1">
      <c r="A272" s="660">
        <v>9.6999999999999993</v>
      </c>
      <c r="B272" s="474" t="s">
        <v>3698</v>
      </c>
      <c r="C272" s="497">
        <f ca="1">tot_pre_alarm</f>
        <v>2</v>
      </c>
      <c r="D272" s="498" t="s">
        <v>2192</v>
      </c>
      <c r="E272" s="497" t="s">
        <v>3743</v>
      </c>
      <c r="F272" s="500"/>
      <c r="G272" s="497" t="s">
        <v>3743</v>
      </c>
      <c r="H272" s="500"/>
      <c r="I272" s="501">
        <f ca="1">IF(C272=0,"NA",VLOOKUP(0,alarm_cost_cl,3))</f>
        <v>600.18707669670891</v>
      </c>
      <c r="J272" s="490">
        <f t="shared" ca="1" si="57"/>
        <v>1200.3741533934178</v>
      </c>
      <c r="K272" s="497">
        <f ca="1">IF(C272=0,"NA",VLOOKUP(0,alarm_cost_cl,IF(ss_cat="large",4,5)))</f>
        <v>15</v>
      </c>
      <c r="L272" s="491">
        <v>1</v>
      </c>
      <c r="M272" s="898" t="str">
        <f t="shared" si="56"/>
        <v>Instrumentation - High/Low Alarms (for pretreatment chemical tanks)</v>
      </c>
      <c r="N272" s="238">
        <v>1</v>
      </c>
      <c r="O272" s="238">
        <v>1</v>
      </c>
      <c r="P272" s="238">
        <v>1</v>
      </c>
      <c r="Q272" s="238">
        <v>1</v>
      </c>
      <c r="R272" s="238">
        <v>1</v>
      </c>
      <c r="S272" s="238">
        <v>1</v>
      </c>
      <c r="T272" s="238">
        <v>1</v>
      </c>
      <c r="U272" s="238">
        <v>1</v>
      </c>
      <c r="V272" s="238">
        <v>1</v>
      </c>
      <c r="W272" s="1096">
        <f t="shared" ca="1" si="54"/>
        <v>1</v>
      </c>
      <c r="X272" s="1097">
        <f t="shared" ca="1" si="55"/>
        <v>80.024943559561194</v>
      </c>
      <c r="Y272" s="472"/>
    </row>
    <row r="273" spans="1:25" s="1021" customFormat="1">
      <c r="A273" s="660">
        <v>9.8000000000000007</v>
      </c>
      <c r="B273" s="474" t="s">
        <v>3699</v>
      </c>
      <c r="C273" s="497">
        <f ca="1">tot_cst_alarm</f>
        <v>2</v>
      </c>
      <c r="D273" s="498" t="s">
        <v>2192</v>
      </c>
      <c r="E273" s="497" t="s">
        <v>3743</v>
      </c>
      <c r="F273" s="500"/>
      <c r="G273" s="497" t="s">
        <v>3743</v>
      </c>
      <c r="H273" s="500"/>
      <c r="I273" s="501">
        <f ca="1">IF(C273=0,"NA",VLOOKUP(0,alarm_cost_cl,3))</f>
        <v>600.18707669670891</v>
      </c>
      <c r="J273" s="490">
        <f t="shared" ca="1" si="57"/>
        <v>1200.3741533934178</v>
      </c>
      <c r="K273" s="497">
        <f ca="1">IF(C273=0,"NA",VLOOKUP(0,alarm_cost_cl,IF(ss_cat="large",4,5)))</f>
        <v>15</v>
      </c>
      <c r="L273" s="491">
        <v>1</v>
      </c>
      <c r="M273" s="898" t="str">
        <f t="shared" si="56"/>
        <v>Instrumentation - High/Low Alarms (for cleaning chemical storage tanks)</v>
      </c>
      <c r="N273" s="238">
        <v>1</v>
      </c>
      <c r="O273" s="238">
        <v>1</v>
      </c>
      <c r="P273" s="238">
        <v>1</v>
      </c>
      <c r="Q273" s="238">
        <v>1</v>
      </c>
      <c r="R273" s="238">
        <v>1</v>
      </c>
      <c r="S273" s="238">
        <v>1</v>
      </c>
      <c r="T273" s="238">
        <v>1</v>
      </c>
      <c r="U273" s="238">
        <v>1</v>
      </c>
      <c r="V273" s="238">
        <v>1</v>
      </c>
      <c r="W273" s="1096">
        <f t="shared" ca="1" si="54"/>
        <v>1</v>
      </c>
      <c r="X273" s="1097">
        <f t="shared" ca="1" si="55"/>
        <v>80.024943559561194</v>
      </c>
      <c r="Y273" s="472"/>
    </row>
    <row r="274" spans="1:25" s="1021" customFormat="1">
      <c r="A274" s="660">
        <v>9.9</v>
      </c>
      <c r="B274" s="474" t="s">
        <v>265</v>
      </c>
      <c r="C274" s="497">
        <f ca="1">tot_res_alarm</f>
        <v>3</v>
      </c>
      <c r="D274" s="498" t="s">
        <v>2192</v>
      </c>
      <c r="E274" s="497" t="s">
        <v>3743</v>
      </c>
      <c r="F274" s="500"/>
      <c r="G274" s="497" t="s">
        <v>3743</v>
      </c>
      <c r="H274" s="500"/>
      <c r="I274" s="501">
        <f ca="1">IF(C274=0,"NA",VLOOKUP(0,alarm_cost_cl,3))</f>
        <v>600.18707669670891</v>
      </c>
      <c r="J274" s="490">
        <f t="shared" ca="1" si="57"/>
        <v>1800.5612300901266</v>
      </c>
      <c r="K274" s="497">
        <f ca="1">IF(C274=0,"NA",VLOOKUP(0,alarm_cost_cl,IF(ss_cat="large",4,5)))</f>
        <v>15</v>
      </c>
      <c r="L274" s="491">
        <v>1</v>
      </c>
      <c r="M274" s="898" t="str">
        <f t="shared" si="56"/>
        <v>Instrumentation - High/Low Alarms (for holding tanks or basins)</v>
      </c>
      <c r="N274" s="238">
        <v>1</v>
      </c>
      <c r="O274" s="238">
        <v>1</v>
      </c>
      <c r="P274" s="238">
        <v>1</v>
      </c>
      <c r="Q274" s="238">
        <v>1</v>
      </c>
      <c r="R274" s="238">
        <v>1</v>
      </c>
      <c r="S274" s="238">
        <v>1</v>
      </c>
      <c r="T274" s="238">
        <v>1</v>
      </c>
      <c r="U274" s="238">
        <v>1</v>
      </c>
      <c r="V274" s="238">
        <v>1</v>
      </c>
      <c r="W274" s="1096">
        <f t="shared" ca="1" si="54"/>
        <v>1</v>
      </c>
      <c r="X274" s="1097">
        <f t="shared" ca="1" si="55"/>
        <v>120.03741533934178</v>
      </c>
      <c r="Y274" s="472"/>
    </row>
    <row r="275" spans="1:25" s="1021" customFormat="1">
      <c r="A275" s="660">
        <v>9.1</v>
      </c>
      <c r="B275" s="474" t="s">
        <v>3700</v>
      </c>
      <c r="C275" s="497">
        <f ca="1">tot_pH_controls</f>
        <v>4</v>
      </c>
      <c r="D275" s="498" t="s">
        <v>2192</v>
      </c>
      <c r="E275" s="497" t="s">
        <v>3743</v>
      </c>
      <c r="F275" s="500"/>
      <c r="G275" s="497" t="s">
        <v>3743</v>
      </c>
      <c r="H275" s="500"/>
      <c r="I275" s="501">
        <f>VLOOKUP(0,pH_meter_cost_cl,3)</f>
        <v>3047.1155477538618</v>
      </c>
      <c r="J275" s="490">
        <f t="shared" ca="1" si="57"/>
        <v>12188.462191015447</v>
      </c>
      <c r="K275" s="497">
        <f ca="1">IF(C275=0,"NA",VLOOKUP(0,pH_meter_cost_cl,IF(ss_cat="large",4,5)))</f>
        <v>15</v>
      </c>
      <c r="L275" s="491">
        <v>1</v>
      </c>
      <c r="M275" s="898" t="str">
        <f t="shared" si="56"/>
        <v>Instrumentation - pH meters</v>
      </c>
      <c r="N275" s="238">
        <v>1</v>
      </c>
      <c r="O275" s="238">
        <v>1</v>
      </c>
      <c r="P275" s="238">
        <v>1</v>
      </c>
      <c r="Q275" s="238">
        <v>1</v>
      </c>
      <c r="R275" s="238">
        <v>1</v>
      </c>
      <c r="S275" s="238">
        <v>1</v>
      </c>
      <c r="T275" s="238">
        <v>1</v>
      </c>
      <c r="U275" s="238">
        <v>1</v>
      </c>
      <c r="V275" s="238">
        <v>1</v>
      </c>
      <c r="W275" s="1096">
        <f t="shared" ca="1" si="54"/>
        <v>1</v>
      </c>
      <c r="X275" s="1097">
        <f t="shared" ca="1" si="55"/>
        <v>812.56414606769647</v>
      </c>
      <c r="Y275" s="472"/>
    </row>
    <row r="276" spans="1:25" s="1021" customFormat="1">
      <c r="A276" s="660">
        <v>9.11</v>
      </c>
      <c r="B276" s="474" t="s">
        <v>3701</v>
      </c>
      <c r="C276" s="497">
        <f ca="1">tot_temp_meters</f>
        <v>3</v>
      </c>
      <c r="D276" s="498" t="s">
        <v>2192</v>
      </c>
      <c r="E276" s="497" t="s">
        <v>3743</v>
      </c>
      <c r="F276" s="500"/>
      <c r="G276" s="497" t="s">
        <v>3743</v>
      </c>
      <c r="H276" s="500"/>
      <c r="I276" s="501">
        <f>VLOOKUP(0,temp_meter_cost_cl,3)</f>
        <v>794.75852923757691</v>
      </c>
      <c r="J276" s="490">
        <f t="shared" ca="1" si="57"/>
        <v>2384.2755877127306</v>
      </c>
      <c r="K276" s="497">
        <f ca="1">IF(C276=0,"NA",VLOOKUP(0,temp_meter_cost_cl,IF(ss_cat="large",4,5)))</f>
        <v>15</v>
      </c>
      <c r="L276" s="491">
        <v>1</v>
      </c>
      <c r="M276" s="898" t="str">
        <f t="shared" si="56"/>
        <v>Instrumentation - Temperature meters</v>
      </c>
      <c r="N276" s="238">
        <v>1</v>
      </c>
      <c r="O276" s="238">
        <v>1</v>
      </c>
      <c r="P276" s="238">
        <v>1</v>
      </c>
      <c r="Q276" s="238">
        <v>1</v>
      </c>
      <c r="R276" s="238">
        <v>1</v>
      </c>
      <c r="S276" s="238">
        <v>1</v>
      </c>
      <c r="T276" s="238">
        <v>1</v>
      </c>
      <c r="U276" s="238">
        <v>1</v>
      </c>
      <c r="V276" s="238">
        <v>1</v>
      </c>
      <c r="W276" s="1096">
        <f t="shared" ca="1" si="54"/>
        <v>1</v>
      </c>
      <c r="X276" s="1097">
        <f t="shared" ca="1" si="55"/>
        <v>158.95170584751537</v>
      </c>
      <c r="Y276" s="472"/>
    </row>
    <row r="277" spans="1:25" s="1021" customFormat="1">
      <c r="A277" s="660">
        <v>9.1199999999999992</v>
      </c>
      <c r="B277" s="474" t="s">
        <v>2435</v>
      </c>
      <c r="C277" s="497">
        <f ca="1">tot_cond_meters</f>
        <v>8</v>
      </c>
      <c r="D277" s="498" t="s">
        <v>2192</v>
      </c>
      <c r="E277" s="497" t="s">
        <v>3743</v>
      </c>
      <c r="F277" s="500"/>
      <c r="G277" s="497" t="s">
        <v>3743</v>
      </c>
      <c r="H277" s="500"/>
      <c r="I277" s="501">
        <f>VLOOKUP(0,conduct_meter_cost_cl,3)</f>
        <v>2280.4682700037665</v>
      </c>
      <c r="J277" s="490">
        <f t="shared" ca="1" si="57"/>
        <v>18243.746160030132</v>
      </c>
      <c r="K277" s="497">
        <f ca="1">IF(C277=0,"NA",VLOOKUP(0,TDS_monitor_cost_cl,IF(ss_cat="large",4,5)))</f>
        <v>15</v>
      </c>
      <c r="L277" s="491">
        <v>1</v>
      </c>
      <c r="M277" s="898" t="str">
        <f t="shared" si="56"/>
        <v>Instrumentation - Conductivity meters</v>
      </c>
      <c r="N277" s="238">
        <v>1</v>
      </c>
      <c r="O277" s="238">
        <v>1</v>
      </c>
      <c r="P277" s="238">
        <v>1</v>
      </c>
      <c r="Q277" s="238">
        <v>1</v>
      </c>
      <c r="R277" s="238">
        <v>1</v>
      </c>
      <c r="S277" s="238">
        <v>1</v>
      </c>
      <c r="T277" s="238">
        <v>1</v>
      </c>
      <c r="U277" s="238">
        <v>1</v>
      </c>
      <c r="V277" s="238">
        <v>1</v>
      </c>
      <c r="W277" s="1096">
        <f t="shared" ca="1" si="54"/>
        <v>1</v>
      </c>
      <c r="X277" s="1097">
        <f t="shared" ca="1" si="55"/>
        <v>1216.2497440020088</v>
      </c>
      <c r="Y277" s="472"/>
    </row>
    <row r="278" spans="1:25" s="1021" customFormat="1">
      <c r="A278" s="660">
        <v>9.1300000000000008</v>
      </c>
      <c r="B278" s="474" t="s">
        <v>3702</v>
      </c>
      <c r="C278" s="497">
        <f ca="1">tot_headloss_sensors</f>
        <v>5</v>
      </c>
      <c r="D278" s="498" t="s">
        <v>2192</v>
      </c>
      <c r="E278" s="497" t="s">
        <v>3743</v>
      </c>
      <c r="F278" s="500"/>
      <c r="G278" s="497" t="s">
        <v>3743</v>
      </c>
      <c r="H278" s="500"/>
      <c r="I278" s="501">
        <f>VLOOKUP(0,headloss_cost_cl,3)</f>
        <v>2388.9364733422249</v>
      </c>
      <c r="J278" s="490">
        <f t="shared" ca="1" si="57"/>
        <v>11944.682366711124</v>
      </c>
      <c r="K278" s="497">
        <f ca="1">IF(C278=0,"NA",VLOOKUP(0,headloss_cost_cl,IF(ss_cat="large",4,5)))</f>
        <v>15</v>
      </c>
      <c r="L278" s="491">
        <v>1</v>
      </c>
      <c r="M278" s="898" t="str">
        <f t="shared" si="56"/>
        <v>Instrumentation - Head loss sensors</v>
      </c>
      <c r="N278" s="238">
        <v>1</v>
      </c>
      <c r="O278" s="238">
        <v>1</v>
      </c>
      <c r="P278" s="238">
        <v>1</v>
      </c>
      <c r="Q278" s="238">
        <v>1</v>
      </c>
      <c r="R278" s="238">
        <v>1</v>
      </c>
      <c r="S278" s="238">
        <v>1</v>
      </c>
      <c r="T278" s="238">
        <v>1</v>
      </c>
      <c r="U278" s="238">
        <v>1</v>
      </c>
      <c r="V278" s="238">
        <v>1</v>
      </c>
      <c r="W278" s="1096">
        <f t="shared" ca="1" si="54"/>
        <v>1</v>
      </c>
      <c r="X278" s="1097">
        <f t="shared" ca="1" si="55"/>
        <v>796.31215778074159</v>
      </c>
      <c r="Y278" s="472"/>
    </row>
    <row r="279" spans="1:25" s="1021" customFormat="1">
      <c r="A279" s="473">
        <v>9.14</v>
      </c>
      <c r="B279" s="474" t="s">
        <v>3125</v>
      </c>
      <c r="C279" s="494"/>
      <c r="D279" s="495"/>
      <c r="E279" s="494"/>
      <c r="F279" s="474"/>
      <c r="G279" s="494"/>
      <c r="H279" s="474"/>
      <c r="I279" s="494"/>
      <c r="J279" s="494"/>
      <c r="K279" s="494"/>
      <c r="L279" s="496"/>
      <c r="M279" s="898"/>
      <c r="N279" s="238"/>
      <c r="O279" s="238"/>
      <c r="P279" s="238"/>
      <c r="Q279" s="238"/>
      <c r="R279" s="238"/>
      <c r="S279" s="238"/>
      <c r="T279" s="238"/>
      <c r="U279" s="238"/>
      <c r="V279" s="238"/>
      <c r="W279" s="1096">
        <f t="shared" si="54"/>
        <v>0</v>
      </c>
      <c r="X279" s="1097">
        <f t="shared" si="55"/>
        <v>0</v>
      </c>
      <c r="Y279" s="472"/>
    </row>
    <row r="280" spans="1:25" s="1021" customFormat="1">
      <c r="A280" s="663" t="s">
        <v>5240</v>
      </c>
      <c r="B280" s="515" t="s">
        <v>2474</v>
      </c>
      <c r="C280" s="497">
        <f ca="1">ports</f>
        <v>83</v>
      </c>
      <c r="D280" s="498" t="s">
        <v>2192</v>
      </c>
      <c r="E280" s="497" t="s">
        <v>3743</v>
      </c>
      <c r="F280" s="500"/>
      <c r="G280" s="497" t="s">
        <v>3743</v>
      </c>
      <c r="H280" s="500"/>
      <c r="I280" s="501">
        <v>50</v>
      </c>
      <c r="J280" s="490">
        <f ca="1">IF(OR(I280="contact vendor",I280="NA"),"--",C280*I280)</f>
        <v>4150</v>
      </c>
      <c r="K280" s="497">
        <f>IF(ss_cat="large",35,30)</f>
        <v>35</v>
      </c>
      <c r="L280" s="491">
        <v>0</v>
      </c>
      <c r="M280" s="898" t="str">
        <f>$B$240&amp;" - "&amp;$B$279&amp;" - "&amp;B280</f>
        <v>Instrumentation - Sampling ports - Stainless Steel</v>
      </c>
      <c r="N280" s="238">
        <v>2</v>
      </c>
      <c r="O280" s="238">
        <v>1</v>
      </c>
      <c r="P280" s="238">
        <v>1</v>
      </c>
      <c r="Q280" s="238">
        <v>2</v>
      </c>
      <c r="R280" s="238">
        <v>1</v>
      </c>
      <c r="S280" s="238">
        <v>1</v>
      </c>
      <c r="T280" s="238">
        <v>2</v>
      </c>
      <c r="U280" s="238">
        <v>1</v>
      </c>
      <c r="V280" s="238">
        <v>1</v>
      </c>
      <c r="W280" s="1096">
        <f t="shared" si="54"/>
        <v>0</v>
      </c>
      <c r="X280" s="1097">
        <f t="shared" si="55"/>
        <v>0</v>
      </c>
      <c r="Y280" s="472"/>
    </row>
    <row r="281" spans="1:25" s="1021" customFormat="1">
      <c r="A281" s="663" t="s">
        <v>5240</v>
      </c>
      <c r="B281" s="515" t="s">
        <v>3496</v>
      </c>
      <c r="C281" s="497">
        <f ca="1">ports</f>
        <v>83</v>
      </c>
      <c r="D281" s="498" t="s">
        <v>2192</v>
      </c>
      <c r="E281" s="497" t="s">
        <v>3743</v>
      </c>
      <c r="F281" s="500"/>
      <c r="G281" s="497" t="s">
        <v>3743</v>
      </c>
      <c r="H281" s="500"/>
      <c r="I281" s="501">
        <v>50</v>
      </c>
      <c r="J281" s="490">
        <f ca="1">IF(OR(I281="contact vendor",I281="NA"),"--",C281*I281)</f>
        <v>4150</v>
      </c>
      <c r="K281" s="497">
        <f>IF(ss_cat="large",25,22)</f>
        <v>25</v>
      </c>
      <c r="L281" s="491">
        <v>1</v>
      </c>
      <c r="M281" s="898" t="str">
        <f>$B$240&amp;" - "&amp;$B$279&amp;" - "&amp;B281</f>
        <v>Instrumentation - Sampling ports - Carbon Steel</v>
      </c>
      <c r="N281" s="238">
        <v>1</v>
      </c>
      <c r="O281" s="238">
        <v>2</v>
      </c>
      <c r="P281" s="238">
        <v>2</v>
      </c>
      <c r="Q281" s="238">
        <v>1</v>
      </c>
      <c r="R281" s="238">
        <v>2</v>
      </c>
      <c r="S281" s="238">
        <v>2</v>
      </c>
      <c r="T281" s="238">
        <v>1</v>
      </c>
      <c r="U281" s="238">
        <v>2</v>
      </c>
      <c r="V281" s="238">
        <v>2</v>
      </c>
      <c r="W281" s="1096">
        <f t="shared" si="54"/>
        <v>1</v>
      </c>
      <c r="X281" s="1097">
        <f t="shared" ca="1" si="55"/>
        <v>166</v>
      </c>
      <c r="Y281" s="472"/>
    </row>
    <row r="282" spans="1:25" s="1021" customFormat="1">
      <c r="A282" s="660">
        <v>9.15</v>
      </c>
      <c r="B282" s="474" t="s">
        <v>2997</v>
      </c>
      <c r="C282" s="497">
        <f>electric_encl</f>
        <v>0</v>
      </c>
      <c r="D282" s="498" t="s">
        <v>2192</v>
      </c>
      <c r="E282" s="497" t="s">
        <v>3743</v>
      </c>
      <c r="F282" s="500"/>
      <c r="G282" s="497" t="s">
        <v>3743</v>
      </c>
      <c r="H282" s="500"/>
      <c r="I282" s="501">
        <f>VLOOKUP(0,elec_encl_cost_cl,3)</f>
        <v>1400</v>
      </c>
      <c r="J282" s="490">
        <f>IF(OR(I282="contact vendor",I282="NA"),"--",C282*I282)</f>
        <v>0</v>
      </c>
      <c r="K282" s="497" t="str">
        <f>IF(C282=0,"NA",VLOOKUP(0,elec_encl_cost_cl,IF(ss_cat="large",4,5)))</f>
        <v>NA</v>
      </c>
      <c r="L282" s="491"/>
      <c r="M282" s="898" t="str">
        <f>$B$240&amp;" - "&amp;B282</f>
        <v>Instrumentation - Electrical enclosure</v>
      </c>
      <c r="N282" s="238">
        <v>1</v>
      </c>
      <c r="O282" s="238">
        <v>1</v>
      </c>
      <c r="P282" s="238">
        <v>1</v>
      </c>
      <c r="Q282" s="238">
        <v>1</v>
      </c>
      <c r="R282" s="238">
        <v>1</v>
      </c>
      <c r="S282" s="238">
        <v>1</v>
      </c>
      <c r="T282" s="238">
        <v>1</v>
      </c>
      <c r="U282" s="238">
        <v>1</v>
      </c>
      <c r="V282" s="238">
        <v>1</v>
      </c>
      <c r="W282" s="1096">
        <f t="shared" si="54"/>
        <v>0</v>
      </c>
      <c r="X282" s="1097">
        <f t="shared" si="55"/>
        <v>0</v>
      </c>
      <c r="Y282" s="472"/>
    </row>
    <row r="283" spans="1:25" s="1021" customFormat="1">
      <c r="A283" s="664" t="s">
        <v>5241</v>
      </c>
      <c r="B283" s="342" t="s">
        <v>3129</v>
      </c>
      <c r="C283" s="345"/>
      <c r="D283" s="346"/>
      <c r="E283" s="345"/>
      <c r="F283" s="346"/>
      <c r="G283" s="345"/>
      <c r="H283" s="346"/>
      <c r="I283" s="345"/>
      <c r="J283" s="345"/>
      <c r="K283" s="345"/>
      <c r="L283" s="411"/>
      <c r="M283" s="1100"/>
      <c r="N283" s="898"/>
      <c r="O283" s="898"/>
      <c r="P283" s="898"/>
      <c r="Q283" s="898"/>
      <c r="R283" s="898"/>
      <c r="S283" s="898"/>
      <c r="T283" s="898"/>
      <c r="U283" s="898"/>
      <c r="V283" s="898"/>
      <c r="W283" s="1096">
        <f t="shared" si="54"/>
        <v>0</v>
      </c>
      <c r="X283" s="1097">
        <f t="shared" si="55"/>
        <v>0</v>
      </c>
      <c r="Y283" s="472"/>
    </row>
    <row r="284" spans="1:25" s="1021" customFormat="1">
      <c r="A284" s="473">
        <v>10.1</v>
      </c>
      <c r="B284" s="474" t="s">
        <v>1210</v>
      </c>
      <c r="C284" s="494"/>
      <c r="D284" s="495"/>
      <c r="E284" s="494"/>
      <c r="F284" s="474"/>
      <c r="G284" s="494"/>
      <c r="H284" s="474"/>
      <c r="I284" s="494"/>
      <c r="J284" s="494"/>
      <c r="K284" s="494"/>
      <c r="L284" s="496"/>
      <c r="M284" s="1100"/>
      <c r="N284" s="238"/>
      <c r="O284" s="238"/>
      <c r="P284" s="238"/>
      <c r="Q284" s="238"/>
      <c r="R284" s="238"/>
      <c r="S284" s="238"/>
      <c r="T284" s="238"/>
      <c r="U284" s="238"/>
      <c r="V284" s="238"/>
      <c r="W284" s="1096">
        <f t="shared" si="54"/>
        <v>0</v>
      </c>
      <c r="X284" s="1097">
        <f t="shared" si="55"/>
        <v>0</v>
      </c>
      <c r="Y284" s="472"/>
    </row>
    <row r="285" spans="1:25" s="1022" customFormat="1">
      <c r="A285" s="663" t="s">
        <v>3215</v>
      </c>
      <c r="B285" s="515" t="s">
        <v>1211</v>
      </c>
      <c r="C285" s="497">
        <f ca="1">IF(manual=1,0,plc_rack)</f>
        <v>3</v>
      </c>
      <c r="D285" s="498" t="s">
        <v>2192</v>
      </c>
      <c r="E285" s="497" t="s">
        <v>3743</v>
      </c>
      <c r="F285" s="500"/>
      <c r="G285" s="497" t="s">
        <v>3743</v>
      </c>
      <c r="H285" s="500"/>
      <c r="I285" s="501">
        <f>IF(manual=1,"NA",VLOOKUP(0,plc_rack_cost_cl,3))</f>
        <v>355.56</v>
      </c>
      <c r="J285" s="490">
        <f t="shared" ref="J285:J293" ca="1" si="58">IF(OR(I285="contact vendor",I285="NA"),"--",C285*I285)</f>
        <v>1066.68</v>
      </c>
      <c r="K285" s="497">
        <f ca="1">IF(C285=0,"NA",VLOOKUP(0,plc_rack_cost_cl,IF(ss_cat="large",4,5)))</f>
        <v>10</v>
      </c>
      <c r="L285" s="504">
        <v>1</v>
      </c>
      <c r="M285" s="238" t="s">
        <v>1212</v>
      </c>
      <c r="N285" s="238">
        <v>1</v>
      </c>
      <c r="O285" s="238">
        <v>1</v>
      </c>
      <c r="P285" s="238">
        <v>1</v>
      </c>
      <c r="Q285" s="238">
        <v>1</v>
      </c>
      <c r="R285" s="238">
        <v>1</v>
      </c>
      <c r="S285" s="238">
        <v>1</v>
      </c>
      <c r="T285" s="238">
        <v>1</v>
      </c>
      <c r="U285" s="238">
        <v>1</v>
      </c>
      <c r="V285" s="238">
        <v>1</v>
      </c>
      <c r="W285" s="1096">
        <f t="shared" ca="1" si="54"/>
        <v>1</v>
      </c>
      <c r="X285" s="1097">
        <f t="shared" ca="1" si="55"/>
        <v>106.66800000000001</v>
      </c>
      <c r="Y285" s="20"/>
    </row>
    <row r="286" spans="1:25" s="1022" customFormat="1">
      <c r="A286" s="663" t="s">
        <v>5242</v>
      </c>
      <c r="B286" s="515" t="s">
        <v>1213</v>
      </c>
      <c r="C286" s="497">
        <f>IF(manual=1,0,plc_cpu)</f>
        <v>2</v>
      </c>
      <c r="D286" s="498" t="s">
        <v>2192</v>
      </c>
      <c r="E286" s="497" t="s">
        <v>3743</v>
      </c>
      <c r="F286" s="500"/>
      <c r="G286" s="497" t="s">
        <v>3743</v>
      </c>
      <c r="H286" s="500"/>
      <c r="I286" s="501">
        <f>IF(manual=1,"NA",VLOOKUP(0,plc_cpu_cost_cl,3))</f>
        <v>378.8</v>
      </c>
      <c r="J286" s="490">
        <f t="shared" si="58"/>
        <v>757.6</v>
      </c>
      <c r="K286" s="497">
        <f>IF(C286=0,"NA",VLOOKUP(0,plc_cpu_cost_cl,IF(ss_cat="large",4,5)))</f>
        <v>10</v>
      </c>
      <c r="L286" s="504">
        <v>1</v>
      </c>
      <c r="M286" s="238" t="s">
        <v>1214</v>
      </c>
      <c r="N286" s="238">
        <v>1</v>
      </c>
      <c r="O286" s="238">
        <v>1</v>
      </c>
      <c r="P286" s="238">
        <v>1</v>
      </c>
      <c r="Q286" s="238">
        <v>1</v>
      </c>
      <c r="R286" s="238">
        <v>1</v>
      </c>
      <c r="S286" s="238">
        <v>1</v>
      </c>
      <c r="T286" s="238">
        <v>1</v>
      </c>
      <c r="U286" s="238">
        <v>1</v>
      </c>
      <c r="V286" s="238">
        <v>1</v>
      </c>
      <c r="W286" s="1096">
        <f t="shared" si="54"/>
        <v>1</v>
      </c>
      <c r="X286" s="1097">
        <f t="shared" si="55"/>
        <v>75.760000000000005</v>
      </c>
      <c r="Y286" s="20"/>
    </row>
    <row r="287" spans="1:25" s="1022" customFormat="1">
      <c r="A287" s="663" t="s">
        <v>5243</v>
      </c>
      <c r="B287" s="515" t="s">
        <v>1215</v>
      </c>
      <c r="C287" s="497">
        <f ca="1">IF(manual=1,0,plc_discrete_input)</f>
        <v>5</v>
      </c>
      <c r="D287" s="498" t="s">
        <v>2192</v>
      </c>
      <c r="E287" s="497" t="s">
        <v>3743</v>
      </c>
      <c r="F287" s="500"/>
      <c r="G287" s="497" t="s">
        <v>3743</v>
      </c>
      <c r="H287" s="500"/>
      <c r="I287" s="501">
        <f>IF(manual=1,"NA",VLOOKUP(0,plc_discrete_input_cost_cl,3))</f>
        <v>382.68</v>
      </c>
      <c r="J287" s="490">
        <f t="shared" ca="1" si="58"/>
        <v>1913.4</v>
      </c>
      <c r="K287" s="497">
        <f ca="1">IF(C287=0,"NA",VLOOKUP(0,plc_discrete_input_cost_cl,IF(ss_cat="large",4,5)))</f>
        <v>10</v>
      </c>
      <c r="L287" s="504">
        <v>1</v>
      </c>
      <c r="M287" s="238" t="s">
        <v>1216</v>
      </c>
      <c r="N287" s="238">
        <v>1</v>
      </c>
      <c r="O287" s="238">
        <v>1</v>
      </c>
      <c r="P287" s="238">
        <v>1</v>
      </c>
      <c r="Q287" s="238">
        <v>1</v>
      </c>
      <c r="R287" s="238">
        <v>1</v>
      </c>
      <c r="S287" s="238">
        <v>1</v>
      </c>
      <c r="T287" s="238">
        <v>1</v>
      </c>
      <c r="U287" s="238">
        <v>1</v>
      </c>
      <c r="V287" s="238">
        <v>1</v>
      </c>
      <c r="W287" s="1096">
        <f t="shared" ca="1" si="54"/>
        <v>1</v>
      </c>
      <c r="X287" s="1097">
        <f t="shared" ca="1" si="55"/>
        <v>191.34</v>
      </c>
      <c r="Y287" s="20"/>
    </row>
    <row r="288" spans="1:25" s="1022" customFormat="1">
      <c r="A288" s="663" t="s">
        <v>5244</v>
      </c>
      <c r="B288" s="515" t="s">
        <v>1217</v>
      </c>
      <c r="C288" s="497">
        <f ca="1">IF(manual=1,0,plc_discrete_output)</f>
        <v>1</v>
      </c>
      <c r="D288" s="498" t="s">
        <v>2192</v>
      </c>
      <c r="E288" s="497" t="s">
        <v>3743</v>
      </c>
      <c r="F288" s="500"/>
      <c r="G288" s="497" t="s">
        <v>3743</v>
      </c>
      <c r="H288" s="500"/>
      <c r="I288" s="501">
        <f>IF(manual=1,"NA",VLOOKUP(0,plc_discrete_output_cost_cl,3))</f>
        <v>340.42500000000001</v>
      </c>
      <c r="J288" s="490">
        <f t="shared" ca="1" si="58"/>
        <v>340.42500000000001</v>
      </c>
      <c r="K288" s="497">
        <f ca="1">IF(C288=0,"NA",VLOOKUP(0,plc_discrete_output_cost_cl,IF(ss_cat="large",4,5)))</f>
        <v>10</v>
      </c>
      <c r="L288" s="504">
        <v>1</v>
      </c>
      <c r="M288" s="238" t="s">
        <v>1218</v>
      </c>
      <c r="N288" s="238">
        <v>1</v>
      </c>
      <c r="O288" s="238">
        <v>1</v>
      </c>
      <c r="P288" s="238">
        <v>1</v>
      </c>
      <c r="Q288" s="238">
        <v>1</v>
      </c>
      <c r="R288" s="238">
        <v>1</v>
      </c>
      <c r="S288" s="238">
        <v>1</v>
      </c>
      <c r="T288" s="238">
        <v>1</v>
      </c>
      <c r="U288" s="238">
        <v>1</v>
      </c>
      <c r="V288" s="238">
        <v>1</v>
      </c>
      <c r="W288" s="1096">
        <f t="shared" ca="1" si="54"/>
        <v>1</v>
      </c>
      <c r="X288" s="1097">
        <f t="shared" ca="1" si="55"/>
        <v>34.042500000000004</v>
      </c>
      <c r="Y288" s="20"/>
    </row>
    <row r="289" spans="1:25" s="1022" customFormat="1">
      <c r="A289" s="663" t="s">
        <v>5245</v>
      </c>
      <c r="B289" s="515" t="s">
        <v>1219</v>
      </c>
      <c r="C289" s="497">
        <f ca="1">IF(manual=1,0,plc_combination_analog)</f>
        <v>13</v>
      </c>
      <c r="D289" s="498" t="s">
        <v>2192</v>
      </c>
      <c r="E289" s="497" t="s">
        <v>3743</v>
      </c>
      <c r="F289" s="500"/>
      <c r="G289" s="497" t="s">
        <v>3743</v>
      </c>
      <c r="H289" s="500"/>
      <c r="I289" s="501">
        <f>IF(manual=1,"NA",VLOOKUP(0,plc_combination_analog_cost_cl,3))</f>
        <v>557.33500000000004</v>
      </c>
      <c r="J289" s="490">
        <f t="shared" ca="1" si="58"/>
        <v>7245.3550000000005</v>
      </c>
      <c r="K289" s="497">
        <f ca="1">IF(C289=0,"NA",VLOOKUP(0,plc_combination_analog_cost_cl,IF(ss_cat="large",4,5)))</f>
        <v>10</v>
      </c>
      <c r="L289" s="504">
        <v>1</v>
      </c>
      <c r="M289" s="238" t="s">
        <v>1220</v>
      </c>
      <c r="N289" s="238">
        <v>1</v>
      </c>
      <c r="O289" s="238">
        <v>1</v>
      </c>
      <c r="P289" s="238">
        <v>1</v>
      </c>
      <c r="Q289" s="238">
        <v>1</v>
      </c>
      <c r="R289" s="238">
        <v>1</v>
      </c>
      <c r="S289" s="238">
        <v>1</v>
      </c>
      <c r="T289" s="238">
        <v>1</v>
      </c>
      <c r="U289" s="238">
        <v>1</v>
      </c>
      <c r="V289" s="238">
        <v>1</v>
      </c>
      <c r="W289" s="1096">
        <f t="shared" ref="W289:W319" ca="1" si="59">IF(ISERROR(K289*L289),0,IF(K289&lt;1,0,L289))</f>
        <v>1</v>
      </c>
      <c r="X289" s="1097">
        <f t="shared" ref="X289:X319" ca="1" si="60">IF(W289,J289/K289,0)</f>
        <v>724.53550000000007</v>
      </c>
      <c r="Y289" s="20"/>
    </row>
    <row r="290" spans="1:25" s="1022" customFormat="1">
      <c r="A290" s="663" t="s">
        <v>5246</v>
      </c>
      <c r="B290" s="515" t="s">
        <v>1221</v>
      </c>
      <c r="C290" s="497">
        <f>IF(manual=1,0,plc_ethernet)</f>
        <v>2</v>
      </c>
      <c r="D290" s="498" t="s">
        <v>2192</v>
      </c>
      <c r="E290" s="497" t="s">
        <v>3743</v>
      </c>
      <c r="F290" s="500"/>
      <c r="G290" s="497" t="s">
        <v>3743</v>
      </c>
      <c r="H290" s="500"/>
      <c r="I290" s="501">
        <f>IF(manual=1,"NA",VLOOKUP(0,plc_ethernet_cost_cl,3))</f>
        <v>1342.2349999999999</v>
      </c>
      <c r="J290" s="490">
        <f t="shared" si="58"/>
        <v>2684.47</v>
      </c>
      <c r="K290" s="497">
        <f>IF(C290=0,"NA",VLOOKUP(0,plc_ethernet_cost_cl,IF(ss_cat="large",4,5)))</f>
        <v>10</v>
      </c>
      <c r="L290" s="504">
        <v>1</v>
      </c>
      <c r="M290" s="238" t="s">
        <v>1222</v>
      </c>
      <c r="N290" s="238">
        <v>1</v>
      </c>
      <c r="O290" s="238">
        <v>1</v>
      </c>
      <c r="P290" s="238">
        <v>1</v>
      </c>
      <c r="Q290" s="238">
        <v>1</v>
      </c>
      <c r="R290" s="238">
        <v>1</v>
      </c>
      <c r="S290" s="238">
        <v>1</v>
      </c>
      <c r="T290" s="238">
        <v>1</v>
      </c>
      <c r="U290" s="238">
        <v>1</v>
      </c>
      <c r="V290" s="238">
        <v>1</v>
      </c>
      <c r="W290" s="1096">
        <f t="shared" si="59"/>
        <v>1</v>
      </c>
      <c r="X290" s="1097">
        <f t="shared" si="60"/>
        <v>268.447</v>
      </c>
      <c r="Y290" s="20"/>
    </row>
    <row r="291" spans="1:25" s="1022" customFormat="1">
      <c r="A291" s="663" t="s">
        <v>5247</v>
      </c>
      <c r="B291" s="515" t="s">
        <v>1223</v>
      </c>
      <c r="C291" s="497">
        <f ca="1">IF(manual=1,0,plc_base_expansion)</f>
        <v>2</v>
      </c>
      <c r="D291" s="498" t="s">
        <v>2192</v>
      </c>
      <c r="E291" s="497" t="s">
        <v>3743</v>
      </c>
      <c r="F291" s="500"/>
      <c r="G291" s="497" t="s">
        <v>3743</v>
      </c>
      <c r="H291" s="500"/>
      <c r="I291" s="501">
        <f>IF(manual=1,"NA",VLOOKUP(0,plc_base_expansion_cost_cl,3))</f>
        <v>142.66999999999999</v>
      </c>
      <c r="J291" s="490">
        <f t="shared" ca="1" si="58"/>
        <v>285.33999999999997</v>
      </c>
      <c r="K291" s="497">
        <f ca="1">IF(C291=0,"NA",VLOOKUP(0,plc_base_expansion_cost_cl,IF(ss_cat="large",4,5)))</f>
        <v>10</v>
      </c>
      <c r="L291" s="504">
        <v>1</v>
      </c>
      <c r="M291" s="238" t="s">
        <v>1224</v>
      </c>
      <c r="N291" s="238">
        <v>1</v>
      </c>
      <c r="O291" s="238">
        <v>1</v>
      </c>
      <c r="P291" s="238">
        <v>1</v>
      </c>
      <c r="Q291" s="238">
        <v>1</v>
      </c>
      <c r="R291" s="238">
        <v>1</v>
      </c>
      <c r="S291" s="238">
        <v>1</v>
      </c>
      <c r="T291" s="238">
        <v>1</v>
      </c>
      <c r="U291" s="238">
        <v>1</v>
      </c>
      <c r="V291" s="238">
        <v>1</v>
      </c>
      <c r="W291" s="1096">
        <f t="shared" ca="1" si="59"/>
        <v>1</v>
      </c>
      <c r="X291" s="1097">
        <f t="shared" ca="1" si="60"/>
        <v>28.533999999999999</v>
      </c>
      <c r="Y291" s="20"/>
    </row>
    <row r="292" spans="1:25" s="1022" customFormat="1">
      <c r="A292" s="663" t="s">
        <v>5248</v>
      </c>
      <c r="B292" s="515" t="s">
        <v>1225</v>
      </c>
      <c r="C292" s="497">
        <f ca="1">IF(manual=1,0,plc_base_expansion_controller)</f>
        <v>2</v>
      </c>
      <c r="D292" s="498" t="s">
        <v>2192</v>
      </c>
      <c r="E292" s="497" t="s">
        <v>3743</v>
      </c>
      <c r="F292" s="500"/>
      <c r="G292" s="497" t="s">
        <v>3743</v>
      </c>
      <c r="H292" s="500"/>
      <c r="I292" s="501">
        <f>IF(manual=1,"NA",VLOOKUP(0,plc_base_expansion_controller_cost_cl,3))</f>
        <v>107.74000000000001</v>
      </c>
      <c r="J292" s="490">
        <f t="shared" ca="1" si="58"/>
        <v>215.48000000000002</v>
      </c>
      <c r="K292" s="497">
        <f ca="1">IF(C292=0,"NA",VLOOKUP(0,plc_base_expansion_controller_cost_cl,IF(ss_cat="large",4,5)))</f>
        <v>10</v>
      </c>
      <c r="L292" s="504">
        <v>1</v>
      </c>
      <c r="M292" s="238" t="s">
        <v>1226</v>
      </c>
      <c r="N292" s="238">
        <v>1</v>
      </c>
      <c r="O292" s="238">
        <v>1</v>
      </c>
      <c r="P292" s="238">
        <v>1</v>
      </c>
      <c r="Q292" s="238">
        <v>1</v>
      </c>
      <c r="R292" s="238">
        <v>1</v>
      </c>
      <c r="S292" s="238">
        <v>1</v>
      </c>
      <c r="T292" s="238">
        <v>1</v>
      </c>
      <c r="U292" s="238">
        <v>1</v>
      </c>
      <c r="V292" s="238">
        <v>1</v>
      </c>
      <c r="W292" s="1096">
        <f t="shared" ca="1" si="59"/>
        <v>1</v>
      </c>
      <c r="X292" s="1097">
        <f t="shared" ca="1" si="60"/>
        <v>21.548000000000002</v>
      </c>
      <c r="Y292" s="20"/>
    </row>
    <row r="293" spans="1:25" s="1022" customFormat="1">
      <c r="A293" s="663" t="s">
        <v>5249</v>
      </c>
      <c r="B293" s="515" t="s">
        <v>1227</v>
      </c>
      <c r="C293" s="497">
        <f>IF(manual=1,0,ups)</f>
        <v>1</v>
      </c>
      <c r="D293" s="498" t="s">
        <v>2192</v>
      </c>
      <c r="E293" s="497" t="s">
        <v>3743</v>
      </c>
      <c r="F293" s="500"/>
      <c r="G293" s="497" t="s">
        <v>3743</v>
      </c>
      <c r="H293" s="500"/>
      <c r="I293" s="501">
        <f>IF(manual=1,"NA",VLOOKUP(0,ups_cost_cl,3))</f>
        <v>877.495</v>
      </c>
      <c r="J293" s="490">
        <f t="shared" si="58"/>
        <v>877.495</v>
      </c>
      <c r="K293" s="497">
        <f>IF(C293=0,"NA",VLOOKUP(0,ups_cost_cl,IF(ss_cat="large",4,5)))</f>
        <v>10</v>
      </c>
      <c r="L293" s="504">
        <v>1</v>
      </c>
      <c r="M293" s="238" t="s">
        <v>1228</v>
      </c>
      <c r="N293" s="238">
        <v>1</v>
      </c>
      <c r="O293" s="238">
        <v>1</v>
      </c>
      <c r="P293" s="238">
        <v>1</v>
      </c>
      <c r="Q293" s="238">
        <v>1</v>
      </c>
      <c r="R293" s="238">
        <v>1</v>
      </c>
      <c r="S293" s="238">
        <v>1</v>
      </c>
      <c r="T293" s="238">
        <v>1</v>
      </c>
      <c r="U293" s="238">
        <v>1</v>
      </c>
      <c r="V293" s="238">
        <v>1</v>
      </c>
      <c r="W293" s="1096">
        <f t="shared" si="59"/>
        <v>1</v>
      </c>
      <c r="X293" s="1097">
        <f t="shared" si="60"/>
        <v>87.749499999999998</v>
      </c>
      <c r="Y293" s="20"/>
    </row>
    <row r="294" spans="1:25" s="1022" customFormat="1">
      <c r="A294" s="665">
        <v>10.199999999999999</v>
      </c>
      <c r="B294" s="514" t="s">
        <v>1229</v>
      </c>
      <c r="C294" s="494"/>
      <c r="D294" s="474"/>
      <c r="E294" s="481"/>
      <c r="F294" s="474"/>
      <c r="G294" s="481"/>
      <c r="H294" s="474"/>
      <c r="I294" s="481"/>
      <c r="J294" s="481"/>
      <c r="K294" s="481"/>
      <c r="L294" s="483"/>
      <c r="M294" s="238"/>
      <c r="N294" s="238"/>
      <c r="O294" s="238"/>
      <c r="P294" s="238"/>
      <c r="Q294" s="238"/>
      <c r="R294" s="238"/>
      <c r="S294" s="238"/>
      <c r="T294" s="238"/>
      <c r="U294" s="238"/>
      <c r="V294" s="238"/>
      <c r="W294" s="1096">
        <f t="shared" si="59"/>
        <v>0</v>
      </c>
      <c r="X294" s="1097">
        <f t="shared" si="60"/>
        <v>0</v>
      </c>
      <c r="Y294" s="20"/>
    </row>
    <row r="295" spans="1:25" s="1022" customFormat="1">
      <c r="A295" s="663" t="s">
        <v>3216</v>
      </c>
      <c r="B295" s="515" t="s">
        <v>1230</v>
      </c>
      <c r="C295" s="497">
        <f ca="1">IF(manual=1,0,tot_switches)</f>
        <v>19</v>
      </c>
      <c r="D295" s="498" t="s">
        <v>2192</v>
      </c>
      <c r="E295" s="497" t="s">
        <v>3743</v>
      </c>
      <c r="F295" s="500"/>
      <c r="G295" s="497" t="s">
        <v>3743</v>
      </c>
      <c r="H295" s="500"/>
      <c r="I295" s="501">
        <f>IF(manual=1,"NA",VLOOKUP(0,switch_cost_cl,3))</f>
        <v>1300.8978726158491</v>
      </c>
      <c r="J295" s="490">
        <f ca="1">IF(OR(I295="contact vendor",I295="NA"),"--",C295*I295)</f>
        <v>24717.059579701134</v>
      </c>
      <c r="K295" s="497">
        <f ca="1">IF(C295=0,"NA",VLOOKUP(0,switch_cost_cl,IF(ss_cat="large",4,5)))</f>
        <v>15</v>
      </c>
      <c r="L295" s="518">
        <v>1</v>
      </c>
      <c r="M295" s="238" t="s">
        <v>3418</v>
      </c>
      <c r="N295" s="633">
        <v>1</v>
      </c>
      <c r="O295" s="633">
        <v>1</v>
      </c>
      <c r="P295" s="633">
        <v>1</v>
      </c>
      <c r="Q295" s="633">
        <v>1</v>
      </c>
      <c r="R295" s="633">
        <v>1</v>
      </c>
      <c r="S295" s="633">
        <v>1</v>
      </c>
      <c r="T295" s="633">
        <v>1</v>
      </c>
      <c r="U295" s="633">
        <v>1</v>
      </c>
      <c r="V295" s="633">
        <v>1</v>
      </c>
      <c r="W295" s="1096">
        <f t="shared" ca="1" si="59"/>
        <v>1</v>
      </c>
      <c r="X295" s="1097">
        <f t="shared" ca="1" si="60"/>
        <v>1647.8039719800756</v>
      </c>
      <c r="Y295" s="20"/>
    </row>
    <row r="296" spans="1:25" s="1022" customFormat="1">
      <c r="A296" s="663" t="s">
        <v>5250</v>
      </c>
      <c r="B296" s="515" t="s">
        <v>3419</v>
      </c>
      <c r="C296" s="497">
        <f>IF(manual=1,0,plc_interface)</f>
        <v>2</v>
      </c>
      <c r="D296" s="498" t="s">
        <v>2192</v>
      </c>
      <c r="E296" s="497" t="s">
        <v>3743</v>
      </c>
      <c r="F296" s="500"/>
      <c r="G296" s="497" t="s">
        <v>3743</v>
      </c>
      <c r="H296" s="500"/>
      <c r="I296" s="501">
        <f>IF(manual=1,"NA",VLOOKUP(ss_cat,plc_op_interface_cost_cl,3,FALSE))</f>
        <v>616.5</v>
      </c>
      <c r="J296" s="490">
        <f>IF(OR(I296="contact vendor",I296="NA"),"--",C296*I296)</f>
        <v>1233</v>
      </c>
      <c r="K296" s="497">
        <f>IF(C296=0,"NA",VLOOKUP(ss_cat,plc_op_interface_cost_cl,IF(ss_cat="large",4,5),FALSE))</f>
        <v>10</v>
      </c>
      <c r="L296" s="504">
        <v>1</v>
      </c>
      <c r="M296" s="238" t="s">
        <v>3420</v>
      </c>
      <c r="N296" s="238">
        <v>1</v>
      </c>
      <c r="O296" s="238">
        <v>1</v>
      </c>
      <c r="P296" s="238">
        <v>1</v>
      </c>
      <c r="Q296" s="238">
        <v>1</v>
      </c>
      <c r="R296" s="238">
        <v>1</v>
      </c>
      <c r="S296" s="238">
        <v>1</v>
      </c>
      <c r="T296" s="238">
        <v>1</v>
      </c>
      <c r="U296" s="238">
        <v>1</v>
      </c>
      <c r="V296" s="238">
        <v>1</v>
      </c>
      <c r="W296" s="1096">
        <f t="shared" si="59"/>
        <v>1</v>
      </c>
      <c r="X296" s="1097">
        <f t="shared" si="60"/>
        <v>123.3</v>
      </c>
      <c r="Y296" s="20"/>
    </row>
    <row r="297" spans="1:25" s="1022" customFormat="1">
      <c r="A297" s="663" t="s">
        <v>5251</v>
      </c>
      <c r="B297" s="515" t="s">
        <v>3421</v>
      </c>
      <c r="C297" s="497">
        <f ca="1">IF(OR(manual=1,ss_cat="small"),0,workstations)</f>
        <v>1</v>
      </c>
      <c r="D297" s="498" t="s">
        <v>2192</v>
      </c>
      <c r="E297" s="497" t="s">
        <v>3743</v>
      </c>
      <c r="F297" s="500"/>
      <c r="G297" s="497" t="s">
        <v>3743</v>
      </c>
      <c r="H297" s="500"/>
      <c r="I297" s="501">
        <f>IF(manual=1,"NA",VLOOKUP(0,pc_workstation_cost_cl,3))</f>
        <v>1325.79</v>
      </c>
      <c r="J297" s="490">
        <f ca="1">IF(OR(I297="contact vendor",I297="NA"),"--",C297*I297)</f>
        <v>1325.79</v>
      </c>
      <c r="K297" s="497">
        <f ca="1">IF(C297=0,"NA",VLOOKUP(0,pc_workstation_cost_cl,IF(ss_cat="large",4,5)))</f>
        <v>10</v>
      </c>
      <c r="L297" s="504">
        <v>1</v>
      </c>
      <c r="M297" s="238" t="s">
        <v>3422</v>
      </c>
      <c r="N297" s="238">
        <v>1</v>
      </c>
      <c r="O297" s="238">
        <v>1</v>
      </c>
      <c r="P297" s="238">
        <v>1</v>
      </c>
      <c r="Q297" s="238">
        <v>1</v>
      </c>
      <c r="R297" s="238">
        <v>1</v>
      </c>
      <c r="S297" s="238">
        <v>1</v>
      </c>
      <c r="T297" s="238">
        <v>1</v>
      </c>
      <c r="U297" s="238">
        <v>1</v>
      </c>
      <c r="V297" s="238">
        <v>1</v>
      </c>
      <c r="W297" s="1096">
        <f t="shared" ca="1" si="59"/>
        <v>1</v>
      </c>
      <c r="X297" s="1097">
        <f t="shared" ca="1" si="60"/>
        <v>132.57900000000001</v>
      </c>
      <c r="Y297" s="20"/>
    </row>
    <row r="298" spans="1:25" s="1022" customFormat="1">
      <c r="A298" s="663" t="s">
        <v>5252</v>
      </c>
      <c r="B298" s="515" t="s">
        <v>1698</v>
      </c>
      <c r="C298" s="497">
        <f ca="1">IF(OR(manual=1,ss_cat="small"),0,printers)</f>
        <v>1</v>
      </c>
      <c r="D298" s="498" t="s">
        <v>2192</v>
      </c>
      <c r="E298" s="497" t="s">
        <v>3743</v>
      </c>
      <c r="F298" s="500"/>
      <c r="G298" s="497" t="s">
        <v>3743</v>
      </c>
      <c r="H298" s="500"/>
      <c r="I298" s="501">
        <f>IF(manual=1,"NA",VLOOKUP(0,laser_printer_cost_cl,3))</f>
        <v>373.99500000000006</v>
      </c>
      <c r="J298" s="490">
        <f ca="1">IF(OR(I298="contact vendor",I298="NA"),"--",C298*I298)</f>
        <v>373.99500000000006</v>
      </c>
      <c r="K298" s="497">
        <f ca="1">IF(C298=0,"NA",VLOOKUP(0,laser_printer_cost_cl,IF(ss_cat="large",4,5)))</f>
        <v>10</v>
      </c>
      <c r="L298" s="504">
        <v>1</v>
      </c>
      <c r="M298" s="238" t="s">
        <v>1699</v>
      </c>
      <c r="N298" s="238">
        <v>1</v>
      </c>
      <c r="O298" s="238">
        <v>1</v>
      </c>
      <c r="P298" s="238">
        <v>1</v>
      </c>
      <c r="Q298" s="238">
        <v>1</v>
      </c>
      <c r="R298" s="238">
        <v>1</v>
      </c>
      <c r="S298" s="238">
        <v>1</v>
      </c>
      <c r="T298" s="238">
        <v>1</v>
      </c>
      <c r="U298" s="238">
        <v>1</v>
      </c>
      <c r="V298" s="238">
        <v>1</v>
      </c>
      <c r="W298" s="1096">
        <f t="shared" ca="1" si="59"/>
        <v>1</v>
      </c>
      <c r="X298" s="1097">
        <f t="shared" ca="1" si="60"/>
        <v>37.399500000000003</v>
      </c>
      <c r="Y298" s="20"/>
    </row>
    <row r="299" spans="1:25" s="1022" customFormat="1">
      <c r="A299" s="665">
        <v>10.3</v>
      </c>
      <c r="B299" s="514" t="s">
        <v>3801</v>
      </c>
      <c r="C299" s="494"/>
      <c r="D299" s="474"/>
      <c r="E299" s="481"/>
      <c r="F299" s="474"/>
      <c r="G299" s="481"/>
      <c r="H299" s="474"/>
      <c r="I299" s="481"/>
      <c r="J299" s="481"/>
      <c r="K299" s="481"/>
      <c r="L299" s="483"/>
      <c r="M299" s="238"/>
      <c r="N299" s="238"/>
      <c r="O299" s="238"/>
      <c r="P299" s="238"/>
      <c r="Q299" s="238"/>
      <c r="R299" s="238"/>
      <c r="S299" s="238"/>
      <c r="T299" s="238"/>
      <c r="U299" s="238"/>
      <c r="V299" s="238"/>
      <c r="W299" s="1096">
        <f t="shared" si="59"/>
        <v>0</v>
      </c>
      <c r="X299" s="1097">
        <f t="shared" si="60"/>
        <v>0</v>
      </c>
      <c r="Y299" s="20"/>
    </row>
    <row r="300" spans="1:25" s="1022" customFormat="1">
      <c r="A300" s="663" t="s">
        <v>3217</v>
      </c>
      <c r="B300" s="515" t="s">
        <v>1700</v>
      </c>
      <c r="C300" s="497">
        <f>IF(OR(manual=1,ss_cat="small"),0,plc_interface)</f>
        <v>2</v>
      </c>
      <c r="D300" s="498" t="s">
        <v>2192</v>
      </c>
      <c r="E300" s="497" t="s">
        <v>3743</v>
      </c>
      <c r="F300" s="500"/>
      <c r="G300" s="497" t="s">
        <v>3743</v>
      </c>
      <c r="H300" s="500"/>
      <c r="I300" s="501">
        <f>IF(manual=1,"NA",VLOOKUP(0,op_interface_software_cost_cl,3))</f>
        <v>40.5</v>
      </c>
      <c r="J300" s="490">
        <f>IF(OR(I300="contact vendor",I300="NA"),"--",C300*I300)</f>
        <v>81</v>
      </c>
      <c r="K300" s="497">
        <f>IF(C300=0,"NA",VLOOKUP(0,op_interface_software_cost_cl,IF(ss_cat="large",4,5)))</f>
        <v>10</v>
      </c>
      <c r="L300" s="504">
        <v>1</v>
      </c>
      <c r="M300" s="238" t="s">
        <v>1701</v>
      </c>
      <c r="N300" s="238">
        <v>1</v>
      </c>
      <c r="O300" s="238">
        <v>1</v>
      </c>
      <c r="P300" s="238">
        <v>1</v>
      </c>
      <c r="Q300" s="238">
        <v>1</v>
      </c>
      <c r="R300" s="238">
        <v>1</v>
      </c>
      <c r="S300" s="238">
        <v>1</v>
      </c>
      <c r="T300" s="238">
        <v>1</v>
      </c>
      <c r="U300" s="238">
        <v>1</v>
      </c>
      <c r="V300" s="238">
        <v>1</v>
      </c>
      <c r="W300" s="1096">
        <f t="shared" si="59"/>
        <v>1</v>
      </c>
      <c r="X300" s="1097">
        <f t="shared" si="60"/>
        <v>8.1</v>
      </c>
      <c r="Y300" s="20"/>
    </row>
    <row r="301" spans="1:25" s="1022" customFormat="1">
      <c r="A301" s="663" t="s">
        <v>5253</v>
      </c>
      <c r="B301" s="515" t="s">
        <v>1702</v>
      </c>
      <c r="C301" s="497">
        <f ca="1">IF(OR(manual=1,ss_cat="small"),0,workstations)</f>
        <v>1</v>
      </c>
      <c r="D301" s="498" t="s">
        <v>2192</v>
      </c>
      <c r="E301" s="497" t="s">
        <v>3743</v>
      </c>
      <c r="F301" s="500"/>
      <c r="G301" s="497" t="s">
        <v>3743</v>
      </c>
      <c r="H301" s="500"/>
      <c r="I301" s="501">
        <f>IF(manual=1,"NA",VLOOKUP(0,plc_software_cost_cl,3))</f>
        <v>553.5</v>
      </c>
      <c r="J301" s="490">
        <f ca="1">IF(OR(I301="contact vendor",I301="NA"),"--",C301*I301)</f>
        <v>553.5</v>
      </c>
      <c r="K301" s="497">
        <f ca="1">IF(C301=0,"NA",VLOOKUP(0,plc_software_cost_cl,IF(ss_cat="large",4,5)))</f>
        <v>10</v>
      </c>
      <c r="L301" s="504">
        <v>1</v>
      </c>
      <c r="M301" s="238" t="s">
        <v>386</v>
      </c>
      <c r="N301" s="238">
        <v>1</v>
      </c>
      <c r="O301" s="238">
        <v>1</v>
      </c>
      <c r="P301" s="238">
        <v>1</v>
      </c>
      <c r="Q301" s="238">
        <v>1</v>
      </c>
      <c r="R301" s="238">
        <v>1</v>
      </c>
      <c r="S301" s="238">
        <v>1</v>
      </c>
      <c r="T301" s="238">
        <v>1</v>
      </c>
      <c r="U301" s="238">
        <v>1</v>
      </c>
      <c r="V301" s="238">
        <v>1</v>
      </c>
      <c r="W301" s="1096">
        <f t="shared" ca="1" si="59"/>
        <v>1</v>
      </c>
      <c r="X301" s="1097">
        <f t="shared" ca="1" si="60"/>
        <v>55.35</v>
      </c>
      <c r="Y301" s="20"/>
    </row>
    <row r="302" spans="1:25" s="1022" customFormat="1">
      <c r="A302" s="663" t="s">
        <v>5254</v>
      </c>
      <c r="B302" s="515" t="s">
        <v>387</v>
      </c>
      <c r="C302" s="497">
        <f ca="1">IF(OR(manual=1,ss_cat="small"),0,workstations)</f>
        <v>1</v>
      </c>
      <c r="D302" s="498" t="s">
        <v>2192</v>
      </c>
      <c r="E302" s="497" t="s">
        <v>3743</v>
      </c>
      <c r="F302" s="500"/>
      <c r="G302" s="497" t="s">
        <v>3743</v>
      </c>
      <c r="H302" s="500"/>
      <c r="I302" s="501">
        <f>IF(manual=1,"NA",VLOOKUP(0,plc_data_software_cost_cl,3))</f>
        <v>597.23500000000001</v>
      </c>
      <c r="J302" s="490">
        <f ca="1">IF(OR(I302="contact vendor",I302="NA"),"--",C302*I302)</f>
        <v>597.23500000000001</v>
      </c>
      <c r="K302" s="497">
        <f ca="1">IF(C302=0,"NA",VLOOKUP(0,plc_data_software_cost_cl,IF(ss_cat="large",4,5)))</f>
        <v>10</v>
      </c>
      <c r="L302" s="504">
        <v>1</v>
      </c>
      <c r="M302" s="238" t="s">
        <v>388</v>
      </c>
      <c r="N302" s="238">
        <v>1</v>
      </c>
      <c r="O302" s="238">
        <v>1</v>
      </c>
      <c r="P302" s="238">
        <v>1</v>
      </c>
      <c r="Q302" s="238">
        <v>1</v>
      </c>
      <c r="R302" s="238">
        <v>1</v>
      </c>
      <c r="S302" s="238">
        <v>1</v>
      </c>
      <c r="T302" s="238">
        <v>1</v>
      </c>
      <c r="U302" s="238">
        <v>1</v>
      </c>
      <c r="V302" s="238">
        <v>1</v>
      </c>
      <c r="W302" s="1096">
        <f t="shared" ca="1" si="59"/>
        <v>1</v>
      </c>
      <c r="X302" s="1097">
        <f t="shared" ca="1" si="60"/>
        <v>59.723500000000001</v>
      </c>
      <c r="Y302" s="20"/>
    </row>
    <row r="303" spans="1:25" s="1022" customFormat="1">
      <c r="A303" s="663" t="s">
        <v>5255</v>
      </c>
      <c r="B303" s="515" t="s">
        <v>389</v>
      </c>
      <c r="C303" s="497">
        <f ca="1">IF(OR(manual=1,ss_cat="small"),0,workstations)</f>
        <v>1</v>
      </c>
      <c r="D303" s="498" t="s">
        <v>2192</v>
      </c>
      <c r="E303" s="497" t="s">
        <v>3743</v>
      </c>
      <c r="F303" s="500"/>
      <c r="G303" s="497" t="s">
        <v>3743</v>
      </c>
      <c r="H303" s="500"/>
      <c r="I303" s="501">
        <f>IF(OR(manual=1,ss_cat="small"),"NA",VLOOKUP(0,plant_intel_software_cost_cl,3))</f>
        <v>20680.739999999998</v>
      </c>
      <c r="J303" s="490">
        <f ca="1">IF(OR(I303="contact vendor",I303="NA"),"--",C303*I303)</f>
        <v>20680.739999999998</v>
      </c>
      <c r="K303" s="497">
        <f ca="1">IF(C303=0,"NA",VLOOKUP(0,plant_intel_software_cost_cl,IF(ss_cat="large",4,5)))</f>
        <v>10</v>
      </c>
      <c r="L303" s="504">
        <v>1</v>
      </c>
      <c r="M303" s="238" t="s">
        <v>390</v>
      </c>
      <c r="N303" s="238">
        <v>1</v>
      </c>
      <c r="O303" s="238">
        <v>1</v>
      </c>
      <c r="P303" s="238">
        <v>1</v>
      </c>
      <c r="Q303" s="238">
        <v>1</v>
      </c>
      <c r="R303" s="238">
        <v>1</v>
      </c>
      <c r="S303" s="238">
        <v>1</v>
      </c>
      <c r="T303" s="238">
        <v>1</v>
      </c>
      <c r="U303" s="238">
        <v>1</v>
      </c>
      <c r="V303" s="238">
        <v>1</v>
      </c>
      <c r="W303" s="1096">
        <f t="shared" ca="1" si="59"/>
        <v>1</v>
      </c>
      <c r="X303" s="1097">
        <f t="shared" ca="1" si="60"/>
        <v>2068.0739999999996</v>
      </c>
      <c r="Y303" s="20"/>
    </row>
    <row r="304" spans="1:25" s="1022" customFormat="1">
      <c r="A304" s="663" t="s">
        <v>5256</v>
      </c>
      <c r="B304" s="515" t="s">
        <v>5076</v>
      </c>
      <c r="C304" s="497">
        <f ca="1">IF(OR(manual=1,ss_cat="small"),0,workstations)</f>
        <v>1</v>
      </c>
      <c r="D304" s="498" t="s">
        <v>2192</v>
      </c>
      <c r="E304" s="497" t="s">
        <v>3743</v>
      </c>
      <c r="F304" s="500"/>
      <c r="G304" s="497" t="s">
        <v>3743</v>
      </c>
      <c r="H304" s="500"/>
      <c r="I304" s="501">
        <f ca="1">IF(OR(manual=1,ss_cat="small"),"NA",IF(J304="--","--",J304/C304))</f>
        <v>8679.0364583333339</v>
      </c>
      <c r="J304" s="490">
        <f ca="1">IF(ISERR(VLOOKUP(0,RONF_alarm_software_cost_first_cl,3)),"--",IF(C304&gt;0,VLOOKUP(0,RONF_alarm_software_cost_first_cl,3)+(C304-1)*VLOOKUP(0,RONF_alarm_software_cost_addl_cl,3),"--"))</f>
        <v>8679.0364583333339</v>
      </c>
      <c r="K304" s="497">
        <f ca="1">IF(OR(C304=0,ISERR(VLOOKUP(0,RONF_alarm_software_cost_first_cl,3))),"NA",VLOOKUP(0,RONF_alarm_software_cost_first_cl,IF(ss_cat="large",4,5)))</f>
        <v>10</v>
      </c>
      <c r="L304" s="504">
        <v>0</v>
      </c>
      <c r="M304" s="238" t="s">
        <v>5077</v>
      </c>
      <c r="N304" s="238">
        <v>0</v>
      </c>
      <c r="O304" s="238">
        <v>0</v>
      </c>
      <c r="P304" s="238">
        <v>1</v>
      </c>
      <c r="Q304" s="238">
        <v>0</v>
      </c>
      <c r="R304" s="238">
        <v>0</v>
      </c>
      <c r="S304" s="238">
        <v>1</v>
      </c>
      <c r="T304" s="238">
        <v>0</v>
      </c>
      <c r="U304" s="238">
        <v>0</v>
      </c>
      <c r="V304" s="238">
        <v>1</v>
      </c>
      <c r="W304" s="1096">
        <f t="shared" ca="1" si="59"/>
        <v>0</v>
      </c>
      <c r="X304" s="1097">
        <f t="shared" ca="1" si="60"/>
        <v>0</v>
      </c>
      <c r="Y304" s="20"/>
    </row>
    <row r="305" spans="1:26" s="816" customFormat="1">
      <c r="A305" s="727" t="s">
        <v>5257</v>
      </c>
      <c r="B305" s="728" t="s">
        <v>4875</v>
      </c>
      <c r="C305" s="729"/>
      <c r="D305" s="729"/>
      <c r="E305" s="729"/>
      <c r="F305" s="729"/>
      <c r="G305" s="729"/>
      <c r="H305" s="729"/>
      <c r="I305" s="729"/>
      <c r="J305" s="729"/>
      <c r="K305" s="729"/>
      <c r="L305" s="730"/>
      <c r="M305" s="238"/>
      <c r="N305" s="238"/>
      <c r="O305" s="238"/>
      <c r="P305" s="238"/>
      <c r="Q305" s="238"/>
      <c r="R305" s="238"/>
      <c r="S305" s="238"/>
      <c r="T305" s="238"/>
      <c r="U305" s="238"/>
      <c r="V305" s="238"/>
      <c r="W305" s="1096">
        <f t="shared" si="59"/>
        <v>0</v>
      </c>
      <c r="X305" s="238">
        <f t="shared" si="60"/>
        <v>0</v>
      </c>
      <c r="Y305" s="238"/>
      <c r="Z305" s="1095"/>
    </row>
    <row r="306" spans="1:26" s="816" customFormat="1">
      <c r="A306" s="731">
        <v>11.1</v>
      </c>
      <c r="B306" s="732" t="s">
        <v>4321</v>
      </c>
      <c r="C306" s="733"/>
      <c r="D306" s="734"/>
      <c r="E306" s="733"/>
      <c r="F306" s="733"/>
      <c r="G306" s="733"/>
      <c r="H306" s="733"/>
      <c r="I306" s="733"/>
      <c r="J306" s="733"/>
      <c r="K306" s="733"/>
      <c r="L306" s="735"/>
      <c r="M306" s="238"/>
      <c r="N306" s="238"/>
      <c r="O306" s="238"/>
      <c r="P306" s="238"/>
      <c r="Q306" s="238"/>
      <c r="R306" s="238"/>
      <c r="S306" s="238"/>
      <c r="T306" s="238"/>
      <c r="U306" s="238"/>
      <c r="V306" s="238"/>
      <c r="W306" s="1096">
        <f t="shared" si="59"/>
        <v>0</v>
      </c>
      <c r="X306" s="238">
        <f t="shared" si="60"/>
        <v>0</v>
      </c>
      <c r="Y306" s="238"/>
      <c r="Z306" s="1095"/>
    </row>
    <row r="307" spans="1:26" s="816" customFormat="1">
      <c r="A307" s="662" t="s">
        <v>3218</v>
      </c>
      <c r="B307" s="736" t="s">
        <v>4947</v>
      </c>
      <c r="C307" s="737">
        <f ca="1">IF(AND(build1_fp&gt;0,build1_fp&lt;500),1,0)</f>
        <v>0</v>
      </c>
      <c r="D307" s="476" t="s">
        <v>2192</v>
      </c>
      <c r="E307" s="738">
        <f ca="1">build1_fp</f>
        <v>1080</v>
      </c>
      <c r="F307" s="335" t="s">
        <v>3746</v>
      </c>
      <c r="G307" s="503">
        <f ca="1">build1_fp</f>
        <v>1080</v>
      </c>
      <c r="H307" s="335" t="s">
        <v>3746</v>
      </c>
      <c r="I307" s="739" t="str">
        <f ca="1">IF(C307=0,"NA",VLOOKUP(build1_fp,bldg_shed_cost_cl,3))</f>
        <v>NA</v>
      </c>
      <c r="J307" s="492" t="str">
        <f ca="1">IF(OR(I307="NA",I307="contact vendor"),"--",G307*I307)</f>
        <v>--</v>
      </c>
      <c r="K307" s="486" t="str">
        <f ca="1">IF($C307=0,"N/A",VLOOKUP(build1_fp,bldg_shed_cost_cl,IF(ss_cat="large",4,5)))</f>
        <v>N/A</v>
      </c>
      <c r="L307" s="491"/>
      <c r="M307" s="898" t="str">
        <f>B305&amp;" - "&amp;B306&amp;" - "&amp;B307</f>
        <v>Building Structures and HVAC - Building 1 - Small Low Cost Shed</v>
      </c>
      <c r="N307" s="1102">
        <f t="shared" ref="N307:V307" si="61">IF(include_buildings=1,2,0)</f>
        <v>0</v>
      </c>
      <c r="O307" s="1102">
        <f t="shared" si="61"/>
        <v>0</v>
      </c>
      <c r="P307" s="1102">
        <f t="shared" si="61"/>
        <v>0</v>
      </c>
      <c r="Q307" s="1102">
        <f t="shared" si="61"/>
        <v>0</v>
      </c>
      <c r="R307" s="1102">
        <f t="shared" si="61"/>
        <v>0</v>
      </c>
      <c r="S307" s="1102">
        <f t="shared" si="61"/>
        <v>0</v>
      </c>
      <c r="T307" s="1102">
        <f t="shared" si="61"/>
        <v>0</v>
      </c>
      <c r="U307" s="1102">
        <f t="shared" si="61"/>
        <v>0</v>
      </c>
      <c r="V307" s="1102">
        <f t="shared" si="61"/>
        <v>0</v>
      </c>
      <c r="W307" s="1096">
        <f t="shared" ca="1" si="59"/>
        <v>0</v>
      </c>
      <c r="X307" s="238">
        <f t="shared" ca="1" si="60"/>
        <v>0</v>
      </c>
      <c r="Y307" s="633">
        <f ca="1">IF(W307,K307,0)</f>
        <v>0</v>
      </c>
      <c r="Z307" s="1095"/>
    </row>
    <row r="308" spans="1:26" s="816" customFormat="1">
      <c r="A308" s="662" t="s">
        <v>3218</v>
      </c>
      <c r="B308" s="736" t="s">
        <v>4948</v>
      </c>
      <c r="C308" s="737">
        <f ca="1">IF(build1_fp&gt;=500,1,0)</f>
        <v>1</v>
      </c>
      <c r="D308" s="476" t="s">
        <v>2192</v>
      </c>
      <c r="E308" s="503">
        <f ca="1">build1_fp</f>
        <v>1080</v>
      </c>
      <c r="F308" s="335" t="s">
        <v>3746</v>
      </c>
      <c r="G308" s="503">
        <f ca="1">build1_fp</f>
        <v>1080</v>
      </c>
      <c r="H308" s="335" t="s">
        <v>3746</v>
      </c>
      <c r="I308" s="739">
        <f ca="1">IF(C308=0,"NA",IF(curve=1,bldg_lo_eq_1,VLOOKUP(build1_fp, bldg_lo_cost_cl,3)))</f>
        <v>84.199223946596675</v>
      </c>
      <c r="J308" s="492">
        <f t="shared" ref="J308:J310" ca="1" si="62">IF(OR(I308="NA",I308="contact vendor"),"--",G308*I308)</f>
        <v>90935.161862324414</v>
      </c>
      <c r="K308" s="486">
        <f ca="1">IF($C308=0,"N/A",VLOOKUP(build1_fp,bldg_lo_cost_cl,IF(ss_cat="large",4,5)))</f>
        <v>40</v>
      </c>
      <c r="L308" s="491">
        <v>0</v>
      </c>
      <c r="M308" s="898" t="str">
        <f>B305&amp;" - "&amp;B306&amp;" - "&amp;B308</f>
        <v>Building Structures and HVAC - Building 1 - Low Quality</v>
      </c>
      <c r="N308" s="1102">
        <f>include_buildings</f>
        <v>0</v>
      </c>
      <c r="O308" s="1102"/>
      <c r="P308" s="1102"/>
      <c r="Q308" s="1102">
        <f>include_buildings</f>
        <v>0</v>
      </c>
      <c r="R308" s="1102"/>
      <c r="S308" s="1103"/>
      <c r="T308" s="1102">
        <f>include_buildings</f>
        <v>0</v>
      </c>
      <c r="U308" s="1103"/>
      <c r="V308" s="1102"/>
      <c r="W308" s="1096">
        <f t="shared" ca="1" si="59"/>
        <v>0</v>
      </c>
      <c r="X308" s="238">
        <f t="shared" ca="1" si="60"/>
        <v>0</v>
      </c>
      <c r="Y308" s="633">
        <f ca="1">IF(W308,K308,0)</f>
        <v>0</v>
      </c>
      <c r="Z308" s="1095"/>
    </row>
    <row r="309" spans="1:26" s="816" customFormat="1">
      <c r="A309" s="662" t="s">
        <v>3218</v>
      </c>
      <c r="B309" s="736" t="s">
        <v>4949</v>
      </c>
      <c r="C309" s="737">
        <f ca="1">IF(build1_fp&gt;=500,1,0)</f>
        <v>1</v>
      </c>
      <c r="D309" s="476" t="s">
        <v>2192</v>
      </c>
      <c r="E309" s="503">
        <f ca="1">build1_fp</f>
        <v>1080</v>
      </c>
      <c r="F309" s="335" t="s">
        <v>3746</v>
      </c>
      <c r="G309" s="503">
        <f ca="1">build1_fp</f>
        <v>1080</v>
      </c>
      <c r="H309" s="335" t="s">
        <v>3746</v>
      </c>
      <c r="I309" s="739">
        <f ca="1">IF(C309=0,"NA",IF(curve=1,bldg_mid_eq_1,VLOOKUP(build1_fp, bldg_mid_cost_cl,3)))</f>
        <v>101.10212936983636</v>
      </c>
      <c r="J309" s="492">
        <f t="shared" ca="1" si="62"/>
        <v>109190.29971942327</v>
      </c>
      <c r="K309" s="486">
        <f ca="1">IF($C309=0,"N/A",VLOOKUP(build1_fp,bldg_mid_cost_cl,IF(ss_cat="large",4,5)))</f>
        <v>40</v>
      </c>
      <c r="L309" s="491">
        <v>0</v>
      </c>
      <c r="M309" s="898" t="str">
        <f>B305&amp;" - "&amp;B306&amp;" - "&amp;B309</f>
        <v>Building Structures and HVAC - Building 1 - Medium Quality</v>
      </c>
      <c r="N309" s="1102"/>
      <c r="O309" s="1102">
        <f>include_buildings</f>
        <v>0</v>
      </c>
      <c r="P309" s="1102"/>
      <c r="Q309" s="1102"/>
      <c r="R309" s="1102">
        <f>include_buildings</f>
        <v>0</v>
      </c>
      <c r="S309" s="1103"/>
      <c r="T309" s="1103"/>
      <c r="U309" s="1102">
        <f>include_buildings</f>
        <v>0</v>
      </c>
      <c r="V309" s="1102"/>
      <c r="W309" s="1096">
        <f t="shared" ca="1" si="59"/>
        <v>0</v>
      </c>
      <c r="X309" s="238">
        <f t="shared" ca="1" si="60"/>
        <v>0</v>
      </c>
      <c r="Y309" s="633">
        <f ca="1">IF(W309,K309,0)</f>
        <v>0</v>
      </c>
      <c r="Z309" s="1095"/>
    </row>
    <row r="310" spans="1:26" s="816" customFormat="1">
      <c r="A310" s="662" t="s">
        <v>3218</v>
      </c>
      <c r="B310" s="736" t="s">
        <v>4950</v>
      </c>
      <c r="C310" s="737">
        <f ca="1">IF(build1_fp&gt;=500,1,0)</f>
        <v>1</v>
      </c>
      <c r="D310" s="472" t="s">
        <v>2192</v>
      </c>
      <c r="E310" s="503">
        <f ca="1">build1_fp</f>
        <v>1080</v>
      </c>
      <c r="F310" s="335" t="s">
        <v>3746</v>
      </c>
      <c r="G310" s="503">
        <f ca="1">build1_fp</f>
        <v>1080</v>
      </c>
      <c r="H310" s="335" t="s">
        <v>3746</v>
      </c>
      <c r="I310" s="739">
        <f ca="1">IF(C310=0,"NA",IF(curve=1,bldg_hi_eq_1,VLOOKUP(build1_fp, bldg_hi_cost_cl,3)))</f>
        <v>145.62967758819175</v>
      </c>
      <c r="J310" s="492">
        <f t="shared" ca="1" si="62"/>
        <v>157280.0517952471</v>
      </c>
      <c r="K310" s="486">
        <f ca="1">IF($C310=0,"N/A",VLOOKUP(build1_fp,bldg_hi_cost_cl,IF(ss_cat="large",4,5)))</f>
        <v>40</v>
      </c>
      <c r="L310" s="491">
        <v>0</v>
      </c>
      <c r="M310" s="898" t="str">
        <f>B305&amp;" - "&amp;B306&amp;" - "&amp;B310</f>
        <v>Building Structures and HVAC - Building 1 - High Quality</v>
      </c>
      <c r="N310" s="1102"/>
      <c r="O310" s="1102"/>
      <c r="P310" s="1102">
        <f>include_buildings</f>
        <v>0</v>
      </c>
      <c r="Q310" s="1102"/>
      <c r="R310" s="1102"/>
      <c r="S310" s="1102">
        <f>include_buildings</f>
        <v>0</v>
      </c>
      <c r="T310" s="1103"/>
      <c r="U310" s="1103"/>
      <c r="V310" s="1102">
        <f>include_buildings</f>
        <v>0</v>
      </c>
      <c r="W310" s="1096">
        <f t="shared" ca="1" si="59"/>
        <v>0</v>
      </c>
      <c r="X310" s="238">
        <f t="shared" ca="1" si="60"/>
        <v>0</v>
      </c>
      <c r="Y310" s="633">
        <f ca="1">IF(W310,K310,0)</f>
        <v>0</v>
      </c>
      <c r="Z310" s="1095"/>
    </row>
    <row r="311" spans="1:26" s="816" customFormat="1">
      <c r="A311" s="731" t="s">
        <v>3219</v>
      </c>
      <c r="B311" s="786" t="str">
        <f>"Heating System"&amp;IF(build1_heat="heat pump"," (included with cooling system)","")</f>
        <v>Heating System</v>
      </c>
      <c r="C311" s="579"/>
      <c r="D311" s="341"/>
      <c r="E311" s="579"/>
      <c r="F311" s="340"/>
      <c r="G311" s="579"/>
      <c r="H311" s="340"/>
      <c r="I311" s="579"/>
      <c r="J311" s="579"/>
      <c r="K311" s="579"/>
      <c r="L311" s="735"/>
      <c r="M311" s="238"/>
      <c r="N311" s="633"/>
      <c r="O311" s="633"/>
      <c r="P311" s="633"/>
      <c r="Q311" s="633"/>
      <c r="R311" s="633"/>
      <c r="S311" s="633"/>
      <c r="T311" s="633"/>
      <c r="U311" s="633"/>
      <c r="V311" s="633"/>
      <c r="W311" s="1096">
        <f t="shared" si="59"/>
        <v>0</v>
      </c>
      <c r="X311" s="238">
        <f t="shared" si="60"/>
        <v>0</v>
      </c>
      <c r="Y311" s="633"/>
      <c r="Z311" s="1095"/>
    </row>
    <row r="312" spans="1:26" s="816" customFormat="1">
      <c r="A312" s="662" t="s">
        <v>5258</v>
      </c>
      <c r="B312" s="736" t="s">
        <v>3695</v>
      </c>
      <c r="C312" s="737" t="str">
        <f>IF(build1_heat="heat pump","NA",IF(build1_need_heat,build1_zones,"NA"))</f>
        <v>NA</v>
      </c>
      <c r="D312" s="472" t="str">
        <f>IF(C312="NA","","zones")</f>
        <v/>
      </c>
      <c r="E312" s="503" t="str">
        <f>IF(C312="NA","NA",build1_heat_mbh)</f>
        <v>NA</v>
      </c>
      <c r="F312" s="335" t="str">
        <f>IF(C312="NA","","MBH")</f>
        <v/>
      </c>
      <c r="G312" s="503" t="str">
        <f>IF(C312="NA","NA",IF(curve=1,build1_heat_mbh,VLOOKUP(build1_heat_mbh,hvac_elec_cost_cl,2)))</f>
        <v>NA</v>
      </c>
      <c r="H312" s="335" t="str">
        <f>IF(C312="NA","","MBH")</f>
        <v/>
      </c>
      <c r="I312" s="740" t="str">
        <f>IF(C312="NA","NA",IF(curve=1,hvac_elec_eq_1,VLOOKUP(build1_heat_mbh,hvac_elec_cost_cl,3)))</f>
        <v>NA</v>
      </c>
      <c r="J312" s="492" t="str">
        <f>IF(OR(I312="NA",I312="contact vendor"),"--",C312*I312)</f>
        <v>--</v>
      </c>
      <c r="K312" s="486" t="str">
        <f>IF(C312="NA","NA",VLOOKUP(build1_heat_mbh,hvac_elec_cost_cl,IF(ss_cat="large",4,5)))</f>
        <v>NA</v>
      </c>
      <c r="L312" s="491"/>
      <c r="M312" s="898" t="str">
        <f>B305&amp;" - "&amp;B306&amp;" - "&amp;B311&amp;" - "&amp;B312</f>
        <v>Building Structures and HVAC - Building 1 - Heating System - Electric resistance</v>
      </c>
      <c r="N312" s="1102">
        <f t="shared" ref="N312:V316" si="63">IF(include_HVAC=0,0,IF(build1_heat="heat pump",0,IF(build1_heat=$B312,1,"")))</f>
        <v>0</v>
      </c>
      <c r="O312" s="1102">
        <f t="shared" si="63"/>
        <v>0</v>
      </c>
      <c r="P312" s="1102">
        <f t="shared" si="63"/>
        <v>0</v>
      </c>
      <c r="Q312" s="1102">
        <f t="shared" si="63"/>
        <v>0</v>
      </c>
      <c r="R312" s="1102">
        <f t="shared" si="63"/>
        <v>0</v>
      </c>
      <c r="S312" s="1102">
        <f t="shared" si="63"/>
        <v>0</v>
      </c>
      <c r="T312" s="1102">
        <f t="shared" si="63"/>
        <v>0</v>
      </c>
      <c r="U312" s="1102">
        <f t="shared" si="63"/>
        <v>0</v>
      </c>
      <c r="V312" s="1102">
        <f t="shared" si="63"/>
        <v>0</v>
      </c>
      <c r="W312" s="1096">
        <f t="shared" si="59"/>
        <v>0</v>
      </c>
      <c r="X312" s="238">
        <f t="shared" si="60"/>
        <v>0</v>
      </c>
      <c r="Y312" s="633"/>
      <c r="Z312" s="1095"/>
    </row>
    <row r="313" spans="1:26" s="816" customFormat="1">
      <c r="A313" s="662" t="s">
        <v>5258</v>
      </c>
      <c r="B313" s="736" t="s">
        <v>3696</v>
      </c>
      <c r="C313" s="737" t="str">
        <f>IF(build1_heat="heat pump","NA",IF(build1_need_heat,build1_zones,"NA"))</f>
        <v>NA</v>
      </c>
      <c r="D313" s="472" t="str">
        <f>IF(C313="NA","","zones")</f>
        <v/>
      </c>
      <c r="E313" s="503" t="str">
        <f>IF(C313="NA","NA",build1_heat_mbh)</f>
        <v>NA</v>
      </c>
      <c r="F313" s="335" t="str">
        <f>IF(C313="NA","","MBH")</f>
        <v/>
      </c>
      <c r="G313" s="503" t="str">
        <f>IF(C313="NA","NA",IF(curve=1,build1_heat_mbh,VLOOKUP(build1_heat_mbh,hvac_gas_non_cost_cl,2)))</f>
        <v>NA</v>
      </c>
      <c r="H313" s="335" t="str">
        <f>IF(C313="NA","","MBH")</f>
        <v/>
      </c>
      <c r="I313" s="740" t="str">
        <f>IF(C313="NA","NA",IF(curve=1,hvac_gas_non_eq_1,VLOOKUP(build1_heat_mbh,hvac_gas_non_cost_cl,3)))</f>
        <v>NA</v>
      </c>
      <c r="J313" s="492" t="str">
        <f>IF(OR(I313="NA",I313="contact vendor"),"--",C313*I313)</f>
        <v>--</v>
      </c>
      <c r="K313" s="486" t="str">
        <f>IF(C313="NA","NA",VLOOKUP(build1_heat_mbh,hvac_gas_non_cost_cl,IF(ss_cat="large",4,5)))</f>
        <v>NA</v>
      </c>
      <c r="L313" s="491"/>
      <c r="M313" s="898" t="str">
        <f>B305&amp;" - "&amp;B306&amp;" - "&amp;B311&amp;" - "&amp;B313</f>
        <v>Building Structures and HVAC - Building 1 - Heating System - Natural gas non-condensing furnace</v>
      </c>
      <c r="N313" s="1102">
        <f t="shared" si="63"/>
        <v>0</v>
      </c>
      <c r="O313" s="1102">
        <f t="shared" si="63"/>
        <v>0</v>
      </c>
      <c r="P313" s="1102">
        <f t="shared" si="63"/>
        <v>0</v>
      </c>
      <c r="Q313" s="1102">
        <f t="shared" si="63"/>
        <v>0</v>
      </c>
      <c r="R313" s="1102">
        <f t="shared" si="63"/>
        <v>0</v>
      </c>
      <c r="S313" s="1102">
        <f t="shared" si="63"/>
        <v>0</v>
      </c>
      <c r="T313" s="1102">
        <f t="shared" si="63"/>
        <v>0</v>
      </c>
      <c r="U313" s="1102">
        <f t="shared" si="63"/>
        <v>0</v>
      </c>
      <c r="V313" s="1102">
        <f t="shared" si="63"/>
        <v>0</v>
      </c>
      <c r="W313" s="1096">
        <f t="shared" si="59"/>
        <v>0</v>
      </c>
      <c r="X313" s="238">
        <f t="shared" si="60"/>
        <v>0</v>
      </c>
      <c r="Y313" s="633"/>
      <c r="Z313" s="1095"/>
    </row>
    <row r="314" spans="1:26" s="816" customFormat="1">
      <c r="A314" s="662" t="s">
        <v>5258</v>
      </c>
      <c r="B314" s="736" t="s">
        <v>3635</v>
      </c>
      <c r="C314" s="737" t="str">
        <f>IF(build1_heat="heat pump","NA",IF(build1_need_heat,build1_zones,"NA"))</f>
        <v>NA</v>
      </c>
      <c r="D314" s="472" t="str">
        <f>IF(C314="NA","","zones")</f>
        <v/>
      </c>
      <c r="E314" s="503" t="str">
        <f>IF(C314="NA","NA",build1_heat_mbh)</f>
        <v>NA</v>
      </c>
      <c r="F314" s="335" t="str">
        <f>IF(C314="NA","","MBH")</f>
        <v/>
      </c>
      <c r="G314" s="503" t="str">
        <f>IF(C314="NA","NA",IF(curve=1,build1_heat_mbh,VLOOKUP(build1_heat_mbh,hvac_gas_cost_cl,2)))</f>
        <v>NA</v>
      </c>
      <c r="H314" s="335" t="str">
        <f>IF(C314="NA","","MBH")</f>
        <v/>
      </c>
      <c r="I314" s="740" t="str">
        <f>IF(C314="NA","NA",IF(curve=1,hvac_gas_eq_1,VLOOKUP(build1_heat_mbh,hvac_gas_cost_cl,3)))</f>
        <v>NA</v>
      </c>
      <c r="J314" s="492" t="str">
        <f>IF(OR(I314="NA",I314="contact vendor"),"--",C314*I314)</f>
        <v>--</v>
      </c>
      <c r="K314" s="486" t="str">
        <f>IF(C314="NA","NA",VLOOKUP(build1_heat_mbh,hvac_gas_cost_cl,IF(ss_cat="large",4,5)))</f>
        <v>NA</v>
      </c>
      <c r="L314" s="491"/>
      <c r="M314" s="898" t="str">
        <f>B305&amp;" - "&amp;B306&amp;" - "&amp;B311&amp;" - "&amp;B314</f>
        <v>Building Structures and HVAC - Building 1 - Heating System - Natural gas condensing furnace</v>
      </c>
      <c r="N314" s="1102">
        <f t="shared" si="63"/>
        <v>0</v>
      </c>
      <c r="O314" s="1102">
        <f t="shared" si="63"/>
        <v>0</v>
      </c>
      <c r="P314" s="1102">
        <f t="shared" si="63"/>
        <v>0</v>
      </c>
      <c r="Q314" s="1102">
        <f t="shared" si="63"/>
        <v>0</v>
      </c>
      <c r="R314" s="1102">
        <f t="shared" si="63"/>
        <v>0</v>
      </c>
      <c r="S314" s="1102">
        <f t="shared" si="63"/>
        <v>0</v>
      </c>
      <c r="T314" s="1102">
        <f t="shared" si="63"/>
        <v>0</v>
      </c>
      <c r="U314" s="1102">
        <f t="shared" si="63"/>
        <v>0</v>
      </c>
      <c r="V314" s="1102">
        <f t="shared" si="63"/>
        <v>0</v>
      </c>
      <c r="W314" s="1096">
        <f t="shared" si="59"/>
        <v>0</v>
      </c>
      <c r="X314" s="238">
        <f t="shared" si="60"/>
        <v>0</v>
      </c>
      <c r="Y314" s="633"/>
      <c r="Z314" s="1095"/>
    </row>
    <row r="315" spans="1:26" s="816" customFormat="1">
      <c r="A315" s="662" t="s">
        <v>5258</v>
      </c>
      <c r="B315" s="736" t="s">
        <v>2161</v>
      </c>
      <c r="C315" s="737" t="str">
        <f>IF(build1_heat="heat pump","NA",IF(build1_need_heat,build1_zones,"NA"))</f>
        <v>NA</v>
      </c>
      <c r="D315" s="472" t="str">
        <f>IF(C315="NA","","zones")</f>
        <v/>
      </c>
      <c r="E315" s="503" t="str">
        <f>IF(C315="NA","NA",build1_heat_mbh)</f>
        <v>NA</v>
      </c>
      <c r="F315" s="335" t="str">
        <f>IF(C315="NA","","MBH")</f>
        <v/>
      </c>
      <c r="G315" s="503" t="str">
        <f>IF(C315="NA","NA",IF(curve=1,build1_heat_mbh,VLOOKUP(E315,hvac_oil_std_cost_cl,2)))</f>
        <v>NA</v>
      </c>
      <c r="H315" s="335" t="str">
        <f>IF(C315="NA","","MBH")</f>
        <v/>
      </c>
      <c r="I315" s="740" t="str">
        <f>IF(C315="NA","NA",IF(curve=1,hvac_oil_std_eq_1,VLOOKUP(build1_heat_mbh,hvac_oil_std_cost_cl,3)))</f>
        <v>NA</v>
      </c>
      <c r="J315" s="492" t="str">
        <f>IF(OR(I315="NA",I315="contact vendor"),"--",C315*I315)</f>
        <v>--</v>
      </c>
      <c r="K315" s="486" t="str">
        <f>IF(C315="NA","NA",VLOOKUP(build1_heat_mbh,hvac_oil_std_cost_cl,IF(ss_cat="large",4,5)))</f>
        <v>NA</v>
      </c>
      <c r="L315" s="491"/>
      <c r="M315" s="898" t="str">
        <f>B305&amp;" - "&amp;B306&amp;" - "&amp;B311&amp;" - "&amp;B315</f>
        <v>Building Structures and HVAC - Building 1 - Heating System - Standard efficiency oil furnace</v>
      </c>
      <c r="N315" s="1102">
        <f t="shared" si="63"/>
        <v>0</v>
      </c>
      <c r="O315" s="1102">
        <f t="shared" si="63"/>
        <v>0</v>
      </c>
      <c r="P315" s="1102">
        <f t="shared" si="63"/>
        <v>0</v>
      </c>
      <c r="Q315" s="1102">
        <f t="shared" si="63"/>
        <v>0</v>
      </c>
      <c r="R315" s="1102">
        <f t="shared" si="63"/>
        <v>0</v>
      </c>
      <c r="S315" s="1102">
        <f t="shared" si="63"/>
        <v>0</v>
      </c>
      <c r="T315" s="1102">
        <f t="shared" si="63"/>
        <v>0</v>
      </c>
      <c r="U315" s="1102">
        <f t="shared" si="63"/>
        <v>0</v>
      </c>
      <c r="V315" s="1102">
        <f t="shared" si="63"/>
        <v>0</v>
      </c>
      <c r="W315" s="1096">
        <f t="shared" si="59"/>
        <v>0</v>
      </c>
      <c r="X315" s="238">
        <f t="shared" si="60"/>
        <v>0</v>
      </c>
      <c r="Y315" s="633"/>
      <c r="Z315" s="1095"/>
    </row>
    <row r="316" spans="1:26" s="816" customFormat="1">
      <c r="A316" s="662" t="s">
        <v>5258</v>
      </c>
      <c r="B316" s="736" t="s">
        <v>2162</v>
      </c>
      <c r="C316" s="737" t="str">
        <f>IF(build1_heat="heat pump","NA",IF(build1_need_heat,build1_zones,"NA"))</f>
        <v>NA</v>
      </c>
      <c r="D316" s="472" t="str">
        <f>IF(C316="NA","","zones")</f>
        <v/>
      </c>
      <c r="E316" s="503" t="str">
        <f>IF(C316="NA","NA",build1_heat_mbh)</f>
        <v>NA</v>
      </c>
      <c r="F316" s="335" t="str">
        <f>IF(C316="NA","","MBH")</f>
        <v/>
      </c>
      <c r="G316" s="503" t="str">
        <f>IF(C316="NA","NA",IF(curve=1,build1_heat_mbh,VLOOKUP(build1_heat_mbh,hvac_oil_mid_cost_cl,2)))</f>
        <v>NA</v>
      </c>
      <c r="H316" s="335" t="str">
        <f>IF(C316="NA","","MBH")</f>
        <v/>
      </c>
      <c r="I316" s="740" t="str">
        <f>IF(C316="NA","NA",IF(curve=1,hvac_oil_mid_eq_1,VLOOKUP(build1_heat_mbh,hvac_oil_mid_cost_cl,3)))</f>
        <v>NA</v>
      </c>
      <c r="J316" s="492" t="str">
        <f>IF(OR(I316="NA",I316="contact vendor"),"--",C316*I316)</f>
        <v>--</v>
      </c>
      <c r="K316" s="486" t="str">
        <f>IF(C316="NA","NA",VLOOKUP(build1_heat_mbh,hvac_oil_mid_cost_cl,IF(ss_cat="large",4,5)))</f>
        <v>NA</v>
      </c>
      <c r="L316" s="491"/>
      <c r="M316" s="898" t="str">
        <f>B305&amp;" - "&amp;B306&amp;" - "&amp;B311&amp;" - "&amp;B316</f>
        <v>Building Structures and HVAC - Building 1 - Heating System - Mid-efficiency oil furnace</v>
      </c>
      <c r="N316" s="1102">
        <f t="shared" si="63"/>
        <v>0</v>
      </c>
      <c r="O316" s="1102">
        <f t="shared" si="63"/>
        <v>0</v>
      </c>
      <c r="P316" s="1102">
        <f t="shared" si="63"/>
        <v>0</v>
      </c>
      <c r="Q316" s="1102">
        <f t="shared" si="63"/>
        <v>0</v>
      </c>
      <c r="R316" s="1102">
        <f t="shared" si="63"/>
        <v>0</v>
      </c>
      <c r="S316" s="1102">
        <f t="shared" si="63"/>
        <v>0</v>
      </c>
      <c r="T316" s="1102">
        <f t="shared" si="63"/>
        <v>0</v>
      </c>
      <c r="U316" s="1102">
        <f t="shared" si="63"/>
        <v>0</v>
      </c>
      <c r="V316" s="1102">
        <f t="shared" si="63"/>
        <v>0</v>
      </c>
      <c r="W316" s="1096">
        <f t="shared" si="59"/>
        <v>0</v>
      </c>
      <c r="X316" s="238">
        <f t="shared" si="60"/>
        <v>0</v>
      </c>
      <c r="Y316" s="633"/>
      <c r="Z316" s="1095"/>
    </row>
    <row r="317" spans="1:26" s="816" customFormat="1">
      <c r="A317" s="731" t="s">
        <v>3220</v>
      </c>
      <c r="B317" s="786" t="str">
        <f ca="1">IF(build2_heat="heat pump","Heating and ","")&amp;"Cooling System"</f>
        <v>Cooling System</v>
      </c>
      <c r="C317" s="579"/>
      <c r="D317" s="341"/>
      <c r="E317" s="579"/>
      <c r="F317" s="340"/>
      <c r="G317" s="579"/>
      <c r="H317" s="340"/>
      <c r="I317" s="579"/>
      <c r="J317" s="579"/>
      <c r="K317" s="579"/>
      <c r="L317" s="735"/>
      <c r="M317" s="238"/>
      <c r="N317" s="633"/>
      <c r="O317" s="633"/>
      <c r="P317" s="633"/>
      <c r="Q317" s="633"/>
      <c r="R317" s="633"/>
      <c r="S317" s="633"/>
      <c r="T317" s="633"/>
      <c r="U317" s="633"/>
      <c r="V317" s="633"/>
      <c r="W317" s="1096">
        <f t="shared" si="59"/>
        <v>0</v>
      </c>
      <c r="X317" s="238">
        <f t="shared" si="60"/>
        <v>0</v>
      </c>
      <c r="Y317" s="633"/>
      <c r="Z317" s="1095"/>
    </row>
    <row r="318" spans="1:26" s="816" customFormat="1">
      <c r="A318" s="662" t="s">
        <v>5259</v>
      </c>
      <c r="B318" s="736" t="s">
        <v>4807</v>
      </c>
      <c r="C318" s="737" t="str">
        <f>IF(build1_need_cool,build1_zones,"NA")</f>
        <v>NA</v>
      </c>
      <c r="D318" s="472" t="str">
        <f>IF(C318="NA","","zones")</f>
        <v/>
      </c>
      <c r="E318" s="741" t="str">
        <f>IF(C318="NA","NA",build1_cooling_tons)</f>
        <v>NA</v>
      </c>
      <c r="F318" s="335" t="str">
        <f>IF(C318="NA","","tons")</f>
        <v/>
      </c>
      <c r="G318" s="741" t="str">
        <f>IF(C318="NA","NA",IF(curve=1,build1_cooling_tons,VLOOKUP(build1_cooling_tons,hvac_ac_cost_cl,2)))</f>
        <v>NA</v>
      </c>
      <c r="H318" s="335" t="str">
        <f>IF(C318="NA","","tons")</f>
        <v/>
      </c>
      <c r="I318" s="740" t="str">
        <f>IF(C318="NA","NA",IF(curve=1,hvac_ac_eq_1,VLOOKUP(build1_cooling_tons,hvac_ac_cost_cl,3)))</f>
        <v>NA</v>
      </c>
      <c r="J318" s="492" t="str">
        <f>IF(OR(I318="NA",I318="contact vendor"),"--",C318*I318)</f>
        <v>--</v>
      </c>
      <c r="K318" s="486" t="str">
        <f>IF(C318="NA","NA",VLOOKUP(build1_cooling_tons,hvac_ac_cost_cl,IF(ss_cat="large",4,5)))</f>
        <v>NA</v>
      </c>
      <c r="L318" s="491"/>
      <c r="M318" s="898" t="str">
        <f ca="1">B305&amp;" - "&amp;B306&amp;" - "&amp;B317&amp;" - "&amp;B318</f>
        <v>Building Structures and HVAC - Building 1 - Cooling System - Air conditioner</v>
      </c>
      <c r="N318" s="1102">
        <f t="shared" ref="N318:V319" si="64">IF(include_HVAC=0,0,IF(build1_cool=$B318,1,""))</f>
        <v>0</v>
      </c>
      <c r="O318" s="1102">
        <f t="shared" si="64"/>
        <v>0</v>
      </c>
      <c r="P318" s="1102">
        <f t="shared" si="64"/>
        <v>0</v>
      </c>
      <c r="Q318" s="1102">
        <f t="shared" si="64"/>
        <v>0</v>
      </c>
      <c r="R318" s="1102">
        <f t="shared" si="64"/>
        <v>0</v>
      </c>
      <c r="S318" s="1102">
        <f t="shared" si="64"/>
        <v>0</v>
      </c>
      <c r="T318" s="1102">
        <f t="shared" si="64"/>
        <v>0</v>
      </c>
      <c r="U318" s="1102">
        <f t="shared" si="64"/>
        <v>0</v>
      </c>
      <c r="V318" s="1102">
        <f t="shared" si="64"/>
        <v>0</v>
      </c>
      <c r="W318" s="1096">
        <f t="shared" si="59"/>
        <v>0</v>
      </c>
      <c r="X318" s="238">
        <f t="shared" si="60"/>
        <v>0</v>
      </c>
      <c r="Y318" s="633"/>
      <c r="Z318" s="1095"/>
    </row>
    <row r="319" spans="1:26" s="816" customFormat="1">
      <c r="A319" s="662" t="s">
        <v>5259</v>
      </c>
      <c r="B319" s="736" t="s">
        <v>3694</v>
      </c>
      <c r="C319" s="737" t="str">
        <f ca="1">IF(AND(hp_ok_1,build1_need_cool),build1_zones,"NA")</f>
        <v>NA</v>
      </c>
      <c r="D319" s="472" t="str">
        <f ca="1">IF(C319="NA","","zones")</f>
        <v/>
      </c>
      <c r="E319" s="741" t="str">
        <f ca="1">IF(C319="NA","NA",build1_cooling_tons)</f>
        <v>NA</v>
      </c>
      <c r="F319" s="335" t="str">
        <f ca="1">IF(C319="NA","","tons")</f>
        <v/>
      </c>
      <c r="G319" s="741" t="str">
        <f ca="1">IF(C319="NA","NA",IF(curve=1,build1_cooling_tons,VLOOKUP(build1_cooling_tons,hvac_hp_cost_cl,2)))</f>
        <v>NA</v>
      </c>
      <c r="H319" s="335" t="str">
        <f ca="1">IF(C319="NA","","tons")</f>
        <v/>
      </c>
      <c r="I319" s="740" t="str">
        <f ca="1">IF(C319="NA","NA",IF(curve=1,hvac_hp_eq_1,VLOOKUP(build1_cooling_tons,hvac_hp_cost_cl,3)))</f>
        <v>NA</v>
      </c>
      <c r="J319" s="492" t="str">
        <f ca="1">IF(OR(I319="NA",I319="contact vendor"),"--",C319*I319)</f>
        <v>--</v>
      </c>
      <c r="K319" s="486" t="str">
        <f ca="1">IF(C319="NA","NA",VLOOKUP(build1_cooling_tons,hvac_hp_cost_cl,IF(ss_cat="large",4,5)))</f>
        <v>NA</v>
      </c>
      <c r="L319" s="491"/>
      <c r="M319" s="898" t="str">
        <f ca="1">B305&amp;" - "&amp;B306&amp;" - "&amp;B317&amp;" - "&amp;B319</f>
        <v>Building Structures and HVAC - Building 1 - Cooling System - Heat pump</v>
      </c>
      <c r="N319" s="1102">
        <f t="shared" si="64"/>
        <v>0</v>
      </c>
      <c r="O319" s="1102">
        <f t="shared" si="64"/>
        <v>0</v>
      </c>
      <c r="P319" s="1102">
        <f t="shared" si="64"/>
        <v>0</v>
      </c>
      <c r="Q319" s="1102">
        <f t="shared" si="64"/>
        <v>0</v>
      </c>
      <c r="R319" s="1102">
        <f t="shared" si="64"/>
        <v>0</v>
      </c>
      <c r="S319" s="1102">
        <f t="shared" si="64"/>
        <v>0</v>
      </c>
      <c r="T319" s="1102">
        <f t="shared" si="64"/>
        <v>0</v>
      </c>
      <c r="U319" s="1102">
        <f t="shared" si="64"/>
        <v>0</v>
      </c>
      <c r="V319" s="1102">
        <f t="shared" si="64"/>
        <v>0</v>
      </c>
      <c r="W319" s="1096">
        <f t="shared" ca="1" si="59"/>
        <v>0</v>
      </c>
      <c r="X319" s="238">
        <f t="shared" ca="1" si="60"/>
        <v>0</v>
      </c>
      <c r="Y319" s="633"/>
      <c r="Z319" s="1095"/>
    </row>
    <row r="320" spans="1:26" s="816" customFormat="1">
      <c r="A320" s="731">
        <v>11.2</v>
      </c>
      <c r="B320" s="732" t="s">
        <v>1629</v>
      </c>
      <c r="C320" s="579"/>
      <c r="D320" s="341"/>
      <c r="E320" s="579"/>
      <c r="F320" s="340"/>
      <c r="G320" s="579"/>
      <c r="H320" s="340"/>
      <c r="I320" s="579"/>
      <c r="J320" s="579"/>
      <c r="K320" s="579"/>
      <c r="L320" s="735"/>
      <c r="M320" s="238"/>
      <c r="N320" s="633"/>
      <c r="O320" s="633"/>
      <c r="P320" s="633"/>
      <c r="Q320" s="633"/>
      <c r="R320" s="633"/>
      <c r="S320" s="633"/>
      <c r="T320" s="633"/>
      <c r="U320" s="633"/>
      <c r="V320" s="633"/>
      <c r="W320" s="1096">
        <f t="shared" ref="W320:W351" si="65">IF(ISERROR(K320*L320),0,IF(K320&lt;1,0,L320))</f>
        <v>0</v>
      </c>
      <c r="X320" s="238">
        <f t="shared" ref="X320:X351" si="66">IF(W320,J320/K320,0)</f>
        <v>0</v>
      </c>
      <c r="Y320" s="633"/>
      <c r="Z320" s="1095"/>
    </row>
    <row r="321" spans="1:26" s="816" customFormat="1">
      <c r="A321" s="662" t="s">
        <v>3221</v>
      </c>
      <c r="B321" s="736" t="s">
        <v>4947</v>
      </c>
      <c r="C321" s="737">
        <f ca="1">IF(AND(build2_fp&gt;0,build2_fp&lt;500),1,0)</f>
        <v>0</v>
      </c>
      <c r="D321" s="476" t="s">
        <v>2192</v>
      </c>
      <c r="E321" s="503">
        <f ca="1">build2_fp</f>
        <v>13130</v>
      </c>
      <c r="F321" s="335" t="s">
        <v>3746</v>
      </c>
      <c r="G321" s="503">
        <f ca="1">build2_fp</f>
        <v>13130</v>
      </c>
      <c r="H321" s="335" t="s">
        <v>3746</v>
      </c>
      <c r="I321" s="739" t="str">
        <f ca="1">IF(C321=0,"NA",VLOOKUP(build2_fp,bldg_shed_cost_cl,3))</f>
        <v>NA</v>
      </c>
      <c r="J321" s="492" t="str">
        <f ca="1">IF(OR(I321="NA",I321="contact vendor"),"--",G321*I321)</f>
        <v>--</v>
      </c>
      <c r="K321" s="486" t="str">
        <f ca="1">IF($C321=0,"N/A",VLOOKUP(build2_fp,bldg_shed_cost_cl,IF(ss_cat="large",4,5)))</f>
        <v>N/A</v>
      </c>
      <c r="L321" s="491"/>
      <c r="M321" s="898" t="str">
        <f>B305&amp;" - "&amp;B320&amp;" - "&amp;B321</f>
        <v>Building Structures and HVAC - Building 2 - Small Low Cost Shed</v>
      </c>
      <c r="N321" s="1102">
        <f t="shared" ref="N321:V321" si="67">IF(include_buildings=1,2,0)</f>
        <v>0</v>
      </c>
      <c r="O321" s="1102">
        <f t="shared" si="67"/>
        <v>0</v>
      </c>
      <c r="P321" s="1102">
        <f t="shared" si="67"/>
        <v>0</v>
      </c>
      <c r="Q321" s="1102">
        <f t="shared" si="67"/>
        <v>0</v>
      </c>
      <c r="R321" s="1102">
        <f t="shared" si="67"/>
        <v>0</v>
      </c>
      <c r="S321" s="1102">
        <f t="shared" si="67"/>
        <v>0</v>
      </c>
      <c r="T321" s="1102">
        <f t="shared" si="67"/>
        <v>0</v>
      </c>
      <c r="U321" s="1102">
        <f t="shared" si="67"/>
        <v>0</v>
      </c>
      <c r="V321" s="1102">
        <f t="shared" si="67"/>
        <v>0</v>
      </c>
      <c r="W321" s="1096">
        <f t="shared" ca="1" si="65"/>
        <v>0</v>
      </c>
      <c r="X321" s="238">
        <f t="shared" ca="1" si="66"/>
        <v>0</v>
      </c>
      <c r="Y321" s="633">
        <f ca="1">IF(W321,K321,0)</f>
        <v>0</v>
      </c>
      <c r="Z321" s="1095"/>
    </row>
    <row r="322" spans="1:26" s="816" customFormat="1">
      <c r="A322" s="662" t="s">
        <v>3221</v>
      </c>
      <c r="B322" s="736" t="s">
        <v>4948</v>
      </c>
      <c r="C322" s="737">
        <f ca="1">IF(build2_fp&gt;=500,1,0)</f>
        <v>1</v>
      </c>
      <c r="D322" s="476" t="s">
        <v>2192</v>
      </c>
      <c r="E322" s="503">
        <f ca="1">build2_fp</f>
        <v>13130</v>
      </c>
      <c r="F322" s="335" t="s">
        <v>3746</v>
      </c>
      <c r="G322" s="503">
        <f ca="1">build2_fp</f>
        <v>13130</v>
      </c>
      <c r="H322" s="335" t="s">
        <v>3746</v>
      </c>
      <c r="I322" s="739">
        <f ca="1">IF(C322=0,"NA",IF(curve=1,bldg_lo_eq_2,VLOOKUP(build2_fp, bldg_lo_cost_cl,3)))</f>
        <v>66.378313534228965</v>
      </c>
      <c r="J322" s="492">
        <f t="shared" ref="J322:J324" ca="1" si="68">IF(OR(I322="NA",I322="contact vendor"),"--",G322*I322)</f>
        <v>871547.25670442637</v>
      </c>
      <c r="K322" s="486">
        <f ca="1">IF($C322=0,"N/A",VLOOKUP(build2_fp,bldg_lo_cost_cl,IF(ss_cat="large",4,5)))</f>
        <v>40</v>
      </c>
      <c r="L322" s="491">
        <v>0</v>
      </c>
      <c r="M322" s="898" t="str">
        <f>B305&amp;" - "&amp;B320&amp;" - "&amp;B322</f>
        <v>Building Structures and HVAC - Building 2 - Low Quality</v>
      </c>
      <c r="N322" s="1102">
        <f>include_buildings</f>
        <v>0</v>
      </c>
      <c r="O322" s="1102"/>
      <c r="P322" s="1102"/>
      <c r="Q322" s="1102">
        <f>include_buildings</f>
        <v>0</v>
      </c>
      <c r="R322" s="1102"/>
      <c r="S322" s="1103"/>
      <c r="T322" s="1102">
        <f>include_buildings</f>
        <v>0</v>
      </c>
      <c r="U322" s="1103"/>
      <c r="V322" s="1102"/>
      <c r="W322" s="1096">
        <f t="shared" ca="1" si="65"/>
        <v>0</v>
      </c>
      <c r="X322" s="238">
        <f t="shared" ca="1" si="66"/>
        <v>0</v>
      </c>
      <c r="Y322" s="633">
        <f ca="1">IF(W322,K322,0)</f>
        <v>0</v>
      </c>
      <c r="Z322" s="1095"/>
    </row>
    <row r="323" spans="1:26" s="816" customFormat="1">
      <c r="A323" s="662" t="s">
        <v>3221</v>
      </c>
      <c r="B323" s="736" t="s">
        <v>4949</v>
      </c>
      <c r="C323" s="737">
        <f ca="1">IF(build2_fp&gt;=500,1,0)</f>
        <v>1</v>
      </c>
      <c r="D323" s="476" t="s">
        <v>2192</v>
      </c>
      <c r="E323" s="503">
        <f ca="1">build2_fp</f>
        <v>13130</v>
      </c>
      <c r="F323" s="335" t="s">
        <v>3746</v>
      </c>
      <c r="G323" s="503">
        <f ca="1">build2_fp</f>
        <v>13130</v>
      </c>
      <c r="H323" s="335" t="s">
        <v>3746</v>
      </c>
      <c r="I323" s="739">
        <f ca="1">IF(C323=0,"NA",IF(curve=1,bldg_mid_eq_2,VLOOKUP(build2_fp, bldg_mid_cost_cl,3)))</f>
        <v>79.496857484729517</v>
      </c>
      <c r="J323" s="492">
        <f t="shared" ca="1" si="68"/>
        <v>1043793.7387744986</v>
      </c>
      <c r="K323" s="486">
        <f ca="1">IF($C323=0,"N/A",VLOOKUP(build2_fp,bldg_mid_cost_cl,IF(ss_cat="large",4,5)))</f>
        <v>40</v>
      </c>
      <c r="L323" s="491">
        <v>0</v>
      </c>
      <c r="M323" s="898" t="str">
        <f>B305&amp;" - "&amp;B320&amp;" - "&amp;B323</f>
        <v>Building Structures and HVAC - Building 2 - Medium Quality</v>
      </c>
      <c r="N323" s="1102"/>
      <c r="O323" s="1102">
        <f>include_buildings</f>
        <v>0</v>
      </c>
      <c r="P323" s="1102"/>
      <c r="Q323" s="1102"/>
      <c r="R323" s="1102">
        <f>include_buildings</f>
        <v>0</v>
      </c>
      <c r="S323" s="1103"/>
      <c r="T323" s="1103"/>
      <c r="U323" s="1102">
        <f>include_buildings</f>
        <v>0</v>
      </c>
      <c r="V323" s="1102"/>
      <c r="W323" s="1096">
        <f t="shared" ca="1" si="65"/>
        <v>0</v>
      </c>
      <c r="X323" s="238">
        <f t="shared" ca="1" si="66"/>
        <v>0</v>
      </c>
      <c r="Y323" s="633">
        <f ca="1">IF(W323,K323,0)</f>
        <v>0</v>
      </c>
      <c r="Z323" s="1095"/>
    </row>
    <row r="324" spans="1:26" s="816" customFormat="1">
      <c r="A324" s="662" t="s">
        <v>3221</v>
      </c>
      <c r="B324" s="736" t="s">
        <v>4950</v>
      </c>
      <c r="C324" s="737">
        <f ca="1">IF(build2_fp&gt;=500,1,0)</f>
        <v>1</v>
      </c>
      <c r="D324" s="476" t="s">
        <v>2192</v>
      </c>
      <c r="E324" s="503">
        <f ca="1">build2_fp</f>
        <v>13130</v>
      </c>
      <c r="F324" s="335" t="s">
        <v>3746</v>
      </c>
      <c r="G324" s="503">
        <f ca="1">build2_fp</f>
        <v>13130</v>
      </c>
      <c r="H324" s="335" t="s">
        <v>3746</v>
      </c>
      <c r="I324" s="739">
        <f ca="1">IF(C324=0,"NA",IF(curve=1,bldg_hi_eq_2,VLOOKUP(build2_fp, bldg_hi_cost_cl,3)))</f>
        <v>103.49886618707968</v>
      </c>
      <c r="J324" s="492">
        <f t="shared" ca="1" si="68"/>
        <v>1358940.1130363562</v>
      </c>
      <c r="K324" s="486">
        <f ca="1">IF($C324=0,"N/A",VLOOKUP(build2_fp,bldg_hi_cost_cl,IF(ss_cat="large",4,5)))</f>
        <v>40</v>
      </c>
      <c r="L324" s="491">
        <v>0</v>
      </c>
      <c r="M324" s="898" t="str">
        <f>B305&amp;" - "&amp;B320&amp;" - "&amp;B324</f>
        <v>Building Structures and HVAC - Building 2 - High Quality</v>
      </c>
      <c r="N324" s="1102"/>
      <c r="O324" s="1102"/>
      <c r="P324" s="1102">
        <f>include_buildings</f>
        <v>0</v>
      </c>
      <c r="Q324" s="1102"/>
      <c r="R324" s="1102"/>
      <c r="S324" s="1102">
        <f>include_buildings</f>
        <v>0</v>
      </c>
      <c r="T324" s="1103"/>
      <c r="U324" s="1103"/>
      <c r="V324" s="1102">
        <f>include_buildings</f>
        <v>0</v>
      </c>
      <c r="W324" s="1096">
        <f t="shared" ca="1" si="65"/>
        <v>0</v>
      </c>
      <c r="X324" s="238">
        <f t="shared" ca="1" si="66"/>
        <v>0</v>
      </c>
      <c r="Y324" s="633">
        <f ca="1">IF(W324,K324,0)</f>
        <v>0</v>
      </c>
      <c r="Z324" s="1095"/>
    </row>
    <row r="325" spans="1:26" s="816" customFormat="1">
      <c r="A325" s="731" t="s">
        <v>3222</v>
      </c>
      <c r="B325" s="784" t="str">
        <f ca="1">"Heating System"&amp;IF(build2_heat="heat pump"," (included with cooling system)","")</f>
        <v>Heating System</v>
      </c>
      <c r="C325" s="579"/>
      <c r="D325" s="341"/>
      <c r="E325" s="579"/>
      <c r="F325" s="340"/>
      <c r="G325" s="579"/>
      <c r="H325" s="340"/>
      <c r="I325" s="579"/>
      <c r="J325" s="579"/>
      <c r="K325" s="579"/>
      <c r="L325" s="735"/>
      <c r="M325" s="238"/>
      <c r="N325" s="633"/>
      <c r="O325" s="633"/>
      <c r="P325" s="633"/>
      <c r="Q325" s="633"/>
      <c r="R325" s="633"/>
      <c r="S325" s="633"/>
      <c r="T325" s="633"/>
      <c r="U325" s="633"/>
      <c r="V325" s="633"/>
      <c r="W325" s="1096">
        <f t="shared" si="65"/>
        <v>0</v>
      </c>
      <c r="X325" s="238">
        <f t="shared" si="66"/>
        <v>0</v>
      </c>
      <c r="Y325" s="633"/>
      <c r="Z325" s="1095"/>
    </row>
    <row r="326" spans="1:26" s="816" customFormat="1">
      <c r="A326" s="662" t="s">
        <v>5260</v>
      </c>
      <c r="B326" s="736" t="s">
        <v>3695</v>
      </c>
      <c r="C326" s="737" t="str">
        <f ca="1">IF(build2_heat="heat pump","NA",IF(build2_need_heat,build2_zones,"NA"))</f>
        <v>NA</v>
      </c>
      <c r="D326" s="472" t="str">
        <f ca="1">IF(C326="NA","","zones")</f>
        <v/>
      </c>
      <c r="E326" s="503" t="str">
        <f ca="1">IF(C326="NA","NA",build2_heat_mbh)</f>
        <v>NA</v>
      </c>
      <c r="F326" s="335" t="str">
        <f ca="1">IF(C326="NA","","MBH")</f>
        <v/>
      </c>
      <c r="G326" s="503" t="str">
        <f ca="1">IF(C326="NA","NA",IF(curve=1,build2_heat_mbh,VLOOKUP(build2_heat_mbh,hvac_elec_cost_cl,2)))</f>
        <v>NA</v>
      </c>
      <c r="H326" s="335" t="str">
        <f ca="1">IF(C326="NA","","MBH")</f>
        <v/>
      </c>
      <c r="I326" s="740" t="str">
        <f ca="1">IF(C326="NA","NA",IF(curve=1,hvac_elec_eq_2,VLOOKUP(build2_heat_mbh,hvac_elec_cost_cl,3)))</f>
        <v>NA</v>
      </c>
      <c r="J326" s="492" t="str">
        <f ca="1">IF(OR(I326="NA",I326="contact vendor"),"--",C326*I326)</f>
        <v>--</v>
      </c>
      <c r="K326" s="486" t="str">
        <f ca="1">IF(C326="NA","NA",VLOOKUP(build2_heat_mbh,hvac_elec_cost_cl,IF(ss_cat="large",4,5)))</f>
        <v>NA</v>
      </c>
      <c r="L326" s="491"/>
      <c r="M326" s="898" t="str">
        <f ca="1">B305&amp;" - "&amp;B320&amp;" - "&amp;B325&amp;" - "&amp;B326</f>
        <v>Building Structures and HVAC - Building 2 - Heating System - Electric resistance</v>
      </c>
      <c r="N326" s="1102">
        <f t="shared" ref="N326:V330" si="69">IF(include_HVAC=0,0,IF(build2_heat="heat pump",0,IF(build2_heat=$B326,1,"")))</f>
        <v>0</v>
      </c>
      <c r="O326" s="1102">
        <f t="shared" si="69"/>
        <v>0</v>
      </c>
      <c r="P326" s="1102">
        <f t="shared" si="69"/>
        <v>0</v>
      </c>
      <c r="Q326" s="1102">
        <f t="shared" si="69"/>
        <v>0</v>
      </c>
      <c r="R326" s="1102">
        <f t="shared" si="69"/>
        <v>0</v>
      </c>
      <c r="S326" s="1102">
        <f t="shared" si="69"/>
        <v>0</v>
      </c>
      <c r="T326" s="1102">
        <f t="shared" si="69"/>
        <v>0</v>
      </c>
      <c r="U326" s="1102">
        <f t="shared" si="69"/>
        <v>0</v>
      </c>
      <c r="V326" s="1102">
        <f t="shared" si="69"/>
        <v>0</v>
      </c>
      <c r="W326" s="1096">
        <f t="shared" ca="1" si="65"/>
        <v>0</v>
      </c>
      <c r="X326" s="238">
        <f t="shared" ca="1" si="66"/>
        <v>0</v>
      </c>
      <c r="Y326" s="633"/>
      <c r="Z326" s="1095"/>
    </row>
    <row r="327" spans="1:26" s="816" customFormat="1">
      <c r="A327" s="662" t="s">
        <v>5260</v>
      </c>
      <c r="B327" s="736" t="s">
        <v>3696</v>
      </c>
      <c r="C327" s="737" t="str">
        <f ca="1">IF(build2_heat="heat pump","NA",IF(build2_need_heat,build2_zones,"NA"))</f>
        <v>NA</v>
      </c>
      <c r="D327" s="472" t="str">
        <f ca="1">IF(C327="NA","","zones")</f>
        <v/>
      </c>
      <c r="E327" s="503" t="str">
        <f ca="1">IF(C327="NA","NA",build2_heat_mbh)</f>
        <v>NA</v>
      </c>
      <c r="F327" s="335" t="str">
        <f ca="1">IF(C327="NA","","MBH")</f>
        <v/>
      </c>
      <c r="G327" s="503" t="str">
        <f ca="1">IF(C327="NA","NA",IF(curve=1,build2_heat_mbh,VLOOKUP(build2_heat_mbh,hvac_gas_non_cost_cl,2)))</f>
        <v>NA</v>
      </c>
      <c r="H327" s="335" t="str">
        <f ca="1">IF(C327="NA","","MBH")</f>
        <v/>
      </c>
      <c r="I327" s="740" t="str">
        <f ca="1">IF(C327="NA","NA",IF(curve=1,hvac_gas_non_eq_2,VLOOKUP(build2_heat_mbh,hvac_gas_non_cost_cl,3)))</f>
        <v>NA</v>
      </c>
      <c r="J327" s="492" t="str">
        <f ca="1">IF(OR(I327="NA",I327="contact vendor"),"--",C327*I327)</f>
        <v>--</v>
      </c>
      <c r="K327" s="486" t="str">
        <f ca="1">IF(C327="NA","NA",VLOOKUP(build2_heat_mbh,hvac_gas_non_cost_cl,IF(ss_cat="large",4,5)))</f>
        <v>NA</v>
      </c>
      <c r="L327" s="491"/>
      <c r="M327" s="898" t="str">
        <f ca="1">B305&amp;" - "&amp;B320&amp;" - "&amp;B325&amp;" - "&amp;B327</f>
        <v>Building Structures and HVAC - Building 2 - Heating System - Natural gas non-condensing furnace</v>
      </c>
      <c r="N327" s="1102">
        <f t="shared" si="69"/>
        <v>0</v>
      </c>
      <c r="O327" s="1102">
        <f t="shared" si="69"/>
        <v>0</v>
      </c>
      <c r="P327" s="1102">
        <f t="shared" si="69"/>
        <v>0</v>
      </c>
      <c r="Q327" s="1102">
        <f t="shared" si="69"/>
        <v>0</v>
      </c>
      <c r="R327" s="1102">
        <f t="shared" si="69"/>
        <v>0</v>
      </c>
      <c r="S327" s="1102">
        <f t="shared" si="69"/>
        <v>0</v>
      </c>
      <c r="T327" s="1102">
        <f t="shared" si="69"/>
        <v>0</v>
      </c>
      <c r="U327" s="1102">
        <f t="shared" si="69"/>
        <v>0</v>
      </c>
      <c r="V327" s="1102">
        <f t="shared" si="69"/>
        <v>0</v>
      </c>
      <c r="W327" s="1096">
        <f t="shared" ca="1" si="65"/>
        <v>0</v>
      </c>
      <c r="X327" s="238">
        <f t="shared" ca="1" si="66"/>
        <v>0</v>
      </c>
      <c r="Y327" s="633"/>
      <c r="Z327" s="1095"/>
    </row>
    <row r="328" spans="1:26" s="816" customFormat="1">
      <c r="A328" s="662" t="s">
        <v>5260</v>
      </c>
      <c r="B328" s="736" t="s">
        <v>3635</v>
      </c>
      <c r="C328" s="737" t="str">
        <f ca="1">IF(build2_heat="heat pump","NA",IF(build2_need_heat,build2_zones,"NA"))</f>
        <v>NA</v>
      </c>
      <c r="D328" s="472" t="str">
        <f ca="1">IF(C328="NA","","zones")</f>
        <v/>
      </c>
      <c r="E328" s="503" t="str">
        <f ca="1">IF(C328="NA","NA",build2_heat_mbh)</f>
        <v>NA</v>
      </c>
      <c r="F328" s="335" t="str">
        <f ca="1">IF(C328="NA","","MBH")</f>
        <v/>
      </c>
      <c r="G328" s="503" t="str">
        <f ca="1">IF(C328="NA","NA",IF(curve=1,build2_heat_mbh,VLOOKUP(build2_heat_mbh,hvac_gas_cost_cl,2)))</f>
        <v>NA</v>
      </c>
      <c r="H328" s="335" t="str">
        <f ca="1">IF(C328="NA","","MBH")</f>
        <v/>
      </c>
      <c r="I328" s="740" t="str">
        <f ca="1">IF(C328="NA","NA",IF(curve=1,hvac_gas_eq_2,VLOOKUP(build2_heat_mbh,hvac_gas_cost_cl,3)))</f>
        <v>NA</v>
      </c>
      <c r="J328" s="492" t="str">
        <f ca="1">IF(OR(I328="NA",I328="contact vendor"),"--",C328*I328)</f>
        <v>--</v>
      </c>
      <c r="K328" s="486" t="str">
        <f ca="1">IF(C328="NA","NA",VLOOKUP(build2_heat_mbh,hvac_gas_cost_cl,IF(ss_cat="large",4,5)))</f>
        <v>NA</v>
      </c>
      <c r="L328" s="491"/>
      <c r="M328" s="898" t="str">
        <f ca="1">B305&amp;" - "&amp;B320&amp;" - "&amp;B325&amp;" - "&amp;B328</f>
        <v>Building Structures and HVAC - Building 2 - Heating System - Natural gas condensing furnace</v>
      </c>
      <c r="N328" s="1102">
        <f t="shared" si="69"/>
        <v>0</v>
      </c>
      <c r="O328" s="1102">
        <f t="shared" si="69"/>
        <v>0</v>
      </c>
      <c r="P328" s="1102">
        <f t="shared" si="69"/>
        <v>0</v>
      </c>
      <c r="Q328" s="1102">
        <f t="shared" si="69"/>
        <v>0</v>
      </c>
      <c r="R328" s="1102">
        <f t="shared" si="69"/>
        <v>0</v>
      </c>
      <c r="S328" s="1102">
        <f t="shared" si="69"/>
        <v>0</v>
      </c>
      <c r="T328" s="1102">
        <f t="shared" si="69"/>
        <v>0</v>
      </c>
      <c r="U328" s="1102">
        <f t="shared" si="69"/>
        <v>0</v>
      </c>
      <c r="V328" s="1102">
        <f t="shared" si="69"/>
        <v>0</v>
      </c>
      <c r="W328" s="1096">
        <f t="shared" ca="1" si="65"/>
        <v>0</v>
      </c>
      <c r="X328" s="238">
        <f t="shared" ca="1" si="66"/>
        <v>0</v>
      </c>
      <c r="Y328" s="633"/>
      <c r="Z328" s="1095"/>
    </row>
    <row r="329" spans="1:26" s="816" customFormat="1">
      <c r="A329" s="662" t="s">
        <v>5260</v>
      </c>
      <c r="B329" s="736" t="s">
        <v>2161</v>
      </c>
      <c r="C329" s="737" t="str">
        <f ca="1">IF(build2_heat="heat pump","NA",IF(build2_need_heat,build2_zones,"NA"))</f>
        <v>NA</v>
      </c>
      <c r="D329" s="472" t="str">
        <f ca="1">IF(C329="NA","","zones")</f>
        <v/>
      </c>
      <c r="E329" s="503" t="str">
        <f ca="1">IF(C329="NA","NA",build2_heat_mbh)</f>
        <v>NA</v>
      </c>
      <c r="F329" s="335" t="str">
        <f ca="1">IF(C329="NA","","MBH")</f>
        <v/>
      </c>
      <c r="G329" s="503" t="str">
        <f ca="1">IF(C329="NA","NA",IF(curve=1,build2_heat_mbh,VLOOKUP(E329,hvac_oil_std_cost_cl,2)))</f>
        <v>NA</v>
      </c>
      <c r="H329" s="335" t="str">
        <f ca="1">IF(C329="NA","","MBH")</f>
        <v/>
      </c>
      <c r="I329" s="740" t="str">
        <f ca="1">IF(C329="NA","NA",IF(curve=1,hvac_oil_std_eq_2,VLOOKUP(build2_heat_mbh,hvac_oil_std_cost_cl,3)))</f>
        <v>NA</v>
      </c>
      <c r="J329" s="492" t="str">
        <f ca="1">IF(OR(I329="NA",I329="contact vendor"),"--",C329*I329)</f>
        <v>--</v>
      </c>
      <c r="K329" s="486" t="str">
        <f ca="1">IF(C329="NA","NA",VLOOKUP(build2_heat_mbh,hvac_oil_std_cost_cl,IF(ss_cat="large",4,5)))</f>
        <v>NA</v>
      </c>
      <c r="L329" s="491"/>
      <c r="M329" s="898" t="str">
        <f ca="1">B305&amp;" - "&amp;B320&amp;" - "&amp;B325&amp;" - "&amp;B329</f>
        <v>Building Structures and HVAC - Building 2 - Heating System - Standard efficiency oil furnace</v>
      </c>
      <c r="N329" s="1102">
        <f t="shared" si="69"/>
        <v>0</v>
      </c>
      <c r="O329" s="1102">
        <f t="shared" si="69"/>
        <v>0</v>
      </c>
      <c r="P329" s="1102">
        <f t="shared" si="69"/>
        <v>0</v>
      </c>
      <c r="Q329" s="1102">
        <f t="shared" si="69"/>
        <v>0</v>
      </c>
      <c r="R329" s="1102">
        <f t="shared" si="69"/>
        <v>0</v>
      </c>
      <c r="S329" s="1102">
        <f t="shared" si="69"/>
        <v>0</v>
      </c>
      <c r="T329" s="1102">
        <f t="shared" si="69"/>
        <v>0</v>
      </c>
      <c r="U329" s="1102">
        <f t="shared" si="69"/>
        <v>0</v>
      </c>
      <c r="V329" s="1102">
        <f t="shared" si="69"/>
        <v>0</v>
      </c>
      <c r="W329" s="1096">
        <f t="shared" ca="1" si="65"/>
        <v>0</v>
      </c>
      <c r="X329" s="238">
        <f t="shared" ca="1" si="66"/>
        <v>0</v>
      </c>
      <c r="Y329" s="633"/>
      <c r="Z329" s="1095"/>
    </row>
    <row r="330" spans="1:26" s="816" customFormat="1">
      <c r="A330" s="662" t="s">
        <v>5260</v>
      </c>
      <c r="B330" s="736" t="s">
        <v>2162</v>
      </c>
      <c r="C330" s="737" t="str">
        <f ca="1">IF(build2_heat="heat pump","NA",IF(build2_need_heat,build2_zones,"NA"))</f>
        <v>NA</v>
      </c>
      <c r="D330" s="472" t="str">
        <f ca="1">IF(C330="NA","","zones")</f>
        <v/>
      </c>
      <c r="E330" s="503" t="str">
        <f ca="1">IF(C330="NA","NA",build2_heat_mbh)</f>
        <v>NA</v>
      </c>
      <c r="F330" s="335" t="str">
        <f ca="1">IF(C330="NA","","MBH")</f>
        <v/>
      </c>
      <c r="G330" s="503" t="str">
        <f ca="1">IF(C330="NA","NA",IF(curve=1,build2_heat_mbh,VLOOKUP(build2_heat_mbh,hvac_oil_mid_cost_cl,2)))</f>
        <v>NA</v>
      </c>
      <c r="H330" s="335" t="str">
        <f ca="1">IF(C330="NA","","MBH")</f>
        <v/>
      </c>
      <c r="I330" s="740" t="str">
        <f ca="1">IF(C330="NA","NA",IF(curve=1,hvac_oil_mid_eq_2,VLOOKUP(build2_heat_mbh,hvac_oil_mid_cost_cl,3)))</f>
        <v>NA</v>
      </c>
      <c r="J330" s="492" t="str">
        <f ca="1">IF(OR(I330="NA",I330="contact vendor"),"--",C330*I330)</f>
        <v>--</v>
      </c>
      <c r="K330" s="486" t="str">
        <f ca="1">IF(C330="NA","NA",VLOOKUP(build2_heat_mbh,hvac_oil_mid_cost_cl,IF(ss_cat="large",4,5)))</f>
        <v>NA</v>
      </c>
      <c r="L330" s="491"/>
      <c r="M330" s="898" t="str">
        <f ca="1">B305&amp;" - "&amp;B320&amp;" - "&amp;B325&amp;" - "&amp;B330</f>
        <v>Building Structures and HVAC - Building 2 - Heating System - Mid-efficiency oil furnace</v>
      </c>
      <c r="N330" s="1102">
        <f t="shared" si="69"/>
        <v>0</v>
      </c>
      <c r="O330" s="1102">
        <f t="shared" si="69"/>
        <v>0</v>
      </c>
      <c r="P330" s="1102">
        <f t="shared" si="69"/>
        <v>0</v>
      </c>
      <c r="Q330" s="1102">
        <f t="shared" si="69"/>
        <v>0</v>
      </c>
      <c r="R330" s="1102">
        <f t="shared" si="69"/>
        <v>0</v>
      </c>
      <c r="S330" s="1102">
        <f t="shared" si="69"/>
        <v>0</v>
      </c>
      <c r="T330" s="1102">
        <f t="shared" si="69"/>
        <v>0</v>
      </c>
      <c r="U330" s="1102">
        <f t="shared" si="69"/>
        <v>0</v>
      </c>
      <c r="V330" s="1102">
        <f t="shared" si="69"/>
        <v>0</v>
      </c>
      <c r="W330" s="1096">
        <f t="shared" ca="1" si="65"/>
        <v>0</v>
      </c>
      <c r="X330" s="238">
        <f t="shared" ca="1" si="66"/>
        <v>0</v>
      </c>
      <c r="Y330" s="633"/>
      <c r="Z330" s="1095"/>
    </row>
    <row r="331" spans="1:26" s="816" customFormat="1">
      <c r="A331" s="731" t="s">
        <v>3223</v>
      </c>
      <c r="B331" s="785" t="str">
        <f ca="1">IF(build2_heat="heat pump","Heating and ","")&amp;"Cooling System"</f>
        <v>Cooling System</v>
      </c>
      <c r="C331" s="579"/>
      <c r="D331" s="341"/>
      <c r="E331" s="579"/>
      <c r="F331" s="340"/>
      <c r="G331" s="579"/>
      <c r="H331" s="340"/>
      <c r="I331" s="579"/>
      <c r="J331" s="579"/>
      <c r="K331" s="579"/>
      <c r="L331" s="735"/>
      <c r="M331" s="238"/>
      <c r="N331" s="633"/>
      <c r="O331" s="633"/>
      <c r="P331" s="633"/>
      <c r="Q331" s="633"/>
      <c r="R331" s="633"/>
      <c r="S331" s="633"/>
      <c r="T331" s="633"/>
      <c r="U331" s="633"/>
      <c r="V331" s="633"/>
      <c r="W331" s="1096">
        <f t="shared" si="65"/>
        <v>0</v>
      </c>
      <c r="X331" s="238">
        <f t="shared" si="66"/>
        <v>0</v>
      </c>
      <c r="Y331" s="633"/>
      <c r="Z331" s="1095"/>
    </row>
    <row r="332" spans="1:26" s="816" customFormat="1">
      <c r="A332" s="662" t="s">
        <v>5261</v>
      </c>
      <c r="B332" s="736" t="s">
        <v>4807</v>
      </c>
      <c r="C332" s="737" t="str">
        <f ca="1">IF(build2_need_cool,build2_zones,"NA")</f>
        <v>NA</v>
      </c>
      <c r="D332" s="472" t="str">
        <f ca="1">IF(C332="NA","","zones")</f>
        <v/>
      </c>
      <c r="E332" s="741" t="str">
        <f ca="1">IF(C332="NA","NA",build2_cooling_tons)</f>
        <v>NA</v>
      </c>
      <c r="F332" s="335" t="str">
        <f ca="1">IF(C332="NA","","tons")</f>
        <v/>
      </c>
      <c r="G332" s="741" t="str">
        <f ca="1">IF(C332="NA","NA",IF(curve=1,build2_cooling_tons,VLOOKUP(build2_cooling_tons,hvac_ac_cost_cl,2)))</f>
        <v>NA</v>
      </c>
      <c r="H332" s="335" t="str">
        <f ca="1">IF(C332="NA","","tons")</f>
        <v/>
      </c>
      <c r="I332" s="740" t="str">
        <f ca="1">IF(C332="NA","NA",IF(curve=1,hvac_ac_eq_2,VLOOKUP(build2_cooling_tons,hvac_ac_cost_cl,3)))</f>
        <v>NA</v>
      </c>
      <c r="J332" s="492" t="str">
        <f ca="1">IF(OR(I332="NA",I332="contact vendor"),"--",C332*I332)</f>
        <v>--</v>
      </c>
      <c r="K332" s="486" t="str">
        <f ca="1">IF(C332="NA","NA",VLOOKUP(build2_cooling_tons,hvac_ac_cost_cl,IF(ss_cat="large",4,5)))</f>
        <v>NA</v>
      </c>
      <c r="L332" s="491"/>
      <c r="M332" s="898" t="str">
        <f ca="1">B305&amp;" - "&amp;B320&amp;" - "&amp;B331&amp;" - "&amp;B332</f>
        <v>Building Structures and HVAC - Building 2 - Cooling System - Air conditioner</v>
      </c>
      <c r="N332" s="1102">
        <f t="shared" ref="N332:V333" si="70">IF(include_HVAC=0,0,IF(build2_cool=$B332,1,""))</f>
        <v>0</v>
      </c>
      <c r="O332" s="1102">
        <f t="shared" si="70"/>
        <v>0</v>
      </c>
      <c r="P332" s="1102">
        <f t="shared" si="70"/>
        <v>0</v>
      </c>
      <c r="Q332" s="1102">
        <f t="shared" si="70"/>
        <v>0</v>
      </c>
      <c r="R332" s="1102">
        <f t="shared" si="70"/>
        <v>0</v>
      </c>
      <c r="S332" s="1102">
        <f t="shared" si="70"/>
        <v>0</v>
      </c>
      <c r="T332" s="1102">
        <f t="shared" si="70"/>
        <v>0</v>
      </c>
      <c r="U332" s="1102">
        <f t="shared" si="70"/>
        <v>0</v>
      </c>
      <c r="V332" s="1102">
        <f t="shared" si="70"/>
        <v>0</v>
      </c>
      <c r="W332" s="1096">
        <f t="shared" ca="1" si="65"/>
        <v>0</v>
      </c>
      <c r="X332" s="238">
        <f t="shared" ca="1" si="66"/>
        <v>0</v>
      </c>
      <c r="Y332" s="633"/>
      <c r="Z332" s="1095"/>
    </row>
    <row r="333" spans="1:26" s="816" customFormat="1">
      <c r="A333" s="662" t="s">
        <v>5261</v>
      </c>
      <c r="B333" s="736" t="s">
        <v>3694</v>
      </c>
      <c r="C333" s="737" t="str">
        <f ca="1">IF(AND(hp_ok_2,build2_need_cool),build2_zones,"NA")</f>
        <v>NA</v>
      </c>
      <c r="D333" s="472" t="str">
        <f ca="1">IF(C333="NA","","zones")</f>
        <v/>
      </c>
      <c r="E333" s="741" t="str">
        <f ca="1">IF(C333="NA","NA",build2_cooling_tons)</f>
        <v>NA</v>
      </c>
      <c r="F333" s="335" t="str">
        <f ca="1">IF(C333="NA","","tons")</f>
        <v/>
      </c>
      <c r="G333" s="741" t="str">
        <f ca="1">IF(C333="NA","NA",IF(curve=1,build2_cooling_tons,VLOOKUP(build2_cooling_tons,hvac_hp_cost_cl,2)))</f>
        <v>NA</v>
      </c>
      <c r="H333" s="335" t="str">
        <f ca="1">IF(C333="NA","","tons")</f>
        <v/>
      </c>
      <c r="I333" s="740" t="str">
        <f ca="1">IF(C333="NA","NA",IF(curve=1,hvac_hp_eq_2,VLOOKUP(build2_cooling_tons,hvac_hp_cost_cl,3)))</f>
        <v>NA</v>
      </c>
      <c r="J333" s="492" t="str">
        <f ca="1">IF(OR(I333="NA",I333="contact vendor"),"--",C333*I333)</f>
        <v>--</v>
      </c>
      <c r="K333" s="486" t="str">
        <f ca="1">IF(C333="NA","NA",VLOOKUP(build2_cooling_tons,hvac_hp_cost_cl,IF(ss_cat="large",4,5)))</f>
        <v>NA</v>
      </c>
      <c r="L333" s="491"/>
      <c r="M333" s="898" t="str">
        <f ca="1">B305&amp;" - "&amp;B320&amp;" - "&amp;B331&amp;" - "&amp;B333</f>
        <v>Building Structures and HVAC - Building 2 - Cooling System - Heat pump</v>
      </c>
      <c r="N333" s="1102">
        <f t="shared" si="70"/>
        <v>0</v>
      </c>
      <c r="O333" s="1102">
        <f t="shared" si="70"/>
        <v>0</v>
      </c>
      <c r="P333" s="1102">
        <f t="shared" si="70"/>
        <v>0</v>
      </c>
      <c r="Q333" s="1102">
        <f t="shared" si="70"/>
        <v>0</v>
      </c>
      <c r="R333" s="1102">
        <f t="shared" si="70"/>
        <v>0</v>
      </c>
      <c r="S333" s="1102">
        <f t="shared" si="70"/>
        <v>0</v>
      </c>
      <c r="T333" s="1102">
        <f t="shared" si="70"/>
        <v>0</v>
      </c>
      <c r="U333" s="1102">
        <f t="shared" si="70"/>
        <v>0</v>
      </c>
      <c r="V333" s="1102">
        <f t="shared" si="70"/>
        <v>0</v>
      </c>
      <c r="W333" s="1096">
        <f t="shared" ca="1" si="65"/>
        <v>0</v>
      </c>
      <c r="X333" s="238">
        <f t="shared" ca="1" si="66"/>
        <v>0</v>
      </c>
      <c r="Y333" s="633"/>
      <c r="Z333" s="1095"/>
    </row>
    <row r="334" spans="1:26" s="816" customFormat="1">
      <c r="A334" s="731">
        <v>11.3</v>
      </c>
      <c r="B334" s="732" t="s">
        <v>1630</v>
      </c>
      <c r="C334" s="579"/>
      <c r="D334" s="341"/>
      <c r="E334" s="579"/>
      <c r="F334" s="340"/>
      <c r="G334" s="579"/>
      <c r="H334" s="340"/>
      <c r="I334" s="579"/>
      <c r="J334" s="579"/>
      <c r="K334" s="579"/>
      <c r="L334" s="735"/>
      <c r="M334" s="238"/>
      <c r="N334" s="633"/>
      <c r="O334" s="633"/>
      <c r="P334" s="633"/>
      <c r="Q334" s="633"/>
      <c r="R334" s="633"/>
      <c r="S334" s="633"/>
      <c r="T334" s="633"/>
      <c r="U334" s="633"/>
      <c r="V334" s="633"/>
      <c r="W334" s="1096">
        <f t="shared" si="65"/>
        <v>0</v>
      </c>
      <c r="X334" s="238">
        <f t="shared" si="66"/>
        <v>0</v>
      </c>
      <c r="Y334" s="633"/>
      <c r="Z334" s="1095"/>
    </row>
    <row r="335" spans="1:26" s="816" customFormat="1">
      <c r="A335" s="662" t="s">
        <v>3224</v>
      </c>
      <c r="B335" s="736" t="s">
        <v>4947</v>
      </c>
      <c r="C335" s="737">
        <f ca="1">IF(AND(build3_fp&gt;0,build3_fp&lt;500),1,0)</f>
        <v>0</v>
      </c>
      <c r="D335" s="476" t="s">
        <v>2192</v>
      </c>
      <c r="E335" s="503">
        <f ca="1">build3_fp</f>
        <v>0</v>
      </c>
      <c r="F335" s="335" t="s">
        <v>3746</v>
      </c>
      <c r="G335" s="503">
        <f ca="1">build3_fp</f>
        <v>0</v>
      </c>
      <c r="H335" s="335" t="s">
        <v>3746</v>
      </c>
      <c r="I335" s="739" t="str">
        <f ca="1">IF(C335=0,"NA",VLOOKUP(build3_fp,bldg_shed_cost_cl,3))</f>
        <v>NA</v>
      </c>
      <c r="J335" s="492" t="str">
        <f ca="1">IF(OR(I335="NA",I335="contact vendor"),"--",G335*I335)</f>
        <v>--</v>
      </c>
      <c r="K335" s="486" t="str">
        <f ca="1">IF($C335=0,"N/A",VLOOKUP(build3_fp,bldg_shed_cost_cl,IF(ss_cat="large",4,5)))</f>
        <v>N/A</v>
      </c>
      <c r="L335" s="491"/>
      <c r="M335" s="898" t="str">
        <f>B305&amp;" - "&amp;B334&amp;" - "&amp;B335</f>
        <v>Building Structures and HVAC - Building 3 - Small Low Cost Shed</v>
      </c>
      <c r="N335" s="1102">
        <f t="shared" ref="N335:V335" si="71">IF(include_buildings=1,2,0)</f>
        <v>0</v>
      </c>
      <c r="O335" s="1102">
        <f t="shared" si="71"/>
        <v>0</v>
      </c>
      <c r="P335" s="1102">
        <f t="shared" si="71"/>
        <v>0</v>
      </c>
      <c r="Q335" s="1102">
        <f t="shared" si="71"/>
        <v>0</v>
      </c>
      <c r="R335" s="1102">
        <f t="shared" si="71"/>
        <v>0</v>
      </c>
      <c r="S335" s="1102">
        <f t="shared" si="71"/>
        <v>0</v>
      </c>
      <c r="T335" s="1102">
        <f t="shared" si="71"/>
        <v>0</v>
      </c>
      <c r="U335" s="1102">
        <f t="shared" si="71"/>
        <v>0</v>
      </c>
      <c r="V335" s="1102">
        <f t="shared" si="71"/>
        <v>0</v>
      </c>
      <c r="W335" s="1096">
        <f t="shared" ca="1" si="65"/>
        <v>0</v>
      </c>
      <c r="X335" s="238">
        <f t="shared" ca="1" si="66"/>
        <v>0</v>
      </c>
      <c r="Y335" s="633">
        <f ca="1">IF(W335,K335,0)</f>
        <v>0</v>
      </c>
      <c r="Z335" s="1095"/>
    </row>
    <row r="336" spans="1:26" s="816" customFormat="1">
      <c r="A336" s="662" t="s">
        <v>3224</v>
      </c>
      <c r="B336" s="736" t="s">
        <v>4948</v>
      </c>
      <c r="C336" s="737">
        <f ca="1">IF(build3_fp&gt;=500,1,0)</f>
        <v>0</v>
      </c>
      <c r="D336" s="476" t="s">
        <v>2192</v>
      </c>
      <c r="E336" s="503">
        <f ca="1">build3_fp</f>
        <v>0</v>
      </c>
      <c r="F336" s="335" t="s">
        <v>3746</v>
      </c>
      <c r="G336" s="503">
        <f ca="1">build3_fp</f>
        <v>0</v>
      </c>
      <c r="H336" s="335" t="s">
        <v>3746</v>
      </c>
      <c r="I336" s="739" t="str">
        <f ca="1">IF(C336=0,"NA",IF(curve=1,bldg_lo_eq_3,VLOOKUP(build3_fp, bldg_lo_cost_cl,3)))</f>
        <v>NA</v>
      </c>
      <c r="J336" s="492" t="str">
        <f t="shared" ref="J336:J338" ca="1" si="72">IF(OR(I336="NA",I336="contact vendor"),"--",G336*I336)</f>
        <v>--</v>
      </c>
      <c r="K336" s="486" t="str">
        <f ca="1">IF($C336=0,"N/A",VLOOKUP(build3_fp,bldg_lo_cost_cl,IF(ss_cat="large",4,5)))</f>
        <v>N/A</v>
      </c>
      <c r="L336" s="491"/>
      <c r="M336" s="898" t="str">
        <f>B305&amp;" - "&amp;B334&amp;" - "&amp;B336</f>
        <v>Building Structures and HVAC - Building 3 - Low Quality</v>
      </c>
      <c r="N336" s="1102">
        <f>include_buildings</f>
        <v>0</v>
      </c>
      <c r="O336" s="1102"/>
      <c r="P336" s="1102"/>
      <c r="Q336" s="1102">
        <f>include_buildings</f>
        <v>0</v>
      </c>
      <c r="R336" s="1102"/>
      <c r="S336" s="1103"/>
      <c r="T336" s="1102">
        <f>include_buildings</f>
        <v>0</v>
      </c>
      <c r="U336" s="1103"/>
      <c r="V336" s="1102"/>
      <c r="W336" s="1096">
        <f t="shared" ca="1" si="65"/>
        <v>0</v>
      </c>
      <c r="X336" s="238">
        <f t="shared" ca="1" si="66"/>
        <v>0</v>
      </c>
      <c r="Y336" s="633">
        <f ca="1">IF(W336,K336,0)</f>
        <v>0</v>
      </c>
      <c r="Z336" s="1095"/>
    </row>
    <row r="337" spans="1:26" s="816" customFormat="1">
      <c r="A337" s="662" t="s">
        <v>3224</v>
      </c>
      <c r="B337" s="736" t="s">
        <v>4949</v>
      </c>
      <c r="C337" s="737">
        <f ca="1">IF(build3_fp&gt;=500,1,0)</f>
        <v>0</v>
      </c>
      <c r="D337" s="476" t="s">
        <v>2192</v>
      </c>
      <c r="E337" s="503">
        <f ca="1">build3_fp</f>
        <v>0</v>
      </c>
      <c r="F337" s="335" t="s">
        <v>3746</v>
      </c>
      <c r="G337" s="503">
        <f ca="1">build3_fp</f>
        <v>0</v>
      </c>
      <c r="H337" s="335" t="s">
        <v>3746</v>
      </c>
      <c r="I337" s="739" t="str">
        <f ca="1">IF(C337=0,"NA",IF(curve=1,bldg_mid_eq_3,VLOOKUP(build3_fp, bldg_mid_cost_cl,3)))</f>
        <v>NA</v>
      </c>
      <c r="J337" s="492" t="str">
        <f t="shared" ca="1" si="72"/>
        <v>--</v>
      </c>
      <c r="K337" s="486" t="str">
        <f ca="1">IF($C337=0,"N/A",VLOOKUP(build3_fp,bldg_mid_cost_cl,IF(ss_cat="large",4,5)))</f>
        <v>N/A</v>
      </c>
      <c r="L337" s="491"/>
      <c r="M337" s="898" t="str">
        <f>B305&amp;" - "&amp;B334&amp;" - "&amp;B337</f>
        <v>Building Structures and HVAC - Building 3 - Medium Quality</v>
      </c>
      <c r="N337" s="1102"/>
      <c r="O337" s="1102">
        <f>include_buildings</f>
        <v>0</v>
      </c>
      <c r="P337" s="1102"/>
      <c r="Q337" s="1102"/>
      <c r="R337" s="1102">
        <f>include_buildings</f>
        <v>0</v>
      </c>
      <c r="S337" s="1103"/>
      <c r="T337" s="1103"/>
      <c r="U337" s="1102">
        <f>include_buildings</f>
        <v>0</v>
      </c>
      <c r="V337" s="1102"/>
      <c r="W337" s="1096">
        <f t="shared" ca="1" si="65"/>
        <v>0</v>
      </c>
      <c r="X337" s="238">
        <f t="shared" ca="1" si="66"/>
        <v>0</v>
      </c>
      <c r="Y337" s="633">
        <f ca="1">IF(W337,K337,0)</f>
        <v>0</v>
      </c>
      <c r="Z337" s="1095"/>
    </row>
    <row r="338" spans="1:26" s="816" customFormat="1">
      <c r="A338" s="662" t="s">
        <v>3224</v>
      </c>
      <c r="B338" s="736" t="s">
        <v>4950</v>
      </c>
      <c r="C338" s="737">
        <f ca="1">IF(build3_fp&gt;=500,1,0)</f>
        <v>0</v>
      </c>
      <c r="D338" s="476" t="s">
        <v>2192</v>
      </c>
      <c r="E338" s="503">
        <f ca="1">build3_fp</f>
        <v>0</v>
      </c>
      <c r="F338" s="335" t="s">
        <v>3746</v>
      </c>
      <c r="G338" s="503">
        <f ca="1">build3_fp</f>
        <v>0</v>
      </c>
      <c r="H338" s="335" t="s">
        <v>3746</v>
      </c>
      <c r="I338" s="739" t="str">
        <f ca="1">IF(C338=0,"NA",IF(curve=1,bldg_hi_eq_3,VLOOKUP(build3_fp, bldg_hi_cost_cl,3)))</f>
        <v>NA</v>
      </c>
      <c r="J338" s="492" t="str">
        <f t="shared" ca="1" si="72"/>
        <v>--</v>
      </c>
      <c r="K338" s="486" t="str">
        <f ca="1">IF($C338=0,"N/A",VLOOKUP(build3_fp,bldg_hi_cost_cl,IF(ss_cat="large",4,5)))</f>
        <v>N/A</v>
      </c>
      <c r="L338" s="491"/>
      <c r="M338" s="898" t="str">
        <f>B305&amp;" - "&amp;B334&amp;" - "&amp;B338</f>
        <v>Building Structures and HVAC - Building 3 - High Quality</v>
      </c>
      <c r="N338" s="1102"/>
      <c r="O338" s="1102"/>
      <c r="P338" s="1102">
        <f>include_buildings</f>
        <v>0</v>
      </c>
      <c r="Q338" s="1102"/>
      <c r="R338" s="1102"/>
      <c r="S338" s="1102">
        <f>include_buildings</f>
        <v>0</v>
      </c>
      <c r="T338" s="1103"/>
      <c r="U338" s="1103"/>
      <c r="V338" s="1102">
        <f>include_buildings</f>
        <v>0</v>
      </c>
      <c r="W338" s="1096">
        <f t="shared" ca="1" si="65"/>
        <v>0</v>
      </c>
      <c r="X338" s="238">
        <f t="shared" ca="1" si="66"/>
        <v>0</v>
      </c>
      <c r="Y338" s="633">
        <f ca="1">IF(W338,K338,0)</f>
        <v>0</v>
      </c>
      <c r="Z338" s="1095"/>
    </row>
    <row r="339" spans="1:26" s="816" customFormat="1">
      <c r="A339" s="731" t="s">
        <v>3225</v>
      </c>
      <c r="B339" s="784" t="str">
        <f ca="1">"Heating System"&amp;IF(build3_heat="heat pump"," (included with cooling system)","")</f>
        <v>Heating System</v>
      </c>
      <c r="C339" s="579"/>
      <c r="D339" s="341"/>
      <c r="E339" s="579"/>
      <c r="F339" s="340"/>
      <c r="G339" s="579"/>
      <c r="H339" s="340"/>
      <c r="I339" s="579"/>
      <c r="J339" s="579"/>
      <c r="K339" s="579"/>
      <c r="L339" s="735"/>
      <c r="M339" s="238"/>
      <c r="N339" s="633"/>
      <c r="O339" s="633"/>
      <c r="P339" s="633"/>
      <c r="Q339" s="633"/>
      <c r="R339" s="633"/>
      <c r="S339" s="633"/>
      <c r="T339" s="633"/>
      <c r="U339" s="633"/>
      <c r="V339" s="633"/>
      <c r="W339" s="1096">
        <f t="shared" si="65"/>
        <v>0</v>
      </c>
      <c r="X339" s="238">
        <f t="shared" si="66"/>
        <v>0</v>
      </c>
      <c r="Y339" s="633"/>
      <c r="Z339" s="1095"/>
    </row>
    <row r="340" spans="1:26" s="816" customFormat="1">
      <c r="A340" s="662" t="s">
        <v>5262</v>
      </c>
      <c r="B340" s="736" t="s">
        <v>3695</v>
      </c>
      <c r="C340" s="737" t="str">
        <f ca="1">IF(build3_heat="heat pump","NA",IF(build3_need_heat,build3_zones,"NA"))</f>
        <v>NA</v>
      </c>
      <c r="D340" s="472" t="str">
        <f ca="1">IF(C340="NA","","zones")</f>
        <v/>
      </c>
      <c r="E340" s="503" t="str">
        <f ca="1">IF(C340="NA","NA",build3_heat_mbh)</f>
        <v>NA</v>
      </c>
      <c r="F340" s="335" t="str">
        <f ca="1">IF(C340="NA","","MBH")</f>
        <v/>
      </c>
      <c r="G340" s="503" t="str">
        <f ca="1">IF(C340="NA","NA",IF(curve=1,build3_heat_mbh,VLOOKUP(build3_heat_mbh,hvac_elec_cost_cl,2)))</f>
        <v>NA</v>
      </c>
      <c r="H340" s="335" t="str">
        <f ca="1">IF(C340="NA","","MBH")</f>
        <v/>
      </c>
      <c r="I340" s="740" t="str">
        <f ca="1">IF(C340="NA","NA",IF(curve=1,hvac_elec_eq_3,VLOOKUP(build3_heat_mbh,hvac_elec_cost_cl,3)))</f>
        <v>NA</v>
      </c>
      <c r="J340" s="492" t="str">
        <f ca="1">IF(OR(I340="NA",I340="contact vendor"),"--",C340*I340)</f>
        <v>--</v>
      </c>
      <c r="K340" s="486" t="str">
        <f ca="1">IF(C340="NA","NA",VLOOKUP(build3_heat_mbh,hvac_elec_cost_cl,IF(ss_cat="large",4,5)))</f>
        <v>NA</v>
      </c>
      <c r="L340" s="491"/>
      <c r="M340" s="898" t="str">
        <f ca="1">B305&amp;" - "&amp;B334&amp;" - "&amp;B339&amp;" - "&amp;B340</f>
        <v>Building Structures and HVAC - Building 3 - Heating System - Electric resistance</v>
      </c>
      <c r="N340" s="1102">
        <f t="shared" ref="N340:V344" si="73">IF(include_HVAC=0,0,IF(build3_heat="heat pump",0,IF(build3_heat=$B340,1,"")))</f>
        <v>0</v>
      </c>
      <c r="O340" s="1102">
        <f t="shared" si="73"/>
        <v>0</v>
      </c>
      <c r="P340" s="1102">
        <f t="shared" si="73"/>
        <v>0</v>
      </c>
      <c r="Q340" s="1102">
        <f t="shared" si="73"/>
        <v>0</v>
      </c>
      <c r="R340" s="1102">
        <f t="shared" si="73"/>
        <v>0</v>
      </c>
      <c r="S340" s="1102">
        <f t="shared" si="73"/>
        <v>0</v>
      </c>
      <c r="T340" s="1102">
        <f t="shared" si="73"/>
        <v>0</v>
      </c>
      <c r="U340" s="1102">
        <f t="shared" si="73"/>
        <v>0</v>
      </c>
      <c r="V340" s="1102">
        <f t="shared" si="73"/>
        <v>0</v>
      </c>
      <c r="W340" s="1096">
        <f t="shared" ca="1" si="65"/>
        <v>0</v>
      </c>
      <c r="X340" s="238">
        <f t="shared" ca="1" si="66"/>
        <v>0</v>
      </c>
      <c r="Y340" s="633"/>
      <c r="Z340" s="1095"/>
    </row>
    <row r="341" spans="1:26" s="816" customFormat="1">
      <c r="A341" s="662" t="s">
        <v>5262</v>
      </c>
      <c r="B341" s="736" t="s">
        <v>3696</v>
      </c>
      <c r="C341" s="737" t="str">
        <f ca="1">IF(build3_heat="heat pump","NA",IF(build3_need_heat,build3_zones,"NA"))</f>
        <v>NA</v>
      </c>
      <c r="D341" s="472" t="str">
        <f ca="1">IF(C341="NA","","zones")</f>
        <v/>
      </c>
      <c r="E341" s="503" t="str">
        <f ca="1">IF(C341="NA","NA",build3_heat_mbh)</f>
        <v>NA</v>
      </c>
      <c r="F341" s="335" t="str">
        <f ca="1">IF(C341="NA","","MBH")</f>
        <v/>
      </c>
      <c r="G341" s="503" t="str">
        <f ca="1">IF(C341="NA","NA",IF(curve=1,build3_heat_mbh,VLOOKUP(build3_heat_mbh,hvac_gas_non_cost_cl,2)))</f>
        <v>NA</v>
      </c>
      <c r="H341" s="335" t="str">
        <f ca="1">IF(C341="NA","","MBH")</f>
        <v/>
      </c>
      <c r="I341" s="740" t="str">
        <f ca="1">IF(C341="NA","NA",IF(curve=1,hvac_gas_non_eq_3,VLOOKUP(build3_heat_mbh,hvac_gas_non_cost_cl,3)))</f>
        <v>NA</v>
      </c>
      <c r="J341" s="492" t="str">
        <f ca="1">IF(OR(I341="NA",I341="contact vendor"),"--",C341*I341)</f>
        <v>--</v>
      </c>
      <c r="K341" s="486" t="str">
        <f ca="1">IF(C341="NA","NA",VLOOKUP(build3_heat_mbh,hvac_gas_non_cost_cl,IF(ss_cat="large",4,5)))</f>
        <v>NA</v>
      </c>
      <c r="L341" s="491"/>
      <c r="M341" s="898" t="str">
        <f ca="1">B305&amp;" - "&amp;B334&amp;" - "&amp;B339&amp;" - "&amp;B341</f>
        <v>Building Structures and HVAC - Building 3 - Heating System - Natural gas non-condensing furnace</v>
      </c>
      <c r="N341" s="1102">
        <f t="shared" si="73"/>
        <v>0</v>
      </c>
      <c r="O341" s="1102">
        <f t="shared" si="73"/>
        <v>0</v>
      </c>
      <c r="P341" s="1102">
        <f t="shared" si="73"/>
        <v>0</v>
      </c>
      <c r="Q341" s="1102">
        <f t="shared" si="73"/>
        <v>0</v>
      </c>
      <c r="R341" s="1102">
        <f t="shared" si="73"/>
        <v>0</v>
      </c>
      <c r="S341" s="1102">
        <f t="shared" si="73"/>
        <v>0</v>
      </c>
      <c r="T341" s="1102">
        <f t="shared" si="73"/>
        <v>0</v>
      </c>
      <c r="U341" s="1102">
        <f t="shared" si="73"/>
        <v>0</v>
      </c>
      <c r="V341" s="1102">
        <f t="shared" si="73"/>
        <v>0</v>
      </c>
      <c r="W341" s="1096">
        <f t="shared" ca="1" si="65"/>
        <v>0</v>
      </c>
      <c r="X341" s="238">
        <f t="shared" ca="1" si="66"/>
        <v>0</v>
      </c>
      <c r="Y341" s="633"/>
      <c r="Z341" s="1095"/>
    </row>
    <row r="342" spans="1:26" s="816" customFormat="1">
      <c r="A342" s="662" t="s">
        <v>5262</v>
      </c>
      <c r="B342" s="736" t="s">
        <v>3635</v>
      </c>
      <c r="C342" s="737" t="str">
        <f ca="1">IF(build3_heat="heat pump","NA",IF(build3_need_heat,build3_zones,"NA"))</f>
        <v>NA</v>
      </c>
      <c r="D342" s="472" t="str">
        <f ca="1">IF(C342="NA","","zones")</f>
        <v/>
      </c>
      <c r="E342" s="503" t="str">
        <f ca="1">IF(C342="NA","NA",build3_heat_mbh)</f>
        <v>NA</v>
      </c>
      <c r="F342" s="335" t="str">
        <f ca="1">IF(C342="NA","","MBH")</f>
        <v/>
      </c>
      <c r="G342" s="503" t="str">
        <f ca="1">IF(C342="NA","NA",IF(curve=1,build3_heat_mbh,VLOOKUP(build3_heat_mbh,hvac_gas_cost_cl,2)))</f>
        <v>NA</v>
      </c>
      <c r="H342" s="335" t="str">
        <f ca="1">IF(C342="NA","","MBH")</f>
        <v/>
      </c>
      <c r="I342" s="740" t="str">
        <f ca="1">IF(C342="NA","NA",IF(curve=1,hvac_gas_eq_3,VLOOKUP(build3_heat_mbh,hvac_gas_cost_cl,3)))</f>
        <v>NA</v>
      </c>
      <c r="J342" s="492" t="str">
        <f ca="1">IF(OR(I342="NA",I342="contact vendor"),"--",C342*I342)</f>
        <v>--</v>
      </c>
      <c r="K342" s="486" t="str">
        <f ca="1">IF(C342="NA","NA",VLOOKUP(build3_heat_mbh,hvac_gas_cost_cl,IF(ss_cat="large",4,5)))</f>
        <v>NA</v>
      </c>
      <c r="L342" s="491"/>
      <c r="M342" s="898" t="str">
        <f ca="1">B305&amp;" - "&amp;B334&amp;" - "&amp;B339&amp;" - "&amp;B342</f>
        <v>Building Structures and HVAC - Building 3 - Heating System - Natural gas condensing furnace</v>
      </c>
      <c r="N342" s="1102">
        <f t="shared" si="73"/>
        <v>0</v>
      </c>
      <c r="O342" s="1102">
        <f t="shared" si="73"/>
        <v>0</v>
      </c>
      <c r="P342" s="1102">
        <f t="shared" si="73"/>
        <v>0</v>
      </c>
      <c r="Q342" s="1102">
        <f t="shared" si="73"/>
        <v>0</v>
      </c>
      <c r="R342" s="1102">
        <f t="shared" si="73"/>
        <v>0</v>
      </c>
      <c r="S342" s="1102">
        <f t="shared" si="73"/>
        <v>0</v>
      </c>
      <c r="T342" s="1102">
        <f t="shared" si="73"/>
        <v>0</v>
      </c>
      <c r="U342" s="1102">
        <f t="shared" si="73"/>
        <v>0</v>
      </c>
      <c r="V342" s="1102">
        <f t="shared" si="73"/>
        <v>0</v>
      </c>
      <c r="W342" s="1096">
        <f t="shared" ca="1" si="65"/>
        <v>0</v>
      </c>
      <c r="X342" s="238">
        <f t="shared" ca="1" si="66"/>
        <v>0</v>
      </c>
      <c r="Y342" s="633"/>
      <c r="Z342" s="1095"/>
    </row>
    <row r="343" spans="1:26" s="816" customFormat="1">
      <c r="A343" s="662" t="s">
        <v>5262</v>
      </c>
      <c r="B343" s="736" t="s">
        <v>2161</v>
      </c>
      <c r="C343" s="737" t="str">
        <f ca="1">IF(build3_heat="heat pump","NA",IF(build3_need_heat,build3_zones,"NA"))</f>
        <v>NA</v>
      </c>
      <c r="D343" s="472" t="str">
        <f ca="1">IF(C343="NA","","zones")</f>
        <v/>
      </c>
      <c r="E343" s="503" t="str">
        <f ca="1">IF(C343="NA","NA",build3_heat_mbh)</f>
        <v>NA</v>
      </c>
      <c r="F343" s="335" t="str">
        <f ca="1">IF(C343="NA","","MBH")</f>
        <v/>
      </c>
      <c r="G343" s="503" t="str">
        <f ca="1">IF(C343="NA","NA",IF(curve=1,build3_heat_mbh,VLOOKUP(E343,hvac_oil_std_cost_cl,2)))</f>
        <v>NA</v>
      </c>
      <c r="H343" s="335" t="str">
        <f ca="1">IF(C343="NA","","MBH")</f>
        <v/>
      </c>
      <c r="I343" s="740" t="str">
        <f ca="1">IF(C343="NA","NA",IF(curve=1,hvac_oil_std_eq_3,VLOOKUP(build3_heat_mbh,hvac_oil_std_cost_cl,3)))</f>
        <v>NA</v>
      </c>
      <c r="J343" s="492" t="str">
        <f ca="1">IF(OR(I343="NA",I343="contact vendor"),"--",C343*I343)</f>
        <v>--</v>
      </c>
      <c r="K343" s="486" t="str">
        <f ca="1">IF(C343="NA","NA",VLOOKUP(build3_heat_mbh,hvac_oil_std_cost_cl,IF(ss_cat="large",4,5)))</f>
        <v>NA</v>
      </c>
      <c r="L343" s="491"/>
      <c r="M343" s="898" t="str">
        <f ca="1">B305&amp;" - "&amp;B334&amp;" - "&amp;B339&amp;" - "&amp;B343</f>
        <v>Building Structures and HVAC - Building 3 - Heating System - Standard efficiency oil furnace</v>
      </c>
      <c r="N343" s="1102">
        <f t="shared" si="73"/>
        <v>0</v>
      </c>
      <c r="O343" s="1102">
        <f t="shared" si="73"/>
        <v>0</v>
      </c>
      <c r="P343" s="1102">
        <f t="shared" si="73"/>
        <v>0</v>
      </c>
      <c r="Q343" s="1102">
        <f t="shared" si="73"/>
        <v>0</v>
      </c>
      <c r="R343" s="1102">
        <f t="shared" si="73"/>
        <v>0</v>
      </c>
      <c r="S343" s="1102">
        <f t="shared" si="73"/>
        <v>0</v>
      </c>
      <c r="T343" s="1102">
        <f t="shared" si="73"/>
        <v>0</v>
      </c>
      <c r="U343" s="1102">
        <f t="shared" si="73"/>
        <v>0</v>
      </c>
      <c r="V343" s="1102">
        <f t="shared" si="73"/>
        <v>0</v>
      </c>
      <c r="W343" s="1096">
        <f t="shared" ca="1" si="65"/>
        <v>0</v>
      </c>
      <c r="X343" s="238">
        <f t="shared" ca="1" si="66"/>
        <v>0</v>
      </c>
      <c r="Y343" s="633"/>
      <c r="Z343" s="1095"/>
    </row>
    <row r="344" spans="1:26" s="816" customFormat="1">
      <c r="A344" s="662" t="s">
        <v>5262</v>
      </c>
      <c r="B344" s="736" t="s">
        <v>2162</v>
      </c>
      <c r="C344" s="737" t="str">
        <f ca="1">IF(build3_heat="heat pump","NA",IF(build3_need_heat,build3_zones,"NA"))</f>
        <v>NA</v>
      </c>
      <c r="D344" s="472" t="str">
        <f ca="1">IF(C344="NA","","zones")</f>
        <v/>
      </c>
      <c r="E344" s="503" t="str">
        <f ca="1">IF(C344="NA","NA",build3_heat_mbh)</f>
        <v>NA</v>
      </c>
      <c r="F344" s="335" t="str">
        <f ca="1">IF(C344="NA","","MBH")</f>
        <v/>
      </c>
      <c r="G344" s="503" t="str">
        <f ca="1">IF(C344="NA","NA",IF(curve=1,build3_heat_mbh,VLOOKUP(build3_heat_mbh,hvac_oil_mid_cost_cl,2)))</f>
        <v>NA</v>
      </c>
      <c r="H344" s="335" t="str">
        <f ca="1">IF(C344="NA","","MBH")</f>
        <v/>
      </c>
      <c r="I344" s="740" t="str">
        <f ca="1">IF(C344="NA","NA",IF(curve=1,hvac_oil_mid_eq_3,VLOOKUP(build3_heat_mbh,hvac_oil_mid_cost_cl,3)))</f>
        <v>NA</v>
      </c>
      <c r="J344" s="492" t="str">
        <f ca="1">IF(OR(I344="NA",I344="contact vendor"),"--",C344*I344)</f>
        <v>--</v>
      </c>
      <c r="K344" s="486" t="str">
        <f ca="1">IF(C344="NA","NA",VLOOKUP(build3_heat_mbh,hvac_oil_mid_cost_cl,IF(ss_cat="large",4,5)))</f>
        <v>NA</v>
      </c>
      <c r="L344" s="491"/>
      <c r="M344" s="898" t="str">
        <f ca="1">B305&amp;" - "&amp;B334&amp;" - "&amp;B339&amp;" - "&amp;B344</f>
        <v>Building Structures and HVAC - Building 3 - Heating System - Mid-efficiency oil furnace</v>
      </c>
      <c r="N344" s="1102">
        <f t="shared" si="73"/>
        <v>0</v>
      </c>
      <c r="O344" s="1102">
        <f t="shared" si="73"/>
        <v>0</v>
      </c>
      <c r="P344" s="1102">
        <f t="shared" si="73"/>
        <v>0</v>
      </c>
      <c r="Q344" s="1102">
        <f t="shared" si="73"/>
        <v>0</v>
      </c>
      <c r="R344" s="1102">
        <f t="shared" si="73"/>
        <v>0</v>
      </c>
      <c r="S344" s="1102">
        <f t="shared" si="73"/>
        <v>0</v>
      </c>
      <c r="T344" s="1102">
        <f t="shared" si="73"/>
        <v>0</v>
      </c>
      <c r="U344" s="1102">
        <f t="shared" si="73"/>
        <v>0</v>
      </c>
      <c r="V344" s="1102">
        <f t="shared" si="73"/>
        <v>0</v>
      </c>
      <c r="W344" s="1096">
        <f t="shared" ca="1" si="65"/>
        <v>0</v>
      </c>
      <c r="X344" s="238">
        <f t="shared" ca="1" si="66"/>
        <v>0</v>
      </c>
      <c r="Y344" s="633"/>
      <c r="Z344" s="1095"/>
    </row>
    <row r="345" spans="1:26" s="816" customFormat="1">
      <c r="A345" s="731" t="s">
        <v>3226</v>
      </c>
      <c r="B345" s="785" t="str">
        <f ca="1">IF(build3_heat="heat pump","Heating and ","")&amp;"Cooling System"</f>
        <v>Cooling System</v>
      </c>
      <c r="C345" s="579"/>
      <c r="D345" s="341"/>
      <c r="E345" s="579"/>
      <c r="F345" s="340"/>
      <c r="G345" s="579"/>
      <c r="H345" s="340"/>
      <c r="I345" s="579"/>
      <c r="J345" s="579"/>
      <c r="K345" s="579"/>
      <c r="L345" s="735"/>
      <c r="M345" s="238"/>
      <c r="N345" s="633"/>
      <c r="O345" s="633"/>
      <c r="P345" s="633"/>
      <c r="Q345" s="633"/>
      <c r="R345" s="633"/>
      <c r="S345" s="633"/>
      <c r="T345" s="633"/>
      <c r="U345" s="633"/>
      <c r="V345" s="633"/>
      <c r="W345" s="1096">
        <f t="shared" si="65"/>
        <v>0</v>
      </c>
      <c r="X345" s="238">
        <f t="shared" si="66"/>
        <v>0</v>
      </c>
      <c r="Y345" s="633"/>
      <c r="Z345" s="1095"/>
    </row>
    <row r="346" spans="1:26" s="816" customFormat="1">
      <c r="A346" s="662" t="s">
        <v>5263</v>
      </c>
      <c r="B346" s="736" t="s">
        <v>4807</v>
      </c>
      <c r="C346" s="737" t="str">
        <f ca="1">IF(build3_need_cool,build3_zones,"NA")</f>
        <v>NA</v>
      </c>
      <c r="D346" s="472" t="str">
        <f ca="1">IF(C346="NA","","zones")</f>
        <v/>
      </c>
      <c r="E346" s="741" t="str">
        <f ca="1">IF(C346="NA","NA",build3_cooling_tons)</f>
        <v>NA</v>
      </c>
      <c r="F346" s="335" t="str">
        <f ca="1">IF(C346="NA","","tons")</f>
        <v/>
      </c>
      <c r="G346" s="741" t="str">
        <f ca="1">IF(C346="NA","NA",IF(curve=1,build3_cooling_tons,VLOOKUP(build3_cooling_tons,hvac_ac_cost_cl,2)))</f>
        <v>NA</v>
      </c>
      <c r="H346" s="335" t="str">
        <f ca="1">IF(C346="NA","","tons")</f>
        <v/>
      </c>
      <c r="I346" s="740" t="str">
        <f ca="1">IF(C346="NA","NA",IF(curve=1,hvac_ac_eq_3,VLOOKUP(build3_cooling_tons,hvac_ac_cost_cl,3)))</f>
        <v>NA</v>
      </c>
      <c r="J346" s="492" t="str">
        <f ca="1">IF(OR(I346="NA",I346="contact vendor"),"--",C346*I346)</f>
        <v>--</v>
      </c>
      <c r="K346" s="486" t="str">
        <f ca="1">IF(C346="NA","NA",VLOOKUP(build3_cooling_tons,hvac_ac_cost_cl,IF(ss_cat="large",4,5)))</f>
        <v>NA</v>
      </c>
      <c r="L346" s="491"/>
      <c r="M346" s="898" t="str">
        <f ca="1">B305&amp;" - "&amp;B334&amp;" - "&amp;B345&amp;" - "&amp;B346</f>
        <v>Building Structures and HVAC - Building 3 - Cooling System - Air conditioner</v>
      </c>
      <c r="N346" s="1102">
        <f t="shared" ref="N346:V347" si="74">IF(include_HVAC=0,0,IF(build3_cool=$B346,1,""))</f>
        <v>0</v>
      </c>
      <c r="O346" s="1102">
        <f t="shared" si="74"/>
        <v>0</v>
      </c>
      <c r="P346" s="1102">
        <f t="shared" si="74"/>
        <v>0</v>
      </c>
      <c r="Q346" s="1102">
        <f t="shared" si="74"/>
        <v>0</v>
      </c>
      <c r="R346" s="1102">
        <f t="shared" si="74"/>
        <v>0</v>
      </c>
      <c r="S346" s="1102">
        <f t="shared" si="74"/>
        <v>0</v>
      </c>
      <c r="T346" s="1102">
        <f t="shared" si="74"/>
        <v>0</v>
      </c>
      <c r="U346" s="1102">
        <f t="shared" si="74"/>
        <v>0</v>
      </c>
      <c r="V346" s="1102">
        <f t="shared" si="74"/>
        <v>0</v>
      </c>
      <c r="W346" s="1096">
        <f t="shared" ca="1" si="65"/>
        <v>0</v>
      </c>
      <c r="X346" s="238">
        <f t="shared" ca="1" si="66"/>
        <v>0</v>
      </c>
      <c r="Y346" s="633"/>
      <c r="Z346" s="1095"/>
    </row>
    <row r="347" spans="1:26" s="816" customFormat="1">
      <c r="A347" s="662" t="s">
        <v>5263</v>
      </c>
      <c r="B347" s="736" t="s">
        <v>3694</v>
      </c>
      <c r="C347" s="737" t="str">
        <f ca="1">IF(AND(hp_ok_2,build3_need_cool),build3_zones,"NA")</f>
        <v>NA</v>
      </c>
      <c r="D347" s="472" t="str">
        <f ca="1">IF(C347="NA","","zones")</f>
        <v/>
      </c>
      <c r="E347" s="741" t="str">
        <f ca="1">IF(C347="NA","NA",build3_cooling_tons)</f>
        <v>NA</v>
      </c>
      <c r="F347" s="335" t="str">
        <f ca="1">IF(C347="NA","","tons")</f>
        <v/>
      </c>
      <c r="G347" s="741" t="str">
        <f ca="1">IF(C347="NA","NA",IF(curve=1,build3_cooling_tons,VLOOKUP(build3_cooling_tons,hvac_hp_cost_cl,2)))</f>
        <v>NA</v>
      </c>
      <c r="H347" s="335" t="str">
        <f ca="1">IF(C347="NA","","tons")</f>
        <v/>
      </c>
      <c r="I347" s="740" t="str">
        <f ca="1">IF(C347="NA","NA",IF(curve=1,hvac_hp_eq_3,VLOOKUP(build3_cooling_tons,hvac_hp_cost_cl,3)))</f>
        <v>NA</v>
      </c>
      <c r="J347" s="492" t="str">
        <f ca="1">IF(OR(I347="NA",I347="contact vendor"),"--",C347*I347)</f>
        <v>--</v>
      </c>
      <c r="K347" s="486" t="str">
        <f ca="1">IF(C347="NA","NA",VLOOKUP(build3_cooling_tons,hvac_hp_cost_cl,IF(ss_cat="large",4,5)))</f>
        <v>NA</v>
      </c>
      <c r="L347" s="491"/>
      <c r="M347" s="898" t="str">
        <f ca="1">B305&amp;" - "&amp;B334&amp;" - "&amp;B345&amp;" - "&amp;B347</f>
        <v>Building Structures and HVAC - Building 3 - Cooling System - Heat pump</v>
      </c>
      <c r="N347" s="1102">
        <f t="shared" si="74"/>
        <v>0</v>
      </c>
      <c r="O347" s="1102">
        <f t="shared" si="74"/>
        <v>0</v>
      </c>
      <c r="P347" s="1102">
        <f t="shared" si="74"/>
        <v>0</v>
      </c>
      <c r="Q347" s="1102">
        <f t="shared" si="74"/>
        <v>0</v>
      </c>
      <c r="R347" s="1102">
        <f t="shared" si="74"/>
        <v>0</v>
      </c>
      <c r="S347" s="1102">
        <f t="shared" si="74"/>
        <v>0</v>
      </c>
      <c r="T347" s="1102">
        <f t="shared" si="74"/>
        <v>0</v>
      </c>
      <c r="U347" s="1102">
        <f t="shared" si="74"/>
        <v>0</v>
      </c>
      <c r="V347" s="1102">
        <f t="shared" si="74"/>
        <v>0</v>
      </c>
      <c r="W347" s="1096">
        <f t="shared" ca="1" si="65"/>
        <v>0</v>
      </c>
      <c r="X347" s="238">
        <f t="shared" ca="1" si="66"/>
        <v>0</v>
      </c>
      <c r="Y347" s="633"/>
      <c r="Z347" s="1095"/>
    </row>
    <row r="348" spans="1:26" s="1021" customFormat="1">
      <c r="A348" s="660">
        <v>11.4</v>
      </c>
      <c r="B348" s="505" t="s">
        <v>3745</v>
      </c>
      <c r="C348" s="497">
        <v>1</v>
      </c>
      <c r="D348" s="506" t="s">
        <v>2192</v>
      </c>
      <c r="E348" s="499">
        <f ca="1">concrete</f>
        <v>272</v>
      </c>
      <c r="F348" s="500" t="s">
        <v>3747</v>
      </c>
      <c r="G348" s="499">
        <f ca="1">concrete</f>
        <v>272</v>
      </c>
      <c r="H348" s="500" t="s">
        <v>3747</v>
      </c>
      <c r="I348" s="478">
        <f>VLOOKUP(0,conc_pad_cost_cl,3)</f>
        <v>492.74999999999994</v>
      </c>
      <c r="J348" s="490">
        <f ca="1">IF(I348="contact vendor","--",E348*I348)</f>
        <v>134027.99999999997</v>
      </c>
      <c r="K348" s="497">
        <f>VLOOKUP(0,conc_pad_cost_cl,IF(ss_cat="large",4,5))</f>
        <v>40</v>
      </c>
      <c r="L348" s="504">
        <v>1</v>
      </c>
      <c r="M348" s="1100" t="str">
        <f>B305&amp;" - "&amp;B348</f>
        <v>Building Structures and HVAC - Concrete Pad</v>
      </c>
      <c r="N348" s="238">
        <f t="shared" ref="N348:V348" si="75">include_pad</f>
        <v>1</v>
      </c>
      <c r="O348" s="238">
        <f t="shared" si="75"/>
        <v>1</v>
      </c>
      <c r="P348" s="238">
        <f t="shared" si="75"/>
        <v>1</v>
      </c>
      <c r="Q348" s="238">
        <f t="shared" si="75"/>
        <v>1</v>
      </c>
      <c r="R348" s="238">
        <f t="shared" si="75"/>
        <v>1</v>
      </c>
      <c r="S348" s="238">
        <f t="shared" si="75"/>
        <v>1</v>
      </c>
      <c r="T348" s="238">
        <f t="shared" si="75"/>
        <v>1</v>
      </c>
      <c r="U348" s="238">
        <f t="shared" si="75"/>
        <v>1</v>
      </c>
      <c r="V348" s="238">
        <f t="shared" si="75"/>
        <v>1</v>
      </c>
      <c r="W348" s="1096">
        <f t="shared" si="65"/>
        <v>1</v>
      </c>
      <c r="X348" s="1097">
        <f t="shared" ca="1" si="66"/>
        <v>3350.6999999999994</v>
      </c>
      <c r="Y348" s="238"/>
    </row>
    <row r="349" spans="1:26" s="1021" customFormat="1">
      <c r="A349" s="664" t="s">
        <v>5264</v>
      </c>
      <c r="B349" s="342" t="s">
        <v>1104</v>
      </c>
      <c r="C349" s="345"/>
      <c r="D349" s="346"/>
      <c r="E349" s="345"/>
      <c r="F349" s="346"/>
      <c r="G349" s="345"/>
      <c r="H349" s="346"/>
      <c r="I349" s="345"/>
      <c r="J349" s="345"/>
      <c r="K349" s="345"/>
      <c r="L349" s="411"/>
      <c r="M349" s="1100"/>
      <c r="N349" s="898"/>
      <c r="O349" s="898"/>
      <c r="P349" s="898"/>
      <c r="Q349" s="898"/>
      <c r="R349" s="898"/>
      <c r="S349" s="898"/>
      <c r="T349" s="898"/>
      <c r="U349" s="898"/>
      <c r="V349" s="898"/>
      <c r="W349" s="1096">
        <f t="shared" si="65"/>
        <v>0</v>
      </c>
      <c r="X349" s="1097">
        <f t="shared" si="66"/>
        <v>0</v>
      </c>
      <c r="Y349" s="238"/>
    </row>
    <row r="350" spans="1:26" s="1021" customFormat="1">
      <c r="A350" s="660">
        <v>12.1</v>
      </c>
      <c r="B350" s="505" t="s">
        <v>466</v>
      </c>
      <c r="C350" s="497">
        <f>ep_cells</f>
        <v>0</v>
      </c>
      <c r="D350" s="506" t="s">
        <v>2219</v>
      </c>
      <c r="E350" s="499" t="str">
        <f>IF(C350=0,"NA",ep_excavation_vol/ep_cells)</f>
        <v>NA</v>
      </c>
      <c r="F350" s="500" t="str">
        <f>IF(C350=0,"","cy")</f>
        <v/>
      </c>
      <c r="G350" s="499" t="str">
        <f>IF(C350=0,"NA",ep_excavation_vol/ep_cells)</f>
        <v>NA</v>
      </c>
      <c r="H350" s="500" t="str">
        <f>IF(C350=0,"","cy")</f>
        <v/>
      </c>
      <c r="I350" s="478" t="str">
        <f>IF(C350=0,"NA",VLOOKUP(0,excavate_cost_cl,3))</f>
        <v>NA</v>
      </c>
      <c r="J350" s="490" t="str">
        <f>IF(C350=0,"--",IF(I350="contact vendor","--",E350*I350*C350))</f>
        <v>--</v>
      </c>
      <c r="K350" s="497" t="str">
        <f>IF(C350=0,"NA",VLOOKUP(0,ep_liner_cost_cl,IF(ss_cat="large",4,5)))</f>
        <v>NA</v>
      </c>
      <c r="L350" s="504"/>
      <c r="M350" s="1100" t="str">
        <f>$B$349&amp;" - "&amp;B350</f>
        <v>Evaporation Ponds - Excavation</v>
      </c>
      <c r="N350" s="238">
        <v>1</v>
      </c>
      <c r="O350" s="238">
        <v>1</v>
      </c>
      <c r="P350" s="238">
        <v>1</v>
      </c>
      <c r="Q350" s="238">
        <v>1</v>
      </c>
      <c r="R350" s="238">
        <v>1</v>
      </c>
      <c r="S350" s="238">
        <v>1</v>
      </c>
      <c r="T350" s="238">
        <v>1</v>
      </c>
      <c r="U350" s="238">
        <v>1</v>
      </c>
      <c r="V350" s="238">
        <v>1</v>
      </c>
      <c r="W350" s="1096">
        <f t="shared" si="65"/>
        <v>0</v>
      </c>
      <c r="X350" s="1097">
        <f t="shared" si="66"/>
        <v>0</v>
      </c>
      <c r="Y350" s="238"/>
    </row>
    <row r="351" spans="1:26" s="1021" customFormat="1">
      <c r="A351" s="660">
        <v>12.2</v>
      </c>
      <c r="B351" s="505" t="s">
        <v>468</v>
      </c>
      <c r="C351" s="497">
        <f>ep_cells</f>
        <v>0</v>
      </c>
      <c r="D351" s="506" t="s">
        <v>2219</v>
      </c>
      <c r="E351" s="499" t="str">
        <f>IF(C351=0,"NA",ep_backfill_vol/ep_cells)</f>
        <v>NA</v>
      </c>
      <c r="F351" s="500" t="str">
        <f>IF(C351=0,"","cy")</f>
        <v/>
      </c>
      <c r="G351" s="499" t="str">
        <f>IF(C351=0,"NA",ep_backfill_vol/ep_cells)</f>
        <v>NA</v>
      </c>
      <c r="H351" s="500" t="str">
        <f>IF(C351=0,"","cy")</f>
        <v/>
      </c>
      <c r="I351" s="478" t="str">
        <f>IF(C351=0,"NA",VLOOKUP(0,backfill_cost_cl,3))</f>
        <v>NA</v>
      </c>
      <c r="J351" s="490" t="str">
        <f>IF(C351=0,"--",IF(I351="contact vendor","--",E351*I351*C351))</f>
        <v>--</v>
      </c>
      <c r="K351" s="497" t="str">
        <f>IF(C351=0,"NA",VLOOKUP(0,ep_liner_cost_cl,IF(ss_cat="large",4,5)))</f>
        <v>NA</v>
      </c>
      <c r="L351" s="504"/>
      <c r="M351" s="1100" t="str">
        <f>$B$349&amp;" - "&amp;B351</f>
        <v>Evaporation Ponds - Backfill</v>
      </c>
      <c r="N351" s="238">
        <v>1</v>
      </c>
      <c r="O351" s="238">
        <v>1</v>
      </c>
      <c r="P351" s="238">
        <v>1</v>
      </c>
      <c r="Q351" s="238">
        <v>1</v>
      </c>
      <c r="R351" s="238">
        <v>1</v>
      </c>
      <c r="S351" s="238">
        <v>1</v>
      </c>
      <c r="T351" s="238">
        <v>1</v>
      </c>
      <c r="U351" s="238">
        <v>1</v>
      </c>
      <c r="V351" s="238">
        <v>1</v>
      </c>
      <c r="W351" s="1096">
        <f t="shared" si="65"/>
        <v>0</v>
      </c>
      <c r="X351" s="1097">
        <f t="shared" si="66"/>
        <v>0</v>
      </c>
      <c r="Y351" s="238"/>
    </row>
    <row r="352" spans="1:26" s="1021" customFormat="1">
      <c r="A352" s="660">
        <v>12.3</v>
      </c>
      <c r="B352" s="505" t="s">
        <v>469</v>
      </c>
      <c r="C352" s="497">
        <f>ep_cells</f>
        <v>0</v>
      </c>
      <c r="D352" s="506" t="s">
        <v>2219</v>
      </c>
      <c r="E352" s="499" t="str">
        <f>IF(C352=0,"NA",liner_area/ep_cells)</f>
        <v>NA</v>
      </c>
      <c r="F352" s="500" t="str">
        <f>IF(C352=0,"","sf")</f>
        <v/>
      </c>
      <c r="G352" s="499" t="str">
        <f>IF(C352=0,"NA",liner_area/ep_cells)</f>
        <v>NA</v>
      </c>
      <c r="H352" s="500" t="str">
        <f>IF(C352=0,"","sf")</f>
        <v/>
      </c>
      <c r="I352" s="478" t="str">
        <f>IF(C352=0,"NA",VLOOKUP(0,ep_liner_cost_cl,3))</f>
        <v>NA</v>
      </c>
      <c r="J352" s="490" t="str">
        <f>IF(C352=0,"--",IF(I352="contact vendor","--",E352*I352*C352))</f>
        <v>--</v>
      </c>
      <c r="K352" s="497" t="str">
        <f>IF(C352=0,"NA",VLOOKUP(0,ep_liner_cost_cl,IF(ss_cat="large",4,5)))</f>
        <v>NA</v>
      </c>
      <c r="L352" s="504"/>
      <c r="M352" s="1100" t="str">
        <f>$B$349&amp;" - "&amp;B352</f>
        <v>Evaporation Ponds - Liner</v>
      </c>
      <c r="N352" s="238">
        <v>1</v>
      </c>
      <c r="O352" s="238">
        <v>1</v>
      </c>
      <c r="P352" s="238">
        <v>1</v>
      </c>
      <c r="Q352" s="238">
        <v>1</v>
      </c>
      <c r="R352" s="238">
        <v>1</v>
      </c>
      <c r="S352" s="238">
        <v>1</v>
      </c>
      <c r="T352" s="238">
        <v>1</v>
      </c>
      <c r="U352" s="238">
        <v>1</v>
      </c>
      <c r="V352" s="238">
        <v>1</v>
      </c>
      <c r="W352" s="1096">
        <f t="shared" ref="W352:W357" si="76">IF(ISERROR(K352*L352),0,IF(K352&lt;1,0,L352))</f>
        <v>0</v>
      </c>
      <c r="X352" s="1097">
        <f t="shared" ref="X352:X357" si="77">IF(W352,J352/K352,0)</f>
        <v>0</v>
      </c>
      <c r="Y352" s="238"/>
    </row>
    <row r="353" spans="1:26" s="1021" customFormat="1">
      <c r="A353" s="660">
        <v>12.4</v>
      </c>
      <c r="B353" s="505" t="s">
        <v>470</v>
      </c>
      <c r="C353" s="497">
        <f>ep_cells</f>
        <v>0</v>
      </c>
      <c r="D353" s="506" t="s">
        <v>2219</v>
      </c>
      <c r="E353" s="499" t="str">
        <f>IF(C353=0,"NA",dike_volume/ep_cells)</f>
        <v>NA</v>
      </c>
      <c r="F353" s="500" t="str">
        <f>IF(C353=0,"","cy")</f>
        <v/>
      </c>
      <c r="G353" s="499" t="str">
        <f>IF(C353=0,"NA",dike_volume/ep_cells)</f>
        <v>NA</v>
      </c>
      <c r="H353" s="500" t="str">
        <f>IF(C353=0,"","cy")</f>
        <v/>
      </c>
      <c r="I353" s="478" t="str">
        <f>IF(C353=0,"NA",ep_dike_construct_cl)</f>
        <v>NA</v>
      </c>
      <c r="J353" s="490" t="str">
        <f>IF(C353=0,"--",IF(I353="contact vendor","--",E353*I353*C353))</f>
        <v>--</v>
      </c>
      <c r="K353" s="497" t="str">
        <f>IF(C353=0,"NA",VLOOKUP(0,ep_liner_cost_cl,IF(ss_cat="large",4,5)))</f>
        <v>NA</v>
      </c>
      <c r="L353" s="504"/>
      <c r="M353" s="1100" t="str">
        <f>$B$349&amp;" - "&amp;B353</f>
        <v>Evaporation Ponds - Dike Construction</v>
      </c>
      <c r="N353" s="238">
        <v>1</v>
      </c>
      <c r="O353" s="238">
        <v>1</v>
      </c>
      <c r="P353" s="238">
        <v>1</v>
      </c>
      <c r="Q353" s="238">
        <v>1</v>
      </c>
      <c r="R353" s="238">
        <v>1</v>
      </c>
      <c r="S353" s="238">
        <v>1</v>
      </c>
      <c r="T353" s="238">
        <v>1</v>
      </c>
      <c r="U353" s="238">
        <v>1</v>
      </c>
      <c r="V353" s="238">
        <v>1</v>
      </c>
      <c r="W353" s="1096">
        <f t="shared" si="76"/>
        <v>0</v>
      </c>
      <c r="X353" s="1097">
        <f t="shared" si="77"/>
        <v>0</v>
      </c>
      <c r="Y353" s="238"/>
    </row>
    <row r="354" spans="1:26" s="1021" customFormat="1">
      <c r="A354" s="664" t="s">
        <v>5265</v>
      </c>
      <c r="B354" s="342" t="s">
        <v>1263</v>
      </c>
      <c r="C354" s="345"/>
      <c r="D354" s="346"/>
      <c r="E354" s="345"/>
      <c r="F354" s="346"/>
      <c r="G354" s="345"/>
      <c r="H354" s="346"/>
      <c r="I354" s="345"/>
      <c r="J354" s="345"/>
      <c r="K354" s="345"/>
      <c r="L354" s="411"/>
      <c r="M354" s="1100"/>
      <c r="N354" s="898"/>
      <c r="O354" s="898"/>
      <c r="P354" s="898"/>
      <c r="Q354" s="898"/>
      <c r="R354" s="898"/>
      <c r="S354" s="898"/>
      <c r="T354" s="898"/>
      <c r="U354" s="898"/>
      <c r="V354" s="898"/>
      <c r="W354" s="1096">
        <f t="shared" si="76"/>
        <v>0</v>
      </c>
      <c r="X354" s="1097">
        <f t="shared" si="77"/>
        <v>0</v>
      </c>
      <c r="Y354" s="238"/>
    </row>
    <row r="355" spans="1:26" s="1021" customFormat="1">
      <c r="A355" s="660" t="s">
        <v>5266</v>
      </c>
      <c r="B355" s="505" t="s">
        <v>1264</v>
      </c>
      <c r="C355" s="497">
        <f>IF(solids_pad_area=0,0,1)</f>
        <v>0</v>
      </c>
      <c r="D355" s="506" t="s">
        <v>2192</v>
      </c>
      <c r="E355" s="499">
        <f>solids_pad_concrete</f>
        <v>0</v>
      </c>
      <c r="F355" s="500" t="str">
        <f>IF(E355=0,"","cy")</f>
        <v/>
      </c>
      <c r="G355" s="499">
        <f>solids_pad_concrete</f>
        <v>0</v>
      </c>
      <c r="H355" s="500" t="str">
        <f>IF(G355=0,"","cy")</f>
        <v/>
      </c>
      <c r="I355" s="478" t="str">
        <f>IF(C355=0,"NA",VLOOKUP(0,conc_pad_cost_cl,3))</f>
        <v>NA</v>
      </c>
      <c r="J355" s="490" t="str">
        <f>IF(OR(I355="NA",I355="contact vendor"),"--",E355*I355)</f>
        <v>--</v>
      </c>
      <c r="K355" s="497" t="str">
        <f>IF(C355=0,"NA",VLOOKUP(0,conc_pad_cost_cl,IF(ss_cat="large",4,5)))</f>
        <v>NA</v>
      </c>
      <c r="L355" s="504"/>
      <c r="M355" s="1100" t="str">
        <f>B355</f>
        <v>Solids drying pad</v>
      </c>
      <c r="N355" s="238">
        <v>1</v>
      </c>
      <c r="O355" s="238">
        <v>1</v>
      </c>
      <c r="P355" s="238">
        <v>1</v>
      </c>
      <c r="Q355" s="238">
        <v>1</v>
      </c>
      <c r="R355" s="238">
        <v>1</v>
      </c>
      <c r="S355" s="238">
        <v>1</v>
      </c>
      <c r="T355" s="238">
        <v>1</v>
      </c>
      <c r="U355" s="238">
        <v>1</v>
      </c>
      <c r="V355" s="238">
        <v>1</v>
      </c>
      <c r="W355" s="1096">
        <f t="shared" si="76"/>
        <v>0</v>
      </c>
      <c r="X355" s="1097">
        <f t="shared" si="77"/>
        <v>0</v>
      </c>
      <c r="Y355" s="238"/>
    </row>
    <row r="356" spans="1:26" s="1021" customFormat="1">
      <c r="A356" s="664" t="s">
        <v>3227</v>
      </c>
      <c r="B356" s="342" t="s">
        <v>2073</v>
      </c>
      <c r="C356" s="345"/>
      <c r="D356" s="346"/>
      <c r="E356" s="345"/>
      <c r="F356" s="346"/>
      <c r="G356" s="345"/>
      <c r="H356" s="346"/>
      <c r="I356" s="345"/>
      <c r="J356" s="345"/>
      <c r="K356" s="345"/>
      <c r="L356" s="411"/>
      <c r="M356" s="1100"/>
      <c r="N356" s="898"/>
      <c r="O356" s="898"/>
      <c r="P356" s="898"/>
      <c r="Q356" s="898"/>
      <c r="R356" s="898"/>
      <c r="S356" s="898"/>
      <c r="T356" s="898"/>
      <c r="U356" s="898"/>
      <c r="V356" s="898"/>
      <c r="W356" s="1096">
        <f t="shared" si="76"/>
        <v>0</v>
      </c>
      <c r="X356" s="1097">
        <f t="shared" si="77"/>
        <v>0</v>
      </c>
      <c r="Y356" s="238"/>
    </row>
    <row r="357" spans="1:26" s="1021" customFormat="1">
      <c r="A357" s="666" t="s">
        <v>3228</v>
      </c>
      <c r="B357" s="547" t="s">
        <v>4015</v>
      </c>
      <c r="C357" s="548">
        <f>num_wells</f>
        <v>0</v>
      </c>
      <c r="D357" s="529" t="str">
        <f>IF(C357=1,"well","wells")</f>
        <v>wells</v>
      </c>
      <c r="E357" s="549">
        <f>flow_per_well</f>
        <v>0</v>
      </c>
      <c r="F357" s="550" t="s">
        <v>2193</v>
      </c>
      <c r="G357" s="549">
        <f>flow_per_well</f>
        <v>0</v>
      </c>
      <c r="H357" s="550" t="s">
        <v>2193</v>
      </c>
      <c r="I357" s="552">
        <f>injection_well_cost</f>
        <v>0</v>
      </c>
      <c r="J357" s="553">
        <f>IF(OR(I357="NA",I357="contact vendor"),"--",C357*I357)</f>
        <v>0</v>
      </c>
      <c r="K357" s="548">
        <f>IF(ss_cat="large",injection_well_UL_large_cl,injection_well_UL_small_cl)</f>
        <v>30</v>
      </c>
      <c r="L357" s="551"/>
      <c r="M357" s="1100" t="str">
        <f>B357</f>
        <v>Concentrate injection wells</v>
      </c>
      <c r="N357" s="238">
        <f t="shared" ref="N357:V357" si="78">IF(res_s2_opt=4,1,0)</f>
        <v>0</v>
      </c>
      <c r="O357" s="238">
        <f t="shared" si="78"/>
        <v>0</v>
      </c>
      <c r="P357" s="238">
        <f t="shared" si="78"/>
        <v>0</v>
      </c>
      <c r="Q357" s="238">
        <f t="shared" si="78"/>
        <v>0</v>
      </c>
      <c r="R357" s="238">
        <f t="shared" si="78"/>
        <v>0</v>
      </c>
      <c r="S357" s="238">
        <f t="shared" si="78"/>
        <v>0</v>
      </c>
      <c r="T357" s="238">
        <f t="shared" si="78"/>
        <v>0</v>
      </c>
      <c r="U357" s="238">
        <f t="shared" si="78"/>
        <v>0</v>
      </c>
      <c r="V357" s="238">
        <f t="shared" si="78"/>
        <v>0</v>
      </c>
      <c r="W357" s="1096">
        <f t="shared" si="76"/>
        <v>0</v>
      </c>
      <c r="X357" s="1097">
        <f t="shared" si="77"/>
        <v>0</v>
      </c>
      <c r="Y357" s="238"/>
    </row>
    <row r="358" spans="1:26" s="816" customFormat="1" ht="14.25" customHeight="1">
      <c r="A358" s="315"/>
      <c r="B358" s="316"/>
      <c r="C358" s="317"/>
      <c r="D358" s="318"/>
      <c r="E358" s="319"/>
      <c r="F358" s="317"/>
      <c r="G358" s="320"/>
      <c r="H358" s="317"/>
      <c r="I358" s="321"/>
      <c r="J358" s="322"/>
      <c r="K358" s="323"/>
      <c r="L358" s="324"/>
      <c r="M358" s="1104"/>
      <c r="N358" s="633"/>
      <c r="O358" s="238"/>
      <c r="P358" s="238"/>
      <c r="Q358" s="238"/>
      <c r="R358" s="238"/>
      <c r="S358" s="238"/>
      <c r="T358" s="238"/>
      <c r="U358" s="238"/>
      <c r="V358" s="238"/>
      <c r="W358" s="238"/>
      <c r="X358" s="238"/>
      <c r="Y358" s="238"/>
      <c r="Z358" s="1095"/>
    </row>
    <row r="359" spans="1:26" ht="12" customHeight="1">
      <c r="A359" s="907" t="s">
        <v>1058</v>
      </c>
      <c r="B359" s="956"/>
      <c r="D359" s="957"/>
      <c r="E359" s="958"/>
      <c r="F359" s="317"/>
      <c r="G359" s="320"/>
      <c r="H359" s="317"/>
      <c r="I359" s="321"/>
      <c r="J359" s="322"/>
      <c r="K359" s="323"/>
      <c r="L359" s="324"/>
      <c r="M359" s="807"/>
      <c r="N359" s="238"/>
      <c r="O359" s="238"/>
      <c r="P359" s="238"/>
      <c r="Q359" s="238"/>
      <c r="R359" s="238"/>
      <c r="S359" s="238"/>
      <c r="T359" s="238"/>
      <c r="U359" s="238"/>
      <c r="V359" s="238"/>
      <c r="W359" s="633" t="s">
        <v>739</v>
      </c>
      <c r="X359" s="633" t="s">
        <v>740</v>
      </c>
      <c r="Y359" s="633" t="s">
        <v>741</v>
      </c>
    </row>
    <row r="360" spans="1:26" ht="12" customHeight="1">
      <c r="A360" s="959"/>
      <c r="B360" s="153" t="s">
        <v>5520</v>
      </c>
      <c r="C360" s="904" t="s">
        <v>5285</v>
      </c>
      <c r="D360" s="905" t="s">
        <v>1991</v>
      </c>
      <c r="E360" s="319"/>
      <c r="F360" s="317"/>
      <c r="G360" s="320"/>
      <c r="H360" s="317"/>
      <c r="I360" s="321"/>
      <c r="J360" s="322"/>
      <c r="K360" s="323"/>
      <c r="L360" s="324"/>
      <c r="M360" s="886"/>
      <c r="N360" s="238"/>
      <c r="O360" s="238"/>
      <c r="P360" s="238"/>
      <c r="Q360" s="238"/>
      <c r="R360" s="238"/>
      <c r="S360" s="238"/>
      <c r="T360" s="238"/>
      <c r="U360" s="238"/>
      <c r="V360" s="238"/>
      <c r="W360" s="1097">
        <f ca="1">SUMPRODUCT(J34:J357,W34:W357)</f>
        <v>1717293.3426575132</v>
      </c>
      <c r="X360" s="1097">
        <f ca="1">SUM(X34:X357)</f>
        <v>66288.601866313533</v>
      </c>
      <c r="Y360" s="238">
        <f ca="1">MAX(Y307:Y310,Y321:Y324,Y335:Y338)</f>
        <v>0</v>
      </c>
    </row>
    <row r="361" spans="1:26">
      <c r="A361" s="315"/>
      <c r="B361" s="325" t="s">
        <v>1059</v>
      </c>
      <c r="C361" s="326">
        <f ca="1">SUMPRODUCT(J34:J304,L34:L304)+SUMPRODUCT(J350:J357,L350:L357)</f>
        <v>1802145.3426575128</v>
      </c>
      <c r="D361" s="906" t="s">
        <v>5286</v>
      </c>
      <c r="E361" s="319"/>
      <c r="F361" s="317"/>
      <c r="G361" s="320"/>
      <c r="H361" s="317"/>
      <c r="I361" s="321"/>
      <c r="J361" s="322"/>
      <c r="K361" s="323"/>
      <c r="L361" s="324"/>
      <c r="M361" s="807"/>
      <c r="N361" s="633"/>
      <c r="O361" s="633"/>
      <c r="P361" s="633"/>
      <c r="Q361" s="633"/>
      <c r="R361" s="633"/>
      <c r="S361" s="633"/>
      <c r="T361" s="633"/>
      <c r="U361" s="633"/>
      <c r="V361" s="633"/>
      <c r="W361" s="1046" t="s">
        <v>5518</v>
      </c>
      <c r="X361" s="807" t="s">
        <v>5519</v>
      </c>
      <c r="Y361" s="807"/>
    </row>
    <row r="362" spans="1:26">
      <c r="A362" s="315"/>
      <c r="B362" s="327" t="s">
        <v>1060</v>
      </c>
      <c r="C362" s="328">
        <f ca="1">SUMPRODUCT(J306:J348,L306:L348)</f>
        <v>134027.99999999997</v>
      </c>
      <c r="D362" s="796" t="s">
        <v>5447</v>
      </c>
      <c r="E362" s="319"/>
      <c r="F362" s="317"/>
      <c r="G362" s="320"/>
      <c r="H362" s="317"/>
      <c r="I362" s="321"/>
      <c r="J362" s="322"/>
      <c r="K362" s="323"/>
      <c r="L362" s="324"/>
      <c r="M362" s="807"/>
      <c r="N362" s="633"/>
      <c r="O362" s="633"/>
      <c r="P362" s="633"/>
      <c r="Q362" s="633"/>
      <c r="R362" s="633"/>
      <c r="S362" s="633"/>
      <c r="T362" s="633"/>
      <c r="U362" s="633"/>
      <c r="V362" s="633"/>
      <c r="W362" s="1105">
        <f ca="1">SUMPRODUCT(J35:J47,W35:W47)</f>
        <v>316488.65555010427</v>
      </c>
      <c r="X362" s="1105">
        <f ca="1">SUM(X35:X47)</f>
        <v>10431.154665297043</v>
      </c>
      <c r="Y362" s="807"/>
    </row>
    <row r="363" spans="1:26" ht="16">
      <c r="A363" s="334"/>
      <c r="B363" s="330" t="s">
        <v>1061</v>
      </c>
      <c r="C363" s="331">
        <f ca="1">process_cost+building_cost</f>
        <v>1936173.3426575128</v>
      </c>
      <c r="D363" s="803" t="s">
        <v>2169</v>
      </c>
      <c r="E363" s="332"/>
      <c r="F363" s="333"/>
      <c r="G363" s="311"/>
      <c r="H363" s="333"/>
      <c r="I363" s="333"/>
      <c r="J363" s="311"/>
      <c r="K363" s="333"/>
      <c r="L363" s="313"/>
    </row>
    <row r="364" spans="1:26">
      <c r="A364" s="257"/>
      <c r="B364" s="296"/>
      <c r="C364" s="365"/>
      <c r="D364" s="297"/>
      <c r="E364" s="257"/>
      <c r="F364" s="257"/>
      <c r="G364" s="257"/>
      <c r="H364" s="257"/>
      <c r="I364" s="257"/>
      <c r="J364" s="257"/>
      <c r="K364" s="257"/>
      <c r="L364" s="257"/>
    </row>
    <row r="365" spans="1:26" s="816" customFormat="1" ht="16">
      <c r="A365" s="299" t="s">
        <v>5287</v>
      </c>
      <c r="B365" s="350"/>
      <c r="C365" s="304"/>
      <c r="D365" s="302"/>
      <c r="E365" s="304"/>
      <c r="F365" s="303"/>
      <c r="G365" s="351"/>
      <c r="H365" s="309"/>
      <c r="I365" s="312"/>
      <c r="J365" s="309"/>
      <c r="K365" s="309"/>
      <c r="L365" s="309"/>
      <c r="M365" s="1095"/>
      <c r="N365" s="1095"/>
      <c r="O365" s="1095"/>
      <c r="P365" s="1095"/>
      <c r="Q365" s="1095"/>
      <c r="R365" s="1095"/>
      <c r="S365" s="1095"/>
      <c r="T365" s="1095"/>
      <c r="U365" s="1095"/>
      <c r="V365" s="1095"/>
      <c r="W365" s="1095"/>
      <c r="X365" s="1095"/>
      <c r="Y365" s="1095"/>
      <c r="Z365" s="1095"/>
    </row>
    <row r="366" spans="1:26" s="816" customFormat="1" ht="16">
      <c r="A366" s="908"/>
      <c r="B366" s="153" t="s">
        <v>5289</v>
      </c>
      <c r="C366" s="909" t="s">
        <v>5285</v>
      </c>
      <c r="D366" s="153" t="s">
        <v>1991</v>
      </c>
      <c r="E366" s="312"/>
      <c r="F366" s="309"/>
      <c r="G366" s="352"/>
      <c r="H366" s="309"/>
      <c r="I366" s="312"/>
      <c r="J366" s="309"/>
      <c r="K366" s="309"/>
      <c r="L366" s="309"/>
      <c r="M366" s="1095"/>
      <c r="N366" s="1095"/>
      <c r="O366" s="1095"/>
      <c r="P366" s="1095"/>
      <c r="Q366" s="1095"/>
      <c r="R366" s="1095"/>
      <c r="S366" s="1095"/>
      <c r="T366" s="1095"/>
      <c r="U366" s="1095"/>
      <c r="V366" s="1095"/>
      <c r="W366" s="1095"/>
      <c r="X366" s="1095"/>
      <c r="Y366" s="1095"/>
      <c r="Z366" s="1095"/>
    </row>
    <row r="367" spans="1:26">
      <c r="A367" s="347"/>
      <c r="B367" s="358" t="s">
        <v>3232</v>
      </c>
      <c r="C367" s="359">
        <f ca="1">include_permits*permit_cost</f>
        <v>1903.6000000000001</v>
      </c>
      <c r="D367" s="329"/>
      <c r="E367" s="312"/>
      <c r="F367" s="309"/>
      <c r="G367" s="352"/>
      <c r="H367" s="257"/>
      <c r="I367" s="257"/>
      <c r="J367" s="257"/>
      <c r="K367" s="257"/>
      <c r="L367" s="257"/>
    </row>
    <row r="368" spans="1:26">
      <c r="A368" s="347"/>
      <c r="B368" s="360" t="s">
        <v>3233</v>
      </c>
      <c r="C368" s="361">
        <f ca="1">include_pilot*VLOOKUP(tech_name,CHOOSE(ss_cat2,pilot_cost_small_cl,pilot_cost_medium_cl,pilot_cost_large_cl),2,FALSE)</f>
        <v>66652.775724390434</v>
      </c>
      <c r="D368" s="353"/>
      <c r="E368" s="312"/>
      <c r="F368" s="309"/>
      <c r="G368" s="352"/>
      <c r="H368" s="257"/>
      <c r="I368" s="257"/>
      <c r="J368" s="257"/>
      <c r="K368" s="257"/>
      <c r="L368" s="257"/>
      <c r="M368" s="1106"/>
    </row>
    <row r="369" spans="1:26">
      <c r="A369" s="348"/>
      <c r="B369" s="362" t="s">
        <v>774</v>
      </c>
      <c r="C369" s="363">
        <f ca="1">include_land*land_required*land_cost</f>
        <v>0</v>
      </c>
      <c r="D369" s="354" t="str">
        <f ca="1">"For "&amp;TEXT(land_required,"#0.00")&amp;" acres"</f>
        <v>For 0.61 acres</v>
      </c>
      <c r="E369" s="309"/>
      <c r="F369" s="309"/>
      <c r="G369" s="308"/>
      <c r="H369" s="152"/>
      <c r="I369" s="152"/>
      <c r="J369" s="152"/>
      <c r="K369" s="152"/>
      <c r="L369" s="152"/>
      <c r="M369" s="1107"/>
    </row>
    <row r="370" spans="1:26" ht="16">
      <c r="A370" s="349"/>
      <c r="B370" s="330" t="s">
        <v>618</v>
      </c>
      <c r="C370" s="364">
        <f ca="1">SUM(C369,C367:C368)</f>
        <v>68556.37572439044</v>
      </c>
      <c r="D370" s="355" t="s">
        <v>157</v>
      </c>
      <c r="E370" s="356"/>
      <c r="F370" s="356"/>
      <c r="G370" s="357"/>
      <c r="H370" s="152"/>
      <c r="I370" s="152"/>
      <c r="J370" s="152"/>
      <c r="K370" s="152"/>
      <c r="L370" s="152"/>
      <c r="M370" s="1095"/>
    </row>
    <row r="371" spans="1:26">
      <c r="A371" s="388"/>
      <c r="B371" s="296"/>
      <c r="C371" s="365"/>
      <c r="D371" s="152"/>
      <c r="E371" s="152"/>
      <c r="F371" s="152"/>
      <c r="G371" s="152"/>
      <c r="H371" s="152"/>
      <c r="I371" s="152"/>
      <c r="J371" s="152"/>
      <c r="K371" s="152"/>
      <c r="L371" s="152"/>
      <c r="M371" s="1095"/>
    </row>
    <row r="372" spans="1:26" s="816" customFormat="1" ht="16">
      <c r="A372" s="299" t="s">
        <v>5288</v>
      </c>
      <c r="B372" s="350"/>
      <c r="C372" s="303"/>
      <c r="D372" s="546" t="s">
        <v>445</v>
      </c>
      <c r="E372" s="303"/>
      <c r="F372" s="303"/>
      <c r="G372" s="303"/>
      <c r="H372" s="303"/>
      <c r="I372" s="303"/>
      <c r="J372" s="303"/>
      <c r="K372" s="305"/>
      <c r="L372" s="309"/>
      <c r="M372" s="1095"/>
      <c r="N372" s="1095"/>
      <c r="O372" s="1095"/>
      <c r="P372" s="1095"/>
      <c r="Q372" s="1095"/>
      <c r="R372" s="1095"/>
      <c r="S372" s="1095"/>
      <c r="T372" s="1095"/>
      <c r="U372" s="1095"/>
      <c r="V372" s="1095"/>
      <c r="W372" s="1095"/>
      <c r="X372" s="1095"/>
      <c r="Y372" s="1095"/>
      <c r="Z372" s="1095"/>
    </row>
    <row r="373" spans="1:26" s="816" customFormat="1" ht="16">
      <c r="A373" s="908"/>
      <c r="B373" s="153" t="s">
        <v>5521</v>
      </c>
      <c r="C373" s="909" t="s">
        <v>5285</v>
      </c>
      <c r="D373" s="910" t="s">
        <v>5290</v>
      </c>
      <c r="E373" s="911" t="s">
        <v>1991</v>
      </c>
      <c r="F373" s="309"/>
      <c r="G373" s="309"/>
      <c r="H373" s="309"/>
      <c r="I373" s="309"/>
      <c r="J373" s="309"/>
      <c r="K373" s="308"/>
      <c r="L373" s="309"/>
      <c r="M373" s="1095"/>
      <c r="N373" s="1095"/>
      <c r="O373" s="1095"/>
      <c r="P373" s="1095"/>
      <c r="Q373" s="1095"/>
      <c r="R373" s="1095"/>
      <c r="S373" s="1095"/>
      <c r="T373" s="1095"/>
      <c r="U373" s="1095"/>
      <c r="V373" s="1095"/>
      <c r="W373" s="1095"/>
      <c r="X373" s="1095"/>
      <c r="Y373" s="1095"/>
      <c r="Z373" s="1095"/>
    </row>
    <row r="374" spans="1:26">
      <c r="A374" s="347"/>
      <c r="B374" s="358" t="s">
        <v>2762</v>
      </c>
      <c r="C374" s="1209">
        <f ca="1">(direct_cost-total_injection_well_cost+C376+C377+C378+C379+C380+C381+C382+C385)*D374+total_injection_well_cost*mob_pct_well</f>
        <v>103337.04907905553</v>
      </c>
      <c r="D374" s="795">
        <f>CHOOSE(ss_cat2,mob_pct_small,mob_pct_medium,mob_pct_large)</f>
        <v>0.04</v>
      </c>
      <c r="E374" s="796" t="s">
        <v>5291</v>
      </c>
      <c r="F374" s="309"/>
      <c r="G374" s="309"/>
      <c r="H374" s="309"/>
      <c r="I374" s="309"/>
      <c r="J374" s="309"/>
      <c r="K374" s="308"/>
      <c r="L374" s="257"/>
      <c r="N374" s="1089"/>
    </row>
    <row r="375" spans="1:26">
      <c r="A375" s="347"/>
      <c r="B375" s="360" t="s">
        <v>2763</v>
      </c>
      <c r="C375" s="383">
        <f ca="1">IF(ss_cat2=1,include_arch_small,include_arch)*building_cost*D375</f>
        <v>12062.519999999997</v>
      </c>
      <c r="D375" s="797">
        <f ca="1">VLOOKUP(building_cost,architectural_table_cl,3)</f>
        <v>0.09</v>
      </c>
      <c r="E375" s="621" t="s">
        <v>904</v>
      </c>
      <c r="F375" s="309"/>
      <c r="G375" s="309"/>
      <c r="H375" s="309"/>
      <c r="I375" s="309"/>
      <c r="J375" s="309"/>
      <c r="K375" s="308"/>
      <c r="L375" s="257"/>
      <c r="N375" s="1089"/>
    </row>
    <row r="376" spans="1:26">
      <c r="A376" s="347"/>
      <c r="B376" s="360" t="s">
        <v>3641</v>
      </c>
      <c r="C376" s="384">
        <f ca="1">direct_cost*D376</f>
        <v>0</v>
      </c>
      <c r="D376" s="797">
        <f>inst_pct</f>
        <v>0</v>
      </c>
      <c r="E376" s="621"/>
      <c r="F376" s="309"/>
      <c r="G376" s="309"/>
      <c r="H376" s="309"/>
      <c r="I376" s="309"/>
      <c r="J376" s="309"/>
      <c r="K376" s="308"/>
      <c r="L376" s="257"/>
      <c r="N376" s="1089"/>
    </row>
    <row r="377" spans="1:26">
      <c r="A377" s="347"/>
      <c r="B377" s="360" t="s">
        <v>573</v>
      </c>
      <c r="C377" s="385">
        <f ca="1">include_sitework*sitework_cost</f>
        <v>215867.07692307691</v>
      </c>
      <c r="D377" s="626"/>
      <c r="E377" s="621" t="s">
        <v>619</v>
      </c>
      <c r="F377" s="309"/>
      <c r="G377" s="309"/>
      <c r="H377" s="309"/>
      <c r="I377" s="309"/>
      <c r="J377" s="309"/>
      <c r="K377" s="308"/>
      <c r="L377" s="257"/>
      <c r="N377" s="1089"/>
    </row>
    <row r="378" spans="1:26">
      <c r="A378" s="347"/>
      <c r="B378" s="360" t="s">
        <v>2764</v>
      </c>
      <c r="C378" s="385">
        <f ca="1">include_yardpipe*yard_cost</f>
        <v>13788.224578581687</v>
      </c>
      <c r="D378" s="798"/>
      <c r="E378" s="621" t="s">
        <v>619</v>
      </c>
      <c r="F378" s="309"/>
      <c r="G378" s="309"/>
      <c r="H378" s="309"/>
      <c r="I378" s="309"/>
      <c r="J378" s="309"/>
      <c r="K378" s="308"/>
      <c r="L378" s="257"/>
      <c r="N378" s="1089"/>
    </row>
    <row r="379" spans="1:26">
      <c r="A379" s="347"/>
      <c r="B379" s="360" t="s">
        <v>2765</v>
      </c>
      <c r="C379" s="385">
        <f ca="1">include_geotech*geotech_cost</f>
        <v>0</v>
      </c>
      <c r="D379" s="798"/>
      <c r="E379" s="621" t="s">
        <v>5140</v>
      </c>
      <c r="F379" s="309"/>
      <c r="G379" s="309"/>
      <c r="H379" s="309"/>
      <c r="I379" s="309"/>
      <c r="J379" s="309"/>
      <c r="K379" s="308"/>
      <c r="L379" s="257"/>
      <c r="N379" s="1089"/>
    </row>
    <row r="380" spans="1:26">
      <c r="A380" s="347"/>
      <c r="B380" s="360" t="s">
        <v>3229</v>
      </c>
      <c r="C380" s="385">
        <f ca="1">IF(ss_cat2=1,include_standby_small,include_standby)*std_power_cost</f>
        <v>43765.714285714283</v>
      </c>
      <c r="D380" s="799"/>
      <c r="E380" s="621" t="s">
        <v>905</v>
      </c>
      <c r="F380" s="309"/>
      <c r="G380" s="309"/>
      <c r="H380" s="309"/>
      <c r="I380" s="309"/>
      <c r="J380" s="309"/>
      <c r="K380" s="308"/>
      <c r="L380" s="257"/>
      <c r="N380" s="1089"/>
    </row>
    <row r="381" spans="1:26">
      <c r="A381" s="347"/>
      <c r="B381" s="360" t="s">
        <v>3230</v>
      </c>
      <c r="C381" s="384">
        <f ca="1">process_cost*D381</f>
        <v>180214.53426575128</v>
      </c>
      <c r="D381" s="797">
        <f>elect_pct</f>
        <v>0.1</v>
      </c>
      <c r="E381" s="606" t="s">
        <v>3552</v>
      </c>
      <c r="F381" s="309"/>
      <c r="G381" s="309"/>
      <c r="H381" s="309"/>
      <c r="I381" s="309"/>
      <c r="J381" s="309"/>
      <c r="K381" s="308"/>
      <c r="L381" s="257"/>
      <c r="N381" s="1089"/>
    </row>
    <row r="382" spans="1:26">
      <c r="A382" s="347"/>
      <c r="B382" s="360" t="s">
        <v>3231</v>
      </c>
      <c r="C382" s="384">
        <f t="shared" ref="C382:C388" ca="1" si="79">direct_cost*D382</f>
        <v>0</v>
      </c>
      <c r="D382" s="797">
        <f>i_c_pct</f>
        <v>0</v>
      </c>
      <c r="E382" s="622"/>
      <c r="F382" s="309"/>
      <c r="G382" s="309"/>
      <c r="H382" s="309"/>
      <c r="I382" s="309"/>
      <c r="J382" s="309"/>
      <c r="K382" s="308"/>
      <c r="L382" s="257"/>
      <c r="N382" s="1089"/>
    </row>
    <row r="383" spans="1:26">
      <c r="A383" s="347"/>
      <c r="B383" s="360" t="s">
        <v>3234</v>
      </c>
      <c r="C383" s="384">
        <f ca="1">IF(component_level="",include_conting_low,IF(component_level=1,include_conting_medium,include_conting_high))*(direct_cost+addon_cost+SUM(C374:C382,C384:C389))*D383</f>
        <v>0</v>
      </c>
      <c r="D383" s="797">
        <f ca="1">IF(component_level="",include_conting_low,IF(component_level=1,include_conting_medium,include_conting_high))*VLOOKUP(direct_cost,contingency_table_cl,3)*complexity</f>
        <v>0</v>
      </c>
      <c r="E383" s="621" t="s">
        <v>906</v>
      </c>
      <c r="F383" s="309"/>
      <c r="G383" s="309"/>
      <c r="H383" s="309"/>
      <c r="I383" s="309"/>
      <c r="J383" s="309"/>
      <c r="K383" s="308"/>
      <c r="L383" s="257"/>
      <c r="N383" s="1089"/>
    </row>
    <row r="384" spans="1:26">
      <c r="A384" s="347"/>
      <c r="B384" s="360" t="s">
        <v>3235</v>
      </c>
      <c r="C384" s="384">
        <f ca="1">direct_cost*D384</f>
        <v>232340.80111890152</v>
      </c>
      <c r="D384" s="797">
        <f>CHOOSE(ss_cat2,eng_pct_small,eng_pct_medium,eng_pct_large)</f>
        <v>0.12</v>
      </c>
      <c r="E384" s="621"/>
      <c r="F384" s="309"/>
      <c r="G384" s="309"/>
      <c r="H384" s="309"/>
      <c r="I384" s="309"/>
      <c r="J384" s="309"/>
      <c r="K384" s="308"/>
      <c r="L384" s="257"/>
      <c r="N384" s="1089"/>
    </row>
    <row r="385" spans="1:26">
      <c r="A385" s="347"/>
      <c r="B385" s="360" t="s">
        <v>1587</v>
      </c>
      <c r="C385" s="384">
        <f t="shared" ca="1" si="79"/>
        <v>193617.3342657513</v>
      </c>
      <c r="D385" s="797">
        <f>misc_pct</f>
        <v>0.1</v>
      </c>
      <c r="E385" s="621"/>
      <c r="F385" s="309"/>
      <c r="G385" s="309"/>
      <c r="H385" s="309"/>
      <c r="I385" s="309"/>
      <c r="J385" s="309"/>
      <c r="K385" s="308"/>
      <c r="L385" s="257"/>
      <c r="N385" s="1089"/>
    </row>
    <row r="386" spans="1:26">
      <c r="A386" s="347"/>
      <c r="B386" s="360" t="s">
        <v>3236</v>
      </c>
      <c r="C386" s="384">
        <f t="shared" ca="1" si="79"/>
        <v>38723.466853150254</v>
      </c>
      <c r="D386" s="797">
        <f>legal_pct</f>
        <v>0.02</v>
      </c>
      <c r="E386" s="621"/>
      <c r="F386" s="309"/>
      <c r="G386" s="309"/>
      <c r="H386" s="309"/>
      <c r="I386" s="309"/>
      <c r="J386" s="309"/>
      <c r="K386" s="308"/>
      <c r="L386" s="257"/>
      <c r="N386" s="1089"/>
    </row>
    <row r="387" spans="1:26">
      <c r="A387" s="347"/>
      <c r="B387" s="360" t="s">
        <v>3049</v>
      </c>
      <c r="C387" s="384">
        <f t="shared" ca="1" si="79"/>
        <v>0</v>
      </c>
      <c r="D387" s="797">
        <f>tax_pct</f>
        <v>0</v>
      </c>
      <c r="E387" s="621"/>
      <c r="F387" s="309"/>
      <c r="G387" s="309"/>
      <c r="H387" s="309"/>
      <c r="I387" s="309"/>
      <c r="J387" s="309"/>
      <c r="K387" s="308"/>
      <c r="L387" s="257"/>
      <c r="N387" s="1089"/>
    </row>
    <row r="388" spans="1:26">
      <c r="A388" s="347"/>
      <c r="B388" s="360" t="s">
        <v>3051</v>
      </c>
      <c r="C388" s="384">
        <f t="shared" ca="1" si="79"/>
        <v>96808.667132875649</v>
      </c>
      <c r="D388" s="800">
        <f>IF(ss_cat2=1,finance_pct_small,finance_pct)</f>
        <v>0.05</v>
      </c>
      <c r="E388" s="621"/>
      <c r="F388" s="309"/>
      <c r="G388" s="309"/>
      <c r="H388" s="309"/>
      <c r="I388" s="309"/>
      <c r="J388" s="309"/>
      <c r="K388" s="308"/>
      <c r="L388" s="257"/>
      <c r="N388" s="1089"/>
    </row>
    <row r="389" spans="1:26" s="816" customFormat="1">
      <c r="A389" s="347"/>
      <c r="B389" s="362" t="s">
        <v>3307</v>
      </c>
      <c r="C389" s="386">
        <f ca="1">cm_cost</f>
        <v>126253.38992448631</v>
      </c>
      <c r="D389" s="801"/>
      <c r="E389" s="621"/>
      <c r="F389" s="309"/>
      <c r="G389" s="309"/>
      <c r="H389" s="309"/>
      <c r="I389" s="309"/>
      <c r="J389" s="309"/>
      <c r="K389" s="309"/>
      <c r="L389" s="347"/>
      <c r="M389" s="1095"/>
      <c r="N389" s="1095"/>
      <c r="O389" s="1095"/>
      <c r="P389" s="1095"/>
      <c r="Q389" s="1095"/>
      <c r="R389" s="1095"/>
      <c r="S389" s="1095"/>
      <c r="T389" s="1095"/>
      <c r="U389" s="1095"/>
      <c r="V389" s="1095"/>
      <c r="W389" s="1095"/>
      <c r="X389" s="1095"/>
      <c r="Y389" s="1095"/>
      <c r="Z389" s="1095"/>
    </row>
    <row r="390" spans="1:26" ht="16">
      <c r="A390" s="349"/>
      <c r="B390" s="330" t="s">
        <v>1050</v>
      </c>
      <c r="C390" s="387">
        <f ca="1">indirect_cost_mult*direct_cost+indirect_cost_add</f>
        <v>1256778.7784273445</v>
      </c>
      <c r="D390" s="802"/>
      <c r="E390" s="803" t="s">
        <v>1051</v>
      </c>
      <c r="F390" s="292"/>
      <c r="G390" s="333"/>
      <c r="H390" s="333"/>
      <c r="I390" s="333"/>
      <c r="J390" s="333"/>
      <c r="K390" s="313"/>
      <c r="L390" s="257"/>
      <c r="N390" s="1089"/>
    </row>
    <row r="391" spans="1:26">
      <c r="A391" s="388"/>
      <c r="B391" s="607"/>
      <c r="C391" s="257"/>
      <c r="D391" s="389"/>
      <c r="E391" s="297"/>
      <c r="F391" s="257"/>
      <c r="G391" s="257"/>
      <c r="H391" s="257"/>
      <c r="I391" s="257"/>
      <c r="J391" s="257"/>
      <c r="K391" s="257"/>
      <c r="L391" s="257"/>
      <c r="N391" s="1089"/>
    </row>
    <row r="392" spans="1:26" ht="16">
      <c r="A392" s="373" t="s">
        <v>1315</v>
      </c>
      <c r="B392" s="350"/>
      <c r="C392" s="303"/>
      <c r="D392" s="302"/>
      <c r="E392" s="303"/>
      <c r="F392" s="303"/>
      <c r="G392" s="303"/>
      <c r="H392" s="303"/>
      <c r="I392" s="303"/>
      <c r="J392" s="303"/>
      <c r="K392" s="303"/>
      <c r="L392" s="305"/>
      <c r="N392" s="1089"/>
    </row>
    <row r="393" spans="1:26" ht="16">
      <c r="A393" s="912"/>
      <c r="B393" s="910" t="s">
        <v>1988</v>
      </c>
      <c r="C393" s="1047" t="s">
        <v>1990</v>
      </c>
      <c r="D393" s="1048" t="s">
        <v>1991</v>
      </c>
      <c r="E393" s="309"/>
      <c r="F393" s="309"/>
      <c r="G393" s="309"/>
      <c r="H393" s="309"/>
      <c r="I393" s="309"/>
      <c r="J393" s="309"/>
      <c r="K393" s="309"/>
      <c r="L393" s="308"/>
      <c r="N393" s="1089"/>
    </row>
    <row r="394" spans="1:26">
      <c r="A394" s="347"/>
      <c r="B394" s="1082" t="s">
        <v>5551</v>
      </c>
      <c r="C394" s="375">
        <v>1</v>
      </c>
      <c r="D394" s="366" t="s">
        <v>694</v>
      </c>
      <c r="E394" s="309"/>
      <c r="F394" s="309"/>
      <c r="G394" s="309"/>
      <c r="H394" s="309"/>
      <c r="I394" s="309"/>
      <c r="J394" s="309"/>
      <c r="K394" s="309"/>
      <c r="L394" s="308"/>
    </row>
    <row r="395" spans="1:26">
      <c r="A395" s="1023"/>
      <c r="B395" s="157"/>
      <c r="C395" s="1058"/>
      <c r="D395" s="366"/>
      <c r="E395" s="309"/>
      <c r="F395" s="309"/>
      <c r="G395" s="309"/>
      <c r="H395" s="309"/>
      <c r="I395" s="309"/>
      <c r="J395" s="309"/>
      <c r="K395" s="309"/>
      <c r="L395" s="308"/>
    </row>
    <row r="396" spans="1:26">
      <c r="A396" s="347"/>
      <c r="B396" s="153" t="s">
        <v>5522</v>
      </c>
      <c r="C396" s="1049" t="s">
        <v>5285</v>
      </c>
      <c r="D396" s="374"/>
      <c r="E396" s="366"/>
      <c r="F396" s="309"/>
      <c r="G396" s="309"/>
      <c r="H396" s="309"/>
      <c r="I396" s="309"/>
      <c r="J396" s="309"/>
      <c r="K396" s="309"/>
      <c r="L396" s="308"/>
    </row>
    <row r="397" spans="1:26">
      <c r="A397" s="347"/>
      <c r="B397" s="358" t="s">
        <v>2799</v>
      </c>
      <c r="C397" s="378">
        <f ca="1">direct_cost</f>
        <v>1936173.3426575128</v>
      </c>
      <c r="D397" s="374"/>
      <c r="E397" s="366"/>
      <c r="F397" s="309"/>
      <c r="G397" s="309"/>
      <c r="H397" s="309"/>
      <c r="I397" s="309"/>
      <c r="J397" s="309"/>
      <c r="K397" s="309"/>
      <c r="L397" s="308"/>
    </row>
    <row r="398" spans="1:26">
      <c r="A398" s="347"/>
      <c r="B398" s="360" t="s">
        <v>2800</v>
      </c>
      <c r="C398" s="379">
        <f ca="1">addon_cost</f>
        <v>68556.37572439044</v>
      </c>
      <c r="D398" s="374"/>
      <c r="E398" s="366"/>
      <c r="F398" s="309"/>
      <c r="G398" s="309"/>
      <c r="H398" s="309"/>
      <c r="I398" s="309"/>
      <c r="J398" s="309"/>
      <c r="K398" s="309"/>
      <c r="L398" s="308"/>
    </row>
    <row r="399" spans="1:26" ht="14" thickBot="1">
      <c r="A399" s="347"/>
      <c r="B399" s="377" t="s">
        <v>2865</v>
      </c>
      <c r="C399" s="380">
        <f ca="1">indirect_cost</f>
        <v>1256778.7784273445</v>
      </c>
      <c r="D399" s="306"/>
      <c r="E399" s="309"/>
      <c r="F399" s="309"/>
      <c r="G399" s="309"/>
      <c r="H399" s="309"/>
      <c r="I399" s="309"/>
      <c r="J399" s="309"/>
      <c r="K399" s="309"/>
      <c r="L399" s="308"/>
    </row>
    <row r="400" spans="1:26" ht="17" thickTop="1">
      <c r="A400" s="1023"/>
      <c r="B400" s="1024" t="s">
        <v>5292</v>
      </c>
      <c r="C400" s="381">
        <f ca="1">(direct_cost+addon_cost+indirect_cost)*city_index</f>
        <v>3261508.4968092479</v>
      </c>
      <c r="D400" s="366"/>
      <c r="E400" s="382"/>
      <c r="F400" s="309"/>
      <c r="G400" s="309"/>
      <c r="H400" s="309"/>
      <c r="I400" s="309"/>
      <c r="J400" s="309"/>
      <c r="K400" s="309"/>
      <c r="L400" s="308"/>
    </row>
    <row r="401" spans="1:26">
      <c r="A401" s="1025"/>
      <c r="B401" s="1026"/>
      <c r="C401" s="1027"/>
      <c r="D401" s="1028"/>
      <c r="E401" s="1029"/>
      <c r="F401" s="1027"/>
      <c r="G401" s="1027"/>
      <c r="H401" s="1027"/>
      <c r="I401" s="1027"/>
      <c r="J401" s="1027"/>
      <c r="K401" s="1027"/>
      <c r="L401" s="1027"/>
    </row>
    <row r="402" spans="1:26" s="816" customFormat="1" ht="16">
      <c r="A402" s="913" t="s">
        <v>5293</v>
      </c>
      <c r="B402" s="350"/>
      <c r="C402" s="303"/>
      <c r="D402" s="302"/>
      <c r="E402" s="303"/>
      <c r="F402" s="303"/>
      <c r="G402" s="303"/>
      <c r="H402" s="303"/>
      <c r="I402" s="303"/>
      <c r="J402" s="303"/>
      <c r="K402" s="303"/>
      <c r="L402" s="305"/>
      <c r="M402" s="1095"/>
      <c r="N402" s="1095"/>
      <c r="O402" s="1095"/>
      <c r="P402" s="1095"/>
      <c r="Q402" s="1095"/>
      <c r="R402" s="1095"/>
      <c r="S402" s="1095"/>
      <c r="T402" s="1095"/>
      <c r="U402" s="1095"/>
      <c r="V402" s="1095"/>
      <c r="W402" s="1095"/>
      <c r="X402" s="1095"/>
      <c r="Y402" s="1095"/>
      <c r="Z402" s="1095"/>
    </row>
    <row r="403" spans="1:26" s="816" customFormat="1">
      <c r="A403" s="1091"/>
      <c r="B403" s="1083" t="s">
        <v>1988</v>
      </c>
      <c r="C403" s="1047" t="s">
        <v>1990</v>
      </c>
      <c r="D403" s="1048" t="s">
        <v>1991</v>
      </c>
      <c r="E403" s="309"/>
      <c r="F403" s="309"/>
      <c r="G403" s="309"/>
      <c r="H403" s="309"/>
      <c r="I403" s="309"/>
      <c r="J403" s="309"/>
      <c r="K403" s="309"/>
      <c r="L403" s="308"/>
      <c r="M403" s="1095"/>
      <c r="N403" s="1095"/>
      <c r="O403" s="1095"/>
      <c r="P403" s="1095"/>
      <c r="Q403" s="1095"/>
      <c r="R403" s="1095"/>
      <c r="S403" s="1095"/>
      <c r="T403" s="1095"/>
      <c r="U403" s="1095"/>
      <c r="V403" s="1095"/>
      <c r="W403" s="1095"/>
      <c r="X403" s="1095"/>
      <c r="Y403" s="1095"/>
      <c r="Z403" s="1095"/>
    </row>
    <row r="404" spans="1:26" s="816" customFormat="1">
      <c r="A404" s="1091"/>
      <c r="B404" s="1082" t="s">
        <v>5552</v>
      </c>
      <c r="C404" s="1084">
        <v>1</v>
      </c>
      <c r="D404" s="606" t="s">
        <v>5553</v>
      </c>
      <c r="E404" s="309"/>
      <c r="F404" s="309"/>
      <c r="G404" s="309"/>
      <c r="H404" s="309"/>
      <c r="I404" s="309"/>
      <c r="J404" s="309"/>
      <c r="K404" s="309"/>
      <c r="L404" s="308"/>
      <c r="M404" s="1095"/>
      <c r="N404" s="1095"/>
      <c r="O404" s="1095"/>
      <c r="P404" s="1095"/>
      <c r="Q404" s="1095"/>
      <c r="R404" s="1095"/>
      <c r="S404" s="1095"/>
      <c r="T404" s="1095"/>
      <c r="U404" s="1095"/>
      <c r="V404" s="1095"/>
      <c r="W404" s="1095"/>
      <c r="X404" s="1095"/>
      <c r="Y404" s="1095"/>
      <c r="Z404" s="1095"/>
    </row>
    <row r="405" spans="1:26" s="816" customFormat="1">
      <c r="A405" s="1091"/>
      <c r="B405" s="376"/>
      <c r="C405" s="309"/>
      <c r="D405" s="306"/>
      <c r="E405" s="309"/>
      <c r="F405" s="309"/>
      <c r="G405" s="309"/>
      <c r="H405" s="309"/>
      <c r="I405" s="309"/>
      <c r="J405" s="309"/>
      <c r="K405" s="309"/>
      <c r="L405" s="308"/>
      <c r="M405" s="1095"/>
      <c r="N405" s="1095"/>
      <c r="O405" s="1095"/>
      <c r="P405" s="1095"/>
      <c r="Q405" s="1095"/>
      <c r="R405" s="1095"/>
      <c r="S405" s="1095"/>
      <c r="T405" s="1095"/>
      <c r="U405" s="1095"/>
      <c r="V405" s="1095"/>
      <c r="W405" s="1095"/>
      <c r="X405" s="1095"/>
      <c r="Y405" s="1095"/>
      <c r="Z405" s="1095"/>
    </row>
    <row r="406" spans="1:26">
      <c r="A406" s="391"/>
      <c r="B406" s="392" t="s">
        <v>2351</v>
      </c>
      <c r="C406" s="1262" t="s">
        <v>2352</v>
      </c>
      <c r="D406" s="1262"/>
      <c r="E406" s="1262" t="s">
        <v>2355</v>
      </c>
      <c r="F406" s="1262"/>
      <c r="G406" s="949" t="s">
        <v>696</v>
      </c>
      <c r="H406" s="393" t="s">
        <v>301</v>
      </c>
      <c r="I406" s="153" t="s">
        <v>1991</v>
      </c>
      <c r="J406" s="261"/>
      <c r="K406" s="261"/>
      <c r="L406" s="259"/>
    </row>
    <row r="407" spans="1:26">
      <c r="A407" s="390"/>
      <c r="B407" s="344" t="s">
        <v>3052</v>
      </c>
      <c r="C407" s="344"/>
      <c r="D407" s="344"/>
      <c r="E407" s="344"/>
      <c r="F407" s="344"/>
      <c r="G407" s="344"/>
      <c r="H407" s="395"/>
      <c r="I407" s="261"/>
      <c r="J407" s="261"/>
      <c r="K407" s="261"/>
      <c r="L407" s="259"/>
    </row>
    <row r="408" spans="1:26">
      <c r="A408" s="343"/>
      <c r="B408" s="514" t="s">
        <v>2906</v>
      </c>
      <c r="C408" s="588">
        <f ca="1">Manager_LOE</f>
        <v>382.44350000000003</v>
      </c>
      <c r="D408" s="582" t="s">
        <v>3054</v>
      </c>
      <c r="E408" s="478">
        <f>VLOOKUP(design_flow,labor_table_cl,5)</f>
        <v>7.0496214924682965</v>
      </c>
      <c r="F408" s="608" t="s">
        <v>3053</v>
      </c>
      <c r="G408" s="609">
        <f ca="1">C408*E408</f>
        <v>2696.081917254799</v>
      </c>
      <c r="H408" s="610">
        <f ca="1">IF(C408=0,0,1)</f>
        <v>1</v>
      </c>
      <c r="I408" s="261"/>
      <c r="J408" s="261"/>
      <c r="K408" s="261"/>
      <c r="L408" s="259"/>
      <c r="M408" s="1108"/>
    </row>
    <row r="409" spans="1:26">
      <c r="A409" s="343"/>
      <c r="B409" s="514" t="s">
        <v>3565</v>
      </c>
      <c r="C409" s="588">
        <f ca="1">Clerical_LOE</f>
        <v>382.44350000000003</v>
      </c>
      <c r="D409" s="582" t="s">
        <v>3054</v>
      </c>
      <c r="E409" s="478">
        <f>VLOOKUP(design_flow,labor_table_cl,6)</f>
        <v>4.0036939765859305</v>
      </c>
      <c r="F409" s="608" t="s">
        <v>3053</v>
      </c>
      <c r="G409" s="609">
        <f ca="1">C409*E409</f>
        <v>1531.1867373344414</v>
      </c>
      <c r="H409" s="610">
        <f ca="1">IF(C409=0,0,1)</f>
        <v>1</v>
      </c>
      <c r="I409" s="261"/>
      <c r="J409" s="261"/>
      <c r="K409" s="261"/>
      <c r="L409" s="259"/>
      <c r="M409" s="1108"/>
    </row>
    <row r="410" spans="1:26">
      <c r="A410" s="343"/>
      <c r="B410" s="514" t="s">
        <v>4099</v>
      </c>
      <c r="C410" s="588">
        <f ca="1">Operator_LOE</f>
        <v>3824.4349999999999</v>
      </c>
      <c r="D410" s="582" t="s">
        <v>3054</v>
      </c>
      <c r="E410" s="478">
        <f>VLOOKUP(design_flow,labor_table_cl,4)</f>
        <v>4.4333462206398666</v>
      </c>
      <c r="F410" s="608" t="s">
        <v>3053</v>
      </c>
      <c r="G410" s="609">
        <f ca="1">C410*E410</f>
        <v>16955.044453332826</v>
      </c>
      <c r="H410" s="610">
        <f ca="1">IF(C410=0,0,1)</f>
        <v>1</v>
      </c>
      <c r="I410" s="354" t="s">
        <v>695</v>
      </c>
      <c r="J410" s="261"/>
      <c r="K410" s="261"/>
      <c r="L410" s="259"/>
      <c r="M410" s="1108"/>
    </row>
    <row r="411" spans="1:26">
      <c r="A411" s="390"/>
      <c r="B411" s="344" t="s">
        <v>3055</v>
      </c>
      <c r="C411" s="344"/>
      <c r="D411" s="344"/>
      <c r="E411" s="793"/>
      <c r="F411" s="344"/>
      <c r="G411" s="344"/>
      <c r="H411" s="395"/>
      <c r="I411" s="261"/>
      <c r="J411" s="261"/>
      <c r="K411" s="261"/>
      <c r="L411" s="259"/>
    </row>
    <row r="412" spans="1:26">
      <c r="A412" s="343"/>
      <c r="B412" s="514" t="s">
        <v>1543</v>
      </c>
      <c r="C412" s="611" t="s">
        <v>3056</v>
      </c>
      <c r="D412" s="612"/>
      <c r="E412" s="794"/>
      <c r="F412" s="613"/>
      <c r="G412" s="609">
        <f ca="1">pretreat_materials</f>
        <v>738.154274713272</v>
      </c>
      <c r="H412" s="610">
        <f t="shared" ref="H412:H417" ca="1" si="80">IF(G412=0,0,1)</f>
        <v>1</v>
      </c>
      <c r="I412" s="261"/>
      <c r="J412" s="261"/>
      <c r="K412" s="261"/>
      <c r="L412" s="259"/>
      <c r="M412" s="1108"/>
    </row>
    <row r="413" spans="1:26">
      <c r="A413" s="343"/>
      <c r="B413" s="514" t="s">
        <v>1544</v>
      </c>
      <c r="C413" s="588">
        <f ca="1">filter_replacement</f>
        <v>128</v>
      </c>
      <c r="D413" s="582" t="s">
        <v>4121</v>
      </c>
      <c r="E413" s="478">
        <f ca="1">IF(curve=1,IF(sys_element_type="RO",cart_replace_eq_ro,cart_replace_eq_nf),VLOOKUP(filter_size,IF(sys_element_type="RO",cart_replace_cost_ro_cl,cart_replace_cost_nf_cl),3))*(1-VLOOKUP(filter_replacement,cart_filter_discount_table,2))</f>
        <v>197.99439295390192</v>
      </c>
      <c r="F413" s="608" t="s">
        <v>1545</v>
      </c>
      <c r="G413" s="609">
        <f ca="1">E413*C413</f>
        <v>25343.282298099446</v>
      </c>
      <c r="H413" s="610">
        <f ca="1">IF(C413=0,0,1)</f>
        <v>1</v>
      </c>
      <c r="I413" s="261"/>
      <c r="J413" s="261"/>
      <c r="K413" s="261"/>
      <c r="L413" s="259"/>
      <c r="M413" s="1108"/>
    </row>
    <row r="414" spans="1:26">
      <c r="A414" s="343"/>
      <c r="B414" s="514" t="s">
        <v>1583</v>
      </c>
      <c r="C414" s="611" t="s">
        <v>3056</v>
      </c>
      <c r="D414" s="612"/>
      <c r="E414" s="794"/>
      <c r="F414" s="613"/>
      <c r="G414" s="609">
        <f ca="1">membrane_materials</f>
        <v>2188.8000000000002</v>
      </c>
      <c r="H414" s="610">
        <f t="shared" ca="1" si="80"/>
        <v>1</v>
      </c>
      <c r="I414" s="261"/>
      <c r="J414" s="261"/>
      <c r="K414" s="261"/>
      <c r="L414" s="259"/>
      <c r="M414" s="1108"/>
    </row>
    <row r="415" spans="1:26">
      <c r="A415" s="343"/>
      <c r="B415" s="514" t="s">
        <v>3071</v>
      </c>
      <c r="C415" s="588">
        <f ca="1">element_replace</f>
        <v>228</v>
      </c>
      <c r="D415" s="582" t="s">
        <v>1584</v>
      </c>
      <c r="E415" s="1210">
        <f ca="1">element_replace_cost</f>
        <v>432</v>
      </c>
      <c r="F415" s="1211" t="s">
        <v>2497</v>
      </c>
      <c r="G415" s="609">
        <f ca="1">IF(E415="contact vendor", "--",E415*C415)</f>
        <v>98496</v>
      </c>
      <c r="H415" s="610">
        <f ca="1">IF(C415=0,0,1)</f>
        <v>1</v>
      </c>
      <c r="I415" s="261"/>
      <c r="J415" s="261"/>
      <c r="K415" s="261"/>
      <c r="L415" s="259"/>
      <c r="M415" s="1108"/>
    </row>
    <row r="416" spans="1:26">
      <c r="A416" s="343"/>
      <c r="B416" s="514" t="s">
        <v>1585</v>
      </c>
      <c r="C416" s="611" t="s">
        <v>3056</v>
      </c>
      <c r="D416" s="612"/>
      <c r="E416" s="794"/>
      <c r="F416" s="613"/>
      <c r="G416" s="609">
        <f ca="1">clean_materials</f>
        <v>891.32040389494841</v>
      </c>
      <c r="H416" s="610">
        <f t="shared" ca="1" si="80"/>
        <v>1</v>
      </c>
      <c r="I416" s="261"/>
      <c r="J416" s="261"/>
      <c r="K416" s="261"/>
      <c r="L416" s="259"/>
      <c r="M416" s="1108"/>
    </row>
    <row r="417" spans="1:26">
      <c r="A417" s="343"/>
      <c r="B417" s="514" t="s">
        <v>4101</v>
      </c>
      <c r="C417" s="611" t="s">
        <v>3056</v>
      </c>
      <c r="D417" s="612"/>
      <c r="E417" s="794"/>
      <c r="F417" s="613"/>
      <c r="G417" s="609">
        <f ca="1">pump_materials</f>
        <v>770.96005750414781</v>
      </c>
      <c r="H417" s="610">
        <f t="shared" ca="1" si="80"/>
        <v>1</v>
      </c>
      <c r="I417" s="394"/>
      <c r="J417" s="261"/>
      <c r="K417" s="261"/>
      <c r="L417" s="259"/>
      <c r="M417" s="1108"/>
    </row>
    <row r="418" spans="1:26">
      <c r="A418" s="343"/>
      <c r="B418" s="514" t="s">
        <v>1749</v>
      </c>
      <c r="C418" s="611" t="s">
        <v>3056</v>
      </c>
      <c r="D418" s="612"/>
      <c r="E418" s="794"/>
      <c r="F418" s="613"/>
      <c r="G418" s="609">
        <f>bp_pump_materials</f>
        <v>0</v>
      </c>
      <c r="H418" s="610">
        <f>IF(G418=0,0,1)</f>
        <v>0</v>
      </c>
      <c r="I418" s="394"/>
      <c r="J418" s="261"/>
      <c r="K418" s="261"/>
      <c r="L418" s="259"/>
      <c r="M418" s="1108"/>
    </row>
    <row r="419" spans="1:26">
      <c r="A419" s="343"/>
      <c r="B419" s="514" t="s">
        <v>4100</v>
      </c>
      <c r="C419" s="611" t="s">
        <v>3056</v>
      </c>
      <c r="D419" s="612"/>
      <c r="E419" s="794"/>
      <c r="F419" s="613"/>
      <c r="G419" s="609">
        <f ca="1">res_pump_mtl</f>
        <v>317.65129772338599</v>
      </c>
      <c r="H419" s="610">
        <f ca="1">IF(G419=0,0,1)</f>
        <v>1</v>
      </c>
      <c r="I419" s="394"/>
      <c r="J419" s="261"/>
      <c r="K419" s="261"/>
      <c r="L419" s="259"/>
      <c r="M419" s="1108"/>
    </row>
    <row r="420" spans="1:26" s="816" customFormat="1">
      <c r="A420" s="589"/>
      <c r="B420" s="514" t="s">
        <v>5412</v>
      </c>
      <c r="C420" s="588">
        <f ca="1">total_fp</f>
        <v>14210</v>
      </c>
      <c r="D420" s="582" t="s">
        <v>3746</v>
      </c>
      <c r="E420" s="478">
        <f ca="1">G420/C420</f>
        <v>0</v>
      </c>
      <c r="F420" s="608" t="s">
        <v>84</v>
      </c>
      <c r="G420" s="609">
        <f ca="1">bldg_maint_cost</f>
        <v>0</v>
      </c>
      <c r="H420" s="610">
        <f ca="1">IF(G420=0,0,1)</f>
        <v>0</v>
      </c>
      <c r="I420" s="309"/>
      <c r="J420" s="312"/>
      <c r="K420" s="309"/>
      <c r="L420" s="308"/>
      <c r="M420" s="1095"/>
      <c r="N420" s="1095"/>
      <c r="O420" s="1095"/>
      <c r="P420" s="1095"/>
      <c r="Q420" s="1095"/>
      <c r="R420" s="1095"/>
      <c r="S420" s="1095"/>
      <c r="T420" s="1095"/>
      <c r="U420" s="1095"/>
      <c r="V420" s="1095"/>
      <c r="W420" s="1095"/>
      <c r="X420" s="1095"/>
      <c r="Y420" s="1095"/>
      <c r="Z420" s="1095"/>
    </row>
    <row r="421" spans="1:26">
      <c r="A421" s="390"/>
      <c r="B421" s="344" t="s">
        <v>3744</v>
      </c>
      <c r="C421" s="344"/>
      <c r="D421" s="344"/>
      <c r="E421" s="793"/>
      <c r="F421" s="344"/>
      <c r="G421" s="344"/>
      <c r="H421" s="395"/>
      <c r="I421" s="261"/>
      <c r="J421" s="261"/>
      <c r="K421" s="261"/>
      <c r="L421" s="259"/>
    </row>
    <row r="422" spans="1:26">
      <c r="A422" s="343"/>
      <c r="B422" s="514" t="str">
        <f ca="1">"Sulfuric Acid"&amp;sulfuric_purchase</f>
        <v>Sulfuric Acid - Large Qty</v>
      </c>
      <c r="C422" s="588">
        <f ca="1">IF(pretreat_acid=2,acid_yr,0)</f>
        <v>478877.3699262779</v>
      </c>
      <c r="D422" s="582" t="s">
        <v>3057</v>
      </c>
      <c r="E422" s="478">
        <f t="shared" ref="E422:E429" ca="1" si="81">VLOOKUP(B422,chem_cost_cl,3,FALSE)</f>
        <v>0.13709828619050735</v>
      </c>
      <c r="F422" s="608" t="s">
        <v>3058</v>
      </c>
      <c r="G422" s="609">
        <f t="shared" ref="G422:G429" ca="1" si="82">E422*C422</f>
        <v>65653.266712310302</v>
      </c>
      <c r="H422" s="610">
        <f t="shared" ref="H422:H429" ca="1" si="83">IF(C422=0,0,1)</f>
        <v>1</v>
      </c>
      <c r="I422" s="261"/>
      <c r="J422" s="261"/>
      <c r="K422" s="261"/>
      <c r="L422" s="259"/>
      <c r="M422" s="1108"/>
    </row>
    <row r="423" spans="1:26">
      <c r="A423" s="343"/>
      <c r="B423" s="514" t="str">
        <f>"Antiscalant - Basic"&amp;anti_purchase</f>
        <v>Antiscalant - Basic</v>
      </c>
      <c r="C423" s="588">
        <f>anti_yr_basic</f>
        <v>32503.687531744978</v>
      </c>
      <c r="D423" s="582" t="s">
        <v>3057</v>
      </c>
      <c r="E423" s="478">
        <f>VLOOKUP(B423,chem_cost_cl,3,FALSE)</f>
        <v>2.935905987838364</v>
      </c>
      <c r="F423" s="608" t="s">
        <v>3058</v>
      </c>
      <c r="G423" s="609">
        <f t="shared" si="82"/>
        <v>95427.770851277251</v>
      </c>
      <c r="H423" s="610">
        <f t="shared" si="83"/>
        <v>1</v>
      </c>
      <c r="I423" s="261"/>
      <c r="J423" s="261"/>
      <c r="K423" s="261"/>
      <c r="L423" s="259"/>
      <c r="M423" s="1108"/>
    </row>
    <row r="424" spans="1:26">
      <c r="A424" s="343"/>
      <c r="B424" s="514" t="str">
        <f>"Antiscalant - Premium"&amp;anti_purchase</f>
        <v>Antiscalant - Premium</v>
      </c>
      <c r="C424" s="588">
        <f>anti_yr_premium</f>
        <v>0</v>
      </c>
      <c r="D424" s="582" t="s">
        <v>3057</v>
      </c>
      <c r="E424" s="478">
        <f t="shared" si="81"/>
        <v>4.298511395790559</v>
      </c>
      <c r="F424" s="608" t="s">
        <v>3058</v>
      </c>
      <c r="G424" s="609">
        <f t="shared" si="82"/>
        <v>0</v>
      </c>
      <c r="H424" s="610">
        <f t="shared" si="83"/>
        <v>0</v>
      </c>
      <c r="I424" s="261"/>
      <c r="J424" s="261"/>
      <c r="K424" s="261"/>
      <c r="L424" s="259"/>
      <c r="M424" s="1108"/>
    </row>
    <row r="425" spans="1:26">
      <c r="A425" s="343"/>
      <c r="B425" s="514" t="str">
        <f ca="1">"Hydrochloric Acid"&amp;HCl_purchase</f>
        <v>Hydrochloric Acid - Small Qty</v>
      </c>
      <c r="C425" s="588">
        <f ca="1">HCl_yr+IF(pretreat_acid=1,acid_yr,0)</f>
        <v>0</v>
      </c>
      <c r="D425" s="582" t="s">
        <v>3057</v>
      </c>
      <c r="E425" s="478">
        <f t="shared" ca="1" si="81"/>
        <v>0.93372617539628344</v>
      </c>
      <c r="F425" s="608" t="s">
        <v>3058</v>
      </c>
      <c r="G425" s="609">
        <f t="shared" ca="1" si="82"/>
        <v>0</v>
      </c>
      <c r="H425" s="610">
        <f t="shared" ca="1" si="83"/>
        <v>0</v>
      </c>
      <c r="I425" s="261"/>
      <c r="J425" s="261"/>
      <c r="K425" s="261"/>
      <c r="L425" s="259"/>
      <c r="M425" s="1108"/>
    </row>
    <row r="426" spans="1:26">
      <c r="A426" s="343"/>
      <c r="B426" s="514" t="str">
        <f>"Citric Acid (food grade)"&amp;citric_purchase</f>
        <v>Citric Acid (food grade)</v>
      </c>
      <c r="C426" s="588">
        <f ca="1">citric_yr</f>
        <v>0</v>
      </c>
      <c r="D426" s="582" t="s">
        <v>3057</v>
      </c>
      <c r="E426" s="478">
        <f t="shared" si="81"/>
        <v>1.2847889581924627</v>
      </c>
      <c r="F426" s="608" t="s">
        <v>3058</v>
      </c>
      <c r="G426" s="609">
        <f t="shared" ca="1" si="82"/>
        <v>0</v>
      </c>
      <c r="H426" s="610">
        <f t="shared" ca="1" si="83"/>
        <v>0</v>
      </c>
      <c r="I426" s="261"/>
      <c r="J426" s="261"/>
      <c r="K426" s="261"/>
      <c r="L426" s="259"/>
      <c r="M426" s="1108"/>
    </row>
    <row r="427" spans="1:26">
      <c r="A427" s="343"/>
      <c r="B427" s="514" t="str">
        <f>"Membrane Cleaner - Low pH Sulfate Control"&amp;prop_acid_purchase</f>
        <v>Membrane Cleaner - Low pH Sulfate Control</v>
      </c>
      <c r="C427" s="588">
        <f ca="1">prop_acid_yr</f>
        <v>416.78399999999999</v>
      </c>
      <c r="D427" s="582" t="s">
        <v>4083</v>
      </c>
      <c r="E427" s="478">
        <f t="shared" si="81"/>
        <v>38.525745847892914</v>
      </c>
      <c r="F427" s="608" t="s">
        <v>3636</v>
      </c>
      <c r="G427" s="609">
        <f t="shared" ca="1" si="82"/>
        <v>16056.9144574682</v>
      </c>
      <c r="H427" s="610">
        <f t="shared" ca="1" si="83"/>
        <v>1</v>
      </c>
      <c r="I427" s="261"/>
      <c r="J427" s="261"/>
      <c r="K427" s="261"/>
      <c r="L427" s="259"/>
      <c r="M427" s="1108"/>
    </row>
    <row r="428" spans="1:26">
      <c r="A428" s="343"/>
      <c r="B428" s="514" t="str">
        <f ca="1">"Sodium Hydroxide "&amp;TEXT(caustic_strength,"0%")&amp;NaOH_purchase</f>
        <v>Sodium Hydroxide 50% - Small Qty</v>
      </c>
      <c r="C428" s="588">
        <f ca="1">NaOH_yr</f>
        <v>0</v>
      </c>
      <c r="D428" s="582" t="s">
        <v>3057</v>
      </c>
      <c r="E428" s="478">
        <f t="shared" ca="1" si="81"/>
        <v>0.31827794416978772</v>
      </c>
      <c r="F428" s="608" t="s">
        <v>3058</v>
      </c>
      <c r="G428" s="609">
        <f t="shared" ca="1" si="82"/>
        <v>0</v>
      </c>
      <c r="H428" s="610">
        <f t="shared" ca="1" si="83"/>
        <v>0</v>
      </c>
      <c r="I428" s="261"/>
      <c r="J428" s="261"/>
      <c r="K428" s="261"/>
      <c r="L428" s="259"/>
      <c r="M428" s="1108"/>
    </row>
    <row r="429" spans="1:26">
      <c r="A429" s="343"/>
      <c r="B429" s="514" t="str">
        <f>"Membrane Cleaner - High pH Detergent"&amp;prop_deterg_purchase</f>
        <v>Membrane Cleaner - High pH Detergent</v>
      </c>
      <c r="C429" s="588">
        <f ca="1">prop_deterg_yr</f>
        <v>416.78399999999999</v>
      </c>
      <c r="D429" s="582" t="s">
        <v>4083</v>
      </c>
      <c r="E429" s="478">
        <f t="shared" si="81"/>
        <v>44.177656959004025</v>
      </c>
      <c r="F429" s="608" t="s">
        <v>3636</v>
      </c>
      <c r="G429" s="609">
        <f t="shared" ca="1" si="82"/>
        <v>18412.540578001532</v>
      </c>
      <c r="H429" s="610">
        <f t="shared" ca="1" si="83"/>
        <v>1</v>
      </c>
      <c r="I429" s="261"/>
      <c r="J429" s="261"/>
      <c r="K429" s="261"/>
      <c r="L429" s="259"/>
      <c r="M429" s="1108"/>
    </row>
    <row r="430" spans="1:26">
      <c r="A430" s="390"/>
      <c r="B430" s="344" t="s">
        <v>3059</v>
      </c>
      <c r="C430" s="344"/>
      <c r="D430" s="344"/>
      <c r="E430" s="793"/>
      <c r="F430" s="344"/>
      <c r="G430" s="344"/>
      <c r="H430" s="395"/>
      <c r="I430" s="261"/>
      <c r="J430" s="261"/>
      <c r="K430" s="261"/>
      <c r="L430" s="259"/>
    </row>
    <row r="431" spans="1:26">
      <c r="A431" s="343"/>
      <c r="B431" s="514" t="s">
        <v>4102</v>
      </c>
      <c r="C431" s="588">
        <f ca="1">pump_energy</f>
        <v>1455.8251260281729</v>
      </c>
      <c r="D431" s="582" t="s">
        <v>3061</v>
      </c>
      <c r="E431" s="478">
        <f>energy_cost_cl</f>
        <v>0.122</v>
      </c>
      <c r="F431" s="608" t="s">
        <v>3062</v>
      </c>
      <c r="G431" s="609">
        <f ca="1">E431*C431*1000</f>
        <v>177610.66537543709</v>
      </c>
      <c r="H431" s="610">
        <f ca="1">IF(C431=0,0,1)</f>
        <v>1</v>
      </c>
      <c r="I431" s="261"/>
      <c r="J431" s="261"/>
      <c r="K431" s="261"/>
      <c r="L431" s="259"/>
      <c r="M431" s="1108"/>
    </row>
    <row r="432" spans="1:26">
      <c r="A432" s="343"/>
      <c r="B432" s="514" t="s">
        <v>1742</v>
      </c>
      <c r="C432" s="588">
        <f>bp_pump_energy</f>
        <v>0</v>
      </c>
      <c r="D432" s="582" t="s">
        <v>3061</v>
      </c>
      <c r="E432" s="478" t="str">
        <f>IF(C432=0,"NA",energy_cost_cl)</f>
        <v>NA</v>
      </c>
      <c r="F432" s="608" t="str">
        <f>IF(C432=0,"","/kwh")</f>
        <v/>
      </c>
      <c r="G432" s="609" t="str">
        <f>IF(C432=0,"--",E432*C432*1000)</f>
        <v>--</v>
      </c>
      <c r="H432" s="610">
        <f>IF(C432=0,0,1)</f>
        <v>0</v>
      </c>
      <c r="I432" s="261"/>
      <c r="J432" s="261"/>
      <c r="K432" s="261"/>
      <c r="L432" s="259"/>
      <c r="M432" s="1108"/>
    </row>
    <row r="433" spans="1:13">
      <c r="A433" s="343"/>
      <c r="B433" s="514" t="s">
        <v>4103</v>
      </c>
      <c r="C433" s="588">
        <f ca="1">res_pump_energy</f>
        <v>61.770103721824732</v>
      </c>
      <c r="D433" s="582" t="s">
        <v>3061</v>
      </c>
      <c r="E433" s="478">
        <f ca="1">IF(C433=0,"NA",energy_cost_cl)</f>
        <v>0.122</v>
      </c>
      <c r="F433" s="608" t="str">
        <f ca="1">IF(C433=0,"","/kwh")</f>
        <v>/kwh</v>
      </c>
      <c r="G433" s="609">
        <f ca="1">IF(C433=0,"--",E433*C433*1000)</f>
        <v>7535.9526540626175</v>
      </c>
      <c r="H433" s="610">
        <f ca="1">IF(C433=0,0,1)</f>
        <v>1</v>
      </c>
      <c r="I433" s="261"/>
      <c r="J433" s="261"/>
      <c r="K433" s="261"/>
      <c r="L433" s="259"/>
      <c r="M433" s="1108"/>
    </row>
    <row r="434" spans="1:13">
      <c r="A434" s="343"/>
      <c r="B434" s="514" t="s">
        <v>2230</v>
      </c>
      <c r="C434" s="588">
        <f>lighting</f>
        <v>0</v>
      </c>
      <c r="D434" s="582" t="s">
        <v>3061</v>
      </c>
      <c r="E434" s="478">
        <f>energy_cost_cl</f>
        <v>0.122</v>
      </c>
      <c r="F434" s="608" t="s">
        <v>3062</v>
      </c>
      <c r="G434" s="609">
        <f>E434*C434*1000</f>
        <v>0</v>
      </c>
      <c r="H434" s="610">
        <f>IF(C434=0,0,1)</f>
        <v>0</v>
      </c>
      <c r="I434" s="261"/>
      <c r="J434" s="261"/>
      <c r="K434" s="261"/>
      <c r="L434" s="259"/>
      <c r="M434" s="1108"/>
    </row>
    <row r="435" spans="1:13">
      <c r="A435" s="343"/>
      <c r="B435" s="514" t="s">
        <v>289</v>
      </c>
      <c r="C435" s="588">
        <f>ventilation</f>
        <v>0</v>
      </c>
      <c r="D435" s="582" t="s">
        <v>3061</v>
      </c>
      <c r="E435" s="478">
        <f>energy_cost_cl</f>
        <v>0.122</v>
      </c>
      <c r="F435" s="608" t="s">
        <v>3062</v>
      </c>
      <c r="G435" s="609">
        <f>E435*C435*1000</f>
        <v>0</v>
      </c>
      <c r="H435" s="610">
        <f>IF(C435=0,0,1)</f>
        <v>0</v>
      </c>
      <c r="I435" s="261"/>
      <c r="J435" s="261"/>
      <c r="K435" s="261"/>
      <c r="L435" s="259"/>
      <c r="M435" s="1108"/>
    </row>
    <row r="436" spans="1:13">
      <c r="A436" s="343"/>
      <c r="B436" s="340" t="s">
        <v>290</v>
      </c>
      <c r="C436" s="340"/>
      <c r="D436" s="341"/>
      <c r="E436" s="579"/>
      <c r="F436" s="340"/>
      <c r="G436" s="340"/>
      <c r="H436" s="396"/>
      <c r="I436" s="261"/>
      <c r="J436" s="261"/>
      <c r="K436" s="261"/>
      <c r="L436" s="259"/>
      <c r="M436" s="1108"/>
    </row>
    <row r="437" spans="1:13">
      <c r="A437" s="343"/>
      <c r="B437" s="515" t="s">
        <v>3693</v>
      </c>
      <c r="C437" s="588">
        <f ca="1">cooling</f>
        <v>0</v>
      </c>
      <c r="D437" s="582" t="s">
        <v>3061</v>
      </c>
      <c r="E437" s="478">
        <f>energy_cost_cl</f>
        <v>0.122</v>
      </c>
      <c r="F437" s="608" t="s">
        <v>3062</v>
      </c>
      <c r="G437" s="609">
        <f ca="1">E437*C437*1000</f>
        <v>0</v>
      </c>
      <c r="H437" s="610">
        <f ca="1">IF(C437=0,0,1)</f>
        <v>0</v>
      </c>
      <c r="I437" s="261"/>
      <c r="J437" s="261"/>
      <c r="K437" s="261"/>
      <c r="L437" s="259"/>
      <c r="M437" s="1108"/>
    </row>
    <row r="438" spans="1:13">
      <c r="A438" s="343"/>
      <c r="B438" s="515" t="s">
        <v>3694</v>
      </c>
      <c r="C438" s="588">
        <f ca="1">cooling_hp</f>
        <v>0</v>
      </c>
      <c r="D438" s="582" t="s">
        <v>3061</v>
      </c>
      <c r="E438" s="478">
        <f>energy_cost_cl</f>
        <v>0.122</v>
      </c>
      <c r="F438" s="608" t="s">
        <v>3062</v>
      </c>
      <c r="G438" s="609">
        <f ca="1">E438*C438*1000</f>
        <v>0</v>
      </c>
      <c r="H438" s="610">
        <f ca="1">IF(C438=0,0,1)</f>
        <v>0</v>
      </c>
      <c r="I438" s="261"/>
      <c r="J438" s="261"/>
      <c r="K438" s="261"/>
      <c r="L438" s="259"/>
      <c r="M438" s="1108"/>
    </row>
    <row r="439" spans="1:13">
      <c r="A439" s="343"/>
      <c r="B439" s="340" t="s">
        <v>291</v>
      </c>
      <c r="C439" s="340"/>
      <c r="D439" s="341"/>
      <c r="E439" s="579"/>
      <c r="F439" s="340"/>
      <c r="G439" s="340"/>
      <c r="H439" s="396"/>
      <c r="I439" s="261"/>
      <c r="J439" s="261"/>
      <c r="K439" s="261"/>
      <c r="L439" s="259"/>
      <c r="M439" s="1108"/>
    </row>
    <row r="440" spans="1:13">
      <c r="A440" s="343"/>
      <c r="B440" s="515" t="s">
        <v>3695</v>
      </c>
      <c r="C440" s="588">
        <f ca="1">heating</f>
        <v>0</v>
      </c>
      <c r="D440" s="582" t="s">
        <v>3061</v>
      </c>
      <c r="E440" s="478">
        <f>energy_cost_cl</f>
        <v>0.122</v>
      </c>
      <c r="F440" s="608" t="s">
        <v>3062</v>
      </c>
      <c r="G440" s="609">
        <f ca="1">E440*C440*1000</f>
        <v>0</v>
      </c>
      <c r="H440" s="610">
        <f t="shared" ref="H440:H445" ca="1" si="84">IF(C440=0,0,1)</f>
        <v>0</v>
      </c>
      <c r="I440" s="261"/>
      <c r="J440" s="261"/>
      <c r="K440" s="261"/>
      <c r="L440" s="259"/>
      <c r="M440" s="1108"/>
    </row>
    <row r="441" spans="1:13">
      <c r="A441" s="343"/>
      <c r="B441" s="515" t="s">
        <v>3694</v>
      </c>
      <c r="C441" s="588">
        <f ca="1">heating_hp</f>
        <v>0</v>
      </c>
      <c r="D441" s="582" t="s">
        <v>3061</v>
      </c>
      <c r="E441" s="478">
        <f>energy_cost_cl</f>
        <v>0.122</v>
      </c>
      <c r="F441" s="608" t="s">
        <v>3062</v>
      </c>
      <c r="G441" s="609">
        <f ca="1">E441*C441*1000</f>
        <v>0</v>
      </c>
      <c r="H441" s="610">
        <f t="shared" ca="1" si="84"/>
        <v>0</v>
      </c>
      <c r="I441" s="261"/>
      <c r="J441" s="261"/>
      <c r="K441" s="261"/>
      <c r="L441" s="259"/>
      <c r="M441" s="1108"/>
    </row>
    <row r="442" spans="1:13">
      <c r="A442" s="343"/>
      <c r="B442" s="515" t="s">
        <v>3696</v>
      </c>
      <c r="C442" s="588">
        <f ca="1">heating_gas_non</f>
        <v>0</v>
      </c>
      <c r="D442" s="582" t="s">
        <v>2402</v>
      </c>
      <c r="E442" s="478">
        <f>gas_cost_cl</f>
        <v>1.72929</v>
      </c>
      <c r="F442" s="608" t="s">
        <v>3697</v>
      </c>
      <c r="G442" s="609">
        <f ca="1">E442*C442</f>
        <v>0</v>
      </c>
      <c r="H442" s="610">
        <f t="shared" ca="1" si="84"/>
        <v>0</v>
      </c>
      <c r="I442" s="261"/>
      <c r="J442" s="261"/>
      <c r="K442" s="261"/>
      <c r="L442" s="259"/>
      <c r="M442" s="1108"/>
    </row>
    <row r="443" spans="1:13">
      <c r="A443" s="343"/>
      <c r="B443" s="515" t="s">
        <v>3635</v>
      </c>
      <c r="C443" s="588">
        <f ca="1">heating_gas</f>
        <v>0</v>
      </c>
      <c r="D443" s="582" t="s">
        <v>2402</v>
      </c>
      <c r="E443" s="478">
        <f>gas_cost_cl</f>
        <v>1.72929</v>
      </c>
      <c r="F443" s="608" t="s">
        <v>3697</v>
      </c>
      <c r="G443" s="609">
        <f ca="1">E443*C443</f>
        <v>0</v>
      </c>
      <c r="H443" s="610">
        <f t="shared" ca="1" si="84"/>
        <v>0</v>
      </c>
      <c r="I443" s="261"/>
      <c r="J443" s="261"/>
      <c r="K443" s="261"/>
      <c r="L443" s="259"/>
      <c r="M443" s="1108"/>
    </row>
    <row r="444" spans="1:13">
      <c r="A444" s="343"/>
      <c r="B444" s="515" t="s">
        <v>2161</v>
      </c>
      <c r="C444" s="588">
        <f ca="1">heating_diesel_non</f>
        <v>0</v>
      </c>
      <c r="D444" s="582" t="s">
        <v>4083</v>
      </c>
      <c r="E444" s="478">
        <f>diesel_cost_cl</f>
        <v>3.8295007720020586</v>
      </c>
      <c r="F444" s="608" t="s">
        <v>3636</v>
      </c>
      <c r="G444" s="609">
        <f ca="1">E444*C444</f>
        <v>0</v>
      </c>
      <c r="H444" s="610">
        <f t="shared" ca="1" si="84"/>
        <v>0</v>
      </c>
      <c r="I444" s="261"/>
      <c r="J444" s="261"/>
      <c r="K444" s="261"/>
      <c r="L444" s="259"/>
      <c r="M444" s="1108"/>
    </row>
    <row r="445" spans="1:13">
      <c r="A445" s="343"/>
      <c r="B445" s="515" t="s">
        <v>2162</v>
      </c>
      <c r="C445" s="588">
        <f ca="1">heating_diesel</f>
        <v>0</v>
      </c>
      <c r="D445" s="582" t="s">
        <v>4083</v>
      </c>
      <c r="E445" s="478">
        <f>diesel_cost_cl</f>
        <v>3.8295007720020586</v>
      </c>
      <c r="F445" s="608" t="s">
        <v>3636</v>
      </c>
      <c r="G445" s="609">
        <f ca="1">E445*C445</f>
        <v>0</v>
      </c>
      <c r="H445" s="610">
        <f t="shared" ca="1" si="84"/>
        <v>0</v>
      </c>
      <c r="I445" s="261"/>
      <c r="J445" s="261"/>
      <c r="K445" s="261"/>
      <c r="L445" s="259"/>
      <c r="M445" s="1108"/>
    </row>
    <row r="446" spans="1:13">
      <c r="A446" s="390"/>
      <c r="B446" s="344" t="s">
        <v>2258</v>
      </c>
      <c r="C446" s="344"/>
      <c r="D446" s="344"/>
      <c r="E446" s="793"/>
      <c r="F446" s="344"/>
      <c r="G446" s="344"/>
      <c r="H446" s="395"/>
      <c r="I446" s="261"/>
      <c r="J446" s="261"/>
      <c r="K446" s="261"/>
      <c r="L446" s="259"/>
    </row>
    <row r="447" spans="1:13">
      <c r="A447" s="343"/>
      <c r="B447" s="514" t="str">
        <f>IF(res_s2_opt=6,"Hazardous disposal","POTW discharge fees")</f>
        <v>Hazardous disposal</v>
      </c>
      <c r="C447" s="1221" t="s">
        <v>6515</v>
      </c>
      <c r="D447" s="1222" t="s">
        <v>4083</v>
      </c>
      <c r="E447" s="1210" t="e">
        <f>IF(OR(res_s2_opt=2,res_s2_opt=6),G447/C447,"NA")</f>
        <v>#VALUE!</v>
      </c>
      <c r="F447" s="1211" t="str">
        <f>IF(OR(res_s2_opt=2,res_s2_opt=6),"/gal","")</f>
        <v>/gal</v>
      </c>
      <c r="G447" s="220">
        <v>472535.86637535319</v>
      </c>
      <c r="H447" s="610">
        <v>1</v>
      </c>
      <c r="I447" s="261"/>
      <c r="J447" s="261"/>
      <c r="K447" s="261"/>
      <c r="L447" s="259"/>
      <c r="M447" s="1108"/>
    </row>
    <row r="448" spans="1:13">
      <c r="A448" s="343"/>
      <c r="B448" s="514" t="s">
        <v>6516</v>
      </c>
      <c r="C448" s="634">
        <f ca="1">cart_disp_wt*cart_disp_freq</f>
        <v>1.536</v>
      </c>
      <c r="D448" s="582" t="s">
        <v>4104</v>
      </c>
      <c r="E448" s="478">
        <f ca="1">G448/C448</f>
        <v>112.15720840993787</v>
      </c>
      <c r="F448" s="608" t="s">
        <v>4105</v>
      </c>
      <c r="G448" s="609">
        <f ca="1">cart_disposal_fee</f>
        <v>172.27347211766457</v>
      </c>
      <c r="H448" s="610">
        <f ca="1">IF(C448=0,0,1)</f>
        <v>1</v>
      </c>
      <c r="I448" s="261"/>
      <c r="J448" s="261"/>
      <c r="K448" s="261"/>
      <c r="L448" s="259"/>
      <c r="M448" s="1108"/>
    </row>
    <row r="449" spans="1:13">
      <c r="A449" s="343"/>
      <c r="B449" s="514" t="s">
        <v>3640</v>
      </c>
      <c r="C449" s="634">
        <f ca="1">elem_disp_wt*elem_disp_freq</f>
        <v>4.5</v>
      </c>
      <c r="D449" s="582" t="s">
        <v>4104</v>
      </c>
      <c r="E449" s="478">
        <f ca="1">G449/C449</f>
        <v>740.3183537407607</v>
      </c>
      <c r="F449" s="608" t="s">
        <v>4105</v>
      </c>
      <c r="G449" s="609">
        <f ca="1">elem_disposal_fee</f>
        <v>3331.432591833423</v>
      </c>
      <c r="H449" s="610">
        <f ca="1">IF(C449=0,0,1)</f>
        <v>1</v>
      </c>
      <c r="I449" s="261"/>
      <c r="J449" s="261"/>
      <c r="K449" s="261"/>
      <c r="L449" s="259"/>
      <c r="M449" s="1108"/>
    </row>
    <row r="450" spans="1:13">
      <c r="A450" s="343"/>
      <c r="B450" s="514" t="str">
        <f>IF(res_s2_opt=3,"Evaporation pond solids disposal","Solids disposal (not required)")</f>
        <v>Solids disposal (not required)</v>
      </c>
      <c r="C450" s="588">
        <f>IF(H450=0,0,res_solids/sol_disp_freq)</f>
        <v>0</v>
      </c>
      <c r="D450" s="582" t="s">
        <v>4104</v>
      </c>
      <c r="E450" s="478" t="str">
        <f>IF(H450=0,"NA",G450/C450)</f>
        <v>NA</v>
      </c>
      <c r="F450" s="608" t="str">
        <f>IF(H450=0,"","/ton")</f>
        <v/>
      </c>
      <c r="G450" s="609" t="str">
        <f>IF(H450=0,"--",sol_disposal_fee)</f>
        <v>--</v>
      </c>
      <c r="H450" s="610">
        <f>IF(res_s2_opt=3,1,0)</f>
        <v>0</v>
      </c>
      <c r="I450" s="354" t="str">
        <f>IF(AND(res_solids&lt;&gt;0,solids_haz=1,solids_method=2),"Land application assumed to be zero cost, but labor cost for handling is still included in operator hours","")</f>
        <v/>
      </c>
      <c r="J450" s="261"/>
      <c r="K450" s="261"/>
      <c r="L450" s="259"/>
      <c r="M450" s="1108"/>
    </row>
    <row r="451" spans="1:13">
      <c r="A451" s="635"/>
      <c r="B451" s="636" t="s">
        <v>1587</v>
      </c>
      <c r="C451" s="637">
        <f>misc_pct</f>
        <v>0.1</v>
      </c>
      <c r="D451" s="638"/>
      <c r="E451" s="425"/>
      <c r="F451" s="636"/>
      <c r="G451" s="609">
        <f ca="1">SUMPRODUCT(G408:G450,H408:H450)*C451</f>
        <v>100666.51645077186</v>
      </c>
      <c r="H451" s="610">
        <v>1</v>
      </c>
      <c r="I451" s="261"/>
      <c r="J451" s="261"/>
      <c r="K451" s="261"/>
      <c r="L451" s="259"/>
      <c r="M451" s="1108"/>
    </row>
    <row r="452" spans="1:13" ht="16">
      <c r="A452" s="349"/>
      <c r="B452" s="1085" t="s">
        <v>5554</v>
      </c>
      <c r="C452" s="1050"/>
      <c r="D452" s="1051"/>
      <c r="E452" s="1050"/>
      <c r="F452" s="1052"/>
      <c r="G452" s="1053">
        <f ca="1">SUMPRODUCT(G408:G451,H408:H451)*OM_City_Index</f>
        <v>1107331.6809584904</v>
      </c>
      <c r="H452" s="397"/>
      <c r="I452" s="333"/>
      <c r="J452" s="333"/>
      <c r="K452" s="333"/>
      <c r="L452" s="313"/>
      <c r="M452" s="1108"/>
    </row>
    <row r="453" spans="1:13">
      <c r="A453" s="257"/>
      <c r="B453" s="296"/>
      <c r="C453" s="257"/>
      <c r="D453" s="297"/>
      <c r="E453" s="257"/>
      <c r="F453" s="257"/>
      <c r="G453" s="257"/>
      <c r="H453" s="257"/>
      <c r="I453" s="257"/>
      <c r="J453" s="257"/>
      <c r="K453" s="257"/>
      <c r="L453" s="257"/>
    </row>
    <row r="454" spans="1:13" ht="16">
      <c r="A454" s="373" t="s">
        <v>722</v>
      </c>
      <c r="B454" s="350"/>
      <c r="C454" s="350"/>
      <c r="D454" s="350"/>
      <c r="E454" s="350"/>
      <c r="F454" s="350"/>
      <c r="G454" s="350"/>
      <c r="H454" s="350"/>
      <c r="I454" s="350"/>
      <c r="J454" s="350"/>
      <c r="K454" s="350"/>
      <c r="L454" s="614"/>
    </row>
    <row r="455" spans="1:13" ht="16">
      <c r="A455" s="1054"/>
      <c r="B455" s="910" t="s">
        <v>1988</v>
      </c>
      <c r="C455" s="1047" t="s">
        <v>1990</v>
      </c>
      <c r="D455" s="1048" t="s">
        <v>1991</v>
      </c>
      <c r="E455" s="376"/>
      <c r="F455" s="376"/>
      <c r="G455" s="376"/>
      <c r="H455" s="376"/>
      <c r="I455" s="376"/>
      <c r="J455" s="376"/>
      <c r="K455" s="376"/>
      <c r="L455" s="617"/>
    </row>
    <row r="456" spans="1:13">
      <c r="A456" s="615"/>
      <c r="B456" s="157" t="s">
        <v>723</v>
      </c>
      <c r="C456" s="616">
        <v>7.0000000000000007E-2</v>
      </c>
      <c r="D456" s="354" t="s">
        <v>724</v>
      </c>
      <c r="E456" s="376"/>
      <c r="F456" s="376"/>
      <c r="G456" s="376"/>
      <c r="H456" s="376"/>
      <c r="I456" s="376"/>
      <c r="J456" s="376"/>
      <c r="K456" s="376"/>
      <c r="L456" s="617"/>
    </row>
    <row r="457" spans="1:13">
      <c r="A457" s="615"/>
      <c r="B457" s="157" t="s">
        <v>725</v>
      </c>
      <c r="C457" s="618" t="s">
        <v>726</v>
      </c>
      <c r="D457" s="354" t="s">
        <v>724</v>
      </c>
      <c r="E457" s="376"/>
      <c r="F457" s="376"/>
      <c r="G457" s="376"/>
      <c r="H457" s="376"/>
      <c r="I457" s="376"/>
      <c r="J457" s="376"/>
      <c r="K457" s="376"/>
      <c r="L457" s="617"/>
    </row>
    <row r="458" spans="1:13">
      <c r="A458" s="615"/>
      <c r="B458" s="157" t="s">
        <v>727</v>
      </c>
      <c r="C458" s="619">
        <v>2.5299999999999998</v>
      </c>
      <c r="D458" s="354" t="s">
        <v>724</v>
      </c>
      <c r="E458" s="376"/>
      <c r="F458" s="376"/>
      <c r="G458" s="376"/>
      <c r="H458" s="376"/>
      <c r="I458" s="376"/>
      <c r="J458" s="376"/>
      <c r="K458" s="376"/>
      <c r="L458" s="617"/>
    </row>
    <row r="459" spans="1:13">
      <c r="A459" s="1056"/>
      <c r="B459" s="157"/>
      <c r="C459" s="1057"/>
      <c r="D459" s="354"/>
      <c r="E459" s="376"/>
      <c r="F459" s="376"/>
      <c r="G459" s="376"/>
      <c r="H459" s="376"/>
      <c r="I459" s="376"/>
      <c r="J459" s="376"/>
      <c r="K459" s="376"/>
      <c r="L459" s="617"/>
    </row>
    <row r="460" spans="1:13">
      <c r="A460" s="620"/>
      <c r="B460" s="817" t="s">
        <v>5172</v>
      </c>
      <c r="C460" s="1055" t="s">
        <v>1990</v>
      </c>
      <c r="D460" s="153" t="s">
        <v>2961</v>
      </c>
      <c r="E460" s="622"/>
      <c r="F460" s="622"/>
      <c r="G460" s="622"/>
      <c r="H460" s="622"/>
      <c r="I460" s="622"/>
      <c r="J460" s="622"/>
      <c r="K460" s="622"/>
      <c r="L460" s="623"/>
    </row>
    <row r="461" spans="1:13">
      <c r="A461" s="620"/>
      <c r="B461" s="624" t="s">
        <v>728</v>
      </c>
      <c r="C461" s="625">
        <f ca="1">ROUND((direct_for_UL+IF(build_UL=0,0,addon_cost+indirect_cost))/(total_direct_depreciation+IF(build_UL=0,0,(addon_cost+indirect_cost)/build_UL)),1)</f>
        <v>25.9</v>
      </c>
      <c r="D461" s="622" t="s">
        <v>4152</v>
      </c>
      <c r="E461" s="622"/>
      <c r="F461" s="622"/>
      <c r="G461" s="622"/>
      <c r="H461" s="622"/>
      <c r="I461" s="622"/>
      <c r="J461" s="622"/>
      <c r="K461" s="622"/>
      <c r="L461" s="623"/>
    </row>
    <row r="462" spans="1:13">
      <c r="A462" s="620"/>
      <c r="B462" s="626" t="s">
        <v>729</v>
      </c>
      <c r="C462" s="627">
        <f>IF(source_select="ground water",(average_flow/(1-bp_pct)*1000/0.08558)^(1/1.0584),(average_flow/(1-bp_pct)*1000/0.14004)^(1/0.99703))/hh_size</f>
        <v>5682.5330979453865</v>
      </c>
      <c r="D462" s="622" t="s">
        <v>730</v>
      </c>
      <c r="E462" s="622"/>
      <c r="F462" s="622"/>
      <c r="G462" s="622"/>
      <c r="H462" s="622"/>
      <c r="I462" s="622"/>
      <c r="J462" s="622"/>
      <c r="K462" s="622"/>
      <c r="L462" s="623"/>
    </row>
    <row r="463" spans="1:13">
      <c r="A463" s="620"/>
      <c r="B463" s="914" t="s">
        <v>5294</v>
      </c>
      <c r="C463" s="954">
        <f ca="1">-PMT(discount_rate,useful_life,system_cost)</f>
        <v>276186.53360022348</v>
      </c>
      <c r="D463" s="1059" t="s">
        <v>732</v>
      </c>
      <c r="E463" s="622"/>
      <c r="F463" s="622"/>
      <c r="G463" s="622"/>
      <c r="H463" s="622"/>
      <c r="I463" s="622"/>
      <c r="J463" s="622"/>
      <c r="K463" s="622"/>
      <c r="L463" s="623"/>
    </row>
    <row r="464" spans="1:13">
      <c r="A464" s="620"/>
      <c r="B464" s="915" t="s">
        <v>997</v>
      </c>
      <c r="C464" s="955">
        <f ca="1">OM_cost</f>
        <v>1107331.6809584904</v>
      </c>
      <c r="D464" s="1059" t="s">
        <v>732</v>
      </c>
      <c r="E464" s="622"/>
      <c r="F464" s="622"/>
      <c r="G464" s="622"/>
      <c r="H464" s="622"/>
      <c r="I464" s="622"/>
      <c r="J464" s="622"/>
      <c r="K464" s="622"/>
      <c r="L464" s="623"/>
    </row>
    <row r="465" spans="1:12" ht="16">
      <c r="A465" s="347"/>
      <c r="B465" s="628" t="s">
        <v>731</v>
      </c>
      <c r="C465" s="953">
        <f ca="1">Annualized_Capital_Cost+OM_cost</f>
        <v>1383518.2145587138</v>
      </c>
      <c r="D465" s="1059" t="s">
        <v>732</v>
      </c>
      <c r="E465" s="1087" t="str">
        <f ca="1">IF(ISERROR(OR(TAC_pct_cap,TAC_pct_OM)),"",TEXT(TAC_pct_cap,"0%")&amp;" annualized capital, "&amp;TEXT(TAC_pct_OM,"0%")&amp;" annual O&amp;M")</f>
        <v>20% annualized capital, 80% annual O&amp;M</v>
      </c>
      <c r="F465" s="309"/>
      <c r="G465" s="309"/>
      <c r="H465" s="309"/>
      <c r="I465" s="309"/>
      <c r="J465" s="309"/>
      <c r="K465" s="309"/>
      <c r="L465" s="308"/>
    </row>
    <row r="466" spans="1:12">
      <c r="A466" s="347"/>
      <c r="B466" s="629" t="s">
        <v>733</v>
      </c>
      <c r="C466" s="630">
        <f ca="1">Annualized_Cost/(average_flow*365*1000)</f>
        <v>1.7613665714705833</v>
      </c>
      <c r="D466" s="1059" t="s">
        <v>734</v>
      </c>
      <c r="E466" s="309"/>
      <c r="F466" s="309"/>
      <c r="G466" s="309"/>
      <c r="H466" s="309"/>
      <c r="I466" s="309"/>
      <c r="J466" s="309"/>
      <c r="K466" s="309"/>
      <c r="L466" s="308"/>
    </row>
    <row r="467" spans="1:12">
      <c r="A467" s="349"/>
      <c r="B467" s="631" t="s">
        <v>735</v>
      </c>
      <c r="C467" s="632">
        <f ca="1">Annualized_Cost/households</f>
        <v>243.46857127131344</v>
      </c>
      <c r="D467" s="1060" t="s">
        <v>736</v>
      </c>
      <c r="E467" s="333"/>
      <c r="F467" s="333"/>
      <c r="G467" s="333"/>
      <c r="H467" s="333"/>
      <c r="I467" s="333"/>
      <c r="J467" s="333"/>
      <c r="K467" s="333"/>
      <c r="L467" s="313"/>
    </row>
    <row r="470" spans="1:12">
      <c r="A470" s="1022" t="s">
        <v>446</v>
      </c>
      <c r="B470" s="1022"/>
      <c r="C470" s="816"/>
    </row>
    <row r="471" spans="1:12">
      <c r="A471" s="137"/>
      <c r="B471" s="251" t="s">
        <v>2762</v>
      </c>
      <c r="C471" s="787">
        <f ca="1">C374</f>
        <v>103337.04907905553</v>
      </c>
    </row>
    <row r="472" spans="1:12">
      <c r="A472" s="137"/>
      <c r="B472" s="251" t="s">
        <v>2763</v>
      </c>
      <c r="C472" s="367">
        <f ca="1">C375</f>
        <v>12062.519999999997</v>
      </c>
    </row>
    <row r="473" spans="1:12">
      <c r="A473" s="137"/>
      <c r="B473" s="899" t="s">
        <v>5270</v>
      </c>
      <c r="C473" s="368">
        <f>D376</f>
        <v>0</v>
      </c>
    </row>
    <row r="474" spans="1:12">
      <c r="A474" s="137"/>
      <c r="B474" s="251" t="s">
        <v>573</v>
      </c>
      <c r="C474" s="369">
        <f ca="1">C377</f>
        <v>215867.07692307691</v>
      </c>
    </row>
    <row r="475" spans="1:12">
      <c r="A475" s="137"/>
      <c r="B475" s="251" t="s">
        <v>2764</v>
      </c>
      <c r="C475" s="369">
        <f ca="1">C378</f>
        <v>13788.224578581687</v>
      </c>
    </row>
    <row r="476" spans="1:12">
      <c r="A476" s="137"/>
      <c r="B476" s="251" t="s">
        <v>2765</v>
      </c>
      <c r="C476" s="369">
        <f ca="1">C379</f>
        <v>0</v>
      </c>
    </row>
    <row r="477" spans="1:12">
      <c r="A477" s="137"/>
      <c r="B477" s="251" t="s">
        <v>3229</v>
      </c>
      <c r="C477" s="369">
        <f ca="1">C380</f>
        <v>43765.714285714283</v>
      </c>
    </row>
    <row r="478" spans="1:12">
      <c r="A478" s="137"/>
      <c r="B478" s="251" t="s">
        <v>3230</v>
      </c>
      <c r="C478" s="596">
        <f ca="1">C381</f>
        <v>180214.53426575128</v>
      </c>
    </row>
    <row r="479" spans="1:12">
      <c r="A479" s="137"/>
      <c r="B479" s="251" t="s">
        <v>3231</v>
      </c>
      <c r="C479" s="368">
        <f>D382</f>
        <v>0</v>
      </c>
    </row>
    <row r="480" spans="1:12">
      <c r="A480" s="137"/>
      <c r="B480" s="251" t="s">
        <v>3234</v>
      </c>
      <c r="C480" s="369">
        <f ca="1">C383</f>
        <v>0</v>
      </c>
    </row>
    <row r="481" spans="1:3">
      <c r="A481" s="137"/>
      <c r="B481" s="251" t="s">
        <v>3235</v>
      </c>
      <c r="C481" s="369">
        <f ca="1">C384</f>
        <v>232340.80111890152</v>
      </c>
    </row>
    <row r="482" spans="1:3">
      <c r="A482" s="137"/>
      <c r="B482" s="251" t="s">
        <v>1587</v>
      </c>
      <c r="C482" s="368">
        <f>D385</f>
        <v>0.1</v>
      </c>
    </row>
    <row r="483" spans="1:3">
      <c r="A483" s="137"/>
      <c r="B483" s="251" t="s">
        <v>3236</v>
      </c>
      <c r="C483" s="368">
        <f>D386</f>
        <v>0.02</v>
      </c>
    </row>
    <row r="484" spans="1:3">
      <c r="A484" s="137"/>
      <c r="B484" s="251" t="s">
        <v>3049</v>
      </c>
      <c r="C484" s="368">
        <f>D387</f>
        <v>0</v>
      </c>
    </row>
    <row r="485" spans="1:3">
      <c r="A485" s="137"/>
      <c r="B485" s="251" t="s">
        <v>3051</v>
      </c>
      <c r="C485" s="368">
        <f>D388</f>
        <v>0.05</v>
      </c>
    </row>
    <row r="486" spans="1:3">
      <c r="A486" s="137"/>
      <c r="B486" s="251" t="s">
        <v>3307</v>
      </c>
      <c r="C486" s="369">
        <f ca="1">C389</f>
        <v>126253.38992448631</v>
      </c>
    </row>
    <row r="487" spans="1:3">
      <c r="A487" s="137"/>
      <c r="B487" s="238" t="s">
        <v>1312</v>
      </c>
      <c r="C487" s="370">
        <f>SUM(cul_indir_mult_table)</f>
        <v>0.17</v>
      </c>
    </row>
    <row r="488" spans="1:3">
      <c r="A488" s="137"/>
      <c r="B488" s="238" t="s">
        <v>1313</v>
      </c>
      <c r="C488" s="371">
        <f ca="1">SUM(cul_indir_add_table)-addon_cost</f>
        <v>927629.3101755674</v>
      </c>
    </row>
    <row r="489" spans="1:3">
      <c r="A489" s="137"/>
      <c r="B489" s="20" t="s">
        <v>1314</v>
      </c>
      <c r="C489" s="372">
        <f ca="1">C390+addon_cost</f>
        <v>1325335.1541517349</v>
      </c>
    </row>
    <row r="490" spans="1:3">
      <c r="A490" s="557"/>
      <c r="B490" s="266"/>
      <c r="C490" s="557"/>
    </row>
    <row r="491" spans="1:3">
      <c r="A491" s="557"/>
      <c r="B491" s="554" t="s">
        <v>1350</v>
      </c>
      <c r="C491" s="950" t="b">
        <f ca="1">inputs_ok</f>
        <v>1</v>
      </c>
    </row>
    <row r="492" spans="1:3">
      <c r="A492" s="557"/>
      <c r="B492" s="554" t="s">
        <v>5295</v>
      </c>
      <c r="C492" s="220" t="b">
        <f>IF(COUNTIF(use_column,"x")&gt;0,TRUE,FALSE)</f>
        <v>0</v>
      </c>
    </row>
    <row r="493" spans="1:3">
      <c r="A493" s="557"/>
      <c r="B493" s="554" t="s">
        <v>1704</v>
      </c>
      <c r="C493" s="220" t="b">
        <f>IF(COUNTIF(use_column,"ec")+COUNTIF(use_column,"ep")&gt;0,TRUE,FALSE)</f>
        <v>0</v>
      </c>
    </row>
  </sheetData>
  <mergeCells count="16">
    <mergeCell ref="C406:D406"/>
    <mergeCell ref="G31:H33"/>
    <mergeCell ref="E406:F406"/>
    <mergeCell ref="T32:V32"/>
    <mergeCell ref="N31:V31"/>
    <mergeCell ref="M31:M33"/>
    <mergeCell ref="L31:L33"/>
    <mergeCell ref="A31:A33"/>
    <mergeCell ref="B31:B33"/>
    <mergeCell ref="C31:D33"/>
    <mergeCell ref="E31:F33"/>
    <mergeCell ref="W31:Y32"/>
    <mergeCell ref="K31:K33"/>
    <mergeCell ref="J31:J33"/>
    <mergeCell ref="I31:I33"/>
    <mergeCell ref="N32:P32"/>
  </mergeCells>
  <phoneticPr fontId="0" type="noConversion"/>
  <conditionalFormatting sqref="E362:L363 A198:K206 A355:K355 A348:K348 A207:A212 C127:K130 A350:K353 A357:K358 A107:K110 A55:K57 A58:D59 A56:A59 C56:K59 A66:K69 A70:D71 E67:K71 A67:A71 A72:K79 A81:K83 A295:K298">
    <cfRule type="expression" dxfId="2002" priority="75" stopIfTrue="1">
      <formula>IF(OR($L55=0,NOT(ISNUMBER($L55))),TRUE,FALSE)</formula>
    </cfRule>
  </conditionalFormatting>
  <conditionalFormatting sqref="H422:H429 B437:B438 B412:B420 B440:B445 H431:H435 H408:H410 B408:B410 B422:B429 B431:B435 B447:B450 H447:H451 H437:H438 H440:H445 H412:H420">
    <cfRule type="expression" dxfId="2001" priority="76" stopIfTrue="1">
      <formula>IF(OR($H408=0,NOT(ISNUMBER($H408))),TRUE,FALSE)</formula>
    </cfRule>
  </conditionalFormatting>
  <conditionalFormatting sqref="A239:K239 A113:K117 A119:K121 A267:K278 A132:K135 A215:K216 A230:K230 A232:K234 A237:K237 A285:K293 A218:K222 A127:B130 A280:K282 A247:K250 A242:K245 A123:K126 C35 A35:B36 C43:K43 A38:B39 C40:K40 A252:B255 A257:B260 C252:K260 A41:B42 A44:B48 C36:F48 D35:K48 A167:K196 A138:K165 A94:A95 A300:K304 A101:K105 A61:K63 A51:K52 A87:D88 A92:D93 A53:D54 A64:D65 A61:A64 A85:K86 A89:K91 A97:K99 A262:K265 A226:K228 A223:J225">
    <cfRule type="expression" dxfId="2000" priority="77" stopIfTrue="1">
      <formula>IF(OR($L35=0,NOT(ISNUMBER($L35))),TRUE,FALSE)</formula>
    </cfRule>
  </conditionalFormatting>
  <conditionalFormatting sqref="L241:L265 L131:L206 L213:L239 L34:L52 L60:L63 L89:L91 L55:L57 L96:L126 L66:L69 L72:L86 L267:L358">
    <cfRule type="cellIs" dxfId="1999" priority="78" stopIfTrue="1" operator="equal">
      <formula>0</formula>
    </cfRule>
    <cfRule type="expression" dxfId="1998" priority="79" stopIfTrue="1">
      <formula>OR($L34="x",$L34="ec",$L34="ep")</formula>
    </cfRule>
  </conditionalFormatting>
  <conditionalFormatting sqref="C408:G410 C412:G420 C431:G435 G447:G451 C447:F450 C437:G438 C440:G445 C422:G429">
    <cfRule type="expression" dxfId="1997" priority="80" stopIfTrue="1">
      <formula>IF(OR($H408=0,NOT(ISNUMBER($H408))),TRUE,FALSE)</formula>
    </cfRule>
  </conditionalFormatting>
  <conditionalFormatting sqref="L127:L130 L307:L310 L312:L316 L318:L319 L321:L324 L326:L330 L332:L347">
    <cfRule type="cellIs" dxfId="1996" priority="81" stopIfTrue="1" operator="equal">
      <formula>0</formula>
    </cfRule>
    <cfRule type="cellIs" dxfId="1995" priority="82" stopIfTrue="1" operator="equal">
      <formula>"x"</formula>
    </cfRule>
  </conditionalFormatting>
  <conditionalFormatting sqref="C19:C27">
    <cfRule type="expression" dxfId="1994" priority="83" stopIfTrue="1">
      <formula>NOT(ISNUMBER(C19))</formula>
    </cfRule>
  </conditionalFormatting>
  <conditionalFormatting sqref="A318:K319 A312:K316 A326:K330 A307:K310 A321:K324 A332:K347">
    <cfRule type="expression" dxfId="1993" priority="74" stopIfTrue="1">
      <formula>IF(OR($L307=0,NOT(ISNUMBER($L307))),TRUE,FALSE)</formula>
    </cfRule>
  </conditionalFormatting>
  <conditionalFormatting sqref="L56:L57 L67:L69 L72:L79">
    <cfRule type="cellIs" dxfId="1992" priority="67" stopIfTrue="1" operator="equal">
      <formula>0</formula>
    </cfRule>
    <cfRule type="cellIs" dxfId="1991" priority="68" stopIfTrue="1" operator="equal">
      <formula>"x"</formula>
    </cfRule>
  </conditionalFormatting>
  <conditionalFormatting sqref="A55:B55 A66:B66 A72:B72 A76:B76">
    <cfRule type="expression" dxfId="1990" priority="63" stopIfTrue="1">
      <formula>TRUE</formula>
    </cfRule>
  </conditionalFormatting>
  <conditionalFormatting sqref="D94:E95 I94:K95">
    <cfRule type="expression" dxfId="1989" priority="59" stopIfTrue="1">
      <formula>IF(OR($L94=0,NOT(ISNUMBER($L94))),TRUE,FALSE)</formula>
    </cfRule>
  </conditionalFormatting>
  <conditionalFormatting sqref="B94:B95">
    <cfRule type="expression" dxfId="1988" priority="60" stopIfTrue="1">
      <formula>IF(OR($L94=0,NOT(ISNUMBER($L94))),TRUE,FALSE)</formula>
    </cfRule>
  </conditionalFormatting>
  <conditionalFormatting sqref="L94:L95">
    <cfRule type="cellIs" dxfId="1987" priority="61" stopIfTrue="1" operator="equal">
      <formula>0</formula>
    </cfRule>
    <cfRule type="cellIs" dxfId="1986" priority="62" stopIfTrue="1" operator="equal">
      <formula>"x"</formula>
    </cfRule>
  </conditionalFormatting>
  <conditionalFormatting sqref="C94">
    <cfRule type="expression" dxfId="1985" priority="58" stopIfTrue="1">
      <formula>IF(OR($L94=0,NOT(ISNUMBER($L94))),TRUE,FALSE)</formula>
    </cfRule>
  </conditionalFormatting>
  <conditionalFormatting sqref="C95">
    <cfRule type="expression" dxfId="1984" priority="57" stopIfTrue="1">
      <formula>IF(OR($L95=0,NOT(ISNUMBER($L95))),TRUE,FALSE)</formula>
    </cfRule>
  </conditionalFormatting>
  <conditionalFormatting sqref="G94:G95">
    <cfRule type="expression" dxfId="1983" priority="56" stopIfTrue="1">
      <formula>IF(OR($L94=0,NOT(ISNUMBER($L94))),TRUE,FALSE)</formula>
    </cfRule>
  </conditionalFormatting>
  <conditionalFormatting sqref="B207:K212">
    <cfRule type="expression" dxfId="1982" priority="53" stopIfTrue="1">
      <formula>IF(OR($L207=0,NOT(ISNUMBER($L207))),TRUE,FALSE)</formula>
    </cfRule>
  </conditionalFormatting>
  <conditionalFormatting sqref="L207:L212">
    <cfRule type="cellIs" dxfId="1981" priority="54" stopIfTrue="1" operator="equal">
      <formula>0</formula>
    </cfRule>
    <cfRule type="expression" dxfId="1980" priority="55" stopIfTrue="1">
      <formula>OR($L207="x",$L207="ec",$L207="ep")</formula>
    </cfRule>
  </conditionalFormatting>
  <conditionalFormatting sqref="F94:F95">
    <cfRule type="expression" dxfId="1979" priority="52" stopIfTrue="1">
      <formula>IF(OR($L94=0,NOT(ISNUMBER($L94))),TRUE,FALSE)</formula>
    </cfRule>
  </conditionalFormatting>
  <conditionalFormatting sqref="H94:H95">
    <cfRule type="expression" dxfId="1978" priority="51" stopIfTrue="1">
      <formula>IF(OR($L94=0,NOT(ISNUMBER($L94))),TRUE,FALSE)</formula>
    </cfRule>
  </conditionalFormatting>
  <conditionalFormatting sqref="E64:K64">
    <cfRule type="expression" dxfId="1977" priority="29" stopIfTrue="1">
      <formula>IF(OR($L64=0,NOT(ISNUMBER($L64))),TRUE,FALSE)</formula>
    </cfRule>
  </conditionalFormatting>
  <conditionalFormatting sqref="E54:K54">
    <cfRule type="expression" dxfId="1976" priority="32" stopIfTrue="1">
      <formula>IF(OR($L54=0,NOT(ISNUMBER($L54))),TRUE,FALSE)</formula>
    </cfRule>
  </conditionalFormatting>
  <conditionalFormatting sqref="L53">
    <cfRule type="cellIs" dxfId="1975" priority="36" stopIfTrue="1" operator="equal">
      <formula>0</formula>
    </cfRule>
    <cfRule type="cellIs" dxfId="1974" priority="37" stopIfTrue="1" operator="equal">
      <formula>"x"</formula>
    </cfRule>
  </conditionalFormatting>
  <conditionalFormatting sqref="E53:K53">
    <cfRule type="expression" dxfId="1973" priority="35" stopIfTrue="1">
      <formula>IF(OR($L53=0,NOT(ISNUMBER($L53))),TRUE,FALSE)</formula>
    </cfRule>
  </conditionalFormatting>
  <conditionalFormatting sqref="L54">
    <cfRule type="cellIs" dxfId="1972" priority="33" stopIfTrue="1" operator="equal">
      <formula>0</formula>
    </cfRule>
    <cfRule type="cellIs" dxfId="1971" priority="34" stopIfTrue="1" operator="equal">
      <formula>"x"</formula>
    </cfRule>
  </conditionalFormatting>
  <conditionalFormatting sqref="L64">
    <cfRule type="cellIs" dxfId="1970" priority="30" stopIfTrue="1" operator="equal">
      <formula>0</formula>
    </cfRule>
    <cfRule type="cellIs" dxfId="1969" priority="31" stopIfTrue="1" operator="equal">
      <formula>"x"</formula>
    </cfRule>
  </conditionalFormatting>
  <conditionalFormatting sqref="L65">
    <cfRule type="cellIs" dxfId="1968" priority="27" stopIfTrue="1" operator="equal">
      <formula>0</formula>
    </cfRule>
    <cfRule type="cellIs" dxfId="1967" priority="28" stopIfTrue="1" operator="equal">
      <formula>"x"</formula>
    </cfRule>
  </conditionalFormatting>
  <conditionalFormatting sqref="E65:K65">
    <cfRule type="expression" dxfId="1966" priority="26" stopIfTrue="1">
      <formula>IF(OR($L65=0,NOT(ISNUMBER($L65))),TRUE,FALSE)</formula>
    </cfRule>
  </conditionalFormatting>
  <conditionalFormatting sqref="L87">
    <cfRule type="cellIs" dxfId="1965" priority="24" stopIfTrue="1" operator="equal">
      <formula>0</formula>
    </cfRule>
    <cfRule type="cellIs" dxfId="1964" priority="25" stopIfTrue="1" operator="equal">
      <formula>"x"</formula>
    </cfRule>
  </conditionalFormatting>
  <conditionalFormatting sqref="E87:K87">
    <cfRule type="expression" dxfId="1963" priority="23" stopIfTrue="1">
      <formula>IF(OR($L87=0,NOT(ISNUMBER($L87))),TRUE,FALSE)</formula>
    </cfRule>
  </conditionalFormatting>
  <conditionalFormatting sqref="L88">
    <cfRule type="cellIs" dxfId="1962" priority="21" stopIfTrue="1" operator="equal">
      <formula>0</formula>
    </cfRule>
    <cfRule type="cellIs" dxfId="1961" priority="22" stopIfTrue="1" operator="equal">
      <formula>"x"</formula>
    </cfRule>
  </conditionalFormatting>
  <conditionalFormatting sqref="E88:K88">
    <cfRule type="expression" dxfId="1960" priority="20" stopIfTrue="1">
      <formula>IF(OR($L88=0,NOT(ISNUMBER($L88))),TRUE,FALSE)</formula>
    </cfRule>
  </conditionalFormatting>
  <conditionalFormatting sqref="L92">
    <cfRule type="cellIs" dxfId="1959" priority="18" stopIfTrue="1" operator="equal">
      <formula>0</formula>
    </cfRule>
    <cfRule type="cellIs" dxfId="1958" priority="19" stopIfTrue="1" operator="equal">
      <formula>"x"</formula>
    </cfRule>
  </conditionalFormatting>
  <conditionalFormatting sqref="E92:K92">
    <cfRule type="expression" dxfId="1957" priority="17" stopIfTrue="1">
      <formula>IF(OR($L92=0,NOT(ISNUMBER($L92))),TRUE,FALSE)</formula>
    </cfRule>
  </conditionalFormatting>
  <conditionalFormatting sqref="L93">
    <cfRule type="cellIs" dxfId="1956" priority="15" stopIfTrue="1" operator="equal">
      <formula>0</formula>
    </cfRule>
    <cfRule type="cellIs" dxfId="1955" priority="16" stopIfTrue="1" operator="equal">
      <formula>"x"</formula>
    </cfRule>
  </conditionalFormatting>
  <conditionalFormatting sqref="E93:K93">
    <cfRule type="expression" dxfId="1954" priority="14" stopIfTrue="1">
      <formula>IF(OR($L93=0,NOT(ISNUMBER($L93))),TRUE,FALSE)</formula>
    </cfRule>
  </conditionalFormatting>
  <conditionalFormatting sqref="L58">
    <cfRule type="cellIs" dxfId="1953" priority="12" stopIfTrue="1" operator="equal">
      <formula>0</formula>
    </cfRule>
    <cfRule type="cellIs" dxfId="1952" priority="13" stopIfTrue="1" operator="equal">
      <formula>"x"</formula>
    </cfRule>
  </conditionalFormatting>
  <conditionalFormatting sqref="L59">
    <cfRule type="cellIs" dxfId="1951" priority="9" stopIfTrue="1" operator="equal">
      <formula>0</formula>
    </cfRule>
    <cfRule type="cellIs" dxfId="1950" priority="10" stopIfTrue="1" operator="equal">
      <formula>"x"</formula>
    </cfRule>
  </conditionalFormatting>
  <conditionalFormatting sqref="L70">
    <cfRule type="cellIs" dxfId="1949" priority="6" stopIfTrue="1" operator="equal">
      <formula>0</formula>
    </cfRule>
    <cfRule type="cellIs" dxfId="1948" priority="7" stopIfTrue="1" operator="equal">
      <formula>"x"</formula>
    </cfRule>
  </conditionalFormatting>
  <conditionalFormatting sqref="L71">
    <cfRule type="cellIs" dxfId="1947" priority="3" stopIfTrue="1" operator="equal">
      <formula>0</formula>
    </cfRule>
    <cfRule type="cellIs" dxfId="1946" priority="4" stopIfTrue="1" operator="equal">
      <formula>"x"</formula>
    </cfRule>
  </conditionalFormatting>
  <conditionalFormatting sqref="K223:K225">
    <cfRule type="expression" dxfId="1945" priority="1" stopIfTrue="1">
      <formula>IF(OR($L223=0,NOT(ISNUMBER($L223))),TRUE,FALSE)</formula>
    </cfRule>
  </conditionalFormatting>
  <dataValidations disablePrompts="1" count="1">
    <dataValidation type="list" allowBlank="1" showInputMessage="1" showErrorMessage="1" sqref="C457" xr:uid="{00000000-0002-0000-0400-000000000000}">
      <formula1>"ground water,surface water"</formula1>
    </dataValidation>
  </dataValidations>
  <hyperlinks>
    <hyperlink ref="D19" location="link_dcc" display="Details" xr:uid="{00000000-0004-0000-0400-000000000000}"/>
    <hyperlink ref="D20" location="link_aoc" display="Details" xr:uid="{00000000-0004-0000-0400-000001000000}"/>
    <hyperlink ref="D21" location="link_icc" display="Details" xr:uid="{00000000-0004-0000-0400-000002000000}"/>
    <hyperlink ref="D22" location="link_tcc" display="Details" xr:uid="{00000000-0004-0000-0400-000003000000}"/>
    <hyperlink ref="D24" location="link_omc" display="Details" xr:uid="{00000000-0004-0000-0400-000004000000}"/>
    <hyperlink ref="D25" location="link_annc" display="Details" xr:uid="{00000000-0004-0000-0400-000005000000}"/>
    <hyperlink ref="B306" location="link_dcc" display="Details" xr:uid="{00000000-0004-0000-0400-000006000000}"/>
    <hyperlink ref="D23" location="link_annc" display="Details" xr:uid="{00000000-0004-0000-0400-000008000000}"/>
  </hyperlinks>
  <pageMargins left="0.75" right="0.75" top="1" bottom="1" header="0.5" footer="0.5"/>
  <pageSetup scale="4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cordoutput">
                <anchor moveWithCells="1" sizeWithCells="1">
                  <from>
                    <xdr:col>5</xdr:col>
                    <xdr:colOff>114300</xdr:colOff>
                    <xdr:row>2</xdr:row>
                    <xdr:rowOff>25400</xdr:rowOff>
                  </from>
                  <to>
                    <xdr:col>8</xdr:col>
                    <xdr:colOff>596900</xdr:colOff>
                    <xdr:row>6</xdr:row>
                    <xdr:rowOff>101600</xdr:rowOff>
                  </to>
                </anchor>
              </controlPr>
            </control>
          </mc:Choice>
        </mc:AlternateContent>
        <mc:AlternateContent xmlns:mc="http://schemas.openxmlformats.org/markup-compatibility/2006">
          <mc:Choice Requires="x14">
            <control shapeId="1189" r:id="rId5" name="cmdCompSelect">
              <controlPr defaultSize="0" print="0" autoFill="0" autoPict="0" macro="[0]!Sheet4.cmdCompSelect_Click">
                <anchor moveWithCells="1" sizeWithCells="1">
                  <from>
                    <xdr:col>5</xdr:col>
                    <xdr:colOff>88900</xdr:colOff>
                    <xdr:row>7</xdr:row>
                    <xdr:rowOff>50800</xdr:rowOff>
                  </from>
                  <to>
                    <xdr:col>8</xdr:col>
                    <xdr:colOff>609600</xdr:colOff>
                    <xdr:row>11</xdr:row>
                    <xdr:rowOff>101600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8834-FFB0-4272-B216-CFF8C8A0CDBB}">
  <dimension ref="A1:G1889"/>
  <sheetViews>
    <sheetView workbookViewId="0">
      <pane ySplit="3" topLeftCell="A1570" activePane="bottomLeft" state="frozen"/>
      <selection pane="bottomLeft" activeCell="I1585" sqref="I1585"/>
    </sheetView>
  </sheetViews>
  <sheetFormatPr baseColWidth="10" defaultColWidth="9.1640625" defaultRowHeight="13"/>
  <cols>
    <col min="1" max="1" width="22.6640625" style="555" customWidth="1"/>
    <col min="2" max="2" width="32.1640625" style="555" customWidth="1"/>
    <col min="3" max="3" width="20.6640625" style="555" customWidth="1"/>
    <col min="4" max="4" width="20.33203125" style="555" customWidth="1"/>
    <col min="5" max="5" width="16.5" style="555" bestFit="1" customWidth="1"/>
    <col min="6" max="6" width="16.5" style="555" customWidth="1"/>
    <col min="7" max="11" width="14.33203125" style="555" customWidth="1"/>
    <col min="12" max="12" width="6.6640625" style="555" customWidth="1"/>
    <col min="13" max="18" width="14.33203125" style="555" customWidth="1"/>
    <col min="19" max="19" width="6.6640625" style="555" customWidth="1"/>
    <col min="20" max="24" width="14.33203125" style="555" customWidth="1"/>
    <col min="25" max="25" width="6.6640625" style="555" customWidth="1"/>
    <col min="26" max="30" width="14.33203125" style="555" customWidth="1"/>
    <col min="31" max="31" width="6.6640625" style="555" customWidth="1"/>
    <col min="32" max="36" width="14.33203125" style="555" customWidth="1"/>
    <col min="37" max="37" width="6.6640625" style="555" customWidth="1"/>
    <col min="38" max="42" width="14.33203125" style="555" customWidth="1"/>
    <col min="43" max="43" width="6.6640625" style="555" customWidth="1"/>
    <col min="44" max="44" width="8.83203125" style="555" customWidth="1"/>
    <col min="45" max="45" width="9.1640625" style="555"/>
    <col min="46" max="51" width="8.83203125" style="555" customWidth="1"/>
    <col min="52" max="52" width="9.5" style="555" bestFit="1" customWidth="1"/>
    <col min="53" max="53" width="8.83203125" style="555" customWidth="1"/>
    <col min="54" max="54" width="9.33203125" style="555" bestFit="1" customWidth="1"/>
    <col min="55" max="59" width="8.83203125" style="555" customWidth="1"/>
    <col min="60" max="16384" width="9.1640625" style="555"/>
  </cols>
  <sheetData>
    <row r="1" spans="1:6">
      <c r="A1" s="63" t="s">
        <v>5650</v>
      </c>
    </row>
    <row r="2" spans="1:6">
      <c r="A2" s="976" t="s">
        <v>6498</v>
      </c>
    </row>
    <row r="3" spans="1:6">
      <c r="A3" s="976" t="s">
        <v>6499</v>
      </c>
    </row>
    <row r="5" spans="1:6">
      <c r="A5" s="1128" t="s">
        <v>5651</v>
      </c>
      <c r="B5" s="1128" t="s">
        <v>5652</v>
      </c>
      <c r="C5" s="1128"/>
      <c r="D5" s="1128"/>
      <c r="E5" s="1128"/>
      <c r="F5" s="1128"/>
    </row>
    <row r="6" spans="1:6">
      <c r="A6" s="1146">
        <v>43</v>
      </c>
      <c r="B6" s="1127"/>
      <c r="C6" s="1127"/>
      <c r="D6" s="1127" t="s">
        <v>2355</v>
      </c>
      <c r="E6" s="1127" t="s">
        <v>5653</v>
      </c>
      <c r="F6" s="1127" t="s">
        <v>5654</v>
      </c>
    </row>
    <row r="7" spans="1:6">
      <c r="A7" s="723" t="s">
        <v>5655</v>
      </c>
      <c r="B7" s="220">
        <v>0</v>
      </c>
      <c r="C7" s="220">
        <v>0</v>
      </c>
      <c r="D7" s="1147">
        <v>600.18707669670891</v>
      </c>
      <c r="E7" s="220">
        <v>15</v>
      </c>
      <c r="F7" s="220">
        <v>14</v>
      </c>
    </row>
    <row r="10" spans="1:6">
      <c r="A10" s="1128" t="s">
        <v>5656</v>
      </c>
      <c r="B10" s="1128" t="s">
        <v>5657</v>
      </c>
      <c r="C10" s="1128"/>
      <c r="D10" s="1128"/>
      <c r="E10" s="1128"/>
      <c r="F10" s="1128"/>
    </row>
    <row r="11" spans="1:6">
      <c r="A11" s="1146">
        <v>35</v>
      </c>
      <c r="B11" s="1127" t="s">
        <v>5658</v>
      </c>
      <c r="C11" s="1127" t="s">
        <v>5659</v>
      </c>
      <c r="D11" s="1133" t="s">
        <v>5660</v>
      </c>
      <c r="E11" s="1127" t="s">
        <v>5653</v>
      </c>
      <c r="F11" s="1127" t="s">
        <v>5654</v>
      </c>
    </row>
    <row r="12" spans="1:6">
      <c r="A12" s="723" t="s">
        <v>5662</v>
      </c>
      <c r="B12" s="633">
        <v>0</v>
      </c>
      <c r="C12" s="220">
        <v>50</v>
      </c>
      <c r="D12" s="1147">
        <v>5438.1241156030719</v>
      </c>
      <c r="E12" s="220">
        <v>35</v>
      </c>
      <c r="F12" s="220">
        <v>30</v>
      </c>
    </row>
    <row r="13" spans="1:6">
      <c r="A13" s="723"/>
      <c r="B13" s="633">
        <v>51</v>
      </c>
      <c r="C13" s="220">
        <v>100</v>
      </c>
      <c r="D13" s="1147">
        <v>7046.0742131903371</v>
      </c>
      <c r="E13" s="220">
        <v>35</v>
      </c>
      <c r="F13" s="220">
        <v>30</v>
      </c>
    </row>
    <row r="14" spans="1:6">
      <c r="A14" s="723"/>
      <c r="B14" s="633">
        <v>101</v>
      </c>
      <c r="C14" s="220">
        <v>180</v>
      </c>
      <c r="D14" s="1147">
        <v>6856.0163217306799</v>
      </c>
      <c r="E14" s="220">
        <v>35</v>
      </c>
      <c r="F14" s="220">
        <v>30</v>
      </c>
    </row>
    <row r="15" spans="1:6">
      <c r="A15" s="723"/>
      <c r="B15" s="633">
        <v>181</v>
      </c>
      <c r="C15" s="220">
        <v>220</v>
      </c>
      <c r="D15" s="1147">
        <v>9958.7868196077943</v>
      </c>
      <c r="E15" s="220">
        <v>35</v>
      </c>
      <c r="F15" s="220">
        <v>30</v>
      </c>
    </row>
    <row r="16" spans="1:6">
      <c r="A16" s="723"/>
      <c r="B16" s="633">
        <v>221</v>
      </c>
      <c r="C16" s="220">
        <v>400</v>
      </c>
      <c r="D16" s="1147">
        <v>13040.439773989394</v>
      </c>
      <c r="E16" s="220">
        <v>35</v>
      </c>
      <c r="F16" s="220">
        <v>30</v>
      </c>
    </row>
    <row r="17" spans="1:6">
      <c r="A17" s="723"/>
      <c r="B17" s="633">
        <v>401</v>
      </c>
      <c r="C17" s="220">
        <v>440</v>
      </c>
      <c r="D17" s="1147">
        <v>17693.841322823086</v>
      </c>
      <c r="E17" s="220">
        <v>35</v>
      </c>
      <c r="F17" s="220">
        <v>30</v>
      </c>
    </row>
    <row r="18" spans="1:6">
      <c r="A18" s="723"/>
      <c r="B18" s="633">
        <v>441</v>
      </c>
      <c r="C18" s="220">
        <v>875</v>
      </c>
      <c r="D18" s="1147">
        <v>87796.543748121534</v>
      </c>
      <c r="E18" s="220">
        <v>35</v>
      </c>
      <c r="F18" s="220">
        <v>30</v>
      </c>
    </row>
    <row r="19" spans="1:6">
      <c r="A19" s="723"/>
      <c r="B19" s="633">
        <v>876</v>
      </c>
      <c r="C19" s="220">
        <v>1200</v>
      </c>
      <c r="D19" s="1147">
        <v>20846.388887511064</v>
      </c>
      <c r="E19" s="220">
        <v>35</v>
      </c>
      <c r="F19" s="220">
        <v>30</v>
      </c>
    </row>
    <row r="20" spans="1:6">
      <c r="A20" s="723"/>
      <c r="B20" s="633">
        <v>1201</v>
      </c>
      <c r="C20" s="220">
        <v>2500</v>
      </c>
      <c r="D20" s="1147">
        <v>135136.04268121606</v>
      </c>
      <c r="E20" s="220">
        <v>35</v>
      </c>
      <c r="F20" s="220">
        <v>30</v>
      </c>
    </row>
    <row r="21" spans="1:6">
      <c r="A21" s="723"/>
      <c r="B21" s="633">
        <v>2501</v>
      </c>
      <c r="C21" s="220">
        <v>3100</v>
      </c>
      <c r="D21" s="1147">
        <v>93234.311198217329</v>
      </c>
      <c r="E21" s="220">
        <v>35</v>
      </c>
      <c r="F21" s="220">
        <v>30</v>
      </c>
    </row>
    <row r="22" spans="1:6">
      <c r="A22" s="723"/>
      <c r="B22" s="633">
        <v>3101</v>
      </c>
      <c r="C22" s="220">
        <v>6000</v>
      </c>
      <c r="D22" s="1147">
        <v>161962.11070236118</v>
      </c>
      <c r="E22" s="220">
        <v>35</v>
      </c>
      <c r="F22" s="220">
        <v>30</v>
      </c>
    </row>
    <row r="23" spans="1:6">
      <c r="A23" s="723"/>
      <c r="B23" s="633">
        <v>6001</v>
      </c>
      <c r="C23" s="220" t="s">
        <v>5661</v>
      </c>
      <c r="D23" s="1147" t="s">
        <v>5661</v>
      </c>
      <c r="E23" s="220">
        <v>35</v>
      </c>
      <c r="F23" s="220">
        <v>30</v>
      </c>
    </row>
    <row r="26" spans="1:6">
      <c r="A26" s="1128" t="s">
        <v>5663</v>
      </c>
      <c r="B26" s="1128" t="s">
        <v>467</v>
      </c>
      <c r="C26" s="1128"/>
      <c r="D26" s="1128"/>
      <c r="E26" s="1128"/>
      <c r="F26" s="1128"/>
    </row>
    <row r="27" spans="1:6">
      <c r="A27" s="1146">
        <v>3</v>
      </c>
      <c r="B27" s="1127"/>
      <c r="C27" s="1127"/>
      <c r="D27" s="1127" t="s">
        <v>5664</v>
      </c>
      <c r="E27" s="1127" t="s">
        <v>5653</v>
      </c>
      <c r="F27" s="1127" t="s">
        <v>5654</v>
      </c>
    </row>
    <row r="28" spans="1:6">
      <c r="A28" s="723" t="s">
        <v>5665</v>
      </c>
      <c r="B28" s="220">
        <v>0</v>
      </c>
      <c r="C28" s="220">
        <v>0</v>
      </c>
      <c r="D28" s="1148">
        <v>18.649999999999999</v>
      </c>
      <c r="E28" s="220" t="s">
        <v>4504</v>
      </c>
      <c r="F28" s="220" t="s">
        <v>4504</v>
      </c>
    </row>
    <row r="31" spans="1:6">
      <c r="A31" s="1128" t="s">
        <v>5666</v>
      </c>
      <c r="B31" s="1128" t="s">
        <v>5667</v>
      </c>
      <c r="C31" s="1128"/>
      <c r="D31" s="1128"/>
      <c r="E31" s="1128"/>
      <c r="F31" s="1128"/>
    </row>
    <row r="32" spans="1:6">
      <c r="A32" s="1146">
        <v>2</v>
      </c>
      <c r="B32" s="1127"/>
      <c r="C32" s="1127"/>
      <c r="D32" s="1127" t="s">
        <v>5668</v>
      </c>
      <c r="E32" s="1127" t="s">
        <v>5653</v>
      </c>
      <c r="F32" s="1127" t="s">
        <v>5654</v>
      </c>
    </row>
    <row r="33" spans="1:6">
      <c r="A33" s="723" t="s">
        <v>5669</v>
      </c>
      <c r="B33" s="220">
        <v>0</v>
      </c>
      <c r="C33" s="220">
        <v>0</v>
      </c>
      <c r="D33" s="1148">
        <v>45.35</v>
      </c>
      <c r="E33" s="220" t="s">
        <v>4504</v>
      </c>
      <c r="F33" s="220" t="s">
        <v>4504</v>
      </c>
    </row>
    <row r="36" spans="1:6">
      <c r="A36" s="1149" t="s">
        <v>5670</v>
      </c>
      <c r="B36" s="689">
        <v>0</v>
      </c>
      <c r="C36" s="689">
        <v>0</v>
      </c>
      <c r="D36" s="1150">
        <v>2650</v>
      </c>
      <c r="E36" s="689" t="s">
        <v>4504</v>
      </c>
      <c r="F36" s="689" t="s">
        <v>4504</v>
      </c>
    </row>
    <row r="37" spans="1:6">
      <c r="A37" s="1149"/>
      <c r="B37" s="689" t="s">
        <v>2253</v>
      </c>
      <c r="C37" s="689"/>
      <c r="D37" s="689" t="s">
        <v>5671</v>
      </c>
      <c r="E37" s="689" t="s">
        <v>5653</v>
      </c>
      <c r="F37" s="689" t="s">
        <v>5654</v>
      </c>
    </row>
    <row r="38" spans="1:6">
      <c r="A38" s="1149" t="s">
        <v>5673</v>
      </c>
      <c r="B38" s="689">
        <v>0</v>
      </c>
      <c r="C38" s="689">
        <v>0</v>
      </c>
      <c r="D38" s="1150">
        <v>64</v>
      </c>
      <c r="E38" s="689" t="s">
        <v>4504</v>
      </c>
      <c r="F38" s="689" t="s">
        <v>4504</v>
      </c>
    </row>
    <row r="41" spans="1:6">
      <c r="A41" s="1149" t="s">
        <v>5674</v>
      </c>
      <c r="B41" s="689">
        <v>0</v>
      </c>
      <c r="C41" s="689">
        <v>0</v>
      </c>
      <c r="D41" s="1150">
        <v>1475</v>
      </c>
      <c r="E41" s="689" t="s">
        <v>4504</v>
      </c>
      <c r="F41" s="689" t="s">
        <v>4504</v>
      </c>
    </row>
    <row r="42" spans="1:6">
      <c r="A42" s="1149"/>
      <c r="B42" s="1078" t="s">
        <v>1812</v>
      </c>
      <c r="C42" s="689"/>
      <c r="D42" s="689" t="s">
        <v>5675</v>
      </c>
      <c r="E42" s="689" t="s">
        <v>5653</v>
      </c>
      <c r="F42" s="689" t="s">
        <v>5654</v>
      </c>
    </row>
    <row r="43" spans="1:6">
      <c r="A43" s="1149" t="s">
        <v>5677</v>
      </c>
      <c r="B43" s="689">
        <v>0</v>
      </c>
      <c r="C43" s="689">
        <v>0</v>
      </c>
      <c r="D43" s="1150">
        <v>425</v>
      </c>
      <c r="E43" s="689" t="s">
        <v>4504</v>
      </c>
      <c r="F43" s="689" t="s">
        <v>4504</v>
      </c>
    </row>
    <row r="46" spans="1:6">
      <c r="A46" s="1149" t="s">
        <v>5678</v>
      </c>
      <c r="B46" s="689">
        <v>0</v>
      </c>
      <c r="C46" s="689">
        <v>0</v>
      </c>
      <c r="D46" s="1150">
        <v>970</v>
      </c>
      <c r="E46" s="689" t="s">
        <v>4504</v>
      </c>
      <c r="F46" s="689" t="s">
        <v>4504</v>
      </c>
    </row>
    <row r="47" spans="1:6">
      <c r="A47" s="1149"/>
      <c r="B47" s="1078" t="s">
        <v>3672</v>
      </c>
      <c r="C47" s="689"/>
      <c r="D47" s="689" t="s">
        <v>5660</v>
      </c>
      <c r="E47" s="689" t="s">
        <v>5653</v>
      </c>
      <c r="F47" s="689" t="s">
        <v>5654</v>
      </c>
    </row>
    <row r="48" spans="1:6">
      <c r="A48" s="1149" t="s">
        <v>5680</v>
      </c>
      <c r="B48" s="689">
        <v>0</v>
      </c>
      <c r="C48" s="689">
        <v>0</v>
      </c>
      <c r="D48" s="1150">
        <v>660</v>
      </c>
      <c r="E48" s="689" t="s">
        <v>4504</v>
      </c>
      <c r="F48" s="689" t="s">
        <v>4504</v>
      </c>
    </row>
    <row r="51" spans="1:6">
      <c r="A51" s="1149" t="s">
        <v>5676</v>
      </c>
      <c r="B51" s="689">
        <v>0</v>
      </c>
      <c r="C51" s="689">
        <v>0</v>
      </c>
      <c r="D51" s="1150">
        <v>425</v>
      </c>
      <c r="E51" s="689" t="s">
        <v>4504</v>
      </c>
      <c r="F51" s="689" t="s">
        <v>4504</v>
      </c>
    </row>
    <row r="52" spans="1:6">
      <c r="A52" s="1149"/>
      <c r="B52" s="1078" t="s">
        <v>3671</v>
      </c>
      <c r="C52" s="689"/>
      <c r="D52" s="689" t="s">
        <v>5675</v>
      </c>
      <c r="E52" s="689" t="s">
        <v>5653</v>
      </c>
      <c r="F52" s="689" t="s">
        <v>5654</v>
      </c>
    </row>
    <row r="53" spans="1:6">
      <c r="A53" s="1149" t="s">
        <v>5681</v>
      </c>
      <c r="B53" s="689">
        <v>0</v>
      </c>
      <c r="C53" s="689">
        <v>0</v>
      </c>
      <c r="D53" s="1150">
        <v>970</v>
      </c>
      <c r="E53" s="689" t="s">
        <v>4504</v>
      </c>
      <c r="F53" s="689" t="s">
        <v>4504</v>
      </c>
    </row>
    <row r="56" spans="1:6">
      <c r="A56" s="1149" t="s">
        <v>5679</v>
      </c>
      <c r="B56" s="689">
        <v>0</v>
      </c>
      <c r="C56" s="689">
        <v>0</v>
      </c>
      <c r="D56" s="1150">
        <v>660</v>
      </c>
      <c r="E56" s="689" t="s">
        <v>4504</v>
      </c>
      <c r="F56" s="689" t="s">
        <v>4504</v>
      </c>
    </row>
    <row r="57" spans="1:6">
      <c r="A57" s="1149"/>
      <c r="B57" s="1078" t="s">
        <v>2252</v>
      </c>
      <c r="C57" s="689"/>
      <c r="D57" s="689" t="s">
        <v>5668</v>
      </c>
      <c r="E57" s="689" t="s">
        <v>5653</v>
      </c>
      <c r="F57" s="689" t="s">
        <v>5654</v>
      </c>
    </row>
    <row r="58" spans="1:6">
      <c r="A58" s="1149" t="s">
        <v>5682</v>
      </c>
      <c r="B58" s="689">
        <v>0</v>
      </c>
      <c r="C58" s="689">
        <v>0</v>
      </c>
      <c r="D58" s="1150">
        <v>2650</v>
      </c>
      <c r="E58" s="689" t="s">
        <v>4504</v>
      </c>
      <c r="F58" s="689" t="s">
        <v>4504</v>
      </c>
    </row>
    <row r="61" spans="1:6">
      <c r="A61" s="1128" t="s">
        <v>5683</v>
      </c>
      <c r="B61" s="1128" t="s">
        <v>5684</v>
      </c>
      <c r="C61" s="1128"/>
      <c r="D61" s="1128"/>
      <c r="E61" s="1128"/>
      <c r="F61" s="1128"/>
    </row>
    <row r="62" spans="1:6">
      <c r="A62" s="1146">
        <v>26</v>
      </c>
      <c r="B62" s="1151" t="s">
        <v>974</v>
      </c>
      <c r="C62" s="1127" t="s">
        <v>975</v>
      </c>
      <c r="D62" s="1133" t="s">
        <v>5660</v>
      </c>
      <c r="E62" s="1151" t="s">
        <v>5685</v>
      </c>
      <c r="F62" s="1133" t="s">
        <v>5654</v>
      </c>
    </row>
    <row r="63" spans="1:6">
      <c r="A63" s="723" t="s">
        <v>5686</v>
      </c>
      <c r="B63" s="633">
        <v>0</v>
      </c>
      <c r="C63" s="220">
        <v>0.216</v>
      </c>
      <c r="D63" s="1147">
        <v>4845.9262035465572</v>
      </c>
      <c r="E63" s="220">
        <v>35</v>
      </c>
      <c r="F63" s="220">
        <v>30</v>
      </c>
    </row>
    <row r="64" spans="1:6">
      <c r="A64" s="723"/>
      <c r="B64" s="633">
        <v>0.217</v>
      </c>
      <c r="C64" s="220">
        <v>0.32400000000000001</v>
      </c>
      <c r="D64" s="1147">
        <v>4723.3564925311694</v>
      </c>
      <c r="E64" s="220">
        <v>35</v>
      </c>
      <c r="F64" s="220">
        <v>30</v>
      </c>
    </row>
    <row r="65" spans="1:6">
      <c r="A65" s="723"/>
      <c r="B65" s="633">
        <v>0.32500000000000001</v>
      </c>
      <c r="C65" s="220">
        <v>0.64800000000000002</v>
      </c>
      <c r="D65" s="1147">
        <v>16283.820788606667</v>
      </c>
      <c r="E65" s="220">
        <v>35</v>
      </c>
      <c r="F65" s="220">
        <v>30</v>
      </c>
    </row>
    <row r="66" spans="1:6">
      <c r="A66" s="723"/>
      <c r="B66" s="633">
        <v>0.64900000000000002</v>
      </c>
      <c r="C66" s="220">
        <v>1.08</v>
      </c>
      <c r="D66" s="1147">
        <v>30059.781891890772</v>
      </c>
      <c r="E66" s="220">
        <v>35</v>
      </c>
      <c r="F66" s="220">
        <v>30</v>
      </c>
    </row>
    <row r="67" spans="1:6">
      <c r="A67" s="723"/>
      <c r="B67" s="633">
        <v>1.081</v>
      </c>
      <c r="C67" s="220">
        <v>1.728</v>
      </c>
      <c r="D67" s="1147">
        <v>40784.260105788446</v>
      </c>
      <c r="E67" s="220">
        <v>35</v>
      </c>
      <c r="F67" s="220">
        <v>30</v>
      </c>
    </row>
    <row r="68" spans="1:6">
      <c r="A68" s="723"/>
      <c r="B68" s="633">
        <v>1.7289999999999999</v>
      </c>
      <c r="C68" s="220">
        <v>2.3039999999999998</v>
      </c>
      <c r="D68" s="1147">
        <v>28052.036954037438</v>
      </c>
      <c r="E68" s="220">
        <v>35</v>
      </c>
      <c r="F68" s="220">
        <v>30</v>
      </c>
    </row>
    <row r="69" spans="1:6">
      <c r="A69" s="723"/>
      <c r="B69" s="633">
        <v>2.3049999999999997</v>
      </c>
      <c r="C69" s="220">
        <v>2.7650000000000001</v>
      </c>
      <c r="D69" s="1147">
        <v>30326.526436797234</v>
      </c>
      <c r="E69" s="220">
        <v>35</v>
      </c>
      <c r="F69" s="220">
        <v>30</v>
      </c>
    </row>
    <row r="70" spans="1:6">
      <c r="A70" s="723"/>
      <c r="B70" s="633">
        <v>2.766</v>
      </c>
      <c r="C70" s="220">
        <v>3.456</v>
      </c>
      <c r="D70" s="1147">
        <v>35633.668563236744</v>
      </c>
      <c r="E70" s="220">
        <v>35</v>
      </c>
      <c r="F70" s="220">
        <v>30</v>
      </c>
    </row>
    <row r="71" spans="1:6">
      <c r="A71" s="723"/>
      <c r="B71" s="633">
        <v>3.4569999999999999</v>
      </c>
      <c r="C71" s="220">
        <v>4.32</v>
      </c>
      <c r="D71" s="1147">
        <v>51555.094942555297</v>
      </c>
      <c r="E71" s="220">
        <v>35</v>
      </c>
      <c r="F71" s="220">
        <v>30</v>
      </c>
    </row>
    <row r="72" spans="1:6">
      <c r="A72" s="723"/>
      <c r="B72" s="633">
        <v>4.3210000000000006</v>
      </c>
      <c r="C72" s="220" t="s">
        <v>5661</v>
      </c>
      <c r="D72" s="1147" t="s">
        <v>5661</v>
      </c>
      <c r="E72" s="220">
        <v>35</v>
      </c>
      <c r="F72" s="220">
        <v>30</v>
      </c>
    </row>
    <row r="75" spans="1:6">
      <c r="A75" s="1128" t="s">
        <v>5683</v>
      </c>
      <c r="B75" s="1128" t="s">
        <v>5687</v>
      </c>
      <c r="C75" s="1128"/>
      <c r="D75" s="1128"/>
      <c r="E75" s="1128"/>
      <c r="F75" s="1128"/>
    </row>
    <row r="76" spans="1:6">
      <c r="A76" s="1146">
        <v>26</v>
      </c>
      <c r="B76" s="1151" t="s">
        <v>974</v>
      </c>
      <c r="C76" s="1127" t="s">
        <v>975</v>
      </c>
      <c r="D76" s="1133" t="s">
        <v>5660</v>
      </c>
      <c r="E76" s="1151" t="s">
        <v>5685</v>
      </c>
      <c r="F76" s="1133" t="s">
        <v>5654</v>
      </c>
    </row>
    <row r="77" spans="1:6">
      <c r="A77" s="723" t="s">
        <v>5688</v>
      </c>
      <c r="B77" s="633">
        <v>0</v>
      </c>
      <c r="C77" s="220">
        <v>0.05</v>
      </c>
      <c r="D77" s="1147">
        <v>154.10849999999999</v>
      </c>
      <c r="E77" s="538" t="s">
        <v>4504</v>
      </c>
      <c r="F77" s="538" t="s">
        <v>4504</v>
      </c>
    </row>
    <row r="78" spans="1:6">
      <c r="A78" s="723"/>
      <c r="B78" s="633">
        <v>5.0999999999999997E-2</v>
      </c>
      <c r="C78" s="220">
        <v>0.14399999999999999</v>
      </c>
      <c r="D78" s="1147">
        <v>154.10849999999999</v>
      </c>
      <c r="E78" s="538" t="s">
        <v>4504</v>
      </c>
      <c r="F78" s="538" t="s">
        <v>4504</v>
      </c>
    </row>
    <row r="79" spans="1:6">
      <c r="A79" s="723"/>
      <c r="B79" s="633">
        <v>0.14499999999999999</v>
      </c>
      <c r="C79" s="220">
        <v>0.2</v>
      </c>
      <c r="D79" s="1147">
        <v>171.2585</v>
      </c>
      <c r="E79" s="538" t="s">
        <v>4504</v>
      </c>
      <c r="F79" s="538" t="s">
        <v>4504</v>
      </c>
    </row>
    <row r="80" spans="1:6">
      <c r="A80" s="723"/>
      <c r="B80" s="633">
        <v>0.20100000000000001</v>
      </c>
      <c r="C80" s="220">
        <v>0.5</v>
      </c>
      <c r="D80" s="1147">
        <v>265.50299999999999</v>
      </c>
      <c r="E80" s="538" t="s">
        <v>4504</v>
      </c>
      <c r="F80" s="538" t="s">
        <v>4504</v>
      </c>
    </row>
    <row r="81" spans="1:6">
      <c r="A81" s="723"/>
      <c r="B81" s="633">
        <v>0.501</v>
      </c>
      <c r="C81" s="220">
        <v>1</v>
      </c>
      <c r="D81" s="1147">
        <v>265.50299999999999</v>
      </c>
      <c r="E81" s="538" t="s">
        <v>4504</v>
      </c>
      <c r="F81" s="538" t="s">
        <v>4504</v>
      </c>
    </row>
    <row r="82" spans="1:6">
      <c r="A82" s="723"/>
      <c r="B82" s="633">
        <v>1.0009999999999999</v>
      </c>
      <c r="C82" s="220">
        <v>2</v>
      </c>
      <c r="D82" s="1147">
        <v>265.50299999999999</v>
      </c>
      <c r="E82" s="538" t="s">
        <v>4504</v>
      </c>
      <c r="F82" s="538" t="s">
        <v>4504</v>
      </c>
    </row>
    <row r="83" spans="1:6">
      <c r="A83" s="723"/>
      <c r="B83" s="633">
        <v>2.0009999999999999</v>
      </c>
      <c r="C83" s="220">
        <v>5</v>
      </c>
      <c r="D83" s="1147">
        <v>265.50299999999999</v>
      </c>
      <c r="E83" s="538" t="s">
        <v>4504</v>
      </c>
      <c r="F83" s="538" t="s">
        <v>4504</v>
      </c>
    </row>
    <row r="84" spans="1:6">
      <c r="A84" s="723"/>
      <c r="B84" s="633">
        <v>5.0010000000000003</v>
      </c>
      <c r="C84" s="220" t="s">
        <v>5661</v>
      </c>
      <c r="D84" s="1147" t="s">
        <v>5661</v>
      </c>
      <c r="E84" s="538" t="s">
        <v>4504</v>
      </c>
      <c r="F84" s="538" t="s">
        <v>4504</v>
      </c>
    </row>
    <row r="87" spans="1:6">
      <c r="A87" s="1128" t="s">
        <v>5683</v>
      </c>
      <c r="B87" s="1128" t="s">
        <v>5689</v>
      </c>
      <c r="C87" s="1128"/>
      <c r="D87" s="1128"/>
      <c r="E87" s="1128"/>
      <c r="F87" s="1128"/>
    </row>
    <row r="88" spans="1:6">
      <c r="A88" s="1146">
        <v>26</v>
      </c>
      <c r="B88" s="1151" t="s">
        <v>974</v>
      </c>
      <c r="C88" s="1127" t="s">
        <v>975</v>
      </c>
      <c r="D88" s="1133" t="s">
        <v>5660</v>
      </c>
      <c r="E88" s="1151" t="s">
        <v>5685</v>
      </c>
      <c r="F88" s="1133" t="s">
        <v>5654</v>
      </c>
    </row>
    <row r="89" spans="1:6">
      <c r="A89" s="723" t="s">
        <v>5690</v>
      </c>
      <c r="B89" s="633">
        <v>0</v>
      </c>
      <c r="C89" s="220">
        <v>0.05</v>
      </c>
      <c r="D89" s="1147">
        <v>185.01350000000002</v>
      </c>
      <c r="E89" s="538" t="s">
        <v>4504</v>
      </c>
      <c r="F89" s="538" t="s">
        <v>4504</v>
      </c>
    </row>
    <row r="90" spans="1:6">
      <c r="A90" s="723"/>
      <c r="B90" s="633">
        <v>5.0999999999999997E-2</v>
      </c>
      <c r="C90" s="220">
        <v>0.14399999999999999</v>
      </c>
      <c r="D90" s="1147">
        <v>185.01350000000002</v>
      </c>
      <c r="E90" s="538" t="s">
        <v>4504</v>
      </c>
      <c r="F90" s="538" t="s">
        <v>4504</v>
      </c>
    </row>
    <row r="91" spans="1:6">
      <c r="A91" s="723"/>
      <c r="B91" s="633">
        <v>0.14499999999999999</v>
      </c>
      <c r="C91" s="220">
        <v>0.2</v>
      </c>
      <c r="D91" s="1147">
        <v>216.1635</v>
      </c>
      <c r="E91" s="538" t="s">
        <v>4504</v>
      </c>
      <c r="F91" s="538" t="s">
        <v>4504</v>
      </c>
    </row>
    <row r="92" spans="1:6">
      <c r="A92" s="723"/>
      <c r="B92" s="633">
        <v>0.20100000000000001</v>
      </c>
      <c r="C92" s="220">
        <v>0.5</v>
      </c>
      <c r="D92" s="1147">
        <v>296.12099999999998</v>
      </c>
      <c r="E92" s="538" t="s">
        <v>4504</v>
      </c>
      <c r="F92" s="538" t="s">
        <v>4504</v>
      </c>
    </row>
    <row r="93" spans="1:6">
      <c r="A93" s="723"/>
      <c r="B93" s="633">
        <v>0.501</v>
      </c>
      <c r="C93" s="220">
        <v>1</v>
      </c>
      <c r="D93" s="1147">
        <v>296.12099999999998</v>
      </c>
      <c r="E93" s="538" t="s">
        <v>4504</v>
      </c>
      <c r="F93" s="538" t="s">
        <v>4504</v>
      </c>
    </row>
    <row r="94" spans="1:6">
      <c r="A94" s="723"/>
      <c r="B94" s="633">
        <v>1.0009999999999999</v>
      </c>
      <c r="C94" s="220">
        <v>2</v>
      </c>
      <c r="D94" s="1147">
        <v>296.12099999999998</v>
      </c>
      <c r="E94" s="538" t="s">
        <v>4504</v>
      </c>
      <c r="F94" s="538" t="s">
        <v>4504</v>
      </c>
    </row>
    <row r="95" spans="1:6">
      <c r="A95" s="723"/>
      <c r="B95" s="633">
        <v>2.0009999999999999</v>
      </c>
      <c r="C95" s="220">
        <v>5</v>
      </c>
      <c r="D95" s="1147">
        <v>296.12099999999998</v>
      </c>
      <c r="E95" s="538" t="s">
        <v>4504</v>
      </c>
      <c r="F95" s="538" t="s">
        <v>4504</v>
      </c>
    </row>
    <row r="96" spans="1:6">
      <c r="A96" s="723"/>
      <c r="B96" s="633">
        <v>5.0010000000000003</v>
      </c>
      <c r="C96" s="220" t="s">
        <v>5661</v>
      </c>
      <c r="D96" s="1147" t="s">
        <v>5661</v>
      </c>
      <c r="E96" s="538" t="s">
        <v>4504</v>
      </c>
      <c r="F96" s="538" t="s">
        <v>4504</v>
      </c>
    </row>
    <row r="99" spans="1:6">
      <c r="A99" s="1152" t="s">
        <v>5691</v>
      </c>
      <c r="B99" s="1128" t="s">
        <v>5692</v>
      </c>
      <c r="C99" s="1131"/>
      <c r="D99" s="1153"/>
      <c r="E99" s="1131"/>
      <c r="F99" s="1131"/>
    </row>
    <row r="100" spans="1:6">
      <c r="A100" s="1146">
        <v>11</v>
      </c>
      <c r="B100" s="1127" t="s">
        <v>5693</v>
      </c>
      <c r="C100" s="1127" t="s">
        <v>2961</v>
      </c>
      <c r="D100" s="1133" t="s">
        <v>5660</v>
      </c>
      <c r="E100" s="1127" t="s">
        <v>5653</v>
      </c>
      <c r="F100" s="1127" t="s">
        <v>5654</v>
      </c>
    </row>
    <row r="101" spans="1:6">
      <c r="A101" s="1152" t="s">
        <v>5756</v>
      </c>
      <c r="B101" s="1129" t="s">
        <v>5694</v>
      </c>
      <c r="C101" s="1129" t="s">
        <v>5695</v>
      </c>
      <c r="D101" s="1154">
        <v>0.25892298275361592</v>
      </c>
      <c r="E101" s="1155" t="s">
        <v>4504</v>
      </c>
      <c r="F101" s="1155" t="s">
        <v>4504</v>
      </c>
    </row>
    <row r="102" spans="1:6">
      <c r="A102" s="689"/>
      <c r="B102" s="1130" t="s">
        <v>5696</v>
      </c>
      <c r="C102" s="1129" t="s">
        <v>5697</v>
      </c>
      <c r="D102" s="1154">
        <v>379.67249647750987</v>
      </c>
      <c r="E102" s="1155" t="s">
        <v>4504</v>
      </c>
      <c r="F102" s="1155" t="s">
        <v>4504</v>
      </c>
    </row>
    <row r="103" spans="1:6">
      <c r="A103" s="689"/>
      <c r="B103" s="1129" t="s">
        <v>5698</v>
      </c>
      <c r="C103" s="1129" t="s">
        <v>5695</v>
      </c>
      <c r="D103" s="1154">
        <v>0.98400176743500989</v>
      </c>
      <c r="E103" s="1155" t="s">
        <v>4504</v>
      </c>
      <c r="F103" s="1155" t="s">
        <v>4504</v>
      </c>
    </row>
    <row r="104" spans="1:6">
      <c r="A104" s="689"/>
      <c r="B104" s="1131" t="s">
        <v>5699</v>
      </c>
      <c r="C104" s="1131" t="s">
        <v>5695</v>
      </c>
      <c r="D104" s="1156">
        <v>2.935905987838364</v>
      </c>
      <c r="E104" s="1157" t="s">
        <v>4504</v>
      </c>
      <c r="F104" s="1157" t="s">
        <v>4504</v>
      </c>
    </row>
    <row r="105" spans="1:6">
      <c r="A105" s="689"/>
      <c r="B105" s="1127" t="s">
        <v>5700</v>
      </c>
      <c r="C105" s="1127" t="s">
        <v>5695</v>
      </c>
      <c r="D105" s="1158">
        <v>4.298511395790559</v>
      </c>
      <c r="E105" s="1159" t="s">
        <v>4504</v>
      </c>
      <c r="F105" s="1159" t="s">
        <v>4504</v>
      </c>
    </row>
    <row r="106" spans="1:6">
      <c r="A106" s="689"/>
      <c r="B106" s="1132" t="s">
        <v>5701</v>
      </c>
      <c r="C106" s="1131" t="s">
        <v>5695</v>
      </c>
      <c r="D106" s="1156">
        <v>0.14933365711760807</v>
      </c>
      <c r="E106" s="1157" t="s">
        <v>4504</v>
      </c>
      <c r="F106" s="1157" t="s">
        <v>4504</v>
      </c>
    </row>
    <row r="107" spans="1:6">
      <c r="A107" s="689"/>
      <c r="B107" s="1133" t="s">
        <v>5702</v>
      </c>
      <c r="C107" s="1127" t="s">
        <v>5695</v>
      </c>
      <c r="D107" s="1158">
        <v>0.25092360451306417</v>
      </c>
      <c r="E107" s="1159" t="s">
        <v>4504</v>
      </c>
      <c r="F107" s="1159" t="s">
        <v>4504</v>
      </c>
    </row>
    <row r="108" spans="1:6">
      <c r="A108" s="689"/>
      <c r="B108" s="1075" t="s">
        <v>5703</v>
      </c>
      <c r="C108" s="689" t="s">
        <v>5695</v>
      </c>
      <c r="D108" s="1150">
        <v>1.8076509548824649</v>
      </c>
      <c r="E108" s="1160" t="s">
        <v>4504</v>
      </c>
      <c r="F108" s="1160" t="s">
        <v>4504</v>
      </c>
    </row>
    <row r="109" spans="1:6">
      <c r="A109" s="689"/>
      <c r="B109" s="1133" t="s">
        <v>5704</v>
      </c>
      <c r="C109" s="1127" t="s">
        <v>5695</v>
      </c>
      <c r="D109" s="1158">
        <v>3.0195931290952047</v>
      </c>
      <c r="E109" s="1159" t="s">
        <v>4504</v>
      </c>
      <c r="F109" s="1159" t="s">
        <v>4504</v>
      </c>
    </row>
    <row r="110" spans="1:6">
      <c r="A110" s="689"/>
      <c r="B110" s="1127" t="s">
        <v>5705</v>
      </c>
      <c r="C110" s="1127" t="s">
        <v>5697</v>
      </c>
      <c r="D110" s="1158">
        <v>292.14602474409008</v>
      </c>
      <c r="E110" s="1159" t="s">
        <v>4504</v>
      </c>
      <c r="F110" s="1159" t="s">
        <v>4504</v>
      </c>
    </row>
    <row r="111" spans="1:6">
      <c r="A111" s="689"/>
      <c r="B111" s="1133" t="s">
        <v>5706</v>
      </c>
      <c r="C111" s="1127" t="s">
        <v>5695</v>
      </c>
      <c r="D111" s="1158">
        <v>1.2847889581924627</v>
      </c>
      <c r="E111" s="1159" t="s">
        <v>4504</v>
      </c>
      <c r="F111" s="1159" t="s">
        <v>4504</v>
      </c>
    </row>
    <row r="112" spans="1:6">
      <c r="A112" s="689"/>
      <c r="B112" s="1130" t="s">
        <v>5707</v>
      </c>
      <c r="C112" s="1129" t="s">
        <v>4311</v>
      </c>
      <c r="D112" s="1154">
        <v>4.5669105752706649</v>
      </c>
      <c r="E112" s="1155" t="s">
        <v>4504</v>
      </c>
      <c r="F112" s="1155" t="s">
        <v>4504</v>
      </c>
    </row>
    <row r="113" spans="1:6">
      <c r="A113" s="689"/>
      <c r="B113" s="1130" t="s">
        <v>5708</v>
      </c>
      <c r="C113" s="1129" t="s">
        <v>5695</v>
      </c>
      <c r="D113" s="1154">
        <v>0.16017416334156323</v>
      </c>
      <c r="E113" s="1155" t="s">
        <v>4504</v>
      </c>
      <c r="F113" s="1155" t="s">
        <v>4504</v>
      </c>
    </row>
    <row r="114" spans="1:6">
      <c r="A114" s="689"/>
      <c r="B114" s="1075" t="s">
        <v>5709</v>
      </c>
      <c r="C114" s="689" t="s">
        <v>5695</v>
      </c>
      <c r="D114" s="1150">
        <v>0.14204018747082317</v>
      </c>
      <c r="E114" s="1160" t="s">
        <v>4504</v>
      </c>
      <c r="F114" s="1160" t="s">
        <v>4504</v>
      </c>
    </row>
    <row r="115" spans="1:6">
      <c r="A115" s="689"/>
      <c r="B115" s="1132" t="s">
        <v>5710</v>
      </c>
      <c r="C115" s="1131" t="s">
        <v>5695</v>
      </c>
      <c r="D115" s="1156">
        <v>1.4750000000000001</v>
      </c>
      <c r="E115" s="1157" t="s">
        <v>4504</v>
      </c>
      <c r="F115" s="1157" t="s">
        <v>4504</v>
      </c>
    </row>
    <row r="116" spans="1:6">
      <c r="A116" s="689"/>
      <c r="B116" s="1075" t="s">
        <v>5711</v>
      </c>
      <c r="C116" s="689" t="s">
        <v>5695</v>
      </c>
      <c r="D116" s="1150">
        <v>1.1012</v>
      </c>
      <c r="E116" s="1160" t="s">
        <v>4504</v>
      </c>
      <c r="F116" s="1160" t="s">
        <v>4504</v>
      </c>
    </row>
    <row r="117" spans="1:6">
      <c r="A117" s="689"/>
      <c r="B117" s="1133" t="s">
        <v>5712</v>
      </c>
      <c r="C117" s="1127" t="s">
        <v>5695</v>
      </c>
      <c r="D117" s="1158">
        <v>0.91449999999999998</v>
      </c>
      <c r="E117" s="1159" t="s">
        <v>4504</v>
      </c>
      <c r="F117" s="1159" t="s">
        <v>4504</v>
      </c>
    </row>
    <row r="118" spans="1:6">
      <c r="A118" s="689"/>
      <c r="B118" s="1132" t="s">
        <v>5713</v>
      </c>
      <c r="C118" s="1131" t="s">
        <v>5695</v>
      </c>
      <c r="D118" s="1156">
        <v>0.49255463949257372</v>
      </c>
      <c r="E118" s="1157" t="s">
        <v>4504</v>
      </c>
      <c r="F118" s="1157" t="s">
        <v>4504</v>
      </c>
    </row>
    <row r="119" spans="1:6">
      <c r="A119" s="689"/>
      <c r="B119" s="1075" t="s">
        <v>5714</v>
      </c>
      <c r="C119" s="689" t="s">
        <v>5695</v>
      </c>
      <c r="D119" s="1150">
        <v>0.57004275858817965</v>
      </c>
      <c r="E119" s="1160" t="s">
        <v>4504</v>
      </c>
      <c r="F119" s="1160" t="s">
        <v>4504</v>
      </c>
    </row>
    <row r="120" spans="1:6">
      <c r="A120" s="689"/>
      <c r="B120" s="1133" t="s">
        <v>5715</v>
      </c>
      <c r="C120" s="1127" t="s">
        <v>5695</v>
      </c>
      <c r="D120" s="1158">
        <v>0.93372617539628344</v>
      </c>
      <c r="E120" s="1159" t="s">
        <v>4504</v>
      </c>
      <c r="F120" s="1159" t="s">
        <v>4504</v>
      </c>
    </row>
    <row r="121" spans="1:6">
      <c r="A121" s="689"/>
      <c r="B121" s="1132" t="s">
        <v>5716</v>
      </c>
      <c r="C121" s="1131" t="s">
        <v>5695</v>
      </c>
      <c r="D121" s="1156">
        <v>0.3172018248175183</v>
      </c>
      <c r="E121" s="1157" t="s">
        <v>4504</v>
      </c>
      <c r="F121" s="1157" t="s">
        <v>4504</v>
      </c>
    </row>
    <row r="122" spans="1:6">
      <c r="A122" s="689"/>
      <c r="B122" s="1133" t="s">
        <v>5717</v>
      </c>
      <c r="C122" s="1127" t="s">
        <v>5695</v>
      </c>
      <c r="D122" s="1158">
        <v>0.47022883285981981</v>
      </c>
      <c r="E122" s="1159" t="s">
        <v>4504</v>
      </c>
      <c r="F122" s="1159" t="s">
        <v>4504</v>
      </c>
    </row>
    <row r="123" spans="1:6">
      <c r="A123" s="689"/>
      <c r="B123" s="1132" t="s">
        <v>5718</v>
      </c>
      <c r="C123" s="1131" t="s">
        <v>5697</v>
      </c>
      <c r="D123" s="1156">
        <v>78.476632289948313</v>
      </c>
      <c r="E123" s="1157" t="s">
        <v>4504</v>
      </c>
      <c r="F123" s="1157" t="s">
        <v>4504</v>
      </c>
    </row>
    <row r="124" spans="1:6">
      <c r="A124" s="689"/>
      <c r="B124" s="1075" t="s">
        <v>5719</v>
      </c>
      <c r="C124" s="689" t="s">
        <v>5697</v>
      </c>
      <c r="D124" s="1150">
        <v>361.7648758605846</v>
      </c>
      <c r="E124" s="1160" t="s">
        <v>4504</v>
      </c>
      <c r="F124" s="1160" t="s">
        <v>4504</v>
      </c>
    </row>
    <row r="125" spans="1:6">
      <c r="A125" s="689"/>
      <c r="B125" s="1133" t="s">
        <v>5720</v>
      </c>
      <c r="C125" s="1127" t="s">
        <v>5697</v>
      </c>
      <c r="D125" s="1158">
        <v>811.40046895446164</v>
      </c>
      <c r="E125" s="1159" t="s">
        <v>4504</v>
      </c>
      <c r="F125" s="1159" t="s">
        <v>4504</v>
      </c>
    </row>
    <row r="126" spans="1:6">
      <c r="A126" s="689"/>
      <c r="B126" s="1131" t="s">
        <v>5721</v>
      </c>
      <c r="C126" s="1131" t="s">
        <v>4311</v>
      </c>
      <c r="D126" s="1156">
        <v>44.177656959004025</v>
      </c>
      <c r="E126" s="1157" t="s">
        <v>4504</v>
      </c>
      <c r="F126" s="1157" t="s">
        <v>4504</v>
      </c>
    </row>
    <row r="127" spans="1:6">
      <c r="A127" s="689"/>
      <c r="B127" s="1127" t="s">
        <v>5722</v>
      </c>
      <c r="C127" s="1127" t="s">
        <v>4311</v>
      </c>
      <c r="D127" s="1158">
        <v>38.525745847892914</v>
      </c>
      <c r="E127" s="1159" t="s">
        <v>4504</v>
      </c>
      <c r="F127" s="1159" t="s">
        <v>4504</v>
      </c>
    </row>
    <row r="128" spans="1:6">
      <c r="A128" s="689"/>
      <c r="B128" s="1075" t="s">
        <v>5723</v>
      </c>
      <c r="C128" s="689" t="s">
        <v>5695</v>
      </c>
      <c r="D128" s="1150">
        <v>0.65600897434378369</v>
      </c>
      <c r="E128" s="1160" t="s">
        <v>4504</v>
      </c>
      <c r="F128" s="1160" t="s">
        <v>4504</v>
      </c>
    </row>
    <row r="129" spans="1:6">
      <c r="A129" s="689"/>
      <c r="B129" s="1075" t="s">
        <v>5724</v>
      </c>
      <c r="C129" s="689" t="s">
        <v>5695</v>
      </c>
      <c r="D129" s="1150">
        <v>0.74193129494261945</v>
      </c>
      <c r="E129" s="1160" t="s">
        <v>4504</v>
      </c>
      <c r="F129" s="1160" t="s">
        <v>4504</v>
      </c>
    </row>
    <row r="130" spans="1:6">
      <c r="A130" s="689"/>
      <c r="B130" s="1133" t="s">
        <v>5725</v>
      </c>
      <c r="C130" s="1127" t="s">
        <v>5695</v>
      </c>
      <c r="D130" s="1158">
        <v>0.84674242280285039</v>
      </c>
      <c r="E130" s="1159" t="s">
        <v>4504</v>
      </c>
      <c r="F130" s="1159" t="s">
        <v>4504</v>
      </c>
    </row>
    <row r="131" spans="1:6">
      <c r="A131" s="689"/>
      <c r="B131" s="1075" t="s">
        <v>5726</v>
      </c>
      <c r="C131" s="689" t="s">
        <v>5695</v>
      </c>
      <c r="D131" s="1150">
        <v>0.33234317417601811</v>
      </c>
      <c r="E131" s="1160" t="s">
        <v>4504</v>
      </c>
      <c r="F131" s="1160" t="s">
        <v>4504</v>
      </c>
    </row>
    <row r="132" spans="1:6">
      <c r="A132" s="689"/>
      <c r="B132" s="1133" t="s">
        <v>5727</v>
      </c>
      <c r="C132" s="1127" t="s">
        <v>5695</v>
      </c>
      <c r="D132" s="1158">
        <v>0.81370650744184447</v>
      </c>
      <c r="E132" s="1159" t="s">
        <v>4504</v>
      </c>
      <c r="F132" s="1159" t="s">
        <v>4504</v>
      </c>
    </row>
    <row r="133" spans="1:6">
      <c r="A133" s="689"/>
      <c r="B133" s="1075" t="s">
        <v>5728</v>
      </c>
      <c r="C133" s="689" t="s">
        <v>5695</v>
      </c>
      <c r="D133" s="1150">
        <v>0.20438225614058614</v>
      </c>
      <c r="E133" s="1160" t="s">
        <v>4504</v>
      </c>
      <c r="F133" s="1160" t="s">
        <v>4504</v>
      </c>
    </row>
    <row r="134" spans="1:6">
      <c r="A134" s="689"/>
      <c r="B134" s="1133" t="s">
        <v>5729</v>
      </c>
      <c r="C134" s="1127" t="s">
        <v>5695</v>
      </c>
      <c r="D134" s="1158">
        <v>0.40812805824157544</v>
      </c>
      <c r="E134" s="1159" t="s">
        <v>4504</v>
      </c>
      <c r="F134" s="1159" t="s">
        <v>4504</v>
      </c>
    </row>
    <row r="135" spans="1:6">
      <c r="A135" s="689"/>
      <c r="B135" s="1129" t="s">
        <v>5730</v>
      </c>
      <c r="C135" s="1129" t="s">
        <v>5695</v>
      </c>
      <c r="D135" s="1154">
        <v>0.74137399196238118</v>
      </c>
      <c r="E135" s="1155" t="s">
        <v>4504</v>
      </c>
      <c r="F135" s="1155" t="s">
        <v>4504</v>
      </c>
    </row>
    <row r="136" spans="1:6">
      <c r="A136" s="689"/>
      <c r="B136" s="1075" t="s">
        <v>5731</v>
      </c>
      <c r="C136" s="689" t="s">
        <v>5695</v>
      </c>
      <c r="D136" s="1150">
        <v>2.3881161426276218</v>
      </c>
      <c r="E136" s="1160" t="s">
        <v>4504</v>
      </c>
      <c r="F136" s="1160" t="s">
        <v>4504</v>
      </c>
    </row>
    <row r="137" spans="1:6">
      <c r="A137" s="689"/>
      <c r="B137" s="1129" t="s">
        <v>5732</v>
      </c>
      <c r="C137" s="1129" t="s">
        <v>5695</v>
      </c>
      <c r="D137" s="1154">
        <v>0.42575032116788325</v>
      </c>
      <c r="E137" s="1155" t="s">
        <v>4504</v>
      </c>
      <c r="F137" s="1155" t="s">
        <v>4504</v>
      </c>
    </row>
    <row r="138" spans="1:6">
      <c r="A138" s="689"/>
      <c r="B138" s="1129" t="s">
        <v>5733</v>
      </c>
      <c r="C138" s="1129" t="s">
        <v>5695</v>
      </c>
      <c r="D138" s="1154">
        <v>0.48694420796818616</v>
      </c>
      <c r="E138" s="1155" t="s">
        <v>4504</v>
      </c>
      <c r="F138" s="1155" t="s">
        <v>4504</v>
      </c>
    </row>
    <row r="139" spans="1:6">
      <c r="A139" s="689"/>
      <c r="B139" s="1129" t="s">
        <v>5734</v>
      </c>
      <c r="C139" s="1129" t="s">
        <v>5695</v>
      </c>
      <c r="D139" s="1154">
        <v>0.38999349762688967</v>
      </c>
      <c r="E139" s="1155" t="s">
        <v>4504</v>
      </c>
      <c r="F139" s="1155" t="s">
        <v>4504</v>
      </c>
    </row>
    <row r="140" spans="1:6">
      <c r="A140" s="689"/>
      <c r="B140" s="1075" t="s">
        <v>5735</v>
      </c>
      <c r="C140" s="689" t="s">
        <v>5695</v>
      </c>
      <c r="D140" s="1150">
        <v>0.10445948132048184</v>
      </c>
      <c r="E140" s="1160" t="s">
        <v>4504</v>
      </c>
      <c r="F140" s="1160" t="s">
        <v>4504</v>
      </c>
    </row>
    <row r="141" spans="1:6">
      <c r="A141" s="689"/>
      <c r="B141" s="1075" t="s">
        <v>5736</v>
      </c>
      <c r="C141" s="689" t="s">
        <v>5695</v>
      </c>
      <c r="D141" s="1150">
        <v>0.21448163524559982</v>
      </c>
      <c r="E141" s="1160" t="s">
        <v>4504</v>
      </c>
      <c r="F141" s="1160" t="s">
        <v>4504</v>
      </c>
    </row>
    <row r="142" spans="1:6">
      <c r="A142" s="689"/>
      <c r="B142" s="1133" t="s">
        <v>5737</v>
      </c>
      <c r="C142" s="1127" t="s">
        <v>5695</v>
      </c>
      <c r="D142" s="1158">
        <v>0.28961344000739103</v>
      </c>
      <c r="E142" s="1159" t="s">
        <v>4504</v>
      </c>
      <c r="F142" s="1159" t="s">
        <v>4504</v>
      </c>
    </row>
    <row r="143" spans="1:6">
      <c r="A143" s="689"/>
      <c r="B143" s="1132" t="s">
        <v>5738</v>
      </c>
      <c r="C143" s="1131" t="s">
        <v>5695</v>
      </c>
      <c r="D143" s="1156">
        <v>0.87543886696652329</v>
      </c>
      <c r="E143" s="1157" t="s">
        <v>4504</v>
      </c>
      <c r="F143" s="1157" t="s">
        <v>4504</v>
      </c>
    </row>
    <row r="144" spans="1:6">
      <c r="A144" s="689"/>
      <c r="B144" s="1133" t="s">
        <v>5739</v>
      </c>
      <c r="C144" s="1127" t="s">
        <v>5695</v>
      </c>
      <c r="D144" s="1158">
        <v>0.48591449775627299</v>
      </c>
      <c r="E144" s="1159" t="s">
        <v>4504</v>
      </c>
      <c r="F144" s="1159" t="s">
        <v>4504</v>
      </c>
    </row>
    <row r="145" spans="1:6">
      <c r="A145" s="689"/>
      <c r="B145" s="1129" t="s">
        <v>5740</v>
      </c>
      <c r="C145" s="1129" t="s">
        <v>5695</v>
      </c>
      <c r="D145" s="1154">
        <v>0.68255791765637375</v>
      </c>
      <c r="E145" s="1155" t="s">
        <v>4504</v>
      </c>
      <c r="F145" s="1155" t="s">
        <v>4504</v>
      </c>
    </row>
    <row r="146" spans="1:6">
      <c r="A146" s="689"/>
      <c r="B146" s="1075" t="s">
        <v>5741</v>
      </c>
      <c r="C146" s="689" t="s">
        <v>5695</v>
      </c>
      <c r="D146" s="1150">
        <v>0.21325228017050835</v>
      </c>
      <c r="E146" s="1160" t="s">
        <v>4504</v>
      </c>
      <c r="F146" s="1160" t="s">
        <v>4504</v>
      </c>
    </row>
    <row r="147" spans="1:6">
      <c r="A147" s="689"/>
      <c r="B147" s="1075" t="s">
        <v>5742</v>
      </c>
      <c r="C147" s="689" t="s">
        <v>5695</v>
      </c>
      <c r="D147" s="1150">
        <v>0.2558351123249763</v>
      </c>
      <c r="E147" s="1160" t="s">
        <v>4504</v>
      </c>
      <c r="F147" s="1160" t="s">
        <v>4504</v>
      </c>
    </row>
    <row r="148" spans="1:6">
      <c r="A148" s="689"/>
      <c r="B148" s="1133" t="s">
        <v>5743</v>
      </c>
      <c r="C148" s="1127" t="s">
        <v>5695</v>
      </c>
      <c r="D148" s="1158">
        <v>0.31827794416978772</v>
      </c>
      <c r="E148" s="1159" t="s">
        <v>4504</v>
      </c>
      <c r="F148" s="1159" t="s">
        <v>4504</v>
      </c>
    </row>
    <row r="149" spans="1:6">
      <c r="A149" s="689"/>
      <c r="B149" s="1075" t="s">
        <v>5744</v>
      </c>
      <c r="C149" s="689" t="s">
        <v>5695</v>
      </c>
      <c r="D149" s="1150">
        <v>0.12531949821201241</v>
      </c>
      <c r="E149" s="1160" t="s">
        <v>4504</v>
      </c>
      <c r="F149" s="1160" t="s">
        <v>4504</v>
      </c>
    </row>
    <row r="150" spans="1:6">
      <c r="A150" s="689"/>
      <c r="B150" s="1075" t="s">
        <v>5745</v>
      </c>
      <c r="C150" s="689" t="s">
        <v>5695</v>
      </c>
      <c r="D150" s="1150">
        <v>0.15728565790356952</v>
      </c>
      <c r="E150" s="1160" t="s">
        <v>4504</v>
      </c>
      <c r="F150" s="1160" t="s">
        <v>4504</v>
      </c>
    </row>
    <row r="151" spans="1:6">
      <c r="A151" s="689"/>
      <c r="B151" s="1133" t="s">
        <v>5746</v>
      </c>
      <c r="C151" s="1127" t="s">
        <v>5695</v>
      </c>
      <c r="D151" s="1158">
        <v>0.17978347397804662</v>
      </c>
      <c r="E151" s="1159" t="s">
        <v>4504</v>
      </c>
      <c r="F151" s="1159" t="s">
        <v>4504</v>
      </c>
    </row>
    <row r="152" spans="1:6">
      <c r="A152" s="689"/>
      <c r="B152" s="689" t="s">
        <v>5747</v>
      </c>
      <c r="C152" s="689" t="s">
        <v>4311</v>
      </c>
      <c r="D152" s="1150">
        <v>1.0111282050615207</v>
      </c>
      <c r="E152" s="1160" t="s">
        <v>4504</v>
      </c>
      <c r="F152" s="1160" t="s">
        <v>4504</v>
      </c>
    </row>
    <row r="153" spans="1:6">
      <c r="A153" s="689"/>
      <c r="B153" s="1075" t="s">
        <v>5748</v>
      </c>
      <c r="C153" s="689" t="s">
        <v>4311</v>
      </c>
      <c r="D153" s="1150">
        <v>1.3708025989562564</v>
      </c>
      <c r="E153" s="1160" t="s">
        <v>4504</v>
      </c>
      <c r="F153" s="1160" t="s">
        <v>4504</v>
      </c>
    </row>
    <row r="154" spans="1:6">
      <c r="A154" s="689"/>
      <c r="B154" s="1127" t="s">
        <v>5749</v>
      </c>
      <c r="C154" s="1127" t="s">
        <v>4311</v>
      </c>
      <c r="D154" s="1158">
        <v>1.7203222705757928</v>
      </c>
      <c r="E154" s="1159" t="s">
        <v>4504</v>
      </c>
      <c r="F154" s="1159" t="s">
        <v>4504</v>
      </c>
    </row>
    <row r="155" spans="1:6">
      <c r="A155" s="689"/>
      <c r="B155" s="1075" t="s">
        <v>5750</v>
      </c>
      <c r="C155" s="689" t="s">
        <v>5695</v>
      </c>
      <c r="D155" s="1150">
        <v>0.13709828619050735</v>
      </c>
      <c r="E155" s="1160" t="s">
        <v>4504</v>
      </c>
      <c r="F155" s="1160" t="s">
        <v>4504</v>
      </c>
    </row>
    <row r="156" spans="1:6">
      <c r="A156" s="689"/>
      <c r="B156" s="1133" t="s">
        <v>5751</v>
      </c>
      <c r="C156" s="1127" t="s">
        <v>5695</v>
      </c>
      <c r="D156" s="1158">
        <v>0.19509817893903403</v>
      </c>
      <c r="E156" s="1159" t="s">
        <v>4504</v>
      </c>
      <c r="F156" s="1159" t="s">
        <v>4504</v>
      </c>
    </row>
    <row r="157" spans="1:6">
      <c r="A157" s="689"/>
      <c r="B157" s="1130" t="s">
        <v>5752</v>
      </c>
      <c r="C157" s="1129" t="s">
        <v>5695</v>
      </c>
      <c r="D157" s="1154">
        <v>8.3511491937189888</v>
      </c>
      <c r="E157" s="1155" t="s">
        <v>4504</v>
      </c>
      <c r="F157" s="1155" t="s">
        <v>4504</v>
      </c>
    </row>
    <row r="158" spans="1:6">
      <c r="A158" s="689"/>
      <c r="B158" s="1075" t="s">
        <v>5753</v>
      </c>
      <c r="C158" s="689" t="s">
        <v>4311</v>
      </c>
      <c r="D158" s="1150">
        <v>6.3109223358010995</v>
      </c>
      <c r="E158" s="1160" t="s">
        <v>4504</v>
      </c>
      <c r="F158" s="1160" t="s">
        <v>4504</v>
      </c>
    </row>
    <row r="159" spans="1:6">
      <c r="A159" s="689"/>
      <c r="B159" s="1075" t="s">
        <v>5754</v>
      </c>
      <c r="C159" s="689" t="s">
        <v>4311</v>
      </c>
      <c r="D159" s="1150">
        <v>8.0362899049881236</v>
      </c>
      <c r="E159" s="1160" t="s">
        <v>4504</v>
      </c>
      <c r="F159" s="1160" t="s">
        <v>4504</v>
      </c>
    </row>
    <row r="160" spans="1:6">
      <c r="A160" s="689"/>
      <c r="B160" s="1133" t="s">
        <v>5755</v>
      </c>
      <c r="C160" s="1127" t="s">
        <v>4311</v>
      </c>
      <c r="D160" s="1158">
        <v>10.748262798053529</v>
      </c>
      <c r="E160" s="1159" t="s">
        <v>4504</v>
      </c>
      <c r="F160" s="1159" t="s">
        <v>4504</v>
      </c>
    </row>
    <row r="163" spans="1:6">
      <c r="A163" s="1128" t="s">
        <v>5757</v>
      </c>
      <c r="B163" s="1128" t="s">
        <v>5758</v>
      </c>
      <c r="C163" s="1128"/>
      <c r="D163" s="1128"/>
      <c r="E163" s="1128"/>
      <c r="F163" s="1128"/>
    </row>
    <row r="164" spans="1:6">
      <c r="A164" s="1146">
        <v>30</v>
      </c>
      <c r="B164" s="1127" t="s">
        <v>5759</v>
      </c>
      <c r="C164" s="1127" t="s">
        <v>5760</v>
      </c>
      <c r="D164" s="1133" t="s">
        <v>5660</v>
      </c>
      <c r="E164" s="1127" t="s">
        <v>5653</v>
      </c>
      <c r="F164" s="1127" t="s">
        <v>5654</v>
      </c>
    </row>
    <row r="165" spans="1:6">
      <c r="A165" s="723" t="s">
        <v>5761</v>
      </c>
      <c r="B165" s="220">
        <v>0</v>
      </c>
      <c r="C165" s="220">
        <v>900</v>
      </c>
      <c r="D165" s="1147">
        <v>835.63805846185357</v>
      </c>
      <c r="E165" s="220">
        <v>20</v>
      </c>
      <c r="F165" s="220">
        <v>17</v>
      </c>
    </row>
    <row r="166" spans="1:6">
      <c r="A166" s="723"/>
      <c r="B166" s="220">
        <v>900.01</v>
      </c>
      <c r="C166" s="220">
        <v>1080</v>
      </c>
      <c r="D166" s="1147">
        <v>896.49669735122313</v>
      </c>
      <c r="E166" s="220">
        <v>20</v>
      </c>
      <c r="F166" s="220">
        <v>17</v>
      </c>
    </row>
    <row r="167" spans="1:6">
      <c r="A167" s="723"/>
      <c r="B167" s="220">
        <v>1080.01</v>
      </c>
      <c r="C167" s="220">
        <v>1170</v>
      </c>
      <c r="D167" s="1147">
        <v>954.89436234619541</v>
      </c>
      <c r="E167" s="220">
        <v>20</v>
      </c>
      <c r="F167" s="220">
        <v>17</v>
      </c>
    </row>
    <row r="168" spans="1:6">
      <c r="A168" s="723"/>
      <c r="B168" s="220">
        <v>1170.01</v>
      </c>
      <c r="C168" s="220">
        <v>1800</v>
      </c>
      <c r="D168" s="1147">
        <v>1082.626638273457</v>
      </c>
      <c r="E168" s="220">
        <v>20</v>
      </c>
      <c r="F168" s="220">
        <v>17</v>
      </c>
    </row>
    <row r="169" spans="1:6">
      <c r="A169" s="723"/>
      <c r="B169" s="220">
        <v>1800.01</v>
      </c>
      <c r="C169" s="220">
        <v>2400</v>
      </c>
      <c r="D169" s="1147">
        <v>1962.1413425588089</v>
      </c>
      <c r="E169" s="220">
        <v>20</v>
      </c>
      <c r="F169" s="220">
        <v>17</v>
      </c>
    </row>
    <row r="170" spans="1:6">
      <c r="A170" s="723"/>
      <c r="B170" s="220">
        <v>2400.0100000000002</v>
      </c>
      <c r="C170" s="220">
        <v>2520</v>
      </c>
      <c r="D170" s="1147">
        <v>2021.7845266277343</v>
      </c>
      <c r="E170" s="220">
        <v>20</v>
      </c>
      <c r="F170" s="220">
        <v>17</v>
      </c>
    </row>
    <row r="171" spans="1:6">
      <c r="A171" s="723"/>
      <c r="B171" s="220">
        <v>2520.0100000000002</v>
      </c>
      <c r="C171" s="220">
        <v>4200</v>
      </c>
      <c r="D171" s="1147">
        <v>2041.0799305044548</v>
      </c>
      <c r="E171" s="220">
        <v>20</v>
      </c>
      <c r="F171" s="220">
        <v>17</v>
      </c>
    </row>
    <row r="172" spans="1:6">
      <c r="A172" s="723"/>
      <c r="B172" s="220">
        <v>4200.01</v>
      </c>
      <c r="C172" s="220">
        <v>5700</v>
      </c>
      <c r="D172" s="1147">
        <v>2234.3179199349388</v>
      </c>
      <c r="E172" s="220">
        <v>20</v>
      </c>
      <c r="F172" s="220">
        <v>17</v>
      </c>
    </row>
    <row r="173" spans="1:6">
      <c r="A173" s="723"/>
      <c r="B173" s="220">
        <v>5700.01</v>
      </c>
      <c r="C173" s="220">
        <v>6960</v>
      </c>
      <c r="D173" s="1147">
        <v>4016.3572196735881</v>
      </c>
      <c r="E173" s="220">
        <v>20</v>
      </c>
      <c r="F173" s="220">
        <v>17</v>
      </c>
    </row>
    <row r="174" spans="1:6">
      <c r="A174" s="723"/>
      <c r="B174" s="220">
        <v>6960.01</v>
      </c>
      <c r="C174" s="220">
        <v>8160</v>
      </c>
      <c r="D174" s="1147">
        <v>4421.1680982818198</v>
      </c>
      <c r="E174" s="220">
        <v>20</v>
      </c>
      <c r="F174" s="220">
        <v>17</v>
      </c>
    </row>
    <row r="175" spans="1:6">
      <c r="A175" s="723"/>
      <c r="B175" s="220">
        <v>8160.01</v>
      </c>
      <c r="C175" s="220">
        <v>12180</v>
      </c>
      <c r="D175" s="1147">
        <v>8059.8833545424277</v>
      </c>
      <c r="E175" s="220">
        <v>20</v>
      </c>
      <c r="F175" s="220">
        <v>17</v>
      </c>
    </row>
    <row r="176" spans="1:6">
      <c r="A176" s="723"/>
      <c r="B176" s="220">
        <v>12180.01</v>
      </c>
      <c r="C176" s="220" t="s">
        <v>5661</v>
      </c>
      <c r="D176" s="1147" t="s">
        <v>5661</v>
      </c>
      <c r="E176" s="220">
        <v>20</v>
      </c>
      <c r="F176" s="220">
        <v>17</v>
      </c>
    </row>
    <row r="179" spans="1:6">
      <c r="A179" s="1128" t="s">
        <v>5656</v>
      </c>
      <c r="B179" s="1128" t="s">
        <v>5762</v>
      </c>
      <c r="C179" s="1128"/>
      <c r="D179" s="1128"/>
      <c r="E179" s="1128"/>
      <c r="F179" s="1128"/>
    </row>
    <row r="180" spans="1:6">
      <c r="A180" s="1146">
        <v>35</v>
      </c>
      <c r="B180" s="1127" t="s">
        <v>5763</v>
      </c>
      <c r="C180" s="1127" t="s">
        <v>5764</v>
      </c>
      <c r="D180" s="1133" t="s">
        <v>5660</v>
      </c>
      <c r="E180" s="1127" t="s">
        <v>5653</v>
      </c>
      <c r="F180" s="1127" t="s">
        <v>5654</v>
      </c>
    </row>
    <row r="181" spans="1:6">
      <c r="A181" s="723" t="s">
        <v>5766</v>
      </c>
      <c r="B181" s="220">
        <v>0</v>
      </c>
      <c r="C181" s="220">
        <v>2</v>
      </c>
      <c r="D181" s="1147">
        <v>382.59443243243237</v>
      </c>
      <c r="E181" s="220">
        <v>25</v>
      </c>
      <c r="F181" s="220">
        <v>20</v>
      </c>
    </row>
    <row r="182" spans="1:6">
      <c r="A182" s="723"/>
      <c r="B182" s="220">
        <v>2.1</v>
      </c>
      <c r="C182" s="220">
        <v>2.5</v>
      </c>
      <c r="D182" s="1147">
        <v>465.81371999999999</v>
      </c>
      <c r="E182" s="220">
        <v>25</v>
      </c>
      <c r="F182" s="220">
        <v>20</v>
      </c>
    </row>
    <row r="183" spans="1:6">
      <c r="A183" s="723"/>
      <c r="B183" s="220">
        <v>2.6</v>
      </c>
      <c r="C183" s="220">
        <v>3</v>
      </c>
      <c r="D183" s="1147">
        <v>985.99555274261604</v>
      </c>
      <c r="E183" s="220">
        <v>25</v>
      </c>
      <c r="F183" s="220">
        <v>20</v>
      </c>
    </row>
    <row r="184" spans="1:6">
      <c r="A184" s="723"/>
      <c r="B184" s="220">
        <v>3.1</v>
      </c>
      <c r="C184" s="220">
        <v>4</v>
      </c>
      <c r="D184" s="1147">
        <v>1175</v>
      </c>
      <c r="E184" s="220">
        <v>25</v>
      </c>
      <c r="F184" s="220">
        <v>20</v>
      </c>
    </row>
    <row r="185" spans="1:6">
      <c r="A185" s="723"/>
      <c r="B185" s="220">
        <v>4.0999999999999996</v>
      </c>
      <c r="C185" s="220">
        <v>8</v>
      </c>
      <c r="D185" s="1147">
        <v>1725</v>
      </c>
      <c r="E185" s="220">
        <v>25</v>
      </c>
      <c r="F185" s="220">
        <v>20</v>
      </c>
    </row>
    <row r="186" spans="1:6">
      <c r="A186" s="723"/>
      <c r="B186" s="220">
        <v>8.1</v>
      </c>
      <c r="C186" s="220">
        <v>12</v>
      </c>
      <c r="D186" s="1147">
        <v>2875</v>
      </c>
      <c r="E186" s="220">
        <v>25</v>
      </c>
      <c r="F186" s="220">
        <v>20</v>
      </c>
    </row>
    <row r="187" spans="1:6">
      <c r="A187" s="723" t="s">
        <v>5765</v>
      </c>
      <c r="B187" s="220">
        <v>12.1</v>
      </c>
      <c r="C187" s="220">
        <v>14</v>
      </c>
      <c r="D187" s="1147">
        <v>5400</v>
      </c>
      <c r="E187" s="220">
        <v>25</v>
      </c>
      <c r="F187" s="220">
        <v>20</v>
      </c>
    </row>
    <row r="188" spans="1:6">
      <c r="A188" s="723"/>
      <c r="B188" s="220">
        <v>14.1</v>
      </c>
      <c r="C188" s="220">
        <v>18</v>
      </c>
      <c r="D188" s="1147">
        <v>9700</v>
      </c>
      <c r="E188" s="220">
        <v>25</v>
      </c>
      <c r="F188" s="220">
        <v>20</v>
      </c>
    </row>
    <row r="189" spans="1:6">
      <c r="A189" s="723"/>
      <c r="B189" s="220">
        <v>18.100000000000001</v>
      </c>
      <c r="C189" s="220">
        <v>20</v>
      </c>
      <c r="D189" s="1147">
        <v>12700</v>
      </c>
      <c r="E189" s="220">
        <v>25</v>
      </c>
      <c r="F189" s="220">
        <v>20</v>
      </c>
    </row>
    <row r="190" spans="1:6">
      <c r="A190" s="723"/>
      <c r="B190" s="220">
        <v>20.100000000000001</v>
      </c>
      <c r="C190" s="220">
        <v>24</v>
      </c>
      <c r="D190" s="1147">
        <v>20900</v>
      </c>
      <c r="E190" s="220">
        <v>25</v>
      </c>
      <c r="F190" s="220">
        <v>20</v>
      </c>
    </row>
    <row r="191" spans="1:6">
      <c r="A191" s="723"/>
      <c r="B191" s="220">
        <v>24.1</v>
      </c>
      <c r="C191" s="220">
        <v>30</v>
      </c>
      <c r="D191" s="1147">
        <v>17100</v>
      </c>
      <c r="E191" s="220">
        <v>25</v>
      </c>
      <c r="F191" s="220">
        <v>20</v>
      </c>
    </row>
    <row r="192" spans="1:6">
      <c r="A192" s="723"/>
      <c r="B192" s="220">
        <v>30.1</v>
      </c>
      <c r="C192" s="220">
        <v>36</v>
      </c>
      <c r="D192" s="1147">
        <v>21100</v>
      </c>
      <c r="E192" s="220">
        <v>25</v>
      </c>
      <c r="F192" s="220">
        <v>20</v>
      </c>
    </row>
    <row r="193" spans="1:6">
      <c r="A193" s="723"/>
      <c r="B193" s="220">
        <v>36.1</v>
      </c>
      <c r="C193" s="220">
        <v>42</v>
      </c>
      <c r="D193" s="1147">
        <v>26600</v>
      </c>
      <c r="E193" s="220">
        <v>25</v>
      </c>
      <c r="F193" s="220">
        <v>20</v>
      </c>
    </row>
    <row r="194" spans="1:6">
      <c r="A194" s="723"/>
      <c r="B194" s="220">
        <v>42.1</v>
      </c>
      <c r="C194" s="220">
        <v>48</v>
      </c>
      <c r="D194" s="1147">
        <v>34100</v>
      </c>
      <c r="E194" s="220">
        <v>25</v>
      </c>
      <c r="F194" s="220">
        <v>20</v>
      </c>
    </row>
    <row r="195" spans="1:6">
      <c r="A195" s="723"/>
      <c r="B195" s="220">
        <v>48.1</v>
      </c>
      <c r="C195" s="220" t="s">
        <v>5661</v>
      </c>
      <c r="D195" s="1147" t="s">
        <v>5661</v>
      </c>
      <c r="E195" s="220">
        <v>25</v>
      </c>
      <c r="F195" s="220">
        <v>20</v>
      </c>
    </row>
    <row r="198" spans="1:6">
      <c r="A198" s="1128" t="s">
        <v>5656</v>
      </c>
      <c r="B198" s="1128" t="s">
        <v>5767</v>
      </c>
      <c r="C198" s="1128"/>
      <c r="D198" s="1128"/>
      <c r="E198" s="1128"/>
      <c r="F198" s="1128"/>
    </row>
    <row r="199" spans="1:6">
      <c r="A199" s="1146">
        <v>35</v>
      </c>
      <c r="B199" s="1127" t="s">
        <v>5763</v>
      </c>
      <c r="C199" s="1127" t="s">
        <v>5764</v>
      </c>
      <c r="D199" s="1133" t="s">
        <v>5660</v>
      </c>
      <c r="E199" s="1127" t="s">
        <v>5653</v>
      </c>
      <c r="F199" s="1127" t="s">
        <v>5654</v>
      </c>
    </row>
    <row r="200" spans="1:6">
      <c r="A200" s="723" t="s">
        <v>5768</v>
      </c>
      <c r="B200" s="220">
        <v>0</v>
      </c>
      <c r="C200" s="220">
        <v>2</v>
      </c>
      <c r="D200" s="1147">
        <v>727.99227027027018</v>
      </c>
      <c r="E200" s="220">
        <v>25</v>
      </c>
      <c r="F200" s="220">
        <v>20</v>
      </c>
    </row>
    <row r="201" spans="1:6">
      <c r="A201" s="723"/>
      <c r="B201" s="220">
        <v>2.1</v>
      </c>
      <c r="C201" s="220">
        <v>3</v>
      </c>
      <c r="D201" s="1147">
        <v>906.87331645569623</v>
      </c>
      <c r="E201" s="220">
        <v>25</v>
      </c>
      <c r="F201" s="220">
        <v>20</v>
      </c>
    </row>
    <row r="202" spans="1:6">
      <c r="A202" s="723"/>
      <c r="B202" s="220">
        <v>3.1</v>
      </c>
      <c r="C202" s="220">
        <v>4</v>
      </c>
      <c r="D202" s="1147">
        <v>1775</v>
      </c>
      <c r="E202" s="220">
        <v>25</v>
      </c>
      <c r="F202" s="220">
        <v>20</v>
      </c>
    </row>
    <row r="203" spans="1:6">
      <c r="A203" s="723"/>
      <c r="B203" s="220">
        <v>4.0999999999999996</v>
      </c>
      <c r="C203" s="220">
        <v>6</v>
      </c>
      <c r="D203" s="1147">
        <v>2750</v>
      </c>
      <c r="E203" s="220">
        <v>25</v>
      </c>
      <c r="F203" s="220">
        <v>20</v>
      </c>
    </row>
    <row r="204" spans="1:6">
      <c r="A204" s="723"/>
      <c r="B204" s="220">
        <v>6.1</v>
      </c>
      <c r="C204" s="220">
        <v>8</v>
      </c>
      <c r="D204" s="1147">
        <v>4850</v>
      </c>
      <c r="E204" s="220">
        <v>25</v>
      </c>
      <c r="F204" s="220">
        <v>20</v>
      </c>
    </row>
    <row r="205" spans="1:6">
      <c r="A205" s="723"/>
      <c r="B205" s="220">
        <v>8.1</v>
      </c>
      <c r="C205" s="220">
        <v>12</v>
      </c>
      <c r="D205" s="1147">
        <v>12600</v>
      </c>
      <c r="E205" s="220">
        <v>25</v>
      </c>
      <c r="F205" s="220">
        <v>20</v>
      </c>
    </row>
    <row r="206" spans="1:6">
      <c r="A206" s="723"/>
      <c r="B206" s="220">
        <v>12.1</v>
      </c>
      <c r="C206" s="220">
        <v>18</v>
      </c>
      <c r="D206" s="1147">
        <v>47100</v>
      </c>
      <c r="E206" s="220">
        <v>25</v>
      </c>
      <c r="F206" s="220">
        <v>20</v>
      </c>
    </row>
    <row r="207" spans="1:6">
      <c r="A207" s="723"/>
      <c r="B207" s="220">
        <v>18.100000000000001</v>
      </c>
      <c r="C207" s="220">
        <v>24</v>
      </c>
      <c r="D207" s="1147">
        <v>66500</v>
      </c>
      <c r="E207" s="220">
        <v>25</v>
      </c>
      <c r="F207" s="220">
        <v>20</v>
      </c>
    </row>
    <row r="208" spans="1:6">
      <c r="A208" s="723"/>
      <c r="B208" s="220">
        <v>24.1</v>
      </c>
      <c r="C208" s="220" t="s">
        <v>5661</v>
      </c>
      <c r="D208" s="1147" t="s">
        <v>5661</v>
      </c>
      <c r="E208" s="220">
        <v>25</v>
      </c>
      <c r="F208" s="220">
        <v>20</v>
      </c>
    </row>
    <row r="211" spans="1:6">
      <c r="A211" s="1128" t="s">
        <v>5656</v>
      </c>
      <c r="B211" s="1128" t="s">
        <v>5769</v>
      </c>
      <c r="C211" s="1128"/>
      <c r="D211" s="1128"/>
      <c r="E211" s="1128"/>
      <c r="F211" s="1128"/>
    </row>
    <row r="212" spans="1:6">
      <c r="A212" s="1146">
        <v>35</v>
      </c>
      <c r="B212" s="1127" t="s">
        <v>5763</v>
      </c>
      <c r="C212" s="1127" t="s">
        <v>5764</v>
      </c>
      <c r="D212" s="1133" t="s">
        <v>5660</v>
      </c>
      <c r="E212" s="1127" t="s">
        <v>5653</v>
      </c>
      <c r="F212" s="1127" t="s">
        <v>5654</v>
      </c>
    </row>
    <row r="213" spans="1:6">
      <c r="A213" s="723" t="s">
        <v>5770</v>
      </c>
      <c r="B213" s="220">
        <v>0</v>
      </c>
      <c r="C213" s="220">
        <v>1</v>
      </c>
      <c r="D213" s="1147">
        <v>1344.7174074420614</v>
      </c>
      <c r="E213" s="220">
        <v>25</v>
      </c>
      <c r="F213" s="220">
        <v>20</v>
      </c>
    </row>
    <row r="214" spans="1:6">
      <c r="A214" s="723"/>
      <c r="B214" s="220">
        <v>1.1000000000000001</v>
      </c>
      <c r="C214" s="220">
        <v>2</v>
      </c>
      <c r="D214" s="1147">
        <v>863.90978021978026</v>
      </c>
      <c r="E214" s="220">
        <v>25</v>
      </c>
      <c r="F214" s="220">
        <v>20</v>
      </c>
    </row>
    <row r="215" spans="1:6">
      <c r="A215" s="723"/>
      <c r="B215" s="220">
        <v>2.1</v>
      </c>
      <c r="C215" s="220">
        <v>3</v>
      </c>
      <c r="D215" s="1147">
        <v>3473.2001649484537</v>
      </c>
      <c r="E215" s="220">
        <v>25</v>
      </c>
      <c r="F215" s="220">
        <v>20</v>
      </c>
    </row>
    <row r="216" spans="1:6">
      <c r="A216" s="723"/>
      <c r="B216" s="220">
        <v>3.1</v>
      </c>
      <c r="C216" s="220">
        <v>4</v>
      </c>
      <c r="D216" s="1147">
        <v>4185.087896551724</v>
      </c>
      <c r="E216" s="220">
        <v>25</v>
      </c>
      <c r="F216" s="220">
        <v>20</v>
      </c>
    </row>
    <row r="217" spans="1:6">
      <c r="A217" s="723"/>
      <c r="B217" s="220">
        <v>4.0999999999999996</v>
      </c>
      <c r="C217" s="220">
        <v>6</v>
      </c>
      <c r="D217" s="1147">
        <v>6000.7343666666675</v>
      </c>
      <c r="E217" s="220">
        <v>25</v>
      </c>
      <c r="F217" s="220">
        <v>20</v>
      </c>
    </row>
    <row r="218" spans="1:6">
      <c r="A218" s="723"/>
      <c r="B218" s="220">
        <v>6.1</v>
      </c>
      <c r="C218" s="220">
        <v>8</v>
      </c>
      <c r="D218" s="1147">
        <v>11061.839595959596</v>
      </c>
      <c r="E218" s="220">
        <v>25</v>
      </c>
      <c r="F218" s="220">
        <v>20</v>
      </c>
    </row>
    <row r="219" spans="1:6">
      <c r="A219" s="723"/>
      <c r="B219" s="220">
        <v>8.1</v>
      </c>
      <c r="C219" s="220">
        <v>10</v>
      </c>
      <c r="D219" s="1147">
        <v>14396.050612244897</v>
      </c>
      <c r="E219" s="220">
        <v>25</v>
      </c>
      <c r="F219" s="220">
        <v>20</v>
      </c>
    </row>
    <row r="220" spans="1:6">
      <c r="A220" s="723"/>
      <c r="B220" s="220">
        <v>10.1</v>
      </c>
      <c r="C220" s="220">
        <v>12</v>
      </c>
      <c r="D220" s="1147">
        <v>16659.506451612902</v>
      </c>
      <c r="E220" s="220">
        <v>25</v>
      </c>
      <c r="F220" s="220">
        <v>20</v>
      </c>
    </row>
    <row r="221" spans="1:6">
      <c r="A221" s="723"/>
      <c r="B221" s="220">
        <v>12.1</v>
      </c>
      <c r="C221" s="220">
        <v>14</v>
      </c>
      <c r="D221" s="1147">
        <v>19254.500240963855</v>
      </c>
      <c r="E221" s="220">
        <v>25</v>
      </c>
      <c r="F221" s="220">
        <v>20</v>
      </c>
    </row>
    <row r="222" spans="1:6">
      <c r="A222" s="723"/>
      <c r="B222" s="220">
        <v>14.1</v>
      </c>
      <c r="C222" s="220">
        <v>16</v>
      </c>
      <c r="D222" s="1147">
        <v>26647.512289156628</v>
      </c>
      <c r="E222" s="220">
        <v>25</v>
      </c>
      <c r="F222" s="220">
        <v>20</v>
      </c>
    </row>
    <row r="223" spans="1:6">
      <c r="A223" s="723"/>
      <c r="B223" s="220">
        <v>16.100000000000001</v>
      </c>
      <c r="C223" s="220">
        <v>18</v>
      </c>
      <c r="D223" s="1147">
        <v>33531.189219858155</v>
      </c>
      <c r="E223" s="220">
        <v>25</v>
      </c>
      <c r="F223" s="220">
        <v>20</v>
      </c>
    </row>
    <row r="224" spans="1:6">
      <c r="A224" s="723"/>
      <c r="B224" s="220">
        <v>18.100000000000001</v>
      </c>
      <c r="C224" s="220">
        <v>30</v>
      </c>
      <c r="D224" s="1147">
        <v>42084.270140109402</v>
      </c>
      <c r="E224" s="220">
        <v>25</v>
      </c>
      <c r="F224" s="220">
        <v>20</v>
      </c>
    </row>
    <row r="225" spans="1:6">
      <c r="A225" s="723"/>
      <c r="B225" s="220">
        <v>30.1</v>
      </c>
      <c r="C225" s="220">
        <v>48</v>
      </c>
      <c r="D225" s="1147">
        <v>59227.779900671587</v>
      </c>
      <c r="E225" s="220">
        <v>25</v>
      </c>
      <c r="F225" s="220">
        <v>20</v>
      </c>
    </row>
    <row r="226" spans="1:6">
      <c r="A226" s="723"/>
      <c r="B226" s="220">
        <v>48.1</v>
      </c>
      <c r="C226" s="220" t="s">
        <v>5661</v>
      </c>
      <c r="D226" s="1147" t="s">
        <v>5661</v>
      </c>
      <c r="E226" s="220">
        <v>25</v>
      </c>
      <c r="F226" s="220">
        <v>20</v>
      </c>
    </row>
    <row r="229" spans="1:6">
      <c r="A229" s="1128" t="s">
        <v>5663</v>
      </c>
      <c r="B229" s="1128" t="s">
        <v>5771</v>
      </c>
      <c r="C229" s="1128"/>
      <c r="D229" s="1128"/>
      <c r="E229" s="1128"/>
      <c r="F229" s="1128"/>
    </row>
    <row r="230" spans="1:6">
      <c r="A230" s="1146">
        <v>3</v>
      </c>
      <c r="B230" s="1127"/>
      <c r="C230" s="1127"/>
      <c r="D230" s="1127" t="s">
        <v>5664</v>
      </c>
      <c r="E230" s="1151" t="s">
        <v>5653</v>
      </c>
      <c r="F230" s="1151" t="s">
        <v>5654</v>
      </c>
    </row>
    <row r="231" spans="1:6">
      <c r="A231" s="723" t="s">
        <v>5772</v>
      </c>
      <c r="B231" s="220">
        <v>0</v>
      </c>
      <c r="C231" s="220">
        <v>0</v>
      </c>
      <c r="D231" s="1148">
        <v>739.60558874747949</v>
      </c>
      <c r="E231" s="633">
        <v>40</v>
      </c>
      <c r="F231" s="633">
        <v>37</v>
      </c>
    </row>
    <row r="234" spans="1:6">
      <c r="A234" s="1128" t="s">
        <v>5691</v>
      </c>
      <c r="B234" s="1128" t="s">
        <v>5773</v>
      </c>
      <c r="C234" s="1128"/>
      <c r="D234" s="1128"/>
      <c r="E234" s="1128"/>
      <c r="F234" s="1128"/>
    </row>
    <row r="235" spans="1:6">
      <c r="A235" s="1146">
        <v>11</v>
      </c>
      <c r="B235" s="1127"/>
      <c r="C235" s="1127"/>
      <c r="D235" s="1161" t="s">
        <v>5774</v>
      </c>
      <c r="E235" s="1151" t="s">
        <v>5653</v>
      </c>
      <c r="F235" s="1151" t="s">
        <v>5654</v>
      </c>
    </row>
    <row r="236" spans="1:6">
      <c r="A236" s="723" t="s">
        <v>5775</v>
      </c>
      <c r="B236" s="220">
        <v>0</v>
      </c>
      <c r="C236" s="220">
        <v>0</v>
      </c>
      <c r="D236" s="1148">
        <v>389.13</v>
      </c>
      <c r="E236" s="633">
        <v>10</v>
      </c>
      <c r="F236" s="633">
        <v>10</v>
      </c>
    </row>
    <row r="239" spans="1:6">
      <c r="A239" s="1128" t="s">
        <v>5663</v>
      </c>
      <c r="B239" s="1128" t="s">
        <v>3745</v>
      </c>
      <c r="C239" s="1128"/>
      <c r="D239" s="1128"/>
      <c r="E239" s="1128"/>
      <c r="F239" s="1128"/>
    </row>
    <row r="240" spans="1:6">
      <c r="A240" s="1146">
        <v>3</v>
      </c>
      <c r="B240" s="1127"/>
      <c r="C240" s="1127"/>
      <c r="D240" s="1127" t="s">
        <v>5664</v>
      </c>
      <c r="E240" s="1151" t="s">
        <v>5653</v>
      </c>
      <c r="F240" s="1151" t="s">
        <v>5654</v>
      </c>
    </row>
    <row r="241" spans="1:6">
      <c r="A241" s="723" t="s">
        <v>5776</v>
      </c>
      <c r="B241" s="220">
        <v>0</v>
      </c>
      <c r="C241" s="220">
        <v>0</v>
      </c>
      <c r="D241" s="1148">
        <v>492.74999999999994</v>
      </c>
      <c r="E241" s="633">
        <v>40</v>
      </c>
      <c r="F241" s="633">
        <v>37</v>
      </c>
    </row>
    <row r="244" spans="1:6">
      <c r="A244" s="1128" t="s">
        <v>5651</v>
      </c>
      <c r="B244" s="1128" t="s">
        <v>5777</v>
      </c>
      <c r="C244" s="1128"/>
      <c r="D244" s="1128"/>
      <c r="E244" s="1128"/>
      <c r="F244" s="1128"/>
    </row>
    <row r="245" spans="1:6">
      <c r="A245" s="1146">
        <v>43</v>
      </c>
      <c r="B245" s="1127"/>
      <c r="C245" s="1127"/>
      <c r="D245" s="1133" t="s">
        <v>5660</v>
      </c>
      <c r="E245" s="1127" t="s">
        <v>5653</v>
      </c>
      <c r="F245" s="1127" t="s">
        <v>5654</v>
      </c>
    </row>
    <row r="246" spans="1:6">
      <c r="A246" s="723" t="s">
        <v>5778</v>
      </c>
      <c r="B246" s="220">
        <v>0</v>
      </c>
      <c r="C246" s="220">
        <v>0</v>
      </c>
      <c r="D246" s="1147">
        <v>2280.4682700037665</v>
      </c>
      <c r="E246" s="220">
        <v>15</v>
      </c>
      <c r="F246" s="220">
        <v>14</v>
      </c>
    </row>
    <row r="249" spans="1:6">
      <c r="A249" s="1128" t="s">
        <v>5779</v>
      </c>
      <c r="B249" s="1128" t="s">
        <v>5780</v>
      </c>
      <c r="C249" s="1128"/>
      <c r="D249" s="1128"/>
      <c r="E249" s="1128"/>
      <c r="F249" s="1128"/>
    </row>
    <row r="250" spans="1:6">
      <c r="A250" s="1146">
        <v>15</v>
      </c>
      <c r="B250" s="1127" t="s">
        <v>5763</v>
      </c>
      <c r="C250" s="1127" t="s">
        <v>5764</v>
      </c>
      <c r="D250" s="1133" t="s">
        <v>5781</v>
      </c>
      <c r="E250" s="1127" t="s">
        <v>5653</v>
      </c>
      <c r="F250" s="1127" t="s">
        <v>5654</v>
      </c>
    </row>
    <row r="251" spans="1:6">
      <c r="A251" s="723" t="s">
        <v>5782</v>
      </c>
      <c r="B251" s="220">
        <v>0</v>
      </c>
      <c r="C251" s="220">
        <v>0.5</v>
      </c>
      <c r="D251" s="1147">
        <v>2.6632135313802943</v>
      </c>
      <c r="E251" s="220">
        <v>22</v>
      </c>
      <c r="F251" s="220">
        <v>17</v>
      </c>
    </row>
    <row r="252" spans="1:6">
      <c r="A252" s="723"/>
      <c r="B252" s="220">
        <v>0.6</v>
      </c>
      <c r="C252" s="220">
        <v>0.75</v>
      </c>
      <c r="D252" s="1147">
        <v>3.4161861313868607</v>
      </c>
      <c r="E252" s="220">
        <v>22</v>
      </c>
      <c r="F252" s="220">
        <v>17</v>
      </c>
    </row>
    <row r="253" spans="1:6">
      <c r="A253" s="723"/>
      <c r="B253" s="220">
        <v>0.76</v>
      </c>
      <c r="C253" s="220">
        <v>1</v>
      </c>
      <c r="D253" s="1147">
        <v>4.6191902899139743</v>
      </c>
      <c r="E253" s="220">
        <v>22</v>
      </c>
      <c r="F253" s="220">
        <v>17</v>
      </c>
    </row>
    <row r="254" spans="1:6">
      <c r="A254" s="723"/>
      <c r="B254" s="220">
        <v>1.1000000000000001</v>
      </c>
      <c r="C254" s="220">
        <v>1.5</v>
      </c>
      <c r="D254" s="1147">
        <v>6.9897382182847299</v>
      </c>
      <c r="E254" s="220">
        <v>22</v>
      </c>
      <c r="F254" s="220">
        <v>17</v>
      </c>
    </row>
    <row r="255" spans="1:6">
      <c r="A255" s="723"/>
      <c r="B255" s="220">
        <v>1.6</v>
      </c>
      <c r="C255" s="220">
        <v>2</v>
      </c>
      <c r="D255" s="1147">
        <v>9.7307617597109495</v>
      </c>
      <c r="E255" s="220">
        <v>22</v>
      </c>
      <c r="F255" s="220">
        <v>17</v>
      </c>
    </row>
    <row r="256" spans="1:6">
      <c r="A256" s="723"/>
      <c r="B256" s="220">
        <v>2.1</v>
      </c>
      <c r="C256" s="220">
        <v>2.5</v>
      </c>
      <c r="D256" s="1147">
        <v>13.9160178794061</v>
      </c>
      <c r="E256" s="220">
        <v>22</v>
      </c>
      <c r="F256" s="220">
        <v>17</v>
      </c>
    </row>
    <row r="257" spans="1:6">
      <c r="A257" s="723"/>
      <c r="B257" s="220">
        <v>2.6</v>
      </c>
      <c r="C257" s="220">
        <v>3</v>
      </c>
      <c r="D257" s="1147">
        <v>15.479636354286573</v>
      </c>
      <c r="E257" s="220">
        <v>22</v>
      </c>
      <c r="F257" s="220">
        <v>17</v>
      </c>
    </row>
    <row r="258" spans="1:6">
      <c r="A258" s="723"/>
      <c r="B258" s="220">
        <v>3.1</v>
      </c>
      <c r="C258" s="220">
        <v>4</v>
      </c>
      <c r="D258" s="1147">
        <v>27.687322631427584</v>
      </c>
      <c r="E258" s="220">
        <v>22</v>
      </c>
      <c r="F258" s="220">
        <v>17</v>
      </c>
    </row>
    <row r="259" spans="1:6">
      <c r="A259" s="723"/>
      <c r="B259" s="220">
        <v>4.0999999999999996</v>
      </c>
      <c r="C259" s="220">
        <v>6</v>
      </c>
      <c r="D259" s="1147">
        <v>50.768846439169138</v>
      </c>
      <c r="E259" s="220">
        <v>22</v>
      </c>
      <c r="F259" s="220">
        <v>17</v>
      </c>
    </row>
    <row r="260" spans="1:6">
      <c r="A260" s="723"/>
      <c r="B260" s="220">
        <v>6.1</v>
      </c>
      <c r="C260" s="220">
        <v>8</v>
      </c>
      <c r="D260" s="1147">
        <v>60.907083897837325</v>
      </c>
      <c r="E260" s="220">
        <v>22</v>
      </c>
      <c r="F260" s="220">
        <v>17</v>
      </c>
    </row>
    <row r="261" spans="1:6">
      <c r="A261" s="723"/>
      <c r="B261" s="220">
        <v>8.1</v>
      </c>
      <c r="C261" s="220">
        <v>10</v>
      </c>
      <c r="D261" s="1147">
        <v>120.49246198157502</v>
      </c>
      <c r="E261" s="220">
        <v>22</v>
      </c>
      <c r="F261" s="220">
        <v>17</v>
      </c>
    </row>
    <row r="262" spans="1:6">
      <c r="A262" s="723"/>
      <c r="B262" s="220">
        <v>10.1</v>
      </c>
      <c r="C262" s="220">
        <v>12</v>
      </c>
      <c r="D262" s="1147">
        <v>157.99898111173229</v>
      </c>
      <c r="E262" s="220">
        <v>22</v>
      </c>
      <c r="F262" s="220">
        <v>17</v>
      </c>
    </row>
    <row r="263" spans="1:6">
      <c r="A263" s="723"/>
      <c r="B263" s="220">
        <v>12.1</v>
      </c>
      <c r="C263" s="220">
        <v>14</v>
      </c>
      <c r="D263" s="1147">
        <v>232.01930337969426</v>
      </c>
      <c r="E263" s="220">
        <v>22</v>
      </c>
      <c r="F263" s="220">
        <v>17</v>
      </c>
    </row>
    <row r="264" spans="1:6">
      <c r="A264" s="723"/>
      <c r="B264" s="220">
        <v>14.1</v>
      </c>
      <c r="C264" s="220">
        <v>16</v>
      </c>
      <c r="D264" s="1147">
        <v>296.65379213483146</v>
      </c>
      <c r="E264" s="220">
        <v>22</v>
      </c>
      <c r="F264" s="220">
        <v>17</v>
      </c>
    </row>
    <row r="265" spans="1:6">
      <c r="A265" s="723"/>
      <c r="B265" s="220">
        <v>16.100000000000001</v>
      </c>
      <c r="C265" s="220">
        <v>18</v>
      </c>
      <c r="D265" s="1147">
        <v>297.3340569345113</v>
      </c>
      <c r="E265" s="220">
        <v>22</v>
      </c>
      <c r="F265" s="220">
        <v>17</v>
      </c>
    </row>
    <row r="266" spans="1:6">
      <c r="A266" s="723"/>
      <c r="B266" s="220">
        <v>18.100000000000001</v>
      </c>
      <c r="C266" s="220" t="s">
        <v>5661</v>
      </c>
      <c r="D266" s="1147" t="s">
        <v>5661</v>
      </c>
      <c r="E266" s="220">
        <v>22</v>
      </c>
      <c r="F266" s="220">
        <v>17</v>
      </c>
    </row>
    <row r="269" spans="1:6">
      <c r="A269" s="1128" t="s">
        <v>5783</v>
      </c>
      <c r="B269" s="1128" t="s">
        <v>5784</v>
      </c>
      <c r="C269" s="1128"/>
      <c r="D269" s="1128"/>
      <c r="E269" s="1128"/>
      <c r="F269" s="1128"/>
    </row>
    <row r="270" spans="1:6">
      <c r="A270" s="1146">
        <v>22</v>
      </c>
      <c r="B270" s="1151" t="s">
        <v>5785</v>
      </c>
      <c r="C270" s="1133" t="s">
        <v>5786</v>
      </c>
      <c r="D270" s="1127" t="s">
        <v>5660</v>
      </c>
      <c r="E270" s="1127" t="s">
        <v>5653</v>
      </c>
      <c r="F270" s="1127" t="s">
        <v>5654</v>
      </c>
    </row>
    <row r="271" spans="1:6">
      <c r="A271" s="723" t="s">
        <v>5787</v>
      </c>
      <c r="B271" s="220">
        <v>0</v>
      </c>
      <c r="C271" s="220">
        <v>40</v>
      </c>
      <c r="D271" s="1147">
        <v>2118</v>
      </c>
      <c r="E271" s="220">
        <v>10</v>
      </c>
      <c r="F271" s="220">
        <v>7</v>
      </c>
    </row>
    <row r="272" spans="1:6">
      <c r="A272" s="723"/>
      <c r="B272" s="220">
        <v>41</v>
      </c>
      <c r="C272" s="220">
        <v>60</v>
      </c>
      <c r="D272" s="1147">
        <v>2118</v>
      </c>
      <c r="E272" s="220">
        <v>10</v>
      </c>
      <c r="F272" s="220">
        <v>7</v>
      </c>
    </row>
    <row r="273" spans="1:6">
      <c r="A273" s="723"/>
      <c r="B273" s="220">
        <v>61</v>
      </c>
      <c r="C273" s="220">
        <v>80</v>
      </c>
      <c r="D273" s="1147">
        <v>2118</v>
      </c>
      <c r="E273" s="220">
        <v>10</v>
      </c>
      <c r="F273" s="220">
        <v>7</v>
      </c>
    </row>
    <row r="274" spans="1:6">
      <c r="A274" s="723"/>
      <c r="B274" s="220">
        <v>81</v>
      </c>
      <c r="C274" s="220">
        <v>120</v>
      </c>
      <c r="D274" s="1147">
        <v>2118</v>
      </c>
      <c r="E274" s="220">
        <v>10</v>
      </c>
      <c r="F274" s="220">
        <v>7</v>
      </c>
    </row>
    <row r="275" spans="1:6">
      <c r="A275" s="723"/>
      <c r="B275" s="220">
        <v>121</v>
      </c>
      <c r="C275" s="220">
        <v>140</v>
      </c>
      <c r="D275" s="1147">
        <v>2118</v>
      </c>
      <c r="E275" s="220">
        <v>10</v>
      </c>
      <c r="F275" s="220">
        <v>7</v>
      </c>
    </row>
    <row r="276" spans="1:6">
      <c r="A276" s="723"/>
      <c r="B276" s="220">
        <v>141</v>
      </c>
      <c r="C276" s="220">
        <v>175</v>
      </c>
      <c r="D276" s="1147">
        <v>2118</v>
      </c>
      <c r="E276" s="220">
        <v>10</v>
      </c>
      <c r="F276" s="220">
        <v>7</v>
      </c>
    </row>
    <row r="277" spans="1:6">
      <c r="A277" s="723"/>
      <c r="B277" s="220">
        <v>176</v>
      </c>
      <c r="C277" s="220">
        <v>200</v>
      </c>
      <c r="D277" s="1147">
        <v>2118</v>
      </c>
      <c r="E277" s="220">
        <v>10</v>
      </c>
      <c r="F277" s="220">
        <v>7</v>
      </c>
    </row>
    <row r="278" spans="1:6">
      <c r="A278" s="723"/>
      <c r="B278" s="220">
        <v>201</v>
      </c>
      <c r="C278" s="220">
        <v>250</v>
      </c>
      <c r="D278" s="1147">
        <v>2118</v>
      </c>
      <c r="E278" s="220">
        <v>10</v>
      </c>
      <c r="F278" s="220">
        <v>7</v>
      </c>
    </row>
    <row r="279" spans="1:6">
      <c r="A279" s="723"/>
      <c r="B279" s="220">
        <v>251</v>
      </c>
      <c r="C279" s="220">
        <v>300</v>
      </c>
      <c r="D279" s="1147">
        <v>2118</v>
      </c>
      <c r="E279" s="220">
        <v>10</v>
      </c>
      <c r="F279" s="220">
        <v>7</v>
      </c>
    </row>
    <row r="280" spans="1:6">
      <c r="A280" s="723"/>
      <c r="B280" s="220">
        <v>301</v>
      </c>
      <c r="C280" s="220">
        <v>400</v>
      </c>
      <c r="D280" s="1147">
        <v>2203</v>
      </c>
      <c r="E280" s="220">
        <v>10</v>
      </c>
      <c r="F280" s="220">
        <v>7</v>
      </c>
    </row>
    <row r="281" spans="1:6">
      <c r="A281" s="723"/>
      <c r="B281" s="220">
        <v>401</v>
      </c>
      <c r="C281" s="220">
        <v>550</v>
      </c>
      <c r="D281" s="1147">
        <v>2203</v>
      </c>
      <c r="E281" s="220">
        <v>10</v>
      </c>
      <c r="F281" s="220">
        <v>7</v>
      </c>
    </row>
    <row r="282" spans="1:6">
      <c r="A282" s="723"/>
      <c r="B282" s="220">
        <v>551</v>
      </c>
      <c r="C282" s="220">
        <v>625</v>
      </c>
      <c r="D282" s="1147">
        <v>3358</v>
      </c>
      <c r="E282" s="220">
        <v>10</v>
      </c>
      <c r="F282" s="220">
        <v>7</v>
      </c>
    </row>
    <row r="283" spans="1:6">
      <c r="A283" s="723"/>
      <c r="B283" s="220">
        <v>626</v>
      </c>
      <c r="C283" s="220">
        <v>700</v>
      </c>
      <c r="D283" s="1147">
        <v>2491</v>
      </c>
      <c r="E283" s="220">
        <v>10</v>
      </c>
      <c r="F283" s="220">
        <v>7</v>
      </c>
    </row>
    <row r="284" spans="1:6">
      <c r="A284" s="723"/>
      <c r="B284" s="220">
        <v>701</v>
      </c>
      <c r="C284" s="220">
        <v>850</v>
      </c>
      <c r="D284" s="1147">
        <v>2306</v>
      </c>
      <c r="E284" s="220">
        <v>10</v>
      </c>
      <c r="F284" s="220">
        <v>7</v>
      </c>
    </row>
    <row r="285" spans="1:6">
      <c r="A285" s="723"/>
      <c r="B285" s="220">
        <v>851</v>
      </c>
      <c r="C285" s="220">
        <v>950</v>
      </c>
      <c r="D285" s="1147">
        <v>2560</v>
      </c>
      <c r="E285" s="220">
        <v>10</v>
      </c>
      <c r="F285" s="220">
        <v>7</v>
      </c>
    </row>
    <row r="286" spans="1:6">
      <c r="A286" s="723"/>
      <c r="B286" s="220">
        <v>951</v>
      </c>
      <c r="C286" s="220">
        <v>1000</v>
      </c>
      <c r="D286" s="1147">
        <v>2184.75</v>
      </c>
      <c r="E286" s="220">
        <v>10</v>
      </c>
      <c r="F286" s="220">
        <v>7</v>
      </c>
    </row>
    <row r="287" spans="1:6">
      <c r="A287" s="723"/>
      <c r="B287" s="220">
        <v>1001</v>
      </c>
      <c r="C287" s="220">
        <v>1100</v>
      </c>
      <c r="D287" s="1147">
        <v>2627</v>
      </c>
      <c r="E287" s="220">
        <v>10</v>
      </c>
      <c r="F287" s="220">
        <v>7</v>
      </c>
    </row>
    <row r="288" spans="1:6">
      <c r="A288" s="723"/>
      <c r="B288" s="220">
        <v>1101</v>
      </c>
      <c r="C288" s="220">
        <v>1200</v>
      </c>
      <c r="D288" s="1147">
        <v>2636</v>
      </c>
      <c r="E288" s="220">
        <v>10</v>
      </c>
      <c r="F288" s="220">
        <v>7</v>
      </c>
    </row>
    <row r="289" spans="1:6">
      <c r="A289" s="723"/>
      <c r="B289" s="220">
        <v>1201</v>
      </c>
      <c r="C289" s="220">
        <v>1500</v>
      </c>
      <c r="D289" s="1147">
        <v>2627</v>
      </c>
      <c r="E289" s="220">
        <v>10</v>
      </c>
      <c r="F289" s="220">
        <v>7</v>
      </c>
    </row>
    <row r="290" spans="1:6">
      <c r="A290" s="723"/>
      <c r="B290" s="220">
        <v>1501</v>
      </c>
      <c r="C290" s="220">
        <v>1850</v>
      </c>
      <c r="D290" s="1147">
        <v>2694</v>
      </c>
      <c r="E290" s="220">
        <v>10</v>
      </c>
      <c r="F290" s="220">
        <v>7</v>
      </c>
    </row>
    <row r="291" spans="1:6">
      <c r="A291" s="723"/>
      <c r="B291" s="220">
        <v>1851</v>
      </c>
      <c r="C291" s="220">
        <v>2000</v>
      </c>
      <c r="D291" s="1147">
        <v>2694</v>
      </c>
      <c r="E291" s="220">
        <v>10</v>
      </c>
      <c r="F291" s="220">
        <v>7</v>
      </c>
    </row>
    <row r="292" spans="1:6">
      <c r="A292" s="723"/>
      <c r="B292" s="220">
        <v>2001</v>
      </c>
      <c r="C292" s="220">
        <v>2050</v>
      </c>
      <c r="D292" s="1147">
        <v>2694</v>
      </c>
      <c r="E292" s="220">
        <v>10</v>
      </c>
      <c r="F292" s="220">
        <v>7</v>
      </c>
    </row>
    <row r="293" spans="1:6">
      <c r="A293" s="723"/>
      <c r="B293" s="220">
        <v>2051</v>
      </c>
      <c r="C293" s="220">
        <v>2400</v>
      </c>
      <c r="D293" s="1147">
        <v>3033</v>
      </c>
      <c r="E293" s="220">
        <v>10</v>
      </c>
      <c r="F293" s="220">
        <v>7</v>
      </c>
    </row>
    <row r="294" spans="1:6">
      <c r="A294" s="723"/>
      <c r="B294" s="220">
        <v>2401</v>
      </c>
      <c r="C294" s="220">
        <v>2500</v>
      </c>
      <c r="D294" s="1147">
        <v>2571.9499999999998</v>
      </c>
      <c r="E294" s="220">
        <v>10</v>
      </c>
      <c r="F294" s="220">
        <v>7</v>
      </c>
    </row>
    <row r="295" spans="1:6">
      <c r="A295" s="723"/>
      <c r="B295" s="220">
        <v>2501</v>
      </c>
      <c r="C295" s="220">
        <v>2900</v>
      </c>
      <c r="D295" s="1147">
        <v>3136</v>
      </c>
      <c r="E295" s="220">
        <v>10</v>
      </c>
      <c r="F295" s="220">
        <v>7</v>
      </c>
    </row>
    <row r="296" spans="1:6">
      <c r="A296" s="723"/>
      <c r="B296" s="220">
        <v>2901</v>
      </c>
      <c r="C296" s="220">
        <v>3000</v>
      </c>
      <c r="D296" s="1147">
        <v>3136</v>
      </c>
      <c r="E296" s="220">
        <v>10</v>
      </c>
      <c r="F296" s="220">
        <v>7</v>
      </c>
    </row>
    <row r="297" spans="1:6">
      <c r="A297" s="723"/>
      <c r="B297" s="220">
        <v>3001</v>
      </c>
      <c r="C297" s="220">
        <v>4000</v>
      </c>
      <c r="D297" s="1147">
        <v>3424</v>
      </c>
      <c r="E297" s="220">
        <v>10</v>
      </c>
      <c r="F297" s="220">
        <v>7</v>
      </c>
    </row>
    <row r="298" spans="1:6">
      <c r="A298" s="723"/>
      <c r="B298" s="220">
        <v>4001</v>
      </c>
      <c r="C298" s="220">
        <v>4100</v>
      </c>
      <c r="D298" s="1147">
        <v>3424</v>
      </c>
      <c r="E298" s="220">
        <v>10</v>
      </c>
      <c r="F298" s="220">
        <v>7</v>
      </c>
    </row>
    <row r="299" spans="1:6">
      <c r="A299" s="723"/>
      <c r="B299" s="220">
        <v>4101</v>
      </c>
      <c r="C299" s="220">
        <v>4200</v>
      </c>
      <c r="D299" s="1147">
        <v>3424</v>
      </c>
      <c r="E299" s="220">
        <v>10</v>
      </c>
      <c r="F299" s="220">
        <v>7</v>
      </c>
    </row>
    <row r="300" spans="1:6">
      <c r="A300" s="723"/>
      <c r="B300" s="220">
        <v>4201</v>
      </c>
      <c r="C300" s="220">
        <v>5200</v>
      </c>
      <c r="D300" s="1147">
        <v>2781.75</v>
      </c>
      <c r="E300" s="220">
        <v>10</v>
      </c>
      <c r="F300" s="220">
        <v>7</v>
      </c>
    </row>
    <row r="301" spans="1:6">
      <c r="A301" s="723"/>
      <c r="B301" s="220">
        <v>5201</v>
      </c>
      <c r="C301" s="220">
        <v>5500</v>
      </c>
      <c r="D301" s="1147">
        <v>3542</v>
      </c>
      <c r="E301" s="220">
        <v>10</v>
      </c>
      <c r="F301" s="220">
        <v>7</v>
      </c>
    </row>
    <row r="302" spans="1:6">
      <c r="A302" s="723"/>
      <c r="B302" s="220">
        <v>5501</v>
      </c>
      <c r="C302" s="220">
        <v>5600</v>
      </c>
      <c r="D302" s="1147">
        <v>3542</v>
      </c>
      <c r="E302" s="220">
        <v>10</v>
      </c>
      <c r="F302" s="220">
        <v>7</v>
      </c>
    </row>
    <row r="303" spans="1:6">
      <c r="A303" s="723"/>
      <c r="B303" s="220">
        <v>5601</v>
      </c>
      <c r="C303" s="220">
        <v>6500</v>
      </c>
      <c r="D303" s="1147">
        <v>5354</v>
      </c>
      <c r="E303" s="220">
        <v>10</v>
      </c>
      <c r="F303" s="220">
        <v>7</v>
      </c>
    </row>
    <row r="304" spans="1:6">
      <c r="A304" s="723"/>
      <c r="B304" s="220">
        <v>6501</v>
      </c>
      <c r="C304" s="220">
        <v>6510</v>
      </c>
      <c r="D304" s="1147">
        <v>5354</v>
      </c>
      <c r="E304" s="220">
        <v>10</v>
      </c>
      <c r="F304" s="220">
        <v>7</v>
      </c>
    </row>
    <row r="305" spans="1:6">
      <c r="A305" s="723"/>
      <c r="B305" s="220">
        <v>6511</v>
      </c>
      <c r="C305" s="220">
        <v>7300</v>
      </c>
      <c r="D305" s="1147">
        <v>5777</v>
      </c>
      <c r="E305" s="220">
        <v>10</v>
      </c>
      <c r="F305" s="220">
        <v>7</v>
      </c>
    </row>
    <row r="306" spans="1:6">
      <c r="A306" s="723"/>
      <c r="B306" s="220">
        <v>7301</v>
      </c>
      <c r="C306" s="220">
        <v>8000</v>
      </c>
      <c r="D306" s="1147">
        <v>4290.45</v>
      </c>
      <c r="E306" s="220">
        <v>10</v>
      </c>
      <c r="F306" s="220">
        <v>7</v>
      </c>
    </row>
    <row r="307" spans="1:6">
      <c r="A307" s="723"/>
      <c r="B307" s="220">
        <v>8001</v>
      </c>
      <c r="C307" s="220">
        <v>8400</v>
      </c>
      <c r="D307" s="1147">
        <v>5777</v>
      </c>
      <c r="E307" s="220">
        <v>10</v>
      </c>
      <c r="F307" s="220">
        <v>7</v>
      </c>
    </row>
    <row r="308" spans="1:6">
      <c r="A308" s="723"/>
      <c r="B308" s="220">
        <v>8401</v>
      </c>
      <c r="C308" s="220">
        <v>10000</v>
      </c>
      <c r="D308" s="1147">
        <v>5777</v>
      </c>
      <c r="E308" s="220">
        <v>10</v>
      </c>
      <c r="F308" s="220">
        <v>7</v>
      </c>
    </row>
    <row r="309" spans="1:6">
      <c r="A309" s="723"/>
      <c r="B309" s="220">
        <v>10001</v>
      </c>
      <c r="C309" s="220">
        <v>12000</v>
      </c>
      <c r="D309" s="1147">
        <v>8374.167270844122</v>
      </c>
      <c r="E309" s="220">
        <v>10</v>
      </c>
      <c r="F309" s="220">
        <v>7</v>
      </c>
    </row>
    <row r="310" spans="1:6">
      <c r="A310" s="723"/>
      <c r="B310" s="220">
        <v>12001</v>
      </c>
      <c r="C310" s="220" t="s">
        <v>5661</v>
      </c>
      <c r="D310" s="1147" t="s">
        <v>5661</v>
      </c>
      <c r="E310" s="220">
        <v>10</v>
      </c>
      <c r="F310" s="220">
        <v>7</v>
      </c>
    </row>
    <row r="313" spans="1:6">
      <c r="A313" s="1128" t="s">
        <v>5783</v>
      </c>
      <c r="B313" s="1128" t="s">
        <v>5788</v>
      </c>
      <c r="C313" s="1128"/>
      <c r="D313" s="1128"/>
      <c r="E313" s="1128"/>
      <c r="F313" s="1128"/>
    </row>
    <row r="314" spans="1:6">
      <c r="A314" s="1146">
        <v>22</v>
      </c>
      <c r="B314" s="1151" t="s">
        <v>5785</v>
      </c>
      <c r="C314" s="1133" t="s">
        <v>5786</v>
      </c>
      <c r="D314" s="1127" t="s">
        <v>5660</v>
      </c>
      <c r="E314" s="1127" t="s">
        <v>5653</v>
      </c>
      <c r="F314" s="1127" t="s">
        <v>5654</v>
      </c>
    </row>
    <row r="315" spans="1:6">
      <c r="A315" s="723" t="s">
        <v>5789</v>
      </c>
      <c r="B315" s="220">
        <v>0</v>
      </c>
      <c r="C315" s="220">
        <v>40</v>
      </c>
      <c r="D315" s="1147">
        <v>230</v>
      </c>
      <c r="E315" s="220">
        <v>10</v>
      </c>
      <c r="F315" s="220">
        <v>7</v>
      </c>
    </row>
    <row r="316" spans="1:6">
      <c r="A316" s="723"/>
      <c r="B316" s="220">
        <v>41</v>
      </c>
      <c r="C316" s="220">
        <v>60</v>
      </c>
      <c r="D316" s="1147">
        <v>294</v>
      </c>
      <c r="E316" s="220">
        <v>10</v>
      </c>
      <c r="F316" s="220">
        <v>7</v>
      </c>
    </row>
    <row r="317" spans="1:6">
      <c r="A317" s="723"/>
      <c r="B317" s="220">
        <v>61</v>
      </c>
      <c r="C317" s="220">
        <v>80</v>
      </c>
      <c r="D317" s="1147">
        <v>353</v>
      </c>
      <c r="E317" s="220">
        <v>10</v>
      </c>
      <c r="F317" s="220">
        <v>7</v>
      </c>
    </row>
    <row r="318" spans="1:6">
      <c r="A318" s="723"/>
      <c r="B318" s="220">
        <v>81</v>
      </c>
      <c r="C318" s="220">
        <v>120</v>
      </c>
      <c r="D318" s="1147">
        <v>460</v>
      </c>
      <c r="E318" s="220">
        <v>10</v>
      </c>
      <c r="F318" s="220">
        <v>7</v>
      </c>
    </row>
    <row r="319" spans="1:6">
      <c r="A319" s="723"/>
      <c r="B319" s="220">
        <v>121</v>
      </c>
      <c r="C319" s="220">
        <v>140</v>
      </c>
      <c r="D319" s="1147">
        <v>506</v>
      </c>
      <c r="E319" s="220">
        <v>10</v>
      </c>
      <c r="F319" s="220">
        <v>7</v>
      </c>
    </row>
    <row r="320" spans="1:6">
      <c r="A320" s="723"/>
      <c r="B320" s="220">
        <v>141</v>
      </c>
      <c r="C320" s="220">
        <v>175</v>
      </c>
      <c r="D320" s="1147">
        <v>558</v>
      </c>
      <c r="E320" s="220">
        <v>10</v>
      </c>
      <c r="F320" s="220">
        <v>7</v>
      </c>
    </row>
    <row r="321" spans="1:6">
      <c r="A321" s="723"/>
      <c r="B321" s="220">
        <v>176</v>
      </c>
      <c r="C321" s="220">
        <v>200</v>
      </c>
      <c r="D321" s="1147">
        <v>615</v>
      </c>
      <c r="E321" s="220">
        <v>10</v>
      </c>
      <c r="F321" s="220">
        <v>7</v>
      </c>
    </row>
    <row r="322" spans="1:6">
      <c r="A322" s="723"/>
      <c r="B322" s="220">
        <v>201</v>
      </c>
      <c r="C322" s="220">
        <v>250</v>
      </c>
      <c r="D322" s="1147">
        <v>727</v>
      </c>
      <c r="E322" s="220">
        <v>10</v>
      </c>
      <c r="F322" s="220">
        <v>7</v>
      </c>
    </row>
    <row r="323" spans="1:6">
      <c r="A323" s="723"/>
      <c r="B323" s="220">
        <v>251</v>
      </c>
      <c r="C323" s="220">
        <v>300</v>
      </c>
      <c r="D323" s="1147">
        <v>879</v>
      </c>
      <c r="E323" s="220">
        <v>10</v>
      </c>
      <c r="F323" s="220">
        <v>7</v>
      </c>
    </row>
    <row r="324" spans="1:6">
      <c r="A324" s="723"/>
      <c r="B324" s="220">
        <v>301</v>
      </c>
      <c r="C324" s="220">
        <v>400</v>
      </c>
      <c r="D324" s="1147">
        <v>1016</v>
      </c>
      <c r="E324" s="220">
        <v>10</v>
      </c>
      <c r="F324" s="220">
        <v>7</v>
      </c>
    </row>
    <row r="325" spans="1:6">
      <c r="A325" s="723"/>
      <c r="B325" s="220">
        <v>401</v>
      </c>
      <c r="C325" s="220">
        <v>550</v>
      </c>
      <c r="D325" s="1147">
        <v>1257</v>
      </c>
      <c r="E325" s="220">
        <v>10</v>
      </c>
      <c r="F325" s="220">
        <v>7</v>
      </c>
    </row>
    <row r="326" spans="1:6">
      <c r="A326" s="723"/>
      <c r="B326" s="220">
        <v>551</v>
      </c>
      <c r="C326" s="220">
        <v>625</v>
      </c>
      <c r="D326" s="1147">
        <v>1306</v>
      </c>
      <c r="E326" s="220">
        <v>10</v>
      </c>
      <c r="F326" s="220">
        <v>7</v>
      </c>
    </row>
    <row r="327" spans="1:6">
      <c r="A327" s="723"/>
      <c r="B327" s="220">
        <v>626</v>
      </c>
      <c r="C327" s="220">
        <v>700</v>
      </c>
      <c r="D327" s="1147">
        <v>1306</v>
      </c>
      <c r="E327" s="220">
        <v>10</v>
      </c>
      <c r="F327" s="220">
        <v>7</v>
      </c>
    </row>
    <row r="328" spans="1:6">
      <c r="A328" s="723"/>
      <c r="B328" s="220">
        <v>701</v>
      </c>
      <c r="C328" s="220">
        <v>850</v>
      </c>
      <c r="D328" s="1147">
        <v>1724</v>
      </c>
      <c r="E328" s="220">
        <v>10</v>
      </c>
      <c r="F328" s="220">
        <v>7</v>
      </c>
    </row>
    <row r="329" spans="1:6">
      <c r="A329" s="723"/>
      <c r="B329" s="220">
        <v>851</v>
      </c>
      <c r="C329" s="220">
        <v>950</v>
      </c>
      <c r="D329" s="1147">
        <v>1758</v>
      </c>
      <c r="E329" s="220">
        <v>10</v>
      </c>
      <c r="F329" s="220">
        <v>7</v>
      </c>
    </row>
    <row r="330" spans="1:6">
      <c r="A330" s="723"/>
      <c r="B330" s="220">
        <v>951</v>
      </c>
      <c r="C330" s="220">
        <v>1000</v>
      </c>
      <c r="D330" s="1147">
        <v>1613.8</v>
      </c>
      <c r="E330" s="220">
        <v>10</v>
      </c>
      <c r="F330" s="220">
        <v>7</v>
      </c>
    </row>
    <row r="331" spans="1:6">
      <c r="A331" s="723"/>
      <c r="B331" s="220">
        <v>1001</v>
      </c>
      <c r="C331" s="220">
        <v>1100</v>
      </c>
      <c r="D331" s="1147">
        <v>1834</v>
      </c>
      <c r="E331" s="220">
        <v>10</v>
      </c>
      <c r="F331" s="220">
        <v>7</v>
      </c>
    </row>
    <row r="332" spans="1:6">
      <c r="A332" s="723"/>
      <c r="B332" s="220">
        <v>1101</v>
      </c>
      <c r="C332" s="220">
        <v>1200</v>
      </c>
      <c r="D332" s="1147">
        <v>2032</v>
      </c>
      <c r="E332" s="220">
        <v>10</v>
      </c>
      <c r="F332" s="220">
        <v>7</v>
      </c>
    </row>
    <row r="333" spans="1:6">
      <c r="A333" s="723"/>
      <c r="B333" s="220">
        <v>1201</v>
      </c>
      <c r="C333" s="220">
        <v>1500</v>
      </c>
      <c r="D333" s="1147">
        <v>2469</v>
      </c>
      <c r="E333" s="220">
        <v>10</v>
      </c>
      <c r="F333" s="220">
        <v>7</v>
      </c>
    </row>
    <row r="334" spans="1:6">
      <c r="A334" s="723"/>
      <c r="B334" s="220">
        <v>1501</v>
      </c>
      <c r="C334" s="220">
        <v>1850</v>
      </c>
      <c r="D334" s="1147">
        <v>2823</v>
      </c>
      <c r="E334" s="220">
        <v>10</v>
      </c>
      <c r="F334" s="220">
        <v>7</v>
      </c>
    </row>
    <row r="335" spans="1:6">
      <c r="A335" s="723"/>
      <c r="B335" s="220">
        <v>1851</v>
      </c>
      <c r="C335" s="220">
        <v>2000</v>
      </c>
      <c r="D335" s="1147">
        <v>2823</v>
      </c>
      <c r="E335" s="220">
        <v>10</v>
      </c>
      <c r="F335" s="220">
        <v>7</v>
      </c>
    </row>
    <row r="336" spans="1:6">
      <c r="A336" s="723"/>
      <c r="B336" s="220">
        <v>2001</v>
      </c>
      <c r="C336" s="220">
        <v>2050</v>
      </c>
      <c r="D336" s="1147">
        <v>3237</v>
      </c>
      <c r="E336" s="220">
        <v>10</v>
      </c>
      <c r="F336" s="220">
        <v>7</v>
      </c>
    </row>
    <row r="337" spans="1:6">
      <c r="A337" s="723"/>
      <c r="B337" s="220">
        <v>2051</v>
      </c>
      <c r="C337" s="220">
        <v>2400</v>
      </c>
      <c r="D337" s="1147">
        <v>3221</v>
      </c>
      <c r="E337" s="220">
        <v>10</v>
      </c>
      <c r="F337" s="220">
        <v>7</v>
      </c>
    </row>
    <row r="338" spans="1:6">
      <c r="A338" s="723"/>
      <c r="B338" s="220">
        <v>2401</v>
      </c>
      <c r="C338" s="220">
        <v>2500</v>
      </c>
      <c r="D338" s="1147">
        <v>2956.9</v>
      </c>
      <c r="E338" s="220">
        <v>10</v>
      </c>
      <c r="F338" s="220">
        <v>7</v>
      </c>
    </row>
    <row r="339" spans="1:6">
      <c r="A339" s="723"/>
      <c r="B339" s="220">
        <v>2501</v>
      </c>
      <c r="C339" s="220">
        <v>2900</v>
      </c>
      <c r="D339" s="1147">
        <v>3648</v>
      </c>
      <c r="E339" s="220">
        <v>10</v>
      </c>
      <c r="F339" s="220">
        <v>7</v>
      </c>
    </row>
    <row r="340" spans="1:6">
      <c r="A340" s="723"/>
      <c r="B340" s="220">
        <v>2901</v>
      </c>
      <c r="C340" s="220">
        <v>3000</v>
      </c>
      <c r="D340" s="1147">
        <v>3648</v>
      </c>
      <c r="E340" s="220">
        <v>10</v>
      </c>
      <c r="F340" s="220">
        <v>7</v>
      </c>
    </row>
    <row r="341" spans="1:6">
      <c r="A341" s="723"/>
      <c r="B341" s="220">
        <v>3001</v>
      </c>
      <c r="C341" s="220">
        <v>4000</v>
      </c>
      <c r="D341" s="1147">
        <v>4418</v>
      </c>
      <c r="E341" s="220">
        <v>10</v>
      </c>
      <c r="F341" s="220">
        <v>7</v>
      </c>
    </row>
    <row r="342" spans="1:6">
      <c r="A342" s="723"/>
      <c r="B342" s="220">
        <v>4001</v>
      </c>
      <c r="C342" s="220">
        <v>4100</v>
      </c>
      <c r="D342" s="1147">
        <v>4549</v>
      </c>
      <c r="E342" s="220">
        <v>10</v>
      </c>
      <c r="F342" s="220">
        <v>7</v>
      </c>
    </row>
    <row r="343" spans="1:6">
      <c r="A343" s="723"/>
      <c r="B343" s="220">
        <v>4101</v>
      </c>
      <c r="C343" s="220">
        <v>4200</v>
      </c>
      <c r="D343" s="1147">
        <v>4654</v>
      </c>
      <c r="E343" s="220">
        <v>10</v>
      </c>
      <c r="F343" s="220">
        <v>7</v>
      </c>
    </row>
    <row r="344" spans="1:6">
      <c r="A344" s="723"/>
      <c r="B344" s="220">
        <v>4201</v>
      </c>
      <c r="C344" s="220">
        <v>5200</v>
      </c>
      <c r="D344" s="1147">
        <v>4641.1000000000004</v>
      </c>
      <c r="E344" s="220">
        <v>10</v>
      </c>
      <c r="F344" s="220">
        <v>7</v>
      </c>
    </row>
    <row r="345" spans="1:6">
      <c r="A345" s="723"/>
      <c r="B345" s="220">
        <v>5201</v>
      </c>
      <c r="C345" s="220">
        <v>5500</v>
      </c>
      <c r="D345" s="1147">
        <v>4808</v>
      </c>
      <c r="E345" s="220">
        <v>10</v>
      </c>
      <c r="F345" s="220">
        <v>7</v>
      </c>
    </row>
    <row r="346" spans="1:6">
      <c r="A346" s="723"/>
      <c r="B346" s="220">
        <v>5501</v>
      </c>
      <c r="C346" s="220">
        <v>5600</v>
      </c>
      <c r="D346" s="1147">
        <v>5674</v>
      </c>
      <c r="E346" s="220">
        <v>10</v>
      </c>
      <c r="F346" s="220">
        <v>7</v>
      </c>
    </row>
    <row r="347" spans="1:6">
      <c r="A347" s="723"/>
      <c r="B347" s="220">
        <v>5601</v>
      </c>
      <c r="C347" s="220">
        <v>6500</v>
      </c>
      <c r="D347" s="1147">
        <v>6276</v>
      </c>
      <c r="E347" s="220">
        <v>10</v>
      </c>
      <c r="F347" s="220">
        <v>7</v>
      </c>
    </row>
    <row r="348" spans="1:6">
      <c r="A348" s="723"/>
      <c r="B348" s="220">
        <v>6501</v>
      </c>
      <c r="C348" s="220">
        <v>6510</v>
      </c>
      <c r="D348" s="1147">
        <v>5297</v>
      </c>
      <c r="E348" s="220">
        <v>10</v>
      </c>
      <c r="F348" s="220">
        <v>7</v>
      </c>
    </row>
    <row r="349" spans="1:6">
      <c r="A349" s="723"/>
      <c r="B349" s="220">
        <v>6511</v>
      </c>
      <c r="C349" s="220">
        <v>7300</v>
      </c>
      <c r="D349" s="1147">
        <v>6966</v>
      </c>
      <c r="E349" s="220">
        <v>10</v>
      </c>
      <c r="F349" s="220">
        <v>7</v>
      </c>
    </row>
    <row r="350" spans="1:6">
      <c r="A350" s="723"/>
      <c r="B350" s="220">
        <v>7301</v>
      </c>
      <c r="C350" s="220">
        <v>8000</v>
      </c>
      <c r="D350" s="1147">
        <v>6394.7</v>
      </c>
      <c r="E350" s="220">
        <v>10</v>
      </c>
      <c r="F350" s="220">
        <v>7</v>
      </c>
    </row>
    <row r="351" spans="1:6">
      <c r="A351" s="723"/>
      <c r="B351" s="220">
        <v>8001</v>
      </c>
      <c r="C351" s="220">
        <v>8400</v>
      </c>
      <c r="D351" s="1147">
        <v>7347</v>
      </c>
      <c r="E351" s="220">
        <v>10</v>
      </c>
      <c r="F351" s="220">
        <v>7</v>
      </c>
    </row>
    <row r="352" spans="1:6">
      <c r="A352" s="723"/>
      <c r="B352" s="220">
        <v>8401</v>
      </c>
      <c r="C352" s="220">
        <v>10000</v>
      </c>
      <c r="D352" s="1147">
        <v>8170</v>
      </c>
      <c r="E352" s="220">
        <v>10</v>
      </c>
      <c r="F352" s="220">
        <v>7</v>
      </c>
    </row>
    <row r="353" spans="1:6">
      <c r="A353" s="723"/>
      <c r="B353" s="220">
        <v>10001</v>
      </c>
      <c r="C353" s="220">
        <v>12000</v>
      </c>
      <c r="D353" s="1147">
        <v>9076</v>
      </c>
      <c r="E353" s="220">
        <v>10</v>
      </c>
      <c r="F353" s="220">
        <v>7</v>
      </c>
    </row>
    <row r="354" spans="1:6">
      <c r="A354" s="723"/>
      <c r="B354" s="220">
        <v>12001</v>
      </c>
      <c r="C354" s="220" t="s">
        <v>5661</v>
      </c>
      <c r="D354" s="1147" t="s">
        <v>5661</v>
      </c>
      <c r="E354" s="220">
        <v>10</v>
      </c>
      <c r="F354" s="220">
        <v>7</v>
      </c>
    </row>
    <row r="357" spans="1:6">
      <c r="A357" s="723"/>
      <c r="B357" s="220"/>
      <c r="C357" s="220"/>
      <c r="D357" s="220"/>
    </row>
    <row r="358" spans="1:6">
      <c r="A358" s="1162" t="s">
        <v>5790</v>
      </c>
      <c r="B358" s="1163" t="s">
        <v>5791</v>
      </c>
      <c r="C358" s="1164">
        <v>2021</v>
      </c>
      <c r="D358" s="220"/>
    </row>
    <row r="361" spans="1:6">
      <c r="A361" s="1128" t="s">
        <v>5792</v>
      </c>
      <c r="B361" s="1128" t="s">
        <v>5793</v>
      </c>
      <c r="C361" s="1128"/>
      <c r="D361" s="1128"/>
      <c r="E361" s="1128"/>
      <c r="F361" s="1128"/>
    </row>
    <row r="362" spans="1:6">
      <c r="A362" s="1146">
        <v>19</v>
      </c>
      <c r="B362" s="1127" t="s">
        <v>5763</v>
      </c>
      <c r="C362" s="1127" t="s">
        <v>5764</v>
      </c>
      <c r="D362" s="1133" t="s">
        <v>5781</v>
      </c>
      <c r="E362" s="1127" t="s">
        <v>5653</v>
      </c>
      <c r="F362" s="1127" t="s">
        <v>5654</v>
      </c>
    </row>
    <row r="363" spans="1:6">
      <c r="A363" s="723" t="s">
        <v>5794</v>
      </c>
      <c r="B363" s="220">
        <v>0</v>
      </c>
      <c r="C363" s="220">
        <v>4</v>
      </c>
      <c r="D363" s="1147">
        <v>75</v>
      </c>
      <c r="E363" s="220">
        <v>40</v>
      </c>
      <c r="F363" s="220">
        <v>35</v>
      </c>
    </row>
    <row r="364" spans="1:6">
      <c r="A364" s="723"/>
      <c r="B364" s="220">
        <v>4.0999999999999996</v>
      </c>
      <c r="C364" s="220">
        <v>6</v>
      </c>
      <c r="D364" s="1147">
        <v>92.5</v>
      </c>
      <c r="E364" s="220">
        <v>40</v>
      </c>
      <c r="F364" s="220">
        <v>35</v>
      </c>
    </row>
    <row r="365" spans="1:6">
      <c r="A365" s="723"/>
      <c r="B365" s="220">
        <v>6.1</v>
      </c>
      <c r="C365" s="220">
        <v>8</v>
      </c>
      <c r="D365" s="1147">
        <v>126</v>
      </c>
      <c r="E365" s="220">
        <v>40</v>
      </c>
      <c r="F365" s="220">
        <v>35</v>
      </c>
    </row>
    <row r="366" spans="1:6">
      <c r="A366" s="723"/>
      <c r="B366" s="220">
        <v>8.1</v>
      </c>
      <c r="C366" s="220">
        <v>10</v>
      </c>
      <c r="D366" s="1147">
        <v>161</v>
      </c>
      <c r="E366" s="220">
        <v>40</v>
      </c>
      <c r="F366" s="220">
        <v>35</v>
      </c>
    </row>
    <row r="367" spans="1:6">
      <c r="A367" s="723"/>
      <c r="B367" s="220">
        <v>10.1</v>
      </c>
      <c r="C367" s="220">
        <v>12</v>
      </c>
      <c r="D367" s="1147">
        <v>197</v>
      </c>
      <c r="E367" s="220">
        <v>40</v>
      </c>
      <c r="F367" s="220">
        <v>35</v>
      </c>
    </row>
    <row r="368" spans="1:6">
      <c r="A368" s="723"/>
      <c r="B368" s="220">
        <v>12.1</v>
      </c>
      <c r="C368" s="220">
        <v>14</v>
      </c>
      <c r="D368" s="1147">
        <v>157</v>
      </c>
      <c r="E368" s="220">
        <v>40</v>
      </c>
      <c r="F368" s="220">
        <v>35</v>
      </c>
    </row>
    <row r="369" spans="1:6">
      <c r="A369" s="723"/>
      <c r="B369" s="220">
        <v>14.1</v>
      </c>
      <c r="C369" s="220">
        <v>16</v>
      </c>
      <c r="D369" s="1147">
        <v>169</v>
      </c>
      <c r="E369" s="220">
        <v>40</v>
      </c>
      <c r="F369" s="220">
        <v>35</v>
      </c>
    </row>
    <row r="370" spans="1:6">
      <c r="A370" s="723"/>
      <c r="B370" s="220">
        <v>16.100000000000001</v>
      </c>
      <c r="C370" s="220">
        <v>18</v>
      </c>
      <c r="D370" s="1147">
        <v>216</v>
      </c>
      <c r="E370" s="220">
        <v>40</v>
      </c>
      <c r="F370" s="220">
        <v>35</v>
      </c>
    </row>
    <row r="371" spans="1:6">
      <c r="A371" s="723"/>
      <c r="B371" s="220">
        <v>18.100000000000001</v>
      </c>
      <c r="C371" s="220">
        <v>20</v>
      </c>
      <c r="D371" s="1147">
        <v>225</v>
      </c>
      <c r="E371" s="220">
        <v>40</v>
      </c>
      <c r="F371" s="220">
        <v>35</v>
      </c>
    </row>
    <row r="372" spans="1:6">
      <c r="A372" s="723"/>
      <c r="B372" s="220">
        <v>20.100000000000001</v>
      </c>
      <c r="C372" s="220">
        <v>24</v>
      </c>
      <c r="D372" s="1147">
        <v>254</v>
      </c>
      <c r="E372" s="220">
        <v>40</v>
      </c>
      <c r="F372" s="220">
        <v>35</v>
      </c>
    </row>
    <row r="373" spans="1:6">
      <c r="A373" s="723"/>
      <c r="B373" s="220">
        <v>24.1</v>
      </c>
      <c r="C373" s="220">
        <v>30</v>
      </c>
      <c r="D373" s="1147">
        <v>345.13777777777773</v>
      </c>
      <c r="E373" s="220">
        <v>40</v>
      </c>
      <c r="F373" s="220">
        <v>35</v>
      </c>
    </row>
    <row r="374" spans="1:6">
      <c r="A374" s="723"/>
      <c r="B374" s="220">
        <v>30.1</v>
      </c>
      <c r="C374" s="220">
        <v>36</v>
      </c>
      <c r="D374" s="1147">
        <v>451.23555555555549</v>
      </c>
      <c r="E374" s="220">
        <v>40</v>
      </c>
      <c r="F374" s="220">
        <v>35</v>
      </c>
    </row>
    <row r="375" spans="1:6">
      <c r="A375" s="723"/>
      <c r="B375" s="220">
        <v>36.1</v>
      </c>
      <c r="C375" s="220">
        <v>42</v>
      </c>
      <c r="D375" s="1147">
        <v>628.76444444444439</v>
      </c>
      <c r="E375" s="220">
        <v>40</v>
      </c>
      <c r="F375" s="220">
        <v>35</v>
      </c>
    </row>
    <row r="376" spans="1:6">
      <c r="A376" s="723"/>
      <c r="B376" s="220">
        <v>42.1</v>
      </c>
      <c r="C376" s="220">
        <v>48</v>
      </c>
      <c r="D376" s="1147">
        <v>816.64</v>
      </c>
      <c r="E376" s="220">
        <v>40</v>
      </c>
      <c r="F376" s="220">
        <v>35</v>
      </c>
    </row>
    <row r="377" spans="1:6">
      <c r="A377" s="723"/>
      <c r="B377" s="220">
        <v>48.1</v>
      </c>
      <c r="C377" s="220" t="s">
        <v>5661</v>
      </c>
      <c r="D377" s="1147" t="s">
        <v>5661</v>
      </c>
      <c r="E377" s="220">
        <v>40</v>
      </c>
      <c r="F377" s="220">
        <v>35</v>
      </c>
    </row>
    <row r="380" spans="1:6">
      <c r="A380" s="1128" t="s">
        <v>5651</v>
      </c>
      <c r="B380" s="1128" t="s">
        <v>5795</v>
      </c>
      <c r="C380" s="1128"/>
      <c r="D380" s="1128"/>
      <c r="E380" s="1128"/>
      <c r="F380" s="1128"/>
    </row>
    <row r="381" spans="1:6">
      <c r="A381" s="1146">
        <v>43</v>
      </c>
      <c r="B381" s="1127"/>
      <c r="C381" s="1127"/>
      <c r="D381" s="1133" t="s">
        <v>5660</v>
      </c>
      <c r="E381" s="1127" t="s">
        <v>5653</v>
      </c>
      <c r="F381" s="1127" t="s">
        <v>5654</v>
      </c>
    </row>
    <row r="382" spans="1:6">
      <c r="A382" s="723" t="s">
        <v>5796</v>
      </c>
      <c r="B382" s="220">
        <v>0</v>
      </c>
      <c r="C382" s="220">
        <v>0</v>
      </c>
      <c r="D382" s="1147">
        <v>1400</v>
      </c>
      <c r="E382" s="220">
        <v>22</v>
      </c>
      <c r="F382" s="220">
        <v>17</v>
      </c>
    </row>
    <row r="385" spans="1:6">
      <c r="A385" s="1146">
        <v>3</v>
      </c>
      <c r="B385" s="1127"/>
      <c r="C385" s="1134"/>
      <c r="D385" s="1133" t="s">
        <v>5664</v>
      </c>
      <c r="E385" s="1133" t="s">
        <v>5653</v>
      </c>
    </row>
    <row r="386" spans="1:6">
      <c r="A386" s="723" t="s">
        <v>5798</v>
      </c>
      <c r="B386" s="633" t="s">
        <v>5797</v>
      </c>
      <c r="C386" s="723" t="s">
        <v>5798</v>
      </c>
      <c r="D386" s="1148">
        <v>8.19</v>
      </c>
      <c r="E386" s="220" t="s">
        <v>3743</v>
      </c>
    </row>
    <row r="389" spans="1:6">
      <c r="A389" s="1128" t="s">
        <v>5799</v>
      </c>
      <c r="B389" s="1128" t="s">
        <v>5800</v>
      </c>
      <c r="C389" s="1128"/>
      <c r="D389" s="1128"/>
      <c r="E389" s="1128"/>
      <c r="F389" s="1128"/>
    </row>
    <row r="390" spans="1:6">
      <c r="A390" s="1146">
        <v>16</v>
      </c>
      <c r="B390" s="1127"/>
      <c r="C390" s="1134"/>
      <c r="D390" s="1133" t="s">
        <v>5801</v>
      </c>
      <c r="E390" s="1133" t="s">
        <v>5653</v>
      </c>
      <c r="F390" s="1133" t="s">
        <v>5654</v>
      </c>
    </row>
    <row r="391" spans="1:6">
      <c r="A391" s="723" t="s">
        <v>5802</v>
      </c>
      <c r="B391" s="220">
        <v>0</v>
      </c>
      <c r="C391" s="220">
        <v>0</v>
      </c>
      <c r="D391" s="1148">
        <v>2.7</v>
      </c>
      <c r="E391" s="633">
        <v>10</v>
      </c>
      <c r="F391" s="633">
        <v>10</v>
      </c>
    </row>
    <row r="394" spans="1:6">
      <c r="A394" s="1128" t="s">
        <v>5663</v>
      </c>
      <c r="B394" s="1128" t="s">
        <v>466</v>
      </c>
      <c r="C394" s="1128"/>
      <c r="D394" s="1128"/>
      <c r="E394" s="1128"/>
      <c r="F394" s="1128"/>
    </row>
    <row r="395" spans="1:6">
      <c r="A395" s="1146">
        <v>3</v>
      </c>
      <c r="B395" s="1127"/>
      <c r="C395" s="1127"/>
      <c r="D395" s="1127" t="s">
        <v>5664</v>
      </c>
      <c r="E395" s="1127" t="s">
        <v>5653</v>
      </c>
      <c r="F395" s="1127" t="s">
        <v>5654</v>
      </c>
    </row>
    <row r="396" spans="1:6">
      <c r="A396" s="723" t="s">
        <v>5803</v>
      </c>
      <c r="B396" s="220">
        <v>0</v>
      </c>
      <c r="C396" s="220">
        <v>0</v>
      </c>
      <c r="D396" s="1148">
        <v>30.879999999999995</v>
      </c>
      <c r="E396" s="220" t="s">
        <v>4504</v>
      </c>
      <c r="F396" s="220" t="s">
        <v>4504</v>
      </c>
    </row>
    <row r="399" spans="1:6">
      <c r="A399" s="1128" t="s">
        <v>5799</v>
      </c>
      <c r="B399" s="1128" t="s">
        <v>5804</v>
      </c>
      <c r="C399" s="1128"/>
      <c r="D399" s="1128"/>
      <c r="E399" s="1128"/>
      <c r="F399" s="1128"/>
    </row>
    <row r="400" spans="1:6">
      <c r="A400" s="1146">
        <v>16</v>
      </c>
      <c r="B400" s="1127" t="s">
        <v>5805</v>
      </c>
      <c r="C400" s="1127" t="s">
        <v>5806</v>
      </c>
      <c r="D400" s="1127" t="s">
        <v>5660</v>
      </c>
      <c r="E400" s="1127" t="s">
        <v>5653</v>
      </c>
      <c r="F400" s="1127" t="s">
        <v>5654</v>
      </c>
    </row>
    <row r="401" spans="1:6">
      <c r="A401" s="723" t="s">
        <v>5807</v>
      </c>
      <c r="B401" s="220">
        <v>0</v>
      </c>
      <c r="C401" s="220">
        <v>564</v>
      </c>
      <c r="D401" s="1147">
        <v>7145.2205882352946</v>
      </c>
      <c r="E401" s="220">
        <v>25</v>
      </c>
      <c r="F401" s="220">
        <v>20</v>
      </c>
    </row>
    <row r="402" spans="1:6">
      <c r="A402" s="723"/>
      <c r="B402" s="220">
        <v>565</v>
      </c>
      <c r="C402" s="220">
        <v>600</v>
      </c>
      <c r="D402" s="1147">
        <v>18678.227941176472</v>
      </c>
      <c r="E402" s="220">
        <v>25</v>
      </c>
      <c r="F402" s="220">
        <v>20</v>
      </c>
    </row>
    <row r="403" spans="1:6">
      <c r="A403" s="723"/>
      <c r="B403" s="220">
        <v>601</v>
      </c>
      <c r="C403" s="220">
        <v>1000</v>
      </c>
      <c r="D403" s="1147">
        <v>28419.964285714283</v>
      </c>
      <c r="E403" s="220">
        <v>25</v>
      </c>
      <c r="F403" s="220">
        <v>20</v>
      </c>
    </row>
    <row r="404" spans="1:6">
      <c r="A404" s="723"/>
      <c r="B404" s="220">
        <v>1001</v>
      </c>
      <c r="C404" s="220">
        <v>1470</v>
      </c>
      <c r="D404" s="1147">
        <v>8733.9285714285706</v>
      </c>
      <c r="E404" s="220">
        <v>25</v>
      </c>
      <c r="F404" s="220">
        <v>20</v>
      </c>
    </row>
    <row r="405" spans="1:6">
      <c r="A405" s="723"/>
      <c r="B405" s="220">
        <v>1471</v>
      </c>
      <c r="C405" s="220">
        <v>1500</v>
      </c>
      <c r="D405" s="1147">
        <v>24998.206896551721</v>
      </c>
      <c r="E405" s="220">
        <v>25</v>
      </c>
      <c r="F405" s="220">
        <v>20</v>
      </c>
    </row>
    <row r="406" spans="1:6">
      <c r="A406" s="723"/>
      <c r="B406" s="220">
        <v>1501</v>
      </c>
      <c r="C406" s="220">
        <v>2000</v>
      </c>
      <c r="D406" s="1147">
        <v>28731.03875968992</v>
      </c>
      <c r="E406" s="220">
        <v>25</v>
      </c>
      <c r="F406" s="220">
        <v>20</v>
      </c>
    </row>
    <row r="407" spans="1:6">
      <c r="A407" s="723"/>
      <c r="B407" s="220">
        <v>2001</v>
      </c>
      <c r="C407" s="220">
        <v>3000</v>
      </c>
      <c r="D407" s="1147">
        <v>30053.043927648578</v>
      </c>
      <c r="E407" s="220">
        <v>25</v>
      </c>
      <c r="F407" s="220">
        <v>20</v>
      </c>
    </row>
    <row r="408" spans="1:6">
      <c r="A408" s="723"/>
      <c r="B408" s="220">
        <v>3001</v>
      </c>
      <c r="C408" s="220">
        <v>4000</v>
      </c>
      <c r="D408" s="1147">
        <v>33272.392764857876</v>
      </c>
      <c r="E408" s="220">
        <v>25</v>
      </c>
      <c r="F408" s="220">
        <v>20</v>
      </c>
    </row>
    <row r="409" spans="1:6">
      <c r="A409" s="723"/>
      <c r="B409" s="220">
        <v>4001</v>
      </c>
      <c r="C409" s="220">
        <v>4500</v>
      </c>
      <c r="D409" s="1147">
        <v>12994.315245478036</v>
      </c>
      <c r="E409" s="220">
        <v>25</v>
      </c>
      <c r="F409" s="220">
        <v>20</v>
      </c>
    </row>
    <row r="410" spans="1:6">
      <c r="A410" s="723"/>
      <c r="B410" s="220">
        <v>4501</v>
      </c>
      <c r="C410" s="220">
        <v>5000</v>
      </c>
      <c r="D410" s="1147">
        <v>36466.366492146597</v>
      </c>
      <c r="E410" s="220">
        <v>25</v>
      </c>
      <c r="F410" s="220">
        <v>20</v>
      </c>
    </row>
    <row r="411" spans="1:6">
      <c r="A411" s="723"/>
      <c r="B411" s="220">
        <v>5001</v>
      </c>
      <c r="C411" s="220">
        <v>6000</v>
      </c>
      <c r="D411" s="1147">
        <v>40172.167539267015</v>
      </c>
      <c r="E411" s="220">
        <v>25</v>
      </c>
      <c r="F411" s="220">
        <v>20</v>
      </c>
    </row>
    <row r="412" spans="1:6">
      <c r="A412" s="723"/>
      <c r="B412" s="220">
        <v>6001</v>
      </c>
      <c r="C412" s="220">
        <v>7000</v>
      </c>
      <c r="D412" s="1147">
        <v>43357.41361256544</v>
      </c>
      <c r="E412" s="220">
        <v>25</v>
      </c>
      <c r="F412" s="220">
        <v>20</v>
      </c>
    </row>
    <row r="413" spans="1:6">
      <c r="A413" s="723"/>
      <c r="B413" s="220">
        <v>7001</v>
      </c>
      <c r="C413" s="220">
        <v>8000</v>
      </c>
      <c r="D413" s="1147">
        <v>46547.246073298425</v>
      </c>
      <c r="E413" s="220">
        <v>25</v>
      </c>
      <c r="F413" s="220">
        <v>20</v>
      </c>
    </row>
    <row r="414" spans="1:6">
      <c r="A414" s="723"/>
      <c r="B414" s="220">
        <v>8001</v>
      </c>
      <c r="C414" s="220">
        <v>9000</v>
      </c>
      <c r="D414" s="1147">
        <v>49390.806282722508</v>
      </c>
      <c r="E414" s="220">
        <v>25</v>
      </c>
      <c r="F414" s="220">
        <v>20</v>
      </c>
    </row>
    <row r="415" spans="1:6">
      <c r="A415" s="723"/>
      <c r="B415" s="220">
        <v>9001</v>
      </c>
      <c r="C415" s="220">
        <v>10000</v>
      </c>
      <c r="D415" s="1147">
        <v>58598.51880877743</v>
      </c>
      <c r="E415" s="220">
        <v>25</v>
      </c>
      <c r="F415" s="220">
        <v>20</v>
      </c>
    </row>
    <row r="416" spans="1:6">
      <c r="A416" s="723"/>
      <c r="B416" s="220">
        <v>10001</v>
      </c>
      <c r="C416" s="220">
        <v>11000</v>
      </c>
      <c r="D416" s="1147">
        <v>55237.429467084643</v>
      </c>
      <c r="E416" s="220">
        <v>25</v>
      </c>
      <c r="F416" s="220">
        <v>20</v>
      </c>
    </row>
    <row r="417" spans="1:6">
      <c r="A417" s="723"/>
      <c r="B417" s="220">
        <v>11001</v>
      </c>
      <c r="C417" s="220">
        <v>11750</v>
      </c>
      <c r="D417" s="1147">
        <v>26877.272727272728</v>
      </c>
      <c r="E417" s="220">
        <v>25</v>
      </c>
      <c r="F417" s="220">
        <v>20</v>
      </c>
    </row>
    <row r="418" spans="1:6">
      <c r="A418" s="723"/>
      <c r="B418" s="220">
        <v>11751</v>
      </c>
      <c r="C418" s="220">
        <v>12000</v>
      </c>
      <c r="D418" s="1147">
        <v>58195.188087774295</v>
      </c>
      <c r="E418" s="220">
        <v>25</v>
      </c>
      <c r="F418" s="220">
        <v>20</v>
      </c>
    </row>
    <row r="419" spans="1:6">
      <c r="A419" s="723"/>
      <c r="B419" s="220">
        <v>12001</v>
      </c>
      <c r="C419" s="220">
        <v>13000</v>
      </c>
      <c r="D419" s="1147">
        <v>67522.711598746086</v>
      </c>
      <c r="E419" s="220">
        <v>25</v>
      </c>
      <c r="F419" s="220">
        <v>20</v>
      </c>
    </row>
    <row r="420" spans="1:6">
      <c r="A420" s="723"/>
      <c r="B420" s="220">
        <v>13001</v>
      </c>
      <c r="C420" s="220">
        <v>14000</v>
      </c>
      <c r="D420" s="1147">
        <v>74843.307210031358</v>
      </c>
      <c r="E420" s="220">
        <v>25</v>
      </c>
      <c r="F420" s="220">
        <v>20</v>
      </c>
    </row>
    <row r="421" spans="1:6">
      <c r="A421" s="723"/>
      <c r="B421" s="220">
        <v>14001</v>
      </c>
      <c r="C421" s="220">
        <v>15000</v>
      </c>
      <c r="D421" s="1147">
        <v>73837.256097560967</v>
      </c>
      <c r="E421" s="220">
        <v>25</v>
      </c>
      <c r="F421" s="220">
        <v>20</v>
      </c>
    </row>
    <row r="422" spans="1:6">
      <c r="A422" s="723"/>
      <c r="B422" s="220">
        <v>15001</v>
      </c>
      <c r="C422" s="220">
        <v>20000</v>
      </c>
      <c r="D422" s="1147">
        <v>103145.65094339623</v>
      </c>
      <c r="E422" s="220">
        <v>25</v>
      </c>
      <c r="F422" s="220">
        <v>20</v>
      </c>
    </row>
    <row r="423" spans="1:6">
      <c r="A423" s="723"/>
      <c r="B423" s="220">
        <v>20001</v>
      </c>
      <c r="C423" s="220">
        <v>20300</v>
      </c>
      <c r="D423" s="1147">
        <v>37943.773584905663</v>
      </c>
      <c r="E423" s="220">
        <v>25</v>
      </c>
      <c r="F423" s="220">
        <v>20</v>
      </c>
    </row>
    <row r="424" spans="1:6">
      <c r="A424" s="723"/>
      <c r="B424" s="220">
        <v>20001</v>
      </c>
      <c r="C424" s="220">
        <v>22000</v>
      </c>
      <c r="D424" s="1147">
        <v>115906.58490566039</v>
      </c>
      <c r="E424" s="220">
        <v>25</v>
      </c>
      <c r="F424" s="220">
        <v>20</v>
      </c>
    </row>
    <row r="425" spans="1:6">
      <c r="A425" s="723"/>
      <c r="B425" s="220">
        <v>20001</v>
      </c>
      <c r="C425" s="220">
        <v>25000</v>
      </c>
      <c r="D425" s="1147">
        <v>134954.3548387097</v>
      </c>
      <c r="E425" s="220">
        <v>25</v>
      </c>
      <c r="F425" s="220">
        <v>20</v>
      </c>
    </row>
    <row r="426" spans="1:6">
      <c r="A426" s="723"/>
      <c r="B426" s="220">
        <v>20001</v>
      </c>
      <c r="C426" s="220">
        <v>30000</v>
      </c>
      <c r="D426" s="1147">
        <v>163190.43243243243</v>
      </c>
      <c r="E426" s="220">
        <v>25</v>
      </c>
      <c r="F426" s="220">
        <v>20</v>
      </c>
    </row>
    <row r="427" spans="1:6">
      <c r="A427" s="723"/>
      <c r="B427" s="220">
        <v>20001</v>
      </c>
      <c r="C427" s="220">
        <v>35000</v>
      </c>
      <c r="D427" s="1147">
        <v>177220.13513513512</v>
      </c>
      <c r="E427" s="220">
        <v>25</v>
      </c>
      <c r="F427" s="220">
        <v>20</v>
      </c>
    </row>
    <row r="428" spans="1:6">
      <c r="A428" s="723"/>
      <c r="B428" s="220">
        <v>20001</v>
      </c>
      <c r="C428" s="220">
        <v>40000</v>
      </c>
      <c r="D428" s="1147">
        <v>222109.6216216216</v>
      </c>
      <c r="E428" s="220">
        <v>25</v>
      </c>
      <c r="F428" s="220">
        <v>20</v>
      </c>
    </row>
    <row r="429" spans="1:6">
      <c r="A429" s="723"/>
      <c r="B429" s="220">
        <v>20001</v>
      </c>
      <c r="C429" s="220">
        <v>45000</v>
      </c>
      <c r="D429" s="1147">
        <v>254334.97297297296</v>
      </c>
      <c r="E429" s="220">
        <v>25</v>
      </c>
      <c r="F429" s="220">
        <v>20</v>
      </c>
    </row>
    <row r="430" spans="1:6">
      <c r="A430" s="723"/>
      <c r="B430" s="220">
        <v>20001</v>
      </c>
      <c r="C430" s="220">
        <v>48000</v>
      </c>
      <c r="D430" s="1147">
        <v>271073.67567567568</v>
      </c>
      <c r="E430" s="220">
        <v>25</v>
      </c>
      <c r="F430" s="220">
        <v>20</v>
      </c>
    </row>
    <row r="431" spans="1:6">
      <c r="A431" s="723"/>
      <c r="B431" s="220">
        <v>20001</v>
      </c>
      <c r="C431" s="220">
        <v>50000</v>
      </c>
      <c r="D431" s="1147">
        <v>203871.02702702701</v>
      </c>
      <c r="E431" s="220">
        <v>25</v>
      </c>
      <c r="F431" s="220">
        <v>20</v>
      </c>
    </row>
    <row r="432" spans="1:6">
      <c r="A432" s="723"/>
      <c r="B432" s="220">
        <v>20001</v>
      </c>
      <c r="C432" s="220" t="s">
        <v>5661</v>
      </c>
      <c r="D432" s="1147" t="s">
        <v>5661</v>
      </c>
      <c r="E432" s="220">
        <v>25</v>
      </c>
      <c r="F432" s="220">
        <v>20</v>
      </c>
    </row>
    <row r="435" spans="1:6">
      <c r="A435" s="1128" t="s">
        <v>5799</v>
      </c>
      <c r="B435" s="1128" t="s">
        <v>5808</v>
      </c>
      <c r="C435" s="1128"/>
      <c r="D435" s="1128"/>
      <c r="E435" s="1128"/>
      <c r="F435" s="1128"/>
    </row>
    <row r="436" spans="1:6">
      <c r="A436" s="1146">
        <v>16</v>
      </c>
      <c r="B436" s="1151" t="s">
        <v>5785</v>
      </c>
      <c r="C436" s="1133" t="s">
        <v>5786</v>
      </c>
      <c r="D436" s="1127" t="s">
        <v>5660</v>
      </c>
      <c r="E436" s="1127" t="s">
        <v>5653</v>
      </c>
      <c r="F436" s="1127" t="s">
        <v>5654</v>
      </c>
    </row>
    <row r="437" spans="1:6">
      <c r="A437" s="723" t="s">
        <v>5809</v>
      </c>
      <c r="B437" s="220">
        <v>0</v>
      </c>
      <c r="C437" s="220">
        <v>564</v>
      </c>
      <c r="D437" s="1147">
        <v>10643.27205882353</v>
      </c>
      <c r="E437" s="220">
        <v>10</v>
      </c>
      <c r="F437" s="220">
        <v>7</v>
      </c>
    </row>
    <row r="438" spans="1:6">
      <c r="A438" s="723"/>
      <c r="B438" s="220">
        <v>565</v>
      </c>
      <c r="C438" s="220">
        <v>600</v>
      </c>
      <c r="D438" s="1147">
        <v>9872.8308823529405</v>
      </c>
      <c r="E438" s="220">
        <v>10</v>
      </c>
      <c r="F438" s="220">
        <v>7</v>
      </c>
    </row>
    <row r="439" spans="1:6">
      <c r="A439" s="723"/>
      <c r="B439" s="220">
        <v>601</v>
      </c>
      <c r="C439" s="220">
        <v>625</v>
      </c>
      <c r="D439" s="1147">
        <v>10625.875</v>
      </c>
      <c r="E439" s="220">
        <v>10</v>
      </c>
      <c r="F439" s="220">
        <v>7</v>
      </c>
    </row>
    <row r="440" spans="1:6">
      <c r="A440" s="723"/>
      <c r="B440" s="220">
        <v>626</v>
      </c>
      <c r="C440" s="220">
        <v>1000</v>
      </c>
      <c r="D440" s="1147">
        <v>12232.285714285714</v>
      </c>
      <c r="E440" s="220">
        <v>10</v>
      </c>
      <c r="F440" s="220">
        <v>7</v>
      </c>
    </row>
    <row r="441" spans="1:6">
      <c r="A441" s="723"/>
      <c r="B441" s="220">
        <v>1001</v>
      </c>
      <c r="C441" s="220">
        <v>1470</v>
      </c>
      <c r="D441" s="1147">
        <v>12855.625</v>
      </c>
      <c r="E441" s="220">
        <v>10</v>
      </c>
      <c r="F441" s="220">
        <v>7</v>
      </c>
    </row>
    <row r="442" spans="1:6">
      <c r="A442" s="723"/>
      <c r="B442" s="220">
        <v>1471</v>
      </c>
      <c r="C442" s="220">
        <v>1500</v>
      </c>
      <c r="D442" s="1147">
        <v>15064.344827586207</v>
      </c>
      <c r="E442" s="220">
        <v>10</v>
      </c>
      <c r="F442" s="220">
        <v>7</v>
      </c>
    </row>
    <row r="443" spans="1:6">
      <c r="A443" s="723"/>
      <c r="B443" s="220">
        <v>1501</v>
      </c>
      <c r="C443" s="220">
        <v>2000</v>
      </c>
      <c r="D443" s="1147">
        <v>18487.235142118861</v>
      </c>
      <c r="E443" s="220">
        <v>10</v>
      </c>
      <c r="F443" s="220">
        <v>7</v>
      </c>
    </row>
    <row r="444" spans="1:6">
      <c r="A444" s="723"/>
      <c r="B444" s="220">
        <v>2001</v>
      </c>
      <c r="C444" s="220">
        <v>2150</v>
      </c>
      <c r="D444" s="1147">
        <v>12954.956072351421</v>
      </c>
      <c r="E444" s="220">
        <v>10</v>
      </c>
      <c r="F444" s="220">
        <v>7</v>
      </c>
    </row>
    <row r="445" spans="1:6">
      <c r="A445" s="723"/>
      <c r="B445" s="220">
        <v>2151</v>
      </c>
      <c r="C445" s="220">
        <v>3000</v>
      </c>
      <c r="D445" s="1147">
        <v>19159.81395348837</v>
      </c>
      <c r="E445" s="220">
        <v>10</v>
      </c>
      <c r="F445" s="220">
        <v>7</v>
      </c>
    </row>
    <row r="446" spans="1:6">
      <c r="A446" s="723"/>
      <c r="B446" s="220">
        <v>3001</v>
      </c>
      <c r="C446" s="220">
        <v>4000</v>
      </c>
      <c r="D446" s="1147">
        <v>21829.291989664081</v>
      </c>
      <c r="E446" s="220">
        <v>10</v>
      </c>
      <c r="F446" s="220">
        <v>7</v>
      </c>
    </row>
    <row r="447" spans="1:6">
      <c r="A447" s="723"/>
      <c r="B447" s="220">
        <v>4001</v>
      </c>
      <c r="C447" s="220">
        <v>4500</v>
      </c>
      <c r="D447" s="1147">
        <v>39689.09560723514</v>
      </c>
      <c r="E447" s="220">
        <v>10</v>
      </c>
      <c r="F447" s="220">
        <v>7</v>
      </c>
    </row>
    <row r="448" spans="1:6">
      <c r="A448" s="723"/>
      <c r="B448" s="220">
        <v>4501</v>
      </c>
      <c r="C448" s="220">
        <v>5000</v>
      </c>
      <c r="D448" s="1147">
        <v>24602.528795811515</v>
      </c>
      <c r="E448" s="220">
        <v>10</v>
      </c>
      <c r="F448" s="220">
        <v>7</v>
      </c>
    </row>
    <row r="449" spans="1:6">
      <c r="A449" s="723"/>
      <c r="B449" s="220">
        <v>5001</v>
      </c>
      <c r="C449" s="220">
        <v>6000</v>
      </c>
      <c r="D449" s="1147">
        <v>27770.575916230366</v>
      </c>
      <c r="E449" s="220">
        <v>10</v>
      </c>
      <c r="F449" s="220">
        <v>7</v>
      </c>
    </row>
    <row r="450" spans="1:6">
      <c r="A450" s="723"/>
      <c r="B450" s="220">
        <v>6001</v>
      </c>
      <c r="C450" s="220">
        <v>7000</v>
      </c>
      <c r="D450" s="1147">
        <v>30351.565445026175</v>
      </c>
      <c r="E450" s="220">
        <v>10</v>
      </c>
      <c r="F450" s="220">
        <v>7</v>
      </c>
    </row>
    <row r="451" spans="1:6">
      <c r="A451" s="723"/>
      <c r="B451" s="220">
        <v>7001</v>
      </c>
      <c r="C451" s="220">
        <v>8000</v>
      </c>
      <c r="D451" s="1147">
        <v>32931.408376963351</v>
      </c>
      <c r="E451" s="220">
        <v>10</v>
      </c>
      <c r="F451" s="220">
        <v>7</v>
      </c>
    </row>
    <row r="452" spans="1:6">
      <c r="A452" s="723"/>
      <c r="B452" s="220">
        <v>8001</v>
      </c>
      <c r="C452" s="220">
        <v>9000</v>
      </c>
      <c r="D452" s="1147">
        <v>35253.267015706806</v>
      </c>
      <c r="E452" s="220">
        <v>10</v>
      </c>
      <c r="F452" s="220">
        <v>7</v>
      </c>
    </row>
    <row r="453" spans="1:6">
      <c r="A453" s="723"/>
      <c r="B453" s="220">
        <v>9001</v>
      </c>
      <c r="C453" s="220">
        <v>10000</v>
      </c>
      <c r="D453" s="1147">
        <v>37624.749216300945</v>
      </c>
      <c r="E453" s="220">
        <v>10</v>
      </c>
      <c r="F453" s="220">
        <v>7</v>
      </c>
    </row>
    <row r="454" spans="1:6">
      <c r="A454" s="723"/>
      <c r="B454" s="220">
        <v>10001</v>
      </c>
      <c r="C454" s="220">
        <v>10100</v>
      </c>
      <c r="D454" s="1147">
        <v>18617.288401253922</v>
      </c>
      <c r="E454" s="220">
        <v>10</v>
      </c>
      <c r="F454" s="220">
        <v>7</v>
      </c>
    </row>
    <row r="455" spans="1:6">
      <c r="A455" s="723"/>
      <c r="B455" s="220">
        <v>10101</v>
      </c>
      <c r="C455" s="220">
        <v>11000</v>
      </c>
      <c r="D455" s="1147">
        <v>39992.100313479626</v>
      </c>
      <c r="E455" s="220">
        <v>10</v>
      </c>
      <c r="F455" s="220">
        <v>7</v>
      </c>
    </row>
    <row r="456" spans="1:6">
      <c r="A456" s="723"/>
      <c r="B456" s="220">
        <v>11001</v>
      </c>
      <c r="C456" s="220">
        <v>11750</v>
      </c>
      <c r="D456" s="1147">
        <v>55751.175548589345</v>
      </c>
      <c r="E456" s="220">
        <v>10</v>
      </c>
      <c r="F456" s="220">
        <v>7</v>
      </c>
    </row>
    <row r="457" spans="1:6">
      <c r="A457" s="723"/>
      <c r="B457" s="220">
        <v>11751</v>
      </c>
      <c r="C457" s="220">
        <v>12000</v>
      </c>
      <c r="D457" s="1147">
        <v>42353.730407523515</v>
      </c>
      <c r="E457" s="220">
        <v>10</v>
      </c>
      <c r="F457" s="220">
        <v>7</v>
      </c>
    </row>
    <row r="458" spans="1:6">
      <c r="A458" s="723"/>
      <c r="B458" s="220">
        <v>12001</v>
      </c>
      <c r="C458" s="220">
        <v>13000</v>
      </c>
      <c r="D458" s="1147">
        <v>49086.206896551725</v>
      </c>
      <c r="E458" s="220">
        <v>10</v>
      </c>
      <c r="F458" s="220">
        <v>7</v>
      </c>
    </row>
    <row r="459" spans="1:6">
      <c r="A459" s="723"/>
      <c r="B459" s="220">
        <v>13001</v>
      </c>
      <c r="C459" s="220">
        <v>14000</v>
      </c>
      <c r="D459" s="1147">
        <v>55803.808777429469</v>
      </c>
      <c r="E459" s="220">
        <v>10</v>
      </c>
      <c r="F459" s="220">
        <v>7</v>
      </c>
    </row>
    <row r="460" spans="1:6">
      <c r="A460" s="723"/>
      <c r="B460" s="220">
        <v>14001</v>
      </c>
      <c r="C460" s="220">
        <v>15000</v>
      </c>
      <c r="D460" s="1147">
        <v>59147.258536585359</v>
      </c>
      <c r="E460" s="220">
        <v>10</v>
      </c>
      <c r="F460" s="220">
        <v>7</v>
      </c>
    </row>
    <row r="461" spans="1:6">
      <c r="A461" s="723"/>
      <c r="B461" s="220">
        <v>15001</v>
      </c>
      <c r="C461" s="220">
        <v>20000</v>
      </c>
      <c r="D461" s="1147">
        <v>75892.113207547169</v>
      </c>
      <c r="E461" s="220">
        <v>10</v>
      </c>
      <c r="F461" s="220">
        <v>7</v>
      </c>
    </row>
    <row r="462" spans="1:6">
      <c r="A462" s="723"/>
      <c r="B462" s="220">
        <v>20001</v>
      </c>
      <c r="C462" s="220">
        <v>22000</v>
      </c>
      <c r="D462" s="1147">
        <v>95701.867924528313</v>
      </c>
      <c r="E462" s="220">
        <v>10</v>
      </c>
      <c r="F462" s="220">
        <v>7</v>
      </c>
    </row>
    <row r="463" spans="1:6">
      <c r="A463" s="723"/>
      <c r="B463" s="220">
        <v>22001</v>
      </c>
      <c r="C463" s="220">
        <v>25000</v>
      </c>
      <c r="D463" s="1147">
        <v>111582.25806451614</v>
      </c>
      <c r="E463" s="220">
        <v>10</v>
      </c>
      <c r="F463" s="220">
        <v>7</v>
      </c>
    </row>
    <row r="464" spans="1:6">
      <c r="A464" s="723"/>
      <c r="B464" s="220">
        <v>25001</v>
      </c>
      <c r="C464" s="220">
        <v>29610</v>
      </c>
      <c r="D464" s="1147">
        <v>34484.032258064522</v>
      </c>
      <c r="E464" s="220">
        <v>10</v>
      </c>
      <c r="F464" s="220">
        <v>7</v>
      </c>
    </row>
    <row r="465" spans="1:6">
      <c r="A465" s="723"/>
      <c r="B465" s="220">
        <v>29611</v>
      </c>
      <c r="C465" s="220">
        <v>30000</v>
      </c>
      <c r="D465" s="1147">
        <v>135622.54054054053</v>
      </c>
      <c r="E465" s="220">
        <v>10</v>
      </c>
      <c r="F465" s="220">
        <v>7</v>
      </c>
    </row>
    <row r="466" spans="1:6">
      <c r="A466" s="723"/>
      <c r="B466" s="220">
        <v>30001</v>
      </c>
      <c r="C466" s="220" t="s">
        <v>5661</v>
      </c>
      <c r="D466" s="1147" t="s">
        <v>5661</v>
      </c>
      <c r="E466" s="220">
        <v>10</v>
      </c>
      <c r="F466" s="220">
        <v>7</v>
      </c>
    </row>
    <row r="469" spans="1:6">
      <c r="A469" s="1128" t="s">
        <v>5757</v>
      </c>
      <c r="B469" s="1128" t="s">
        <v>5810</v>
      </c>
      <c r="C469" s="1128"/>
      <c r="D469" s="1128"/>
      <c r="E469" s="1128"/>
      <c r="F469" s="1128"/>
    </row>
    <row r="470" spans="1:6">
      <c r="A470" s="1146">
        <v>30</v>
      </c>
      <c r="B470" s="1151" t="s">
        <v>5811</v>
      </c>
      <c r="C470" s="1127" t="s">
        <v>5812</v>
      </c>
      <c r="D470" s="1133" t="s">
        <v>5660</v>
      </c>
      <c r="E470" s="1151" t="s">
        <v>5685</v>
      </c>
      <c r="F470" s="1133" t="s">
        <v>5654</v>
      </c>
    </row>
    <row r="471" spans="1:6">
      <c r="A471" s="723" t="s">
        <v>5813</v>
      </c>
      <c r="B471" s="220">
        <v>0</v>
      </c>
      <c r="C471" s="220">
        <v>3369</v>
      </c>
      <c r="D471" s="1147">
        <v>2695.6790639301639</v>
      </c>
      <c r="E471" s="220">
        <v>20</v>
      </c>
      <c r="F471" s="220">
        <v>15</v>
      </c>
    </row>
    <row r="472" spans="1:6">
      <c r="A472" s="723"/>
      <c r="B472" s="220">
        <v>3370</v>
      </c>
      <c r="C472" s="220">
        <v>8422</v>
      </c>
      <c r="D472" s="1147">
        <v>3397.7395118773702</v>
      </c>
      <c r="E472" s="220">
        <v>20</v>
      </c>
      <c r="F472" s="220">
        <v>15</v>
      </c>
    </row>
    <row r="473" spans="1:6">
      <c r="A473" s="723"/>
      <c r="B473" s="220">
        <v>8423</v>
      </c>
      <c r="C473" s="220">
        <v>12513</v>
      </c>
      <c r="D473" s="1147">
        <v>4485.1233552826388</v>
      </c>
      <c r="E473" s="220">
        <v>20</v>
      </c>
      <c r="F473" s="220">
        <v>15</v>
      </c>
    </row>
    <row r="474" spans="1:6">
      <c r="A474" s="723"/>
      <c r="B474" s="220">
        <v>12514</v>
      </c>
      <c r="C474" s="220">
        <v>21658</v>
      </c>
      <c r="D474" s="1147">
        <v>5623.1498382603413</v>
      </c>
      <c r="E474" s="220">
        <v>20</v>
      </c>
      <c r="F474" s="220">
        <v>15</v>
      </c>
    </row>
    <row r="475" spans="1:6">
      <c r="A475" s="723"/>
      <c r="B475" s="220">
        <v>21659</v>
      </c>
      <c r="C475" s="220">
        <v>24064</v>
      </c>
      <c r="D475" s="1147">
        <v>5503.1934667585701</v>
      </c>
      <c r="E475" s="220">
        <v>20</v>
      </c>
      <c r="F475" s="220">
        <v>15</v>
      </c>
    </row>
    <row r="476" spans="1:6">
      <c r="A476" s="723"/>
      <c r="B476" s="220">
        <v>24065</v>
      </c>
      <c r="C476" s="220">
        <v>29599</v>
      </c>
      <c r="D476" s="1147">
        <v>7395.6437375098158</v>
      </c>
      <c r="E476" s="220">
        <v>20</v>
      </c>
      <c r="F476" s="220">
        <v>15</v>
      </c>
    </row>
    <row r="477" spans="1:6">
      <c r="A477" s="723"/>
      <c r="B477" s="220">
        <v>29600</v>
      </c>
      <c r="C477" s="220">
        <v>36096</v>
      </c>
      <c r="D477" s="1147">
        <v>8157.4375622864745</v>
      </c>
      <c r="E477" s="220">
        <v>20</v>
      </c>
      <c r="F477" s="220">
        <v>15</v>
      </c>
    </row>
    <row r="478" spans="1:6">
      <c r="A478" s="723"/>
      <c r="B478" s="220">
        <v>36097</v>
      </c>
      <c r="C478" s="220">
        <v>41390</v>
      </c>
      <c r="D478" s="1147">
        <v>12412.345463578609</v>
      </c>
      <c r="E478" s="220">
        <v>20</v>
      </c>
      <c r="F478" s="220">
        <v>15</v>
      </c>
    </row>
    <row r="479" spans="1:6">
      <c r="A479" s="723"/>
      <c r="B479" s="220">
        <v>41391</v>
      </c>
      <c r="C479" s="220">
        <v>57032</v>
      </c>
      <c r="D479" s="1147">
        <v>15312.983296187971</v>
      </c>
      <c r="E479" s="220">
        <v>20</v>
      </c>
      <c r="F479" s="220">
        <v>15</v>
      </c>
    </row>
    <row r="480" spans="1:6">
      <c r="A480" s="723"/>
      <c r="B480" s="220">
        <v>57033</v>
      </c>
      <c r="C480" s="220">
        <v>66176</v>
      </c>
      <c r="D480" s="1147">
        <v>16434.285464427834</v>
      </c>
      <c r="E480" s="220">
        <v>20</v>
      </c>
      <c r="F480" s="220">
        <v>15</v>
      </c>
    </row>
    <row r="481" spans="1:6">
      <c r="A481" s="723"/>
      <c r="B481" s="220">
        <v>66177</v>
      </c>
      <c r="C481" s="220">
        <v>72193</v>
      </c>
      <c r="D481" s="1147">
        <v>16931.904693619013</v>
      </c>
      <c r="E481" s="220">
        <v>20</v>
      </c>
      <c r="F481" s="220">
        <v>15</v>
      </c>
    </row>
    <row r="482" spans="1:6">
      <c r="A482" s="723"/>
      <c r="B482" s="220">
        <v>72194</v>
      </c>
      <c r="C482" s="220">
        <v>108289</v>
      </c>
      <c r="D482" s="1147">
        <v>16394.998463315911</v>
      </c>
      <c r="E482" s="220">
        <v>20</v>
      </c>
      <c r="F482" s="220">
        <v>15</v>
      </c>
    </row>
    <row r="483" spans="1:6">
      <c r="A483" s="723"/>
      <c r="B483" s="220">
        <v>108290</v>
      </c>
      <c r="C483" s="220" t="s">
        <v>5661</v>
      </c>
      <c r="D483" s="1147" t="s">
        <v>5661</v>
      </c>
      <c r="E483" s="220">
        <v>20</v>
      </c>
      <c r="F483" s="220">
        <v>15</v>
      </c>
    </row>
    <row r="486" spans="1:6">
      <c r="A486" s="1128" t="s">
        <v>5799</v>
      </c>
      <c r="B486" s="1128" t="s">
        <v>5814</v>
      </c>
      <c r="C486" s="1128"/>
      <c r="D486" s="1128"/>
      <c r="E486" s="1128"/>
      <c r="F486" s="1128"/>
    </row>
    <row r="487" spans="1:6">
      <c r="A487" s="1146">
        <v>16</v>
      </c>
      <c r="B487" s="1151" t="s">
        <v>5785</v>
      </c>
      <c r="C487" s="1133" t="s">
        <v>5786</v>
      </c>
      <c r="D487" s="1127" t="s">
        <v>5660</v>
      </c>
      <c r="E487" s="1127" t="s">
        <v>5653</v>
      </c>
      <c r="F487" s="1127" t="s">
        <v>5654</v>
      </c>
    </row>
    <row r="488" spans="1:6">
      <c r="A488" s="723" t="s">
        <v>5815</v>
      </c>
      <c r="B488" s="1046">
        <v>0</v>
      </c>
      <c r="C488" s="633">
        <v>300</v>
      </c>
      <c r="D488" s="1147">
        <v>1386.5477871292217</v>
      </c>
      <c r="E488" s="220">
        <v>25</v>
      </c>
      <c r="F488" s="220">
        <v>20</v>
      </c>
    </row>
    <row r="489" spans="1:6">
      <c r="A489" s="723"/>
      <c r="B489" s="1046">
        <v>301</v>
      </c>
      <c r="C489" s="633">
        <v>550</v>
      </c>
      <c r="D489" s="1147">
        <v>1384.7996533333639</v>
      </c>
      <c r="E489" s="220">
        <v>25</v>
      </c>
      <c r="F489" s="220">
        <v>20</v>
      </c>
    </row>
    <row r="490" spans="1:6">
      <c r="A490" s="220"/>
      <c r="B490" s="1046">
        <v>551</v>
      </c>
      <c r="C490" s="220">
        <v>850</v>
      </c>
      <c r="D490" s="1147">
        <v>2146.4226420816422</v>
      </c>
      <c r="E490" s="220">
        <v>25</v>
      </c>
      <c r="F490" s="220">
        <v>20</v>
      </c>
    </row>
    <row r="491" spans="1:6">
      <c r="A491" s="220"/>
      <c r="B491" s="1046">
        <v>851</v>
      </c>
      <c r="C491" s="220">
        <v>1000</v>
      </c>
      <c r="D491" s="1147">
        <v>1995.7016566438342</v>
      </c>
      <c r="E491" s="220">
        <v>25</v>
      </c>
      <c r="F491" s="220">
        <v>20</v>
      </c>
    </row>
    <row r="492" spans="1:6">
      <c r="A492" s="220"/>
      <c r="B492" s="1046">
        <v>1001</v>
      </c>
      <c r="C492" s="220">
        <v>1200</v>
      </c>
      <c r="D492" s="1147">
        <v>3130.7544642857142</v>
      </c>
      <c r="E492" s="220">
        <v>25</v>
      </c>
      <c r="F492" s="220">
        <v>20</v>
      </c>
    </row>
    <row r="493" spans="1:6">
      <c r="A493" s="220"/>
      <c r="B493" s="1046">
        <v>1201</v>
      </c>
      <c r="C493" s="220">
        <v>1500</v>
      </c>
      <c r="D493" s="1147">
        <v>3408.9308352781204</v>
      </c>
      <c r="E493" s="220">
        <v>25</v>
      </c>
      <c r="F493" s="220">
        <v>20</v>
      </c>
    </row>
    <row r="494" spans="1:6">
      <c r="A494" s="220"/>
      <c r="B494" s="1046">
        <v>1501</v>
      </c>
      <c r="C494" s="220">
        <v>2000</v>
      </c>
      <c r="D494" s="1147">
        <v>4730.5117831880343</v>
      </c>
      <c r="E494" s="220">
        <v>25</v>
      </c>
      <c r="F494" s="220">
        <v>20</v>
      </c>
    </row>
    <row r="495" spans="1:6">
      <c r="A495" s="220"/>
      <c r="B495" s="1046">
        <v>2001</v>
      </c>
      <c r="C495" s="220">
        <v>2500</v>
      </c>
      <c r="D495" s="1147">
        <v>5435.1240971303132</v>
      </c>
      <c r="E495" s="220">
        <v>25</v>
      </c>
      <c r="F495" s="220">
        <v>20</v>
      </c>
    </row>
    <row r="496" spans="1:6">
      <c r="A496" s="220"/>
      <c r="B496" s="1046">
        <v>2501</v>
      </c>
      <c r="C496" s="220">
        <v>3000</v>
      </c>
      <c r="D496" s="1147">
        <v>6806.9102726329838</v>
      </c>
      <c r="E496" s="220">
        <v>25</v>
      </c>
      <c r="F496" s="220">
        <v>20</v>
      </c>
    </row>
    <row r="497" spans="1:6">
      <c r="A497" s="220"/>
      <c r="B497" s="1046">
        <v>3001</v>
      </c>
      <c r="C497" s="220">
        <v>4200</v>
      </c>
      <c r="D497" s="1147">
        <v>11072.07111111111</v>
      </c>
      <c r="E497" s="220">
        <v>25</v>
      </c>
      <c r="F497" s="220">
        <v>20</v>
      </c>
    </row>
    <row r="498" spans="1:6">
      <c r="A498" s="220"/>
      <c r="B498" s="1046">
        <v>4201</v>
      </c>
      <c r="C498" s="220">
        <v>5200</v>
      </c>
      <c r="D498" s="1147">
        <v>12227.704476439791</v>
      </c>
      <c r="E498" s="220">
        <v>25</v>
      </c>
      <c r="F498" s="220">
        <v>20</v>
      </c>
    </row>
    <row r="499" spans="1:6">
      <c r="A499" s="220"/>
      <c r="B499" s="1046">
        <v>5201</v>
      </c>
      <c r="C499" s="220">
        <v>6500</v>
      </c>
      <c r="D499" s="1147">
        <v>15376.40342557439</v>
      </c>
      <c r="E499" s="220">
        <v>25</v>
      </c>
      <c r="F499" s="220">
        <v>20</v>
      </c>
    </row>
    <row r="500" spans="1:6">
      <c r="A500" s="220"/>
      <c r="B500" s="1046">
        <v>6501</v>
      </c>
      <c r="C500" s="220">
        <v>8000</v>
      </c>
      <c r="D500" s="1147">
        <v>14636.079581151831</v>
      </c>
      <c r="E500" s="220">
        <v>25</v>
      </c>
      <c r="F500" s="220">
        <v>20</v>
      </c>
    </row>
    <row r="501" spans="1:6">
      <c r="A501" s="220"/>
      <c r="B501" s="1046">
        <v>8001</v>
      </c>
      <c r="C501" s="220">
        <v>10500</v>
      </c>
      <c r="D501" s="1147">
        <v>17612.96962298809</v>
      </c>
      <c r="E501" s="220">
        <v>25</v>
      </c>
      <c r="F501" s="220">
        <v>20</v>
      </c>
    </row>
    <row r="502" spans="1:6">
      <c r="A502" s="220"/>
      <c r="B502" s="1046">
        <v>10501</v>
      </c>
      <c r="C502" s="220">
        <v>12500</v>
      </c>
      <c r="D502" s="1147">
        <v>28047.512796129413</v>
      </c>
      <c r="E502" s="220">
        <v>25</v>
      </c>
      <c r="F502" s="220">
        <v>20</v>
      </c>
    </row>
    <row r="503" spans="1:6">
      <c r="A503" s="220"/>
      <c r="B503" s="1046">
        <v>12501</v>
      </c>
      <c r="C503" s="220">
        <v>15000</v>
      </c>
      <c r="D503" s="1147">
        <v>28077.508317844786</v>
      </c>
      <c r="E503" s="220">
        <v>25</v>
      </c>
      <c r="F503" s="220">
        <v>20</v>
      </c>
    </row>
    <row r="504" spans="1:6">
      <c r="A504" s="220"/>
      <c r="B504" s="1046">
        <v>15001</v>
      </c>
      <c r="C504" s="220">
        <v>16501</v>
      </c>
      <c r="D504" s="1147">
        <v>53210.572999570199</v>
      </c>
      <c r="E504" s="220">
        <v>25</v>
      </c>
      <c r="F504" s="220">
        <v>20</v>
      </c>
    </row>
    <row r="505" spans="1:6">
      <c r="A505" s="220"/>
      <c r="B505" s="1046">
        <v>16502</v>
      </c>
      <c r="C505" s="220" t="s">
        <v>5661</v>
      </c>
      <c r="D505" s="1147" t="s">
        <v>5661</v>
      </c>
      <c r="E505" s="220">
        <v>25</v>
      </c>
      <c r="F505" s="220">
        <v>20</v>
      </c>
    </row>
    <row r="508" spans="1:6">
      <c r="A508" s="1128" t="s">
        <v>5651</v>
      </c>
      <c r="B508" s="1128" t="s">
        <v>5816</v>
      </c>
      <c r="C508" s="1128"/>
      <c r="D508" s="1128"/>
      <c r="E508" s="1128"/>
      <c r="F508" s="1128"/>
    </row>
    <row r="509" spans="1:6">
      <c r="A509" s="1146">
        <v>43</v>
      </c>
      <c r="B509" s="1127"/>
      <c r="C509" s="1127"/>
      <c r="D509" s="1127" t="s">
        <v>2355</v>
      </c>
      <c r="E509" s="1127" t="s">
        <v>5653</v>
      </c>
      <c r="F509" s="1127" t="s">
        <v>5654</v>
      </c>
    </row>
    <row r="510" spans="1:6">
      <c r="A510" s="723" t="s">
        <v>5817</v>
      </c>
      <c r="B510" s="220">
        <v>0</v>
      </c>
      <c r="C510" s="220">
        <v>0</v>
      </c>
      <c r="D510" s="1147">
        <v>2388.9364733422249</v>
      </c>
      <c r="E510" s="220">
        <v>15</v>
      </c>
      <c r="F510" s="220">
        <v>14</v>
      </c>
    </row>
    <row r="513" spans="1:6">
      <c r="A513" s="1128" t="s">
        <v>5818</v>
      </c>
      <c r="B513" s="1128" t="s">
        <v>5819</v>
      </c>
      <c r="C513" s="1128"/>
      <c r="D513" s="1128"/>
      <c r="E513" s="1128"/>
      <c r="F513" s="1128"/>
    </row>
    <row r="514" spans="1:6">
      <c r="A514" s="1146">
        <v>29</v>
      </c>
      <c r="B514" s="1127" t="s">
        <v>5820</v>
      </c>
      <c r="C514" s="1133" t="s">
        <v>5821</v>
      </c>
      <c r="D514" s="1133" t="s">
        <v>5660</v>
      </c>
      <c r="E514" s="1127" t="s">
        <v>5653</v>
      </c>
      <c r="F514" s="1127" t="s">
        <v>5654</v>
      </c>
    </row>
    <row r="515" spans="1:6">
      <c r="A515" s="723" t="s">
        <v>5822</v>
      </c>
      <c r="B515" s="220">
        <v>0</v>
      </c>
      <c r="C515" s="220">
        <v>1</v>
      </c>
      <c r="D515" s="1147">
        <v>5215.639311849045</v>
      </c>
      <c r="E515" s="220">
        <v>25</v>
      </c>
      <c r="F515" s="220">
        <v>20</v>
      </c>
    </row>
    <row r="516" spans="1:6">
      <c r="A516" s="723"/>
      <c r="B516" s="220">
        <v>1.1000000000000001</v>
      </c>
      <c r="C516" s="220">
        <v>1.5</v>
      </c>
      <c r="D516" s="1147">
        <v>5974.8263252684128</v>
      </c>
      <c r="E516" s="220">
        <v>25</v>
      </c>
      <c r="F516" s="220">
        <v>20</v>
      </c>
    </row>
    <row r="517" spans="1:6">
      <c r="A517" s="723"/>
      <c r="B517" s="220">
        <v>1.6</v>
      </c>
      <c r="C517" s="220">
        <v>2</v>
      </c>
      <c r="D517" s="1147">
        <v>6068.3450523109377</v>
      </c>
      <c r="E517" s="220">
        <v>25</v>
      </c>
      <c r="F517" s="220">
        <v>20</v>
      </c>
    </row>
    <row r="518" spans="1:6">
      <c r="A518" s="723"/>
      <c r="B518" s="220">
        <v>2.1</v>
      </c>
      <c r="C518" s="220">
        <v>3</v>
      </c>
      <c r="D518" s="1147">
        <v>7378.3626076365754</v>
      </c>
      <c r="E518" s="220">
        <v>25</v>
      </c>
      <c r="F518" s="220">
        <v>20</v>
      </c>
    </row>
    <row r="519" spans="1:6">
      <c r="A519" s="723"/>
      <c r="B519" s="220">
        <v>3.1</v>
      </c>
      <c r="C519" s="220">
        <v>5</v>
      </c>
      <c r="D519" s="1147">
        <v>8134.7527370290263</v>
      </c>
      <c r="E519" s="220">
        <v>25</v>
      </c>
      <c r="F519" s="220">
        <v>20</v>
      </c>
    </row>
    <row r="520" spans="1:6">
      <c r="A520" s="723"/>
      <c r="B520" s="220">
        <v>5.0999999999999996</v>
      </c>
      <c r="C520" s="220">
        <v>7.5</v>
      </c>
      <c r="D520" s="1147">
        <v>11316.307504296892</v>
      </c>
      <c r="E520" s="220">
        <v>25</v>
      </c>
      <c r="F520" s="220">
        <v>20</v>
      </c>
    </row>
    <row r="521" spans="1:6">
      <c r="A521" s="723"/>
      <c r="B521" s="220">
        <v>7.6</v>
      </c>
      <c r="C521" s="220">
        <v>10</v>
      </c>
      <c r="D521" s="1147">
        <v>14374.813447090328</v>
      </c>
      <c r="E521" s="220">
        <v>25</v>
      </c>
      <c r="F521" s="220">
        <v>20</v>
      </c>
    </row>
    <row r="522" spans="1:6">
      <c r="A522" s="723"/>
      <c r="B522" s="220">
        <v>10.1</v>
      </c>
      <c r="C522" s="220">
        <v>20</v>
      </c>
      <c r="D522" s="1147">
        <v>25944.468684113283</v>
      </c>
      <c r="E522" s="220">
        <v>25</v>
      </c>
      <c r="F522" s="220">
        <v>20</v>
      </c>
    </row>
    <row r="523" spans="1:6">
      <c r="A523" s="723"/>
      <c r="B523" s="220">
        <v>20.100000000000001</v>
      </c>
      <c r="C523" s="220">
        <v>30</v>
      </c>
      <c r="D523" s="1147">
        <v>39315.823046232101</v>
      </c>
      <c r="E523" s="220">
        <v>25</v>
      </c>
      <c r="F523" s="220">
        <v>20</v>
      </c>
    </row>
    <row r="524" spans="1:6">
      <c r="A524" s="723"/>
      <c r="B524" s="220">
        <v>30.1</v>
      </c>
      <c r="C524" s="220" t="s">
        <v>5661</v>
      </c>
      <c r="D524" s="1147" t="s">
        <v>5661</v>
      </c>
      <c r="E524" s="220">
        <v>25</v>
      </c>
      <c r="F524" s="220">
        <v>20</v>
      </c>
    </row>
    <row r="527" spans="1:6">
      <c r="A527" s="723"/>
      <c r="B527" s="220" t="s">
        <v>5823</v>
      </c>
      <c r="C527" s="723" t="s">
        <v>5824</v>
      </c>
      <c r="D527" s="810">
        <v>235138.22048125349</v>
      </c>
      <c r="E527" s="220" t="s">
        <v>5825</v>
      </c>
    </row>
    <row r="528" spans="1:6">
      <c r="A528" s="723"/>
      <c r="B528" s="220" t="s">
        <v>5826</v>
      </c>
      <c r="C528" s="723" t="s">
        <v>5829</v>
      </c>
      <c r="D528" s="810">
        <v>1215.17627308338</v>
      </c>
      <c r="E528" s="220" t="s">
        <v>5828</v>
      </c>
    </row>
    <row r="531" spans="1:5">
      <c r="A531" s="1165">
        <v>3</v>
      </c>
      <c r="B531" s="220" t="s">
        <v>5830</v>
      </c>
      <c r="C531" s="723" t="s">
        <v>5831</v>
      </c>
      <c r="D531" s="810">
        <v>-464152.21040850587</v>
      </c>
      <c r="E531" s="220" t="s">
        <v>5832</v>
      </c>
    </row>
    <row r="532" spans="1:5">
      <c r="A532" s="723"/>
      <c r="B532" s="220" t="s">
        <v>5823</v>
      </c>
      <c r="C532" s="723" t="s">
        <v>5833</v>
      </c>
      <c r="D532" s="810">
        <v>235138.22048125349</v>
      </c>
      <c r="E532" s="220" t="s">
        <v>5825</v>
      </c>
    </row>
    <row r="535" spans="1:5">
      <c r="A535" s="1128" t="s">
        <v>5663</v>
      </c>
      <c r="B535" s="1128" t="s">
        <v>5834</v>
      </c>
      <c r="C535" s="1128"/>
      <c r="D535" s="1128" t="s">
        <v>5835</v>
      </c>
      <c r="E535" s="1128" t="s">
        <v>5836</v>
      </c>
    </row>
    <row r="536" spans="1:5">
      <c r="A536" s="1165">
        <v>3</v>
      </c>
      <c r="B536" s="220" t="s">
        <v>5830</v>
      </c>
      <c r="C536" s="723" t="s">
        <v>5837</v>
      </c>
      <c r="D536" s="810">
        <v>-464152.21040850587</v>
      </c>
      <c r="E536" s="220" t="s">
        <v>5832</v>
      </c>
    </row>
    <row r="539" spans="1:5">
      <c r="A539" s="723"/>
      <c r="B539" s="220" t="s">
        <v>5838</v>
      </c>
      <c r="C539" s="723" t="s">
        <v>5839</v>
      </c>
      <c r="D539" s="633">
        <v>27</v>
      </c>
      <c r="E539" s="220" t="s">
        <v>5840</v>
      </c>
    </row>
    <row r="540" spans="1:5">
      <c r="A540" s="723"/>
      <c r="B540" s="220" t="s">
        <v>5841</v>
      </c>
      <c r="C540" s="723" t="s">
        <v>5842</v>
      </c>
      <c r="D540" s="633">
        <v>30</v>
      </c>
      <c r="E540" s="220" t="s">
        <v>5840</v>
      </c>
    </row>
    <row r="543" spans="1:5">
      <c r="A543" s="723"/>
      <c r="B543" s="220" t="s">
        <v>5826</v>
      </c>
      <c r="C543" s="723" t="s">
        <v>5827</v>
      </c>
      <c r="D543" s="810">
        <v>1215.17627308338</v>
      </c>
      <c r="E543" s="220" t="s">
        <v>5828</v>
      </c>
    </row>
    <row r="544" spans="1:5">
      <c r="A544" s="723"/>
      <c r="B544" s="220" t="s">
        <v>5838</v>
      </c>
      <c r="C544" s="723" t="s">
        <v>5843</v>
      </c>
      <c r="D544" s="633">
        <v>27</v>
      </c>
      <c r="E544" s="220" t="s">
        <v>5840</v>
      </c>
    </row>
    <row r="547" spans="1:6">
      <c r="A547" s="1128" t="s">
        <v>5844</v>
      </c>
      <c r="B547" s="1128" t="s">
        <v>5845</v>
      </c>
      <c r="C547" s="1128"/>
      <c r="D547" s="1128"/>
      <c r="E547" s="1128"/>
      <c r="F547" s="1128"/>
    </row>
    <row r="548" spans="1:6">
      <c r="A548" s="1146">
        <v>38</v>
      </c>
      <c r="B548" s="1127"/>
      <c r="C548" s="1127"/>
      <c r="D548" s="1133" t="s">
        <v>5660</v>
      </c>
      <c r="E548" s="1127" t="s">
        <v>5653</v>
      </c>
      <c r="F548" s="1127" t="s">
        <v>5654</v>
      </c>
    </row>
    <row r="549" spans="1:6">
      <c r="A549" s="723" t="s">
        <v>5846</v>
      </c>
      <c r="B549" s="220">
        <v>0</v>
      </c>
      <c r="C549" s="220">
        <v>0</v>
      </c>
      <c r="D549" s="1147">
        <v>373.99500000000006</v>
      </c>
      <c r="E549" s="220">
        <v>10</v>
      </c>
      <c r="F549" s="220">
        <v>8</v>
      </c>
    </row>
    <row r="552" spans="1:6">
      <c r="A552" s="1128" t="s">
        <v>5757</v>
      </c>
      <c r="B552" s="1128" t="s">
        <v>5847</v>
      </c>
      <c r="C552" s="1128"/>
      <c r="D552" s="1128"/>
      <c r="E552" s="1128"/>
      <c r="F552" s="1128"/>
    </row>
    <row r="553" spans="1:6">
      <c r="A553" s="1146">
        <v>30</v>
      </c>
      <c r="B553" s="1127" t="s">
        <v>5658</v>
      </c>
      <c r="C553" s="1127" t="s">
        <v>5659</v>
      </c>
      <c r="D553" s="1133" t="s">
        <v>5660</v>
      </c>
      <c r="E553" s="1127" t="s">
        <v>5653</v>
      </c>
      <c r="F553" s="1127" t="s">
        <v>5654</v>
      </c>
    </row>
    <row r="554" spans="1:6">
      <c r="A554" s="723" t="s">
        <v>5848</v>
      </c>
      <c r="B554" s="220">
        <v>0</v>
      </c>
      <c r="C554" s="220">
        <v>10</v>
      </c>
      <c r="D554" s="1147">
        <v>3706.6140240586169</v>
      </c>
      <c r="E554" s="220">
        <v>20</v>
      </c>
      <c r="F554" s="220">
        <v>17</v>
      </c>
    </row>
    <row r="555" spans="1:6">
      <c r="A555" s="723"/>
      <c r="B555" s="220">
        <v>11</v>
      </c>
      <c r="C555" s="220">
        <v>30</v>
      </c>
      <c r="D555" s="1147">
        <v>4171.0881001284852</v>
      </c>
      <c r="E555" s="220">
        <v>20</v>
      </c>
      <c r="F555" s="220">
        <v>17</v>
      </c>
    </row>
    <row r="556" spans="1:6">
      <c r="A556" s="723"/>
      <c r="B556" s="220">
        <v>31</v>
      </c>
      <c r="C556" s="220">
        <v>200</v>
      </c>
      <c r="D556" s="1147">
        <v>11380.00290770804</v>
      </c>
      <c r="E556" s="220">
        <v>20</v>
      </c>
      <c r="F556" s="220">
        <v>17</v>
      </c>
    </row>
    <row r="557" spans="1:6">
      <c r="A557" s="723"/>
      <c r="B557" s="220">
        <v>201</v>
      </c>
      <c r="C557" s="220">
        <v>250</v>
      </c>
      <c r="D557" s="1147">
        <v>11937.787671005406</v>
      </c>
      <c r="E557" s="220">
        <v>20</v>
      </c>
      <c r="F557" s="220">
        <v>17</v>
      </c>
    </row>
    <row r="558" spans="1:6">
      <c r="A558" s="723"/>
      <c r="B558" s="633">
        <v>251</v>
      </c>
      <c r="C558" s="220">
        <v>300</v>
      </c>
      <c r="D558" s="1147">
        <v>13214.989485025329</v>
      </c>
      <c r="E558" s="220">
        <v>20</v>
      </c>
      <c r="F558" s="220">
        <v>17</v>
      </c>
    </row>
    <row r="559" spans="1:6">
      <c r="A559" s="723"/>
      <c r="B559" s="220">
        <v>301</v>
      </c>
      <c r="C559" s="220">
        <v>500</v>
      </c>
      <c r="D559" s="1147">
        <v>15142.172969534346</v>
      </c>
      <c r="E559" s="220">
        <v>20</v>
      </c>
      <c r="F559" s="220">
        <v>17</v>
      </c>
    </row>
    <row r="560" spans="1:6">
      <c r="A560" s="723"/>
      <c r="B560" s="220">
        <v>501</v>
      </c>
      <c r="C560" s="220">
        <v>750</v>
      </c>
      <c r="D560" s="1147">
        <v>13544.734632787135</v>
      </c>
      <c r="E560" s="220">
        <v>20</v>
      </c>
      <c r="F560" s="220">
        <v>17</v>
      </c>
    </row>
    <row r="561" spans="1:6">
      <c r="A561" s="723"/>
      <c r="B561" s="220">
        <v>751</v>
      </c>
      <c r="C561" s="220">
        <v>1000</v>
      </c>
      <c r="D561" s="1147">
        <v>14673.685805058632</v>
      </c>
      <c r="E561" s="220">
        <v>20</v>
      </c>
      <c r="F561" s="220">
        <v>17</v>
      </c>
    </row>
    <row r="562" spans="1:6">
      <c r="A562" s="723"/>
      <c r="B562" s="220">
        <v>1001</v>
      </c>
      <c r="C562" s="220">
        <v>1500</v>
      </c>
      <c r="D562" s="1147">
        <v>23797.511491856763</v>
      </c>
      <c r="E562" s="220">
        <v>20</v>
      </c>
      <c r="F562" s="220">
        <v>17</v>
      </c>
    </row>
    <row r="563" spans="1:6">
      <c r="A563" s="723"/>
      <c r="B563" s="220">
        <v>1501</v>
      </c>
      <c r="C563" s="220">
        <v>2000</v>
      </c>
      <c r="D563" s="1147">
        <v>28863.819599104849</v>
      </c>
      <c r="E563" s="220">
        <v>20</v>
      </c>
      <c r="F563" s="220">
        <v>17</v>
      </c>
    </row>
    <row r="564" spans="1:6">
      <c r="A564" s="723"/>
      <c r="B564" s="220">
        <v>2001</v>
      </c>
      <c r="C564" s="220" t="s">
        <v>5661</v>
      </c>
      <c r="D564" s="1147" t="s">
        <v>5661</v>
      </c>
      <c r="E564" s="220">
        <v>20</v>
      </c>
      <c r="F564" s="220">
        <v>17</v>
      </c>
    </row>
    <row r="567" spans="1:6">
      <c r="A567" s="1128" t="s">
        <v>5651</v>
      </c>
      <c r="B567" s="1128" t="s">
        <v>5849</v>
      </c>
      <c r="C567" s="1128"/>
      <c r="D567" s="1128"/>
      <c r="E567" s="1128"/>
      <c r="F567" s="1128"/>
    </row>
    <row r="568" spans="1:6">
      <c r="A568" s="1146">
        <v>43</v>
      </c>
      <c r="B568" s="1127" t="s">
        <v>5763</v>
      </c>
      <c r="C568" s="1127" t="s">
        <v>5764</v>
      </c>
      <c r="D568" s="1133" t="s">
        <v>5660</v>
      </c>
      <c r="E568" s="1127" t="s">
        <v>5653</v>
      </c>
      <c r="F568" s="1127" t="s">
        <v>5654</v>
      </c>
    </row>
    <row r="569" spans="1:6">
      <c r="A569" s="723" t="s">
        <v>5850</v>
      </c>
      <c r="B569" s="220">
        <v>0</v>
      </c>
      <c r="C569" s="220">
        <v>0.75</v>
      </c>
      <c r="D569" s="1147">
        <v>5046.2119844357976</v>
      </c>
      <c r="E569" s="220">
        <v>15</v>
      </c>
      <c r="F569" s="220">
        <v>14</v>
      </c>
    </row>
    <row r="570" spans="1:6">
      <c r="A570" s="723"/>
      <c r="B570" s="220">
        <v>0.76</v>
      </c>
      <c r="C570" s="220">
        <v>1</v>
      </c>
      <c r="D570" s="1147">
        <v>3719.3050000000003</v>
      </c>
      <c r="E570" s="220">
        <v>15</v>
      </c>
      <c r="F570" s="220">
        <v>14</v>
      </c>
    </row>
    <row r="571" spans="1:6">
      <c r="A571" s="723"/>
      <c r="B571" s="220">
        <v>1.1000000000000001</v>
      </c>
      <c r="C571" s="220">
        <v>1.5</v>
      </c>
      <c r="D571" s="1147">
        <v>3762.3734647887327</v>
      </c>
      <c r="E571" s="220">
        <v>15</v>
      </c>
      <c r="F571" s="220">
        <v>14</v>
      </c>
    </row>
    <row r="572" spans="1:6">
      <c r="A572" s="723"/>
      <c r="B572" s="220">
        <v>1.6</v>
      </c>
      <c r="C572" s="220">
        <v>2</v>
      </c>
      <c r="D572" s="1147">
        <v>3899.756109589041</v>
      </c>
      <c r="E572" s="220">
        <v>15</v>
      </c>
      <c r="F572" s="220">
        <v>14</v>
      </c>
    </row>
    <row r="573" spans="1:6">
      <c r="A573" s="723"/>
      <c r="B573" s="220">
        <v>2.1</v>
      </c>
      <c r="C573" s="220">
        <v>2.5</v>
      </c>
      <c r="D573" s="1147">
        <v>3894.0035399999997</v>
      </c>
      <c r="E573" s="220">
        <v>15</v>
      </c>
      <c r="F573" s="220">
        <v>14</v>
      </c>
    </row>
    <row r="574" spans="1:6">
      <c r="A574" s="723"/>
      <c r="B574" s="220">
        <v>2.6</v>
      </c>
      <c r="C574" s="220">
        <v>3</v>
      </c>
      <c r="D574" s="1147">
        <v>4108.8077378640774</v>
      </c>
      <c r="E574" s="220">
        <v>15</v>
      </c>
      <c r="F574" s="220">
        <v>14</v>
      </c>
    </row>
    <row r="575" spans="1:6">
      <c r="A575" s="723"/>
      <c r="B575" s="220">
        <v>3.1</v>
      </c>
      <c r="C575" s="220">
        <v>4</v>
      </c>
      <c r="D575" s="1147">
        <v>4281.420210752688</v>
      </c>
      <c r="E575" s="220">
        <v>15</v>
      </c>
      <c r="F575" s="220">
        <v>14</v>
      </c>
    </row>
    <row r="576" spans="1:6">
      <c r="A576" s="723"/>
      <c r="B576" s="220">
        <v>4.0999999999999996</v>
      </c>
      <c r="C576" s="220">
        <v>6</v>
      </c>
      <c r="D576" s="1147">
        <v>6813.2262666666675</v>
      </c>
      <c r="E576" s="220">
        <v>15</v>
      </c>
      <c r="F576" s="220">
        <v>14</v>
      </c>
    </row>
    <row r="577" spans="1:6">
      <c r="A577" s="723"/>
      <c r="B577" s="220">
        <v>6.1</v>
      </c>
      <c r="C577" s="220">
        <v>8</v>
      </c>
      <c r="D577" s="1147">
        <v>9089.8655287356323</v>
      </c>
      <c r="E577" s="220">
        <v>15</v>
      </c>
      <c r="F577" s="220">
        <v>14</v>
      </c>
    </row>
    <row r="578" spans="1:6">
      <c r="A578" s="723"/>
      <c r="B578" s="220">
        <v>8.1</v>
      </c>
      <c r="C578" s="220">
        <v>10</v>
      </c>
      <c r="D578" s="1147">
        <v>12176.345693430656</v>
      </c>
      <c r="E578" s="220">
        <v>15</v>
      </c>
      <c r="F578" s="220">
        <v>14</v>
      </c>
    </row>
    <row r="579" spans="1:6">
      <c r="A579" s="723"/>
      <c r="B579" s="220">
        <v>10.1</v>
      </c>
      <c r="C579" s="220">
        <v>12</v>
      </c>
      <c r="D579" s="1147">
        <v>12145.340729927009</v>
      </c>
      <c r="E579" s="220">
        <v>15</v>
      </c>
      <c r="F579" s="220">
        <v>14</v>
      </c>
    </row>
    <row r="580" spans="1:6">
      <c r="A580" s="723"/>
      <c r="B580" s="220">
        <v>12.1</v>
      </c>
      <c r="C580" s="220">
        <v>14</v>
      </c>
      <c r="D580" s="1147">
        <v>10284.360875912409</v>
      </c>
      <c r="E580" s="220">
        <v>15</v>
      </c>
      <c r="F580" s="220">
        <v>14</v>
      </c>
    </row>
    <row r="581" spans="1:6">
      <c r="A581" s="723"/>
      <c r="B581" s="220">
        <v>14.1</v>
      </c>
      <c r="C581" s="220">
        <v>16</v>
      </c>
      <c r="D581" s="1147">
        <v>12564.606131386863</v>
      </c>
      <c r="E581" s="220">
        <v>15</v>
      </c>
      <c r="F581" s="220">
        <v>14</v>
      </c>
    </row>
    <row r="582" spans="1:6">
      <c r="A582" s="723"/>
      <c r="B582" s="220">
        <v>16.100000000000001</v>
      </c>
      <c r="C582" s="220">
        <v>18</v>
      </c>
      <c r="D582" s="1147">
        <v>10867.900729927009</v>
      </c>
      <c r="E582" s="220">
        <v>15</v>
      </c>
      <c r="F582" s="220">
        <v>14</v>
      </c>
    </row>
    <row r="583" spans="1:6">
      <c r="A583" s="723"/>
      <c r="B583" s="220">
        <v>18.100000000000001</v>
      </c>
      <c r="C583" s="220">
        <v>20</v>
      </c>
      <c r="D583" s="1147">
        <v>14743.154452554745</v>
      </c>
      <c r="E583" s="220">
        <v>15</v>
      </c>
      <c r="F583" s="220">
        <v>14</v>
      </c>
    </row>
    <row r="584" spans="1:6">
      <c r="A584" s="723"/>
      <c r="B584" s="220">
        <v>20.100000000000001</v>
      </c>
      <c r="C584" s="220">
        <v>24</v>
      </c>
      <c r="D584" s="1147">
        <v>19627.052846715331</v>
      </c>
      <c r="E584" s="220">
        <v>15</v>
      </c>
      <c r="F584" s="220">
        <v>14</v>
      </c>
    </row>
    <row r="585" spans="1:6">
      <c r="A585" s="723"/>
      <c r="B585" s="220">
        <v>24.1</v>
      </c>
      <c r="C585" s="220">
        <v>30</v>
      </c>
      <c r="D585" s="1147">
        <v>22949.66189781022</v>
      </c>
      <c r="E585" s="220">
        <v>15</v>
      </c>
      <c r="F585" s="220">
        <v>14</v>
      </c>
    </row>
    <row r="586" spans="1:6">
      <c r="A586" s="723"/>
      <c r="B586" s="220">
        <v>30.1</v>
      </c>
      <c r="C586" s="220">
        <v>36</v>
      </c>
      <c r="D586" s="1147">
        <v>30908.188029197081</v>
      </c>
      <c r="E586" s="220">
        <v>15</v>
      </c>
      <c r="F586" s="220">
        <v>14</v>
      </c>
    </row>
    <row r="587" spans="1:6">
      <c r="A587" s="723"/>
      <c r="B587" s="220">
        <v>36.1</v>
      </c>
      <c r="C587" s="220" t="s">
        <v>5661</v>
      </c>
      <c r="D587" s="1147" t="s">
        <v>5661</v>
      </c>
      <c r="E587" s="220">
        <v>15</v>
      </c>
      <c r="F587" s="220">
        <v>14</v>
      </c>
    </row>
    <row r="590" spans="1:6">
      <c r="A590" s="1128" t="s">
        <v>5666</v>
      </c>
      <c r="B590" s="1128" t="s">
        <v>5851</v>
      </c>
      <c r="C590" s="1128"/>
      <c r="D590" s="1128"/>
      <c r="E590" s="1128"/>
      <c r="F590" s="1128"/>
    </row>
    <row r="591" spans="1:6">
      <c r="A591" s="1146">
        <v>2</v>
      </c>
      <c r="B591" s="1127"/>
      <c r="C591" s="1127" t="s">
        <v>2961</v>
      </c>
      <c r="D591" s="1127" t="s">
        <v>5660</v>
      </c>
      <c r="E591" s="1127" t="s">
        <v>5653</v>
      </c>
      <c r="F591" s="1127" t="s">
        <v>5654</v>
      </c>
    </row>
    <row r="592" spans="1:6">
      <c r="A592" s="723" t="s">
        <v>5855</v>
      </c>
      <c r="B592" s="220" t="s">
        <v>464</v>
      </c>
      <c r="C592" s="220" t="s">
        <v>1777</v>
      </c>
      <c r="D592" s="1148">
        <v>44</v>
      </c>
      <c r="E592" s="633">
        <v>40</v>
      </c>
      <c r="F592" s="633">
        <v>35</v>
      </c>
    </row>
    <row r="593" spans="1:6">
      <c r="A593" s="723"/>
      <c r="B593" s="220" t="s">
        <v>465</v>
      </c>
      <c r="C593" s="220" t="s">
        <v>5852</v>
      </c>
      <c r="D593" s="1148">
        <v>460</v>
      </c>
      <c r="E593" s="633">
        <v>40</v>
      </c>
      <c r="F593" s="633">
        <v>35</v>
      </c>
    </row>
    <row r="594" spans="1:6">
      <c r="A594" s="723"/>
      <c r="B594" s="220" t="s">
        <v>5853</v>
      </c>
      <c r="C594" s="220" t="s">
        <v>3746</v>
      </c>
      <c r="D594" s="1148">
        <v>47.774999999999999</v>
      </c>
      <c r="E594" s="633">
        <v>40</v>
      </c>
      <c r="F594" s="633">
        <v>35</v>
      </c>
    </row>
    <row r="595" spans="1:6">
      <c r="A595" s="723"/>
      <c r="B595" s="220" t="s">
        <v>5854</v>
      </c>
      <c r="C595" s="220" t="s">
        <v>3746</v>
      </c>
      <c r="D595" s="1148">
        <v>43.491623083060013</v>
      </c>
      <c r="E595" s="633">
        <v>40</v>
      </c>
      <c r="F595" s="633">
        <v>35</v>
      </c>
    </row>
    <row r="598" spans="1:6">
      <c r="A598" s="1128" t="s">
        <v>5818</v>
      </c>
      <c r="B598" s="1128" t="s">
        <v>5856</v>
      </c>
      <c r="C598" s="1128"/>
      <c r="D598" s="1128"/>
      <c r="E598" s="1128"/>
      <c r="F598" s="1128"/>
    </row>
    <row r="599" spans="1:6">
      <c r="A599" s="1146">
        <v>29</v>
      </c>
      <c r="B599" s="1127" t="s">
        <v>5820</v>
      </c>
      <c r="C599" s="1127" t="s">
        <v>5857</v>
      </c>
      <c r="D599" s="1133" t="s">
        <v>5660</v>
      </c>
      <c r="E599" s="1127" t="s">
        <v>5653</v>
      </c>
      <c r="F599" s="1127" t="s">
        <v>5654</v>
      </c>
    </row>
    <row r="600" spans="1:6">
      <c r="A600" s="723" t="s">
        <v>5858</v>
      </c>
      <c r="B600" s="220">
        <v>0</v>
      </c>
      <c r="C600" s="220">
        <v>0.33333333333333331</v>
      </c>
      <c r="D600" s="1147">
        <v>2576.0571507413197</v>
      </c>
      <c r="E600" s="220">
        <v>25</v>
      </c>
      <c r="F600" s="220">
        <v>22</v>
      </c>
    </row>
    <row r="601" spans="1:6">
      <c r="A601" s="723"/>
      <c r="B601" s="220">
        <v>0.34</v>
      </c>
      <c r="C601" s="220">
        <v>0.5</v>
      </c>
      <c r="D601" s="1147">
        <v>3281.4726797331573</v>
      </c>
      <c r="E601" s="220">
        <v>25</v>
      </c>
      <c r="F601" s="220">
        <v>22</v>
      </c>
    </row>
    <row r="602" spans="1:6">
      <c r="A602" s="723"/>
      <c r="B602" s="220">
        <v>0.51</v>
      </c>
      <c r="C602" s="220">
        <v>0.75</v>
      </c>
      <c r="D602" s="1147">
        <v>2703.2428881584933</v>
      </c>
      <c r="E602" s="220">
        <v>25</v>
      </c>
      <c r="F602" s="220">
        <v>22</v>
      </c>
    </row>
    <row r="603" spans="1:6">
      <c r="A603" s="723"/>
      <c r="B603" s="220">
        <v>0.76</v>
      </c>
      <c r="C603" s="220">
        <v>1</v>
      </c>
      <c r="D603" s="1147">
        <v>3740.58217089759</v>
      </c>
      <c r="E603" s="220">
        <v>25</v>
      </c>
      <c r="F603" s="220">
        <v>22</v>
      </c>
    </row>
    <row r="604" spans="1:6">
      <c r="A604" s="723"/>
      <c r="B604" s="220">
        <v>1.1000000000000001</v>
      </c>
      <c r="C604" s="220">
        <v>1.5</v>
      </c>
      <c r="D604" s="1147">
        <v>3059.3629529265804</v>
      </c>
      <c r="E604" s="220">
        <v>25</v>
      </c>
      <c r="F604" s="220">
        <v>22</v>
      </c>
    </row>
    <row r="605" spans="1:6">
      <c r="A605" s="723"/>
      <c r="B605" s="220">
        <v>1.6</v>
      </c>
      <c r="C605" s="220">
        <v>2</v>
      </c>
      <c r="D605" s="1147">
        <v>3689.7078759307205</v>
      </c>
      <c r="E605" s="220">
        <v>25</v>
      </c>
      <c r="F605" s="220">
        <v>22</v>
      </c>
    </row>
    <row r="606" spans="1:6">
      <c r="A606" s="723"/>
      <c r="B606" s="220">
        <v>2.1</v>
      </c>
      <c r="C606" s="220">
        <v>4</v>
      </c>
      <c r="D606" s="1147">
        <v>3958.3489700850441</v>
      </c>
      <c r="E606" s="220">
        <v>25</v>
      </c>
      <c r="F606" s="220">
        <v>22</v>
      </c>
    </row>
    <row r="607" spans="1:6">
      <c r="A607" s="723"/>
      <c r="B607" s="220">
        <v>4.0999999999999996</v>
      </c>
      <c r="C607" s="220" t="s">
        <v>5661</v>
      </c>
      <c r="D607" s="1147" t="s">
        <v>5661</v>
      </c>
      <c r="E607" s="220">
        <v>25</v>
      </c>
      <c r="F607" s="220">
        <v>22</v>
      </c>
    </row>
    <row r="610" spans="1:6">
      <c r="A610" s="1152" t="s">
        <v>5683</v>
      </c>
      <c r="B610" s="1128" t="s">
        <v>5859</v>
      </c>
      <c r="C610" s="1132"/>
      <c r="D610" s="1166"/>
      <c r="E610" s="1132"/>
      <c r="F610" s="1167"/>
    </row>
    <row r="611" spans="1:6">
      <c r="A611" s="1146">
        <v>26</v>
      </c>
      <c r="B611" s="1133" t="s">
        <v>5860</v>
      </c>
      <c r="C611" s="1133" t="s">
        <v>5861</v>
      </c>
      <c r="D611" s="1168" t="s">
        <v>6517</v>
      </c>
      <c r="E611" s="1133" t="s">
        <v>5653</v>
      </c>
      <c r="F611" s="1169" t="s">
        <v>5654</v>
      </c>
    </row>
    <row r="612" spans="1:6">
      <c r="A612" s="723" t="s">
        <v>5865</v>
      </c>
      <c r="B612" s="633" t="s">
        <v>5193</v>
      </c>
      <c r="C612" s="220" t="s">
        <v>5193</v>
      </c>
      <c r="D612" s="1170">
        <v>4.4485960365853661</v>
      </c>
      <c r="E612" s="538" t="s">
        <v>4504</v>
      </c>
      <c r="F612" s="538" t="s">
        <v>4504</v>
      </c>
    </row>
    <row r="613" spans="1:6">
      <c r="A613" s="723"/>
      <c r="B613" s="220" t="s">
        <v>5198</v>
      </c>
      <c r="C613" s="220" t="s">
        <v>5198</v>
      </c>
      <c r="D613" s="1170">
        <v>2.1213281249999998</v>
      </c>
      <c r="E613" s="538" t="s">
        <v>4504</v>
      </c>
      <c r="F613" s="538" t="s">
        <v>4504</v>
      </c>
    </row>
    <row r="614" spans="1:6">
      <c r="A614" s="723"/>
      <c r="B614" s="220" t="s">
        <v>5862</v>
      </c>
      <c r="C614" s="220" t="s">
        <v>5862</v>
      </c>
      <c r="D614" s="1170">
        <v>1.9179802431015576</v>
      </c>
      <c r="E614" s="538" t="s">
        <v>4504</v>
      </c>
      <c r="F614" s="538" t="s">
        <v>4504</v>
      </c>
    </row>
    <row r="615" spans="1:6">
      <c r="A615" s="723"/>
      <c r="B615" s="220" t="s">
        <v>5194</v>
      </c>
      <c r="C615" s="220" t="s">
        <v>5194</v>
      </c>
      <c r="D615" s="1170">
        <v>3.4358453554625874</v>
      </c>
      <c r="E615" s="538" t="s">
        <v>4504</v>
      </c>
      <c r="F615" s="538" t="s">
        <v>4504</v>
      </c>
    </row>
    <row r="616" spans="1:6">
      <c r="A616" s="723"/>
      <c r="B616" s="220" t="s">
        <v>5195</v>
      </c>
      <c r="C616" s="220" t="s">
        <v>5195</v>
      </c>
      <c r="D616" s="1170">
        <v>1.7402514924242425</v>
      </c>
      <c r="E616" s="538" t="s">
        <v>4504</v>
      </c>
      <c r="F616" s="538" t="s">
        <v>4504</v>
      </c>
    </row>
    <row r="617" spans="1:6">
      <c r="A617" s="723"/>
      <c r="B617" s="220" t="s">
        <v>5863</v>
      </c>
      <c r="C617" s="220" t="s">
        <v>5863</v>
      </c>
      <c r="D617" s="1170">
        <v>2.4705882352941178</v>
      </c>
      <c r="E617" s="538" t="s">
        <v>4504</v>
      </c>
      <c r="F617" s="538" t="s">
        <v>4504</v>
      </c>
    </row>
    <row r="618" spans="1:6">
      <c r="A618" s="723"/>
      <c r="B618" s="220" t="s">
        <v>5196</v>
      </c>
      <c r="C618" s="220" t="s">
        <v>5196</v>
      </c>
      <c r="D618" s="1170">
        <v>3.4978648859696313</v>
      </c>
      <c r="E618" s="538" t="s">
        <v>4504</v>
      </c>
      <c r="F618" s="538" t="s">
        <v>4504</v>
      </c>
    </row>
    <row r="619" spans="1:6">
      <c r="A619" s="723"/>
      <c r="B619" s="1218" t="s">
        <v>5197</v>
      </c>
      <c r="C619" s="1218" t="s">
        <v>5197</v>
      </c>
      <c r="D619" s="1219">
        <v>1.2</v>
      </c>
      <c r="E619" s="1220" t="s">
        <v>4504</v>
      </c>
      <c r="F619" s="1220" t="s">
        <v>4504</v>
      </c>
    </row>
    <row r="620" spans="1:6">
      <c r="A620" s="723"/>
      <c r="B620" s="220" t="s">
        <v>5864</v>
      </c>
      <c r="C620" s="220" t="s">
        <v>5864</v>
      </c>
      <c r="D620" s="1170">
        <v>2.4705882352941178</v>
      </c>
      <c r="E620" s="538" t="s">
        <v>4504</v>
      </c>
      <c r="F620" s="538" t="s">
        <v>4504</v>
      </c>
    </row>
    <row r="623" spans="1:6">
      <c r="A623" s="1128" t="s">
        <v>5651</v>
      </c>
      <c r="B623" s="1128" t="s">
        <v>5866</v>
      </c>
      <c r="C623" s="1128"/>
      <c r="D623" s="1128"/>
      <c r="E623" s="1128"/>
      <c r="F623" s="1128"/>
    </row>
    <row r="624" spans="1:6">
      <c r="A624" s="1146">
        <v>43</v>
      </c>
      <c r="B624" s="1127" t="s">
        <v>5763</v>
      </c>
      <c r="C624" s="1127" t="s">
        <v>5764</v>
      </c>
      <c r="D624" s="1133" t="s">
        <v>5660</v>
      </c>
      <c r="E624" s="1127" t="s">
        <v>5653</v>
      </c>
      <c r="F624" s="1127" t="s">
        <v>5654</v>
      </c>
    </row>
    <row r="625" spans="1:6">
      <c r="A625" s="723" t="s">
        <v>5867</v>
      </c>
      <c r="B625" s="220">
        <v>0</v>
      </c>
      <c r="C625" s="220">
        <v>2</v>
      </c>
      <c r="D625" s="1147">
        <v>1917.9132555761435</v>
      </c>
      <c r="E625" s="220">
        <v>15</v>
      </c>
      <c r="F625" s="220">
        <v>14</v>
      </c>
    </row>
    <row r="626" spans="1:6">
      <c r="A626" s="723"/>
      <c r="B626" s="220">
        <v>2.1</v>
      </c>
      <c r="C626" s="220">
        <v>3</v>
      </c>
      <c r="D626" s="1147">
        <v>2012.2775307939435</v>
      </c>
      <c r="E626" s="220">
        <v>15</v>
      </c>
      <c r="F626" s="220">
        <v>14</v>
      </c>
    </row>
    <row r="627" spans="1:6">
      <c r="A627" s="723"/>
      <c r="B627" s="220">
        <v>3.1</v>
      </c>
      <c r="C627" s="220">
        <v>6</v>
      </c>
      <c r="D627" s="1147">
        <v>3229.2703536375971</v>
      </c>
      <c r="E627" s="220">
        <v>15</v>
      </c>
      <c r="F627" s="220">
        <v>14</v>
      </c>
    </row>
    <row r="628" spans="1:6">
      <c r="A628" s="723"/>
      <c r="B628" s="220">
        <v>6.1</v>
      </c>
      <c r="C628" s="220">
        <v>12</v>
      </c>
      <c r="D628" s="1147">
        <v>5131.3008277058216</v>
      </c>
      <c r="E628" s="220">
        <v>15</v>
      </c>
      <c r="F628" s="220">
        <v>14</v>
      </c>
    </row>
    <row r="629" spans="1:6">
      <c r="A629" s="723"/>
      <c r="B629" s="220">
        <v>12.1</v>
      </c>
      <c r="C629" s="220">
        <v>16</v>
      </c>
      <c r="D629" s="1147">
        <v>6932.5703263810165</v>
      </c>
      <c r="E629" s="220">
        <v>15</v>
      </c>
      <c r="F629" s="220">
        <v>14</v>
      </c>
    </row>
    <row r="630" spans="1:6">
      <c r="A630" s="723"/>
      <c r="B630" s="220">
        <v>16.100000000000001</v>
      </c>
      <c r="C630" s="220">
        <v>24</v>
      </c>
      <c r="D630" s="1147">
        <v>6272.4431261963609</v>
      </c>
      <c r="E630" s="220">
        <v>15</v>
      </c>
      <c r="F630" s="220">
        <v>14</v>
      </c>
    </row>
    <row r="631" spans="1:6">
      <c r="A631" s="723"/>
      <c r="B631" s="220">
        <v>48.1</v>
      </c>
      <c r="C631" s="220">
        <v>60</v>
      </c>
      <c r="D631" s="1147">
        <v>25150.900552878997</v>
      </c>
      <c r="E631" s="220">
        <v>15</v>
      </c>
      <c r="F631" s="220">
        <v>14</v>
      </c>
    </row>
    <row r="632" spans="1:6">
      <c r="A632" s="723"/>
      <c r="B632" s="220">
        <v>60.1</v>
      </c>
      <c r="C632" s="220" t="s">
        <v>5661</v>
      </c>
      <c r="D632" s="1147" t="s">
        <v>5661</v>
      </c>
      <c r="E632" s="220">
        <v>15</v>
      </c>
      <c r="F632" s="220">
        <v>14</v>
      </c>
    </row>
    <row r="635" spans="1:6">
      <c r="A635" s="1128" t="s">
        <v>5868</v>
      </c>
      <c r="B635" s="1128" t="s">
        <v>5869</v>
      </c>
      <c r="C635" s="1128"/>
      <c r="D635" s="1128"/>
      <c r="E635" s="1128"/>
      <c r="F635" s="1128"/>
    </row>
    <row r="636" spans="1:6">
      <c r="A636" s="1146">
        <v>42</v>
      </c>
      <c r="B636" s="1127"/>
      <c r="C636" s="1127"/>
      <c r="D636" s="1133" t="s">
        <v>5660</v>
      </c>
      <c r="E636" s="1127" t="s">
        <v>5653</v>
      </c>
      <c r="F636" s="1127" t="s">
        <v>5654</v>
      </c>
    </row>
    <row r="637" spans="1:6">
      <c r="A637" s="723" t="s">
        <v>5870</v>
      </c>
      <c r="B637" s="220">
        <v>0</v>
      </c>
      <c r="C637" s="220">
        <v>0</v>
      </c>
      <c r="D637" s="1147">
        <v>40.5</v>
      </c>
      <c r="E637" s="220">
        <v>10</v>
      </c>
      <c r="F637" s="220">
        <v>8</v>
      </c>
    </row>
    <row r="640" spans="1:6">
      <c r="A640" s="1128" t="s">
        <v>5871</v>
      </c>
      <c r="B640" s="1128" t="s">
        <v>5872</v>
      </c>
      <c r="C640" s="1128"/>
      <c r="D640" s="1128"/>
      <c r="E640" s="1128"/>
      <c r="F640" s="1128"/>
    </row>
    <row r="641" spans="1:6">
      <c r="A641" s="1146">
        <v>37</v>
      </c>
      <c r="B641" s="1127"/>
      <c r="C641" s="1127"/>
      <c r="D641" s="1133" t="s">
        <v>5660</v>
      </c>
      <c r="E641" s="1127" t="s">
        <v>5653</v>
      </c>
      <c r="F641" s="1127" t="s">
        <v>5654</v>
      </c>
    </row>
    <row r="642" spans="1:6">
      <c r="A642" s="723" t="s">
        <v>5873</v>
      </c>
      <c r="B642" s="220">
        <v>0</v>
      </c>
      <c r="C642" s="220">
        <v>0</v>
      </c>
      <c r="D642" s="1147">
        <v>1325.79</v>
      </c>
      <c r="E642" s="220">
        <v>10</v>
      </c>
      <c r="F642" s="220">
        <v>8</v>
      </c>
    </row>
    <row r="645" spans="1:6">
      <c r="A645" s="1128" t="s">
        <v>5651</v>
      </c>
      <c r="B645" s="1128" t="s">
        <v>5874</v>
      </c>
      <c r="C645" s="1128"/>
      <c r="D645" s="1128"/>
      <c r="E645" s="1128"/>
      <c r="F645" s="1128"/>
    </row>
    <row r="646" spans="1:6">
      <c r="A646" s="1146">
        <v>43</v>
      </c>
      <c r="B646" s="1127"/>
      <c r="C646" s="1127"/>
      <c r="D646" s="1133" t="s">
        <v>5660</v>
      </c>
      <c r="E646" s="1127" t="s">
        <v>5653</v>
      </c>
      <c r="F646" s="1127" t="s">
        <v>5654</v>
      </c>
    </row>
    <row r="647" spans="1:6">
      <c r="A647" s="723" t="s">
        <v>5875</v>
      </c>
      <c r="B647" s="220">
        <v>0</v>
      </c>
      <c r="C647" s="220">
        <v>0</v>
      </c>
      <c r="D647" s="1147">
        <v>3047.1155477538618</v>
      </c>
      <c r="E647" s="220">
        <v>15</v>
      </c>
      <c r="F647" s="220">
        <v>14</v>
      </c>
    </row>
    <row r="650" spans="1:6">
      <c r="A650" s="1149" t="s">
        <v>5672</v>
      </c>
      <c r="B650" s="689">
        <v>0</v>
      </c>
      <c r="C650" s="689">
        <v>0</v>
      </c>
      <c r="D650" s="1150">
        <v>64</v>
      </c>
      <c r="E650" s="689" t="s">
        <v>4504</v>
      </c>
      <c r="F650" s="689" t="s">
        <v>4504</v>
      </c>
    </row>
    <row r="651" spans="1:6">
      <c r="A651" s="1149"/>
      <c r="B651" s="689" t="s">
        <v>5876</v>
      </c>
      <c r="C651" s="689"/>
      <c r="D651" s="689" t="s">
        <v>5664</v>
      </c>
      <c r="E651" s="689" t="s">
        <v>5653</v>
      </c>
      <c r="F651" s="689" t="s">
        <v>5654</v>
      </c>
    </row>
    <row r="652" spans="1:6">
      <c r="A652" s="1134" t="s">
        <v>5877</v>
      </c>
      <c r="B652" s="1127">
        <v>0</v>
      </c>
      <c r="C652" s="1127">
        <v>0</v>
      </c>
      <c r="D652" s="1158">
        <v>284.5</v>
      </c>
      <c r="E652" s="1127" t="s">
        <v>4504</v>
      </c>
      <c r="F652" s="1127" t="s">
        <v>4504</v>
      </c>
    </row>
    <row r="655" spans="1:6">
      <c r="A655" s="1128" t="s">
        <v>5799</v>
      </c>
      <c r="B655" s="1128" t="s">
        <v>5878</v>
      </c>
      <c r="C655" s="1128"/>
      <c r="D655" s="1128"/>
      <c r="E655" s="1128"/>
      <c r="F655" s="1128"/>
    </row>
    <row r="656" spans="1:6">
      <c r="A656" s="1146">
        <v>16</v>
      </c>
      <c r="B656" s="1151" t="s">
        <v>5785</v>
      </c>
      <c r="C656" s="1133" t="s">
        <v>5786</v>
      </c>
      <c r="D656" s="1127" t="s">
        <v>5660</v>
      </c>
      <c r="E656" s="1127" t="s">
        <v>5653</v>
      </c>
      <c r="F656" s="1127" t="s">
        <v>5654</v>
      </c>
    </row>
    <row r="657" spans="1:6">
      <c r="A657" s="723" t="s">
        <v>5879</v>
      </c>
      <c r="B657" s="220">
        <v>0</v>
      </c>
      <c r="C657" s="220">
        <v>60</v>
      </c>
      <c r="D657" s="1147">
        <v>648.92857142857144</v>
      </c>
      <c r="E657" s="220">
        <v>10</v>
      </c>
      <c r="F657" s="220">
        <v>7</v>
      </c>
    </row>
    <row r="658" spans="1:6">
      <c r="A658" s="723"/>
      <c r="B658" s="220">
        <v>61</v>
      </c>
      <c r="C658" s="220">
        <v>100</v>
      </c>
      <c r="D658" s="1147">
        <v>1067.8571428571429</v>
      </c>
      <c r="E658" s="220">
        <v>10</v>
      </c>
      <c r="F658" s="220">
        <v>7</v>
      </c>
    </row>
    <row r="659" spans="1:6">
      <c r="A659" s="723"/>
      <c r="B659" s="220">
        <v>101</v>
      </c>
      <c r="C659" s="220">
        <v>120</v>
      </c>
      <c r="D659" s="1147">
        <v>745.85714285714289</v>
      </c>
      <c r="E659" s="220">
        <v>10</v>
      </c>
      <c r="F659" s="220">
        <v>7</v>
      </c>
    </row>
    <row r="660" spans="1:6">
      <c r="A660" s="723"/>
      <c r="B660" s="220">
        <v>121</v>
      </c>
      <c r="C660" s="220">
        <v>155</v>
      </c>
      <c r="D660" s="1147">
        <v>821.42857142857133</v>
      </c>
      <c r="E660" s="220">
        <v>10</v>
      </c>
      <c r="F660" s="220">
        <v>7</v>
      </c>
    </row>
    <row r="661" spans="1:6">
      <c r="A661" s="723"/>
      <c r="B661" s="220">
        <v>156</v>
      </c>
      <c r="C661" s="220">
        <v>200</v>
      </c>
      <c r="D661" s="1147">
        <v>903.57142857142856</v>
      </c>
      <c r="E661" s="220">
        <v>10</v>
      </c>
      <c r="F661" s="220">
        <v>7</v>
      </c>
    </row>
    <row r="662" spans="1:6">
      <c r="A662" s="723"/>
      <c r="B662" s="220">
        <v>201</v>
      </c>
      <c r="C662" s="220">
        <v>205</v>
      </c>
      <c r="D662" s="1147">
        <v>1412.8571428571427</v>
      </c>
      <c r="E662" s="220">
        <v>10</v>
      </c>
      <c r="F662" s="220">
        <v>7</v>
      </c>
    </row>
    <row r="663" spans="1:6">
      <c r="A663" s="723"/>
      <c r="B663" s="220">
        <v>206</v>
      </c>
      <c r="C663" s="220">
        <v>295</v>
      </c>
      <c r="D663" s="1147">
        <v>1150</v>
      </c>
      <c r="E663" s="220">
        <v>10</v>
      </c>
      <c r="F663" s="220">
        <v>7</v>
      </c>
    </row>
    <row r="664" spans="1:6">
      <c r="A664" s="723"/>
      <c r="B664" s="220">
        <v>296</v>
      </c>
      <c r="C664" s="220">
        <v>300</v>
      </c>
      <c r="D664" s="1147">
        <v>1288</v>
      </c>
      <c r="E664" s="220">
        <v>10</v>
      </c>
      <c r="F664" s="220">
        <v>7</v>
      </c>
    </row>
    <row r="665" spans="1:6">
      <c r="A665" s="723"/>
      <c r="B665" s="220">
        <v>301</v>
      </c>
      <c r="C665" s="220">
        <v>540</v>
      </c>
      <c r="D665" s="1147">
        <v>1827.6785714285716</v>
      </c>
      <c r="E665" s="220">
        <v>10</v>
      </c>
      <c r="F665" s="220">
        <v>7</v>
      </c>
    </row>
    <row r="666" spans="1:6">
      <c r="A666" s="723"/>
      <c r="B666" s="220">
        <v>541</v>
      </c>
      <c r="C666" s="220">
        <v>550</v>
      </c>
      <c r="D666" s="1147">
        <v>1339.5735294117649</v>
      </c>
      <c r="E666" s="220">
        <v>10</v>
      </c>
      <c r="F666" s="220">
        <v>7</v>
      </c>
    </row>
    <row r="667" spans="1:6">
      <c r="A667" s="723"/>
      <c r="B667" s="220">
        <v>551</v>
      </c>
      <c r="C667" s="220">
        <v>850</v>
      </c>
      <c r="D667" s="1147">
        <v>1913.6764705882354</v>
      </c>
      <c r="E667" s="220">
        <v>10</v>
      </c>
      <c r="F667" s="220">
        <v>7</v>
      </c>
    </row>
    <row r="668" spans="1:6">
      <c r="A668" s="723"/>
      <c r="B668" s="220">
        <v>851</v>
      </c>
      <c r="C668" s="220">
        <v>1000</v>
      </c>
      <c r="D668" s="1147">
        <v>1653.4642857142858</v>
      </c>
      <c r="E668" s="220">
        <v>10</v>
      </c>
      <c r="F668" s="220">
        <v>7</v>
      </c>
    </row>
    <row r="669" spans="1:6">
      <c r="A669" s="723"/>
      <c r="B669" s="220">
        <v>1001</v>
      </c>
      <c r="C669" s="220">
        <v>1050</v>
      </c>
      <c r="D669" s="1147">
        <v>3015</v>
      </c>
      <c r="E669" s="220">
        <v>10</v>
      </c>
      <c r="F669" s="220">
        <v>7</v>
      </c>
    </row>
    <row r="670" spans="1:6">
      <c r="A670" s="723"/>
      <c r="B670" s="220">
        <v>1051</v>
      </c>
      <c r="C670" s="220">
        <v>1200</v>
      </c>
      <c r="D670" s="1147">
        <v>2413.1964285714284</v>
      </c>
      <c r="E670" s="220">
        <v>10</v>
      </c>
      <c r="F670" s="220">
        <v>7</v>
      </c>
    </row>
    <row r="671" spans="1:6">
      <c r="A671" s="723"/>
      <c r="B671" s="220">
        <v>1201</v>
      </c>
      <c r="C671" s="220">
        <v>1450</v>
      </c>
      <c r="D671" s="1147">
        <v>1917.875</v>
      </c>
      <c r="E671" s="220">
        <v>10</v>
      </c>
      <c r="F671" s="220">
        <v>7</v>
      </c>
    </row>
    <row r="672" spans="1:6">
      <c r="A672" s="723"/>
      <c r="B672" s="220">
        <v>1451</v>
      </c>
      <c r="C672" s="220">
        <v>1500</v>
      </c>
      <c r="D672" s="1147">
        <v>3619.2413793103447</v>
      </c>
      <c r="E672" s="220">
        <v>10</v>
      </c>
      <c r="F672" s="220">
        <v>7</v>
      </c>
    </row>
    <row r="673" spans="1:6">
      <c r="A673" s="723"/>
      <c r="B673" s="220">
        <v>1501</v>
      </c>
      <c r="C673" s="220">
        <v>2000</v>
      </c>
      <c r="D673" s="1147">
        <v>4125.1886304909558</v>
      </c>
      <c r="E673" s="220">
        <v>10</v>
      </c>
      <c r="F673" s="220">
        <v>7</v>
      </c>
    </row>
    <row r="674" spans="1:6">
      <c r="A674" s="723"/>
      <c r="B674" s="220">
        <v>2001</v>
      </c>
      <c r="C674" s="220">
        <v>2450</v>
      </c>
      <c r="D674" s="1147">
        <v>3836.3617571059431</v>
      </c>
      <c r="E674" s="220">
        <v>10</v>
      </c>
      <c r="F674" s="220">
        <v>7</v>
      </c>
    </row>
    <row r="675" spans="1:6">
      <c r="A675" s="723"/>
      <c r="B675" s="220">
        <v>2451</v>
      </c>
      <c r="C675" s="220">
        <v>2500</v>
      </c>
      <c r="D675" s="1147">
        <v>5598.2635658914724</v>
      </c>
      <c r="E675" s="220">
        <v>10</v>
      </c>
      <c r="F675" s="220">
        <v>7</v>
      </c>
    </row>
    <row r="676" spans="1:6">
      <c r="A676" s="723"/>
      <c r="B676" s="220">
        <v>2501</v>
      </c>
      <c r="C676" s="220">
        <v>2550</v>
      </c>
      <c r="D676" s="1147">
        <v>7703.9793281653738</v>
      </c>
      <c r="E676" s="220">
        <v>10</v>
      </c>
      <c r="F676" s="220">
        <v>7</v>
      </c>
    </row>
    <row r="677" spans="1:6">
      <c r="A677" s="723"/>
      <c r="B677" s="220">
        <v>2551</v>
      </c>
      <c r="C677" s="220">
        <v>3000</v>
      </c>
      <c r="D677" s="1147">
        <v>5615.0490956072354</v>
      </c>
      <c r="E677" s="220">
        <v>10</v>
      </c>
      <c r="F677" s="220">
        <v>7</v>
      </c>
    </row>
    <row r="678" spans="1:6">
      <c r="A678" s="723"/>
      <c r="B678" s="220">
        <v>3001</v>
      </c>
      <c r="C678" s="220">
        <v>4200</v>
      </c>
      <c r="D678" s="1147">
        <v>8250.3772609819116</v>
      </c>
      <c r="E678" s="220">
        <v>10</v>
      </c>
      <c r="F678" s="220">
        <v>7</v>
      </c>
    </row>
    <row r="679" spans="1:6">
      <c r="A679" s="723"/>
      <c r="B679" s="220">
        <v>4201</v>
      </c>
      <c r="C679" s="220">
        <v>5200</v>
      </c>
      <c r="D679" s="1147">
        <v>11687.261780104711</v>
      </c>
      <c r="E679" s="220">
        <v>10</v>
      </c>
      <c r="F679" s="220">
        <v>7</v>
      </c>
    </row>
    <row r="680" spans="1:6">
      <c r="A680" s="723"/>
      <c r="B680" s="220">
        <v>5201</v>
      </c>
      <c r="C680" s="220">
        <v>5300</v>
      </c>
      <c r="D680" s="1147">
        <v>13787.82722513089</v>
      </c>
      <c r="E680" s="220">
        <v>10</v>
      </c>
      <c r="F680" s="220">
        <v>7</v>
      </c>
    </row>
    <row r="681" spans="1:6">
      <c r="A681" s="723"/>
      <c r="B681" s="220">
        <v>5301</v>
      </c>
      <c r="C681" s="220">
        <v>6500</v>
      </c>
      <c r="D681" s="1147">
        <v>14716.570680628272</v>
      </c>
      <c r="E681" s="220">
        <v>10</v>
      </c>
      <c r="F681" s="220">
        <v>7</v>
      </c>
    </row>
    <row r="682" spans="1:6">
      <c r="A682" s="723"/>
      <c r="B682" s="220">
        <v>6501</v>
      </c>
      <c r="C682" s="220">
        <v>6600</v>
      </c>
      <c r="D682" s="1147">
        <v>17680.523560209422</v>
      </c>
      <c r="E682" s="220">
        <v>10</v>
      </c>
      <c r="F682" s="220">
        <v>7</v>
      </c>
    </row>
    <row r="683" spans="1:6">
      <c r="A683" s="723"/>
      <c r="B683" s="220">
        <v>6601</v>
      </c>
      <c r="C683" s="220" t="s">
        <v>5661</v>
      </c>
      <c r="D683" s="1147" t="s">
        <v>5661</v>
      </c>
      <c r="E683" s="220">
        <v>10</v>
      </c>
      <c r="F683" s="220">
        <v>7</v>
      </c>
    </row>
    <row r="686" spans="1:6">
      <c r="A686" s="1128" t="s">
        <v>5880</v>
      </c>
      <c r="B686" s="1128" t="s">
        <v>5881</v>
      </c>
      <c r="C686" s="1128"/>
      <c r="D686" s="1128"/>
      <c r="E686" s="1128"/>
      <c r="F686" s="1128"/>
    </row>
    <row r="687" spans="1:6">
      <c r="A687" s="1146">
        <v>36</v>
      </c>
      <c r="B687" s="1127"/>
      <c r="C687" s="1127"/>
      <c r="D687" s="1133" t="s">
        <v>5660</v>
      </c>
      <c r="E687" s="1127" t="s">
        <v>5653</v>
      </c>
      <c r="F687" s="1127" t="s">
        <v>5654</v>
      </c>
    </row>
    <row r="688" spans="1:6">
      <c r="A688" s="723" t="s">
        <v>5882</v>
      </c>
      <c r="B688" s="220">
        <v>0</v>
      </c>
      <c r="C688" s="220">
        <v>0</v>
      </c>
      <c r="D688" s="1147">
        <v>20680.739999999998</v>
      </c>
      <c r="E688" s="220">
        <v>10</v>
      </c>
      <c r="F688" s="220">
        <v>8</v>
      </c>
    </row>
    <row r="691" spans="1:6">
      <c r="A691" s="1128" t="s">
        <v>5880</v>
      </c>
      <c r="B691" s="1128" t="s">
        <v>5883</v>
      </c>
      <c r="C691" s="1128"/>
      <c r="D691" s="1128"/>
      <c r="E691" s="1128"/>
      <c r="F691" s="1128"/>
    </row>
    <row r="692" spans="1:6">
      <c r="A692" s="1146">
        <v>36</v>
      </c>
      <c r="B692" s="1127"/>
      <c r="C692" s="1127"/>
      <c r="D692" s="1133" t="s">
        <v>5660</v>
      </c>
      <c r="E692" s="1127" t="s">
        <v>5653</v>
      </c>
      <c r="F692" s="1127" t="s">
        <v>5654</v>
      </c>
    </row>
    <row r="693" spans="1:6">
      <c r="A693" s="723" t="s">
        <v>5884</v>
      </c>
      <c r="B693" s="220">
        <v>0</v>
      </c>
      <c r="C693" s="220">
        <v>0</v>
      </c>
      <c r="D693" s="1147">
        <v>107.74000000000001</v>
      </c>
      <c r="E693" s="220">
        <v>10</v>
      </c>
      <c r="F693" s="220">
        <v>8</v>
      </c>
    </row>
    <row r="696" spans="1:6">
      <c r="A696" s="1128" t="s">
        <v>5868</v>
      </c>
      <c r="B696" s="1128" t="s">
        <v>5885</v>
      </c>
      <c r="C696" s="1128"/>
      <c r="D696" s="1128"/>
      <c r="E696" s="1128"/>
      <c r="F696" s="1128"/>
    </row>
    <row r="697" spans="1:6">
      <c r="A697" s="1146">
        <v>42</v>
      </c>
      <c r="B697" s="1127"/>
      <c r="C697" s="1127"/>
      <c r="D697" s="1133" t="s">
        <v>5660</v>
      </c>
      <c r="E697" s="1127" t="s">
        <v>5653</v>
      </c>
      <c r="F697" s="1127" t="s">
        <v>5654</v>
      </c>
    </row>
    <row r="698" spans="1:6">
      <c r="A698" s="723" t="s">
        <v>5886</v>
      </c>
      <c r="B698" s="220">
        <v>0</v>
      </c>
      <c r="C698" s="220">
        <v>0</v>
      </c>
      <c r="D698" s="1147">
        <v>142.66999999999999</v>
      </c>
      <c r="E698" s="220">
        <v>10</v>
      </c>
      <c r="F698" s="220">
        <v>8</v>
      </c>
    </row>
    <row r="701" spans="1:6">
      <c r="A701" s="1128" t="s">
        <v>5868</v>
      </c>
      <c r="B701" s="1128" t="s">
        <v>5887</v>
      </c>
      <c r="C701" s="1128"/>
      <c r="D701" s="1128"/>
      <c r="E701" s="1128"/>
      <c r="F701" s="1128"/>
    </row>
    <row r="702" spans="1:6">
      <c r="A702" s="1146">
        <v>42</v>
      </c>
      <c r="B702" s="1127"/>
      <c r="C702" s="1127"/>
      <c r="D702" s="1133" t="s">
        <v>5660</v>
      </c>
      <c r="E702" s="1127" t="s">
        <v>5653</v>
      </c>
      <c r="F702" s="1127" t="s">
        <v>5654</v>
      </c>
    </row>
    <row r="703" spans="1:6">
      <c r="A703" s="723" t="s">
        <v>5888</v>
      </c>
      <c r="B703" s="220">
        <v>0</v>
      </c>
      <c r="C703" s="220">
        <v>0</v>
      </c>
      <c r="D703" s="1147">
        <v>557.33500000000004</v>
      </c>
      <c r="E703" s="220">
        <v>10</v>
      </c>
      <c r="F703" s="220">
        <v>8</v>
      </c>
    </row>
    <row r="706" spans="1:6">
      <c r="A706" s="1128" t="s">
        <v>5868</v>
      </c>
      <c r="B706" s="1128" t="s">
        <v>5889</v>
      </c>
      <c r="C706" s="1128"/>
      <c r="D706" s="1128"/>
      <c r="E706" s="1128"/>
      <c r="F706" s="1128"/>
    </row>
    <row r="707" spans="1:6">
      <c r="A707" s="1146">
        <v>42</v>
      </c>
      <c r="B707" s="1127"/>
      <c r="C707" s="1127"/>
      <c r="D707" s="1133" t="s">
        <v>5660</v>
      </c>
      <c r="E707" s="1127" t="s">
        <v>5653</v>
      </c>
      <c r="F707" s="1127" t="s">
        <v>5654</v>
      </c>
    </row>
    <row r="708" spans="1:6">
      <c r="A708" s="723" t="s">
        <v>5890</v>
      </c>
      <c r="B708" s="220">
        <v>0</v>
      </c>
      <c r="C708" s="220">
        <v>0</v>
      </c>
      <c r="D708" s="1147">
        <v>378.8</v>
      </c>
      <c r="E708" s="220">
        <v>10</v>
      </c>
      <c r="F708" s="220">
        <v>8</v>
      </c>
    </row>
    <row r="711" spans="1:6">
      <c r="A711" s="1128" t="s">
        <v>5868</v>
      </c>
      <c r="B711" s="1128" t="s">
        <v>5891</v>
      </c>
      <c r="C711" s="1128"/>
      <c r="D711" s="1128"/>
      <c r="E711" s="1128"/>
      <c r="F711" s="1128"/>
    </row>
    <row r="712" spans="1:6">
      <c r="A712" s="1146">
        <v>42</v>
      </c>
      <c r="B712" s="1127"/>
      <c r="C712" s="1127"/>
      <c r="D712" s="1133" t="s">
        <v>5660</v>
      </c>
      <c r="E712" s="1127" t="s">
        <v>5653</v>
      </c>
      <c r="F712" s="1127" t="s">
        <v>5654</v>
      </c>
    </row>
    <row r="713" spans="1:6">
      <c r="A713" s="723" t="s">
        <v>5892</v>
      </c>
      <c r="B713" s="220">
        <v>0</v>
      </c>
      <c r="C713" s="220">
        <v>0</v>
      </c>
      <c r="D713" s="1147">
        <v>597.23500000000001</v>
      </c>
      <c r="E713" s="220">
        <v>10</v>
      </c>
      <c r="F713" s="220">
        <v>8</v>
      </c>
    </row>
    <row r="716" spans="1:6">
      <c r="A716" s="1128" t="s">
        <v>5868</v>
      </c>
      <c r="B716" s="1128" t="s">
        <v>5893</v>
      </c>
      <c r="C716" s="1128"/>
      <c r="D716" s="1128"/>
      <c r="E716" s="1128"/>
      <c r="F716" s="1128"/>
    </row>
    <row r="717" spans="1:6">
      <c r="A717" s="1146">
        <v>42</v>
      </c>
      <c r="B717" s="1127"/>
      <c r="C717" s="1127"/>
      <c r="D717" s="1133" t="s">
        <v>5660</v>
      </c>
      <c r="E717" s="1127" t="s">
        <v>5653</v>
      </c>
      <c r="F717" s="1127" t="s">
        <v>5654</v>
      </c>
    </row>
    <row r="718" spans="1:6">
      <c r="A718" s="723" t="s">
        <v>5894</v>
      </c>
      <c r="B718" s="220">
        <v>0</v>
      </c>
      <c r="C718" s="220">
        <v>0</v>
      </c>
      <c r="D718" s="1147">
        <v>382.68</v>
      </c>
      <c r="E718" s="220">
        <v>10</v>
      </c>
      <c r="F718" s="220">
        <v>8</v>
      </c>
    </row>
    <row r="721" spans="1:6">
      <c r="A721" s="1128" t="s">
        <v>5868</v>
      </c>
      <c r="B721" s="1128" t="s">
        <v>5895</v>
      </c>
      <c r="C721" s="1128"/>
      <c r="D721" s="1128"/>
      <c r="E721" s="1128"/>
      <c r="F721" s="1128"/>
    </row>
    <row r="722" spans="1:6">
      <c r="A722" s="1146">
        <v>42</v>
      </c>
      <c r="B722" s="1127"/>
      <c r="C722" s="1127"/>
      <c r="D722" s="1133" t="s">
        <v>5660</v>
      </c>
      <c r="E722" s="1127" t="s">
        <v>5653</v>
      </c>
      <c r="F722" s="1127" t="s">
        <v>5654</v>
      </c>
    </row>
    <row r="723" spans="1:6">
      <c r="A723" s="723" t="s">
        <v>5896</v>
      </c>
      <c r="B723" s="220">
        <v>0</v>
      </c>
      <c r="C723" s="220">
        <v>0</v>
      </c>
      <c r="D723" s="1147">
        <v>340.42500000000001</v>
      </c>
      <c r="E723" s="220">
        <v>10</v>
      </c>
      <c r="F723" s="220">
        <v>8</v>
      </c>
    </row>
    <row r="726" spans="1:6">
      <c r="A726" s="1128" t="s">
        <v>5868</v>
      </c>
      <c r="B726" s="1128" t="s">
        <v>5897</v>
      </c>
      <c r="C726" s="1128"/>
      <c r="D726" s="1128"/>
      <c r="E726" s="1128"/>
      <c r="F726" s="1128"/>
    </row>
    <row r="727" spans="1:6">
      <c r="A727" s="1146">
        <v>42</v>
      </c>
      <c r="B727" s="1127"/>
      <c r="C727" s="1127"/>
      <c r="D727" s="1133" t="s">
        <v>5660</v>
      </c>
      <c r="E727" s="1127" t="s">
        <v>5653</v>
      </c>
      <c r="F727" s="1127" t="s">
        <v>5654</v>
      </c>
    </row>
    <row r="728" spans="1:6">
      <c r="A728" s="723" t="s">
        <v>5898</v>
      </c>
      <c r="B728" s="220">
        <v>0</v>
      </c>
      <c r="C728" s="220">
        <v>0</v>
      </c>
      <c r="D728" s="1147">
        <v>1342.2349999999999</v>
      </c>
      <c r="E728" s="220">
        <v>10</v>
      </c>
      <c r="F728" s="220">
        <v>8</v>
      </c>
    </row>
    <row r="731" spans="1:6">
      <c r="A731" s="1128" t="s">
        <v>5880</v>
      </c>
      <c r="B731" s="1128" t="s">
        <v>5899</v>
      </c>
      <c r="C731" s="1128"/>
      <c r="D731" s="1128"/>
      <c r="E731" s="1128"/>
      <c r="F731" s="1128"/>
    </row>
    <row r="732" spans="1:6">
      <c r="A732" s="1146">
        <v>36</v>
      </c>
      <c r="B732" s="1127" t="s">
        <v>2428</v>
      </c>
      <c r="C732" s="1127"/>
      <c r="D732" s="1133" t="s">
        <v>5660</v>
      </c>
      <c r="E732" s="1127" t="s">
        <v>5653</v>
      </c>
      <c r="F732" s="1127" t="s">
        <v>5654</v>
      </c>
    </row>
    <row r="733" spans="1:6">
      <c r="A733" s="723" t="s">
        <v>5902</v>
      </c>
      <c r="B733" s="220" t="s">
        <v>5900</v>
      </c>
      <c r="C733" s="220" t="s">
        <v>5900</v>
      </c>
      <c r="D733" s="1147">
        <v>1828.625</v>
      </c>
      <c r="E733" s="220">
        <v>10</v>
      </c>
      <c r="F733" s="220">
        <v>8</v>
      </c>
    </row>
    <row r="734" spans="1:6">
      <c r="A734" s="723"/>
      <c r="B734" s="220" t="s">
        <v>5901</v>
      </c>
      <c r="C734" s="220" t="s">
        <v>5901</v>
      </c>
      <c r="D734" s="1147">
        <v>616.5</v>
      </c>
      <c r="E734" s="220">
        <v>10</v>
      </c>
      <c r="F734" s="220">
        <v>8</v>
      </c>
    </row>
    <row r="737" spans="1:6">
      <c r="A737" s="1128" t="s">
        <v>5880</v>
      </c>
      <c r="B737" s="1128" t="s">
        <v>5903</v>
      </c>
      <c r="C737" s="1128"/>
      <c r="D737" s="1128"/>
      <c r="E737" s="1128"/>
      <c r="F737" s="1128"/>
    </row>
    <row r="738" spans="1:6">
      <c r="A738" s="1146">
        <v>36</v>
      </c>
      <c r="B738" s="1127"/>
      <c r="C738" s="1127"/>
      <c r="D738" s="1133" t="s">
        <v>5660</v>
      </c>
      <c r="E738" s="1127" t="s">
        <v>5653</v>
      </c>
      <c r="F738" s="1127" t="s">
        <v>5654</v>
      </c>
    </row>
    <row r="739" spans="1:6">
      <c r="A739" s="723" t="s">
        <v>5904</v>
      </c>
      <c r="B739" s="220">
        <v>0</v>
      </c>
      <c r="C739" s="220">
        <v>0</v>
      </c>
      <c r="D739" s="1147">
        <v>355.56</v>
      </c>
      <c r="E739" s="220">
        <v>10</v>
      </c>
      <c r="F739" s="220">
        <v>8</v>
      </c>
    </row>
    <row r="742" spans="1:6">
      <c r="A742" s="1128" t="s">
        <v>5868</v>
      </c>
      <c r="B742" s="1128" t="s">
        <v>5905</v>
      </c>
      <c r="C742" s="1128"/>
      <c r="D742" s="1128"/>
      <c r="E742" s="1128"/>
      <c r="F742" s="1128"/>
    </row>
    <row r="743" spans="1:6">
      <c r="A743" s="1146">
        <v>42</v>
      </c>
      <c r="B743" s="1127"/>
      <c r="C743" s="1127"/>
      <c r="D743" s="1133" t="s">
        <v>5660</v>
      </c>
      <c r="E743" s="1127" t="s">
        <v>5653</v>
      </c>
      <c r="F743" s="1127" t="s">
        <v>5654</v>
      </c>
    </row>
    <row r="744" spans="1:6">
      <c r="A744" s="723" t="s">
        <v>5906</v>
      </c>
      <c r="B744" s="220">
        <v>0</v>
      </c>
      <c r="C744" s="220">
        <v>0</v>
      </c>
      <c r="D744" s="1147">
        <v>553.5</v>
      </c>
      <c r="E744" s="220">
        <v>10</v>
      </c>
      <c r="F744" s="220">
        <v>8</v>
      </c>
    </row>
    <row r="747" spans="1:6">
      <c r="A747" s="1128" t="s">
        <v>5818</v>
      </c>
      <c r="B747" s="1128" t="s">
        <v>5907</v>
      </c>
      <c r="C747" s="1128"/>
      <c r="D747" s="1128"/>
      <c r="E747" s="1128"/>
      <c r="F747" s="1128"/>
    </row>
    <row r="748" spans="1:6">
      <c r="A748" s="1146">
        <v>29</v>
      </c>
      <c r="B748" s="1127" t="s">
        <v>5820</v>
      </c>
      <c r="C748" s="1127" t="s">
        <v>5857</v>
      </c>
      <c r="D748" s="1133" t="s">
        <v>5660</v>
      </c>
      <c r="E748" s="1127" t="s">
        <v>5653</v>
      </c>
      <c r="F748" s="1127" t="s">
        <v>5654</v>
      </c>
    </row>
    <row r="749" spans="1:6">
      <c r="A749" s="723" t="s">
        <v>5908</v>
      </c>
      <c r="B749" s="220">
        <v>0</v>
      </c>
      <c r="C749" s="220">
        <v>1</v>
      </c>
      <c r="D749" s="1147">
        <v>2673.5819322709162</v>
      </c>
      <c r="E749" s="220">
        <v>25</v>
      </c>
      <c r="F749" s="220">
        <v>20</v>
      </c>
    </row>
    <row r="750" spans="1:6">
      <c r="A750" s="723"/>
      <c r="B750" s="220">
        <v>1.1000000000000001</v>
      </c>
      <c r="C750" s="220" t="s">
        <v>5661</v>
      </c>
      <c r="D750" s="1147" t="s">
        <v>5661</v>
      </c>
      <c r="E750" s="220">
        <v>25</v>
      </c>
      <c r="F750" s="220">
        <v>20</v>
      </c>
    </row>
    <row r="753" spans="1:6">
      <c r="A753" s="1128" t="s">
        <v>5656</v>
      </c>
      <c r="B753" s="1128" t="s">
        <v>5909</v>
      </c>
      <c r="C753" s="1128"/>
      <c r="D753" s="1128"/>
      <c r="E753" s="1128"/>
      <c r="F753" s="1128"/>
    </row>
    <row r="754" spans="1:6">
      <c r="A754" s="1146">
        <v>35</v>
      </c>
      <c r="B754" s="1127" t="s">
        <v>5763</v>
      </c>
      <c r="C754" s="1127" t="s">
        <v>5764</v>
      </c>
      <c r="D754" s="1133" t="s">
        <v>5660</v>
      </c>
      <c r="E754" s="1127" t="s">
        <v>5653</v>
      </c>
      <c r="F754" s="1127" t="s">
        <v>5654</v>
      </c>
    </row>
    <row r="755" spans="1:6">
      <c r="A755" s="723" t="s">
        <v>5910</v>
      </c>
      <c r="B755" s="220">
        <v>0</v>
      </c>
      <c r="C755" s="220">
        <v>0.5</v>
      </c>
      <c r="D755" s="1147">
        <v>86</v>
      </c>
      <c r="E755" s="220">
        <v>25</v>
      </c>
      <c r="F755" s="220">
        <v>20</v>
      </c>
    </row>
    <row r="756" spans="1:6">
      <c r="A756" s="723"/>
      <c r="B756" s="220">
        <v>0.6</v>
      </c>
      <c r="C756" s="220">
        <v>0.75</v>
      </c>
      <c r="D756" s="1147">
        <v>94</v>
      </c>
      <c r="E756" s="220">
        <v>25</v>
      </c>
      <c r="F756" s="220">
        <v>20</v>
      </c>
    </row>
    <row r="757" spans="1:6">
      <c r="A757" s="723"/>
      <c r="B757" s="220">
        <v>0.76</v>
      </c>
      <c r="C757" s="220">
        <v>1</v>
      </c>
      <c r="D757" s="1147">
        <v>112</v>
      </c>
      <c r="E757" s="220">
        <v>25</v>
      </c>
      <c r="F757" s="220">
        <v>20</v>
      </c>
    </row>
    <row r="758" spans="1:6">
      <c r="A758" s="723"/>
      <c r="B758" s="220">
        <v>1.1000000000000001</v>
      </c>
      <c r="C758" s="220">
        <v>1.5</v>
      </c>
      <c r="D758" s="1147">
        <v>168</v>
      </c>
      <c r="E758" s="220">
        <v>25</v>
      </c>
      <c r="F758" s="220">
        <v>20</v>
      </c>
    </row>
    <row r="759" spans="1:6">
      <c r="A759" s="723"/>
      <c r="B759" s="220">
        <v>1.51</v>
      </c>
      <c r="C759" s="220">
        <v>2</v>
      </c>
      <c r="D759" s="1147">
        <v>221</v>
      </c>
      <c r="E759" s="220">
        <v>25</v>
      </c>
      <c r="F759" s="220">
        <v>20</v>
      </c>
    </row>
    <row r="760" spans="1:6">
      <c r="A760" s="723"/>
      <c r="B760" s="220">
        <v>2.1</v>
      </c>
      <c r="C760" s="220">
        <v>3</v>
      </c>
      <c r="D760" s="1147">
        <v>535</v>
      </c>
      <c r="E760" s="220">
        <v>25</v>
      </c>
      <c r="F760" s="220">
        <v>20</v>
      </c>
    </row>
    <row r="761" spans="1:6">
      <c r="A761" s="723"/>
      <c r="B761" s="220">
        <v>3.1</v>
      </c>
      <c r="C761" s="220">
        <v>4</v>
      </c>
      <c r="D761" s="1147">
        <v>745</v>
      </c>
      <c r="E761" s="220">
        <v>25</v>
      </c>
      <c r="F761" s="220">
        <v>20</v>
      </c>
    </row>
    <row r="762" spans="1:6">
      <c r="A762" s="723"/>
      <c r="B762" s="220">
        <v>4.0999999999999996</v>
      </c>
      <c r="C762" s="220">
        <v>6</v>
      </c>
      <c r="D762" s="1147">
        <v>1183.2912922943299</v>
      </c>
      <c r="E762" s="220">
        <v>25</v>
      </c>
      <c r="F762" s="220">
        <v>20</v>
      </c>
    </row>
    <row r="763" spans="1:6">
      <c r="A763" s="723"/>
      <c r="B763" s="220">
        <v>6.1</v>
      </c>
      <c r="C763" s="220">
        <v>8</v>
      </c>
      <c r="D763" s="1147">
        <v>2546.809935210013</v>
      </c>
      <c r="E763" s="220">
        <v>25</v>
      </c>
      <c r="F763" s="220">
        <v>20</v>
      </c>
    </row>
    <row r="764" spans="1:6">
      <c r="A764" s="723"/>
      <c r="B764" s="220">
        <v>8.1</v>
      </c>
      <c r="C764" s="220">
        <v>10</v>
      </c>
      <c r="D764" s="1147">
        <v>3343.2641795643849</v>
      </c>
      <c r="E764" s="220">
        <v>25</v>
      </c>
      <c r="F764" s="220">
        <v>20</v>
      </c>
    </row>
    <row r="765" spans="1:6">
      <c r="A765" s="723"/>
      <c r="B765" s="220">
        <v>10.1</v>
      </c>
      <c r="C765" s="220">
        <v>12</v>
      </c>
      <c r="D765" s="1147">
        <v>3308.8022170682825</v>
      </c>
      <c r="E765" s="220">
        <v>25</v>
      </c>
      <c r="F765" s="220">
        <v>20</v>
      </c>
    </row>
    <row r="766" spans="1:6">
      <c r="A766" s="723"/>
      <c r="B766" s="220">
        <v>12.1</v>
      </c>
      <c r="C766" s="220" t="s">
        <v>5661</v>
      </c>
      <c r="D766" s="1147" t="s">
        <v>5661</v>
      </c>
      <c r="E766" s="220">
        <v>25</v>
      </c>
      <c r="F766" s="220">
        <v>20</v>
      </c>
    </row>
    <row r="769" spans="1:6">
      <c r="A769" s="1128" t="s">
        <v>5656</v>
      </c>
      <c r="B769" s="1128" t="s">
        <v>5911</v>
      </c>
      <c r="C769" s="1128"/>
      <c r="D769" s="1128"/>
      <c r="E769" s="1128"/>
      <c r="F769" s="1128"/>
    </row>
    <row r="770" spans="1:6">
      <c r="A770" s="1146">
        <v>35</v>
      </c>
      <c r="B770" s="1127" t="s">
        <v>5763</v>
      </c>
      <c r="C770" s="1127" t="s">
        <v>5764</v>
      </c>
      <c r="D770" s="1133" t="s">
        <v>5660</v>
      </c>
      <c r="E770" s="1127" t="s">
        <v>5653</v>
      </c>
      <c r="F770" s="1127" t="s">
        <v>5654</v>
      </c>
    </row>
    <row r="771" spans="1:6">
      <c r="A771" s="723" t="s">
        <v>5913</v>
      </c>
      <c r="B771" s="220">
        <v>0</v>
      </c>
      <c r="C771" s="220">
        <v>0.5</v>
      </c>
      <c r="D771" s="1147">
        <v>128.83954852512139</v>
      </c>
      <c r="E771" s="220">
        <v>25</v>
      </c>
      <c r="F771" s="220">
        <v>20</v>
      </c>
    </row>
    <row r="772" spans="1:6">
      <c r="A772" s="723"/>
      <c r="B772" s="220">
        <v>0.6</v>
      </c>
      <c r="C772" s="220">
        <v>0.75</v>
      </c>
      <c r="D772" s="1147">
        <v>147.50199593286607</v>
      </c>
      <c r="E772" s="220">
        <v>25</v>
      </c>
      <c r="F772" s="220">
        <v>20</v>
      </c>
    </row>
    <row r="773" spans="1:6">
      <c r="A773" s="723"/>
      <c r="B773" s="220">
        <v>0.76</v>
      </c>
      <c r="C773" s="220">
        <v>1</v>
      </c>
      <c r="D773" s="1147">
        <v>165.45892277617779</v>
      </c>
      <c r="E773" s="220">
        <v>25</v>
      </c>
      <c r="F773" s="220">
        <v>20</v>
      </c>
    </row>
    <row r="774" spans="1:6">
      <c r="A774" s="723"/>
      <c r="B774" s="220">
        <v>1.1000000000000001</v>
      </c>
      <c r="C774" s="220">
        <v>1.5</v>
      </c>
      <c r="D774" s="1147">
        <v>234.30425345942169</v>
      </c>
      <c r="E774" s="220">
        <v>25</v>
      </c>
      <c r="F774" s="220">
        <v>20</v>
      </c>
    </row>
    <row r="775" spans="1:6">
      <c r="A775" s="723"/>
      <c r="B775" s="220">
        <v>1.6</v>
      </c>
      <c r="C775" s="220">
        <v>2</v>
      </c>
      <c r="D775" s="1147">
        <v>297.00740796003362</v>
      </c>
      <c r="E775" s="220">
        <v>25</v>
      </c>
      <c r="F775" s="220">
        <v>20</v>
      </c>
    </row>
    <row r="776" spans="1:6">
      <c r="A776" s="723"/>
      <c r="B776" s="220">
        <v>2.1</v>
      </c>
      <c r="C776" s="220">
        <v>3</v>
      </c>
      <c r="D776" s="1147">
        <v>500.39976319112048</v>
      </c>
      <c r="E776" s="220">
        <v>25</v>
      </c>
      <c r="F776" s="220">
        <v>20</v>
      </c>
    </row>
    <row r="777" spans="1:6">
      <c r="A777" s="723"/>
      <c r="B777" s="220">
        <v>3.1</v>
      </c>
      <c r="C777" s="220">
        <v>4</v>
      </c>
      <c r="D777" s="1147">
        <v>636.40287930604438</v>
      </c>
      <c r="E777" s="220">
        <v>25</v>
      </c>
      <c r="F777" s="220">
        <v>20</v>
      </c>
    </row>
    <row r="778" spans="1:6">
      <c r="A778" s="723"/>
      <c r="B778" s="220">
        <v>4.0999999999999996</v>
      </c>
      <c r="C778" s="220">
        <v>6</v>
      </c>
      <c r="D778" s="1147">
        <v>509.65011818181824</v>
      </c>
      <c r="E778" s="220">
        <v>25</v>
      </c>
      <c r="F778" s="220">
        <v>20</v>
      </c>
    </row>
    <row r="779" spans="1:6">
      <c r="A779" s="723"/>
      <c r="B779" s="220">
        <v>6.1</v>
      </c>
      <c r="C779" s="220">
        <v>8</v>
      </c>
      <c r="D779" s="1147">
        <v>1509.803581818182</v>
      </c>
      <c r="E779" s="220">
        <v>25</v>
      </c>
      <c r="F779" s="220">
        <v>20</v>
      </c>
    </row>
    <row r="780" spans="1:6">
      <c r="A780" s="723"/>
      <c r="B780" s="220">
        <v>8.1</v>
      </c>
      <c r="C780" s="220">
        <v>10</v>
      </c>
      <c r="D780" s="1147">
        <v>2218.7854000000002</v>
      </c>
      <c r="E780" s="220">
        <v>25</v>
      </c>
      <c r="F780" s="220">
        <v>20</v>
      </c>
    </row>
    <row r="781" spans="1:6">
      <c r="A781" s="723"/>
      <c r="B781" s="633">
        <v>10.1</v>
      </c>
      <c r="C781" s="220">
        <v>12</v>
      </c>
      <c r="D781" s="1147">
        <v>3493.0035818181823</v>
      </c>
      <c r="E781" s="220">
        <v>25</v>
      </c>
      <c r="F781" s="220">
        <v>20</v>
      </c>
    </row>
    <row r="782" spans="1:6">
      <c r="A782" s="723" t="s">
        <v>5912</v>
      </c>
      <c r="B782" s="633">
        <v>12.1</v>
      </c>
      <c r="C782" s="220">
        <v>14</v>
      </c>
      <c r="D782" s="1147">
        <v>9497.3730363636369</v>
      </c>
      <c r="E782" s="220">
        <v>25</v>
      </c>
      <c r="F782" s="220">
        <v>20</v>
      </c>
    </row>
    <row r="783" spans="1:6">
      <c r="A783" s="723"/>
      <c r="B783" s="633">
        <v>14.1</v>
      </c>
      <c r="C783" s="220">
        <v>16</v>
      </c>
      <c r="D783" s="1147">
        <v>15175.099218181818</v>
      </c>
      <c r="E783" s="220">
        <v>25</v>
      </c>
      <c r="F783" s="220">
        <v>20</v>
      </c>
    </row>
    <row r="784" spans="1:6">
      <c r="A784" s="723"/>
      <c r="B784" s="633">
        <v>16.100000000000001</v>
      </c>
      <c r="C784" s="220">
        <v>18</v>
      </c>
      <c r="D784" s="1147">
        <v>26336.568309090911</v>
      </c>
      <c r="E784" s="220">
        <v>25</v>
      </c>
      <c r="F784" s="220">
        <v>20</v>
      </c>
    </row>
    <row r="785" spans="1:6">
      <c r="A785" s="723"/>
      <c r="B785" s="633">
        <v>18.100000000000001</v>
      </c>
      <c r="C785" s="220">
        <v>20</v>
      </c>
      <c r="D785" s="1147">
        <v>27037.973036363637</v>
      </c>
      <c r="E785" s="220">
        <v>25</v>
      </c>
      <c r="F785" s="220">
        <v>20</v>
      </c>
    </row>
    <row r="786" spans="1:6">
      <c r="A786" s="723"/>
      <c r="B786" s="633">
        <v>20.100000000000001</v>
      </c>
      <c r="C786" s="220">
        <v>24</v>
      </c>
      <c r="D786" s="1147">
        <v>30928.845763636364</v>
      </c>
      <c r="E786" s="220">
        <v>25</v>
      </c>
      <c r="F786" s="220">
        <v>20</v>
      </c>
    </row>
    <row r="787" spans="1:6">
      <c r="A787" s="723"/>
      <c r="B787" s="633">
        <v>24.1</v>
      </c>
      <c r="C787" s="220" t="s">
        <v>5661</v>
      </c>
      <c r="D787" s="1147" t="s">
        <v>5661</v>
      </c>
      <c r="E787" s="220">
        <v>25</v>
      </c>
      <c r="F787" s="220">
        <v>20</v>
      </c>
    </row>
    <row r="790" spans="1:6">
      <c r="A790" s="1128" t="s">
        <v>5656</v>
      </c>
      <c r="B790" s="1128" t="s">
        <v>5914</v>
      </c>
      <c r="C790" s="1128"/>
      <c r="D790" s="1135"/>
      <c r="E790" s="1128"/>
      <c r="F790" s="1128"/>
    </row>
    <row r="791" spans="1:6">
      <c r="A791" s="1146">
        <v>35</v>
      </c>
      <c r="B791" s="1127" t="s">
        <v>5763</v>
      </c>
      <c r="C791" s="1127" t="s">
        <v>5764</v>
      </c>
      <c r="D791" s="1133" t="s">
        <v>5660</v>
      </c>
      <c r="E791" s="1127" t="s">
        <v>5653</v>
      </c>
      <c r="F791" s="1127" t="s">
        <v>5654</v>
      </c>
    </row>
    <row r="792" spans="1:6">
      <c r="A792" s="723" t="s">
        <v>5916</v>
      </c>
      <c r="B792" s="220">
        <v>0</v>
      </c>
      <c r="C792" s="220">
        <v>0.5</v>
      </c>
      <c r="D792" s="1147">
        <v>740.26144396551717</v>
      </c>
      <c r="E792" s="220">
        <v>25</v>
      </c>
      <c r="F792" s="220">
        <v>20</v>
      </c>
    </row>
    <row r="793" spans="1:6">
      <c r="A793" s="723"/>
      <c r="B793" s="220">
        <v>0.6</v>
      </c>
      <c r="C793" s="220">
        <v>0.75</v>
      </c>
      <c r="D793" s="1147">
        <v>756.44980603448266</v>
      </c>
      <c r="E793" s="220">
        <v>25</v>
      </c>
      <c r="F793" s="220">
        <v>20</v>
      </c>
    </row>
    <row r="794" spans="1:6">
      <c r="A794" s="723"/>
      <c r="B794" s="220">
        <v>0.76</v>
      </c>
      <c r="C794" s="220">
        <v>1</v>
      </c>
      <c r="D794" s="1147">
        <v>762.05928879310341</v>
      </c>
      <c r="E794" s="220">
        <v>25</v>
      </c>
      <c r="F794" s="220">
        <v>20</v>
      </c>
    </row>
    <row r="795" spans="1:6">
      <c r="A795" s="723"/>
      <c r="B795" s="220">
        <v>1.1000000000000001</v>
      </c>
      <c r="C795" s="220">
        <v>1.5</v>
      </c>
      <c r="D795" s="1147">
        <v>832.34657327586206</v>
      </c>
      <c r="E795" s="220">
        <v>25</v>
      </c>
      <c r="F795" s="220">
        <v>20</v>
      </c>
    </row>
    <row r="796" spans="1:6">
      <c r="A796" s="723"/>
      <c r="B796" s="220">
        <v>1.6</v>
      </c>
      <c r="C796" s="220">
        <v>2</v>
      </c>
      <c r="D796" s="1147">
        <v>819.5775532116046</v>
      </c>
      <c r="E796" s="220">
        <v>25</v>
      </c>
      <c r="F796" s="220">
        <v>20</v>
      </c>
    </row>
    <row r="797" spans="1:6">
      <c r="A797" s="723"/>
      <c r="B797" s="220">
        <v>2.1</v>
      </c>
      <c r="C797" s="220">
        <v>2.5</v>
      </c>
      <c r="D797" s="1147">
        <v>754.23778894515874</v>
      </c>
      <c r="E797" s="220">
        <v>25</v>
      </c>
      <c r="F797" s="220">
        <v>20</v>
      </c>
    </row>
    <row r="798" spans="1:6">
      <c r="A798" s="723"/>
      <c r="B798" s="220">
        <v>2.6</v>
      </c>
      <c r="C798" s="220">
        <v>3</v>
      </c>
      <c r="D798" s="1147">
        <v>976.71146485581494</v>
      </c>
      <c r="E798" s="220">
        <v>25</v>
      </c>
      <c r="F798" s="220">
        <v>20</v>
      </c>
    </row>
    <row r="799" spans="1:6">
      <c r="A799" s="723"/>
      <c r="B799" s="220">
        <v>3.1</v>
      </c>
      <c r="C799" s="220">
        <v>4</v>
      </c>
      <c r="D799" s="1147">
        <v>1166.5479564973525</v>
      </c>
      <c r="E799" s="220">
        <v>25</v>
      </c>
      <c r="F799" s="220">
        <v>20</v>
      </c>
    </row>
    <row r="800" spans="1:6">
      <c r="A800" s="723"/>
      <c r="B800" s="220">
        <v>4.0999999999999996</v>
      </c>
      <c r="C800" s="220">
        <v>6</v>
      </c>
      <c r="D800" s="1147">
        <v>1648.4738331376229</v>
      </c>
      <c r="E800" s="220">
        <v>25</v>
      </c>
      <c r="F800" s="220">
        <v>20</v>
      </c>
    </row>
    <row r="801" spans="1:6">
      <c r="A801" s="723"/>
      <c r="B801" s="220">
        <v>6.1</v>
      </c>
      <c r="C801" s="220">
        <v>8</v>
      </c>
      <c r="D801" s="1147">
        <v>2631.2493192641541</v>
      </c>
      <c r="E801" s="220">
        <v>25</v>
      </c>
      <c r="F801" s="220">
        <v>20</v>
      </c>
    </row>
    <row r="802" spans="1:6">
      <c r="A802" s="723"/>
      <c r="B802" s="220">
        <v>8.1</v>
      </c>
      <c r="C802" s="220">
        <v>10</v>
      </c>
      <c r="D802" s="1147">
        <v>4317.4601627104021</v>
      </c>
      <c r="E802" s="220">
        <v>25</v>
      </c>
      <c r="F802" s="220">
        <v>20</v>
      </c>
    </row>
    <row r="803" spans="1:6">
      <c r="A803" s="723"/>
      <c r="B803" s="220">
        <v>10.1</v>
      </c>
      <c r="C803" s="220">
        <v>12</v>
      </c>
      <c r="D803" s="1147">
        <v>5117.5928035714278</v>
      </c>
      <c r="E803" s="220">
        <v>25</v>
      </c>
      <c r="F803" s="220">
        <v>20</v>
      </c>
    </row>
    <row r="804" spans="1:6">
      <c r="A804" s="723" t="s">
        <v>5915</v>
      </c>
      <c r="B804" s="220">
        <v>12.1</v>
      </c>
      <c r="C804" s="220">
        <v>14</v>
      </c>
      <c r="D804" s="1147">
        <v>11974.494936134073</v>
      </c>
      <c r="E804" s="220">
        <v>25</v>
      </c>
      <c r="F804" s="220">
        <v>20</v>
      </c>
    </row>
    <row r="805" spans="1:6">
      <c r="A805" s="723"/>
      <c r="B805" s="220">
        <v>14.1</v>
      </c>
      <c r="C805" s="220">
        <v>16</v>
      </c>
      <c r="D805" s="1147">
        <v>17391.798762050355</v>
      </c>
      <c r="E805" s="220">
        <v>25</v>
      </c>
      <c r="F805" s="220">
        <v>20</v>
      </c>
    </row>
    <row r="806" spans="1:6">
      <c r="A806" s="723"/>
      <c r="B806" s="220">
        <v>16.100000000000001</v>
      </c>
      <c r="C806" s="220">
        <v>18</v>
      </c>
      <c r="D806" s="1147">
        <v>27381.034667861262</v>
      </c>
      <c r="E806" s="220">
        <v>25</v>
      </c>
      <c r="F806" s="220">
        <v>20</v>
      </c>
    </row>
    <row r="807" spans="1:6">
      <c r="A807" s="723"/>
      <c r="B807" s="220">
        <v>18.100000000000001</v>
      </c>
      <c r="C807" s="220">
        <v>20</v>
      </c>
      <c r="D807" s="1147">
        <v>29109.944789041583</v>
      </c>
      <c r="E807" s="220">
        <v>25</v>
      </c>
      <c r="F807" s="220">
        <v>20</v>
      </c>
    </row>
    <row r="808" spans="1:6">
      <c r="A808" s="723"/>
      <c r="B808" s="220">
        <v>20.100000000000001</v>
      </c>
      <c r="C808" s="220">
        <v>24</v>
      </c>
      <c r="D808" s="1147">
        <v>32873.996547028371</v>
      </c>
      <c r="E808" s="220">
        <v>25</v>
      </c>
      <c r="F808" s="220">
        <v>20</v>
      </c>
    </row>
    <row r="809" spans="1:6">
      <c r="A809" s="723"/>
      <c r="B809" s="220">
        <v>24.1</v>
      </c>
      <c r="C809" s="220" t="s">
        <v>5661</v>
      </c>
      <c r="D809" s="1147" t="s">
        <v>5661</v>
      </c>
      <c r="E809" s="220">
        <v>25</v>
      </c>
      <c r="F809" s="220">
        <v>20</v>
      </c>
    </row>
    <row r="812" spans="1:6">
      <c r="A812" s="1128" t="s">
        <v>5651</v>
      </c>
      <c r="B812" s="1128" t="s">
        <v>5917</v>
      </c>
      <c r="C812" s="1128"/>
      <c r="D812" s="1128"/>
      <c r="E812" s="1128"/>
      <c r="F812" s="1128"/>
    </row>
    <row r="813" spans="1:6">
      <c r="A813" s="1146">
        <v>43</v>
      </c>
      <c r="B813" s="1127" t="s">
        <v>5763</v>
      </c>
      <c r="C813" s="1127" t="s">
        <v>5764</v>
      </c>
      <c r="D813" s="1133" t="s">
        <v>5660</v>
      </c>
      <c r="E813" s="1127" t="s">
        <v>5653</v>
      </c>
      <c r="F813" s="1127" t="s">
        <v>5654</v>
      </c>
    </row>
    <row r="814" spans="1:6">
      <c r="A814" s="723" t="s">
        <v>5918</v>
      </c>
      <c r="B814" s="220">
        <v>0</v>
      </c>
      <c r="C814" s="220">
        <v>2</v>
      </c>
      <c r="D814" s="1147">
        <v>2762.2015890410958</v>
      </c>
      <c r="E814" s="220">
        <v>15</v>
      </c>
      <c r="F814" s="220">
        <v>14</v>
      </c>
    </row>
    <row r="815" spans="1:6">
      <c r="A815" s="723"/>
      <c r="B815" s="220">
        <v>2.1</v>
      </c>
      <c r="C815" s="220">
        <v>3</v>
      </c>
      <c r="D815" s="1147">
        <v>2952.1338543689321</v>
      </c>
      <c r="E815" s="220">
        <v>15</v>
      </c>
      <c r="F815" s="220">
        <v>14</v>
      </c>
    </row>
    <row r="816" spans="1:6">
      <c r="A816" s="723"/>
      <c r="B816" s="220">
        <v>3.1</v>
      </c>
      <c r="C816" s="220">
        <v>4</v>
      </c>
      <c r="D816" s="1147">
        <v>3374.8769849462369</v>
      </c>
      <c r="E816" s="220">
        <v>15</v>
      </c>
      <c r="F816" s="220">
        <v>14</v>
      </c>
    </row>
    <row r="817" spans="1:6">
      <c r="A817" s="723"/>
      <c r="B817" s="220">
        <v>4.0999999999999996</v>
      </c>
      <c r="C817" s="220">
        <v>6</v>
      </c>
      <c r="D817" s="1147">
        <v>5052.9042666666664</v>
      </c>
      <c r="E817" s="220">
        <v>15</v>
      </c>
      <c r="F817" s="220">
        <v>14</v>
      </c>
    </row>
    <row r="818" spans="1:6">
      <c r="A818" s="723"/>
      <c r="B818" s="220">
        <v>6.1</v>
      </c>
      <c r="C818" s="220">
        <v>8</v>
      </c>
      <c r="D818" s="1147">
        <v>5332.266333333333</v>
      </c>
      <c r="E818" s="220">
        <v>15</v>
      </c>
      <c r="F818" s="220">
        <v>14</v>
      </c>
    </row>
    <row r="819" spans="1:6">
      <c r="A819" s="723"/>
      <c r="B819" s="220">
        <v>8.1</v>
      </c>
      <c r="C819" s="220">
        <v>10</v>
      </c>
      <c r="D819" s="1147">
        <v>5899.4732846715342</v>
      </c>
      <c r="E819" s="220">
        <v>15</v>
      </c>
      <c r="F819" s="220">
        <v>14</v>
      </c>
    </row>
    <row r="820" spans="1:6">
      <c r="A820" s="723"/>
      <c r="B820" s="220">
        <v>10.1</v>
      </c>
      <c r="C820" s="220">
        <v>12</v>
      </c>
      <c r="D820" s="1147">
        <v>6787.882043795621</v>
      </c>
      <c r="E820" s="220">
        <v>15</v>
      </c>
      <c r="F820" s="220">
        <v>14</v>
      </c>
    </row>
    <row r="821" spans="1:6">
      <c r="A821" s="723"/>
      <c r="B821" s="220">
        <v>12.1</v>
      </c>
      <c r="C821" s="220">
        <v>14</v>
      </c>
      <c r="D821" s="1147">
        <v>7395.5316788321179</v>
      </c>
      <c r="E821" s="220">
        <v>15</v>
      </c>
      <c r="F821" s="220">
        <v>14</v>
      </c>
    </row>
    <row r="822" spans="1:6">
      <c r="A822" s="723"/>
      <c r="B822" s="220">
        <v>14.1</v>
      </c>
      <c r="C822" s="220">
        <v>16</v>
      </c>
      <c r="D822" s="1147">
        <v>8116.5827737226282</v>
      </c>
      <c r="E822" s="220">
        <v>15</v>
      </c>
      <c r="F822" s="220">
        <v>14</v>
      </c>
    </row>
    <row r="823" spans="1:6">
      <c r="A823" s="723"/>
      <c r="B823" s="220">
        <v>16.100000000000001</v>
      </c>
      <c r="C823" s="220">
        <v>18</v>
      </c>
      <c r="D823" s="1147">
        <v>8534.2178102189791</v>
      </c>
      <c r="E823" s="220">
        <v>15</v>
      </c>
      <c r="F823" s="220">
        <v>14</v>
      </c>
    </row>
    <row r="824" spans="1:6">
      <c r="A824" s="723"/>
      <c r="B824" s="220">
        <v>18.100000000000001</v>
      </c>
      <c r="C824" s="220">
        <v>20</v>
      </c>
      <c r="D824" s="1147">
        <v>9377.896642335767</v>
      </c>
      <c r="E824" s="220">
        <v>15</v>
      </c>
      <c r="F824" s="220">
        <v>14</v>
      </c>
    </row>
    <row r="825" spans="1:6">
      <c r="A825" s="723"/>
      <c r="B825" s="220">
        <v>20.100000000000001</v>
      </c>
      <c r="C825" s="220">
        <v>24</v>
      </c>
      <c r="D825" s="1147">
        <v>11593.604671532848</v>
      </c>
      <c r="E825" s="220">
        <v>15</v>
      </c>
      <c r="F825" s="220">
        <v>14</v>
      </c>
    </row>
    <row r="826" spans="1:6">
      <c r="A826" s="723"/>
      <c r="B826" s="220">
        <v>24.1</v>
      </c>
      <c r="C826" s="220">
        <v>30</v>
      </c>
      <c r="D826" s="1147">
        <v>15914.305401459857</v>
      </c>
      <c r="E826" s="220">
        <v>15</v>
      </c>
      <c r="F826" s="220">
        <v>14</v>
      </c>
    </row>
    <row r="827" spans="1:6">
      <c r="A827" s="723"/>
      <c r="B827" s="220">
        <v>30.1</v>
      </c>
      <c r="C827" s="220">
        <v>36</v>
      </c>
      <c r="D827" s="1147">
        <v>20239.210510948906</v>
      </c>
      <c r="E827" s="220">
        <v>15</v>
      </c>
      <c r="F827" s="220">
        <v>14</v>
      </c>
    </row>
    <row r="828" spans="1:6">
      <c r="A828" s="723"/>
      <c r="B828" s="220">
        <v>36.1</v>
      </c>
      <c r="C828" s="220" t="s">
        <v>5661</v>
      </c>
      <c r="D828" s="1147" t="s">
        <v>5661</v>
      </c>
      <c r="E828" s="220">
        <v>15</v>
      </c>
      <c r="F828" s="220">
        <v>14</v>
      </c>
    </row>
    <row r="831" spans="1:6">
      <c r="A831" s="1128" t="s">
        <v>5783</v>
      </c>
      <c r="B831" s="1128" t="s">
        <v>5919</v>
      </c>
      <c r="C831" s="1128"/>
      <c r="D831" s="1128"/>
      <c r="E831" s="1128"/>
      <c r="F831" s="1128"/>
    </row>
    <row r="832" spans="1:6">
      <c r="A832" s="1146">
        <v>22</v>
      </c>
      <c r="B832" s="1127" t="s">
        <v>5920</v>
      </c>
      <c r="C832" s="1127" t="s">
        <v>5921</v>
      </c>
      <c r="D832" s="1127" t="s">
        <v>5660</v>
      </c>
      <c r="E832" s="1127" t="s">
        <v>5653</v>
      </c>
      <c r="F832" s="1127" t="s">
        <v>5654</v>
      </c>
    </row>
    <row r="833" spans="1:6">
      <c r="A833" s="723" t="s">
        <v>5922</v>
      </c>
      <c r="B833" s="633">
        <v>0</v>
      </c>
      <c r="C833" s="220">
        <v>0.5</v>
      </c>
      <c r="D833" s="1147">
        <v>892.7589122276637</v>
      </c>
      <c r="E833" s="538">
        <v>15</v>
      </c>
      <c r="F833" s="538">
        <v>14</v>
      </c>
    </row>
    <row r="834" spans="1:6">
      <c r="A834" s="723"/>
      <c r="B834" s="633">
        <v>0.51</v>
      </c>
      <c r="C834" s="220">
        <v>1</v>
      </c>
      <c r="D834" s="1147">
        <v>838.52739114777171</v>
      </c>
      <c r="E834" s="538">
        <v>15</v>
      </c>
      <c r="F834" s="538">
        <v>14</v>
      </c>
    </row>
    <row r="835" spans="1:6">
      <c r="A835" s="723"/>
      <c r="B835" s="633">
        <v>1.1000000000000001</v>
      </c>
      <c r="C835" s="220">
        <v>2</v>
      </c>
      <c r="D835" s="1147">
        <v>1024.2954307119719</v>
      </c>
      <c r="E835" s="538">
        <v>15</v>
      </c>
      <c r="F835" s="538">
        <v>14</v>
      </c>
    </row>
    <row r="836" spans="1:6">
      <c r="A836" s="723"/>
      <c r="B836" s="633">
        <v>2.1</v>
      </c>
      <c r="C836" s="220">
        <v>3</v>
      </c>
      <c r="D836" s="1147">
        <v>1367.6577583326778</v>
      </c>
      <c r="E836" s="538">
        <v>15</v>
      </c>
      <c r="F836" s="538">
        <v>14</v>
      </c>
    </row>
    <row r="837" spans="1:6">
      <c r="A837" s="723"/>
      <c r="B837" s="633">
        <v>3.1</v>
      </c>
      <c r="C837" s="220">
        <v>4</v>
      </c>
      <c r="D837" s="1147">
        <v>1688.8992230101787</v>
      </c>
      <c r="E837" s="538">
        <v>15</v>
      </c>
      <c r="F837" s="538">
        <v>14</v>
      </c>
    </row>
    <row r="838" spans="1:6">
      <c r="A838" s="723"/>
      <c r="B838" s="633">
        <v>4.0999999999999996</v>
      </c>
      <c r="C838" s="220">
        <v>5</v>
      </c>
      <c r="D838" s="1147">
        <v>2225.9961357291277</v>
      </c>
      <c r="E838" s="538">
        <v>15</v>
      </c>
      <c r="F838" s="538">
        <v>14</v>
      </c>
    </row>
    <row r="839" spans="1:6">
      <c r="A839" s="723"/>
      <c r="B839" s="633">
        <v>5.0999999999999996</v>
      </c>
      <c r="C839" s="220">
        <v>6</v>
      </c>
      <c r="D839" s="1147">
        <v>2571.4238640438448</v>
      </c>
      <c r="E839" s="538">
        <v>15</v>
      </c>
      <c r="F839" s="538">
        <v>14</v>
      </c>
    </row>
    <row r="840" spans="1:6">
      <c r="A840" s="723"/>
      <c r="B840" s="633">
        <v>6.1</v>
      </c>
      <c r="C840" s="220">
        <v>8</v>
      </c>
      <c r="D840" s="1147">
        <v>3024.1259753434242</v>
      </c>
      <c r="E840" s="538">
        <v>15</v>
      </c>
      <c r="F840" s="538">
        <v>14</v>
      </c>
    </row>
    <row r="841" spans="1:6">
      <c r="A841" s="723"/>
      <c r="B841" s="633">
        <v>8.1</v>
      </c>
      <c r="C841" s="220">
        <v>9</v>
      </c>
      <c r="D841" s="1147">
        <v>3159.403398145967</v>
      </c>
      <c r="E841" s="538">
        <v>15</v>
      </c>
      <c r="F841" s="538">
        <v>14</v>
      </c>
    </row>
    <row r="842" spans="1:6">
      <c r="A842" s="723"/>
      <c r="B842" s="633">
        <v>9.1</v>
      </c>
      <c r="C842" s="220">
        <v>10</v>
      </c>
      <c r="D842" s="1147">
        <v>3520.4544074246678</v>
      </c>
      <c r="E842" s="538">
        <v>15</v>
      </c>
      <c r="F842" s="538">
        <v>14</v>
      </c>
    </row>
    <row r="843" spans="1:6">
      <c r="A843" s="723"/>
      <c r="B843" s="633">
        <v>10.1</v>
      </c>
      <c r="C843" s="220">
        <v>12</v>
      </c>
      <c r="D843" s="1147">
        <v>4001.819222232974</v>
      </c>
      <c r="E843" s="538">
        <v>15</v>
      </c>
      <c r="F843" s="538">
        <v>14</v>
      </c>
    </row>
    <row r="844" spans="1:6">
      <c r="A844" s="723"/>
      <c r="B844" s="633">
        <v>12.1</v>
      </c>
      <c r="C844" s="220">
        <v>15</v>
      </c>
      <c r="D844" s="1147">
        <v>4605.1944217123946</v>
      </c>
      <c r="E844" s="538">
        <v>15</v>
      </c>
      <c r="F844" s="538">
        <v>14</v>
      </c>
    </row>
    <row r="845" spans="1:6">
      <c r="A845" s="723"/>
      <c r="B845" s="633">
        <v>15.1</v>
      </c>
      <c r="C845" s="220">
        <v>18</v>
      </c>
      <c r="D845" s="1147">
        <v>5169.2195228674445</v>
      </c>
      <c r="E845" s="538">
        <v>15</v>
      </c>
      <c r="F845" s="538">
        <v>14</v>
      </c>
    </row>
    <row r="846" spans="1:6">
      <c r="A846" s="723"/>
      <c r="B846" s="633">
        <v>18.100000000000001</v>
      </c>
      <c r="C846" s="220">
        <v>24</v>
      </c>
      <c r="D846" s="1147">
        <v>5246.5392731339616</v>
      </c>
      <c r="E846" s="538">
        <v>15</v>
      </c>
      <c r="F846" s="538">
        <v>14</v>
      </c>
    </row>
    <row r="847" spans="1:6">
      <c r="A847" s="723"/>
      <c r="B847" s="633">
        <v>24.1</v>
      </c>
      <c r="C847" s="220" t="s">
        <v>5661</v>
      </c>
      <c r="D847" s="1147" t="s">
        <v>5661</v>
      </c>
      <c r="E847" s="538">
        <v>15</v>
      </c>
      <c r="F847" s="538">
        <v>14</v>
      </c>
    </row>
    <row r="850" spans="1:6">
      <c r="A850" s="1128" t="s">
        <v>5757</v>
      </c>
      <c r="B850" s="1128" t="s">
        <v>5923</v>
      </c>
      <c r="C850" s="1128"/>
      <c r="D850" s="1128"/>
      <c r="E850" s="1128"/>
      <c r="F850" s="1128"/>
    </row>
    <row r="851" spans="1:6">
      <c r="A851" s="1146">
        <v>30</v>
      </c>
      <c r="B851" s="1127" t="s">
        <v>5658</v>
      </c>
      <c r="C851" s="1127" t="s">
        <v>5659</v>
      </c>
      <c r="D851" s="1133" t="s">
        <v>5660</v>
      </c>
      <c r="E851" s="1127" t="s">
        <v>5653</v>
      </c>
      <c r="F851" s="1127" t="s">
        <v>5654</v>
      </c>
    </row>
    <row r="852" spans="1:6">
      <c r="A852" s="723" t="s">
        <v>5924</v>
      </c>
      <c r="B852" s="220">
        <v>0</v>
      </c>
      <c r="C852" s="220">
        <v>10</v>
      </c>
      <c r="D852" s="1147">
        <v>3765.081740826402</v>
      </c>
      <c r="E852" s="220">
        <v>20</v>
      </c>
      <c r="F852" s="220">
        <v>17</v>
      </c>
    </row>
    <row r="853" spans="1:6">
      <c r="A853" s="723"/>
      <c r="B853" s="220">
        <v>11</v>
      </c>
      <c r="C853" s="220">
        <v>30</v>
      </c>
      <c r="D853" s="1147">
        <v>4254.6995836907727</v>
      </c>
      <c r="E853" s="220">
        <v>20</v>
      </c>
      <c r="F853" s="220">
        <v>17</v>
      </c>
    </row>
    <row r="854" spans="1:6">
      <c r="A854" s="723"/>
      <c r="B854" s="220">
        <v>31</v>
      </c>
      <c r="C854" s="220">
        <v>200</v>
      </c>
      <c r="D854" s="1147">
        <v>12125.919025502953</v>
      </c>
      <c r="E854" s="220">
        <v>20</v>
      </c>
      <c r="F854" s="220">
        <v>17</v>
      </c>
    </row>
    <row r="855" spans="1:6">
      <c r="A855" s="723"/>
      <c r="B855" s="220">
        <v>301</v>
      </c>
      <c r="C855" s="220">
        <v>500</v>
      </c>
      <c r="D855" s="1147">
        <v>13969.613526038316</v>
      </c>
      <c r="E855" s="220">
        <v>20</v>
      </c>
      <c r="F855" s="220">
        <v>17</v>
      </c>
    </row>
    <row r="856" spans="1:6">
      <c r="A856" s="723"/>
      <c r="B856" s="220">
        <v>501</v>
      </c>
      <c r="C856" s="220">
        <v>750</v>
      </c>
      <c r="D856" s="1147">
        <v>17759.918572183145</v>
      </c>
      <c r="E856" s="220">
        <v>20</v>
      </c>
      <c r="F856" s="220">
        <v>17</v>
      </c>
    </row>
    <row r="857" spans="1:6">
      <c r="A857" s="723"/>
      <c r="B857" s="220">
        <v>751</v>
      </c>
      <c r="C857" s="220">
        <v>1000</v>
      </c>
      <c r="D857" s="1147">
        <v>18367.928438860366</v>
      </c>
      <c r="E857" s="220">
        <v>20</v>
      </c>
      <c r="F857" s="220">
        <v>17</v>
      </c>
    </row>
    <row r="858" spans="1:6">
      <c r="A858" s="723"/>
      <c r="B858" s="220">
        <v>1001</v>
      </c>
      <c r="C858" s="220">
        <v>1500</v>
      </c>
      <c r="D858" s="1147">
        <v>23207.19064302601</v>
      </c>
      <c r="E858" s="220">
        <v>20</v>
      </c>
      <c r="F858" s="220">
        <v>17</v>
      </c>
    </row>
    <row r="859" spans="1:6">
      <c r="A859" s="723"/>
      <c r="B859" s="220">
        <v>1501</v>
      </c>
      <c r="C859" s="220">
        <v>2000</v>
      </c>
      <c r="D859" s="1147">
        <v>33543.358376538781</v>
      </c>
      <c r="E859" s="220">
        <v>20</v>
      </c>
      <c r="F859" s="220">
        <v>17</v>
      </c>
    </row>
    <row r="860" spans="1:6">
      <c r="A860" s="723"/>
      <c r="B860" s="220">
        <v>2001</v>
      </c>
      <c r="C860" s="220">
        <v>3000</v>
      </c>
      <c r="D860" s="1147">
        <v>38246.128569817702</v>
      </c>
      <c r="E860" s="220">
        <v>20</v>
      </c>
      <c r="F860" s="220">
        <v>17</v>
      </c>
    </row>
    <row r="861" spans="1:6">
      <c r="A861" s="723"/>
      <c r="B861" s="220">
        <v>3001</v>
      </c>
      <c r="C861" s="220">
        <v>3500</v>
      </c>
      <c r="D861" s="1147">
        <v>41894.187769881028</v>
      </c>
      <c r="E861" s="220">
        <v>20</v>
      </c>
      <c r="F861" s="220">
        <v>17</v>
      </c>
    </row>
    <row r="862" spans="1:6">
      <c r="A862" s="723"/>
      <c r="B862" s="220">
        <v>3501</v>
      </c>
      <c r="C862" s="220">
        <v>4000</v>
      </c>
      <c r="D862" s="1147">
        <v>44289.002142711717</v>
      </c>
      <c r="E862" s="220">
        <v>20</v>
      </c>
      <c r="F862" s="220">
        <v>17</v>
      </c>
    </row>
    <row r="863" spans="1:6">
      <c r="A863" s="723"/>
      <c r="B863" s="220">
        <v>4001</v>
      </c>
      <c r="C863" s="220">
        <v>6000</v>
      </c>
      <c r="D863" s="1147">
        <v>82333.048086229319</v>
      </c>
      <c r="E863" s="220">
        <v>20</v>
      </c>
      <c r="F863" s="220">
        <v>17</v>
      </c>
    </row>
    <row r="864" spans="1:6">
      <c r="A864" s="723"/>
      <c r="B864" s="220">
        <v>6001</v>
      </c>
      <c r="C864" s="220">
        <v>10000</v>
      </c>
      <c r="D864" s="1147">
        <v>89174.66776026864</v>
      </c>
      <c r="E864" s="220">
        <v>20</v>
      </c>
      <c r="F864" s="220">
        <v>17</v>
      </c>
    </row>
    <row r="865" spans="1:6">
      <c r="A865" s="723"/>
      <c r="B865" s="220">
        <v>10001</v>
      </c>
      <c r="C865" s="220" t="s">
        <v>5661</v>
      </c>
      <c r="D865" s="1147" t="s">
        <v>5661</v>
      </c>
      <c r="E865" s="220">
        <v>20</v>
      </c>
      <c r="F865" s="220">
        <v>17</v>
      </c>
    </row>
    <row r="868" spans="1:6">
      <c r="A868" s="1128" t="s">
        <v>5925</v>
      </c>
      <c r="B868" s="1128" t="s">
        <v>5926</v>
      </c>
      <c r="C868" s="1128"/>
      <c r="D868" s="1128"/>
      <c r="E868" s="1128"/>
      <c r="F868" s="1128"/>
    </row>
    <row r="869" spans="1:6">
      <c r="A869" s="1146">
        <v>24</v>
      </c>
      <c r="B869" s="1127" t="s">
        <v>5763</v>
      </c>
      <c r="C869" s="1127" t="s">
        <v>5764</v>
      </c>
      <c r="D869" s="1127" t="s">
        <v>5660</v>
      </c>
      <c r="E869" s="1127" t="s">
        <v>5653</v>
      </c>
      <c r="F869" s="1127" t="s">
        <v>5654</v>
      </c>
    </row>
    <row r="870" spans="1:6">
      <c r="A870" s="723" t="s">
        <v>5927</v>
      </c>
      <c r="B870" s="633">
        <v>0</v>
      </c>
      <c r="C870" s="220">
        <v>0.75</v>
      </c>
      <c r="D870" s="1147">
        <v>126.52500000000001</v>
      </c>
      <c r="E870" s="538">
        <v>25</v>
      </c>
      <c r="F870" s="538">
        <v>20</v>
      </c>
    </row>
    <row r="871" spans="1:6">
      <c r="A871" s="723"/>
      <c r="B871" s="633">
        <v>0.76</v>
      </c>
      <c r="C871" s="220">
        <v>1</v>
      </c>
      <c r="D871" s="1147">
        <v>122.58750000000001</v>
      </c>
      <c r="E871" s="538">
        <v>25</v>
      </c>
      <c r="F871" s="538">
        <v>20</v>
      </c>
    </row>
    <row r="872" spans="1:6">
      <c r="A872" s="723"/>
      <c r="B872" s="633">
        <v>1.01</v>
      </c>
      <c r="C872" s="220">
        <v>1.25</v>
      </c>
      <c r="D872" s="1147">
        <v>144.9</v>
      </c>
      <c r="E872" s="538">
        <v>25</v>
      </c>
      <c r="F872" s="538">
        <v>20</v>
      </c>
    </row>
    <row r="873" spans="1:6">
      <c r="A873" s="723"/>
      <c r="B873" s="633">
        <v>1.26</v>
      </c>
      <c r="C873" s="220">
        <v>1.5</v>
      </c>
      <c r="D873" s="1147">
        <v>159.86250000000001</v>
      </c>
      <c r="E873" s="538">
        <v>25</v>
      </c>
      <c r="F873" s="538">
        <v>20</v>
      </c>
    </row>
    <row r="874" spans="1:6">
      <c r="A874" s="723"/>
      <c r="B874" s="633">
        <v>1.51</v>
      </c>
      <c r="C874" s="220">
        <v>2</v>
      </c>
      <c r="D874" s="1147">
        <v>161.84</v>
      </c>
      <c r="E874" s="538">
        <v>25</v>
      </c>
      <c r="F874" s="538">
        <v>20</v>
      </c>
    </row>
    <row r="875" spans="1:6">
      <c r="A875" s="723"/>
      <c r="B875" s="633">
        <v>2.0099999999999998</v>
      </c>
      <c r="C875" s="220">
        <v>2.5</v>
      </c>
      <c r="D875" s="1147">
        <v>231</v>
      </c>
      <c r="E875" s="538">
        <v>25</v>
      </c>
      <c r="F875" s="538">
        <v>20</v>
      </c>
    </row>
    <row r="876" spans="1:6">
      <c r="A876" s="723"/>
      <c r="B876" s="633">
        <v>2.5099999999999998</v>
      </c>
      <c r="C876" s="220">
        <v>3</v>
      </c>
      <c r="D876" s="1147">
        <v>216.42250000000001</v>
      </c>
      <c r="E876" s="538">
        <v>25</v>
      </c>
      <c r="F876" s="538">
        <v>20</v>
      </c>
    </row>
    <row r="877" spans="1:6">
      <c r="A877" s="723"/>
      <c r="B877" s="633">
        <v>3.01</v>
      </c>
      <c r="C877" s="220">
        <v>4</v>
      </c>
      <c r="D877" s="1147">
        <v>313.72250000000003</v>
      </c>
      <c r="E877" s="538">
        <v>25</v>
      </c>
      <c r="F877" s="538">
        <v>20</v>
      </c>
    </row>
    <row r="878" spans="1:6">
      <c r="A878" s="723"/>
      <c r="B878" s="633">
        <v>4.01</v>
      </c>
      <c r="C878" s="220" t="s">
        <v>5661</v>
      </c>
      <c r="D878" s="1171"/>
      <c r="E878" s="633"/>
      <c r="F878" s="633"/>
    </row>
    <row r="881" spans="1:6">
      <c r="A881" s="1128" t="s">
        <v>5925</v>
      </c>
      <c r="B881" s="1128" t="s">
        <v>5928</v>
      </c>
      <c r="C881" s="1128"/>
      <c r="D881" s="1128"/>
      <c r="E881" s="1128"/>
      <c r="F881" s="1128"/>
    </row>
    <row r="882" spans="1:6">
      <c r="A882" s="1146">
        <v>24</v>
      </c>
      <c r="B882" s="1127" t="s">
        <v>5763</v>
      </c>
      <c r="C882" s="1127" t="s">
        <v>5764</v>
      </c>
      <c r="D882" s="1127" t="s">
        <v>5660</v>
      </c>
      <c r="E882" s="1127" t="s">
        <v>5653</v>
      </c>
      <c r="F882" s="1127" t="s">
        <v>5654</v>
      </c>
    </row>
    <row r="883" spans="1:6">
      <c r="A883" s="723" t="s">
        <v>5929</v>
      </c>
      <c r="B883" s="633">
        <v>0</v>
      </c>
      <c r="C883" s="220">
        <v>0.75</v>
      </c>
      <c r="D883" s="1147">
        <v>68.367931518218256</v>
      </c>
      <c r="E883" s="538">
        <v>25</v>
      </c>
      <c r="F883" s="538">
        <v>20</v>
      </c>
    </row>
    <row r="884" spans="1:6">
      <c r="A884" s="723"/>
      <c r="B884" s="633">
        <v>0.76</v>
      </c>
      <c r="C884" s="220">
        <v>1</v>
      </c>
      <c r="D884" s="1147">
        <v>96.337500000000006</v>
      </c>
      <c r="E884" s="538">
        <v>25</v>
      </c>
      <c r="F884" s="538">
        <v>20</v>
      </c>
    </row>
    <row r="885" spans="1:6">
      <c r="A885" s="723"/>
      <c r="B885" s="633">
        <v>1.01</v>
      </c>
      <c r="C885" s="220">
        <v>1.25</v>
      </c>
      <c r="D885" s="1147">
        <v>110.5125</v>
      </c>
      <c r="E885" s="538">
        <v>25</v>
      </c>
      <c r="F885" s="538">
        <v>20</v>
      </c>
    </row>
    <row r="886" spans="1:6">
      <c r="A886" s="723"/>
      <c r="B886" s="633">
        <v>1.26</v>
      </c>
      <c r="C886" s="220">
        <v>1.5</v>
      </c>
      <c r="D886" s="1147">
        <v>126.52500000000001</v>
      </c>
      <c r="E886" s="538">
        <v>25</v>
      </c>
      <c r="F886" s="538">
        <v>20</v>
      </c>
    </row>
    <row r="887" spans="1:6">
      <c r="A887" s="723"/>
      <c r="B887" s="633">
        <v>1.51</v>
      </c>
      <c r="C887" s="220">
        <v>2</v>
      </c>
      <c r="D887" s="1147">
        <v>143.85</v>
      </c>
      <c r="E887" s="538">
        <v>25</v>
      </c>
      <c r="F887" s="538">
        <v>20</v>
      </c>
    </row>
    <row r="888" spans="1:6">
      <c r="A888" s="723"/>
      <c r="B888" s="633">
        <v>2.0099999999999998</v>
      </c>
      <c r="C888" s="220">
        <v>2.5</v>
      </c>
      <c r="D888" s="1147">
        <v>166.95</v>
      </c>
      <c r="E888" s="538">
        <v>25</v>
      </c>
      <c r="F888" s="538">
        <v>20</v>
      </c>
    </row>
    <row r="889" spans="1:6">
      <c r="A889" s="723"/>
      <c r="B889" s="633">
        <v>2.5099999999999998</v>
      </c>
      <c r="C889" s="220">
        <v>3</v>
      </c>
      <c r="D889" s="1147">
        <v>183.22499999999999</v>
      </c>
      <c r="E889" s="538">
        <v>25</v>
      </c>
      <c r="F889" s="538">
        <v>20</v>
      </c>
    </row>
    <row r="890" spans="1:6">
      <c r="A890" s="723"/>
      <c r="B890" s="633">
        <v>3.01</v>
      </c>
      <c r="C890" s="220">
        <v>4</v>
      </c>
      <c r="D890" s="1147">
        <v>264.60000000000002</v>
      </c>
      <c r="E890" s="538">
        <v>25</v>
      </c>
      <c r="F890" s="538">
        <v>20</v>
      </c>
    </row>
    <row r="891" spans="1:6">
      <c r="A891" s="723"/>
      <c r="B891" s="633">
        <v>4.01</v>
      </c>
      <c r="C891" s="220" t="s">
        <v>5661</v>
      </c>
      <c r="D891" s="1171"/>
      <c r="E891" s="633"/>
      <c r="F891" s="633"/>
    </row>
    <row r="894" spans="1:6">
      <c r="A894" s="1128" t="s">
        <v>5925</v>
      </c>
      <c r="B894" s="1128" t="s">
        <v>5930</v>
      </c>
      <c r="C894" s="1128"/>
      <c r="D894" s="1128"/>
      <c r="E894" s="1128"/>
      <c r="F894" s="1128"/>
    </row>
    <row r="895" spans="1:6">
      <c r="A895" s="1146">
        <v>24</v>
      </c>
      <c r="B895" s="1127" t="s">
        <v>5763</v>
      </c>
      <c r="C895" s="1127" t="s">
        <v>5764</v>
      </c>
      <c r="D895" s="1133" t="s">
        <v>5781</v>
      </c>
      <c r="E895" s="1127" t="s">
        <v>5653</v>
      </c>
      <c r="F895" s="1127" t="s">
        <v>5654</v>
      </c>
    </row>
    <row r="896" spans="1:6">
      <c r="A896" s="723" t="s">
        <v>5931</v>
      </c>
      <c r="B896" s="633">
        <v>0</v>
      </c>
      <c r="C896" s="220">
        <v>0</v>
      </c>
      <c r="D896" s="1170">
        <v>38.5</v>
      </c>
      <c r="E896" s="538">
        <v>25</v>
      </c>
      <c r="F896" s="538">
        <v>20</v>
      </c>
    </row>
    <row r="899" spans="1:6">
      <c r="A899" s="1128" t="s">
        <v>5799</v>
      </c>
      <c r="B899" s="1128" t="s">
        <v>5932</v>
      </c>
      <c r="C899" s="1128"/>
      <c r="D899" s="1128"/>
      <c r="E899" s="1128"/>
      <c r="F899" s="1128"/>
    </row>
    <row r="900" spans="1:6">
      <c r="A900" s="1146">
        <v>16</v>
      </c>
      <c r="B900" s="1127" t="s">
        <v>5933</v>
      </c>
      <c r="C900" s="1127" t="s">
        <v>5934</v>
      </c>
      <c r="D900" s="1127" t="s">
        <v>5660</v>
      </c>
      <c r="E900" s="1127" t="s">
        <v>5653</v>
      </c>
      <c r="F900" s="1127" t="s">
        <v>5654</v>
      </c>
    </row>
    <row r="901" spans="1:6">
      <c r="A901" s="723" t="s">
        <v>5935</v>
      </c>
      <c r="B901" s="633">
        <v>0</v>
      </c>
      <c r="C901" s="220">
        <v>150</v>
      </c>
      <c r="D901" s="1147" t="s">
        <v>5661</v>
      </c>
      <c r="E901" s="538">
        <v>22</v>
      </c>
      <c r="F901" s="538">
        <v>17</v>
      </c>
    </row>
    <row r="902" spans="1:6">
      <c r="A902" s="723"/>
      <c r="B902" s="633">
        <v>150.1</v>
      </c>
      <c r="C902" s="220">
        <v>300</v>
      </c>
      <c r="D902" s="1147">
        <v>9333.3041836615193</v>
      </c>
      <c r="E902" s="538">
        <v>22</v>
      </c>
      <c r="F902" s="538">
        <v>17</v>
      </c>
    </row>
    <row r="903" spans="1:6">
      <c r="A903" s="723"/>
      <c r="B903" s="633">
        <v>300.10000000000002</v>
      </c>
      <c r="C903" s="220" t="s">
        <v>5661</v>
      </c>
      <c r="D903" s="1147" t="s">
        <v>5661</v>
      </c>
      <c r="E903" s="538">
        <v>22</v>
      </c>
      <c r="F903" s="538">
        <v>17</v>
      </c>
    </row>
    <row r="906" spans="1:6">
      <c r="A906" s="1128" t="s">
        <v>5799</v>
      </c>
      <c r="B906" s="1128" t="s">
        <v>5936</v>
      </c>
      <c r="C906" s="1128"/>
      <c r="D906" s="1128"/>
      <c r="E906" s="1128"/>
      <c r="F906" s="1128"/>
    </row>
    <row r="907" spans="1:6">
      <c r="A907" s="1146">
        <v>16</v>
      </c>
      <c r="B907" s="1127" t="s">
        <v>5933</v>
      </c>
      <c r="C907" s="1127" t="s">
        <v>5934</v>
      </c>
      <c r="D907" s="1127" t="s">
        <v>5660</v>
      </c>
      <c r="E907" s="1127" t="s">
        <v>5653</v>
      </c>
      <c r="F907" s="1127" t="s">
        <v>5654</v>
      </c>
    </row>
    <row r="908" spans="1:6">
      <c r="A908" s="723" t="s">
        <v>5937</v>
      </c>
      <c r="B908" s="633">
        <v>0</v>
      </c>
      <c r="C908" s="220">
        <v>150</v>
      </c>
      <c r="D908" s="1147" t="s">
        <v>5661</v>
      </c>
      <c r="E908" s="538">
        <v>22</v>
      </c>
      <c r="F908" s="538">
        <v>17</v>
      </c>
    </row>
    <row r="909" spans="1:6">
      <c r="A909" s="723"/>
      <c r="B909" s="633">
        <v>150.1</v>
      </c>
      <c r="C909" s="220">
        <v>300</v>
      </c>
      <c r="D909" s="1147">
        <v>494.145764451015</v>
      </c>
      <c r="E909" s="538">
        <v>22</v>
      </c>
      <c r="F909" s="538">
        <v>17</v>
      </c>
    </row>
    <row r="910" spans="1:6">
      <c r="A910" s="723"/>
      <c r="B910" s="633">
        <v>300.10000000000002</v>
      </c>
      <c r="C910" s="220" t="s">
        <v>5661</v>
      </c>
      <c r="D910" s="1147" t="s">
        <v>5661</v>
      </c>
      <c r="E910" s="538">
        <v>22</v>
      </c>
      <c r="F910" s="538">
        <v>17</v>
      </c>
    </row>
    <row r="913" spans="1:6">
      <c r="A913" s="1128" t="s">
        <v>5799</v>
      </c>
      <c r="B913" s="1128" t="s">
        <v>5938</v>
      </c>
      <c r="C913" s="1128"/>
      <c r="D913" s="1128"/>
      <c r="E913" s="1128"/>
      <c r="F913" s="1128"/>
    </row>
    <row r="914" spans="1:6">
      <c r="A914" s="1146">
        <v>16</v>
      </c>
      <c r="B914" s="1127" t="s">
        <v>5933</v>
      </c>
      <c r="C914" s="1127" t="s">
        <v>5934</v>
      </c>
      <c r="D914" s="1127" t="s">
        <v>5660</v>
      </c>
      <c r="E914" s="1127" t="s">
        <v>5653</v>
      </c>
      <c r="F914" s="1127" t="s">
        <v>5654</v>
      </c>
    </row>
    <row r="915" spans="1:6">
      <c r="A915" s="723" t="s">
        <v>5939</v>
      </c>
      <c r="B915" s="633">
        <v>0</v>
      </c>
      <c r="C915" s="220">
        <v>300</v>
      </c>
      <c r="D915" s="1147">
        <v>213.6932232944518</v>
      </c>
      <c r="E915" s="538">
        <v>22</v>
      </c>
      <c r="F915" s="538">
        <v>17</v>
      </c>
    </row>
    <row r="916" spans="1:6">
      <c r="A916" s="723"/>
      <c r="B916" s="633">
        <v>300.10000000000002</v>
      </c>
      <c r="C916" s="220">
        <v>600</v>
      </c>
      <c r="D916" s="1147">
        <v>240.35879717257635</v>
      </c>
      <c r="E916" s="538">
        <v>22</v>
      </c>
      <c r="F916" s="538">
        <v>17</v>
      </c>
    </row>
    <row r="917" spans="1:6">
      <c r="A917" s="723"/>
      <c r="B917" s="633">
        <v>600.1</v>
      </c>
      <c r="C917" s="220" t="s">
        <v>5661</v>
      </c>
      <c r="D917" s="1147" t="s">
        <v>5661</v>
      </c>
      <c r="E917" s="538">
        <v>22</v>
      </c>
      <c r="F917" s="538">
        <v>17</v>
      </c>
    </row>
    <row r="920" spans="1:6">
      <c r="A920" s="1128" t="s">
        <v>5799</v>
      </c>
      <c r="B920" s="1128" t="s">
        <v>5940</v>
      </c>
      <c r="C920" s="1128"/>
      <c r="D920" s="1128"/>
      <c r="E920" s="1128"/>
      <c r="F920" s="1128"/>
    </row>
    <row r="921" spans="1:6">
      <c r="A921" s="1146">
        <v>16</v>
      </c>
      <c r="B921" s="1127" t="s">
        <v>5933</v>
      </c>
      <c r="C921" s="1127" t="s">
        <v>5934</v>
      </c>
      <c r="D921" s="1127" t="s">
        <v>5660</v>
      </c>
      <c r="E921" s="1127" t="s">
        <v>5653</v>
      </c>
      <c r="F921" s="1127" t="s">
        <v>5654</v>
      </c>
    </row>
    <row r="922" spans="1:6">
      <c r="A922" s="723" t="s">
        <v>5941</v>
      </c>
      <c r="B922" s="633">
        <v>0</v>
      </c>
      <c r="C922" s="220">
        <v>300</v>
      </c>
      <c r="D922" s="1147">
        <v>76.144118512782342</v>
      </c>
      <c r="E922" s="538">
        <v>22</v>
      </c>
      <c r="F922" s="538">
        <v>17</v>
      </c>
    </row>
    <row r="923" spans="1:6">
      <c r="A923" s="723"/>
      <c r="B923" s="633">
        <v>300.10000000000002</v>
      </c>
      <c r="C923" s="220">
        <v>600</v>
      </c>
      <c r="D923" s="1147">
        <v>127.95088238945222</v>
      </c>
      <c r="E923" s="538">
        <v>22</v>
      </c>
      <c r="F923" s="538">
        <v>17</v>
      </c>
    </row>
    <row r="924" spans="1:6">
      <c r="A924" s="723"/>
      <c r="B924" s="633">
        <v>600.1</v>
      </c>
      <c r="C924" s="220" t="s">
        <v>5661</v>
      </c>
      <c r="D924" s="1147" t="s">
        <v>5661</v>
      </c>
      <c r="E924" s="538">
        <v>22</v>
      </c>
      <c r="F924" s="538">
        <v>17</v>
      </c>
    </row>
    <row r="927" spans="1:6">
      <c r="A927" s="1128" t="s">
        <v>5799</v>
      </c>
      <c r="B927" s="1128" t="s">
        <v>5942</v>
      </c>
      <c r="C927" s="1128"/>
      <c r="D927" s="1128"/>
      <c r="E927" s="1128"/>
      <c r="F927" s="1128"/>
    </row>
    <row r="928" spans="1:6">
      <c r="A928" s="1146">
        <v>16</v>
      </c>
      <c r="B928" s="1127" t="s">
        <v>5933</v>
      </c>
      <c r="C928" s="1127" t="s">
        <v>5934</v>
      </c>
      <c r="D928" s="1127" t="s">
        <v>5660</v>
      </c>
      <c r="E928" s="1127" t="s">
        <v>5653</v>
      </c>
      <c r="F928" s="1127" t="s">
        <v>5654</v>
      </c>
    </row>
    <row r="929" spans="1:6">
      <c r="A929" s="723" t="s">
        <v>5943</v>
      </c>
      <c r="B929" s="633">
        <v>0</v>
      </c>
      <c r="C929" s="220">
        <v>150</v>
      </c>
      <c r="D929" s="1147">
        <v>607.5834016375594</v>
      </c>
      <c r="E929" s="538">
        <v>22</v>
      </c>
      <c r="F929" s="538">
        <v>17</v>
      </c>
    </row>
    <row r="930" spans="1:6">
      <c r="A930" s="723"/>
      <c r="B930" s="633">
        <v>150.1</v>
      </c>
      <c r="C930" s="220">
        <v>300</v>
      </c>
      <c r="D930" s="1147">
        <v>633.19205106949892</v>
      </c>
      <c r="E930" s="538">
        <v>22</v>
      </c>
      <c r="F930" s="538">
        <v>17</v>
      </c>
    </row>
    <row r="931" spans="1:6">
      <c r="A931" s="723"/>
      <c r="B931" s="633">
        <v>300.10000000000002</v>
      </c>
      <c r="C931" s="220">
        <v>450</v>
      </c>
      <c r="D931" s="1147">
        <v>729.90945288057173</v>
      </c>
      <c r="E931" s="538">
        <v>22</v>
      </c>
      <c r="F931" s="538">
        <v>17</v>
      </c>
    </row>
    <row r="932" spans="1:6">
      <c r="A932" s="723"/>
      <c r="B932" s="633">
        <v>450.1</v>
      </c>
      <c r="C932" s="220" t="s">
        <v>5661</v>
      </c>
      <c r="D932" s="1147" t="s">
        <v>5661</v>
      </c>
      <c r="E932" s="538">
        <v>22</v>
      </c>
      <c r="F932" s="538">
        <v>17</v>
      </c>
    </row>
    <row r="935" spans="1:6">
      <c r="A935" s="1128" t="s">
        <v>5799</v>
      </c>
      <c r="B935" s="1128" t="s">
        <v>5944</v>
      </c>
      <c r="C935" s="1128"/>
      <c r="D935" s="1128"/>
      <c r="E935" s="1128"/>
      <c r="F935" s="1128"/>
    </row>
    <row r="936" spans="1:6">
      <c r="A936" s="1146">
        <v>16</v>
      </c>
      <c r="B936" s="1127" t="s">
        <v>5933</v>
      </c>
      <c r="C936" s="1127" t="s">
        <v>5934</v>
      </c>
      <c r="D936" s="1127" t="s">
        <v>5660</v>
      </c>
      <c r="E936" s="1127" t="s">
        <v>5653</v>
      </c>
      <c r="F936" s="1127" t="s">
        <v>5654</v>
      </c>
    </row>
    <row r="937" spans="1:6">
      <c r="A937" s="723" t="s">
        <v>5945</v>
      </c>
      <c r="B937" s="633">
        <v>0</v>
      </c>
      <c r="C937" s="220">
        <v>150</v>
      </c>
      <c r="D937" s="1147">
        <v>80.008158912423454</v>
      </c>
      <c r="E937" s="538">
        <v>22</v>
      </c>
      <c r="F937" s="538">
        <v>17</v>
      </c>
    </row>
    <row r="938" spans="1:6">
      <c r="A938" s="723"/>
      <c r="B938" s="633">
        <v>150.1</v>
      </c>
      <c r="C938" s="220">
        <v>300</v>
      </c>
      <c r="D938" s="1147">
        <v>115.6628002922469</v>
      </c>
      <c r="E938" s="538">
        <v>22</v>
      </c>
      <c r="F938" s="538">
        <v>17</v>
      </c>
    </row>
    <row r="939" spans="1:6">
      <c r="A939" s="723"/>
      <c r="B939" s="633">
        <v>300.10000000000002</v>
      </c>
      <c r="C939" s="220">
        <v>450</v>
      </c>
      <c r="D939" s="1147">
        <v>122.3881745916387</v>
      </c>
      <c r="E939" s="538">
        <v>22</v>
      </c>
      <c r="F939" s="538">
        <v>17</v>
      </c>
    </row>
    <row r="940" spans="1:6">
      <c r="A940" s="723"/>
      <c r="B940" s="633">
        <v>450.1</v>
      </c>
      <c r="C940" s="220" t="s">
        <v>5661</v>
      </c>
      <c r="D940" s="1147" t="s">
        <v>5661</v>
      </c>
      <c r="E940" s="538">
        <v>22</v>
      </c>
      <c r="F940" s="538">
        <v>17</v>
      </c>
    </row>
    <row r="943" spans="1:6">
      <c r="A943" s="1128" t="s">
        <v>5757</v>
      </c>
      <c r="B943" s="1128" t="s">
        <v>5946</v>
      </c>
      <c r="C943" s="1128"/>
      <c r="D943" s="1128"/>
      <c r="E943" s="1128"/>
      <c r="F943" s="1128"/>
    </row>
    <row r="944" spans="1:6">
      <c r="A944" s="1146">
        <v>30</v>
      </c>
      <c r="B944" s="1127" t="s">
        <v>5759</v>
      </c>
      <c r="C944" s="1127" t="s">
        <v>5760</v>
      </c>
      <c r="D944" s="1133" t="s">
        <v>5660</v>
      </c>
      <c r="E944" s="1127" t="s">
        <v>5653</v>
      </c>
      <c r="F944" s="1127" t="s">
        <v>5654</v>
      </c>
    </row>
    <row r="945" spans="1:6">
      <c r="A945" s="723" t="s">
        <v>5947</v>
      </c>
      <c r="B945" s="220">
        <v>0</v>
      </c>
      <c r="C945" s="220">
        <v>0.21</v>
      </c>
      <c r="D945" s="1147">
        <v>1430.5603577391205</v>
      </c>
      <c r="E945" s="220">
        <v>20</v>
      </c>
      <c r="F945" s="220">
        <v>15</v>
      </c>
    </row>
    <row r="946" spans="1:6">
      <c r="A946" s="723"/>
      <c r="B946" s="220">
        <v>0.22</v>
      </c>
      <c r="C946" s="220">
        <v>0.5</v>
      </c>
      <c r="D946" s="1147">
        <v>1698.9532846009226</v>
      </c>
      <c r="E946" s="220">
        <v>20</v>
      </c>
      <c r="F946" s="220">
        <v>15</v>
      </c>
    </row>
    <row r="947" spans="1:6">
      <c r="A947" s="723"/>
      <c r="B947" s="220">
        <v>0.51</v>
      </c>
      <c r="C947" s="220">
        <v>0.6</v>
      </c>
      <c r="D947" s="1147">
        <v>667.04762473158007</v>
      </c>
      <c r="E947" s="220">
        <v>20</v>
      </c>
      <c r="F947" s="220">
        <v>15</v>
      </c>
    </row>
    <row r="948" spans="1:6">
      <c r="A948" s="723"/>
      <c r="B948" s="220">
        <v>0.61</v>
      </c>
      <c r="C948" s="220">
        <v>1</v>
      </c>
      <c r="D948" s="1147">
        <v>1376.9078299324747</v>
      </c>
      <c r="E948" s="220">
        <v>20</v>
      </c>
      <c r="F948" s="220">
        <v>15</v>
      </c>
    </row>
    <row r="949" spans="1:6">
      <c r="A949" s="723"/>
      <c r="B949" s="220">
        <v>1.01</v>
      </c>
      <c r="C949" s="220">
        <v>1.5</v>
      </c>
      <c r="D949" s="1147">
        <v>717.80776274388995</v>
      </c>
      <c r="E949" s="220">
        <v>20</v>
      </c>
      <c r="F949" s="220">
        <v>15</v>
      </c>
    </row>
    <row r="950" spans="1:6">
      <c r="A950" s="723"/>
      <c r="B950" s="220">
        <v>1.51</v>
      </c>
      <c r="C950" s="220">
        <v>2</v>
      </c>
      <c r="D950" s="1147">
        <v>1063.3180553384593</v>
      </c>
      <c r="E950" s="220">
        <v>20</v>
      </c>
      <c r="F950" s="220">
        <v>15</v>
      </c>
    </row>
    <row r="951" spans="1:6">
      <c r="A951" s="723"/>
      <c r="B951" s="220">
        <v>2.0099999999999998</v>
      </c>
      <c r="C951" s="220">
        <v>2.5</v>
      </c>
      <c r="D951" s="1147">
        <v>2044.2160303212022</v>
      </c>
      <c r="E951" s="220">
        <v>20</v>
      </c>
      <c r="F951" s="220">
        <v>15</v>
      </c>
    </row>
    <row r="952" spans="1:6">
      <c r="A952" s="723"/>
      <c r="B952" s="220">
        <v>2.5099999999999998</v>
      </c>
      <c r="C952" s="220">
        <v>5</v>
      </c>
      <c r="D952" s="1147">
        <v>2208.378694324052</v>
      </c>
      <c r="E952" s="220">
        <v>20</v>
      </c>
      <c r="F952" s="220">
        <v>15</v>
      </c>
    </row>
    <row r="953" spans="1:6">
      <c r="A953" s="723"/>
      <c r="B953" s="220">
        <v>5.01</v>
      </c>
      <c r="C953" s="220">
        <v>6.3</v>
      </c>
      <c r="D953" s="1147">
        <v>1184.6029949577078</v>
      </c>
      <c r="E953" s="220">
        <v>20</v>
      </c>
      <c r="F953" s="220">
        <v>15</v>
      </c>
    </row>
    <row r="954" spans="1:6">
      <c r="A954" s="723"/>
      <c r="B954" s="220">
        <v>6.31</v>
      </c>
      <c r="C954" s="220">
        <v>10</v>
      </c>
      <c r="D954" s="1147">
        <v>2393.3874108986925</v>
      </c>
      <c r="E954" s="220">
        <v>20</v>
      </c>
      <c r="F954" s="220">
        <v>15</v>
      </c>
    </row>
    <row r="955" spans="1:6">
      <c r="A955" s="723"/>
      <c r="B955" s="220">
        <v>10.01</v>
      </c>
      <c r="C955" s="220">
        <v>21</v>
      </c>
      <c r="D955" s="1147">
        <v>3340.5799246294214</v>
      </c>
      <c r="E955" s="220">
        <v>20</v>
      </c>
      <c r="F955" s="220">
        <v>15</v>
      </c>
    </row>
    <row r="956" spans="1:6">
      <c r="A956" s="723"/>
      <c r="B956" s="220">
        <v>21.01</v>
      </c>
      <c r="C956" s="220" t="s">
        <v>5661</v>
      </c>
      <c r="D956" s="1147" t="s">
        <v>5661</v>
      </c>
      <c r="E956" s="220">
        <v>20</v>
      </c>
      <c r="F956" s="220">
        <v>15</v>
      </c>
    </row>
    <row r="959" spans="1:6">
      <c r="A959" s="1128" t="s">
        <v>5757</v>
      </c>
      <c r="B959" s="1128" t="s">
        <v>5948</v>
      </c>
      <c r="C959" s="1128"/>
      <c r="D959" s="1128"/>
      <c r="E959" s="1128"/>
      <c r="F959" s="1128"/>
    </row>
    <row r="960" spans="1:6">
      <c r="A960" s="1146">
        <v>30</v>
      </c>
      <c r="B960" s="1127" t="s">
        <v>5759</v>
      </c>
      <c r="C960" s="1127" t="s">
        <v>5760</v>
      </c>
      <c r="D960" s="1133" t="s">
        <v>5660</v>
      </c>
      <c r="E960" s="1127" t="s">
        <v>5653</v>
      </c>
      <c r="F960" s="1127" t="s">
        <v>5654</v>
      </c>
    </row>
    <row r="961" spans="1:6">
      <c r="A961" s="723" t="s">
        <v>5949</v>
      </c>
      <c r="B961" s="220">
        <v>0</v>
      </c>
      <c r="C961" s="220">
        <v>1</v>
      </c>
      <c r="D961" s="1147">
        <v>3165.9942343406765</v>
      </c>
      <c r="E961" s="220">
        <v>20</v>
      </c>
      <c r="F961" s="220">
        <v>17</v>
      </c>
    </row>
    <row r="962" spans="1:6">
      <c r="A962" s="723"/>
      <c r="B962" s="220">
        <v>1.01</v>
      </c>
      <c r="C962" s="220">
        <v>2</v>
      </c>
      <c r="D962" s="1147">
        <v>3165.9942343406765</v>
      </c>
      <c r="E962" s="220">
        <v>20</v>
      </c>
      <c r="F962" s="220">
        <v>17</v>
      </c>
    </row>
    <row r="963" spans="1:6">
      <c r="A963" s="723"/>
      <c r="B963" s="220">
        <v>2.0099999999999998</v>
      </c>
      <c r="C963" s="220">
        <v>4</v>
      </c>
      <c r="D963" s="1147">
        <v>3165.9942343406765</v>
      </c>
      <c r="E963" s="220">
        <v>20</v>
      </c>
      <c r="F963" s="220">
        <v>17</v>
      </c>
    </row>
    <row r="964" spans="1:6">
      <c r="A964" s="723"/>
      <c r="B964" s="220">
        <v>4.01</v>
      </c>
      <c r="C964" s="220">
        <v>5</v>
      </c>
      <c r="D964" s="1147">
        <v>3165.9942343406765</v>
      </c>
      <c r="E964" s="220">
        <v>20</v>
      </c>
      <c r="F964" s="220">
        <v>17</v>
      </c>
    </row>
    <row r="965" spans="1:6">
      <c r="A965" s="723"/>
      <c r="B965" s="220">
        <v>5.01</v>
      </c>
      <c r="C965" s="220">
        <v>7</v>
      </c>
      <c r="D965" s="1147">
        <v>3599.2012643481967</v>
      </c>
      <c r="E965" s="220">
        <v>20</v>
      </c>
      <c r="F965" s="220">
        <v>17</v>
      </c>
    </row>
    <row r="966" spans="1:6">
      <c r="A966" s="723"/>
      <c r="B966" s="220">
        <v>7.01</v>
      </c>
      <c r="C966" s="220">
        <v>11</v>
      </c>
      <c r="D966" s="1147">
        <v>3165.9942343406765</v>
      </c>
      <c r="E966" s="220">
        <v>20</v>
      </c>
      <c r="F966" s="220">
        <v>17</v>
      </c>
    </row>
    <row r="967" spans="1:6">
      <c r="A967" s="723"/>
      <c r="B967" s="220">
        <v>11.01</v>
      </c>
      <c r="C967" s="220">
        <v>14</v>
      </c>
      <c r="D967" s="1147">
        <v>4109.2781132141945</v>
      </c>
      <c r="E967" s="220">
        <v>20</v>
      </c>
      <c r="F967" s="220">
        <v>17</v>
      </c>
    </row>
    <row r="968" spans="1:6">
      <c r="A968" s="723"/>
      <c r="B968" s="220">
        <v>14.01</v>
      </c>
      <c r="C968" s="220">
        <v>22</v>
      </c>
      <c r="D968" s="1147">
        <v>4552.8161503300189</v>
      </c>
      <c r="E968" s="220">
        <v>20</v>
      </c>
      <c r="F968" s="220">
        <v>17</v>
      </c>
    </row>
    <row r="969" spans="1:6">
      <c r="A969" s="723"/>
      <c r="B969" s="220">
        <v>22.01</v>
      </c>
      <c r="C969" s="220">
        <v>29</v>
      </c>
      <c r="D969" s="1147">
        <v>4415.4545103623668</v>
      </c>
      <c r="E969" s="220">
        <v>20</v>
      </c>
      <c r="F969" s="220">
        <v>17</v>
      </c>
    </row>
    <row r="970" spans="1:6">
      <c r="A970" s="723"/>
      <c r="B970" s="220">
        <v>29.01</v>
      </c>
      <c r="C970" s="220">
        <v>35</v>
      </c>
      <c r="D970" s="1147">
        <v>4569.1941480793221</v>
      </c>
      <c r="E970" s="220">
        <v>20</v>
      </c>
      <c r="F970" s="220">
        <v>17</v>
      </c>
    </row>
    <row r="971" spans="1:6">
      <c r="A971" s="723"/>
      <c r="B971" s="220">
        <v>35.01</v>
      </c>
      <c r="C971" s="220">
        <v>59</v>
      </c>
      <c r="D971" s="1147">
        <v>5503.0238131129645</v>
      </c>
      <c r="E971" s="220">
        <v>20</v>
      </c>
      <c r="F971" s="220">
        <v>17</v>
      </c>
    </row>
    <row r="972" spans="1:6">
      <c r="A972" s="723"/>
      <c r="B972" s="220">
        <v>59.01</v>
      </c>
      <c r="C972" s="220">
        <v>132</v>
      </c>
      <c r="D972" s="1147">
        <v>6656.4039497412641</v>
      </c>
      <c r="E972" s="220">
        <v>20</v>
      </c>
      <c r="F972" s="220">
        <v>17</v>
      </c>
    </row>
    <row r="973" spans="1:6">
      <c r="A973" s="723"/>
      <c r="B973" s="220">
        <v>132.01</v>
      </c>
      <c r="C973" s="220" t="s">
        <v>5661</v>
      </c>
      <c r="D973" s="1147" t="s">
        <v>5661</v>
      </c>
      <c r="E973" s="220">
        <v>20</v>
      </c>
      <c r="F973" s="220">
        <v>17</v>
      </c>
    </row>
    <row r="976" spans="1:6">
      <c r="A976" s="1128" t="s">
        <v>5779</v>
      </c>
      <c r="B976" s="1128" t="s">
        <v>5950</v>
      </c>
      <c r="C976" s="1128"/>
      <c r="D976" s="1128"/>
      <c r="E976" s="1128"/>
      <c r="F976" s="1128"/>
    </row>
    <row r="977" spans="1:6">
      <c r="A977" s="1146">
        <v>15</v>
      </c>
      <c r="B977" s="1127" t="s">
        <v>5763</v>
      </c>
      <c r="C977" s="1127" t="s">
        <v>5764</v>
      </c>
      <c r="D977" s="1133" t="s">
        <v>5781</v>
      </c>
      <c r="E977" s="1127" t="s">
        <v>5653</v>
      </c>
      <c r="F977" s="1127" t="s">
        <v>5654</v>
      </c>
    </row>
    <row r="978" spans="1:6">
      <c r="A978" s="723" t="s">
        <v>5951</v>
      </c>
      <c r="B978" s="220">
        <v>0</v>
      </c>
      <c r="C978" s="220">
        <v>0.5</v>
      </c>
      <c r="D978" s="1147">
        <v>1.9312269788838421</v>
      </c>
      <c r="E978" s="220">
        <v>22</v>
      </c>
      <c r="F978" s="220">
        <v>17</v>
      </c>
    </row>
    <row r="979" spans="1:6">
      <c r="A979" s="723"/>
      <c r="B979" s="220">
        <v>0.6</v>
      </c>
      <c r="C979" s="220">
        <v>0.75</v>
      </c>
      <c r="D979" s="1147">
        <v>2.5438388800988618</v>
      </c>
      <c r="E979" s="220">
        <v>22</v>
      </c>
      <c r="F979" s="220">
        <v>17</v>
      </c>
    </row>
    <row r="980" spans="1:6">
      <c r="A980" s="723"/>
      <c r="B980" s="220">
        <v>0.76</v>
      </c>
      <c r="C980" s="220">
        <v>1</v>
      </c>
      <c r="D980" s="1147">
        <v>3.7370578810951129</v>
      </c>
      <c r="E980" s="220">
        <v>22</v>
      </c>
      <c r="F980" s="220">
        <v>17</v>
      </c>
    </row>
    <row r="981" spans="1:6">
      <c r="A981" s="723"/>
      <c r="B981" s="220">
        <v>1.1000000000000001</v>
      </c>
      <c r="C981" s="220">
        <v>1.5</v>
      </c>
      <c r="D981" s="1147">
        <v>2.3199999999999998</v>
      </c>
      <c r="E981" s="220">
        <v>22</v>
      </c>
      <c r="F981" s="220">
        <v>17</v>
      </c>
    </row>
    <row r="982" spans="1:6">
      <c r="A982" s="723"/>
      <c r="B982" s="220">
        <v>1.6</v>
      </c>
      <c r="C982" s="220">
        <v>2</v>
      </c>
      <c r="D982" s="1147">
        <v>2.4700000000000002</v>
      </c>
      <c r="E982" s="220">
        <v>22</v>
      </c>
      <c r="F982" s="220">
        <v>17</v>
      </c>
    </row>
    <row r="983" spans="1:6">
      <c r="A983" s="723"/>
      <c r="B983" s="220">
        <v>2.1</v>
      </c>
      <c r="C983" s="220">
        <v>2.5</v>
      </c>
      <c r="D983" s="1147">
        <v>3.46</v>
      </c>
      <c r="E983" s="220">
        <v>22</v>
      </c>
      <c r="F983" s="220">
        <v>17</v>
      </c>
    </row>
    <row r="984" spans="1:6">
      <c r="A984" s="723"/>
      <c r="B984" s="220">
        <v>2.6</v>
      </c>
      <c r="C984" s="220">
        <v>3</v>
      </c>
      <c r="D984" s="1147">
        <v>6.45</v>
      </c>
      <c r="E984" s="220">
        <v>22</v>
      </c>
      <c r="F984" s="220">
        <v>17</v>
      </c>
    </row>
    <row r="985" spans="1:6">
      <c r="A985" s="723"/>
      <c r="B985" s="220">
        <v>3.1</v>
      </c>
      <c r="C985" s="220">
        <v>4</v>
      </c>
      <c r="D985" s="1147">
        <v>9.6</v>
      </c>
      <c r="E985" s="220">
        <v>22</v>
      </c>
      <c r="F985" s="220">
        <v>17</v>
      </c>
    </row>
    <row r="986" spans="1:6">
      <c r="A986" s="723"/>
      <c r="B986" s="220">
        <v>3.1</v>
      </c>
      <c r="C986" s="220">
        <v>6</v>
      </c>
      <c r="D986" s="1147">
        <v>12.6</v>
      </c>
      <c r="E986" s="220">
        <v>22</v>
      </c>
      <c r="F986" s="220">
        <v>17</v>
      </c>
    </row>
    <row r="987" spans="1:6">
      <c r="A987" s="723"/>
      <c r="B987" s="220">
        <v>6.1</v>
      </c>
      <c r="C987" s="220">
        <v>8</v>
      </c>
      <c r="D987" s="1147">
        <v>17.850000000000001</v>
      </c>
      <c r="E987" s="220">
        <v>22</v>
      </c>
      <c r="F987" s="220">
        <v>17</v>
      </c>
    </row>
    <row r="988" spans="1:6">
      <c r="A988" s="723"/>
      <c r="B988" s="220">
        <v>8.1</v>
      </c>
      <c r="C988" s="220">
        <v>10</v>
      </c>
      <c r="D988" s="1147">
        <v>22.5</v>
      </c>
      <c r="E988" s="220">
        <v>22</v>
      </c>
      <c r="F988" s="220">
        <v>17</v>
      </c>
    </row>
    <row r="989" spans="1:6">
      <c r="A989" s="723"/>
      <c r="B989" s="220">
        <v>10.1</v>
      </c>
      <c r="C989" s="220">
        <v>12</v>
      </c>
      <c r="D989" s="1147">
        <v>29</v>
      </c>
      <c r="E989" s="220">
        <v>22</v>
      </c>
      <c r="F989" s="220">
        <v>17</v>
      </c>
    </row>
    <row r="990" spans="1:6">
      <c r="A990" s="723"/>
      <c r="B990" s="220">
        <v>12.1</v>
      </c>
      <c r="C990" s="220">
        <v>14</v>
      </c>
      <c r="D990" s="1147">
        <v>28</v>
      </c>
      <c r="E990" s="220">
        <v>22</v>
      </c>
      <c r="F990" s="220">
        <v>17</v>
      </c>
    </row>
    <row r="991" spans="1:6">
      <c r="A991" s="723"/>
      <c r="B991" s="220">
        <v>14.1</v>
      </c>
      <c r="C991" s="220">
        <v>16</v>
      </c>
      <c r="D991" s="1147">
        <v>35</v>
      </c>
      <c r="E991" s="220">
        <v>22</v>
      </c>
      <c r="F991" s="220">
        <v>17</v>
      </c>
    </row>
    <row r="992" spans="1:6">
      <c r="A992" s="723"/>
      <c r="B992" s="220">
        <v>16.100000000000001</v>
      </c>
      <c r="C992" s="220">
        <v>18</v>
      </c>
      <c r="D992" s="1147">
        <v>42.5</v>
      </c>
      <c r="E992" s="220">
        <v>22</v>
      </c>
      <c r="F992" s="220">
        <v>17</v>
      </c>
    </row>
    <row r="993" spans="1:6">
      <c r="A993" s="723"/>
      <c r="B993" s="220">
        <v>18.100000000000001</v>
      </c>
      <c r="C993" s="220">
        <v>20</v>
      </c>
      <c r="D993" s="1147">
        <v>52.5</v>
      </c>
      <c r="E993" s="220">
        <v>22</v>
      </c>
      <c r="F993" s="220">
        <v>17</v>
      </c>
    </row>
    <row r="994" spans="1:6">
      <c r="A994" s="723"/>
      <c r="B994" s="220">
        <v>20.100000000000001</v>
      </c>
      <c r="C994" s="220">
        <v>24</v>
      </c>
      <c r="D994" s="1147">
        <v>73.5</v>
      </c>
      <c r="E994" s="220">
        <v>22</v>
      </c>
      <c r="F994" s="220">
        <v>17</v>
      </c>
    </row>
    <row r="995" spans="1:6">
      <c r="A995" s="723"/>
      <c r="B995" s="220">
        <v>24.1</v>
      </c>
      <c r="C995" s="220">
        <v>30</v>
      </c>
      <c r="D995" s="1147">
        <v>115</v>
      </c>
      <c r="E995" s="220">
        <v>22</v>
      </c>
      <c r="F995" s="220">
        <v>17</v>
      </c>
    </row>
    <row r="996" spans="1:6">
      <c r="A996" s="723"/>
      <c r="B996" s="220">
        <v>30.1</v>
      </c>
      <c r="C996" s="220">
        <v>36</v>
      </c>
      <c r="D996" s="1147">
        <v>160</v>
      </c>
      <c r="E996" s="220">
        <v>22</v>
      </c>
      <c r="F996" s="220">
        <v>17</v>
      </c>
    </row>
    <row r="997" spans="1:6">
      <c r="A997" s="723"/>
      <c r="B997" s="220">
        <v>36.1</v>
      </c>
      <c r="C997" s="220">
        <v>42</v>
      </c>
      <c r="D997" s="1147">
        <v>217</v>
      </c>
      <c r="E997" s="220">
        <v>22</v>
      </c>
      <c r="F997" s="220">
        <v>17</v>
      </c>
    </row>
    <row r="998" spans="1:6">
      <c r="A998" s="723"/>
      <c r="B998" s="220">
        <v>42.1</v>
      </c>
      <c r="C998" s="220">
        <v>48</v>
      </c>
      <c r="D998" s="1147">
        <v>265</v>
      </c>
      <c r="E998" s="220">
        <v>22</v>
      </c>
      <c r="F998" s="220">
        <v>17</v>
      </c>
    </row>
    <row r="999" spans="1:6">
      <c r="A999" s="723"/>
      <c r="B999" s="220">
        <v>48.1</v>
      </c>
      <c r="C999" s="220" t="s">
        <v>5661</v>
      </c>
      <c r="D999" s="1147" t="s">
        <v>5661</v>
      </c>
      <c r="E999" s="220">
        <v>22</v>
      </c>
      <c r="F999" s="220">
        <v>17</v>
      </c>
    </row>
    <row r="1002" spans="1:6">
      <c r="A1002" s="1128" t="s">
        <v>5757</v>
      </c>
      <c r="B1002" s="1128" t="s">
        <v>5952</v>
      </c>
      <c r="C1002" s="1128"/>
      <c r="D1002" s="1128"/>
      <c r="E1002" s="1128"/>
      <c r="F1002" s="1128"/>
    </row>
    <row r="1003" spans="1:6">
      <c r="A1003" s="1146">
        <v>30</v>
      </c>
      <c r="B1003" s="1127" t="s">
        <v>5953</v>
      </c>
      <c r="C1003" s="1127" t="s">
        <v>5954</v>
      </c>
      <c r="D1003" s="1133" t="s">
        <v>5660</v>
      </c>
      <c r="E1003" s="1151" t="s">
        <v>5685</v>
      </c>
      <c r="F1003" s="1133" t="s">
        <v>5654</v>
      </c>
    </row>
    <row r="1004" spans="1:6">
      <c r="A1004" s="723" t="s">
        <v>5956</v>
      </c>
      <c r="B1004" s="220">
        <v>0</v>
      </c>
      <c r="C1004" s="220">
        <v>5</v>
      </c>
      <c r="D1004" s="1147">
        <v>3608.1332339902169</v>
      </c>
      <c r="E1004" s="220">
        <v>20</v>
      </c>
      <c r="F1004" s="220">
        <v>17</v>
      </c>
    </row>
    <row r="1005" spans="1:6">
      <c r="A1005" s="723"/>
      <c r="B1005" s="220">
        <v>5.0999999999999996</v>
      </c>
      <c r="C1005" s="220">
        <v>10</v>
      </c>
      <c r="D1005" s="1147">
        <v>4267.6852343264673</v>
      </c>
      <c r="E1005" s="220">
        <v>20</v>
      </c>
      <c r="F1005" s="220">
        <v>17</v>
      </c>
    </row>
    <row r="1006" spans="1:6">
      <c r="A1006" s="723"/>
      <c r="B1006" s="220">
        <v>10.1</v>
      </c>
      <c r="C1006" s="220">
        <v>30</v>
      </c>
      <c r="D1006" s="1147">
        <v>5176.8999521731766</v>
      </c>
      <c r="E1006" s="220">
        <v>20</v>
      </c>
      <c r="F1006" s="220">
        <v>17</v>
      </c>
    </row>
    <row r="1007" spans="1:6">
      <c r="A1007" s="723"/>
      <c r="B1007" s="220">
        <v>30.1</v>
      </c>
      <c r="C1007" s="220">
        <v>75</v>
      </c>
      <c r="D1007" s="1147">
        <v>7747.3609833662886</v>
      </c>
      <c r="E1007" s="220">
        <v>20</v>
      </c>
      <c r="F1007" s="220">
        <v>17</v>
      </c>
    </row>
    <row r="1008" spans="1:6">
      <c r="A1008" s="723"/>
      <c r="B1008" s="220">
        <v>75.099999999999994</v>
      </c>
      <c r="C1008" s="220">
        <v>100</v>
      </c>
      <c r="D1008" s="1147">
        <v>16002.211910978531</v>
      </c>
      <c r="E1008" s="220">
        <v>20</v>
      </c>
      <c r="F1008" s="220">
        <v>17</v>
      </c>
    </row>
    <row r="1009" spans="1:6">
      <c r="A1009" s="723"/>
      <c r="B1009" s="220">
        <v>100.1</v>
      </c>
      <c r="C1009" s="220">
        <v>250</v>
      </c>
      <c r="D1009" s="1147">
        <v>19683.399649059797</v>
      </c>
      <c r="E1009" s="220">
        <v>20</v>
      </c>
      <c r="F1009" s="220">
        <v>17</v>
      </c>
    </row>
    <row r="1010" spans="1:6">
      <c r="A1010" s="723"/>
      <c r="B1010" s="220">
        <v>250.1</v>
      </c>
      <c r="C1010" s="220">
        <v>500</v>
      </c>
      <c r="D1010" s="1147">
        <v>23230.848044033504</v>
      </c>
      <c r="E1010" s="220">
        <v>20</v>
      </c>
      <c r="F1010" s="220">
        <v>17</v>
      </c>
    </row>
    <row r="1011" spans="1:6">
      <c r="A1011" s="723"/>
      <c r="B1011" s="220">
        <v>500.1</v>
      </c>
      <c r="C1011" s="220" t="s">
        <v>5955</v>
      </c>
      <c r="D1011" s="1147" t="s">
        <v>5661</v>
      </c>
      <c r="E1011" s="220">
        <v>20</v>
      </c>
      <c r="F1011" s="220">
        <v>17</v>
      </c>
    </row>
    <row r="1014" spans="1:6">
      <c r="A1014" s="1128" t="s">
        <v>5757</v>
      </c>
      <c r="B1014" s="1128" t="s">
        <v>5957</v>
      </c>
      <c r="C1014" s="1128"/>
      <c r="D1014" s="1128"/>
      <c r="E1014" s="1128"/>
      <c r="F1014" s="1128"/>
    </row>
    <row r="1015" spans="1:6">
      <c r="A1015" s="1146">
        <v>30</v>
      </c>
      <c r="B1015" s="1127" t="s">
        <v>5953</v>
      </c>
      <c r="C1015" s="1127" t="s">
        <v>5954</v>
      </c>
      <c r="D1015" s="1133" t="s">
        <v>5660</v>
      </c>
      <c r="E1015" s="1151" t="s">
        <v>5685</v>
      </c>
      <c r="F1015" s="1133" t="s">
        <v>5654</v>
      </c>
    </row>
    <row r="1016" spans="1:6">
      <c r="A1016" s="723" t="s">
        <v>5958</v>
      </c>
      <c r="B1016" s="220">
        <v>0</v>
      </c>
      <c r="C1016" s="220">
        <v>5</v>
      </c>
      <c r="D1016" s="1147">
        <v>4107.7838744247119</v>
      </c>
      <c r="E1016" s="220">
        <v>20</v>
      </c>
      <c r="F1016" s="220">
        <v>17</v>
      </c>
    </row>
    <row r="1017" spans="1:6">
      <c r="A1017" s="723"/>
      <c r="B1017" s="220">
        <v>5.0999999999999996</v>
      </c>
      <c r="C1017" s="220">
        <v>10</v>
      </c>
      <c r="D1017" s="1147">
        <v>4637.9187341605675</v>
      </c>
      <c r="E1017" s="220">
        <v>20</v>
      </c>
      <c r="F1017" s="220">
        <v>17</v>
      </c>
    </row>
    <row r="1018" spans="1:6">
      <c r="A1018" s="723"/>
      <c r="B1018" s="220">
        <v>10.1</v>
      </c>
      <c r="C1018" s="220">
        <v>30</v>
      </c>
      <c r="D1018" s="1147">
        <v>5715.8811701857849</v>
      </c>
      <c r="E1018" s="220">
        <v>20</v>
      </c>
      <c r="F1018" s="220">
        <v>17</v>
      </c>
    </row>
    <row r="1019" spans="1:6">
      <c r="A1019" s="723"/>
      <c r="B1019" s="220">
        <v>30.1</v>
      </c>
      <c r="C1019" s="220">
        <v>75</v>
      </c>
      <c r="D1019" s="1147">
        <v>13047.168512850063</v>
      </c>
      <c r="E1019" s="220">
        <v>20</v>
      </c>
      <c r="F1019" s="220">
        <v>17</v>
      </c>
    </row>
    <row r="1020" spans="1:6">
      <c r="A1020" s="723"/>
      <c r="B1020" s="220">
        <v>75.099999999999994</v>
      </c>
      <c r="C1020" s="220">
        <v>100</v>
      </c>
      <c r="D1020" s="1147">
        <v>17717.44959733792</v>
      </c>
      <c r="E1020" s="220">
        <v>20</v>
      </c>
      <c r="F1020" s="220">
        <v>17</v>
      </c>
    </row>
    <row r="1021" spans="1:6">
      <c r="A1021" s="723"/>
      <c r="B1021" s="220">
        <v>100.1</v>
      </c>
      <c r="C1021" s="220">
        <v>250</v>
      </c>
      <c r="D1021" s="1147">
        <v>23275.929653752206</v>
      </c>
      <c r="E1021" s="220">
        <v>20</v>
      </c>
      <c r="F1021" s="220">
        <v>17</v>
      </c>
    </row>
    <row r="1022" spans="1:6">
      <c r="A1022" s="723"/>
      <c r="B1022" s="220">
        <v>250.1</v>
      </c>
      <c r="C1022" s="220">
        <v>500</v>
      </c>
      <c r="D1022" s="1147">
        <v>32326.990849518384</v>
      </c>
      <c r="E1022" s="220">
        <v>20</v>
      </c>
      <c r="F1022" s="220">
        <v>17</v>
      </c>
    </row>
    <row r="1023" spans="1:6">
      <c r="A1023" s="723"/>
      <c r="B1023" s="220">
        <v>500.1</v>
      </c>
      <c r="C1023" s="220">
        <v>2000</v>
      </c>
      <c r="D1023" s="1147">
        <v>34349.312001263977</v>
      </c>
      <c r="E1023" s="220">
        <v>20</v>
      </c>
      <c r="F1023" s="220">
        <v>17</v>
      </c>
    </row>
    <row r="1024" spans="1:6">
      <c r="A1024" s="723"/>
      <c r="B1024" s="220">
        <v>2000.1</v>
      </c>
      <c r="C1024" s="220" t="s">
        <v>5955</v>
      </c>
      <c r="D1024" s="1147" t="s">
        <v>5661</v>
      </c>
      <c r="E1024" s="220">
        <v>20</v>
      </c>
      <c r="F1024" s="220">
        <v>17</v>
      </c>
    </row>
    <row r="1027" spans="1:6">
      <c r="A1027" s="1128" t="s">
        <v>5757</v>
      </c>
      <c r="B1027" s="1128" t="s">
        <v>5959</v>
      </c>
      <c r="C1027" s="1128"/>
      <c r="D1027" s="1128"/>
      <c r="E1027" s="1128"/>
      <c r="F1027" s="1128"/>
    </row>
    <row r="1028" spans="1:6">
      <c r="A1028" s="1146">
        <v>30</v>
      </c>
      <c r="B1028" s="1127" t="s">
        <v>5953</v>
      </c>
      <c r="C1028" s="1127" t="s">
        <v>5954</v>
      </c>
      <c r="D1028" s="1133" t="s">
        <v>5660</v>
      </c>
      <c r="E1028" s="1151" t="s">
        <v>5685</v>
      </c>
      <c r="F1028" s="1133" t="s">
        <v>5654</v>
      </c>
    </row>
    <row r="1029" spans="1:6">
      <c r="A1029" s="723" t="s">
        <v>5960</v>
      </c>
      <c r="B1029" s="220">
        <v>0</v>
      </c>
      <c r="C1029" s="220">
        <v>5</v>
      </c>
      <c r="D1029" s="1147">
        <v>4463.8258470658184</v>
      </c>
      <c r="E1029" s="220">
        <v>20</v>
      </c>
      <c r="F1029" s="220">
        <v>17</v>
      </c>
    </row>
    <row r="1030" spans="1:6">
      <c r="A1030" s="723"/>
      <c r="B1030" s="220">
        <v>5.0999999999999996</v>
      </c>
      <c r="C1030" s="220">
        <v>30</v>
      </c>
      <c r="D1030" s="1147">
        <v>6261.686988742731</v>
      </c>
      <c r="E1030" s="220">
        <v>20</v>
      </c>
      <c r="F1030" s="220">
        <v>17</v>
      </c>
    </row>
    <row r="1031" spans="1:6">
      <c r="A1031" s="723"/>
      <c r="B1031" s="220">
        <v>30.1</v>
      </c>
      <c r="C1031" s="220">
        <v>75</v>
      </c>
      <c r="D1031" s="1147">
        <v>17674.344305873863</v>
      </c>
      <c r="E1031" s="220">
        <v>20</v>
      </c>
      <c r="F1031" s="220">
        <v>17</v>
      </c>
    </row>
    <row r="1032" spans="1:6">
      <c r="A1032" s="723"/>
      <c r="B1032" s="220">
        <v>75.099999999999994</v>
      </c>
      <c r="C1032" s="220">
        <v>100</v>
      </c>
      <c r="D1032" s="1147">
        <v>21918.741047273157</v>
      </c>
      <c r="E1032" s="220">
        <v>20</v>
      </c>
      <c r="F1032" s="220">
        <v>17</v>
      </c>
    </row>
    <row r="1033" spans="1:6">
      <c r="A1033" s="723"/>
      <c r="B1033" s="220">
        <v>100.1</v>
      </c>
      <c r="C1033" s="220">
        <v>250</v>
      </c>
      <c r="D1033" s="1147">
        <v>30537.918600792258</v>
      </c>
      <c r="E1033" s="220">
        <v>20</v>
      </c>
      <c r="F1033" s="220">
        <v>17</v>
      </c>
    </row>
    <row r="1034" spans="1:6">
      <c r="A1034" s="723"/>
      <c r="B1034" s="220">
        <v>250.1</v>
      </c>
      <c r="C1034" s="220">
        <v>500</v>
      </c>
      <c r="D1034" s="1147">
        <v>36841.166405487958</v>
      </c>
      <c r="E1034" s="220">
        <v>20</v>
      </c>
      <c r="F1034" s="220">
        <v>17</v>
      </c>
    </row>
    <row r="1035" spans="1:6">
      <c r="A1035" s="723"/>
      <c r="B1035" s="220">
        <v>500.1</v>
      </c>
      <c r="C1035" s="220">
        <v>600</v>
      </c>
      <c r="D1035" s="1147">
        <v>36716.22773111095</v>
      </c>
      <c r="E1035" s="220">
        <v>20</v>
      </c>
      <c r="F1035" s="220">
        <v>17</v>
      </c>
    </row>
    <row r="1036" spans="1:6">
      <c r="A1036" s="723"/>
      <c r="B1036" s="220">
        <v>600.1</v>
      </c>
      <c r="C1036" s="220">
        <v>2000</v>
      </c>
      <c r="D1036" s="1147">
        <v>161772.35560671645</v>
      </c>
      <c r="E1036" s="220">
        <v>20</v>
      </c>
      <c r="F1036" s="220">
        <v>17</v>
      </c>
    </row>
    <row r="1037" spans="1:6">
      <c r="A1037" s="723"/>
      <c r="B1037" s="220">
        <v>2000.1</v>
      </c>
      <c r="C1037" s="220" t="s">
        <v>5955</v>
      </c>
      <c r="D1037" s="1147" t="s">
        <v>5661</v>
      </c>
      <c r="E1037" s="220">
        <v>20</v>
      </c>
      <c r="F1037" s="220">
        <v>17</v>
      </c>
    </row>
    <row r="1040" spans="1:6">
      <c r="A1040" s="1128" t="s">
        <v>5757</v>
      </c>
      <c r="B1040" s="1128" t="s">
        <v>5961</v>
      </c>
      <c r="C1040" s="1128"/>
      <c r="D1040" s="1128"/>
      <c r="E1040" s="1128"/>
      <c r="F1040" s="1128"/>
    </row>
    <row r="1041" spans="1:6">
      <c r="A1041" s="1146">
        <v>30</v>
      </c>
      <c r="B1041" s="1127" t="s">
        <v>5953</v>
      </c>
      <c r="C1041" s="1127" t="s">
        <v>5954</v>
      </c>
      <c r="D1041" s="1133" t="s">
        <v>5660</v>
      </c>
      <c r="E1041" s="1151" t="s">
        <v>5685</v>
      </c>
      <c r="F1041" s="1133" t="s">
        <v>5654</v>
      </c>
    </row>
    <row r="1042" spans="1:6">
      <c r="A1042" s="723" t="s">
        <v>5962</v>
      </c>
      <c r="B1042" s="220">
        <v>0</v>
      </c>
      <c r="C1042" s="220">
        <v>5</v>
      </c>
      <c r="D1042" s="1147">
        <v>4985.0841587509367</v>
      </c>
      <c r="E1042" s="220">
        <v>20</v>
      </c>
      <c r="F1042" s="220">
        <v>17</v>
      </c>
    </row>
    <row r="1043" spans="1:6">
      <c r="A1043" s="723"/>
      <c r="B1043" s="220">
        <v>5.0999999999999996</v>
      </c>
      <c r="C1043" s="220">
        <v>30</v>
      </c>
      <c r="D1043" s="1147">
        <v>6261.686988742731</v>
      </c>
      <c r="E1043" s="220">
        <v>20</v>
      </c>
      <c r="F1043" s="220">
        <v>17</v>
      </c>
    </row>
    <row r="1044" spans="1:6">
      <c r="A1044" s="723"/>
      <c r="B1044" s="220">
        <v>30.1</v>
      </c>
      <c r="C1044" s="220">
        <v>55</v>
      </c>
      <c r="D1044" s="1147">
        <v>8769.5885127242764</v>
      </c>
      <c r="E1044" s="220">
        <v>20</v>
      </c>
      <c r="F1044" s="220">
        <v>17</v>
      </c>
    </row>
    <row r="1045" spans="1:6">
      <c r="A1045" s="723"/>
      <c r="B1045" s="220">
        <v>55.1</v>
      </c>
      <c r="C1045" s="220">
        <v>75</v>
      </c>
      <c r="D1045" s="1147">
        <v>17674.344305873863</v>
      </c>
      <c r="E1045" s="220">
        <v>20</v>
      </c>
      <c r="F1045" s="220">
        <v>17</v>
      </c>
    </row>
    <row r="1046" spans="1:6">
      <c r="A1046" s="723"/>
      <c r="B1046" s="220">
        <v>75.099999999999994</v>
      </c>
      <c r="C1046" s="220">
        <v>100</v>
      </c>
      <c r="D1046" s="1147">
        <v>30095.115151079353</v>
      </c>
      <c r="E1046" s="220">
        <v>20</v>
      </c>
      <c r="F1046" s="220">
        <v>17</v>
      </c>
    </row>
    <row r="1047" spans="1:6">
      <c r="A1047" s="723"/>
      <c r="B1047" s="220">
        <v>100.1</v>
      </c>
      <c r="C1047" s="220">
        <v>250</v>
      </c>
      <c r="D1047" s="1147">
        <v>39168.909902165833</v>
      </c>
      <c r="E1047" s="220">
        <v>20</v>
      </c>
      <c r="F1047" s="220">
        <v>17</v>
      </c>
    </row>
    <row r="1048" spans="1:6">
      <c r="A1048" s="723"/>
      <c r="B1048" s="220">
        <v>250.1</v>
      </c>
      <c r="C1048" s="220">
        <v>300</v>
      </c>
      <c r="D1048" s="1147">
        <v>40188.37101092298</v>
      </c>
      <c r="E1048" s="220">
        <v>20</v>
      </c>
      <c r="F1048" s="220">
        <v>17</v>
      </c>
    </row>
    <row r="1049" spans="1:6">
      <c r="A1049" s="723"/>
      <c r="B1049" s="220">
        <v>300.10000000000002</v>
      </c>
      <c r="C1049" s="220">
        <v>2000</v>
      </c>
      <c r="D1049" s="1147">
        <v>167352.98939583654</v>
      </c>
      <c r="E1049" s="220">
        <v>20</v>
      </c>
      <c r="F1049" s="220">
        <v>17</v>
      </c>
    </row>
    <row r="1050" spans="1:6">
      <c r="A1050" s="723"/>
      <c r="B1050" s="220">
        <v>2000.1</v>
      </c>
      <c r="C1050" s="220" t="s">
        <v>5955</v>
      </c>
      <c r="D1050" s="1147" t="s">
        <v>5661</v>
      </c>
      <c r="E1050" s="220">
        <v>20</v>
      </c>
      <c r="F1050" s="220">
        <v>17</v>
      </c>
    </row>
    <row r="1053" spans="1:6">
      <c r="A1053" s="1128" t="s">
        <v>5757</v>
      </c>
      <c r="B1053" s="1128" t="s">
        <v>5963</v>
      </c>
      <c r="C1053" s="1128"/>
      <c r="D1053" s="1128"/>
      <c r="E1053" s="1128"/>
      <c r="F1053" s="1128"/>
    </row>
    <row r="1054" spans="1:6">
      <c r="A1054" s="1146">
        <v>30</v>
      </c>
      <c r="B1054" s="1127" t="s">
        <v>5953</v>
      </c>
      <c r="C1054" s="1127" t="s">
        <v>5954</v>
      </c>
      <c r="D1054" s="1133" t="s">
        <v>5660</v>
      </c>
      <c r="E1054" s="1151" t="s">
        <v>5685</v>
      </c>
      <c r="F1054" s="1133" t="s">
        <v>5654</v>
      </c>
    </row>
    <row r="1055" spans="1:6">
      <c r="A1055" s="723" t="s">
        <v>5964</v>
      </c>
      <c r="B1055" s="220">
        <v>0</v>
      </c>
      <c r="C1055" s="220">
        <v>5</v>
      </c>
      <c r="D1055" s="1147">
        <v>5200.6544702091669</v>
      </c>
      <c r="E1055" s="220">
        <v>20</v>
      </c>
      <c r="F1055" s="220">
        <v>17</v>
      </c>
    </row>
    <row r="1056" spans="1:6">
      <c r="A1056" s="723"/>
      <c r="B1056" s="220">
        <v>5.0999999999999996</v>
      </c>
      <c r="C1056" s="220">
        <v>10</v>
      </c>
      <c r="D1056" s="1147">
        <v>5748.6192336628683</v>
      </c>
      <c r="E1056" s="220">
        <v>20</v>
      </c>
      <c r="F1056" s="220">
        <v>17</v>
      </c>
    </row>
    <row r="1057" spans="1:6">
      <c r="A1057" s="723"/>
      <c r="B1057" s="220">
        <v>10.1</v>
      </c>
      <c r="C1057" s="220">
        <v>30</v>
      </c>
      <c r="D1057" s="1147">
        <v>7418.0102317974943</v>
      </c>
      <c r="E1057" s="220">
        <v>20</v>
      </c>
      <c r="F1057" s="220">
        <v>17</v>
      </c>
    </row>
    <row r="1058" spans="1:6">
      <c r="A1058" s="723"/>
      <c r="B1058" s="220">
        <v>30.1</v>
      </c>
      <c r="C1058" s="220">
        <v>55</v>
      </c>
      <c r="D1058" s="1147">
        <v>19781.90503761113</v>
      </c>
      <c r="E1058" s="220">
        <v>20</v>
      </c>
      <c r="F1058" s="220">
        <v>17</v>
      </c>
    </row>
    <row r="1059" spans="1:6">
      <c r="A1059" s="723"/>
      <c r="B1059" s="220">
        <v>55.1</v>
      </c>
      <c r="C1059" s="220">
        <v>80</v>
      </c>
      <c r="D1059" s="1147">
        <v>31322.852459671165</v>
      </c>
      <c r="E1059" s="220">
        <v>20</v>
      </c>
      <c r="F1059" s="220">
        <v>17</v>
      </c>
    </row>
    <row r="1060" spans="1:6">
      <c r="A1060" s="723"/>
      <c r="B1060" s="220">
        <v>80.099999999999994</v>
      </c>
      <c r="C1060" s="220">
        <v>90</v>
      </c>
      <c r="D1060" s="1147">
        <v>19006.707082636389</v>
      </c>
      <c r="E1060" s="220">
        <v>20</v>
      </c>
      <c r="F1060" s="220">
        <v>17</v>
      </c>
    </row>
    <row r="1061" spans="1:6">
      <c r="A1061" s="723"/>
      <c r="B1061" s="220">
        <v>90.1</v>
      </c>
      <c r="C1061" s="220">
        <v>100</v>
      </c>
      <c r="D1061" s="1147">
        <v>30011.358689853409</v>
      </c>
      <c r="E1061" s="220">
        <v>20</v>
      </c>
      <c r="F1061" s="220">
        <v>17</v>
      </c>
    </row>
    <row r="1062" spans="1:6">
      <c r="A1062" s="723"/>
      <c r="B1062" s="220">
        <v>100.1</v>
      </c>
      <c r="C1062" s="220">
        <v>225</v>
      </c>
      <c r="D1062" s="1147">
        <v>37732.489451610621</v>
      </c>
      <c r="E1062" s="220">
        <v>20</v>
      </c>
      <c r="F1062" s="220">
        <v>17</v>
      </c>
    </row>
    <row r="1063" spans="1:6">
      <c r="A1063" s="723"/>
      <c r="B1063" s="220">
        <v>225.1</v>
      </c>
      <c r="C1063" s="220">
        <v>250</v>
      </c>
      <c r="D1063" s="1147">
        <v>40188.37101092298</v>
      </c>
      <c r="E1063" s="220">
        <v>20</v>
      </c>
      <c r="F1063" s="220">
        <v>17</v>
      </c>
    </row>
    <row r="1064" spans="1:6">
      <c r="A1064" s="723"/>
      <c r="B1064" s="220">
        <v>250.1</v>
      </c>
      <c r="C1064" s="220" t="s">
        <v>5955</v>
      </c>
      <c r="D1064" s="1147" t="s">
        <v>5661</v>
      </c>
      <c r="E1064" s="220">
        <v>20</v>
      </c>
      <c r="F1064" s="220">
        <v>17</v>
      </c>
    </row>
    <row r="1067" spans="1:6">
      <c r="A1067" s="1128" t="s">
        <v>5757</v>
      </c>
      <c r="B1067" s="1128" t="s">
        <v>5965</v>
      </c>
      <c r="C1067" s="1128"/>
      <c r="D1067" s="1128"/>
      <c r="E1067" s="1128"/>
      <c r="F1067" s="1128"/>
    </row>
    <row r="1068" spans="1:6">
      <c r="A1068" s="1146">
        <v>30</v>
      </c>
      <c r="B1068" s="1127" t="s">
        <v>5953</v>
      </c>
      <c r="C1068" s="1127" t="s">
        <v>5954</v>
      </c>
      <c r="D1068" s="1133" t="s">
        <v>5660</v>
      </c>
      <c r="E1068" s="1151" t="s">
        <v>5685</v>
      </c>
      <c r="F1068" s="1133" t="s">
        <v>5654</v>
      </c>
    </row>
    <row r="1069" spans="1:6">
      <c r="A1069" s="723" t="s">
        <v>5966</v>
      </c>
      <c r="B1069" s="220">
        <v>0</v>
      </c>
      <c r="C1069" s="220">
        <v>5</v>
      </c>
      <c r="D1069" s="1147">
        <v>5200.6544702091669</v>
      </c>
      <c r="E1069" s="220">
        <v>20</v>
      </c>
      <c r="F1069" s="220">
        <v>17</v>
      </c>
    </row>
    <row r="1070" spans="1:6">
      <c r="A1070" s="723"/>
      <c r="B1070" s="220">
        <v>5.0999999999999996</v>
      </c>
      <c r="C1070" s="220">
        <v>10</v>
      </c>
      <c r="D1070" s="1147">
        <v>5748.6192336628683</v>
      </c>
      <c r="E1070" s="220">
        <v>20</v>
      </c>
      <c r="F1070" s="220">
        <v>17</v>
      </c>
    </row>
    <row r="1071" spans="1:6">
      <c r="A1071" s="723"/>
      <c r="B1071" s="220">
        <v>10.1</v>
      </c>
      <c r="C1071" s="220">
        <v>30</v>
      </c>
      <c r="D1071" s="1147">
        <v>7418.0102317974943</v>
      </c>
      <c r="E1071" s="220">
        <v>20</v>
      </c>
      <c r="F1071" s="220">
        <v>17</v>
      </c>
    </row>
    <row r="1072" spans="1:6">
      <c r="A1072" s="723"/>
      <c r="B1072" s="220">
        <v>30.1</v>
      </c>
      <c r="C1072" s="220">
        <v>71</v>
      </c>
      <c r="D1072" s="1147">
        <v>21906.094524922431</v>
      </c>
      <c r="E1072" s="220">
        <v>20</v>
      </c>
      <c r="F1072" s="220">
        <v>17</v>
      </c>
    </row>
    <row r="1073" spans="1:6">
      <c r="A1073" s="723"/>
      <c r="B1073" s="220">
        <v>71.099999999999994</v>
      </c>
      <c r="C1073" s="220">
        <v>100</v>
      </c>
      <c r="D1073" s="1147">
        <v>34361.533719321917</v>
      </c>
      <c r="E1073" s="220">
        <v>20</v>
      </c>
      <c r="F1073" s="220">
        <v>17</v>
      </c>
    </row>
    <row r="1074" spans="1:6">
      <c r="A1074" s="723"/>
      <c r="B1074" s="220">
        <v>100.1</v>
      </c>
      <c r="C1074" s="220">
        <v>225</v>
      </c>
      <c r="D1074" s="1147">
        <v>40188.37101092298</v>
      </c>
      <c r="E1074" s="220">
        <v>20</v>
      </c>
      <c r="F1074" s="220">
        <v>17</v>
      </c>
    </row>
    <row r="1075" spans="1:6">
      <c r="A1075" s="723"/>
      <c r="B1075" s="220">
        <v>225.1</v>
      </c>
      <c r="C1075" s="220" t="s">
        <v>5955</v>
      </c>
      <c r="D1075" s="1147" t="s">
        <v>5661</v>
      </c>
      <c r="E1075" s="220">
        <v>20</v>
      </c>
      <c r="F1075" s="220">
        <v>17</v>
      </c>
    </row>
    <row r="1078" spans="1:6">
      <c r="A1078" s="1128" t="s">
        <v>5757</v>
      </c>
      <c r="B1078" s="1128" t="s">
        <v>5967</v>
      </c>
      <c r="C1078" s="1128"/>
      <c r="D1078" s="1128"/>
      <c r="E1078" s="1128"/>
      <c r="F1078" s="1128"/>
    </row>
    <row r="1079" spans="1:6">
      <c r="A1079" s="1146">
        <v>30</v>
      </c>
      <c r="B1079" s="1127" t="s">
        <v>5953</v>
      </c>
      <c r="C1079" s="1133" t="s">
        <v>5954</v>
      </c>
      <c r="D1079" s="1133" t="s">
        <v>5660</v>
      </c>
      <c r="E1079" s="1151" t="s">
        <v>5685</v>
      </c>
      <c r="F1079" s="1133" t="s">
        <v>5654</v>
      </c>
    </row>
    <row r="1080" spans="1:6">
      <c r="A1080" s="723" t="s">
        <v>5968</v>
      </c>
      <c r="B1080" s="220">
        <v>0</v>
      </c>
      <c r="C1080" s="220">
        <v>5</v>
      </c>
      <c r="D1080" s="1147">
        <v>6603.2988529312988</v>
      </c>
      <c r="E1080" s="220">
        <v>20</v>
      </c>
      <c r="F1080" s="220">
        <v>17</v>
      </c>
    </row>
    <row r="1081" spans="1:6">
      <c r="A1081" s="723"/>
      <c r="B1081" s="220">
        <v>5.0999999999999996</v>
      </c>
      <c r="C1081" s="220">
        <v>33</v>
      </c>
      <c r="D1081" s="1147">
        <v>21037.207314600906</v>
      </c>
      <c r="E1081" s="220">
        <v>20</v>
      </c>
      <c r="F1081" s="220">
        <v>17</v>
      </c>
    </row>
    <row r="1082" spans="1:6">
      <c r="A1082" s="723"/>
      <c r="B1082" s="220">
        <v>33.1</v>
      </c>
      <c r="C1082" s="220">
        <v>75</v>
      </c>
      <c r="D1082" s="1147">
        <v>25030.16136959842</v>
      </c>
      <c r="E1082" s="220">
        <v>20</v>
      </c>
      <c r="F1082" s="220">
        <v>17</v>
      </c>
    </row>
    <row r="1083" spans="1:6">
      <c r="A1083" s="723"/>
      <c r="B1083" s="220">
        <v>75.099999999999994</v>
      </c>
      <c r="C1083" s="220" t="s">
        <v>5955</v>
      </c>
      <c r="D1083" s="1147" t="s">
        <v>5661</v>
      </c>
      <c r="E1083" s="220">
        <v>20</v>
      </c>
      <c r="F1083" s="220">
        <v>17</v>
      </c>
    </row>
    <row r="1086" spans="1:6">
      <c r="A1086" s="1128" t="s">
        <v>5880</v>
      </c>
      <c r="B1086" s="1128" t="s">
        <v>5969</v>
      </c>
      <c r="C1086" s="1128"/>
      <c r="D1086" s="1128"/>
      <c r="E1086" s="1128"/>
      <c r="F1086" s="1128"/>
    </row>
    <row r="1087" spans="1:6">
      <c r="A1087" s="1146">
        <v>36</v>
      </c>
      <c r="B1087" s="1127"/>
      <c r="C1087" s="1127"/>
      <c r="D1087" s="1133" t="s">
        <v>5660</v>
      </c>
      <c r="E1087" s="1127" t="s">
        <v>5653</v>
      </c>
      <c r="F1087" s="1127" t="s">
        <v>5654</v>
      </c>
    </row>
    <row r="1088" spans="1:6">
      <c r="A1088" s="723" t="s">
        <v>5970</v>
      </c>
      <c r="B1088" s="220">
        <v>0</v>
      </c>
      <c r="C1088" s="220">
        <v>0</v>
      </c>
      <c r="D1088" s="1147">
        <v>6621.119791666667</v>
      </c>
      <c r="E1088" s="220">
        <v>10</v>
      </c>
      <c r="F1088" s="220">
        <v>8</v>
      </c>
    </row>
    <row r="1091" spans="1:6">
      <c r="A1091" s="1128" t="s">
        <v>5880</v>
      </c>
      <c r="B1091" s="1128" t="s">
        <v>5971</v>
      </c>
      <c r="C1091" s="1128"/>
      <c r="D1091" s="1128"/>
      <c r="E1091" s="1128"/>
      <c r="F1091" s="1128"/>
    </row>
    <row r="1092" spans="1:6">
      <c r="A1092" s="1146">
        <v>36</v>
      </c>
      <c r="B1092" s="1127"/>
      <c r="C1092" s="1127"/>
      <c r="D1092" s="1133" t="s">
        <v>5660</v>
      </c>
      <c r="E1092" s="1127" t="s">
        <v>5653</v>
      </c>
      <c r="F1092" s="1127" t="s">
        <v>5654</v>
      </c>
    </row>
    <row r="1093" spans="1:6">
      <c r="A1093" s="723" t="s">
        <v>5972</v>
      </c>
      <c r="B1093" s="220">
        <v>0</v>
      </c>
      <c r="C1093" s="220">
        <v>0</v>
      </c>
      <c r="D1093" s="1147">
        <v>8679.0364583333339</v>
      </c>
      <c r="E1093" s="220">
        <v>10</v>
      </c>
      <c r="F1093" s="220">
        <v>8</v>
      </c>
    </row>
    <row r="1096" spans="1:6">
      <c r="A1096" s="1128" t="s">
        <v>5818</v>
      </c>
      <c r="B1096" s="1128" t="s">
        <v>5973</v>
      </c>
      <c r="C1096" s="1128"/>
      <c r="D1096" s="1128"/>
      <c r="E1096" s="1128"/>
      <c r="F1096" s="1128"/>
    </row>
    <row r="1097" spans="1:6">
      <c r="A1097" s="1146">
        <v>29</v>
      </c>
      <c r="B1097" s="1151" t="s">
        <v>5974</v>
      </c>
      <c r="C1097" s="1127" t="s">
        <v>5975</v>
      </c>
      <c r="D1097" s="1133" t="s">
        <v>5660</v>
      </c>
      <c r="E1097" s="1151" t="s">
        <v>5685</v>
      </c>
      <c r="F1097" s="1133" t="s">
        <v>5654</v>
      </c>
    </row>
    <row r="1098" spans="1:6">
      <c r="A1098" s="723" t="s">
        <v>5976</v>
      </c>
      <c r="B1098" s="220">
        <v>0</v>
      </c>
      <c r="C1098" s="220">
        <v>1.5</v>
      </c>
      <c r="D1098" s="1147">
        <v>1592.0114753108576</v>
      </c>
      <c r="E1098" s="220">
        <v>45</v>
      </c>
      <c r="F1098" s="220">
        <v>40</v>
      </c>
    </row>
    <row r="1099" spans="1:6">
      <c r="A1099" s="723"/>
      <c r="B1099" s="220">
        <v>1.6</v>
      </c>
      <c r="C1099" s="220">
        <v>2</v>
      </c>
      <c r="D1099" s="1147">
        <v>2338.2652863410285</v>
      </c>
      <c r="E1099" s="220">
        <v>45</v>
      </c>
      <c r="F1099" s="220">
        <v>40</v>
      </c>
    </row>
    <row r="1100" spans="1:6">
      <c r="A1100" s="723"/>
      <c r="B1100" s="220">
        <v>2.1</v>
      </c>
      <c r="C1100" s="220">
        <v>2.5</v>
      </c>
      <c r="D1100" s="1147">
        <v>3611.0523920066867</v>
      </c>
      <c r="E1100" s="220">
        <v>45</v>
      </c>
      <c r="F1100" s="220">
        <v>40</v>
      </c>
    </row>
    <row r="1101" spans="1:6">
      <c r="A1101" s="723"/>
      <c r="B1101" s="220">
        <v>2.6</v>
      </c>
      <c r="C1101" s="220">
        <v>3</v>
      </c>
      <c r="D1101" s="1147">
        <v>5300.1058353433509</v>
      </c>
      <c r="E1101" s="220">
        <v>45</v>
      </c>
      <c r="F1101" s="220">
        <v>40</v>
      </c>
    </row>
    <row r="1102" spans="1:6">
      <c r="A1102" s="723"/>
      <c r="B1102" s="220">
        <v>3.1</v>
      </c>
      <c r="C1102" s="220">
        <v>4</v>
      </c>
      <c r="D1102" s="1147">
        <v>9224.9830647570034</v>
      </c>
      <c r="E1102" s="220">
        <v>45</v>
      </c>
      <c r="F1102" s="220">
        <v>40</v>
      </c>
    </row>
    <row r="1103" spans="1:6">
      <c r="A1103" s="723"/>
      <c r="B1103" s="220">
        <v>4.0999999999999996</v>
      </c>
      <c r="C1103" s="220">
        <v>6</v>
      </c>
      <c r="D1103" s="1147">
        <v>11428.861838511519</v>
      </c>
      <c r="E1103" s="220">
        <v>45</v>
      </c>
      <c r="F1103" s="220">
        <v>40</v>
      </c>
    </row>
    <row r="1104" spans="1:6">
      <c r="A1104" s="723"/>
      <c r="B1104" s="220">
        <v>6.1</v>
      </c>
      <c r="C1104" s="220">
        <v>8</v>
      </c>
      <c r="D1104" s="1147">
        <v>17349.221932885906</v>
      </c>
      <c r="E1104" s="220">
        <v>45</v>
      </c>
      <c r="F1104" s="220">
        <v>40</v>
      </c>
    </row>
    <row r="1105" spans="1:6">
      <c r="A1105" s="723"/>
      <c r="B1105" s="220">
        <v>8.1</v>
      </c>
      <c r="C1105" s="220" t="s">
        <v>5661</v>
      </c>
      <c r="D1105" s="1147" t="s">
        <v>5661</v>
      </c>
      <c r="E1105" s="220">
        <v>45</v>
      </c>
      <c r="F1105" s="220">
        <v>40</v>
      </c>
    </row>
    <row r="1108" spans="1:6">
      <c r="A1108" s="1128" t="s">
        <v>5656</v>
      </c>
      <c r="B1108" s="1128" t="s">
        <v>5977</v>
      </c>
      <c r="C1108" s="1128"/>
      <c r="D1108" s="1128"/>
      <c r="E1108" s="1128"/>
      <c r="F1108" s="1128"/>
    </row>
    <row r="1109" spans="1:6">
      <c r="A1109" s="1146">
        <v>35</v>
      </c>
      <c r="B1109" s="1127" t="s">
        <v>5658</v>
      </c>
      <c r="C1109" s="1127" t="s">
        <v>5659</v>
      </c>
      <c r="D1109" s="1133" t="s">
        <v>5660</v>
      </c>
      <c r="E1109" s="1127" t="s">
        <v>5653</v>
      </c>
      <c r="F1109" s="1127" t="s">
        <v>5654</v>
      </c>
    </row>
    <row r="1110" spans="1:6">
      <c r="A1110" s="723" t="s">
        <v>5978</v>
      </c>
      <c r="B1110" s="633">
        <v>0</v>
      </c>
      <c r="C1110" s="220">
        <v>38</v>
      </c>
      <c r="D1110" s="1147">
        <v>1427.0729880241072</v>
      </c>
      <c r="E1110" s="220">
        <v>35</v>
      </c>
      <c r="F1110" s="220">
        <v>30</v>
      </c>
    </row>
    <row r="1111" spans="1:6">
      <c r="A1111" s="723"/>
      <c r="B1111" s="633">
        <v>39</v>
      </c>
      <c r="C1111" s="220">
        <v>50</v>
      </c>
      <c r="D1111" s="1147">
        <v>3703.4687570427009</v>
      </c>
      <c r="E1111" s="220">
        <v>35</v>
      </c>
      <c r="F1111" s="220">
        <v>30</v>
      </c>
    </row>
    <row r="1112" spans="1:6">
      <c r="A1112" s="723"/>
      <c r="B1112" s="633">
        <v>51</v>
      </c>
      <c r="C1112" s="220">
        <v>100</v>
      </c>
      <c r="D1112" s="1147">
        <v>5311.4188546299665</v>
      </c>
      <c r="E1112" s="220">
        <v>35</v>
      </c>
      <c r="F1112" s="220">
        <v>30</v>
      </c>
    </row>
    <row r="1113" spans="1:6">
      <c r="A1113" s="723"/>
      <c r="B1113" s="633">
        <v>101</v>
      </c>
      <c r="C1113" s="220">
        <v>153</v>
      </c>
      <c r="D1113" s="1147">
        <v>1534.1389335463812</v>
      </c>
      <c r="E1113" s="220">
        <v>35</v>
      </c>
      <c r="F1113" s="220">
        <v>30</v>
      </c>
    </row>
    <row r="1114" spans="1:6">
      <c r="A1114" s="723"/>
      <c r="B1114" s="633">
        <v>154</v>
      </c>
      <c r="C1114" s="220">
        <v>180</v>
      </c>
      <c r="D1114" s="1147">
        <v>5121.3609631703084</v>
      </c>
      <c r="E1114" s="220">
        <v>35</v>
      </c>
      <c r="F1114" s="220">
        <v>30</v>
      </c>
    </row>
    <row r="1115" spans="1:6">
      <c r="A1115" s="723"/>
      <c r="B1115" s="633">
        <v>181</v>
      </c>
      <c r="C1115" s="220">
        <v>220</v>
      </c>
      <c r="D1115" s="1147">
        <v>8224.1314610474237</v>
      </c>
      <c r="E1115" s="220">
        <v>35</v>
      </c>
      <c r="F1115" s="220">
        <v>30</v>
      </c>
    </row>
    <row r="1116" spans="1:6">
      <c r="A1116" s="723"/>
      <c r="B1116" s="633">
        <v>221</v>
      </c>
      <c r="C1116" s="220">
        <v>400</v>
      </c>
      <c r="D1116" s="1147">
        <v>11305.784415429021</v>
      </c>
      <c r="E1116" s="220">
        <v>35</v>
      </c>
      <c r="F1116" s="220">
        <v>30</v>
      </c>
    </row>
    <row r="1117" spans="1:6">
      <c r="A1117" s="723"/>
      <c r="B1117" s="633">
        <v>401</v>
      </c>
      <c r="C1117" s="220">
        <v>440</v>
      </c>
      <c r="D1117" s="1147">
        <v>15959.185964262713</v>
      </c>
      <c r="E1117" s="220">
        <v>35</v>
      </c>
      <c r="F1117" s="220">
        <v>30</v>
      </c>
    </row>
    <row r="1118" spans="1:6">
      <c r="A1118" s="723"/>
      <c r="B1118" s="633">
        <v>441</v>
      </c>
      <c r="C1118" s="220">
        <v>881</v>
      </c>
      <c r="D1118" s="1147">
        <v>5339.7766987525192</v>
      </c>
      <c r="E1118" s="220">
        <v>35</v>
      </c>
      <c r="F1118" s="220">
        <v>30</v>
      </c>
    </row>
    <row r="1119" spans="1:6">
      <c r="A1119" s="723"/>
      <c r="B1119" s="633">
        <v>882</v>
      </c>
      <c r="C1119" s="220">
        <v>1200</v>
      </c>
      <c r="D1119" s="1147">
        <v>19111.733528950692</v>
      </c>
      <c r="E1119" s="220">
        <v>35</v>
      </c>
      <c r="F1119" s="220">
        <v>30</v>
      </c>
    </row>
    <row r="1120" spans="1:6">
      <c r="A1120" s="723"/>
      <c r="B1120" s="633">
        <v>1201</v>
      </c>
      <c r="C1120" s="220">
        <v>3100</v>
      </c>
      <c r="D1120" s="1147">
        <v>34768.883634912992</v>
      </c>
      <c r="E1120" s="220">
        <v>35</v>
      </c>
      <c r="F1120" s="220">
        <v>30</v>
      </c>
    </row>
    <row r="1121" spans="1:6">
      <c r="A1121" s="723"/>
      <c r="B1121" s="633">
        <v>3101</v>
      </c>
      <c r="C1121" s="220">
        <v>6000</v>
      </c>
      <c r="D1121" s="1147">
        <v>68707.792824137636</v>
      </c>
      <c r="E1121" s="220">
        <v>35</v>
      </c>
      <c r="F1121" s="220">
        <v>30</v>
      </c>
    </row>
    <row r="1122" spans="1:6">
      <c r="A1122" s="723"/>
      <c r="B1122" s="633">
        <v>6001</v>
      </c>
      <c r="C1122" s="220" t="s">
        <v>5661</v>
      </c>
      <c r="D1122" s="1147" t="s">
        <v>5661</v>
      </c>
      <c r="E1122" s="220">
        <v>35</v>
      </c>
      <c r="F1122" s="220">
        <v>30</v>
      </c>
    </row>
    <row r="1125" spans="1:6">
      <c r="A1125" s="1146">
        <v>3</v>
      </c>
      <c r="B1125" s="1127"/>
      <c r="C1125" s="1127"/>
      <c r="D1125" s="1127" t="s">
        <v>5801</v>
      </c>
      <c r="E1125" s="1127" t="s">
        <v>5653</v>
      </c>
    </row>
    <row r="1126" spans="1:6">
      <c r="A1126" s="723" t="s">
        <v>5980</v>
      </c>
      <c r="B1126" s="220" t="s">
        <v>5979</v>
      </c>
      <c r="C1126" s="723" t="s">
        <v>5980</v>
      </c>
      <c r="D1126" s="1148">
        <v>15.191208791208791</v>
      </c>
      <c r="E1126" s="220" t="s">
        <v>4504</v>
      </c>
    </row>
    <row r="1129" spans="1:6">
      <c r="A1129" s="1128" t="s">
        <v>5656</v>
      </c>
      <c r="B1129" s="1128" t="s">
        <v>5981</v>
      </c>
      <c r="C1129" s="1128"/>
      <c r="D1129" s="1128"/>
      <c r="E1129" s="1128"/>
      <c r="F1129" s="1128"/>
    </row>
    <row r="1130" spans="1:6">
      <c r="A1130" s="1146">
        <v>35</v>
      </c>
      <c r="B1130" s="1127" t="s">
        <v>5763</v>
      </c>
      <c r="C1130" s="1127" t="s">
        <v>5764</v>
      </c>
      <c r="D1130" s="1133" t="s">
        <v>5660</v>
      </c>
      <c r="E1130" s="1127" t="s">
        <v>5653</v>
      </c>
      <c r="F1130" s="1127" t="s">
        <v>5654</v>
      </c>
    </row>
    <row r="1131" spans="1:6">
      <c r="A1131" s="723" t="s">
        <v>5982</v>
      </c>
      <c r="B1131" s="220">
        <v>0</v>
      </c>
      <c r="C1131" s="220">
        <v>0.5</v>
      </c>
      <c r="D1131" s="1147">
        <v>260.09816326530608</v>
      </c>
      <c r="E1131" s="220">
        <v>25</v>
      </c>
      <c r="F1131" s="220">
        <v>20</v>
      </c>
    </row>
    <row r="1132" spans="1:6">
      <c r="A1132" s="723"/>
      <c r="B1132" s="220">
        <v>0.6</v>
      </c>
      <c r="C1132" s="220">
        <v>0.75</v>
      </c>
      <c r="D1132" s="1147">
        <v>282.54780745341617</v>
      </c>
      <c r="E1132" s="220">
        <v>25</v>
      </c>
      <c r="F1132" s="220">
        <v>20</v>
      </c>
    </row>
    <row r="1133" spans="1:6">
      <c r="A1133" s="723"/>
      <c r="B1133" s="220">
        <v>0.76</v>
      </c>
      <c r="C1133" s="220">
        <v>1</v>
      </c>
      <c r="D1133" s="1147">
        <v>307.49703414634143</v>
      </c>
      <c r="E1133" s="220">
        <v>25</v>
      </c>
      <c r="F1133" s="220">
        <v>20</v>
      </c>
    </row>
    <row r="1134" spans="1:6">
      <c r="A1134" s="723"/>
      <c r="B1134" s="220">
        <v>1.1000000000000001</v>
      </c>
      <c r="C1134" s="220">
        <v>1.5</v>
      </c>
      <c r="D1134" s="1147">
        <v>473.64268354430379</v>
      </c>
      <c r="E1134" s="220">
        <v>25</v>
      </c>
      <c r="F1134" s="220">
        <v>20</v>
      </c>
    </row>
    <row r="1135" spans="1:6">
      <c r="A1135" s="723"/>
      <c r="B1135" s="220">
        <v>1.6</v>
      </c>
      <c r="C1135" s="220">
        <v>2</v>
      </c>
      <c r="D1135" s="1147">
        <v>599.03731818181814</v>
      </c>
      <c r="E1135" s="220">
        <v>25</v>
      </c>
      <c r="F1135" s="220">
        <v>20</v>
      </c>
    </row>
    <row r="1136" spans="1:6">
      <c r="A1136" s="723"/>
      <c r="B1136" s="220">
        <v>2.1</v>
      </c>
      <c r="C1136" s="220">
        <v>2.5</v>
      </c>
      <c r="D1136" s="1147">
        <v>768.14740298507468</v>
      </c>
      <c r="E1136" s="220">
        <v>25</v>
      </c>
      <c r="F1136" s="220">
        <v>20</v>
      </c>
    </row>
    <row r="1137" spans="1:6">
      <c r="A1137" s="723"/>
      <c r="B1137" s="220">
        <v>2.6</v>
      </c>
      <c r="C1137" s="220">
        <v>3</v>
      </c>
      <c r="D1137" s="1147">
        <v>1029.0379104477611</v>
      </c>
      <c r="E1137" s="220">
        <v>25</v>
      </c>
      <c r="F1137" s="220">
        <v>20</v>
      </c>
    </row>
    <row r="1138" spans="1:6">
      <c r="A1138" s="723"/>
      <c r="B1138" s="220">
        <v>3.1</v>
      </c>
      <c r="C1138" s="220">
        <v>4</v>
      </c>
      <c r="D1138" s="1147">
        <v>1644.4010800000003</v>
      </c>
      <c r="E1138" s="220">
        <v>25</v>
      </c>
      <c r="F1138" s="220">
        <v>20</v>
      </c>
    </row>
    <row r="1139" spans="1:6">
      <c r="A1139" s="723"/>
      <c r="B1139" s="220">
        <v>4.0999999999999996</v>
      </c>
      <c r="C1139" s="220">
        <v>6</v>
      </c>
      <c r="D1139" s="1147">
        <v>6040.9246741573043</v>
      </c>
      <c r="E1139" s="220">
        <v>25</v>
      </c>
      <c r="F1139" s="220">
        <v>20</v>
      </c>
    </row>
    <row r="1140" spans="1:6">
      <c r="A1140" s="723"/>
      <c r="B1140" s="220">
        <v>6.1</v>
      </c>
      <c r="C1140" s="220">
        <v>8</v>
      </c>
      <c r="D1140" s="1147">
        <v>9572.4145503355703</v>
      </c>
      <c r="E1140" s="220">
        <v>25</v>
      </c>
      <c r="F1140" s="220">
        <v>20</v>
      </c>
    </row>
    <row r="1141" spans="1:6">
      <c r="A1141" s="1136"/>
      <c r="B1141" s="220">
        <v>8.1</v>
      </c>
      <c r="C1141" s="220">
        <v>30</v>
      </c>
      <c r="D1141" s="1147">
        <v>49334.628922752097</v>
      </c>
      <c r="E1141" s="220">
        <v>25</v>
      </c>
      <c r="F1141" s="220">
        <v>20</v>
      </c>
    </row>
    <row r="1142" spans="1:6">
      <c r="A1142" s="1136"/>
      <c r="B1142" s="220">
        <v>30.1</v>
      </c>
      <c r="C1142" s="220">
        <v>36</v>
      </c>
      <c r="D1142" s="1147">
        <v>59019.279083141446</v>
      </c>
      <c r="E1142" s="220">
        <v>25</v>
      </c>
      <c r="F1142" s="220">
        <v>20</v>
      </c>
    </row>
    <row r="1143" spans="1:6">
      <c r="A1143" s="1136"/>
      <c r="B1143" s="220">
        <v>36.1</v>
      </c>
      <c r="C1143" s="220">
        <v>42</v>
      </c>
      <c r="D1143" s="1147">
        <v>80002.687763985043</v>
      </c>
      <c r="E1143" s="220">
        <v>25</v>
      </c>
      <c r="F1143" s="220">
        <v>20</v>
      </c>
    </row>
    <row r="1144" spans="1:6">
      <c r="A1144" s="1136"/>
      <c r="B1144" s="220">
        <v>42.1</v>
      </c>
      <c r="C1144" s="220">
        <v>48</v>
      </c>
      <c r="D1144" s="1147">
        <v>96143.77136463394</v>
      </c>
      <c r="E1144" s="220">
        <v>25</v>
      </c>
      <c r="F1144" s="220">
        <v>20</v>
      </c>
    </row>
    <row r="1145" spans="1:6">
      <c r="A1145" s="723"/>
      <c r="B1145" s="220">
        <v>48.1</v>
      </c>
      <c r="C1145" s="220" t="s">
        <v>5661</v>
      </c>
      <c r="D1145" s="1147" t="s">
        <v>5661</v>
      </c>
      <c r="E1145" s="220">
        <v>25</v>
      </c>
      <c r="F1145" s="220">
        <v>20</v>
      </c>
    </row>
    <row r="1148" spans="1:6">
      <c r="A1148" s="1128" t="s">
        <v>5983</v>
      </c>
      <c r="B1148" s="1128" t="s">
        <v>5984</v>
      </c>
      <c r="C1148" s="1128"/>
      <c r="D1148" s="1128"/>
      <c r="E1148" s="1128"/>
      <c r="F1148" s="1128"/>
    </row>
    <row r="1149" spans="1:6">
      <c r="A1149" s="1146">
        <v>23</v>
      </c>
      <c r="B1149" s="1127" t="s">
        <v>5805</v>
      </c>
      <c r="C1149" s="1127" t="s">
        <v>5806</v>
      </c>
      <c r="D1149" s="1127" t="s">
        <v>5660</v>
      </c>
      <c r="E1149" s="1127" t="s">
        <v>5653</v>
      </c>
      <c r="F1149" s="1127" t="s">
        <v>5654</v>
      </c>
    </row>
    <row r="1150" spans="1:6">
      <c r="A1150" s="723" t="s">
        <v>5985</v>
      </c>
      <c r="B1150" s="220">
        <v>0</v>
      </c>
      <c r="C1150" s="633">
        <v>1100</v>
      </c>
      <c r="D1150" s="1172">
        <v>10925.879875999251</v>
      </c>
      <c r="E1150" s="220">
        <v>35</v>
      </c>
      <c r="F1150" s="220">
        <v>30</v>
      </c>
    </row>
    <row r="1151" spans="1:6">
      <c r="A1151" s="723"/>
      <c r="B1151" s="220">
        <v>1101</v>
      </c>
      <c r="C1151" s="633">
        <v>2400</v>
      </c>
      <c r="D1151" s="1172">
        <v>15033.777689958049</v>
      </c>
      <c r="E1151" s="220">
        <v>35</v>
      </c>
      <c r="F1151" s="220">
        <v>30</v>
      </c>
    </row>
    <row r="1152" spans="1:6">
      <c r="A1152" s="723"/>
      <c r="B1152" s="220">
        <v>2401</v>
      </c>
      <c r="C1152" s="633">
        <v>3000</v>
      </c>
      <c r="D1152" s="1172">
        <v>18123.913110825615</v>
      </c>
      <c r="E1152" s="220">
        <v>35</v>
      </c>
      <c r="F1152" s="220">
        <v>30</v>
      </c>
    </row>
    <row r="1153" spans="1:6">
      <c r="A1153" s="723"/>
      <c r="B1153" s="220">
        <v>3001</v>
      </c>
      <c r="C1153" s="633">
        <v>4300</v>
      </c>
      <c r="D1153" s="1172">
        <v>25327.233246383039</v>
      </c>
      <c r="E1153" s="220">
        <v>35</v>
      </c>
      <c r="F1153" s="220">
        <v>30</v>
      </c>
    </row>
    <row r="1154" spans="1:6">
      <c r="A1154" s="723"/>
      <c r="B1154" s="220">
        <v>4301</v>
      </c>
      <c r="C1154" s="633">
        <v>5100</v>
      </c>
      <c r="D1154" s="1172">
        <v>27899.146705242172</v>
      </c>
      <c r="E1154" s="220">
        <v>35</v>
      </c>
      <c r="F1154" s="220">
        <v>30</v>
      </c>
    </row>
    <row r="1155" spans="1:6">
      <c r="A1155" s="723"/>
      <c r="B1155" s="220">
        <v>5101</v>
      </c>
      <c r="C1155" s="633">
        <v>6100</v>
      </c>
      <c r="D1155" s="1172">
        <v>31920.470343344543</v>
      </c>
      <c r="E1155" s="220">
        <v>35</v>
      </c>
      <c r="F1155" s="220">
        <v>30</v>
      </c>
    </row>
    <row r="1156" spans="1:6">
      <c r="A1156" s="723"/>
      <c r="B1156" s="220">
        <v>6101</v>
      </c>
      <c r="C1156" s="633">
        <v>8000</v>
      </c>
      <c r="D1156" s="1172">
        <v>40900.418617903975</v>
      </c>
      <c r="E1156" s="220">
        <v>35</v>
      </c>
      <c r="F1156" s="220">
        <v>30</v>
      </c>
    </row>
    <row r="1157" spans="1:6">
      <c r="A1157" s="723"/>
      <c r="B1157" s="220">
        <v>8001</v>
      </c>
      <c r="C1157" s="633">
        <v>10000</v>
      </c>
      <c r="D1157" s="1172">
        <v>48707.45393314898</v>
      </c>
      <c r="E1157" s="220">
        <v>35</v>
      </c>
      <c r="F1157" s="220">
        <v>30</v>
      </c>
    </row>
    <row r="1158" spans="1:6">
      <c r="A1158" s="723"/>
      <c r="B1158" s="220">
        <v>10001</v>
      </c>
      <c r="C1158" s="633">
        <v>30000</v>
      </c>
      <c r="D1158" s="1172">
        <v>109987.48232351081</v>
      </c>
      <c r="E1158" s="220">
        <v>35</v>
      </c>
      <c r="F1158" s="220">
        <v>30</v>
      </c>
    </row>
    <row r="1159" spans="1:6">
      <c r="A1159" s="723"/>
      <c r="B1159" s="220">
        <v>30001</v>
      </c>
      <c r="C1159" s="633" t="s">
        <v>5661</v>
      </c>
      <c r="D1159" s="1172" t="s">
        <v>5661</v>
      </c>
      <c r="E1159" s="220">
        <v>35</v>
      </c>
      <c r="F1159" s="220">
        <v>30</v>
      </c>
    </row>
    <row r="1162" spans="1:6">
      <c r="A1162" s="1128" t="s">
        <v>5757</v>
      </c>
      <c r="B1162" s="1128" t="s">
        <v>5986</v>
      </c>
      <c r="C1162" s="1128"/>
      <c r="D1162" s="1128"/>
      <c r="E1162" s="1128"/>
      <c r="F1162" s="1128"/>
    </row>
    <row r="1163" spans="1:6">
      <c r="A1163" s="1146">
        <v>30</v>
      </c>
      <c r="B1163" s="1127" t="s">
        <v>5759</v>
      </c>
      <c r="C1163" s="1127" t="s">
        <v>5760</v>
      </c>
      <c r="D1163" s="1133" t="s">
        <v>5660</v>
      </c>
      <c r="E1163" s="1127" t="s">
        <v>5653</v>
      </c>
      <c r="F1163" s="1127" t="s">
        <v>5654</v>
      </c>
    </row>
    <row r="1164" spans="1:6">
      <c r="A1164" s="723" t="s">
        <v>5987</v>
      </c>
      <c r="B1164" s="220">
        <v>0</v>
      </c>
      <c r="C1164" s="220">
        <v>0.21</v>
      </c>
      <c r="D1164" s="1147">
        <v>1774.520225173663</v>
      </c>
      <c r="E1164" s="220">
        <v>20</v>
      </c>
      <c r="F1164" s="220">
        <v>15</v>
      </c>
    </row>
    <row r="1165" spans="1:6">
      <c r="A1165" s="723"/>
      <c r="B1165" s="220">
        <v>0.22</v>
      </c>
      <c r="C1165" s="220">
        <v>0.5</v>
      </c>
      <c r="D1165" s="1147">
        <v>1894.3850274614583</v>
      </c>
      <c r="E1165" s="220">
        <v>20</v>
      </c>
      <c r="F1165" s="220">
        <v>15</v>
      </c>
    </row>
    <row r="1166" spans="1:6">
      <c r="A1166" s="723"/>
      <c r="B1166" s="220">
        <v>0.51</v>
      </c>
      <c r="C1166" s="220">
        <v>0.8</v>
      </c>
      <c r="D1166" s="1147">
        <v>3294.9791846286298</v>
      </c>
      <c r="E1166" s="220">
        <v>20</v>
      </c>
      <c r="F1166" s="220">
        <v>15</v>
      </c>
    </row>
    <row r="1167" spans="1:6">
      <c r="A1167" s="723"/>
      <c r="B1167" s="220">
        <v>0.81</v>
      </c>
      <c r="C1167" s="220">
        <v>1</v>
      </c>
      <c r="D1167" s="1147">
        <v>1657.2611794573418</v>
      </c>
      <c r="E1167" s="220">
        <v>20</v>
      </c>
      <c r="F1167" s="220">
        <v>15</v>
      </c>
    </row>
    <row r="1168" spans="1:6">
      <c r="A1168" s="723"/>
      <c r="B1168" s="220">
        <v>1.01</v>
      </c>
      <c r="C1168" s="220">
        <v>2</v>
      </c>
      <c r="D1168" s="1147">
        <v>3251.9842011993123</v>
      </c>
      <c r="E1168" s="220">
        <v>20</v>
      </c>
      <c r="F1168" s="220">
        <v>15</v>
      </c>
    </row>
    <row r="1169" spans="1:6">
      <c r="A1169" s="723"/>
      <c r="B1169" s="220">
        <v>2.0099999999999998</v>
      </c>
      <c r="C1169" s="220">
        <v>2.5</v>
      </c>
      <c r="D1169" s="1147">
        <v>2124.9944840368903</v>
      </c>
      <c r="E1169" s="220">
        <v>20</v>
      </c>
      <c r="F1169" s="220">
        <v>15</v>
      </c>
    </row>
    <row r="1170" spans="1:6">
      <c r="A1170" s="723"/>
      <c r="B1170" s="220">
        <v>2.5099999999999998</v>
      </c>
      <c r="C1170" s="220">
        <v>3</v>
      </c>
      <c r="D1170" s="1147">
        <v>3251.9842011993123</v>
      </c>
      <c r="E1170" s="220">
        <v>20</v>
      </c>
      <c r="F1170" s="220">
        <v>15</v>
      </c>
    </row>
    <row r="1171" spans="1:6">
      <c r="A1171" s="723"/>
      <c r="B1171" s="220">
        <v>3.01</v>
      </c>
      <c r="C1171" s="220">
        <v>3.17</v>
      </c>
      <c r="D1171" s="1147">
        <v>2406.4161937560611</v>
      </c>
      <c r="E1171" s="220">
        <v>20</v>
      </c>
      <c r="F1171" s="220">
        <v>15</v>
      </c>
    </row>
    <row r="1172" spans="1:6">
      <c r="A1172" s="723"/>
      <c r="B1172" s="220">
        <v>3.1799999999999997</v>
      </c>
      <c r="C1172" s="220">
        <v>4</v>
      </c>
      <c r="D1172" s="1147">
        <v>3251.9842011993123</v>
      </c>
      <c r="E1172" s="220">
        <v>20</v>
      </c>
      <c r="F1172" s="220">
        <v>15</v>
      </c>
    </row>
    <row r="1173" spans="1:6">
      <c r="A1173" s="723"/>
      <c r="B1173" s="220">
        <v>4.01</v>
      </c>
      <c r="C1173" s="220">
        <v>5</v>
      </c>
      <c r="D1173" s="1147">
        <v>2552.3385617585946</v>
      </c>
      <c r="E1173" s="220">
        <v>20</v>
      </c>
      <c r="F1173" s="220">
        <v>15</v>
      </c>
    </row>
    <row r="1174" spans="1:6">
      <c r="A1174" s="723"/>
      <c r="B1174" s="220">
        <v>5.01</v>
      </c>
      <c r="C1174" s="220">
        <v>7</v>
      </c>
      <c r="D1174" s="1147">
        <v>3251.9842011993123</v>
      </c>
      <c r="E1174" s="220">
        <v>20</v>
      </c>
      <c r="F1174" s="220">
        <v>15</v>
      </c>
    </row>
    <row r="1175" spans="1:6">
      <c r="A1175" s="723"/>
      <c r="B1175" s="220">
        <v>7.01</v>
      </c>
      <c r="C1175" s="220">
        <v>10</v>
      </c>
      <c r="D1175" s="1147">
        <v>2737.3472783332354</v>
      </c>
      <c r="E1175" s="220">
        <v>20</v>
      </c>
      <c r="F1175" s="220">
        <v>15</v>
      </c>
    </row>
    <row r="1176" spans="1:6">
      <c r="A1176" s="723"/>
      <c r="B1176" s="220">
        <v>10.01</v>
      </c>
      <c r="C1176" s="220">
        <v>21</v>
      </c>
      <c r="D1176" s="1147">
        <v>3684.5397920639643</v>
      </c>
      <c r="E1176" s="220">
        <v>20</v>
      </c>
      <c r="F1176" s="220">
        <v>15</v>
      </c>
    </row>
    <row r="1177" spans="1:6">
      <c r="A1177" s="723"/>
      <c r="B1177" s="220">
        <v>21.01</v>
      </c>
      <c r="C1177" s="220" t="s">
        <v>5661</v>
      </c>
      <c r="D1177" s="1147" t="s">
        <v>5661</v>
      </c>
      <c r="E1177" s="220">
        <v>20</v>
      </c>
      <c r="F1177" s="220">
        <v>15</v>
      </c>
    </row>
    <row r="1180" spans="1:6">
      <c r="A1180" s="1128" t="s">
        <v>5656</v>
      </c>
      <c r="B1180" s="1128" t="s">
        <v>5988</v>
      </c>
      <c r="C1180" s="1128"/>
      <c r="D1180" s="1128"/>
      <c r="E1180" s="1128"/>
      <c r="F1180" s="1128"/>
    </row>
    <row r="1181" spans="1:6">
      <c r="A1181" s="1146">
        <v>35</v>
      </c>
      <c r="B1181" s="1127" t="s">
        <v>5763</v>
      </c>
      <c r="C1181" s="1127" t="s">
        <v>5764</v>
      </c>
      <c r="D1181" s="1133" t="s">
        <v>5660</v>
      </c>
      <c r="E1181" s="1127" t="s">
        <v>5653</v>
      </c>
      <c r="F1181" s="1127" t="s">
        <v>5654</v>
      </c>
    </row>
    <row r="1182" spans="1:6">
      <c r="A1182" s="723" t="s">
        <v>5989</v>
      </c>
      <c r="B1182" s="220">
        <v>0</v>
      </c>
      <c r="C1182" s="220">
        <v>1</v>
      </c>
      <c r="D1182" s="1147">
        <v>317.83100975609756</v>
      </c>
      <c r="E1182" s="220">
        <v>25</v>
      </c>
      <c r="F1182" s="220">
        <v>20</v>
      </c>
    </row>
    <row r="1183" spans="1:6">
      <c r="A1183" s="723"/>
      <c r="B1183" s="220">
        <v>1.1000000000000001</v>
      </c>
      <c r="C1183" s="220">
        <v>2</v>
      </c>
      <c r="D1183" s="1147">
        <v>468.17123628865829</v>
      </c>
      <c r="E1183" s="220">
        <v>25</v>
      </c>
      <c r="F1183" s="220">
        <v>20</v>
      </c>
    </row>
    <row r="1184" spans="1:6">
      <c r="A1184" s="723"/>
      <c r="B1184" s="220">
        <v>2.1</v>
      </c>
      <c r="C1184" s="220">
        <v>3</v>
      </c>
      <c r="D1184" s="1147">
        <v>761.47524388103591</v>
      </c>
      <c r="E1184" s="220">
        <v>25</v>
      </c>
      <c r="F1184" s="220">
        <v>20</v>
      </c>
    </row>
    <row r="1185" spans="1:6">
      <c r="A1185" s="723"/>
      <c r="B1185" s="220">
        <v>3.1</v>
      </c>
      <c r="C1185" s="220">
        <v>4</v>
      </c>
      <c r="D1185" s="1147">
        <v>1023.1879828009146</v>
      </c>
      <c r="E1185" s="220">
        <v>25</v>
      </c>
      <c r="F1185" s="220">
        <v>20</v>
      </c>
    </row>
    <row r="1186" spans="1:6">
      <c r="A1186" s="723"/>
      <c r="B1186" s="220">
        <v>4.0999999999999996</v>
      </c>
      <c r="C1186" s="220">
        <v>6</v>
      </c>
      <c r="D1186" s="1147">
        <v>1045.1288577751598</v>
      </c>
      <c r="E1186" s="220">
        <v>25</v>
      </c>
      <c r="F1186" s="220">
        <v>20</v>
      </c>
    </row>
    <row r="1187" spans="1:6">
      <c r="A1187" s="723"/>
      <c r="B1187" s="220">
        <v>6.1</v>
      </c>
      <c r="C1187" s="220">
        <v>8</v>
      </c>
      <c r="D1187" s="1147">
        <v>1499.216706700558</v>
      </c>
      <c r="E1187" s="220">
        <v>25</v>
      </c>
      <c r="F1187" s="220">
        <v>20</v>
      </c>
    </row>
    <row r="1188" spans="1:6">
      <c r="A1188" s="723"/>
      <c r="B1188" s="220">
        <v>8.1</v>
      </c>
      <c r="C1188" s="220">
        <v>10</v>
      </c>
      <c r="D1188" s="1147">
        <v>2730.5081374852439</v>
      </c>
      <c r="E1188" s="220">
        <v>25</v>
      </c>
      <c r="F1188" s="220">
        <v>20</v>
      </c>
    </row>
    <row r="1189" spans="1:6">
      <c r="A1189" s="723"/>
      <c r="B1189" s="220">
        <v>10.1</v>
      </c>
      <c r="C1189" s="220">
        <v>12</v>
      </c>
      <c r="D1189" s="1147">
        <v>3467.076863583452</v>
      </c>
      <c r="E1189" s="220">
        <v>25</v>
      </c>
      <c r="F1189" s="220">
        <v>20</v>
      </c>
    </row>
    <row r="1190" spans="1:6">
      <c r="A1190" s="723"/>
      <c r="B1190" s="220">
        <v>12.1</v>
      </c>
      <c r="C1190" s="220" t="s">
        <v>5661</v>
      </c>
      <c r="D1190" s="1147" t="s">
        <v>5661</v>
      </c>
      <c r="E1190" s="220">
        <v>25</v>
      </c>
      <c r="F1190" s="220">
        <v>20</v>
      </c>
    </row>
    <row r="1193" spans="1:6">
      <c r="A1193" s="1128" t="s">
        <v>5757</v>
      </c>
      <c r="B1193" s="1128" t="s">
        <v>5990</v>
      </c>
      <c r="C1193" s="1128"/>
      <c r="D1193" s="1128"/>
      <c r="E1193" s="1128"/>
      <c r="F1193" s="1128"/>
    </row>
    <row r="1194" spans="1:6">
      <c r="A1194" s="1146">
        <v>30</v>
      </c>
      <c r="B1194" s="1127" t="s">
        <v>5759</v>
      </c>
      <c r="C1194" s="1127" t="s">
        <v>5760</v>
      </c>
      <c r="D1194" s="1133" t="s">
        <v>5660</v>
      </c>
      <c r="E1194" s="1127" t="s">
        <v>5653</v>
      </c>
      <c r="F1194" s="1127" t="s">
        <v>5654</v>
      </c>
    </row>
    <row r="1195" spans="1:6">
      <c r="A1195" s="723" t="s">
        <v>5991</v>
      </c>
      <c r="B1195" s="220">
        <v>0</v>
      </c>
      <c r="C1195" s="220">
        <v>1</v>
      </c>
      <c r="D1195" s="1147">
        <v>3680.6311572067534</v>
      </c>
      <c r="E1195" s="220">
        <v>20</v>
      </c>
      <c r="F1195" s="220">
        <v>17</v>
      </c>
    </row>
    <row r="1196" spans="1:6">
      <c r="A1196" s="723"/>
      <c r="B1196" s="220">
        <v>1.01</v>
      </c>
      <c r="C1196" s="220">
        <v>2</v>
      </c>
      <c r="D1196" s="1147">
        <v>3680.6311572067534</v>
      </c>
      <c r="E1196" s="220">
        <v>20</v>
      </c>
      <c r="F1196" s="220">
        <v>17</v>
      </c>
    </row>
    <row r="1197" spans="1:6">
      <c r="A1197" s="723"/>
      <c r="B1197" s="220">
        <v>2.0099999999999998</v>
      </c>
      <c r="C1197" s="220">
        <v>4</v>
      </c>
      <c r="D1197" s="1147">
        <v>3680.6311572067534</v>
      </c>
      <c r="E1197" s="220">
        <v>20</v>
      </c>
      <c r="F1197" s="220">
        <v>17</v>
      </c>
    </row>
    <row r="1198" spans="1:6">
      <c r="A1198" s="723"/>
      <c r="B1198" s="220">
        <v>4.01</v>
      </c>
      <c r="C1198" s="220">
        <v>5</v>
      </c>
      <c r="D1198" s="1147">
        <v>3680.6311572067534</v>
      </c>
      <c r="E1198" s="220">
        <v>20</v>
      </c>
      <c r="F1198" s="220">
        <v>17</v>
      </c>
    </row>
    <row r="1199" spans="1:6">
      <c r="A1199" s="723"/>
      <c r="B1199" s="220">
        <v>5.01</v>
      </c>
      <c r="C1199" s="220">
        <v>7</v>
      </c>
      <c r="D1199" s="1147">
        <v>3680.6311572067534</v>
      </c>
      <c r="E1199" s="220">
        <v>20</v>
      </c>
      <c r="F1199" s="220">
        <v>17</v>
      </c>
    </row>
    <row r="1200" spans="1:6">
      <c r="A1200" s="723"/>
      <c r="B1200" s="220">
        <v>7.01</v>
      </c>
      <c r="C1200" s="220">
        <v>11</v>
      </c>
      <c r="D1200" s="1147">
        <v>3680.6311572067534</v>
      </c>
      <c r="E1200" s="220">
        <v>20</v>
      </c>
      <c r="F1200" s="220">
        <v>17</v>
      </c>
    </row>
    <row r="1201" spans="1:6">
      <c r="A1201" s="723"/>
      <c r="B1201" s="220">
        <v>11.01</v>
      </c>
      <c r="C1201" s="220">
        <v>14</v>
      </c>
      <c r="D1201" s="1147">
        <v>4695.5733417958018</v>
      </c>
      <c r="E1201" s="220">
        <v>20</v>
      </c>
      <c r="F1201" s="220">
        <v>17</v>
      </c>
    </row>
    <row r="1202" spans="1:6">
      <c r="A1202" s="723"/>
      <c r="B1202" s="220">
        <v>14.01</v>
      </c>
      <c r="C1202" s="220">
        <v>29</v>
      </c>
      <c r="D1202" s="1147">
        <v>5001.7497389439741</v>
      </c>
      <c r="E1202" s="220">
        <v>20</v>
      </c>
      <c r="F1202" s="220">
        <v>17</v>
      </c>
    </row>
    <row r="1203" spans="1:6">
      <c r="A1203" s="723"/>
      <c r="B1203" s="220">
        <v>29.01</v>
      </c>
      <c r="C1203" s="220">
        <v>35</v>
      </c>
      <c r="D1203" s="1147">
        <v>5155.4893766609293</v>
      </c>
      <c r="E1203" s="220">
        <v>20</v>
      </c>
      <c r="F1203" s="220">
        <v>17</v>
      </c>
    </row>
    <row r="1204" spans="1:6">
      <c r="A1204" s="723"/>
      <c r="B1204" s="220">
        <v>35.01</v>
      </c>
      <c r="C1204" s="220">
        <v>59</v>
      </c>
      <c r="D1204" s="1147">
        <v>6859.1551118682983</v>
      </c>
      <c r="E1204" s="220">
        <v>20</v>
      </c>
      <c r="F1204" s="220">
        <v>17</v>
      </c>
    </row>
    <row r="1205" spans="1:6">
      <c r="A1205" s="723"/>
      <c r="B1205" s="220">
        <v>59.01</v>
      </c>
      <c r="C1205" s="220">
        <v>98</v>
      </c>
      <c r="D1205" s="1147">
        <v>7352.1766738116858</v>
      </c>
      <c r="E1205" s="220">
        <v>20</v>
      </c>
      <c r="F1205" s="220">
        <v>17</v>
      </c>
    </row>
    <row r="1206" spans="1:6">
      <c r="A1206" s="723"/>
      <c r="B1206" s="220">
        <v>98.01</v>
      </c>
      <c r="C1206" s="220">
        <v>132</v>
      </c>
      <c r="D1206" s="1147">
        <v>8019.603101716275</v>
      </c>
      <c r="E1206" s="220">
        <v>20</v>
      </c>
      <c r="F1206" s="220">
        <v>17</v>
      </c>
    </row>
    <row r="1207" spans="1:6">
      <c r="A1207" s="723"/>
      <c r="B1207" s="220">
        <v>132.01</v>
      </c>
      <c r="C1207" s="220" t="s">
        <v>5661</v>
      </c>
      <c r="D1207" s="1147" t="s">
        <v>5661</v>
      </c>
      <c r="E1207" s="220">
        <v>20</v>
      </c>
      <c r="F1207" s="220">
        <v>17</v>
      </c>
    </row>
    <row r="1210" spans="1:6">
      <c r="A1210" s="1128" t="s">
        <v>5656</v>
      </c>
      <c r="B1210" s="1128" t="s">
        <v>5992</v>
      </c>
      <c r="C1210" s="1128"/>
      <c r="D1210" s="1128"/>
      <c r="E1210" s="1128"/>
      <c r="F1210" s="1128"/>
    </row>
    <row r="1211" spans="1:6">
      <c r="A1211" s="1146">
        <v>35</v>
      </c>
      <c r="B1211" s="1127" t="s">
        <v>5763</v>
      </c>
      <c r="C1211" s="1127" t="s">
        <v>5764</v>
      </c>
      <c r="D1211" s="1133" t="s">
        <v>5660</v>
      </c>
      <c r="E1211" s="1127" t="s">
        <v>5653</v>
      </c>
      <c r="F1211" s="1127" t="s">
        <v>5654</v>
      </c>
    </row>
    <row r="1212" spans="1:6">
      <c r="A1212" s="723" t="s">
        <v>5993</v>
      </c>
      <c r="B1212" s="220">
        <v>0</v>
      </c>
      <c r="C1212" s="220">
        <v>1</v>
      </c>
      <c r="D1212" s="1147">
        <v>1207.272967032967</v>
      </c>
      <c r="E1212" s="220">
        <v>25</v>
      </c>
      <c r="F1212" s="220">
        <v>20</v>
      </c>
    </row>
    <row r="1213" spans="1:6">
      <c r="A1213" s="723"/>
      <c r="B1213" s="220">
        <v>1.1000000000000001</v>
      </c>
      <c r="C1213" s="220">
        <v>1.5</v>
      </c>
      <c r="D1213" s="1147">
        <v>1723.1306593406593</v>
      </c>
      <c r="E1213" s="220">
        <v>25</v>
      </c>
      <c r="F1213" s="220">
        <v>20</v>
      </c>
    </row>
    <row r="1214" spans="1:6">
      <c r="A1214" s="723"/>
      <c r="B1214" s="220">
        <v>1.6</v>
      </c>
      <c r="C1214" s="220">
        <v>2</v>
      </c>
      <c r="D1214" s="1147">
        <v>1414.6933333692275</v>
      </c>
      <c r="E1214" s="220">
        <v>25</v>
      </c>
      <c r="F1214" s="220">
        <v>20</v>
      </c>
    </row>
    <row r="1215" spans="1:6">
      <c r="A1215" s="723"/>
      <c r="B1215" s="220">
        <v>2.1</v>
      </c>
      <c r="C1215" s="220">
        <v>3</v>
      </c>
      <c r="D1215" s="1147">
        <v>2482.1433022573333</v>
      </c>
      <c r="E1215" s="220">
        <v>25</v>
      </c>
      <c r="F1215" s="220">
        <v>20</v>
      </c>
    </row>
    <row r="1216" spans="1:6">
      <c r="A1216" s="723"/>
      <c r="B1216" s="220">
        <v>3.1</v>
      </c>
      <c r="C1216" s="220">
        <v>4</v>
      </c>
      <c r="D1216" s="1147">
        <v>4004.9512980917061</v>
      </c>
      <c r="E1216" s="220">
        <v>25</v>
      </c>
      <c r="F1216" s="220">
        <v>20</v>
      </c>
    </row>
    <row r="1217" spans="1:6">
      <c r="A1217" s="723"/>
      <c r="B1217" s="220">
        <v>4.0999999999999996</v>
      </c>
      <c r="C1217" s="220">
        <v>6</v>
      </c>
      <c r="D1217" s="1147">
        <v>2714.3535021394746</v>
      </c>
      <c r="E1217" s="220">
        <v>25</v>
      </c>
      <c r="F1217" s="220">
        <v>20</v>
      </c>
    </row>
    <row r="1218" spans="1:6">
      <c r="A1218" s="723"/>
      <c r="B1218" s="220">
        <v>6.1</v>
      </c>
      <c r="C1218" s="220">
        <v>8</v>
      </c>
      <c r="D1218" s="1147">
        <v>4334.6072933153191</v>
      </c>
      <c r="E1218" s="220">
        <v>25</v>
      </c>
      <c r="F1218" s="220">
        <v>20</v>
      </c>
    </row>
    <row r="1219" spans="1:6">
      <c r="A1219" s="723"/>
      <c r="B1219" s="220">
        <v>8.1</v>
      </c>
      <c r="C1219" s="220">
        <v>10</v>
      </c>
      <c r="D1219" s="1147">
        <v>5587.5543049125572</v>
      </c>
      <c r="E1219" s="220">
        <v>25</v>
      </c>
      <c r="F1219" s="220">
        <v>20</v>
      </c>
    </row>
    <row r="1220" spans="1:6">
      <c r="A1220" s="723"/>
      <c r="B1220" s="220">
        <v>10.1</v>
      </c>
      <c r="C1220" s="220">
        <v>12</v>
      </c>
      <c r="D1220" s="1147">
        <v>7631.5667775126039</v>
      </c>
      <c r="E1220" s="220">
        <v>25</v>
      </c>
      <c r="F1220" s="220">
        <v>20</v>
      </c>
    </row>
    <row r="1221" spans="1:6">
      <c r="A1221" s="723"/>
      <c r="B1221" s="220">
        <v>12.1</v>
      </c>
      <c r="C1221" s="220">
        <v>14</v>
      </c>
      <c r="D1221" s="1147">
        <v>24748.502523442836</v>
      </c>
      <c r="E1221" s="220">
        <v>25</v>
      </c>
      <c r="F1221" s="220">
        <v>20</v>
      </c>
    </row>
    <row r="1222" spans="1:6">
      <c r="A1222" s="723"/>
      <c r="B1222" s="220">
        <v>14.1</v>
      </c>
      <c r="C1222" s="220">
        <v>16</v>
      </c>
      <c r="D1222" s="1147">
        <v>28530.258869128291</v>
      </c>
      <c r="E1222" s="220">
        <v>25</v>
      </c>
      <c r="F1222" s="220">
        <v>20</v>
      </c>
    </row>
    <row r="1223" spans="1:6">
      <c r="A1223" s="723"/>
      <c r="B1223" s="220">
        <v>16.100000000000001</v>
      </c>
      <c r="C1223" s="220">
        <v>20</v>
      </c>
      <c r="D1223" s="1147">
        <v>46615.65881913164</v>
      </c>
      <c r="E1223" s="220">
        <v>25</v>
      </c>
      <c r="F1223" s="220">
        <v>20</v>
      </c>
    </row>
    <row r="1224" spans="1:6">
      <c r="A1224" s="723"/>
      <c r="B1224" s="220">
        <v>20.100000000000001</v>
      </c>
      <c r="C1224" s="220">
        <v>24</v>
      </c>
      <c r="D1224" s="1147">
        <v>65149.016724246409</v>
      </c>
      <c r="E1224" s="220">
        <v>25</v>
      </c>
      <c r="F1224" s="220">
        <v>20</v>
      </c>
    </row>
    <row r="1225" spans="1:6">
      <c r="A1225" s="723"/>
      <c r="B1225" s="220">
        <v>24.1</v>
      </c>
      <c r="C1225" s="220">
        <v>30</v>
      </c>
      <c r="D1225" s="1147">
        <v>80302.681490252042</v>
      </c>
      <c r="E1225" s="220">
        <v>25</v>
      </c>
      <c r="F1225" s="220">
        <v>20</v>
      </c>
    </row>
    <row r="1226" spans="1:6">
      <c r="A1226" s="723"/>
      <c r="B1226" s="220">
        <v>30.1</v>
      </c>
      <c r="C1226" s="220">
        <v>48</v>
      </c>
      <c r="D1226" s="1147">
        <v>220985.84305316926</v>
      </c>
      <c r="E1226" s="220">
        <v>25</v>
      </c>
      <c r="F1226" s="220">
        <v>20</v>
      </c>
    </row>
    <row r="1227" spans="1:6">
      <c r="A1227" s="723"/>
      <c r="B1227" s="220">
        <v>48.1</v>
      </c>
      <c r="C1227" s="220" t="s">
        <v>5661</v>
      </c>
      <c r="D1227" s="1147" t="s">
        <v>5661</v>
      </c>
      <c r="E1227" s="220">
        <v>25</v>
      </c>
      <c r="F1227" s="220">
        <v>20</v>
      </c>
    </row>
    <row r="1230" spans="1:6">
      <c r="A1230" s="1128" t="s">
        <v>5994</v>
      </c>
      <c r="B1230" s="1128" t="s">
        <v>5995</v>
      </c>
      <c r="C1230" s="1128"/>
      <c r="D1230" s="1128"/>
      <c r="E1230" s="1128"/>
      <c r="F1230" s="1128"/>
    </row>
    <row r="1231" spans="1:6">
      <c r="A1231" s="1146">
        <v>21</v>
      </c>
      <c r="B1231" s="1127" t="s">
        <v>5763</v>
      </c>
      <c r="C1231" s="1127" t="s">
        <v>5764</v>
      </c>
      <c r="D1231" s="1133" t="s">
        <v>5781</v>
      </c>
      <c r="E1231" s="1127" t="s">
        <v>5653</v>
      </c>
      <c r="F1231" s="1127" t="s">
        <v>5654</v>
      </c>
    </row>
    <row r="1232" spans="1:6">
      <c r="A1232" s="723" t="s">
        <v>5996</v>
      </c>
      <c r="B1232" s="220">
        <v>0</v>
      </c>
      <c r="C1232" s="220">
        <v>0.5</v>
      </c>
      <c r="D1232" s="1147">
        <v>23</v>
      </c>
      <c r="E1232" s="220">
        <v>45</v>
      </c>
      <c r="F1232" s="220">
        <v>40</v>
      </c>
    </row>
    <row r="1233" spans="1:6">
      <c r="A1233" s="723"/>
      <c r="B1233" s="220">
        <v>0.6</v>
      </c>
      <c r="C1233" s="220">
        <v>0.75</v>
      </c>
      <c r="D1233" s="1147">
        <v>29.5</v>
      </c>
      <c r="E1233" s="220">
        <v>45</v>
      </c>
      <c r="F1233" s="220">
        <v>40</v>
      </c>
    </row>
    <row r="1234" spans="1:6">
      <c r="A1234" s="723"/>
      <c r="B1234" s="220">
        <v>0.76</v>
      </c>
      <c r="C1234" s="220">
        <v>1</v>
      </c>
      <c r="D1234" s="1147">
        <v>37.5</v>
      </c>
      <c r="E1234" s="220">
        <v>45</v>
      </c>
      <c r="F1234" s="220">
        <v>40</v>
      </c>
    </row>
    <row r="1235" spans="1:6">
      <c r="A1235" s="723"/>
      <c r="B1235" s="220">
        <v>1.1000000000000001</v>
      </c>
      <c r="C1235" s="220">
        <v>1.25</v>
      </c>
      <c r="D1235" s="1147">
        <v>45</v>
      </c>
      <c r="E1235" s="220">
        <v>45</v>
      </c>
      <c r="F1235" s="220">
        <v>40</v>
      </c>
    </row>
    <row r="1236" spans="1:6">
      <c r="A1236" s="723"/>
      <c r="B1236" s="220">
        <v>1.26</v>
      </c>
      <c r="C1236" s="220">
        <v>1.5</v>
      </c>
      <c r="D1236" s="1147">
        <v>57</v>
      </c>
      <c r="E1236" s="220">
        <v>45</v>
      </c>
      <c r="F1236" s="220">
        <v>40</v>
      </c>
    </row>
    <row r="1237" spans="1:6">
      <c r="A1237" s="723"/>
      <c r="B1237" s="220">
        <v>1.6</v>
      </c>
      <c r="C1237" s="220">
        <v>2</v>
      </c>
      <c r="D1237" s="1147">
        <v>82.5</v>
      </c>
      <c r="E1237" s="220">
        <v>45</v>
      </c>
      <c r="F1237" s="220">
        <v>40</v>
      </c>
    </row>
    <row r="1238" spans="1:6">
      <c r="A1238" s="723"/>
      <c r="B1238" s="220">
        <v>2.1</v>
      </c>
      <c r="C1238" s="220">
        <v>2.5</v>
      </c>
      <c r="D1238" s="1147">
        <v>153</v>
      </c>
      <c r="E1238" s="220">
        <v>45</v>
      </c>
      <c r="F1238" s="220">
        <v>40</v>
      </c>
    </row>
    <row r="1239" spans="1:6">
      <c r="A1239" s="723"/>
      <c r="B1239" s="220">
        <v>2.6</v>
      </c>
      <c r="C1239" s="220">
        <v>3</v>
      </c>
      <c r="D1239" s="1147">
        <v>190</v>
      </c>
      <c r="E1239" s="220">
        <v>45</v>
      </c>
      <c r="F1239" s="220">
        <v>40</v>
      </c>
    </row>
    <row r="1240" spans="1:6">
      <c r="A1240" s="723"/>
      <c r="B1240" s="220">
        <v>3.1</v>
      </c>
      <c r="C1240" s="220">
        <v>4</v>
      </c>
      <c r="D1240" s="1147">
        <v>231</v>
      </c>
      <c r="E1240" s="220">
        <v>45</v>
      </c>
      <c r="F1240" s="220">
        <v>40</v>
      </c>
    </row>
    <row r="1241" spans="1:6">
      <c r="A1241" s="723"/>
      <c r="B1241" s="220">
        <v>4.0999999999999996</v>
      </c>
      <c r="C1241" s="220">
        <v>6</v>
      </c>
      <c r="D1241" s="1147">
        <v>325</v>
      </c>
      <c r="E1241" s="220">
        <v>45</v>
      </c>
      <c r="F1241" s="220">
        <v>40</v>
      </c>
    </row>
    <row r="1242" spans="1:6">
      <c r="A1242" s="723"/>
      <c r="B1242" s="220">
        <v>6.1</v>
      </c>
      <c r="C1242" s="220">
        <v>8</v>
      </c>
      <c r="D1242" s="1147">
        <v>475</v>
      </c>
      <c r="E1242" s="220">
        <v>45</v>
      </c>
      <c r="F1242" s="220">
        <v>40</v>
      </c>
    </row>
    <row r="1243" spans="1:6">
      <c r="A1243" s="723"/>
      <c r="B1243" s="220">
        <v>8.1</v>
      </c>
      <c r="C1243" s="220">
        <v>10</v>
      </c>
      <c r="D1243" s="1147">
        <v>565</v>
      </c>
      <c r="E1243" s="220">
        <v>45</v>
      </c>
      <c r="F1243" s="220">
        <v>40</v>
      </c>
    </row>
    <row r="1244" spans="1:6">
      <c r="A1244" s="723"/>
      <c r="B1244" s="220">
        <v>10.1</v>
      </c>
      <c r="C1244" s="220">
        <v>12</v>
      </c>
      <c r="D1244" s="1147">
        <v>725</v>
      </c>
      <c r="E1244" s="220">
        <v>45</v>
      </c>
      <c r="F1244" s="220">
        <v>40</v>
      </c>
    </row>
    <row r="1245" spans="1:6">
      <c r="A1245" s="723"/>
      <c r="B1245" s="220">
        <v>12.1</v>
      </c>
      <c r="C1245" s="220">
        <v>16</v>
      </c>
      <c r="D1245" s="1147">
        <v>328.39642490634219</v>
      </c>
      <c r="E1245" s="220">
        <v>45</v>
      </c>
      <c r="F1245" s="220">
        <v>40</v>
      </c>
    </row>
    <row r="1246" spans="1:6">
      <c r="A1246" s="723"/>
      <c r="B1246" s="220">
        <v>16.100000000000001</v>
      </c>
      <c r="C1246" s="220">
        <v>24</v>
      </c>
      <c r="D1246" s="1147">
        <v>574.9220707070707</v>
      </c>
      <c r="E1246" s="220">
        <v>45</v>
      </c>
      <c r="F1246" s="220">
        <v>40</v>
      </c>
    </row>
    <row r="1247" spans="1:6">
      <c r="A1247" s="723"/>
      <c r="B1247" s="220">
        <v>24.1</v>
      </c>
      <c r="C1247" s="220">
        <v>36</v>
      </c>
      <c r="D1247" s="1147">
        <v>1302.2010248742749</v>
      </c>
      <c r="E1247" s="220">
        <v>45</v>
      </c>
      <c r="F1247" s="220">
        <v>40</v>
      </c>
    </row>
    <row r="1248" spans="1:6">
      <c r="A1248" s="723"/>
      <c r="B1248" s="220">
        <v>36.1</v>
      </c>
      <c r="C1248" s="220">
        <v>48</v>
      </c>
      <c r="D1248" s="1147">
        <v>2074.2913701060911</v>
      </c>
      <c r="E1248" s="220">
        <v>45</v>
      </c>
      <c r="F1248" s="220">
        <v>40</v>
      </c>
    </row>
    <row r="1249" spans="1:6">
      <c r="A1249" s="723"/>
      <c r="B1249" s="220">
        <v>48.1</v>
      </c>
      <c r="C1249" s="220" t="s">
        <v>5661</v>
      </c>
      <c r="D1249" s="1147" t="s">
        <v>5661</v>
      </c>
      <c r="E1249" s="220">
        <v>45</v>
      </c>
      <c r="F1249" s="220">
        <v>40</v>
      </c>
    </row>
    <row r="1252" spans="1:6">
      <c r="A1252" s="1128" t="s">
        <v>5983</v>
      </c>
      <c r="B1252" s="1128" t="s">
        <v>5997</v>
      </c>
      <c r="C1252" s="1128"/>
      <c r="D1252" s="1128"/>
      <c r="E1252" s="1128"/>
      <c r="F1252" s="1128"/>
    </row>
    <row r="1253" spans="1:6">
      <c r="A1253" s="1146">
        <v>23</v>
      </c>
      <c r="B1253" s="1127" t="s">
        <v>5805</v>
      </c>
      <c r="C1253" s="1127" t="s">
        <v>5806</v>
      </c>
      <c r="D1253" s="1127" t="s">
        <v>5660</v>
      </c>
      <c r="E1253" s="1127" t="s">
        <v>5653</v>
      </c>
      <c r="F1253" s="1127" t="s">
        <v>5654</v>
      </c>
    </row>
    <row r="1254" spans="1:6">
      <c r="A1254" s="723" t="s">
        <v>5998</v>
      </c>
      <c r="B1254" s="220">
        <v>0</v>
      </c>
      <c r="C1254" s="220">
        <v>1000</v>
      </c>
      <c r="D1254" s="1147">
        <v>10213.815000000001</v>
      </c>
      <c r="E1254" s="220">
        <v>35</v>
      </c>
      <c r="F1254" s="220">
        <v>30</v>
      </c>
    </row>
    <row r="1255" spans="1:6">
      <c r="A1255" s="723"/>
      <c r="B1255" s="220">
        <v>1001</v>
      </c>
      <c r="C1255" s="220">
        <v>10000</v>
      </c>
      <c r="D1255" s="1147">
        <v>27077.073040752352</v>
      </c>
      <c r="E1255" s="220">
        <v>35</v>
      </c>
      <c r="F1255" s="220">
        <v>30</v>
      </c>
    </row>
    <row r="1256" spans="1:6">
      <c r="A1256" s="723"/>
      <c r="B1256" s="220">
        <v>10001</v>
      </c>
      <c r="C1256" s="220">
        <v>14500</v>
      </c>
      <c r="D1256" s="1147">
        <v>59666.630094043889</v>
      </c>
      <c r="E1256" s="220">
        <v>35</v>
      </c>
      <c r="F1256" s="220">
        <v>30</v>
      </c>
    </row>
    <row r="1257" spans="1:6">
      <c r="A1257" s="723"/>
      <c r="B1257" s="220">
        <v>14501</v>
      </c>
      <c r="C1257" s="220">
        <v>20000</v>
      </c>
      <c r="D1257" s="1147">
        <v>32998.400849056605</v>
      </c>
      <c r="E1257" s="220">
        <v>35</v>
      </c>
      <c r="F1257" s="220">
        <v>30</v>
      </c>
    </row>
    <row r="1258" spans="1:6">
      <c r="A1258" s="723"/>
      <c r="B1258" s="220">
        <v>20001</v>
      </c>
      <c r="C1258" s="220">
        <v>35000</v>
      </c>
      <c r="D1258" s="1147">
        <v>47169.235135135132</v>
      </c>
      <c r="E1258" s="220">
        <v>35</v>
      </c>
      <c r="F1258" s="220">
        <v>30</v>
      </c>
    </row>
    <row r="1259" spans="1:6">
      <c r="A1259" s="723"/>
      <c r="B1259" s="220">
        <v>35001</v>
      </c>
      <c r="C1259" s="220">
        <v>44800</v>
      </c>
      <c r="D1259" s="1147">
        <v>78522.972972972973</v>
      </c>
      <c r="E1259" s="220">
        <v>35</v>
      </c>
      <c r="F1259" s="220">
        <v>30</v>
      </c>
    </row>
    <row r="1260" spans="1:6">
      <c r="A1260" s="723"/>
      <c r="B1260" s="220">
        <v>44801</v>
      </c>
      <c r="C1260" s="220">
        <v>50000</v>
      </c>
      <c r="D1260" s="1147">
        <v>63507.314594594587</v>
      </c>
      <c r="E1260" s="220">
        <v>35</v>
      </c>
      <c r="F1260" s="220">
        <v>30</v>
      </c>
    </row>
    <row r="1261" spans="1:6">
      <c r="A1261" s="723"/>
      <c r="B1261" s="220">
        <v>50001</v>
      </c>
      <c r="C1261" s="220">
        <v>134100</v>
      </c>
      <c r="D1261" s="1147">
        <v>120656.91891891892</v>
      </c>
      <c r="E1261" s="220">
        <v>35</v>
      </c>
      <c r="F1261" s="220">
        <v>30</v>
      </c>
    </row>
    <row r="1262" spans="1:6">
      <c r="A1262" s="723"/>
      <c r="B1262" s="220">
        <v>134101</v>
      </c>
      <c r="C1262" s="220">
        <v>289000</v>
      </c>
      <c r="D1262" s="1147">
        <v>178208.27027027027</v>
      </c>
      <c r="E1262" s="220">
        <v>35</v>
      </c>
      <c r="F1262" s="220">
        <v>30</v>
      </c>
    </row>
    <row r="1263" spans="1:6">
      <c r="A1263" s="723"/>
      <c r="B1263" s="220">
        <v>289001</v>
      </c>
      <c r="C1263" s="220" t="s">
        <v>5661</v>
      </c>
      <c r="D1263" s="1147" t="s">
        <v>5661</v>
      </c>
      <c r="E1263" s="220">
        <v>35</v>
      </c>
      <c r="F1263" s="220">
        <v>30</v>
      </c>
    </row>
    <row r="1266" spans="1:6">
      <c r="A1266" s="1128" t="s">
        <v>5999</v>
      </c>
      <c r="B1266" s="1128" t="s">
        <v>6000</v>
      </c>
      <c r="C1266" s="1128"/>
      <c r="D1266" s="1128"/>
      <c r="E1266" s="1128"/>
      <c r="F1266" s="1128"/>
    </row>
    <row r="1267" spans="1:6">
      <c r="A1267" s="1146">
        <v>25</v>
      </c>
      <c r="B1267" s="1127" t="s">
        <v>5763</v>
      </c>
      <c r="C1267" s="1127" t="s">
        <v>5764</v>
      </c>
      <c r="D1267" s="1133" t="s">
        <v>5781</v>
      </c>
      <c r="E1267" s="1127" t="s">
        <v>5653</v>
      </c>
      <c r="F1267" s="1127" t="s">
        <v>5654</v>
      </c>
    </row>
    <row r="1268" spans="1:6">
      <c r="A1268" s="723" t="s">
        <v>6001</v>
      </c>
      <c r="B1268" s="220">
        <v>0</v>
      </c>
      <c r="C1268" s="220">
        <v>0.5</v>
      </c>
      <c r="D1268" s="1147">
        <v>13.896100000000001</v>
      </c>
      <c r="E1268" s="220">
        <v>35</v>
      </c>
      <c r="F1268" s="220">
        <v>33</v>
      </c>
    </row>
    <row r="1269" spans="1:6">
      <c r="A1269" s="723"/>
      <c r="B1269" s="220">
        <v>0.6</v>
      </c>
      <c r="C1269" s="220">
        <v>1</v>
      </c>
      <c r="D1269" s="1147">
        <v>18.130499999999998</v>
      </c>
      <c r="E1269" s="220">
        <v>35</v>
      </c>
      <c r="F1269" s="220">
        <v>33</v>
      </c>
    </row>
    <row r="1270" spans="1:6">
      <c r="A1270" s="723"/>
      <c r="B1270" s="220">
        <v>1.1000000000000001</v>
      </c>
      <c r="C1270" s="220">
        <v>1.5</v>
      </c>
      <c r="D1270" s="1147">
        <v>23.482500000000002</v>
      </c>
      <c r="E1270" s="220">
        <v>35</v>
      </c>
      <c r="F1270" s="220">
        <v>33</v>
      </c>
    </row>
    <row r="1271" spans="1:6">
      <c r="A1271" s="723"/>
      <c r="B1271" s="220">
        <v>1.6</v>
      </c>
      <c r="C1271" s="220">
        <v>2</v>
      </c>
      <c r="D1271" s="1147">
        <v>31.328500000000002</v>
      </c>
      <c r="E1271" s="220">
        <v>35</v>
      </c>
      <c r="F1271" s="220">
        <v>33</v>
      </c>
    </row>
    <row r="1272" spans="1:6">
      <c r="A1272" s="723"/>
      <c r="B1272" s="220">
        <v>2.1</v>
      </c>
      <c r="C1272" s="220">
        <v>2.5</v>
      </c>
      <c r="D1272" s="1147">
        <v>43.287999999999997</v>
      </c>
      <c r="E1272" s="220">
        <v>35</v>
      </c>
      <c r="F1272" s="220">
        <v>33</v>
      </c>
    </row>
    <row r="1273" spans="1:6">
      <c r="A1273" s="723"/>
      <c r="B1273" s="220">
        <v>2.6</v>
      </c>
      <c r="C1273" s="220">
        <v>3</v>
      </c>
      <c r="D1273" s="1147">
        <v>49.111499999999999</v>
      </c>
      <c r="E1273" s="220">
        <v>35</v>
      </c>
      <c r="F1273" s="220">
        <v>33</v>
      </c>
    </row>
    <row r="1274" spans="1:6">
      <c r="A1274" s="723"/>
      <c r="B1274" s="220">
        <v>3.1</v>
      </c>
      <c r="C1274" s="220">
        <v>4</v>
      </c>
      <c r="D1274" s="1147">
        <v>64.635000000000005</v>
      </c>
      <c r="E1274" s="220">
        <v>35</v>
      </c>
      <c r="F1274" s="220">
        <v>33</v>
      </c>
    </row>
    <row r="1275" spans="1:6">
      <c r="A1275" s="723"/>
      <c r="B1275" s="220">
        <v>4.0999999999999996</v>
      </c>
      <c r="C1275" s="220">
        <v>6</v>
      </c>
      <c r="D1275" s="1147">
        <v>91.93</v>
      </c>
      <c r="E1275" s="220">
        <v>35</v>
      </c>
      <c r="F1275" s="220">
        <v>33</v>
      </c>
    </row>
    <row r="1276" spans="1:6">
      <c r="A1276" s="723"/>
      <c r="B1276" s="220">
        <v>6.1</v>
      </c>
      <c r="C1276" s="220">
        <v>8</v>
      </c>
      <c r="D1276" s="1147">
        <v>172.095</v>
      </c>
      <c r="E1276" s="220">
        <v>35</v>
      </c>
      <c r="F1276" s="220">
        <v>33</v>
      </c>
    </row>
    <row r="1277" spans="1:6">
      <c r="A1277" s="723"/>
      <c r="B1277" s="220">
        <v>8.1</v>
      </c>
      <c r="C1277" s="220">
        <v>10</v>
      </c>
      <c r="D1277" s="1147">
        <v>213.54999999999998</v>
      </c>
      <c r="E1277" s="220">
        <v>35</v>
      </c>
      <c r="F1277" s="220">
        <v>33</v>
      </c>
    </row>
    <row r="1278" spans="1:6">
      <c r="A1278" s="723"/>
      <c r="B1278" s="220">
        <v>10.1</v>
      </c>
      <c r="C1278" s="220">
        <v>12</v>
      </c>
      <c r="D1278" s="1147">
        <v>270.05</v>
      </c>
      <c r="E1278" s="220">
        <v>35</v>
      </c>
      <c r="F1278" s="220">
        <v>33</v>
      </c>
    </row>
    <row r="1279" spans="1:6">
      <c r="A1279" s="723"/>
      <c r="B1279" s="220">
        <v>12.1</v>
      </c>
      <c r="C1279" s="220">
        <v>14</v>
      </c>
      <c r="D1279" s="1147">
        <v>305.43</v>
      </c>
      <c r="E1279" s="220">
        <v>35</v>
      </c>
      <c r="F1279" s="220">
        <v>33</v>
      </c>
    </row>
    <row r="1280" spans="1:6">
      <c r="A1280" s="723"/>
      <c r="B1280" s="220">
        <v>14.1</v>
      </c>
      <c r="C1280" s="220">
        <v>16</v>
      </c>
      <c r="D1280" s="1147">
        <v>396.85</v>
      </c>
      <c r="E1280" s="220">
        <v>35</v>
      </c>
      <c r="F1280" s="220">
        <v>33</v>
      </c>
    </row>
    <row r="1281" spans="1:6">
      <c r="A1281" s="723"/>
      <c r="B1281" s="220">
        <v>16.100000000000001</v>
      </c>
      <c r="C1281" s="220">
        <v>18</v>
      </c>
      <c r="D1281" s="1147">
        <v>419.98</v>
      </c>
      <c r="E1281" s="220">
        <v>35</v>
      </c>
      <c r="F1281" s="220">
        <v>33</v>
      </c>
    </row>
    <row r="1282" spans="1:6">
      <c r="A1282" s="723"/>
      <c r="B1282" s="220">
        <v>18.100000000000001</v>
      </c>
      <c r="C1282" s="220">
        <v>20</v>
      </c>
      <c r="D1282" s="1147">
        <v>486.21000000000004</v>
      </c>
      <c r="E1282" s="220">
        <v>35</v>
      </c>
      <c r="F1282" s="220">
        <v>33</v>
      </c>
    </row>
    <row r="1283" spans="1:6">
      <c r="A1283" s="723"/>
      <c r="B1283" s="220">
        <v>20.100000000000001</v>
      </c>
      <c r="C1283" s="220">
        <v>24</v>
      </c>
      <c r="D1283" s="1147">
        <v>592.07000000000005</v>
      </c>
      <c r="E1283" s="220">
        <v>35</v>
      </c>
      <c r="F1283" s="220">
        <v>33</v>
      </c>
    </row>
    <row r="1284" spans="1:6">
      <c r="A1284" s="723"/>
      <c r="B1284" s="220">
        <v>24.1</v>
      </c>
      <c r="C1284" s="220">
        <v>36</v>
      </c>
      <c r="D1284" s="1147">
        <v>263.86210075918711</v>
      </c>
      <c r="E1284" s="220">
        <v>35</v>
      </c>
      <c r="F1284" s="220">
        <v>33</v>
      </c>
    </row>
    <row r="1285" spans="1:6">
      <c r="A1285" s="723"/>
      <c r="B1285" s="220">
        <v>36.1</v>
      </c>
      <c r="C1285" s="220">
        <v>48</v>
      </c>
      <c r="D1285" s="1147">
        <v>363.17883258666518</v>
      </c>
      <c r="E1285" s="220">
        <v>35</v>
      </c>
      <c r="F1285" s="220">
        <v>33</v>
      </c>
    </row>
    <row r="1286" spans="1:6">
      <c r="A1286" s="723"/>
      <c r="B1286" s="220">
        <v>48.1</v>
      </c>
      <c r="C1286" s="220" t="s">
        <v>5661</v>
      </c>
      <c r="D1286" s="1147" t="s">
        <v>5661</v>
      </c>
      <c r="E1286" s="220">
        <v>35</v>
      </c>
      <c r="F1286" s="220">
        <v>33</v>
      </c>
    </row>
    <row r="1289" spans="1:6">
      <c r="A1289" s="1128" t="s">
        <v>6002</v>
      </c>
      <c r="B1289" s="1128" t="s">
        <v>6003</v>
      </c>
      <c r="C1289" s="1128"/>
      <c r="D1289" s="1128"/>
      <c r="E1289" s="1128"/>
      <c r="F1289" s="1128"/>
    </row>
    <row r="1290" spans="1:6">
      <c r="A1290" s="1173">
        <v>4</v>
      </c>
      <c r="B1290" s="689" t="s">
        <v>2491</v>
      </c>
      <c r="C1290" s="689"/>
      <c r="D1290" s="689" t="s">
        <v>5668</v>
      </c>
      <c r="E1290" s="689" t="s">
        <v>5653</v>
      </c>
      <c r="F1290" s="689" t="s">
        <v>5654</v>
      </c>
    </row>
    <row r="1291" spans="1:6">
      <c r="A1291" s="1149" t="s">
        <v>6004</v>
      </c>
      <c r="B1291" s="689">
        <v>0</v>
      </c>
      <c r="C1291" s="689">
        <v>0</v>
      </c>
      <c r="D1291" s="1150">
        <v>1475</v>
      </c>
      <c r="E1291" s="689" t="s">
        <v>4504</v>
      </c>
      <c r="F1291" s="689" t="s">
        <v>4504</v>
      </c>
    </row>
    <row r="1294" spans="1:6">
      <c r="A1294" s="1128" t="s">
        <v>6005</v>
      </c>
      <c r="B1294" s="1128" t="s">
        <v>6006</v>
      </c>
      <c r="C1294" s="1128"/>
      <c r="D1294" s="1128"/>
      <c r="E1294" s="1128"/>
      <c r="F1294" s="1128"/>
    </row>
    <row r="1295" spans="1:6">
      <c r="A1295" s="1146">
        <v>40</v>
      </c>
      <c r="B1295" s="1127" t="s">
        <v>5920</v>
      </c>
      <c r="C1295" s="1127" t="s">
        <v>5921</v>
      </c>
      <c r="D1295" s="1133" t="s">
        <v>6007</v>
      </c>
      <c r="E1295" s="1127" t="s">
        <v>5653</v>
      </c>
      <c r="F1295" s="1127" t="s">
        <v>5654</v>
      </c>
    </row>
    <row r="1296" spans="1:6">
      <c r="A1296" s="723" t="s">
        <v>6008</v>
      </c>
      <c r="B1296" s="220">
        <v>0</v>
      </c>
      <c r="C1296" s="220">
        <v>30</v>
      </c>
      <c r="D1296" s="1148">
        <v>660</v>
      </c>
      <c r="E1296" s="220"/>
      <c r="F1296" s="220"/>
    </row>
    <row r="1297" spans="1:6">
      <c r="A1297" s="723"/>
      <c r="B1297" s="220">
        <v>31</v>
      </c>
      <c r="C1297" s="220">
        <v>50</v>
      </c>
      <c r="D1297" s="1148">
        <v>482</v>
      </c>
      <c r="E1297" s="220"/>
      <c r="F1297" s="220"/>
    </row>
    <row r="1298" spans="1:6">
      <c r="A1298" s="723"/>
      <c r="B1298" s="220">
        <v>51</v>
      </c>
      <c r="C1298" s="220">
        <v>60</v>
      </c>
      <c r="D1298" s="1148">
        <v>525</v>
      </c>
      <c r="E1298" s="220"/>
      <c r="F1298" s="220"/>
    </row>
    <row r="1299" spans="1:6">
      <c r="A1299" s="723"/>
      <c r="B1299" s="220">
        <v>61</v>
      </c>
      <c r="C1299" s="220">
        <v>75</v>
      </c>
      <c r="D1299" s="1148">
        <v>477.33333333333331</v>
      </c>
      <c r="E1299" s="220"/>
      <c r="F1299" s="220"/>
    </row>
    <row r="1300" spans="1:6">
      <c r="A1300" s="723"/>
      <c r="B1300" s="220">
        <v>76</v>
      </c>
      <c r="C1300" s="220">
        <v>100</v>
      </c>
      <c r="D1300" s="1148">
        <v>412</v>
      </c>
      <c r="E1300" s="220"/>
      <c r="F1300" s="220"/>
    </row>
    <row r="1301" spans="1:6">
      <c r="A1301" s="723"/>
      <c r="B1301" s="220">
        <v>101</v>
      </c>
      <c r="C1301" s="220">
        <v>125</v>
      </c>
      <c r="D1301" s="1148">
        <v>304</v>
      </c>
      <c r="E1301" s="220"/>
      <c r="F1301" s="220"/>
    </row>
    <row r="1302" spans="1:6">
      <c r="A1302" s="723"/>
      <c r="B1302" s="220">
        <v>126</v>
      </c>
      <c r="C1302" s="220">
        <v>150</v>
      </c>
      <c r="D1302" s="1148">
        <v>356.66666666666669</v>
      </c>
      <c r="E1302" s="220"/>
      <c r="F1302" s="220"/>
    </row>
    <row r="1303" spans="1:6">
      <c r="A1303" s="723"/>
      <c r="B1303" s="220">
        <v>151</v>
      </c>
      <c r="C1303" s="220">
        <v>175</v>
      </c>
      <c r="D1303" s="1148">
        <v>262.85714285714283</v>
      </c>
      <c r="E1303" s="220"/>
      <c r="F1303" s="220"/>
    </row>
    <row r="1304" spans="1:6">
      <c r="A1304" s="723"/>
      <c r="B1304" s="220">
        <v>176</v>
      </c>
      <c r="C1304" s="220">
        <v>200</v>
      </c>
      <c r="D1304" s="1148">
        <v>357.5</v>
      </c>
      <c r="E1304" s="220"/>
      <c r="F1304" s="220"/>
    </row>
    <row r="1305" spans="1:6">
      <c r="A1305" s="723"/>
      <c r="B1305" s="220">
        <v>201</v>
      </c>
      <c r="C1305" s="220">
        <v>250</v>
      </c>
      <c r="D1305" s="1148">
        <v>240</v>
      </c>
      <c r="E1305" s="220"/>
      <c r="F1305" s="220"/>
    </row>
    <row r="1306" spans="1:6">
      <c r="A1306" s="723"/>
      <c r="B1306" s="220">
        <v>251</v>
      </c>
      <c r="C1306" s="220">
        <v>275</v>
      </c>
      <c r="D1306" s="1148">
        <v>301.81818181818181</v>
      </c>
      <c r="E1306" s="220"/>
      <c r="F1306" s="220"/>
    </row>
    <row r="1307" spans="1:6">
      <c r="A1307" s="723"/>
      <c r="B1307" s="220">
        <v>276</v>
      </c>
      <c r="C1307" s="220">
        <v>300</v>
      </c>
      <c r="D1307" s="1148">
        <v>221.66666666666666</v>
      </c>
      <c r="E1307" s="220"/>
      <c r="F1307" s="220"/>
    </row>
    <row r="1308" spans="1:6">
      <c r="A1308" s="723"/>
      <c r="B1308" s="220">
        <v>301</v>
      </c>
      <c r="C1308" s="220">
        <v>350</v>
      </c>
      <c r="D1308" s="1148">
        <v>230</v>
      </c>
      <c r="E1308" s="220"/>
      <c r="F1308" s="220"/>
    </row>
    <row r="1309" spans="1:6">
      <c r="A1309" s="723"/>
      <c r="B1309" s="220">
        <v>351</v>
      </c>
      <c r="C1309" s="220">
        <v>400</v>
      </c>
      <c r="D1309" s="1148">
        <v>237.5</v>
      </c>
      <c r="E1309" s="220"/>
      <c r="F1309" s="220"/>
    </row>
    <row r="1310" spans="1:6">
      <c r="A1310" s="723"/>
      <c r="B1310" s="220">
        <v>401</v>
      </c>
      <c r="C1310" s="220">
        <v>500</v>
      </c>
      <c r="D1310" s="1148">
        <v>214</v>
      </c>
      <c r="E1310" s="220"/>
      <c r="F1310" s="220"/>
    </row>
    <row r="1311" spans="1:6">
      <c r="A1311" s="723"/>
      <c r="B1311" s="220">
        <v>501</v>
      </c>
      <c r="C1311" s="220">
        <v>600</v>
      </c>
      <c r="D1311" s="1148">
        <v>250</v>
      </c>
      <c r="E1311" s="220"/>
      <c r="F1311" s="220"/>
    </row>
    <row r="1312" spans="1:6">
      <c r="A1312" s="723"/>
      <c r="B1312" s="220">
        <v>601</v>
      </c>
      <c r="C1312" s="220">
        <v>650</v>
      </c>
      <c r="D1312" s="1148">
        <v>346.92307692307691</v>
      </c>
      <c r="E1312" s="220"/>
      <c r="F1312" s="220"/>
    </row>
    <row r="1313" spans="1:6">
      <c r="A1313" s="723"/>
      <c r="B1313" s="220">
        <v>651</v>
      </c>
      <c r="C1313" s="220">
        <v>750</v>
      </c>
      <c r="D1313" s="1148">
        <v>281.33333333333331</v>
      </c>
      <c r="E1313" s="220"/>
      <c r="F1313" s="220"/>
    </row>
    <row r="1314" spans="1:6">
      <c r="A1314" s="723"/>
      <c r="B1314" s="220">
        <v>751</v>
      </c>
      <c r="C1314" s="220">
        <v>800</v>
      </c>
      <c r="D1314" s="1148">
        <v>260</v>
      </c>
      <c r="E1314" s="220"/>
      <c r="F1314" s="220"/>
    </row>
    <row r="1315" spans="1:6">
      <c r="A1315" s="723"/>
      <c r="B1315" s="220">
        <v>801</v>
      </c>
      <c r="C1315" s="220">
        <v>900</v>
      </c>
      <c r="D1315" s="1148">
        <v>287.22222222222223</v>
      </c>
      <c r="E1315" s="220"/>
      <c r="F1315" s="220"/>
    </row>
    <row r="1316" spans="1:6">
      <c r="A1316" s="723"/>
      <c r="B1316" s="220">
        <v>901</v>
      </c>
      <c r="C1316" s="220">
        <v>1000</v>
      </c>
      <c r="D1316" s="1148">
        <v>243</v>
      </c>
      <c r="E1316" s="220"/>
      <c r="F1316" s="220"/>
    </row>
    <row r="1319" spans="1:6">
      <c r="A1319" s="1128" t="s">
        <v>5651</v>
      </c>
      <c r="B1319" s="1128" t="s">
        <v>6009</v>
      </c>
      <c r="C1319" s="1128"/>
      <c r="D1319" s="1128"/>
      <c r="E1319" s="1128"/>
      <c r="F1319" s="1128"/>
    </row>
    <row r="1320" spans="1:6">
      <c r="A1320" s="1146">
        <v>43</v>
      </c>
      <c r="B1320" s="1127"/>
      <c r="C1320" s="1127"/>
      <c r="D1320" s="1133" t="s">
        <v>5660</v>
      </c>
      <c r="E1320" s="1127" t="s">
        <v>5653</v>
      </c>
      <c r="F1320" s="1127" t="s">
        <v>5654</v>
      </c>
    </row>
    <row r="1321" spans="1:6">
      <c r="A1321" s="723" t="s">
        <v>6010</v>
      </c>
      <c r="B1321" s="220">
        <v>0</v>
      </c>
      <c r="C1321" s="220">
        <v>0</v>
      </c>
      <c r="D1321" s="1147">
        <v>1300.8978726158491</v>
      </c>
      <c r="E1321" s="220">
        <v>15</v>
      </c>
      <c r="F1321" s="220">
        <v>14</v>
      </c>
    </row>
    <row r="1324" spans="1:6">
      <c r="A1324" s="1128" t="s">
        <v>5651</v>
      </c>
      <c r="B1324" s="1128" t="s">
        <v>6011</v>
      </c>
      <c r="C1324" s="1128"/>
      <c r="D1324" s="1128"/>
      <c r="E1324" s="1128"/>
      <c r="F1324" s="1128"/>
    </row>
    <row r="1325" spans="1:6">
      <c r="A1325" s="1146">
        <v>43</v>
      </c>
      <c r="B1325" s="1127"/>
      <c r="C1325" s="1127"/>
      <c r="D1325" s="1133" t="s">
        <v>5660</v>
      </c>
      <c r="E1325" s="1127" t="s">
        <v>5653</v>
      </c>
      <c r="F1325" s="1127" t="s">
        <v>5654</v>
      </c>
    </row>
    <row r="1326" spans="1:6">
      <c r="A1326" s="723" t="s">
        <v>6012</v>
      </c>
      <c r="B1326" s="220">
        <v>0</v>
      </c>
      <c r="C1326" s="220">
        <v>0</v>
      </c>
      <c r="D1326" s="1147">
        <v>2280.4682700037665</v>
      </c>
      <c r="E1326" s="220">
        <v>15</v>
      </c>
      <c r="F1326" s="220">
        <v>14</v>
      </c>
    </row>
    <row r="1329" spans="1:6">
      <c r="A1329" s="1128" t="s">
        <v>5651</v>
      </c>
      <c r="B1329" s="1128" t="s">
        <v>6013</v>
      </c>
      <c r="C1329" s="1128"/>
      <c r="D1329" s="1128"/>
      <c r="E1329" s="1128"/>
      <c r="F1329" s="1128"/>
    </row>
    <row r="1330" spans="1:6">
      <c r="A1330" s="1146">
        <v>43</v>
      </c>
      <c r="B1330" s="1127"/>
      <c r="C1330" s="1127"/>
      <c r="D1330" s="1133" t="s">
        <v>5660</v>
      </c>
      <c r="E1330" s="1127" t="s">
        <v>5653</v>
      </c>
      <c r="F1330" s="1127" t="s">
        <v>5654</v>
      </c>
    </row>
    <row r="1331" spans="1:6">
      <c r="A1331" s="723" t="s">
        <v>6014</v>
      </c>
      <c r="B1331" s="220">
        <v>0</v>
      </c>
      <c r="C1331" s="220">
        <v>0</v>
      </c>
      <c r="D1331" s="1147">
        <v>794.75852923757691</v>
      </c>
      <c r="E1331" s="220">
        <v>15</v>
      </c>
      <c r="F1331" s="220">
        <v>14</v>
      </c>
    </row>
    <row r="1334" spans="1:6">
      <c r="A1334" s="1128" t="s">
        <v>5868</v>
      </c>
      <c r="B1334" s="1128" t="s">
        <v>6015</v>
      </c>
      <c r="C1334" s="1128"/>
      <c r="D1334" s="1128"/>
      <c r="E1334" s="1128"/>
      <c r="F1334" s="1128"/>
    </row>
    <row r="1335" spans="1:6">
      <c r="A1335" s="1146">
        <v>42</v>
      </c>
      <c r="B1335" s="1127"/>
      <c r="C1335" s="1127"/>
      <c r="D1335" s="1133" t="s">
        <v>5660</v>
      </c>
      <c r="E1335" s="1127" t="s">
        <v>5653</v>
      </c>
      <c r="F1335" s="1127" t="s">
        <v>5654</v>
      </c>
    </row>
    <row r="1336" spans="1:6">
      <c r="A1336" s="723" t="s">
        <v>6016</v>
      </c>
      <c r="B1336" s="220">
        <v>0</v>
      </c>
      <c r="C1336" s="220">
        <v>0</v>
      </c>
      <c r="D1336" s="1147">
        <v>877.495</v>
      </c>
      <c r="E1336" s="220">
        <v>10</v>
      </c>
      <c r="F1336" s="220">
        <v>8</v>
      </c>
    </row>
    <row r="1339" spans="1:6">
      <c r="A1339" s="1128" t="s">
        <v>5651</v>
      </c>
      <c r="B1339" s="1128" t="s">
        <v>6017</v>
      </c>
      <c r="C1339" s="1128"/>
      <c r="D1339" s="1128"/>
      <c r="E1339" s="1128"/>
      <c r="F1339" s="1128"/>
    </row>
    <row r="1340" spans="1:6">
      <c r="A1340" s="1146">
        <v>43</v>
      </c>
      <c r="B1340" s="1127" t="s">
        <v>5763</v>
      </c>
      <c r="C1340" s="1127" t="s">
        <v>5764</v>
      </c>
      <c r="D1340" s="1133" t="s">
        <v>5660</v>
      </c>
      <c r="E1340" s="1127" t="s">
        <v>5653</v>
      </c>
      <c r="F1340" s="1127" t="s">
        <v>5654</v>
      </c>
    </row>
    <row r="1341" spans="1:6">
      <c r="A1341" s="723" t="s">
        <v>6018</v>
      </c>
      <c r="B1341" s="220">
        <v>0</v>
      </c>
      <c r="C1341" s="220">
        <v>1</v>
      </c>
      <c r="D1341" s="1147">
        <v>2193.0706249999998</v>
      </c>
      <c r="E1341" s="220">
        <v>15</v>
      </c>
      <c r="F1341" s="220">
        <v>14</v>
      </c>
    </row>
    <row r="1342" spans="1:6">
      <c r="A1342" s="723"/>
      <c r="B1342" s="220">
        <v>1.1000000000000001</v>
      </c>
      <c r="C1342" s="220">
        <v>2</v>
      </c>
      <c r="D1342" s="1147">
        <v>2310.6700136986301</v>
      </c>
      <c r="E1342" s="220">
        <v>15</v>
      </c>
      <c r="F1342" s="220">
        <v>14</v>
      </c>
    </row>
    <row r="1343" spans="1:6">
      <c r="A1343" s="723"/>
      <c r="B1343" s="220">
        <v>2.1</v>
      </c>
      <c r="C1343" s="220">
        <v>3</v>
      </c>
      <c r="D1343" s="1147">
        <v>2401.0457718446605</v>
      </c>
      <c r="E1343" s="220">
        <v>15</v>
      </c>
      <c r="F1343" s="220">
        <v>14</v>
      </c>
    </row>
    <row r="1344" spans="1:6">
      <c r="A1344" s="723"/>
      <c r="B1344" s="220">
        <v>3.1</v>
      </c>
      <c r="C1344" s="220">
        <v>4</v>
      </c>
      <c r="D1344" s="1147">
        <v>2419.8302129032259</v>
      </c>
      <c r="E1344" s="220">
        <v>15</v>
      </c>
      <c r="F1344" s="220">
        <v>14</v>
      </c>
    </row>
    <row r="1345" spans="1:6">
      <c r="A1345" s="723"/>
      <c r="B1345" s="220">
        <v>4.0999999999999996</v>
      </c>
      <c r="C1345" s="220">
        <v>6</v>
      </c>
      <c r="D1345" s="1147">
        <v>3590.5771888888885</v>
      </c>
      <c r="E1345" s="220">
        <v>15</v>
      </c>
      <c r="F1345" s="220">
        <v>14</v>
      </c>
    </row>
    <row r="1346" spans="1:6">
      <c r="A1346" s="723"/>
      <c r="B1346" s="220">
        <v>6.1</v>
      </c>
      <c r="C1346" s="220">
        <v>8</v>
      </c>
      <c r="D1346" s="1147">
        <v>3965.3893275862065</v>
      </c>
      <c r="E1346" s="220">
        <v>15</v>
      </c>
      <c r="F1346" s="220">
        <v>14</v>
      </c>
    </row>
    <row r="1347" spans="1:6">
      <c r="A1347" s="723"/>
      <c r="B1347" s="220">
        <v>8.1</v>
      </c>
      <c r="C1347" s="220">
        <v>10</v>
      </c>
      <c r="D1347" s="1147">
        <v>4011.5260729927013</v>
      </c>
      <c r="E1347" s="220">
        <v>15</v>
      </c>
      <c r="F1347" s="220">
        <v>14</v>
      </c>
    </row>
    <row r="1348" spans="1:6">
      <c r="A1348" s="723"/>
      <c r="B1348" s="220">
        <v>10.1</v>
      </c>
      <c r="C1348" s="220">
        <v>12</v>
      </c>
      <c r="D1348" s="1147">
        <v>4677.219503649635</v>
      </c>
      <c r="E1348" s="220">
        <v>15</v>
      </c>
      <c r="F1348" s="220">
        <v>14</v>
      </c>
    </row>
    <row r="1349" spans="1:6">
      <c r="A1349" s="723"/>
      <c r="B1349" s="220">
        <v>12.1</v>
      </c>
      <c r="C1349" s="220">
        <v>14</v>
      </c>
      <c r="D1349" s="1147">
        <v>5013.5698686131391</v>
      </c>
      <c r="E1349" s="220">
        <v>15</v>
      </c>
      <c r="F1349" s="220">
        <v>14</v>
      </c>
    </row>
    <row r="1350" spans="1:6">
      <c r="A1350" s="723"/>
      <c r="B1350" s="220">
        <v>14.1</v>
      </c>
      <c r="C1350" s="220">
        <v>16</v>
      </c>
      <c r="D1350" s="1147">
        <v>5181.7450510948911</v>
      </c>
      <c r="E1350" s="220">
        <v>15</v>
      </c>
      <c r="F1350" s="220">
        <v>14</v>
      </c>
    </row>
    <row r="1351" spans="1:6">
      <c r="A1351" s="723"/>
      <c r="B1351" s="220">
        <v>16.100000000000001</v>
      </c>
      <c r="C1351" s="220">
        <v>18</v>
      </c>
      <c r="D1351" s="1147">
        <v>5924.5187737226279</v>
      </c>
      <c r="E1351" s="220">
        <v>15</v>
      </c>
      <c r="F1351" s="220">
        <v>14</v>
      </c>
    </row>
    <row r="1352" spans="1:6">
      <c r="A1352" s="723"/>
      <c r="B1352" s="220">
        <v>18.100000000000001</v>
      </c>
      <c r="C1352" s="220">
        <v>20</v>
      </c>
      <c r="D1352" s="1147">
        <v>6330.9421313868606</v>
      </c>
      <c r="E1352" s="220">
        <v>15</v>
      </c>
      <c r="F1352" s="220">
        <v>14</v>
      </c>
    </row>
    <row r="1353" spans="1:6">
      <c r="A1353" s="723"/>
      <c r="B1353" s="220">
        <v>20.100000000000001</v>
      </c>
      <c r="C1353" s="220">
        <v>24</v>
      </c>
      <c r="D1353" s="1147">
        <v>9988.7523503649645</v>
      </c>
      <c r="E1353" s="220">
        <v>15</v>
      </c>
      <c r="F1353" s="220">
        <v>14</v>
      </c>
    </row>
    <row r="1354" spans="1:6">
      <c r="A1354" s="723"/>
      <c r="B1354" s="220">
        <v>24.1</v>
      </c>
      <c r="C1354" s="220">
        <v>30</v>
      </c>
      <c r="D1354" s="1147">
        <v>11109.920233576642</v>
      </c>
      <c r="E1354" s="220">
        <v>15</v>
      </c>
      <c r="F1354" s="220">
        <v>14</v>
      </c>
    </row>
    <row r="1355" spans="1:6">
      <c r="A1355" s="723"/>
      <c r="B1355" s="220">
        <v>30.1</v>
      </c>
      <c r="C1355" s="220">
        <v>36</v>
      </c>
      <c r="D1355" s="1147">
        <v>12511.380087591242</v>
      </c>
      <c r="E1355" s="220">
        <v>15</v>
      </c>
      <c r="F1355" s="220">
        <v>14</v>
      </c>
    </row>
    <row r="1356" spans="1:6">
      <c r="A1356" s="723"/>
      <c r="B1356" s="220">
        <v>36.1</v>
      </c>
      <c r="C1356" s="220">
        <v>42</v>
      </c>
      <c r="D1356" s="1147">
        <v>13492.40198540146</v>
      </c>
      <c r="E1356" s="220">
        <v>15</v>
      </c>
      <c r="F1356" s="220">
        <v>14</v>
      </c>
    </row>
    <row r="1357" spans="1:6">
      <c r="A1357" s="723"/>
      <c r="B1357" s="220">
        <v>42.1</v>
      </c>
      <c r="C1357" s="220">
        <v>48</v>
      </c>
      <c r="D1357" s="1147">
        <v>15594.591766423357</v>
      </c>
      <c r="E1357" s="220">
        <v>15</v>
      </c>
      <c r="F1357" s="220">
        <v>14</v>
      </c>
    </row>
    <row r="1358" spans="1:6">
      <c r="A1358" s="723"/>
      <c r="B1358" s="220">
        <v>48.1</v>
      </c>
      <c r="C1358" s="220" t="s">
        <v>5661</v>
      </c>
      <c r="D1358" s="1147" t="s">
        <v>5661</v>
      </c>
      <c r="E1358" s="220">
        <v>15</v>
      </c>
      <c r="F1358" s="220">
        <v>14</v>
      </c>
    </row>
    <row r="1361" spans="1:6">
      <c r="A1361" s="1152" t="s">
        <v>5663</v>
      </c>
      <c r="B1361" s="1128" t="s">
        <v>6019</v>
      </c>
      <c r="C1361" s="1131"/>
      <c r="D1361" s="1153"/>
      <c r="E1361" s="1131"/>
      <c r="F1361" s="1131"/>
    </row>
    <row r="1362" spans="1:6">
      <c r="A1362" s="1146">
        <v>3</v>
      </c>
      <c r="B1362" s="1127" t="s">
        <v>6020</v>
      </c>
      <c r="C1362" s="1127" t="s">
        <v>6021</v>
      </c>
      <c r="D1362" s="1127" t="s">
        <v>5660</v>
      </c>
      <c r="E1362" s="1127" t="s">
        <v>5653</v>
      </c>
      <c r="F1362" s="1127" t="s">
        <v>5654</v>
      </c>
    </row>
    <row r="1363" spans="1:6">
      <c r="A1363" s="723" t="s">
        <v>6022</v>
      </c>
      <c r="B1363" s="220">
        <v>0</v>
      </c>
      <c r="C1363" s="220">
        <v>500</v>
      </c>
      <c r="D1363" s="1148">
        <v>181.38524604341987</v>
      </c>
      <c r="E1363" s="220">
        <v>40</v>
      </c>
      <c r="F1363" s="220">
        <v>37</v>
      </c>
    </row>
    <row r="1364" spans="1:6">
      <c r="A1364" s="723"/>
      <c r="B1364" s="220">
        <v>500.1</v>
      </c>
      <c r="C1364" s="220">
        <v>1000</v>
      </c>
      <c r="D1364" s="1148">
        <v>152.59181452329247</v>
      </c>
      <c r="E1364" s="220">
        <v>40</v>
      </c>
      <c r="F1364" s="220">
        <v>37</v>
      </c>
    </row>
    <row r="1365" spans="1:6">
      <c r="A1365" s="723"/>
      <c r="B1365" s="220">
        <v>1000.1</v>
      </c>
      <c r="C1365" s="220">
        <v>2000</v>
      </c>
      <c r="D1365" s="1148">
        <v>134.80205030118768</v>
      </c>
      <c r="E1365" s="220">
        <v>40</v>
      </c>
      <c r="F1365" s="220">
        <v>37</v>
      </c>
    </row>
    <row r="1366" spans="1:6">
      <c r="A1366" s="723"/>
      <c r="B1366" s="220">
        <v>2000.1</v>
      </c>
      <c r="C1366" s="220">
        <v>3000</v>
      </c>
      <c r="D1366" s="1148">
        <v>127.23811561623944</v>
      </c>
      <c r="E1366" s="220">
        <v>40</v>
      </c>
      <c r="F1366" s="220">
        <v>37</v>
      </c>
    </row>
    <row r="1367" spans="1:6">
      <c r="A1367" s="723"/>
      <c r="B1367" s="220">
        <v>3000.1</v>
      </c>
      <c r="C1367" s="220">
        <v>4000</v>
      </c>
      <c r="D1367" s="1148">
        <v>119.65198435204586</v>
      </c>
      <c r="E1367" s="220">
        <v>40</v>
      </c>
      <c r="F1367" s="220">
        <v>37</v>
      </c>
    </row>
    <row r="1368" spans="1:6">
      <c r="A1368" s="723"/>
      <c r="B1368" s="220">
        <v>4000.1</v>
      </c>
      <c r="C1368" s="220">
        <v>5000</v>
      </c>
      <c r="D1368" s="1148">
        <v>114.29481081705296</v>
      </c>
      <c r="E1368" s="220">
        <v>40</v>
      </c>
      <c r="F1368" s="220">
        <v>37</v>
      </c>
    </row>
    <row r="1369" spans="1:6">
      <c r="A1369" s="723"/>
      <c r="B1369" s="220">
        <v>5000.1000000000004</v>
      </c>
      <c r="C1369" s="220">
        <v>7500</v>
      </c>
      <c r="D1369" s="1148">
        <v>107.59283026135358</v>
      </c>
      <c r="E1369" s="220">
        <v>40</v>
      </c>
      <c r="F1369" s="220">
        <v>37</v>
      </c>
    </row>
    <row r="1370" spans="1:6">
      <c r="A1370" s="723"/>
      <c r="B1370" s="220">
        <v>7500.1</v>
      </c>
      <c r="C1370" s="220">
        <v>8000</v>
      </c>
      <c r="D1370" s="1148">
        <v>106.71475413024437</v>
      </c>
      <c r="E1370" s="220">
        <v>40</v>
      </c>
      <c r="F1370" s="220">
        <v>37</v>
      </c>
    </row>
    <row r="1371" spans="1:6">
      <c r="A1371" s="723"/>
      <c r="B1371" s="220">
        <v>8000.1</v>
      </c>
      <c r="C1371" s="220">
        <v>10000</v>
      </c>
      <c r="D1371" s="1148">
        <v>102.07668261986309</v>
      </c>
      <c r="E1371" s="220">
        <v>40</v>
      </c>
      <c r="F1371" s="220">
        <v>37</v>
      </c>
    </row>
    <row r="1372" spans="1:6">
      <c r="A1372" s="723"/>
      <c r="B1372" s="220">
        <v>10000.1</v>
      </c>
      <c r="C1372" s="220">
        <v>12000</v>
      </c>
      <c r="D1372" s="1148">
        <v>102.10697569089804</v>
      </c>
      <c r="E1372" s="220">
        <v>40</v>
      </c>
      <c r="F1372" s="220">
        <v>37</v>
      </c>
    </row>
    <row r="1373" spans="1:6">
      <c r="A1373" s="723"/>
      <c r="B1373" s="220">
        <v>12000.1</v>
      </c>
      <c r="C1373" s="220">
        <v>15000</v>
      </c>
      <c r="D1373" s="1148">
        <v>97.487260194733452</v>
      </c>
      <c r="E1373" s="220">
        <v>40</v>
      </c>
      <c r="F1373" s="220">
        <v>37</v>
      </c>
    </row>
    <row r="1374" spans="1:6">
      <c r="A1374" s="723"/>
      <c r="B1374" s="220">
        <v>15000.1</v>
      </c>
      <c r="C1374" s="220">
        <v>18000</v>
      </c>
      <c r="D1374" s="1148">
        <v>97.108122653342377</v>
      </c>
      <c r="E1374" s="220">
        <v>40</v>
      </c>
      <c r="F1374" s="220">
        <v>37</v>
      </c>
    </row>
    <row r="1375" spans="1:6">
      <c r="A1375" s="723"/>
      <c r="B1375" s="220">
        <v>18000.099999999999</v>
      </c>
      <c r="C1375" s="220">
        <v>20000</v>
      </c>
      <c r="D1375" s="1148">
        <v>93.246542829484653</v>
      </c>
      <c r="E1375" s="220">
        <v>40</v>
      </c>
      <c r="F1375" s="220">
        <v>37</v>
      </c>
    </row>
    <row r="1376" spans="1:6">
      <c r="A1376" s="723"/>
      <c r="B1376" s="220">
        <v>20000.099999999999</v>
      </c>
      <c r="C1376" s="220">
        <v>24000</v>
      </c>
      <c r="D1376" s="1148">
        <v>94.708080048348506</v>
      </c>
      <c r="E1376" s="220">
        <v>40</v>
      </c>
      <c r="F1376" s="220">
        <v>37</v>
      </c>
    </row>
    <row r="1377" spans="1:6">
      <c r="A1377" s="723"/>
      <c r="B1377" s="220">
        <v>24000.1</v>
      </c>
      <c r="C1377" s="220">
        <v>25000</v>
      </c>
      <c r="D1377" s="1148">
        <v>92.553828193295317</v>
      </c>
      <c r="E1377" s="220">
        <v>40</v>
      </c>
      <c r="F1377" s="220">
        <v>37</v>
      </c>
    </row>
    <row r="1378" spans="1:6">
      <c r="A1378" s="723"/>
      <c r="B1378" s="220">
        <v>25000.1</v>
      </c>
      <c r="C1378" s="220">
        <v>30000</v>
      </c>
      <c r="D1378" s="1148">
        <v>90.338307129170701</v>
      </c>
      <c r="E1378" s="220">
        <v>40</v>
      </c>
      <c r="F1378" s="220">
        <v>37</v>
      </c>
    </row>
    <row r="1379" spans="1:6">
      <c r="A1379" s="723"/>
      <c r="B1379" s="220">
        <v>30000.1</v>
      </c>
      <c r="C1379" s="220">
        <v>36000</v>
      </c>
      <c r="D1379" s="1148">
        <v>90.041447180993472</v>
      </c>
      <c r="E1379" s="220">
        <v>40</v>
      </c>
      <c r="F1379" s="220">
        <v>37</v>
      </c>
    </row>
    <row r="1380" spans="1:6">
      <c r="A1380" s="723"/>
      <c r="B1380" s="220">
        <v>36000.1</v>
      </c>
      <c r="C1380" s="220">
        <v>42000</v>
      </c>
      <c r="D1380" s="1148">
        <v>88.914423506689516</v>
      </c>
      <c r="E1380" s="220">
        <v>40</v>
      </c>
      <c r="F1380" s="220">
        <v>37</v>
      </c>
    </row>
    <row r="1381" spans="1:6">
      <c r="A1381" s="723"/>
      <c r="B1381" s="220">
        <v>42000.1</v>
      </c>
      <c r="C1381" s="220">
        <v>48000</v>
      </c>
      <c r="D1381" s="1148">
        <v>88.479467175528967</v>
      </c>
      <c r="E1381" s="220">
        <v>40</v>
      </c>
      <c r="F1381" s="220">
        <v>37</v>
      </c>
    </row>
    <row r="1382" spans="1:6">
      <c r="A1382" s="723"/>
      <c r="B1382" s="220">
        <v>48000.1</v>
      </c>
      <c r="C1382" s="220">
        <v>50000</v>
      </c>
      <c r="D1382" s="1148">
        <v>85.89116831075917</v>
      </c>
      <c r="E1382" s="220">
        <v>40</v>
      </c>
      <c r="F1382" s="220">
        <v>37</v>
      </c>
    </row>
    <row r="1383" spans="1:6">
      <c r="A1383" s="723"/>
      <c r="B1383" s="220">
        <v>50000.1</v>
      </c>
      <c r="C1383" s="220">
        <v>54000</v>
      </c>
      <c r="D1383" s="1148">
        <v>86.097491763353631</v>
      </c>
      <c r="E1383" s="220">
        <v>40</v>
      </c>
      <c r="F1383" s="220">
        <v>37</v>
      </c>
    </row>
    <row r="1384" spans="1:6">
      <c r="A1384" s="723"/>
      <c r="B1384" s="220">
        <v>54000.1</v>
      </c>
      <c r="C1384" s="220">
        <v>60000</v>
      </c>
      <c r="D1384" s="1148">
        <v>85.905352939687944</v>
      </c>
      <c r="E1384" s="220">
        <v>40</v>
      </c>
      <c r="F1384" s="220">
        <v>37</v>
      </c>
    </row>
    <row r="1385" spans="1:6">
      <c r="A1385" s="723"/>
      <c r="B1385" s="220">
        <v>60000.1</v>
      </c>
      <c r="C1385" s="220">
        <v>100000</v>
      </c>
      <c r="D1385" s="1148">
        <v>82.041080305591748</v>
      </c>
      <c r="E1385" s="220">
        <v>40</v>
      </c>
      <c r="F1385" s="220">
        <v>37</v>
      </c>
    </row>
    <row r="1386" spans="1:6">
      <c r="A1386" s="723"/>
      <c r="B1386" s="220">
        <v>100000.1</v>
      </c>
      <c r="C1386" s="220">
        <v>200000</v>
      </c>
      <c r="D1386" s="1148">
        <v>79.117503222271026</v>
      </c>
      <c r="E1386" s="220">
        <v>40</v>
      </c>
      <c r="F1386" s="220">
        <v>37</v>
      </c>
    </row>
    <row r="1387" spans="1:6">
      <c r="A1387" s="723"/>
      <c r="B1387" s="220">
        <v>200000.1</v>
      </c>
      <c r="C1387" s="220" t="s">
        <v>5661</v>
      </c>
      <c r="D1387" s="1147"/>
      <c r="E1387" s="220"/>
      <c r="F1387" s="220"/>
    </row>
    <row r="1390" spans="1:6">
      <c r="A1390" s="1152" t="s">
        <v>5663</v>
      </c>
      <c r="B1390" s="1128" t="s">
        <v>6023</v>
      </c>
      <c r="C1390" s="1131"/>
      <c r="D1390" s="1153"/>
      <c r="E1390" s="1131"/>
      <c r="F1390" s="1131"/>
    </row>
    <row r="1391" spans="1:6">
      <c r="A1391" s="1146">
        <v>3</v>
      </c>
      <c r="B1391" s="1127" t="s">
        <v>6020</v>
      </c>
      <c r="C1391" s="1127" t="s">
        <v>6021</v>
      </c>
      <c r="D1391" s="1127" t="s">
        <v>5660</v>
      </c>
      <c r="E1391" s="1127" t="s">
        <v>5653</v>
      </c>
      <c r="F1391" s="1127" t="s">
        <v>5654</v>
      </c>
    </row>
    <row r="1392" spans="1:6">
      <c r="A1392" s="723" t="s">
        <v>6024</v>
      </c>
      <c r="B1392" s="220">
        <v>0</v>
      </c>
      <c r="C1392" s="220">
        <v>500</v>
      </c>
      <c r="D1392" s="1148">
        <v>96.812325106916731</v>
      </c>
      <c r="E1392" s="220">
        <v>40</v>
      </c>
      <c r="F1392" s="220">
        <v>37</v>
      </c>
    </row>
    <row r="1393" spans="1:6">
      <c r="A1393" s="723"/>
      <c r="B1393" s="220">
        <v>500.1</v>
      </c>
      <c r="C1393" s="220">
        <v>1000</v>
      </c>
      <c r="D1393" s="1148">
        <v>85.695132889157776</v>
      </c>
      <c r="E1393" s="220">
        <v>40</v>
      </c>
      <c r="F1393" s="220">
        <v>37</v>
      </c>
    </row>
    <row r="1394" spans="1:6">
      <c r="A1394" s="723"/>
      <c r="B1394" s="220">
        <v>1000.1</v>
      </c>
      <c r="C1394" s="220">
        <v>2000</v>
      </c>
      <c r="D1394" s="1148">
        <v>79.902726370939661</v>
      </c>
      <c r="E1394" s="220">
        <v>40</v>
      </c>
      <c r="F1394" s="220">
        <v>37</v>
      </c>
    </row>
    <row r="1395" spans="1:6">
      <c r="A1395" s="723"/>
      <c r="B1395" s="220">
        <v>2000.1</v>
      </c>
      <c r="C1395" s="220">
        <v>3000</v>
      </c>
      <c r="D1395" s="1148">
        <v>77.562022463174657</v>
      </c>
      <c r="E1395" s="220">
        <v>40</v>
      </c>
      <c r="F1395" s="220">
        <v>37</v>
      </c>
    </row>
    <row r="1396" spans="1:6">
      <c r="A1396" s="723"/>
      <c r="B1396" s="220">
        <v>3000.1</v>
      </c>
      <c r="C1396" s="220">
        <v>4000</v>
      </c>
      <c r="D1396" s="1148">
        <v>73.888442053430978</v>
      </c>
      <c r="E1396" s="220">
        <v>40</v>
      </c>
      <c r="F1396" s="220">
        <v>37</v>
      </c>
    </row>
    <row r="1397" spans="1:6">
      <c r="A1397" s="723"/>
      <c r="B1397" s="220">
        <v>4000.1</v>
      </c>
      <c r="C1397" s="220">
        <v>5000</v>
      </c>
      <c r="D1397" s="1148">
        <v>71.210649833158655</v>
      </c>
      <c r="E1397" s="220">
        <v>40</v>
      </c>
      <c r="F1397" s="220">
        <v>37</v>
      </c>
    </row>
    <row r="1398" spans="1:6">
      <c r="A1398" s="723"/>
      <c r="B1398" s="220">
        <v>5000.1000000000004</v>
      </c>
      <c r="C1398" s="220">
        <v>7500</v>
      </c>
      <c r="D1398" s="1148">
        <v>68.754095256191349</v>
      </c>
      <c r="E1398" s="220">
        <v>40</v>
      </c>
      <c r="F1398" s="220">
        <v>37</v>
      </c>
    </row>
    <row r="1399" spans="1:6">
      <c r="A1399" s="723"/>
      <c r="B1399" s="220">
        <v>7500.1</v>
      </c>
      <c r="C1399" s="220">
        <v>8000</v>
      </c>
      <c r="D1399" s="1148">
        <v>68.342791320755438</v>
      </c>
      <c r="E1399" s="220">
        <v>40</v>
      </c>
      <c r="F1399" s="220">
        <v>37</v>
      </c>
    </row>
    <row r="1400" spans="1:6">
      <c r="A1400" s="723"/>
      <c r="B1400" s="220">
        <v>8000.1</v>
      </c>
      <c r="C1400" s="220">
        <v>10000</v>
      </c>
      <c r="D1400" s="1148">
        <v>65.677166848285296</v>
      </c>
      <c r="E1400" s="220">
        <v>40</v>
      </c>
      <c r="F1400" s="220">
        <v>37</v>
      </c>
    </row>
    <row r="1401" spans="1:6">
      <c r="A1401" s="723"/>
      <c r="B1401" s="220">
        <v>10000.1</v>
      </c>
      <c r="C1401" s="220">
        <v>12000</v>
      </c>
      <c r="D1401" s="1148">
        <v>66.225667162447152</v>
      </c>
      <c r="E1401" s="220">
        <v>40</v>
      </c>
      <c r="F1401" s="220">
        <v>37</v>
      </c>
    </row>
    <row r="1402" spans="1:6">
      <c r="A1402" s="723"/>
      <c r="B1402" s="220">
        <v>12000.1</v>
      </c>
      <c r="C1402" s="220">
        <v>15000</v>
      </c>
      <c r="D1402" s="1148">
        <v>63.962022393975595</v>
      </c>
      <c r="E1402" s="220">
        <v>40</v>
      </c>
      <c r="F1402" s="220">
        <v>37</v>
      </c>
    </row>
    <row r="1403" spans="1:6">
      <c r="A1403" s="723"/>
      <c r="B1403" s="220">
        <v>15000.1</v>
      </c>
      <c r="C1403" s="220">
        <v>18000</v>
      </c>
      <c r="D1403" s="1148">
        <v>63.774970360904831</v>
      </c>
      <c r="E1403" s="220">
        <v>40</v>
      </c>
      <c r="F1403" s="220">
        <v>37</v>
      </c>
    </row>
    <row r="1404" spans="1:6">
      <c r="A1404" s="723"/>
      <c r="B1404" s="220">
        <v>18000.099999999999</v>
      </c>
      <c r="C1404" s="220">
        <v>20000</v>
      </c>
      <c r="D1404" s="1148">
        <v>61.506399713827875</v>
      </c>
      <c r="E1404" s="220">
        <v>40</v>
      </c>
      <c r="F1404" s="220">
        <v>37</v>
      </c>
    </row>
    <row r="1405" spans="1:6">
      <c r="A1405" s="723"/>
      <c r="B1405" s="220">
        <v>20000.099999999999</v>
      </c>
      <c r="C1405" s="220">
        <v>24000</v>
      </c>
      <c r="D1405" s="1148">
        <v>62.533501422015092</v>
      </c>
      <c r="E1405" s="220">
        <v>40</v>
      </c>
      <c r="F1405" s="220">
        <v>37</v>
      </c>
    </row>
    <row r="1406" spans="1:6">
      <c r="A1406" s="723"/>
      <c r="B1406" s="220">
        <v>24000.1</v>
      </c>
      <c r="C1406" s="220">
        <v>25000</v>
      </c>
      <c r="D1406" s="1148">
        <v>61.704060174752492</v>
      </c>
      <c r="E1406" s="220">
        <v>40</v>
      </c>
      <c r="F1406" s="220">
        <v>37</v>
      </c>
    </row>
    <row r="1407" spans="1:6">
      <c r="A1407" s="723"/>
      <c r="B1407" s="220">
        <v>25000.1</v>
      </c>
      <c r="C1407" s="220">
        <v>30000</v>
      </c>
      <c r="D1407" s="1148">
        <v>60.168928848565692</v>
      </c>
      <c r="E1407" s="220">
        <v>40</v>
      </c>
      <c r="F1407" s="220">
        <v>37</v>
      </c>
    </row>
    <row r="1408" spans="1:6">
      <c r="A1408" s="723"/>
      <c r="B1408" s="220">
        <v>30000.1</v>
      </c>
      <c r="C1408" s="220">
        <v>36000</v>
      </c>
      <c r="D1408" s="1148">
        <v>60.263829094701443</v>
      </c>
      <c r="E1408" s="220">
        <v>40</v>
      </c>
      <c r="F1408" s="220">
        <v>37</v>
      </c>
    </row>
    <row r="1409" spans="1:6">
      <c r="A1409" s="723"/>
      <c r="B1409" s="220">
        <v>36000.1</v>
      </c>
      <c r="C1409" s="220">
        <v>42000</v>
      </c>
      <c r="D1409" s="1148">
        <v>59.739422513108003</v>
      </c>
      <c r="E1409" s="220">
        <v>40</v>
      </c>
      <c r="F1409" s="220">
        <v>37</v>
      </c>
    </row>
    <row r="1410" spans="1:6">
      <c r="A1410" s="723"/>
      <c r="B1410" s="220">
        <v>42000.1</v>
      </c>
      <c r="C1410" s="220">
        <v>48000</v>
      </c>
      <c r="D1410" s="1148">
        <v>59.54501465752233</v>
      </c>
      <c r="E1410" s="220">
        <v>40</v>
      </c>
      <c r="F1410" s="220">
        <v>37</v>
      </c>
    </row>
    <row r="1411" spans="1:6">
      <c r="A1411" s="723"/>
      <c r="B1411" s="220">
        <v>48000.1</v>
      </c>
      <c r="C1411" s="220">
        <v>50000</v>
      </c>
      <c r="D1411" s="1148">
        <v>58.026379657538449</v>
      </c>
      <c r="E1411" s="220">
        <v>40</v>
      </c>
      <c r="F1411" s="220">
        <v>37</v>
      </c>
    </row>
    <row r="1412" spans="1:6">
      <c r="A1412" s="723"/>
      <c r="B1412" s="220">
        <v>50000.1</v>
      </c>
      <c r="C1412" s="220">
        <v>54000</v>
      </c>
      <c r="D1412" s="1148">
        <v>58.038523930206111</v>
      </c>
      <c r="E1412" s="220">
        <v>40</v>
      </c>
      <c r="F1412" s="220">
        <v>37</v>
      </c>
    </row>
    <row r="1413" spans="1:6">
      <c r="A1413" s="723"/>
      <c r="B1413" s="220">
        <v>54000.1</v>
      </c>
      <c r="C1413" s="220">
        <v>60000</v>
      </c>
      <c r="D1413" s="1148">
        <v>58.21329937756736</v>
      </c>
      <c r="E1413" s="220">
        <v>40</v>
      </c>
      <c r="F1413" s="220">
        <v>37</v>
      </c>
    </row>
    <row r="1414" spans="1:6">
      <c r="A1414" s="723"/>
      <c r="B1414" s="220">
        <v>60000.1</v>
      </c>
      <c r="C1414" s="220">
        <v>100000</v>
      </c>
      <c r="D1414" s="1148">
        <v>56.179268642501221</v>
      </c>
      <c r="E1414" s="220">
        <v>40</v>
      </c>
      <c r="F1414" s="220">
        <v>37</v>
      </c>
    </row>
    <row r="1415" spans="1:6">
      <c r="A1415" s="723"/>
      <c r="B1415" s="220">
        <v>100000.1</v>
      </c>
      <c r="C1415" s="220">
        <v>200000</v>
      </c>
      <c r="D1415" s="1148">
        <v>54.640406783156237</v>
      </c>
      <c r="E1415" s="220">
        <v>40</v>
      </c>
      <c r="F1415" s="220">
        <v>37</v>
      </c>
    </row>
    <row r="1416" spans="1:6">
      <c r="A1416" s="723"/>
      <c r="B1416" s="220">
        <v>200000.1</v>
      </c>
      <c r="C1416" s="220" t="s">
        <v>5661</v>
      </c>
      <c r="D1416" s="1147"/>
      <c r="E1416" s="220"/>
      <c r="F1416" s="220"/>
    </row>
    <row r="1419" spans="1:6">
      <c r="A1419" s="1152" t="s">
        <v>5663</v>
      </c>
      <c r="B1419" s="1128" t="s">
        <v>6025</v>
      </c>
      <c r="C1419" s="1131"/>
      <c r="D1419" s="1153"/>
      <c r="E1419" s="1131"/>
      <c r="F1419" s="1131"/>
    </row>
    <row r="1420" spans="1:6">
      <c r="A1420" s="1146">
        <v>3</v>
      </c>
      <c r="B1420" s="1127" t="s">
        <v>6020</v>
      </c>
      <c r="C1420" s="1127" t="s">
        <v>6021</v>
      </c>
      <c r="D1420" s="1127" t="s">
        <v>5660</v>
      </c>
      <c r="E1420" s="1127" t="s">
        <v>5653</v>
      </c>
      <c r="F1420" s="1127" t="s">
        <v>5654</v>
      </c>
    </row>
    <row r="1421" spans="1:6">
      <c r="A1421" s="723" t="s">
        <v>6026</v>
      </c>
      <c r="B1421" s="220">
        <v>0</v>
      </c>
      <c r="C1421" s="220">
        <v>500</v>
      </c>
      <c r="D1421" s="1148">
        <v>116.34576395640443</v>
      </c>
      <c r="E1421" s="220">
        <v>40</v>
      </c>
      <c r="F1421" s="220">
        <v>37</v>
      </c>
    </row>
    <row r="1422" spans="1:6">
      <c r="A1422" s="723"/>
      <c r="B1422" s="220">
        <v>500.1</v>
      </c>
      <c r="C1422" s="220">
        <v>1000</v>
      </c>
      <c r="D1422" s="1148">
        <v>103.19344629810541</v>
      </c>
      <c r="E1422" s="220">
        <v>40</v>
      </c>
      <c r="F1422" s="220">
        <v>37</v>
      </c>
    </row>
    <row r="1423" spans="1:6">
      <c r="A1423" s="723"/>
      <c r="B1423" s="220">
        <v>1000.1</v>
      </c>
      <c r="C1423" s="220">
        <v>2000</v>
      </c>
      <c r="D1423" s="1148">
        <v>96.04871059453717</v>
      </c>
      <c r="E1423" s="220">
        <v>40</v>
      </c>
      <c r="F1423" s="220">
        <v>37</v>
      </c>
    </row>
    <row r="1424" spans="1:6">
      <c r="A1424" s="723"/>
      <c r="B1424" s="220">
        <v>2000.1</v>
      </c>
      <c r="C1424" s="220">
        <v>3000</v>
      </c>
      <c r="D1424" s="1148">
        <v>93.135677984524762</v>
      </c>
      <c r="E1424" s="220">
        <v>40</v>
      </c>
      <c r="F1424" s="220">
        <v>37</v>
      </c>
    </row>
    <row r="1425" spans="1:6">
      <c r="A1425" s="723"/>
      <c r="B1425" s="220">
        <v>3000.1</v>
      </c>
      <c r="C1425" s="220">
        <v>4000</v>
      </c>
      <c r="D1425" s="1148">
        <v>88.775181990128956</v>
      </c>
      <c r="E1425" s="220">
        <v>40</v>
      </c>
      <c r="F1425" s="220">
        <v>37</v>
      </c>
    </row>
    <row r="1426" spans="1:6">
      <c r="A1426" s="723"/>
      <c r="B1426" s="220">
        <v>4000.1</v>
      </c>
      <c r="C1426" s="220">
        <v>5000</v>
      </c>
      <c r="D1426" s="1148">
        <v>85.653754800953607</v>
      </c>
      <c r="E1426" s="220">
        <v>40</v>
      </c>
      <c r="F1426" s="220">
        <v>37</v>
      </c>
    </row>
    <row r="1427" spans="1:6">
      <c r="A1427" s="723"/>
      <c r="B1427" s="220">
        <v>5000.1000000000004</v>
      </c>
      <c r="C1427" s="220">
        <v>7500</v>
      </c>
      <c r="D1427" s="1148">
        <v>82.125208477775175</v>
      </c>
      <c r="E1427" s="220">
        <v>40</v>
      </c>
      <c r="F1427" s="220">
        <v>37</v>
      </c>
    </row>
    <row r="1428" spans="1:6">
      <c r="A1428" s="723"/>
      <c r="B1428" s="220">
        <v>7500.1</v>
      </c>
      <c r="C1428" s="220">
        <v>8000</v>
      </c>
      <c r="D1428" s="1148">
        <v>81.663115865254738</v>
      </c>
      <c r="E1428" s="220">
        <v>40</v>
      </c>
      <c r="F1428" s="220">
        <v>37</v>
      </c>
    </row>
    <row r="1429" spans="1:6">
      <c r="A1429" s="723"/>
      <c r="B1429" s="220">
        <v>8000.1</v>
      </c>
      <c r="C1429" s="220">
        <v>10000</v>
      </c>
      <c r="D1429" s="1148">
        <v>78.673266907766262</v>
      </c>
      <c r="E1429" s="220">
        <v>40</v>
      </c>
      <c r="F1429" s="220">
        <v>37</v>
      </c>
    </row>
    <row r="1430" spans="1:6">
      <c r="A1430" s="723"/>
      <c r="B1430" s="220">
        <v>10000.1</v>
      </c>
      <c r="C1430" s="220">
        <v>12000</v>
      </c>
      <c r="D1430" s="1148">
        <v>79.134249580788165</v>
      </c>
      <c r="E1430" s="220">
        <v>40</v>
      </c>
      <c r="F1430" s="220">
        <v>37</v>
      </c>
    </row>
    <row r="1431" spans="1:6">
      <c r="A1431" s="723"/>
      <c r="B1431" s="220">
        <v>12000.1</v>
      </c>
      <c r="C1431" s="220">
        <v>15000</v>
      </c>
      <c r="D1431" s="1148">
        <v>76.416119325190365</v>
      </c>
      <c r="E1431" s="220">
        <v>40</v>
      </c>
      <c r="F1431" s="220">
        <v>37</v>
      </c>
    </row>
    <row r="1432" spans="1:6">
      <c r="A1432" s="723"/>
      <c r="B1432" s="220">
        <v>15000.1</v>
      </c>
      <c r="C1432" s="220">
        <v>18000</v>
      </c>
      <c r="D1432" s="1148">
        <v>76.116806928585163</v>
      </c>
      <c r="E1432" s="220">
        <v>40</v>
      </c>
      <c r="F1432" s="220">
        <v>37</v>
      </c>
    </row>
    <row r="1433" spans="1:6">
      <c r="A1433" s="723"/>
      <c r="B1433" s="220">
        <v>18000.099999999999</v>
      </c>
      <c r="C1433" s="220">
        <v>20000</v>
      </c>
      <c r="D1433" s="1148">
        <v>73.601730882546249</v>
      </c>
      <c r="E1433" s="220">
        <v>40</v>
      </c>
      <c r="F1433" s="220">
        <v>37</v>
      </c>
    </row>
    <row r="1434" spans="1:6">
      <c r="A1434" s="723"/>
      <c r="B1434" s="220">
        <v>20000.099999999999</v>
      </c>
      <c r="C1434" s="220">
        <v>24000</v>
      </c>
      <c r="D1434" s="1148">
        <v>74.675352562661516</v>
      </c>
      <c r="E1434" s="220">
        <v>40</v>
      </c>
      <c r="F1434" s="220">
        <v>37</v>
      </c>
    </row>
    <row r="1435" spans="1:6">
      <c r="A1435" s="723"/>
      <c r="B1435" s="220">
        <v>24000.1</v>
      </c>
      <c r="C1435" s="220">
        <v>25000</v>
      </c>
      <c r="D1435" s="1148">
        <v>73.708182823794161</v>
      </c>
      <c r="E1435" s="220">
        <v>40</v>
      </c>
      <c r="F1435" s="220">
        <v>37</v>
      </c>
    </row>
    <row r="1436" spans="1:6">
      <c r="A1436" s="723"/>
      <c r="B1436" s="220">
        <v>25000.1</v>
      </c>
      <c r="C1436" s="220">
        <v>30000</v>
      </c>
      <c r="D1436" s="1148">
        <v>71.971198866715682</v>
      </c>
      <c r="E1436" s="220">
        <v>40</v>
      </c>
      <c r="F1436" s="220">
        <v>37</v>
      </c>
    </row>
    <row r="1437" spans="1:6">
      <c r="A1437" s="723"/>
      <c r="B1437" s="220">
        <v>30000.1</v>
      </c>
      <c r="C1437" s="220">
        <v>36000</v>
      </c>
      <c r="D1437" s="1148">
        <v>72.021397991373973</v>
      </c>
      <c r="E1437" s="220">
        <v>40</v>
      </c>
      <c r="F1437" s="220">
        <v>37</v>
      </c>
    </row>
    <row r="1438" spans="1:6">
      <c r="A1438" s="723"/>
      <c r="B1438" s="220">
        <v>36000.1</v>
      </c>
      <c r="C1438" s="220">
        <v>42000</v>
      </c>
      <c r="D1438" s="1148">
        <v>71.434644688721548</v>
      </c>
      <c r="E1438" s="220">
        <v>40</v>
      </c>
      <c r="F1438" s="220">
        <v>37</v>
      </c>
    </row>
    <row r="1439" spans="1:6">
      <c r="A1439" s="723"/>
      <c r="B1439" s="220">
        <v>42000.1</v>
      </c>
      <c r="C1439" s="220">
        <v>48000</v>
      </c>
      <c r="D1439" s="1148">
        <v>71.222326845008411</v>
      </c>
      <c r="E1439" s="220">
        <v>40</v>
      </c>
      <c r="F1439" s="220">
        <v>37</v>
      </c>
    </row>
    <row r="1440" spans="1:6">
      <c r="A1440" s="723"/>
      <c r="B1440" s="220">
        <v>48000.1</v>
      </c>
      <c r="C1440" s="220">
        <v>50000</v>
      </c>
      <c r="D1440" s="1148">
        <v>69.463600800159014</v>
      </c>
      <c r="E1440" s="220">
        <v>40</v>
      </c>
      <c r="F1440" s="220">
        <v>37</v>
      </c>
    </row>
    <row r="1441" spans="1:6">
      <c r="A1441" s="723"/>
      <c r="B1441" s="220">
        <v>50000.1</v>
      </c>
      <c r="C1441" s="220">
        <v>54000</v>
      </c>
      <c r="D1441" s="1148">
        <v>69.496533272752387</v>
      </c>
      <c r="E1441" s="220">
        <v>40</v>
      </c>
      <c r="F1441" s="220">
        <v>37</v>
      </c>
    </row>
    <row r="1442" spans="1:6">
      <c r="A1442" s="723"/>
      <c r="B1442" s="220">
        <v>54000.1</v>
      </c>
      <c r="C1442" s="220">
        <v>60000</v>
      </c>
      <c r="D1442" s="1148">
        <v>69.632777066852483</v>
      </c>
      <c r="E1442" s="220">
        <v>40</v>
      </c>
      <c r="F1442" s="220">
        <v>37</v>
      </c>
    </row>
    <row r="1443" spans="1:6">
      <c r="A1443" s="723"/>
      <c r="B1443" s="220">
        <v>60000.1</v>
      </c>
      <c r="C1443" s="220">
        <v>100000</v>
      </c>
      <c r="D1443" s="1148">
        <v>67.290512754671852</v>
      </c>
      <c r="E1443" s="220">
        <v>40</v>
      </c>
      <c r="F1443" s="220">
        <v>37</v>
      </c>
    </row>
    <row r="1444" spans="1:6">
      <c r="A1444" s="723"/>
      <c r="B1444" s="220">
        <v>100000.1</v>
      </c>
      <c r="C1444" s="220">
        <v>200000</v>
      </c>
      <c r="D1444" s="1148">
        <v>65.539760978220841</v>
      </c>
      <c r="E1444" s="220">
        <v>40</v>
      </c>
      <c r="F1444" s="220">
        <v>37</v>
      </c>
    </row>
    <row r="1445" spans="1:6">
      <c r="A1445" s="723"/>
      <c r="B1445" s="220">
        <v>200000.1</v>
      </c>
      <c r="C1445" s="220" t="s">
        <v>5661</v>
      </c>
      <c r="D1445" s="1147"/>
      <c r="E1445" s="220"/>
      <c r="F1445" s="220"/>
    </row>
    <row r="1448" spans="1:6">
      <c r="A1448" s="1152" t="s">
        <v>5663</v>
      </c>
      <c r="B1448" s="1128" t="s">
        <v>4947</v>
      </c>
      <c r="C1448" s="1131"/>
      <c r="D1448" s="1153"/>
      <c r="E1448" s="1131"/>
      <c r="F1448" s="1131"/>
    </row>
    <row r="1449" spans="1:6">
      <c r="A1449" s="1146">
        <v>3</v>
      </c>
      <c r="B1449" s="1127" t="s">
        <v>6020</v>
      </c>
      <c r="C1449" s="1127" t="s">
        <v>6021</v>
      </c>
      <c r="D1449" s="1127" t="s">
        <v>5660</v>
      </c>
      <c r="E1449" s="1127" t="s">
        <v>5653</v>
      </c>
      <c r="F1449" s="1127" t="s">
        <v>5654</v>
      </c>
    </row>
    <row r="1450" spans="1:6">
      <c r="A1450" s="723" t="s">
        <v>6027</v>
      </c>
      <c r="B1450" s="220">
        <v>0</v>
      </c>
      <c r="C1450" s="220">
        <v>500</v>
      </c>
      <c r="D1450" s="1148">
        <v>50.742289444355997</v>
      </c>
      <c r="E1450" s="220">
        <v>25</v>
      </c>
      <c r="F1450" s="220">
        <v>20</v>
      </c>
    </row>
    <row r="1451" spans="1:6">
      <c r="A1451" s="723"/>
      <c r="B1451" s="220">
        <v>500.1</v>
      </c>
      <c r="C1451" s="220" t="s">
        <v>5661</v>
      </c>
      <c r="D1451" s="1148" t="s">
        <v>5661</v>
      </c>
      <c r="E1451" s="220"/>
      <c r="F1451" s="220"/>
    </row>
    <row r="1454" spans="1:6">
      <c r="A1454" s="1152" t="s">
        <v>6028</v>
      </c>
      <c r="B1454" s="1128" t="s">
        <v>4897</v>
      </c>
      <c r="C1454" s="1131"/>
      <c r="D1454" s="1153"/>
      <c r="E1454" s="1131"/>
      <c r="F1454" s="1131"/>
    </row>
    <row r="1455" spans="1:6">
      <c r="A1455" s="1146">
        <v>34</v>
      </c>
      <c r="B1455" s="1127" t="s">
        <v>6029</v>
      </c>
      <c r="C1455" s="1127" t="s">
        <v>4806</v>
      </c>
      <c r="D1455" s="1127" t="s">
        <v>5660</v>
      </c>
      <c r="E1455" s="1127" t="s">
        <v>5653</v>
      </c>
      <c r="F1455" s="1127" t="s">
        <v>5654</v>
      </c>
    </row>
    <row r="1456" spans="1:6">
      <c r="A1456" s="723" t="s">
        <v>6030</v>
      </c>
      <c r="B1456" s="220">
        <v>0</v>
      </c>
      <c r="C1456" s="220">
        <v>3.33</v>
      </c>
      <c r="D1456" s="1148">
        <v>9610</v>
      </c>
      <c r="E1456" s="220">
        <v>25</v>
      </c>
      <c r="F1456" s="220">
        <v>20</v>
      </c>
    </row>
    <row r="1457" spans="1:6">
      <c r="A1457" s="220"/>
      <c r="B1457" s="220">
        <v>3.34</v>
      </c>
      <c r="C1457" s="220">
        <v>66.66</v>
      </c>
      <c r="D1457" s="1148">
        <v>262200</v>
      </c>
      <c r="E1457" s="220">
        <v>25</v>
      </c>
      <c r="F1457" s="220">
        <v>20</v>
      </c>
    </row>
    <row r="1458" spans="1:6">
      <c r="A1458" s="220"/>
      <c r="B1458" s="220">
        <v>66.67</v>
      </c>
      <c r="C1458" s="220">
        <v>113.32</v>
      </c>
      <c r="D1458" s="1148">
        <v>509000</v>
      </c>
      <c r="E1458" s="220">
        <v>25</v>
      </c>
      <c r="F1458" s="220">
        <v>20</v>
      </c>
    </row>
    <row r="1459" spans="1:6">
      <c r="A1459" s="220"/>
      <c r="B1459" s="220">
        <v>113.33</v>
      </c>
      <c r="C1459" s="220" t="s">
        <v>5661</v>
      </c>
      <c r="D1459" s="1148" t="s">
        <v>5661</v>
      </c>
      <c r="E1459" s="220">
        <v>25</v>
      </c>
      <c r="F1459" s="220">
        <v>20</v>
      </c>
    </row>
    <row r="1462" spans="1:6">
      <c r="A1462" s="1152" t="s">
        <v>5783</v>
      </c>
      <c r="B1462" s="1128" t="s">
        <v>6031</v>
      </c>
      <c r="C1462" s="1131"/>
      <c r="D1462" s="1153"/>
      <c r="E1462" s="1131"/>
      <c r="F1462" s="1131"/>
    </row>
    <row r="1463" spans="1:6">
      <c r="A1463" s="1146">
        <v>22</v>
      </c>
      <c r="B1463" s="1127" t="s">
        <v>6032</v>
      </c>
      <c r="C1463" s="1127" t="s">
        <v>4792</v>
      </c>
      <c r="D1463" s="1127" t="s">
        <v>5660</v>
      </c>
      <c r="E1463" s="1127" t="s">
        <v>5653</v>
      </c>
      <c r="F1463" s="1127" t="s">
        <v>5654</v>
      </c>
    </row>
    <row r="1464" spans="1:6">
      <c r="A1464" s="723" t="s">
        <v>6033</v>
      </c>
      <c r="B1464" s="220">
        <v>0</v>
      </c>
      <c r="C1464" s="220">
        <v>41</v>
      </c>
      <c r="D1464" s="1148">
        <v>20050</v>
      </c>
      <c r="E1464" s="220">
        <v>25</v>
      </c>
      <c r="F1464" s="220">
        <v>20</v>
      </c>
    </row>
    <row r="1465" spans="1:6">
      <c r="A1465" s="220"/>
      <c r="B1465" s="220">
        <v>41.1</v>
      </c>
      <c r="C1465" s="220">
        <v>103</v>
      </c>
      <c r="D1465" s="1148">
        <v>53000</v>
      </c>
      <c r="E1465" s="220">
        <v>25</v>
      </c>
      <c r="F1465" s="220">
        <v>20</v>
      </c>
    </row>
    <row r="1466" spans="1:6">
      <c r="A1466" s="220"/>
      <c r="B1466" s="220">
        <v>103.1</v>
      </c>
      <c r="C1466" s="220">
        <v>461</v>
      </c>
      <c r="D1466" s="1148">
        <v>80828.800000000003</v>
      </c>
      <c r="E1466" s="220">
        <v>25</v>
      </c>
      <c r="F1466" s="220">
        <v>20</v>
      </c>
    </row>
    <row r="1467" spans="1:6">
      <c r="A1467" s="220"/>
      <c r="B1467" s="220">
        <v>461.1</v>
      </c>
      <c r="C1467" s="220">
        <v>820</v>
      </c>
      <c r="D1467" s="1148">
        <v>186250</v>
      </c>
      <c r="E1467" s="220">
        <v>25</v>
      </c>
      <c r="F1467" s="220">
        <v>20</v>
      </c>
    </row>
    <row r="1468" spans="1:6">
      <c r="A1468" s="220"/>
      <c r="B1468" s="220">
        <v>820.1</v>
      </c>
      <c r="C1468" s="220">
        <v>1010</v>
      </c>
      <c r="D1468" s="1148">
        <v>240870</v>
      </c>
      <c r="E1468" s="220">
        <v>25</v>
      </c>
      <c r="F1468" s="220">
        <v>20</v>
      </c>
    </row>
    <row r="1469" spans="1:6">
      <c r="A1469" s="220"/>
      <c r="B1469" s="220">
        <v>1010.1</v>
      </c>
      <c r="C1469" s="220">
        <v>1432</v>
      </c>
      <c r="D1469" s="1148">
        <v>335385</v>
      </c>
      <c r="E1469" s="220">
        <v>25</v>
      </c>
      <c r="F1469" s="220">
        <v>20</v>
      </c>
    </row>
    <row r="1470" spans="1:6">
      <c r="A1470" s="220"/>
      <c r="B1470" s="220">
        <v>1432.1</v>
      </c>
      <c r="C1470" s="220">
        <v>2273</v>
      </c>
      <c r="D1470" s="1148">
        <v>422280</v>
      </c>
      <c r="E1470" s="220">
        <v>25</v>
      </c>
      <c r="F1470" s="220">
        <v>20</v>
      </c>
    </row>
    <row r="1471" spans="1:6">
      <c r="A1471" s="220"/>
      <c r="B1471" s="220">
        <v>2273.1</v>
      </c>
      <c r="C1471" s="220">
        <v>3071</v>
      </c>
      <c r="D1471" s="1148">
        <v>602965</v>
      </c>
      <c r="E1471" s="220">
        <v>25</v>
      </c>
      <c r="F1471" s="220">
        <v>20</v>
      </c>
    </row>
    <row r="1472" spans="1:6">
      <c r="A1472" s="220"/>
      <c r="B1472" s="220">
        <v>3071.1</v>
      </c>
      <c r="C1472" s="220">
        <v>6148</v>
      </c>
      <c r="D1472" s="1148">
        <v>1026523</v>
      </c>
      <c r="E1472" s="220">
        <v>25</v>
      </c>
      <c r="F1472" s="220">
        <v>20</v>
      </c>
    </row>
    <row r="1473" spans="1:6">
      <c r="A1473" s="220"/>
      <c r="B1473" s="220">
        <v>6148.1</v>
      </c>
      <c r="C1473" s="220" t="s">
        <v>5661</v>
      </c>
      <c r="D1473" s="1148" t="s">
        <v>5661</v>
      </c>
      <c r="E1473" s="220">
        <v>25</v>
      </c>
      <c r="F1473" s="220">
        <v>20</v>
      </c>
    </row>
    <row r="1476" spans="1:6">
      <c r="A1476" s="1152" t="s">
        <v>5783</v>
      </c>
      <c r="B1476" s="1128" t="s">
        <v>3635</v>
      </c>
      <c r="C1476" s="1131"/>
      <c r="D1476" s="1153"/>
      <c r="E1476" s="1131"/>
      <c r="F1476" s="1131"/>
    </row>
    <row r="1477" spans="1:6">
      <c r="A1477" s="1146">
        <v>22</v>
      </c>
      <c r="B1477" s="1127" t="s">
        <v>6032</v>
      </c>
      <c r="C1477" s="1127" t="s">
        <v>4792</v>
      </c>
      <c r="D1477" s="1127" t="s">
        <v>5660</v>
      </c>
      <c r="E1477" s="1127" t="s">
        <v>5653</v>
      </c>
      <c r="F1477" s="1127" t="s">
        <v>5654</v>
      </c>
    </row>
    <row r="1478" spans="1:6">
      <c r="A1478" s="723" t="s">
        <v>6034</v>
      </c>
      <c r="B1478" s="220">
        <v>0</v>
      </c>
      <c r="C1478" s="220">
        <v>80</v>
      </c>
      <c r="D1478" s="1148">
        <v>28108.899999999998</v>
      </c>
      <c r="E1478" s="220">
        <v>25</v>
      </c>
      <c r="F1478" s="220">
        <v>20</v>
      </c>
    </row>
    <row r="1479" spans="1:6">
      <c r="A1479" s="220"/>
      <c r="B1479" s="220">
        <v>80.099999999999994</v>
      </c>
      <c r="C1479" s="220">
        <v>163</v>
      </c>
      <c r="D1479" s="1148">
        <v>36915</v>
      </c>
      <c r="E1479" s="220">
        <v>25</v>
      </c>
      <c r="F1479" s="220">
        <v>20</v>
      </c>
    </row>
    <row r="1480" spans="1:6">
      <c r="A1480" s="220"/>
      <c r="B1480" s="220">
        <v>163.1</v>
      </c>
      <c r="C1480" s="220">
        <v>544</v>
      </c>
      <c r="D1480" s="1148">
        <v>88087.5</v>
      </c>
      <c r="E1480" s="220">
        <v>25</v>
      </c>
      <c r="F1480" s="220">
        <v>20</v>
      </c>
    </row>
    <row r="1481" spans="1:6">
      <c r="A1481" s="220"/>
      <c r="B1481" s="220">
        <v>544.1</v>
      </c>
      <c r="C1481" s="220">
        <v>1088</v>
      </c>
      <c r="D1481" s="1148">
        <v>159500</v>
      </c>
      <c r="E1481" s="220">
        <v>25</v>
      </c>
      <c r="F1481" s="220">
        <v>20</v>
      </c>
    </row>
    <row r="1482" spans="1:6">
      <c r="A1482" s="220"/>
      <c r="B1482" s="220">
        <v>1088.0999999999999</v>
      </c>
      <c r="C1482" s="220">
        <v>3264</v>
      </c>
      <c r="D1482" s="1148">
        <v>370185</v>
      </c>
      <c r="E1482" s="220">
        <v>25</v>
      </c>
      <c r="F1482" s="220">
        <v>20</v>
      </c>
    </row>
    <row r="1483" spans="1:6">
      <c r="A1483" s="220"/>
      <c r="B1483" s="220">
        <v>3264.1</v>
      </c>
      <c r="C1483" s="220">
        <v>5032</v>
      </c>
      <c r="D1483" s="1148">
        <v>612623</v>
      </c>
      <c r="E1483" s="220">
        <v>25</v>
      </c>
      <c r="F1483" s="220">
        <v>20</v>
      </c>
    </row>
    <row r="1484" spans="1:6">
      <c r="A1484" s="220"/>
      <c r="B1484" s="220">
        <v>5032.1000000000004</v>
      </c>
      <c r="C1484" s="220" t="s">
        <v>5661</v>
      </c>
      <c r="D1484" s="1148" t="s">
        <v>5661</v>
      </c>
      <c r="E1484" s="220">
        <v>25</v>
      </c>
      <c r="F1484" s="220">
        <v>20</v>
      </c>
    </row>
    <row r="1487" spans="1:6">
      <c r="A1487" s="1152" t="s">
        <v>5783</v>
      </c>
      <c r="B1487" s="1128" t="s">
        <v>3696</v>
      </c>
      <c r="C1487" s="1131"/>
      <c r="D1487" s="1153"/>
      <c r="E1487" s="1131"/>
      <c r="F1487" s="1131"/>
    </row>
    <row r="1488" spans="1:6">
      <c r="A1488" s="1146">
        <v>22</v>
      </c>
      <c r="B1488" s="1127" t="s">
        <v>6032</v>
      </c>
      <c r="C1488" s="1127" t="s">
        <v>4792</v>
      </c>
      <c r="D1488" s="1127" t="s">
        <v>5660</v>
      </c>
      <c r="E1488" s="1127" t="s">
        <v>5653</v>
      </c>
      <c r="F1488" s="1127" t="s">
        <v>5654</v>
      </c>
    </row>
    <row r="1489" spans="1:6">
      <c r="A1489" s="723" t="s">
        <v>6035</v>
      </c>
      <c r="B1489" s="220">
        <v>0</v>
      </c>
      <c r="C1489" s="220">
        <v>80</v>
      </c>
      <c r="D1489" s="1148">
        <v>28108.899999999998</v>
      </c>
      <c r="E1489" s="220">
        <v>25</v>
      </c>
      <c r="F1489" s="220">
        <v>20</v>
      </c>
    </row>
    <row r="1490" spans="1:6">
      <c r="A1490" s="220"/>
      <c r="B1490" s="220">
        <v>80.099999999999994</v>
      </c>
      <c r="C1490" s="220">
        <v>163</v>
      </c>
      <c r="D1490" s="1148">
        <v>36915</v>
      </c>
      <c r="E1490" s="220">
        <v>25</v>
      </c>
      <c r="F1490" s="220">
        <v>20</v>
      </c>
    </row>
    <row r="1491" spans="1:6">
      <c r="A1491" s="220"/>
      <c r="B1491" s="220">
        <v>163.1</v>
      </c>
      <c r="C1491" s="220">
        <v>544</v>
      </c>
      <c r="D1491" s="1148">
        <v>88087.5</v>
      </c>
      <c r="E1491" s="220">
        <v>25</v>
      </c>
      <c r="F1491" s="220">
        <v>20</v>
      </c>
    </row>
    <row r="1492" spans="1:6">
      <c r="A1492" s="220"/>
      <c r="B1492" s="220">
        <v>544.1</v>
      </c>
      <c r="C1492" s="220">
        <v>1088</v>
      </c>
      <c r="D1492" s="1148">
        <v>159500</v>
      </c>
      <c r="E1492" s="220">
        <v>25</v>
      </c>
      <c r="F1492" s="220">
        <v>20</v>
      </c>
    </row>
    <row r="1493" spans="1:6">
      <c r="A1493" s="220"/>
      <c r="B1493" s="220">
        <v>1088.0999999999999</v>
      </c>
      <c r="C1493" s="220">
        <v>3264</v>
      </c>
      <c r="D1493" s="1148">
        <v>370185</v>
      </c>
      <c r="E1493" s="220">
        <v>25</v>
      </c>
      <c r="F1493" s="220">
        <v>20</v>
      </c>
    </row>
    <row r="1494" spans="1:6">
      <c r="A1494" s="220"/>
      <c r="B1494" s="220">
        <v>3264.1</v>
      </c>
      <c r="C1494" s="220">
        <v>5032</v>
      </c>
      <c r="D1494" s="1148">
        <v>612623</v>
      </c>
      <c r="E1494" s="220">
        <v>25</v>
      </c>
      <c r="F1494" s="220">
        <v>20</v>
      </c>
    </row>
    <row r="1495" spans="1:6">
      <c r="A1495" s="220"/>
      <c r="B1495" s="220">
        <v>5032.1000000000004</v>
      </c>
      <c r="C1495" s="220" t="s">
        <v>5661</v>
      </c>
      <c r="D1495" s="1148" t="s">
        <v>5661</v>
      </c>
      <c r="E1495" s="220">
        <v>25</v>
      </c>
      <c r="F1495" s="220">
        <v>20</v>
      </c>
    </row>
    <row r="1498" spans="1:6">
      <c r="A1498" s="1152" t="s">
        <v>6028</v>
      </c>
      <c r="B1498" s="1128" t="s">
        <v>3694</v>
      </c>
      <c r="C1498" s="1131"/>
      <c r="D1498" s="1153"/>
      <c r="E1498" s="1131"/>
      <c r="F1498" s="1131"/>
    </row>
    <row r="1499" spans="1:6">
      <c r="A1499" s="1146">
        <v>34</v>
      </c>
      <c r="B1499" s="1127" t="s">
        <v>6029</v>
      </c>
      <c r="C1499" s="1127" t="s">
        <v>4806</v>
      </c>
      <c r="D1499" s="1127" t="s">
        <v>5660</v>
      </c>
      <c r="E1499" s="1127" t="s">
        <v>5653</v>
      </c>
      <c r="F1499" s="1127" t="s">
        <v>5654</v>
      </c>
    </row>
    <row r="1500" spans="1:6">
      <c r="A1500" s="723" t="s">
        <v>6037</v>
      </c>
      <c r="B1500" s="633">
        <v>0</v>
      </c>
      <c r="C1500" s="220">
        <v>0.5</v>
      </c>
      <c r="D1500" s="1147">
        <v>3300</v>
      </c>
      <c r="E1500" s="220">
        <v>25</v>
      </c>
      <c r="F1500" s="220">
        <v>20</v>
      </c>
    </row>
    <row r="1501" spans="1:6">
      <c r="A1501" s="723"/>
      <c r="B1501" s="633">
        <v>0.51</v>
      </c>
      <c r="C1501" s="220">
        <v>0.75</v>
      </c>
      <c r="D1501" s="1147">
        <v>3500</v>
      </c>
      <c r="E1501" s="220">
        <v>25</v>
      </c>
      <c r="F1501" s="220">
        <v>20</v>
      </c>
    </row>
    <row r="1502" spans="1:6">
      <c r="A1502" s="723"/>
      <c r="B1502" s="633">
        <v>0.76</v>
      </c>
      <c r="C1502" s="220">
        <v>1</v>
      </c>
      <c r="D1502" s="1147">
        <v>3862.5</v>
      </c>
      <c r="E1502" s="220">
        <v>25</v>
      </c>
      <c r="F1502" s="220">
        <v>20</v>
      </c>
    </row>
    <row r="1503" spans="1:6">
      <c r="A1503" s="723"/>
      <c r="B1503" s="633">
        <v>1.01</v>
      </c>
      <c r="C1503" s="220">
        <v>1.5</v>
      </c>
      <c r="D1503" s="1147">
        <v>3862.5</v>
      </c>
      <c r="E1503" s="220">
        <v>25</v>
      </c>
      <c r="F1503" s="220">
        <v>20</v>
      </c>
    </row>
    <row r="1504" spans="1:6">
      <c r="A1504" s="723"/>
      <c r="B1504" s="633">
        <v>1.51</v>
      </c>
      <c r="C1504" s="220">
        <v>2</v>
      </c>
      <c r="D1504" s="1147">
        <v>4150</v>
      </c>
      <c r="E1504" s="220">
        <v>25</v>
      </c>
      <c r="F1504" s="220">
        <v>20</v>
      </c>
    </row>
    <row r="1505" spans="1:6">
      <c r="A1505" s="723"/>
      <c r="B1505" s="633">
        <v>2.0099999999999998</v>
      </c>
      <c r="C1505" s="220">
        <v>2.5</v>
      </c>
      <c r="D1505" s="1147">
        <v>5550</v>
      </c>
      <c r="E1505" s="220">
        <v>25</v>
      </c>
      <c r="F1505" s="220">
        <v>20</v>
      </c>
    </row>
    <row r="1506" spans="1:6">
      <c r="A1506" s="723"/>
      <c r="B1506" s="633">
        <v>2.5099999999999998</v>
      </c>
      <c r="C1506" s="220">
        <v>3</v>
      </c>
      <c r="D1506" s="1147">
        <v>6300</v>
      </c>
      <c r="E1506" s="220">
        <v>25</v>
      </c>
      <c r="F1506" s="220">
        <v>20</v>
      </c>
    </row>
    <row r="1507" spans="1:6">
      <c r="A1507" s="723"/>
      <c r="B1507" s="633">
        <v>3.01</v>
      </c>
      <c r="C1507" s="220">
        <v>3.5</v>
      </c>
      <c r="D1507" s="1147">
        <v>5250</v>
      </c>
      <c r="E1507" s="220">
        <v>25</v>
      </c>
      <c r="F1507" s="220">
        <v>20</v>
      </c>
    </row>
    <row r="1508" spans="1:6">
      <c r="A1508" s="723"/>
      <c r="B1508" s="633">
        <v>3.51</v>
      </c>
      <c r="C1508" s="220">
        <v>4</v>
      </c>
      <c r="D1508" s="1147">
        <v>5750</v>
      </c>
      <c r="E1508" s="220">
        <v>25</v>
      </c>
      <c r="F1508" s="220">
        <v>20</v>
      </c>
    </row>
    <row r="1509" spans="1:6">
      <c r="A1509" s="723"/>
      <c r="B1509" s="633">
        <v>4.01</v>
      </c>
      <c r="C1509" s="220">
        <v>5</v>
      </c>
      <c r="D1509" s="1147">
        <v>6762.5</v>
      </c>
      <c r="E1509" s="220">
        <v>25</v>
      </c>
      <c r="F1509" s="220">
        <v>20</v>
      </c>
    </row>
    <row r="1510" spans="1:6">
      <c r="A1510" s="723"/>
      <c r="B1510" s="633">
        <v>5.01</v>
      </c>
      <c r="C1510" s="220">
        <v>7.5</v>
      </c>
      <c r="D1510" s="1147">
        <v>11350</v>
      </c>
      <c r="E1510" s="220">
        <v>25</v>
      </c>
      <c r="F1510" s="220">
        <v>20</v>
      </c>
    </row>
    <row r="1511" spans="1:6">
      <c r="A1511" s="723"/>
      <c r="B1511" s="633">
        <v>7.51</v>
      </c>
      <c r="C1511" s="220">
        <v>10</v>
      </c>
      <c r="D1511" s="1147">
        <v>13700</v>
      </c>
      <c r="E1511" s="220">
        <v>25</v>
      </c>
      <c r="F1511" s="220">
        <v>20</v>
      </c>
    </row>
    <row r="1512" spans="1:6">
      <c r="A1512" s="723" t="s">
        <v>6036</v>
      </c>
      <c r="B1512" s="633">
        <v>10.01</v>
      </c>
      <c r="C1512" s="220">
        <v>12</v>
      </c>
      <c r="D1512" s="1147">
        <v>19700</v>
      </c>
      <c r="E1512" s="220">
        <v>25</v>
      </c>
      <c r="F1512" s="220">
        <v>20</v>
      </c>
    </row>
    <row r="1513" spans="1:6">
      <c r="A1513" s="723"/>
      <c r="B1513" s="633">
        <v>12.01</v>
      </c>
      <c r="C1513" s="220">
        <v>15</v>
      </c>
      <c r="D1513" s="1147">
        <v>21900</v>
      </c>
      <c r="E1513" s="220">
        <v>25</v>
      </c>
      <c r="F1513" s="220">
        <v>20</v>
      </c>
    </row>
    <row r="1514" spans="1:6">
      <c r="A1514" s="220"/>
      <c r="B1514" s="633">
        <v>15.01</v>
      </c>
      <c r="C1514" s="220">
        <v>20</v>
      </c>
      <c r="D1514" s="1147">
        <v>24100</v>
      </c>
      <c r="E1514" s="220">
        <v>25</v>
      </c>
      <c r="F1514" s="220">
        <v>20</v>
      </c>
    </row>
    <row r="1515" spans="1:6">
      <c r="A1515" s="220"/>
      <c r="B1515" s="633">
        <v>20.010000000000002</v>
      </c>
      <c r="C1515" s="220">
        <v>25</v>
      </c>
      <c r="D1515" s="1147">
        <v>32400</v>
      </c>
      <c r="E1515" s="220">
        <v>25</v>
      </c>
      <c r="F1515" s="220">
        <v>20</v>
      </c>
    </row>
    <row r="1516" spans="1:6">
      <c r="A1516" s="220"/>
      <c r="B1516" s="633">
        <v>25.01</v>
      </c>
      <c r="C1516" s="220">
        <v>30</v>
      </c>
      <c r="D1516" s="1147">
        <v>37400</v>
      </c>
      <c r="E1516" s="220">
        <v>25</v>
      </c>
      <c r="F1516" s="220">
        <v>20</v>
      </c>
    </row>
    <row r="1517" spans="1:6">
      <c r="A1517" s="220"/>
      <c r="B1517" s="633">
        <v>30.01</v>
      </c>
      <c r="C1517" s="220">
        <v>40</v>
      </c>
      <c r="D1517" s="1147">
        <v>50000</v>
      </c>
      <c r="E1517" s="220">
        <v>25</v>
      </c>
      <c r="F1517" s="220">
        <v>20</v>
      </c>
    </row>
    <row r="1518" spans="1:6">
      <c r="A1518" s="220"/>
      <c r="B1518" s="633">
        <v>40.01</v>
      </c>
      <c r="C1518" s="220">
        <v>50</v>
      </c>
      <c r="D1518" s="1147">
        <v>59500</v>
      </c>
      <c r="E1518" s="220">
        <v>25</v>
      </c>
      <c r="F1518" s="220">
        <v>20</v>
      </c>
    </row>
    <row r="1519" spans="1:6">
      <c r="A1519" s="220"/>
      <c r="B1519" s="633">
        <v>50.01</v>
      </c>
      <c r="C1519" s="220" t="s">
        <v>5661</v>
      </c>
      <c r="D1519" s="1147" t="s">
        <v>5661</v>
      </c>
      <c r="E1519" s="220"/>
      <c r="F1519" s="220"/>
    </row>
    <row r="1522" spans="1:6">
      <c r="A1522" s="1152" t="s">
        <v>5783</v>
      </c>
      <c r="B1522" s="1128" t="s">
        <v>2162</v>
      </c>
      <c r="C1522" s="1131"/>
      <c r="D1522" s="1153"/>
      <c r="E1522" s="1131"/>
      <c r="F1522" s="1131"/>
    </row>
    <row r="1523" spans="1:6">
      <c r="A1523" s="1146">
        <v>22</v>
      </c>
      <c r="B1523" s="1127" t="s">
        <v>6032</v>
      </c>
      <c r="C1523" s="1127" t="s">
        <v>4792</v>
      </c>
      <c r="D1523" s="1127" t="s">
        <v>5660</v>
      </c>
      <c r="E1523" s="1127" t="s">
        <v>5653</v>
      </c>
      <c r="F1523" s="1127" t="s">
        <v>5654</v>
      </c>
    </row>
    <row r="1524" spans="1:6">
      <c r="A1524" s="723" t="s">
        <v>6038</v>
      </c>
      <c r="B1524" s="220">
        <v>0</v>
      </c>
      <c r="C1524" s="220">
        <v>109</v>
      </c>
      <c r="D1524" s="1148">
        <v>38340</v>
      </c>
      <c r="E1524" s="220">
        <v>25</v>
      </c>
      <c r="F1524" s="220">
        <v>20</v>
      </c>
    </row>
    <row r="1525" spans="1:6">
      <c r="A1525" s="220"/>
      <c r="B1525" s="220">
        <v>109.1</v>
      </c>
      <c r="C1525" s="220">
        <v>235</v>
      </c>
      <c r="D1525" s="1148">
        <v>51502.500000000007</v>
      </c>
      <c r="E1525" s="220">
        <v>25</v>
      </c>
      <c r="F1525" s="220">
        <v>20</v>
      </c>
    </row>
    <row r="1526" spans="1:6">
      <c r="A1526" s="220"/>
      <c r="B1526" s="220">
        <v>235.1</v>
      </c>
      <c r="C1526" s="220">
        <v>940</v>
      </c>
      <c r="D1526" s="1148">
        <v>145625</v>
      </c>
      <c r="E1526" s="220">
        <v>25</v>
      </c>
      <c r="F1526" s="220">
        <v>20</v>
      </c>
    </row>
    <row r="1527" spans="1:6">
      <c r="A1527" s="220"/>
      <c r="B1527" s="220">
        <v>940.1</v>
      </c>
      <c r="C1527" s="220">
        <v>1600</v>
      </c>
      <c r="D1527" s="1148">
        <v>224928</v>
      </c>
      <c r="E1527" s="220">
        <v>25</v>
      </c>
      <c r="F1527" s="220">
        <v>20</v>
      </c>
    </row>
    <row r="1528" spans="1:6">
      <c r="A1528" s="220"/>
      <c r="B1528" s="220">
        <v>1600.1</v>
      </c>
      <c r="C1528" s="220">
        <v>2480</v>
      </c>
      <c r="D1528" s="1148">
        <v>318753</v>
      </c>
      <c r="E1528" s="220">
        <v>25</v>
      </c>
      <c r="F1528" s="220">
        <v>20</v>
      </c>
    </row>
    <row r="1529" spans="1:6">
      <c r="A1529" s="220"/>
      <c r="B1529" s="220">
        <v>2480.1</v>
      </c>
      <c r="C1529" s="220">
        <v>3350</v>
      </c>
      <c r="D1529" s="1148">
        <v>430315</v>
      </c>
      <c r="E1529" s="220">
        <v>25</v>
      </c>
      <c r="F1529" s="220">
        <v>20</v>
      </c>
    </row>
    <row r="1530" spans="1:6">
      <c r="A1530" s="220"/>
      <c r="B1530" s="220">
        <v>3350.1</v>
      </c>
      <c r="C1530" s="220" t="s">
        <v>5661</v>
      </c>
      <c r="D1530" s="1148" t="s">
        <v>5661</v>
      </c>
      <c r="E1530" s="220">
        <v>25</v>
      </c>
      <c r="F1530" s="220">
        <v>20</v>
      </c>
    </row>
    <row r="1533" spans="1:6">
      <c r="A1533" s="1152" t="s">
        <v>5783</v>
      </c>
      <c r="B1533" s="1128" t="s">
        <v>2161</v>
      </c>
      <c r="C1533" s="1131"/>
      <c r="D1533" s="1153"/>
      <c r="E1533" s="1131"/>
      <c r="F1533" s="1131"/>
    </row>
    <row r="1534" spans="1:6">
      <c r="A1534" s="1146">
        <v>22</v>
      </c>
      <c r="B1534" s="1127" t="s">
        <v>6032</v>
      </c>
      <c r="C1534" s="1127" t="s">
        <v>4792</v>
      </c>
      <c r="D1534" s="1127" t="s">
        <v>5660</v>
      </c>
      <c r="E1534" s="1127" t="s">
        <v>5653</v>
      </c>
      <c r="F1534" s="1127" t="s">
        <v>5654</v>
      </c>
    </row>
    <row r="1535" spans="1:6">
      <c r="A1535" s="723" t="s">
        <v>6039</v>
      </c>
      <c r="B1535" s="220">
        <v>0</v>
      </c>
      <c r="C1535" s="220">
        <v>109</v>
      </c>
      <c r="D1535" s="1148">
        <v>38340</v>
      </c>
      <c r="E1535" s="220">
        <v>25</v>
      </c>
      <c r="F1535" s="220">
        <v>20</v>
      </c>
    </row>
    <row r="1536" spans="1:6">
      <c r="A1536" s="220"/>
      <c r="B1536" s="220">
        <v>109.1</v>
      </c>
      <c r="C1536" s="220">
        <v>235</v>
      </c>
      <c r="D1536" s="1148">
        <v>51502.500000000007</v>
      </c>
      <c r="E1536" s="220">
        <v>25</v>
      </c>
      <c r="F1536" s="220">
        <v>20</v>
      </c>
    </row>
    <row r="1537" spans="1:6">
      <c r="A1537" s="220"/>
      <c r="B1537" s="220">
        <v>235.1</v>
      </c>
      <c r="C1537" s="220">
        <v>940</v>
      </c>
      <c r="D1537" s="1148">
        <v>145625</v>
      </c>
      <c r="E1537" s="220">
        <v>25</v>
      </c>
      <c r="F1537" s="220">
        <v>20</v>
      </c>
    </row>
    <row r="1538" spans="1:6">
      <c r="A1538" s="220"/>
      <c r="B1538" s="220">
        <v>940.1</v>
      </c>
      <c r="C1538" s="220">
        <v>1600</v>
      </c>
      <c r="D1538" s="1148">
        <v>224928</v>
      </c>
      <c r="E1538" s="220">
        <v>25</v>
      </c>
      <c r="F1538" s="220">
        <v>20</v>
      </c>
    </row>
    <row r="1539" spans="1:6">
      <c r="A1539" s="220"/>
      <c r="B1539" s="220">
        <v>1600.1</v>
      </c>
      <c r="C1539" s="220">
        <v>2480</v>
      </c>
      <c r="D1539" s="1148">
        <v>318753</v>
      </c>
      <c r="E1539" s="220">
        <v>25</v>
      </c>
      <c r="F1539" s="220">
        <v>20</v>
      </c>
    </row>
    <row r="1540" spans="1:6">
      <c r="A1540" s="220"/>
      <c r="B1540" s="220">
        <v>2480.1</v>
      </c>
      <c r="C1540" s="220">
        <v>3350</v>
      </c>
      <c r="D1540" s="1148">
        <v>430315</v>
      </c>
      <c r="E1540" s="220">
        <v>25</v>
      </c>
      <c r="F1540" s="220">
        <v>20</v>
      </c>
    </row>
    <row r="1541" spans="1:6">
      <c r="A1541" s="220"/>
      <c r="B1541" s="220">
        <v>3350.1</v>
      </c>
      <c r="C1541" s="220" t="s">
        <v>5661</v>
      </c>
      <c r="D1541" s="1148" t="s">
        <v>5661</v>
      </c>
      <c r="E1541" s="220">
        <v>25</v>
      </c>
      <c r="F1541" s="220">
        <v>20</v>
      </c>
    </row>
    <row r="1544" spans="1:6">
      <c r="A1544" s="723"/>
      <c r="B1544" s="220" t="s">
        <v>6040</v>
      </c>
      <c r="C1544" s="723" t="s">
        <v>6041</v>
      </c>
      <c r="D1544" s="1174">
        <v>6.4790285359180011</v>
      </c>
      <c r="E1544" s="1175" t="s">
        <v>84</v>
      </c>
    </row>
    <row r="1547" spans="1:6">
      <c r="A1547" s="723"/>
      <c r="B1547" s="220" t="s">
        <v>6042</v>
      </c>
      <c r="C1547" s="723" t="s">
        <v>6043</v>
      </c>
      <c r="D1547" s="1174">
        <v>8.235301147941651E-2</v>
      </c>
      <c r="E1547" s="1175" t="s">
        <v>84</v>
      </c>
    </row>
    <row r="1550" spans="1:6">
      <c r="A1550" s="723"/>
      <c r="B1550" s="220" t="s">
        <v>6044</v>
      </c>
      <c r="C1550" s="723" t="s">
        <v>6045</v>
      </c>
      <c r="D1550" s="1176">
        <v>3.8295007720020586</v>
      </c>
      <c r="E1550" s="1175" t="s">
        <v>3636</v>
      </c>
    </row>
    <row r="1553" spans="1:5">
      <c r="A1553" s="723"/>
      <c r="B1553" s="1218" t="s">
        <v>6046</v>
      </c>
      <c r="C1553" s="1223" t="s">
        <v>6047</v>
      </c>
      <c r="D1553" s="1224">
        <v>0.122</v>
      </c>
      <c r="E1553" s="1225" t="s">
        <v>3062</v>
      </c>
    </row>
    <row r="1554" spans="1:5">
      <c r="B1554" s="1215"/>
      <c r="C1554" s="1215"/>
      <c r="D1554" s="1215"/>
      <c r="E1554" s="1215"/>
    </row>
    <row r="1555" spans="1:5">
      <c r="B1555" s="1215"/>
      <c r="C1555" s="1215"/>
      <c r="D1555" s="1215"/>
      <c r="E1555" s="1215"/>
    </row>
    <row r="1556" spans="1:5">
      <c r="A1556" s="723"/>
      <c r="B1556" s="1218" t="s">
        <v>6048</v>
      </c>
      <c r="C1556" s="1223" t="s">
        <v>6049</v>
      </c>
      <c r="D1556" s="1224">
        <v>1.72929</v>
      </c>
      <c r="E1556" s="1226" t="s">
        <v>3697</v>
      </c>
    </row>
    <row r="1559" spans="1:5">
      <c r="A1559" s="1165">
        <v>5</v>
      </c>
      <c r="B1559" s="220" t="s">
        <v>6050</v>
      </c>
      <c r="C1559" s="723" t="s">
        <v>6051</v>
      </c>
      <c r="D1559" s="810">
        <v>363.40616685535008</v>
      </c>
      <c r="E1559" s="725" t="s">
        <v>4105</v>
      </c>
    </row>
    <row r="1562" spans="1:5">
      <c r="A1562" s="723"/>
      <c r="B1562" s="220" t="s">
        <v>6052</v>
      </c>
      <c r="C1562" s="723" t="s">
        <v>6054</v>
      </c>
      <c r="D1562" s="810">
        <v>3392.2096819686953</v>
      </c>
      <c r="E1562" s="725" t="s">
        <v>6053</v>
      </c>
    </row>
    <row r="1565" spans="1:5">
      <c r="A1565" s="723"/>
      <c r="B1565" s="220" t="s">
        <v>6055</v>
      </c>
      <c r="C1565" s="723" t="s">
        <v>6057</v>
      </c>
      <c r="D1565" s="810">
        <v>0.28268414016405796</v>
      </c>
      <c r="E1565" s="725" t="s">
        <v>6056</v>
      </c>
    </row>
    <row r="1568" spans="1:5">
      <c r="A1568" s="1177"/>
      <c r="B1568" s="1128" t="s">
        <v>6058</v>
      </c>
      <c r="C1568" s="1131"/>
    </row>
    <row r="1569" spans="1:5">
      <c r="A1569" s="1134"/>
      <c r="B1569" s="1151" t="s">
        <v>6059</v>
      </c>
      <c r="C1569" s="1133" t="s">
        <v>6060</v>
      </c>
    </row>
    <row r="1570" spans="1:5">
      <c r="A1570" s="723" t="s">
        <v>6061</v>
      </c>
      <c r="B1570" s="220">
        <v>0</v>
      </c>
      <c r="C1570" s="1147">
        <v>953.90523240122491</v>
      </c>
    </row>
    <row r="1571" spans="1:5">
      <c r="A1571" s="723"/>
      <c r="B1571" s="220">
        <v>20000</v>
      </c>
      <c r="C1571" s="1147">
        <v>4769.5261620061247</v>
      </c>
    </row>
    <row r="1572" spans="1:5">
      <c r="A1572" s="723"/>
      <c r="B1572" s="220">
        <v>50000</v>
      </c>
      <c r="C1572" s="1147">
        <v>9857.0207348126569</v>
      </c>
    </row>
    <row r="1575" spans="1:5">
      <c r="A1575" s="723"/>
      <c r="B1575" s="220" t="s">
        <v>6062</v>
      </c>
      <c r="C1575" s="723" t="s">
        <v>6063</v>
      </c>
      <c r="D1575" s="810">
        <v>14784.380530580231</v>
      </c>
      <c r="E1575" s="725" t="s">
        <v>4105</v>
      </c>
    </row>
    <row r="1578" spans="1:5">
      <c r="A1578" s="723"/>
      <c r="B1578" s="220" t="s">
        <v>6064</v>
      </c>
      <c r="C1578" s="723" t="s">
        <v>6065</v>
      </c>
      <c r="D1578" s="810">
        <v>3392.2096819686953</v>
      </c>
      <c r="E1578" s="725" t="s">
        <v>6053</v>
      </c>
    </row>
    <row r="1581" spans="1:5">
      <c r="A1581" s="723"/>
      <c r="B1581" s="220" t="s">
        <v>6066</v>
      </c>
      <c r="C1581" s="723" t="s">
        <v>6067</v>
      </c>
      <c r="D1581" s="810">
        <v>0.56536828032811592</v>
      </c>
      <c r="E1581" s="725" t="s">
        <v>6056</v>
      </c>
    </row>
    <row r="1584" spans="1:5">
      <c r="A1584" s="723"/>
      <c r="B1584" s="220" t="s">
        <v>6068</v>
      </c>
      <c r="C1584" s="723" t="s">
        <v>6069</v>
      </c>
      <c r="D1584" s="1174">
        <v>0.14857538964026834</v>
      </c>
      <c r="E1584" s="1175" t="s">
        <v>84</v>
      </c>
    </row>
    <row r="1587" spans="1:7">
      <c r="A1587" s="1152" t="s">
        <v>6002</v>
      </c>
      <c r="B1587" s="1128" t="s">
        <v>6070</v>
      </c>
      <c r="C1587" s="1131"/>
      <c r="D1587" s="1178"/>
      <c r="E1587" s="1131" t="s">
        <v>6071</v>
      </c>
      <c r="F1587" s="1131"/>
      <c r="G1587" s="1131"/>
    </row>
    <row r="1588" spans="1:7">
      <c r="A1588" s="1146">
        <v>4</v>
      </c>
      <c r="B1588" s="1127" t="s">
        <v>6072</v>
      </c>
      <c r="C1588" s="1127" t="s">
        <v>6073</v>
      </c>
      <c r="D1588" s="1127" t="s">
        <v>6074</v>
      </c>
      <c r="E1588" s="1127" t="s">
        <v>6075</v>
      </c>
      <c r="F1588" s="1137" t="s">
        <v>6076</v>
      </c>
      <c r="G1588" s="1137" t="s">
        <v>6077</v>
      </c>
    </row>
    <row r="1589" spans="1:7">
      <c r="A1589" s="723" t="s">
        <v>6078</v>
      </c>
      <c r="B1589" s="689">
        <v>0</v>
      </c>
      <c r="C1589" s="689">
        <v>0.03</v>
      </c>
      <c r="D1589" s="689">
        <v>1</v>
      </c>
      <c r="E1589" s="1227">
        <v>4.1571412066051936</v>
      </c>
      <c r="F1589" s="1227">
        <v>6.1634637391070539</v>
      </c>
      <c r="G1589" s="1227">
        <v>4.0036939765859305</v>
      </c>
    </row>
    <row r="1590" spans="1:7">
      <c r="A1590" s="723"/>
      <c r="B1590" s="689">
        <v>3.1E-2</v>
      </c>
      <c r="C1590" s="689">
        <v>0.124</v>
      </c>
      <c r="D1590" s="689">
        <v>1</v>
      </c>
      <c r="E1590" s="1227">
        <v>4.1571412066051936</v>
      </c>
      <c r="F1590" s="1227">
        <v>6.1634637391070539</v>
      </c>
      <c r="G1590" s="1227">
        <v>4.0036939765859305</v>
      </c>
    </row>
    <row r="1591" spans="1:7">
      <c r="A1591" s="723"/>
      <c r="B1591" s="689">
        <v>0.1241</v>
      </c>
      <c r="C1591" s="689">
        <v>0.30499999999999999</v>
      </c>
      <c r="D1591" s="689">
        <v>1.2</v>
      </c>
      <c r="E1591" s="1227">
        <v>4.1571412066051936</v>
      </c>
      <c r="F1591" s="1227">
        <v>6.1634637391070539</v>
      </c>
      <c r="G1591" s="1227">
        <v>4.0036939765859305</v>
      </c>
    </row>
    <row r="1592" spans="1:7">
      <c r="A1592" s="723"/>
      <c r="B1592" s="689">
        <v>0.30509999999999998</v>
      </c>
      <c r="C1592" s="689">
        <v>0.74</v>
      </c>
      <c r="D1592" s="689">
        <v>1.2</v>
      </c>
      <c r="E1592" s="1227">
        <v>4.1571412066051936</v>
      </c>
      <c r="F1592" s="1227">
        <v>6.1634637391070539</v>
      </c>
      <c r="G1592" s="1227">
        <v>4.0036939765859305</v>
      </c>
    </row>
    <row r="1593" spans="1:7">
      <c r="A1593" s="723"/>
      <c r="B1593" s="689">
        <v>0.74099999999999999</v>
      </c>
      <c r="C1593" s="689">
        <v>2.1520000000000001</v>
      </c>
      <c r="D1593" s="689">
        <v>1.6</v>
      </c>
      <c r="E1593" s="1227">
        <v>4.4333462206398666</v>
      </c>
      <c r="F1593" s="1227">
        <v>7.0496214924682965</v>
      </c>
      <c r="G1593" s="1227">
        <v>4.0036939765859305</v>
      </c>
    </row>
    <row r="1594" spans="1:7">
      <c r="A1594" s="723"/>
      <c r="B1594" s="689">
        <v>2.1520999999999999</v>
      </c>
      <c r="C1594" s="689">
        <v>7.3650000000000002</v>
      </c>
      <c r="D1594" s="689">
        <v>2.8</v>
      </c>
      <c r="E1594" s="1227">
        <v>4.6801405155875146</v>
      </c>
      <c r="F1594" s="1227">
        <v>7.8526619962357715</v>
      </c>
      <c r="G1594" s="1227">
        <v>5.169892924732328</v>
      </c>
    </row>
    <row r="1595" spans="1:7">
      <c r="A1595" s="723"/>
      <c r="B1595" s="689">
        <v>7.3651</v>
      </c>
      <c r="C1595" s="689">
        <v>22.614000000000001</v>
      </c>
      <c r="D1595" s="689">
        <v>3.8</v>
      </c>
      <c r="E1595" s="1227">
        <v>4.8860155491966912</v>
      </c>
      <c r="F1595" s="1227">
        <v>9.1633570859836411</v>
      </c>
      <c r="G1595" s="1227">
        <v>5.169892924732328</v>
      </c>
    </row>
    <row r="1596" spans="1:7">
      <c r="A1596" s="723"/>
      <c r="B1596" s="689">
        <v>22.614100000000001</v>
      </c>
      <c r="C1596" s="689">
        <v>75.069999999999993</v>
      </c>
      <c r="D1596" s="689">
        <v>7.8</v>
      </c>
      <c r="E1596" s="1227">
        <v>5.7107944105502284</v>
      </c>
      <c r="F1596" s="1227">
        <v>9.7899332752289645</v>
      </c>
      <c r="G1596" s="1227">
        <v>5.169892924732328</v>
      </c>
    </row>
    <row r="1599" spans="1:7" ht="20">
      <c r="A1599" s="1179"/>
      <c r="B1599" s="1180" t="s">
        <v>6079</v>
      </c>
      <c r="C1599" s="1181"/>
      <c r="D1599" s="1181"/>
    </row>
    <row r="1600" spans="1:7">
      <c r="A1600" s="1177" t="s">
        <v>6080</v>
      </c>
      <c r="B1600" s="1128" t="s">
        <v>6079</v>
      </c>
      <c r="C1600" s="1131"/>
      <c r="D1600" s="1131"/>
    </row>
    <row r="1601" spans="1:5">
      <c r="A1601" s="1146">
        <v>5</v>
      </c>
      <c r="B1601" s="1182" t="s">
        <v>6081</v>
      </c>
      <c r="C1601" s="1127" t="s">
        <v>6082</v>
      </c>
      <c r="D1601" s="1134" t="s">
        <v>6083</v>
      </c>
    </row>
    <row r="1602" spans="1:5">
      <c r="A1602" s="723" t="s">
        <v>6092</v>
      </c>
      <c r="B1602" s="220">
        <v>0</v>
      </c>
      <c r="C1602" s="220" t="s">
        <v>6084</v>
      </c>
      <c r="D1602" s="1147">
        <v>21165.713250209614</v>
      </c>
    </row>
    <row r="1603" spans="1:5">
      <c r="A1603" s="723"/>
      <c r="B1603" s="220">
        <v>3.1E-2</v>
      </c>
      <c r="C1603" s="220" t="s">
        <v>6085</v>
      </c>
      <c r="D1603" s="1147">
        <v>20660.02273280502</v>
      </c>
    </row>
    <row r="1604" spans="1:5">
      <c r="A1604" s="723"/>
      <c r="B1604" s="220">
        <v>0.1241</v>
      </c>
      <c r="C1604" s="220" t="s">
        <v>6086</v>
      </c>
      <c r="D1604" s="1147">
        <v>16458.498827329597</v>
      </c>
    </row>
    <row r="1605" spans="1:5">
      <c r="A1605" s="723"/>
      <c r="B1605" s="220">
        <v>0.30509999999999998</v>
      </c>
      <c r="C1605" s="220" t="s">
        <v>6087</v>
      </c>
      <c r="D1605" s="1147">
        <v>19327.219360846331</v>
      </c>
    </row>
    <row r="1606" spans="1:5">
      <c r="A1606" s="723"/>
      <c r="B1606" s="220">
        <v>0.74099999999999999</v>
      </c>
      <c r="C1606" s="220" t="s">
        <v>6088</v>
      </c>
      <c r="D1606" s="1147">
        <v>31219.845835377939</v>
      </c>
    </row>
    <row r="1607" spans="1:5">
      <c r="A1607" s="723"/>
      <c r="B1607" s="220">
        <v>2.1520999999999999</v>
      </c>
      <c r="C1607" s="220" t="s">
        <v>6089</v>
      </c>
      <c r="D1607" s="1147">
        <v>68950.849699201353</v>
      </c>
    </row>
    <row r="1608" spans="1:5">
      <c r="A1608" s="723"/>
      <c r="B1608" s="220">
        <v>7.3651</v>
      </c>
      <c r="C1608" s="220" t="s">
        <v>6090</v>
      </c>
      <c r="D1608" s="1147">
        <v>129311.24247230604</v>
      </c>
    </row>
    <row r="1609" spans="1:5">
      <c r="A1609" s="723"/>
      <c r="B1609" s="220">
        <v>22.614100000000001</v>
      </c>
      <c r="C1609" s="220" t="s">
        <v>6091</v>
      </c>
      <c r="D1609" s="1147">
        <v>262816.68000200921</v>
      </c>
    </row>
    <row r="1612" spans="1:5">
      <c r="A1612" s="723"/>
      <c r="B1612" s="220" t="s">
        <v>6093</v>
      </c>
      <c r="C1612" s="723" t="s">
        <v>6094</v>
      </c>
      <c r="D1612" s="810">
        <v>3.8110010007302626</v>
      </c>
      <c r="E1612" s="725" t="s">
        <v>3636</v>
      </c>
    </row>
    <row r="1615" spans="1:5">
      <c r="A1615" s="723"/>
      <c r="B1615" s="220" t="s">
        <v>6095</v>
      </c>
      <c r="C1615" s="723" t="s">
        <v>6096</v>
      </c>
      <c r="D1615" s="810">
        <v>3392.2096819686953</v>
      </c>
      <c r="E1615" s="725" t="s">
        <v>6053</v>
      </c>
    </row>
    <row r="1618" spans="1:5">
      <c r="A1618" s="723"/>
      <c r="B1618" s="220" t="s">
        <v>6097</v>
      </c>
      <c r="C1618" s="723" t="s">
        <v>6099</v>
      </c>
      <c r="D1618" s="1183">
        <v>1.0469782969039184E-3</v>
      </c>
      <c r="E1618" s="725" t="s">
        <v>6098</v>
      </c>
    </row>
    <row r="1621" spans="1:5">
      <c r="A1621" s="1177"/>
      <c r="B1621" s="1128" t="s">
        <v>6100</v>
      </c>
      <c r="C1621" s="1131"/>
    </row>
    <row r="1622" spans="1:5">
      <c r="A1622" s="1134"/>
      <c r="B1622" s="1127" t="s">
        <v>6101</v>
      </c>
      <c r="C1622" s="1127" t="s">
        <v>6102</v>
      </c>
    </row>
    <row r="1623" spans="1:5">
      <c r="A1623" s="723" t="s">
        <v>6103</v>
      </c>
      <c r="B1623" s="220">
        <v>0</v>
      </c>
      <c r="C1623" s="1147">
        <v>3769.1218688541057</v>
      </c>
    </row>
    <row r="1624" spans="1:5">
      <c r="A1624" s="723"/>
      <c r="B1624" s="220">
        <v>1.0009999999999999</v>
      </c>
      <c r="C1624" s="1147">
        <v>15599.976623868382</v>
      </c>
    </row>
    <row r="1627" spans="1:5">
      <c r="A1627" s="723" t="s">
        <v>6105</v>
      </c>
      <c r="B1627" s="633" t="s">
        <v>6104</v>
      </c>
      <c r="C1627" s="1147">
        <v>30467.068439904022</v>
      </c>
      <c r="D1627" s="1147">
        <v>29100</v>
      </c>
      <c r="E1627" s="633">
        <v>2020</v>
      </c>
    </row>
    <row r="1630" spans="1:5">
      <c r="A1630" s="723"/>
      <c r="B1630" s="220" t="s">
        <v>6106</v>
      </c>
      <c r="C1630" s="723" t="s">
        <v>6107</v>
      </c>
      <c r="D1630" s="810">
        <v>110.0374190046018</v>
      </c>
      <c r="E1630" s="725" t="s">
        <v>4105</v>
      </c>
    </row>
    <row r="1633" spans="1:5">
      <c r="A1633" s="723"/>
      <c r="B1633" s="220" t="s">
        <v>6108</v>
      </c>
      <c r="C1633" s="723" t="s">
        <v>6109</v>
      </c>
      <c r="D1633" s="810">
        <v>0.21197894053360555</v>
      </c>
      <c r="E1633" s="725" t="s">
        <v>6056</v>
      </c>
    </row>
    <row r="1636" spans="1:5">
      <c r="A1636" s="723"/>
      <c r="B1636" s="63" t="s">
        <v>6110</v>
      </c>
      <c r="C1636" s="220"/>
    </row>
    <row r="1637" spans="1:5">
      <c r="A1637" s="1177" t="s">
        <v>6080</v>
      </c>
      <c r="B1637" s="1128" t="s">
        <v>6111</v>
      </c>
      <c r="C1637" s="1131"/>
    </row>
    <row r="1638" spans="1:5">
      <c r="A1638" s="1146">
        <v>5</v>
      </c>
      <c r="B1638" s="1127" t="s">
        <v>6112</v>
      </c>
      <c r="C1638" s="1127" t="s">
        <v>6102</v>
      </c>
    </row>
    <row r="1639" spans="1:5">
      <c r="A1639" s="723" t="s">
        <v>6113</v>
      </c>
      <c r="B1639" s="220">
        <v>0</v>
      </c>
      <c r="C1639" s="1147">
        <v>2408.0500828790123</v>
      </c>
    </row>
    <row r="1640" spans="1:5">
      <c r="A1640" s="723"/>
      <c r="B1640" s="220">
        <v>100000.1</v>
      </c>
      <c r="C1640" s="1147">
        <v>3036.2370610213629</v>
      </c>
    </row>
    <row r="1641" spans="1:5">
      <c r="A1641" s="723"/>
      <c r="B1641" s="220">
        <v>1000000.1</v>
      </c>
      <c r="C1641" s="1147">
        <v>5548.9849735907674</v>
      </c>
    </row>
    <row r="1644" spans="1:5" ht="20">
      <c r="A1644" s="1179"/>
      <c r="B1644" s="1180" t="s">
        <v>6114</v>
      </c>
      <c r="C1644" s="1181"/>
    </row>
    <row r="1645" spans="1:5">
      <c r="A1645" s="1177" t="s">
        <v>6002</v>
      </c>
      <c r="B1645" s="1128" t="s">
        <v>6115</v>
      </c>
      <c r="C1645" s="1131"/>
    </row>
    <row r="1646" spans="1:5">
      <c r="A1646" s="1184">
        <v>4</v>
      </c>
      <c r="B1646" s="1185" t="s">
        <v>6116</v>
      </c>
      <c r="C1646" s="1186"/>
    </row>
    <row r="1647" spans="1:5">
      <c r="A1647" s="723"/>
      <c r="B1647" s="220" t="s">
        <v>6117</v>
      </c>
      <c r="C1647" s="633" t="s">
        <v>6118</v>
      </c>
    </row>
    <row r="1648" spans="1:5">
      <c r="A1648" s="723" t="s">
        <v>6119</v>
      </c>
      <c r="B1648" s="220" t="s">
        <v>6120</v>
      </c>
      <c r="C1648" s="1172">
        <v>15793.535539996074</v>
      </c>
    </row>
    <row r="1649" spans="1:3">
      <c r="A1649" s="723"/>
      <c r="B1649" s="633" t="s">
        <v>6121</v>
      </c>
      <c r="C1649" s="1172">
        <v>15793.535539996074</v>
      </c>
    </row>
    <row r="1650" spans="1:3">
      <c r="A1650" s="723"/>
      <c r="B1650" s="633" t="s">
        <v>6122</v>
      </c>
      <c r="C1650" s="1172">
        <v>15793.535539996074</v>
      </c>
    </row>
    <row r="1651" spans="1:3">
      <c r="A1651" s="723"/>
      <c r="B1651" s="633" t="s">
        <v>6123</v>
      </c>
      <c r="C1651" s="1172">
        <v>15793.535539996074</v>
      </c>
    </row>
    <row r="1652" spans="1:3">
      <c r="A1652" s="723"/>
      <c r="B1652" s="633" t="s">
        <v>6124</v>
      </c>
      <c r="C1652" s="1172">
        <v>15793.535539996074</v>
      </c>
    </row>
    <row r="1653" spans="1:3">
      <c r="A1653" s="723"/>
      <c r="B1653" s="633" t="s">
        <v>6125</v>
      </c>
      <c r="C1653" s="1172">
        <v>15793.535539996074</v>
      </c>
    </row>
    <row r="1654" spans="1:3">
      <c r="A1654" s="723"/>
      <c r="B1654" s="633" t="s">
        <v>6126</v>
      </c>
      <c r="C1654" s="1172">
        <v>15793.535539996074</v>
      </c>
    </row>
    <row r="1655" spans="1:3">
      <c r="A1655" s="723"/>
      <c r="B1655" s="633" t="s">
        <v>6127</v>
      </c>
      <c r="C1655" s="1172">
        <v>15793.535539996074</v>
      </c>
    </row>
    <row r="1656" spans="1:3">
      <c r="A1656" s="723"/>
      <c r="B1656" s="633" t="s">
        <v>6128</v>
      </c>
      <c r="C1656" s="1172">
        <v>15793.535539996074</v>
      </c>
    </row>
    <row r="1657" spans="1:3">
      <c r="A1657" s="723"/>
      <c r="B1657" s="633" t="s">
        <v>6129</v>
      </c>
      <c r="C1657" s="1172">
        <v>615.39008342245984</v>
      </c>
    </row>
    <row r="1658" spans="1:3">
      <c r="A1658" s="723"/>
      <c r="B1658" s="220" t="s">
        <v>50</v>
      </c>
      <c r="C1658" s="1172">
        <v>1217.0660847213492</v>
      </c>
    </row>
    <row r="1659" spans="1:3">
      <c r="A1659" s="723"/>
      <c r="B1659" s="220" t="s">
        <v>3519</v>
      </c>
      <c r="C1659" s="1172">
        <v>1217.0660847213492</v>
      </c>
    </row>
    <row r="1660" spans="1:3">
      <c r="A1660" s="723"/>
      <c r="B1660" s="633" t="s">
        <v>6130</v>
      </c>
      <c r="C1660" s="1172">
        <v>860.39920013666426</v>
      </c>
    </row>
    <row r="1661" spans="1:3">
      <c r="A1661" s="723"/>
      <c r="B1661" s="220" t="s">
        <v>6131</v>
      </c>
      <c r="C1661" s="1172">
        <v>58859.382028416068</v>
      </c>
    </row>
    <row r="1662" spans="1:3">
      <c r="A1662" s="723"/>
      <c r="B1662" s="220" t="s">
        <v>6132</v>
      </c>
      <c r="C1662" s="1172">
        <v>58859.382028416068</v>
      </c>
    </row>
    <row r="1663" spans="1:3">
      <c r="A1663" s="723"/>
      <c r="B1663" s="220" t="s">
        <v>6133</v>
      </c>
      <c r="C1663" s="1172">
        <v>2709.1797841536459</v>
      </c>
    </row>
    <row r="1664" spans="1:3">
      <c r="A1664" s="723"/>
      <c r="B1664" s="220" t="s">
        <v>6134</v>
      </c>
      <c r="C1664" s="1172">
        <v>2709.1797841536459</v>
      </c>
    </row>
    <row r="1665" spans="1:3">
      <c r="A1665" s="723"/>
      <c r="B1665" s="220" t="s">
        <v>6135</v>
      </c>
      <c r="C1665" s="1172">
        <v>0</v>
      </c>
    </row>
    <row r="1666" spans="1:3">
      <c r="A1666" s="723"/>
      <c r="B1666" s="220" t="s">
        <v>6136</v>
      </c>
      <c r="C1666" s="1172">
        <v>24372.554078613746</v>
      </c>
    </row>
    <row r="1667" spans="1:3">
      <c r="A1667" s="723"/>
      <c r="B1667" s="220" t="s">
        <v>6137</v>
      </c>
      <c r="C1667" s="1172">
        <v>615.39008342245984</v>
      </c>
    </row>
    <row r="1668" spans="1:3">
      <c r="A1668" s="723"/>
      <c r="B1668" s="633" t="s">
        <v>6138</v>
      </c>
      <c r="C1668" s="1172">
        <v>16444.957306241584</v>
      </c>
    </row>
    <row r="1669" spans="1:3">
      <c r="A1669" s="723"/>
      <c r="B1669" s="633" t="s">
        <v>6139</v>
      </c>
      <c r="C1669" s="1172">
        <v>16444.957306241584</v>
      </c>
    </row>
    <row r="1670" spans="1:3">
      <c r="A1670" s="723"/>
      <c r="B1670" s="633" t="s">
        <v>6140</v>
      </c>
      <c r="C1670" s="1172">
        <v>14998.238656107189</v>
      </c>
    </row>
    <row r="1671" spans="1:3">
      <c r="A1671" s="723"/>
      <c r="B1671" s="220" t="s">
        <v>6141</v>
      </c>
      <c r="C1671" s="1172">
        <v>2499.8674794593167</v>
      </c>
    </row>
    <row r="1672" spans="1:3">
      <c r="A1672" s="723"/>
      <c r="B1672" s="220" t="s">
        <v>6142</v>
      </c>
      <c r="C1672" s="1172">
        <v>32140.792422095365</v>
      </c>
    </row>
    <row r="1673" spans="1:3">
      <c r="A1673" s="723"/>
      <c r="B1673" s="220" t="s">
        <v>6143</v>
      </c>
      <c r="C1673" s="1172">
        <v>5513.4302822925574</v>
      </c>
    </row>
    <row r="1674" spans="1:3">
      <c r="A1674" s="723"/>
      <c r="B1674" s="633" t="s">
        <v>6144</v>
      </c>
      <c r="C1674" s="1172">
        <v>134602.19700079926</v>
      </c>
    </row>
    <row r="1675" spans="1:3">
      <c r="A1675" s="723"/>
      <c r="B1675" s="633" t="s">
        <v>6145</v>
      </c>
      <c r="C1675" s="1172">
        <v>113958.93551980422</v>
      </c>
    </row>
    <row r="1676" spans="1:3">
      <c r="A1676" s="1187"/>
      <c r="B1676" s="1185" t="s">
        <v>6146</v>
      </c>
      <c r="C1676" s="1186"/>
    </row>
    <row r="1677" spans="1:3">
      <c r="A1677" s="723" t="s">
        <v>6147</v>
      </c>
      <c r="B1677" s="220" t="s">
        <v>6120</v>
      </c>
      <c r="C1677" s="1172">
        <v>70415.236495493649</v>
      </c>
    </row>
    <row r="1678" spans="1:3">
      <c r="A1678" s="723"/>
      <c r="B1678" s="633" t="s">
        <v>6121</v>
      </c>
      <c r="C1678" s="1172">
        <v>70415.236495493649</v>
      </c>
    </row>
    <row r="1679" spans="1:3">
      <c r="A1679" s="723"/>
      <c r="B1679" s="633" t="s">
        <v>6122</v>
      </c>
      <c r="C1679" s="1172">
        <v>70415.236495493649</v>
      </c>
    </row>
    <row r="1680" spans="1:3">
      <c r="A1680" s="723"/>
      <c r="B1680" s="633" t="s">
        <v>6123</v>
      </c>
      <c r="C1680" s="1172">
        <v>70415.236495493649</v>
      </c>
    </row>
    <row r="1681" spans="1:3">
      <c r="A1681" s="723"/>
      <c r="B1681" s="633" t="s">
        <v>6124</v>
      </c>
      <c r="C1681" s="1172">
        <v>70415.236495493649</v>
      </c>
    </row>
    <row r="1682" spans="1:3">
      <c r="A1682" s="723"/>
      <c r="B1682" s="633" t="s">
        <v>6125</v>
      </c>
      <c r="C1682" s="1172">
        <v>70415.236495493649</v>
      </c>
    </row>
    <row r="1683" spans="1:3">
      <c r="A1683" s="723"/>
      <c r="B1683" s="633" t="s">
        <v>6126</v>
      </c>
      <c r="C1683" s="1172">
        <v>70415.236495493649</v>
      </c>
    </row>
    <row r="1684" spans="1:3">
      <c r="A1684" s="723"/>
      <c r="B1684" s="633" t="s">
        <v>6127</v>
      </c>
      <c r="C1684" s="1172">
        <v>70415.236495493649</v>
      </c>
    </row>
    <row r="1685" spans="1:3">
      <c r="A1685" s="723"/>
      <c r="B1685" s="633" t="s">
        <v>6128</v>
      </c>
      <c r="C1685" s="1172">
        <v>70415.236495493649</v>
      </c>
    </row>
    <row r="1686" spans="1:3">
      <c r="A1686" s="723"/>
      <c r="B1686" s="633" t="s">
        <v>6129</v>
      </c>
      <c r="C1686" s="1172">
        <v>615.39008342245984</v>
      </c>
    </row>
    <row r="1687" spans="1:3">
      <c r="A1687" s="723"/>
      <c r="B1687" s="220" t="s">
        <v>50</v>
      </c>
      <c r="C1687" s="1172">
        <v>66652.775724390434</v>
      </c>
    </row>
    <row r="1688" spans="1:3">
      <c r="A1688" s="723"/>
      <c r="B1688" s="220" t="s">
        <v>3519</v>
      </c>
      <c r="C1688" s="1172">
        <v>66652.775724390434</v>
      </c>
    </row>
    <row r="1689" spans="1:3">
      <c r="A1689" s="723"/>
      <c r="B1689" s="633" t="s">
        <v>6130</v>
      </c>
      <c r="C1689" s="1172">
        <v>67436.081031866575</v>
      </c>
    </row>
    <row r="1690" spans="1:3">
      <c r="A1690" s="723"/>
      <c r="B1690" s="220" t="s">
        <v>6131</v>
      </c>
      <c r="C1690" s="1172">
        <v>106012.42499444949</v>
      </c>
    </row>
    <row r="1691" spans="1:3">
      <c r="A1691" s="723"/>
      <c r="B1691" s="220" t="s">
        <v>6132</v>
      </c>
      <c r="C1691" s="1172">
        <v>106012.42499444949</v>
      </c>
    </row>
    <row r="1692" spans="1:3">
      <c r="A1692" s="723"/>
      <c r="B1692" s="220" t="s">
        <v>6133</v>
      </c>
      <c r="C1692" s="1172">
        <v>87277.850879096295</v>
      </c>
    </row>
    <row r="1693" spans="1:3">
      <c r="A1693" s="723"/>
      <c r="B1693" s="220" t="s">
        <v>6134</v>
      </c>
      <c r="C1693" s="1172">
        <v>87277.850879096295</v>
      </c>
    </row>
    <row r="1694" spans="1:3">
      <c r="A1694" s="723"/>
      <c r="B1694" s="220" t="s">
        <v>6135</v>
      </c>
      <c r="C1694" s="1172">
        <v>20136.618090557393</v>
      </c>
    </row>
    <row r="1695" spans="1:3">
      <c r="A1695" s="723"/>
      <c r="B1695" s="220" t="s">
        <v>6136</v>
      </c>
      <c r="C1695" s="1172">
        <v>62551.098535576341</v>
      </c>
    </row>
    <row r="1696" spans="1:3">
      <c r="A1696" s="723"/>
      <c r="B1696" s="220" t="s">
        <v>6137</v>
      </c>
      <c r="C1696" s="1172">
        <v>615.39008342245984</v>
      </c>
    </row>
    <row r="1697" spans="1:3">
      <c r="A1697" s="723"/>
      <c r="B1697" s="633" t="s">
        <v>6138</v>
      </c>
      <c r="C1697" s="1172">
        <v>36426.901995363005</v>
      </c>
    </row>
    <row r="1698" spans="1:3">
      <c r="A1698" s="723"/>
      <c r="B1698" s="633" t="s">
        <v>6139</v>
      </c>
      <c r="C1698" s="1172">
        <v>36426.901995363005</v>
      </c>
    </row>
    <row r="1699" spans="1:3">
      <c r="A1699" s="723"/>
      <c r="B1699" s="633" t="s">
        <v>6140</v>
      </c>
      <c r="C1699" s="1172">
        <v>33992.302523002589</v>
      </c>
    </row>
    <row r="1700" spans="1:3">
      <c r="A1700" s="723"/>
      <c r="B1700" s="220" t="s">
        <v>6141</v>
      </c>
      <c r="C1700" s="1172">
        <v>3749.8012191889752</v>
      </c>
    </row>
    <row r="1701" spans="1:3">
      <c r="A1701" s="723"/>
      <c r="B1701" s="220" t="s">
        <v>6142</v>
      </c>
      <c r="C1701" s="1172">
        <v>48543.555387689659</v>
      </c>
    </row>
    <row r="1702" spans="1:3">
      <c r="A1702" s="723"/>
      <c r="B1702" s="220" t="s">
        <v>6143</v>
      </c>
      <c r="C1702" s="1172">
        <v>189167.22449229649</v>
      </c>
    </row>
    <row r="1703" spans="1:3">
      <c r="A1703" s="723"/>
      <c r="B1703" s="633" t="s">
        <v>6144</v>
      </c>
      <c r="C1703" s="1172">
        <v>216124.0034000657</v>
      </c>
    </row>
    <row r="1704" spans="1:3">
      <c r="A1704" s="723"/>
      <c r="B1704" s="633" t="s">
        <v>6145</v>
      </c>
      <c r="C1704" s="1172">
        <v>134570.11249132303</v>
      </c>
    </row>
    <row r="1705" spans="1:3">
      <c r="A1705" s="1187"/>
      <c r="B1705" s="1185" t="s">
        <v>6148</v>
      </c>
      <c r="C1705" s="1186"/>
    </row>
    <row r="1706" spans="1:3">
      <c r="A1706" s="723" t="s">
        <v>6149</v>
      </c>
      <c r="B1706" s="220" t="s">
        <v>6120</v>
      </c>
      <c r="C1706" s="1172">
        <v>70415.236495493649</v>
      </c>
    </row>
    <row r="1707" spans="1:3">
      <c r="A1707" s="723"/>
      <c r="B1707" s="633" t="s">
        <v>6121</v>
      </c>
      <c r="C1707" s="1172">
        <v>70415.236495493649</v>
      </c>
    </row>
    <row r="1708" spans="1:3">
      <c r="A1708" s="723"/>
      <c r="B1708" s="633" t="s">
        <v>6122</v>
      </c>
      <c r="C1708" s="1172">
        <v>70415.236495493649</v>
      </c>
    </row>
    <row r="1709" spans="1:3">
      <c r="A1709" s="723"/>
      <c r="B1709" s="633" t="s">
        <v>6123</v>
      </c>
      <c r="C1709" s="1172">
        <v>70415.236495493649</v>
      </c>
    </row>
    <row r="1710" spans="1:3">
      <c r="A1710" s="723"/>
      <c r="B1710" s="633" t="s">
        <v>6124</v>
      </c>
      <c r="C1710" s="1172">
        <v>70415.236495493649</v>
      </c>
    </row>
    <row r="1711" spans="1:3">
      <c r="A1711" s="723"/>
      <c r="B1711" s="633" t="s">
        <v>6125</v>
      </c>
      <c r="C1711" s="1172">
        <v>70415.236495493649</v>
      </c>
    </row>
    <row r="1712" spans="1:3">
      <c r="A1712" s="723"/>
      <c r="B1712" s="633" t="s">
        <v>6126</v>
      </c>
      <c r="C1712" s="1172">
        <v>70415.236495493649</v>
      </c>
    </row>
    <row r="1713" spans="1:3">
      <c r="A1713" s="723"/>
      <c r="B1713" s="633" t="s">
        <v>6127</v>
      </c>
      <c r="C1713" s="1172">
        <v>70415.236495493649</v>
      </c>
    </row>
    <row r="1714" spans="1:3">
      <c r="A1714" s="723"/>
      <c r="B1714" s="633" t="s">
        <v>6128</v>
      </c>
      <c r="C1714" s="1172">
        <v>70415.236495493649</v>
      </c>
    </row>
    <row r="1715" spans="1:3">
      <c r="A1715" s="723"/>
      <c r="B1715" s="633" t="s">
        <v>6129</v>
      </c>
      <c r="C1715" s="1172">
        <v>615.39008342245984</v>
      </c>
    </row>
    <row r="1716" spans="1:3">
      <c r="A1716" s="723"/>
      <c r="B1716" s="220" t="s">
        <v>50</v>
      </c>
      <c r="C1716" s="1172">
        <v>138633.82081554571</v>
      </c>
    </row>
    <row r="1717" spans="1:3">
      <c r="A1717" s="723"/>
      <c r="B1717" s="220" t="s">
        <v>3519</v>
      </c>
      <c r="C1717" s="1172">
        <v>138633.82081554571</v>
      </c>
    </row>
    <row r="1718" spans="1:3">
      <c r="A1718" s="723"/>
      <c r="B1718" s="633" t="s">
        <v>6130</v>
      </c>
      <c r="C1718" s="1172">
        <v>142217.78903377001</v>
      </c>
    </row>
    <row r="1719" spans="1:3">
      <c r="A1719" s="723"/>
      <c r="B1719" s="220" t="s">
        <v>6131</v>
      </c>
      <c r="C1719" s="1172">
        <v>218629.75925053674</v>
      </c>
    </row>
    <row r="1720" spans="1:3">
      <c r="A1720" s="723"/>
      <c r="B1720" s="220" t="s">
        <v>6132</v>
      </c>
      <c r="C1720" s="1172">
        <v>218629.75925053674</v>
      </c>
    </row>
    <row r="1721" spans="1:3">
      <c r="A1721" s="723"/>
      <c r="B1721" s="220" t="s">
        <v>6133</v>
      </c>
      <c r="C1721" s="1172">
        <v>160637.62679028435</v>
      </c>
    </row>
    <row r="1722" spans="1:3">
      <c r="A1722" s="723"/>
      <c r="B1722" s="220" t="s">
        <v>6134</v>
      </c>
      <c r="C1722" s="1172">
        <v>160637.62679028435</v>
      </c>
    </row>
    <row r="1723" spans="1:3">
      <c r="A1723" s="723"/>
      <c r="B1723" s="220" t="s">
        <v>6135</v>
      </c>
      <c r="C1723" s="1172">
        <v>39431.052611067469</v>
      </c>
    </row>
    <row r="1724" spans="1:3">
      <c r="A1724" s="723"/>
      <c r="B1724" s="220" t="s">
        <v>6136</v>
      </c>
      <c r="C1724" s="1172">
        <v>114612.79624085034</v>
      </c>
    </row>
    <row r="1725" spans="1:3">
      <c r="A1725" s="723"/>
      <c r="B1725" s="220" t="s">
        <v>6137</v>
      </c>
      <c r="C1725" s="1172">
        <v>615.39008342245984</v>
      </c>
    </row>
    <row r="1726" spans="1:3">
      <c r="A1726" s="723"/>
      <c r="B1726" s="633" t="s">
        <v>6138</v>
      </c>
      <c r="C1726" s="1172">
        <v>68723.781450000242</v>
      </c>
    </row>
    <row r="1727" spans="1:3">
      <c r="A1727" s="723"/>
      <c r="B1727" s="633" t="s">
        <v>6139</v>
      </c>
      <c r="C1727" s="1172">
        <v>68723.781450000242</v>
      </c>
    </row>
    <row r="1728" spans="1:3">
      <c r="A1728" s="723"/>
      <c r="B1728" s="633" t="s">
        <v>6140</v>
      </c>
      <c r="C1728" s="1172">
        <v>66289.181977639833</v>
      </c>
    </row>
    <row r="1729" spans="1:3">
      <c r="A1729" s="723"/>
      <c r="B1729" s="220" t="s">
        <v>6141</v>
      </c>
      <c r="C1729" s="1172">
        <v>4999.7349589186333</v>
      </c>
    </row>
    <row r="1730" spans="1:3">
      <c r="A1730" s="723"/>
      <c r="B1730" s="220" t="s">
        <v>6142</v>
      </c>
      <c r="C1730" s="1172">
        <v>48543.555387689659</v>
      </c>
    </row>
    <row r="1731" spans="1:3">
      <c r="A1731" s="723"/>
      <c r="B1731" s="220" t="s">
        <v>6143</v>
      </c>
      <c r="C1731" s="1172">
        <v>222516.75400470028</v>
      </c>
    </row>
    <row r="1732" spans="1:3">
      <c r="A1732" s="723"/>
      <c r="B1732" s="633" t="s">
        <v>6144</v>
      </c>
      <c r="C1732" s="1172">
        <v>354406.6446382748</v>
      </c>
    </row>
    <row r="1733" spans="1:3">
      <c r="A1733" s="723"/>
      <c r="B1733" s="633" t="s">
        <v>6145</v>
      </c>
      <c r="C1733" s="1172">
        <v>245287.83478699805</v>
      </c>
    </row>
    <row r="1736" spans="1:3" ht="20">
      <c r="A1736" s="1179"/>
      <c r="B1736" s="1180" t="s">
        <v>6114</v>
      </c>
      <c r="C1736" s="1181"/>
    </row>
    <row r="1737" spans="1:3">
      <c r="A1737" s="1177" t="s">
        <v>6002</v>
      </c>
      <c r="B1737" s="1128" t="s">
        <v>6115</v>
      </c>
      <c r="C1737" s="1131"/>
    </row>
    <row r="1738" spans="1:3">
      <c r="A1738" s="1184">
        <v>4</v>
      </c>
      <c r="B1738" s="1185" t="s">
        <v>6116</v>
      </c>
      <c r="C1738" s="1186"/>
    </row>
    <row r="1739" spans="1:3">
      <c r="A1739" s="723"/>
      <c r="B1739" s="220" t="s">
        <v>6117</v>
      </c>
      <c r="C1739" s="633" t="s">
        <v>6118</v>
      </c>
    </row>
    <row r="1740" spans="1:3">
      <c r="A1740" s="723" t="s">
        <v>6119</v>
      </c>
      <c r="B1740" s="220" t="s">
        <v>6120</v>
      </c>
      <c r="C1740" s="1172">
        <v>15793.535539996074</v>
      </c>
    </row>
    <row r="1741" spans="1:3">
      <c r="A1741" s="723"/>
      <c r="B1741" s="633" t="s">
        <v>6121</v>
      </c>
      <c r="C1741" s="1172">
        <v>15793.535539996074</v>
      </c>
    </row>
    <row r="1742" spans="1:3">
      <c r="A1742" s="723"/>
      <c r="B1742" s="633" t="s">
        <v>6122</v>
      </c>
      <c r="C1742" s="1172">
        <v>15793.535539996074</v>
      </c>
    </row>
    <row r="1743" spans="1:3">
      <c r="A1743" s="723"/>
      <c r="B1743" s="633" t="s">
        <v>6123</v>
      </c>
      <c r="C1743" s="1172">
        <v>15793.535539996074</v>
      </c>
    </row>
    <row r="1744" spans="1:3">
      <c r="A1744" s="723"/>
      <c r="B1744" s="633" t="s">
        <v>6124</v>
      </c>
      <c r="C1744" s="1172">
        <v>15793.535539996074</v>
      </c>
    </row>
    <row r="1745" spans="1:3">
      <c r="A1745" s="723"/>
      <c r="B1745" s="633" t="s">
        <v>6125</v>
      </c>
      <c r="C1745" s="1172">
        <v>15793.535539996074</v>
      </c>
    </row>
    <row r="1746" spans="1:3">
      <c r="A1746" s="723"/>
      <c r="B1746" s="633" t="s">
        <v>6126</v>
      </c>
      <c r="C1746" s="1172">
        <v>15793.535539996074</v>
      </c>
    </row>
    <row r="1747" spans="1:3">
      <c r="A1747" s="723"/>
      <c r="B1747" s="633" t="s">
        <v>6127</v>
      </c>
      <c r="C1747" s="1172">
        <v>15793.535539996074</v>
      </c>
    </row>
    <row r="1748" spans="1:3">
      <c r="A1748" s="723"/>
      <c r="B1748" s="633" t="s">
        <v>6128</v>
      </c>
      <c r="C1748" s="1172">
        <v>15793.535539996074</v>
      </c>
    </row>
    <row r="1749" spans="1:3">
      <c r="A1749" s="723"/>
      <c r="B1749" s="633" t="s">
        <v>6129</v>
      </c>
      <c r="C1749" s="1172">
        <v>615.39008342245984</v>
      </c>
    </row>
    <row r="1750" spans="1:3">
      <c r="A1750" s="723"/>
      <c r="B1750" s="220" t="s">
        <v>50</v>
      </c>
      <c r="C1750" s="1172">
        <v>1217.0660847213492</v>
      </c>
    </row>
    <row r="1751" spans="1:3">
      <c r="A1751" s="723"/>
      <c r="B1751" s="220" t="s">
        <v>3519</v>
      </c>
      <c r="C1751" s="1172">
        <v>1217.0660847213492</v>
      </c>
    </row>
    <row r="1752" spans="1:3">
      <c r="A1752" s="723"/>
      <c r="B1752" s="633" t="s">
        <v>6130</v>
      </c>
      <c r="C1752" s="1172">
        <v>860.39920013666426</v>
      </c>
    </row>
    <row r="1753" spans="1:3">
      <c r="A1753" s="723"/>
      <c r="B1753" s="220" t="s">
        <v>6131</v>
      </c>
      <c r="C1753" s="1172">
        <v>58859.382028416068</v>
      </c>
    </row>
    <row r="1754" spans="1:3">
      <c r="A1754" s="723"/>
      <c r="B1754" s="220" t="s">
        <v>6132</v>
      </c>
      <c r="C1754" s="1172">
        <v>58859.382028416068</v>
      </c>
    </row>
    <row r="1755" spans="1:3">
      <c r="A1755" s="723"/>
      <c r="B1755" s="220" t="s">
        <v>6133</v>
      </c>
      <c r="C1755" s="1172">
        <v>2709.1797841536459</v>
      </c>
    </row>
    <row r="1756" spans="1:3">
      <c r="A1756" s="723"/>
      <c r="B1756" s="220" t="s">
        <v>6134</v>
      </c>
      <c r="C1756" s="1172">
        <v>2709.1797841536459</v>
      </c>
    </row>
    <row r="1757" spans="1:3">
      <c r="A1757" s="723"/>
      <c r="B1757" s="220" t="s">
        <v>6135</v>
      </c>
      <c r="C1757" s="1172">
        <v>0</v>
      </c>
    </row>
    <row r="1758" spans="1:3">
      <c r="A1758" s="723"/>
      <c r="B1758" s="220" t="s">
        <v>6136</v>
      </c>
      <c r="C1758" s="1172">
        <v>24372.554078613746</v>
      </c>
    </row>
    <row r="1759" spans="1:3">
      <c r="A1759" s="723"/>
      <c r="B1759" s="220" t="s">
        <v>6137</v>
      </c>
      <c r="C1759" s="1172">
        <v>615.39008342245984</v>
      </c>
    </row>
    <row r="1760" spans="1:3">
      <c r="A1760" s="723"/>
      <c r="B1760" s="633" t="s">
        <v>6138</v>
      </c>
      <c r="C1760" s="1172">
        <v>16444.957306241584</v>
      </c>
    </row>
    <row r="1761" spans="1:3">
      <c r="A1761" s="723"/>
      <c r="B1761" s="633" t="s">
        <v>6139</v>
      </c>
      <c r="C1761" s="1172">
        <v>16444.957306241584</v>
      </c>
    </row>
    <row r="1762" spans="1:3">
      <c r="A1762" s="723"/>
      <c r="B1762" s="633" t="s">
        <v>6140</v>
      </c>
      <c r="C1762" s="1172">
        <v>14998.238656107189</v>
      </c>
    </row>
    <row r="1763" spans="1:3">
      <c r="A1763" s="723"/>
      <c r="B1763" s="220" t="s">
        <v>6141</v>
      </c>
      <c r="C1763" s="1172">
        <v>2499.8674794593167</v>
      </c>
    </row>
    <row r="1764" spans="1:3">
      <c r="A1764" s="723"/>
      <c r="B1764" s="220" t="s">
        <v>6142</v>
      </c>
      <c r="C1764" s="1172">
        <v>32140.792422095365</v>
      </c>
    </row>
    <row r="1765" spans="1:3">
      <c r="A1765" s="723"/>
      <c r="B1765" s="220" t="s">
        <v>6143</v>
      </c>
      <c r="C1765" s="1172">
        <v>5513.4302822925574</v>
      </c>
    </row>
    <row r="1766" spans="1:3">
      <c r="A1766" s="723"/>
      <c r="B1766" s="633" t="s">
        <v>6144</v>
      </c>
      <c r="C1766" s="1172">
        <v>134602.19700079926</v>
      </c>
    </row>
    <row r="1767" spans="1:3">
      <c r="A1767" s="723"/>
      <c r="B1767" s="633" t="s">
        <v>6145</v>
      </c>
      <c r="C1767" s="1172">
        <v>113958.93551980422</v>
      </c>
    </row>
    <row r="1768" spans="1:3">
      <c r="A1768" s="1187"/>
      <c r="B1768" s="1185" t="s">
        <v>6146</v>
      </c>
      <c r="C1768" s="1186"/>
    </row>
    <row r="1769" spans="1:3">
      <c r="A1769" s="723" t="s">
        <v>6150</v>
      </c>
      <c r="B1769" s="220" t="s">
        <v>6120</v>
      </c>
      <c r="C1769" s="1172">
        <v>70415.236495493649</v>
      </c>
    </row>
    <row r="1770" spans="1:3">
      <c r="A1770" s="723"/>
      <c r="B1770" s="633" t="s">
        <v>6121</v>
      </c>
      <c r="C1770" s="1172">
        <v>70415.236495493649</v>
      </c>
    </row>
    <row r="1771" spans="1:3">
      <c r="A1771" s="723"/>
      <c r="B1771" s="633" t="s">
        <v>6122</v>
      </c>
      <c r="C1771" s="1172">
        <v>70415.236495493649</v>
      </c>
    </row>
    <row r="1772" spans="1:3">
      <c r="A1772" s="723"/>
      <c r="B1772" s="633" t="s">
        <v>6123</v>
      </c>
      <c r="C1772" s="1172">
        <v>70415.236495493649</v>
      </c>
    </row>
    <row r="1773" spans="1:3">
      <c r="A1773" s="723"/>
      <c r="B1773" s="633" t="s">
        <v>6124</v>
      </c>
      <c r="C1773" s="1172">
        <v>70415.236495493649</v>
      </c>
    </row>
    <row r="1774" spans="1:3">
      <c r="A1774" s="723"/>
      <c r="B1774" s="633" t="s">
        <v>6125</v>
      </c>
      <c r="C1774" s="1172">
        <v>70415.236495493649</v>
      </c>
    </row>
    <row r="1775" spans="1:3">
      <c r="A1775" s="723"/>
      <c r="B1775" s="633" t="s">
        <v>6126</v>
      </c>
      <c r="C1775" s="1172">
        <v>70415.236495493649</v>
      </c>
    </row>
    <row r="1776" spans="1:3">
      <c r="A1776" s="723"/>
      <c r="B1776" s="633" t="s">
        <v>6127</v>
      </c>
      <c r="C1776" s="1172">
        <v>70415.236495493649</v>
      </c>
    </row>
    <row r="1777" spans="1:3">
      <c r="A1777" s="723"/>
      <c r="B1777" s="633" t="s">
        <v>6128</v>
      </c>
      <c r="C1777" s="1172">
        <v>70415.236495493649</v>
      </c>
    </row>
    <row r="1778" spans="1:3">
      <c r="A1778" s="723"/>
      <c r="B1778" s="633" t="s">
        <v>6129</v>
      </c>
      <c r="C1778" s="1172">
        <v>615.39008342245984</v>
      </c>
    </row>
    <row r="1779" spans="1:3">
      <c r="A1779" s="723"/>
      <c r="B1779" s="220" t="s">
        <v>50</v>
      </c>
      <c r="C1779" s="1172">
        <v>66652.775724390434</v>
      </c>
    </row>
    <row r="1780" spans="1:3">
      <c r="A1780" s="723"/>
      <c r="B1780" s="220" t="s">
        <v>3519</v>
      </c>
      <c r="C1780" s="1172">
        <v>66652.775724390434</v>
      </c>
    </row>
    <row r="1781" spans="1:3">
      <c r="A1781" s="723"/>
      <c r="B1781" s="633" t="s">
        <v>6130</v>
      </c>
      <c r="C1781" s="1172">
        <v>67436.081031866575</v>
      </c>
    </row>
    <row r="1782" spans="1:3">
      <c r="A1782" s="723"/>
      <c r="B1782" s="220" t="s">
        <v>6131</v>
      </c>
      <c r="C1782" s="1172">
        <v>106012.42499444949</v>
      </c>
    </row>
    <row r="1783" spans="1:3">
      <c r="A1783" s="723"/>
      <c r="B1783" s="220" t="s">
        <v>6132</v>
      </c>
      <c r="C1783" s="1172">
        <v>106012.42499444949</v>
      </c>
    </row>
    <row r="1784" spans="1:3">
      <c r="A1784" s="723"/>
      <c r="B1784" s="220" t="s">
        <v>6133</v>
      </c>
      <c r="C1784" s="1172">
        <v>87277.850879096295</v>
      </c>
    </row>
    <row r="1785" spans="1:3">
      <c r="A1785" s="723"/>
      <c r="B1785" s="220" t="s">
        <v>6134</v>
      </c>
      <c r="C1785" s="1172">
        <v>87277.850879096295</v>
      </c>
    </row>
    <row r="1786" spans="1:3">
      <c r="A1786" s="723"/>
      <c r="B1786" s="220" t="s">
        <v>6135</v>
      </c>
      <c r="C1786" s="1172">
        <v>20136.618090557393</v>
      </c>
    </row>
    <row r="1787" spans="1:3">
      <c r="A1787" s="723"/>
      <c r="B1787" s="220" t="s">
        <v>6136</v>
      </c>
      <c r="C1787" s="1172">
        <v>62551.098535576341</v>
      </c>
    </row>
    <row r="1788" spans="1:3">
      <c r="A1788" s="723"/>
      <c r="B1788" s="220" t="s">
        <v>6137</v>
      </c>
      <c r="C1788" s="1172">
        <v>615.39008342245984</v>
      </c>
    </row>
    <row r="1789" spans="1:3">
      <c r="A1789" s="723"/>
      <c r="B1789" s="633" t="s">
        <v>6138</v>
      </c>
      <c r="C1789" s="1172">
        <v>36426.901995363005</v>
      </c>
    </row>
    <row r="1790" spans="1:3">
      <c r="A1790" s="723"/>
      <c r="B1790" s="633" t="s">
        <v>6139</v>
      </c>
      <c r="C1790" s="1172">
        <v>36426.901995363005</v>
      </c>
    </row>
    <row r="1791" spans="1:3">
      <c r="A1791" s="723"/>
      <c r="B1791" s="633" t="s">
        <v>6140</v>
      </c>
      <c r="C1791" s="1172">
        <v>33992.302523002589</v>
      </c>
    </row>
    <row r="1792" spans="1:3">
      <c r="A1792" s="723"/>
      <c r="B1792" s="220" t="s">
        <v>6141</v>
      </c>
      <c r="C1792" s="1172">
        <v>3749.8012191889752</v>
      </c>
    </row>
    <row r="1793" spans="1:3">
      <c r="A1793" s="723"/>
      <c r="B1793" s="220" t="s">
        <v>6142</v>
      </c>
      <c r="C1793" s="1172">
        <v>48543.555387689659</v>
      </c>
    </row>
    <row r="1794" spans="1:3">
      <c r="A1794" s="723"/>
      <c r="B1794" s="220" t="s">
        <v>6143</v>
      </c>
      <c r="C1794" s="1172">
        <v>189167.22449229649</v>
      </c>
    </row>
    <row r="1795" spans="1:3">
      <c r="A1795" s="723"/>
      <c r="B1795" s="633" t="s">
        <v>6144</v>
      </c>
      <c r="C1795" s="1172">
        <v>216124.0034000657</v>
      </c>
    </row>
    <row r="1796" spans="1:3">
      <c r="A1796" s="723"/>
      <c r="B1796" s="633" t="s">
        <v>6145</v>
      </c>
      <c r="C1796" s="1172">
        <v>134570.11249132303</v>
      </c>
    </row>
    <row r="1799" spans="1:3" ht="20">
      <c r="A1799" s="1179"/>
      <c r="B1799" s="1180" t="s">
        <v>6114</v>
      </c>
      <c r="C1799" s="1181"/>
    </row>
    <row r="1800" spans="1:3">
      <c r="A1800" s="1177" t="s">
        <v>6002</v>
      </c>
      <c r="B1800" s="1128" t="s">
        <v>6115</v>
      </c>
      <c r="C1800" s="1131"/>
    </row>
    <row r="1801" spans="1:3">
      <c r="A1801" s="1184">
        <v>4</v>
      </c>
      <c r="B1801" s="1185" t="s">
        <v>6116</v>
      </c>
      <c r="C1801" s="1186"/>
    </row>
    <row r="1802" spans="1:3">
      <c r="A1802" s="723"/>
      <c r="B1802" s="220" t="s">
        <v>6117</v>
      </c>
      <c r="C1802" s="633" t="s">
        <v>6118</v>
      </c>
    </row>
    <row r="1803" spans="1:3">
      <c r="A1803" s="723" t="s">
        <v>6151</v>
      </c>
      <c r="B1803" s="220" t="s">
        <v>6120</v>
      </c>
      <c r="C1803" s="1172">
        <v>15793.535539996074</v>
      </c>
    </row>
    <row r="1804" spans="1:3">
      <c r="A1804" s="723"/>
      <c r="B1804" s="633" t="s">
        <v>6121</v>
      </c>
      <c r="C1804" s="1172">
        <v>15793.535539996074</v>
      </c>
    </row>
    <row r="1805" spans="1:3">
      <c r="A1805" s="723"/>
      <c r="B1805" s="633" t="s">
        <v>6122</v>
      </c>
      <c r="C1805" s="1172">
        <v>15793.535539996074</v>
      </c>
    </row>
    <row r="1806" spans="1:3">
      <c r="A1806" s="723"/>
      <c r="B1806" s="633" t="s">
        <v>6123</v>
      </c>
      <c r="C1806" s="1172">
        <v>15793.535539996074</v>
      </c>
    </row>
    <row r="1807" spans="1:3">
      <c r="A1807" s="723"/>
      <c r="B1807" s="633" t="s">
        <v>6124</v>
      </c>
      <c r="C1807" s="1172">
        <v>15793.535539996074</v>
      </c>
    </row>
    <row r="1808" spans="1:3">
      <c r="A1808" s="723"/>
      <c r="B1808" s="633" t="s">
        <v>6125</v>
      </c>
      <c r="C1808" s="1172">
        <v>15793.535539996074</v>
      </c>
    </row>
    <row r="1809" spans="1:3">
      <c r="A1809" s="723"/>
      <c r="B1809" s="633" t="s">
        <v>6126</v>
      </c>
      <c r="C1809" s="1172">
        <v>15793.535539996074</v>
      </c>
    </row>
    <row r="1810" spans="1:3">
      <c r="A1810" s="723"/>
      <c r="B1810" s="633" t="s">
        <v>6127</v>
      </c>
      <c r="C1810" s="1172">
        <v>15793.535539996074</v>
      </c>
    </row>
    <row r="1811" spans="1:3">
      <c r="A1811" s="723"/>
      <c r="B1811" s="633" t="s">
        <v>6128</v>
      </c>
      <c r="C1811" s="1172">
        <v>15793.535539996074</v>
      </c>
    </row>
    <row r="1812" spans="1:3">
      <c r="A1812" s="723"/>
      <c r="B1812" s="633" t="s">
        <v>6129</v>
      </c>
      <c r="C1812" s="1172">
        <v>615.39008342245984</v>
      </c>
    </row>
    <row r="1813" spans="1:3">
      <c r="A1813" s="723"/>
      <c r="B1813" s="220" t="s">
        <v>50</v>
      </c>
      <c r="C1813" s="1172">
        <v>1217.0660847213492</v>
      </c>
    </row>
    <row r="1814" spans="1:3">
      <c r="A1814" s="723"/>
      <c r="B1814" s="220" t="s">
        <v>3519</v>
      </c>
      <c r="C1814" s="1172">
        <v>1217.0660847213492</v>
      </c>
    </row>
    <row r="1815" spans="1:3">
      <c r="A1815" s="723"/>
      <c r="B1815" s="633" t="s">
        <v>6130</v>
      </c>
      <c r="C1815" s="1172">
        <v>860.39920013666426</v>
      </c>
    </row>
    <row r="1816" spans="1:3">
      <c r="A1816" s="723"/>
      <c r="B1816" s="220" t="s">
        <v>6131</v>
      </c>
      <c r="C1816" s="1172">
        <v>58859.382028416068</v>
      </c>
    </row>
    <row r="1817" spans="1:3">
      <c r="A1817" s="723"/>
      <c r="B1817" s="220" t="s">
        <v>6132</v>
      </c>
      <c r="C1817" s="1172">
        <v>58859.382028416068</v>
      </c>
    </row>
    <row r="1818" spans="1:3">
      <c r="A1818" s="723"/>
      <c r="B1818" s="220" t="s">
        <v>6133</v>
      </c>
      <c r="C1818" s="1172">
        <v>2709.1797841536459</v>
      </c>
    </row>
    <row r="1819" spans="1:3">
      <c r="A1819" s="723"/>
      <c r="B1819" s="220" t="s">
        <v>6134</v>
      </c>
      <c r="C1819" s="1172">
        <v>2709.1797841536459</v>
      </c>
    </row>
    <row r="1820" spans="1:3">
      <c r="A1820" s="723"/>
      <c r="B1820" s="220" t="s">
        <v>6135</v>
      </c>
      <c r="C1820" s="1172">
        <v>0</v>
      </c>
    </row>
    <row r="1821" spans="1:3">
      <c r="A1821" s="723"/>
      <c r="B1821" s="220" t="s">
        <v>6136</v>
      </c>
      <c r="C1821" s="1172">
        <v>24372.554078613746</v>
      </c>
    </row>
    <row r="1822" spans="1:3">
      <c r="A1822" s="723"/>
      <c r="B1822" s="220" t="s">
        <v>6137</v>
      </c>
      <c r="C1822" s="1172">
        <v>615.39008342245984</v>
      </c>
    </row>
    <row r="1823" spans="1:3">
      <c r="A1823" s="723"/>
      <c r="B1823" s="633" t="s">
        <v>6138</v>
      </c>
      <c r="C1823" s="1172">
        <v>16444.957306241584</v>
      </c>
    </row>
    <row r="1824" spans="1:3">
      <c r="A1824" s="723"/>
      <c r="B1824" s="633" t="s">
        <v>6139</v>
      </c>
      <c r="C1824" s="1172">
        <v>16444.957306241584</v>
      </c>
    </row>
    <row r="1825" spans="1:5">
      <c r="A1825" s="723"/>
      <c r="B1825" s="633" t="s">
        <v>6140</v>
      </c>
      <c r="C1825" s="1172">
        <v>14998.238656107189</v>
      </c>
    </row>
    <row r="1826" spans="1:5">
      <c r="A1826" s="723"/>
      <c r="B1826" s="220" t="s">
        <v>6141</v>
      </c>
      <c r="C1826" s="1172">
        <v>2499.8674794593167</v>
      </c>
    </row>
    <row r="1827" spans="1:5">
      <c r="A1827" s="723"/>
      <c r="B1827" s="220" t="s">
        <v>6142</v>
      </c>
      <c r="C1827" s="1172">
        <v>32140.792422095365</v>
      </c>
    </row>
    <row r="1828" spans="1:5">
      <c r="A1828" s="723"/>
      <c r="B1828" s="220" t="s">
        <v>6143</v>
      </c>
      <c r="C1828" s="1172">
        <v>5513.4302822925574</v>
      </c>
    </row>
    <row r="1829" spans="1:5">
      <c r="A1829" s="723"/>
      <c r="B1829" s="633" t="s">
        <v>6144</v>
      </c>
      <c r="C1829" s="1172">
        <v>134602.19700079926</v>
      </c>
    </row>
    <row r="1830" spans="1:5">
      <c r="A1830" s="723"/>
      <c r="B1830" s="633" t="s">
        <v>6145</v>
      </c>
      <c r="C1830" s="1172">
        <v>113958.93551980422</v>
      </c>
    </row>
    <row r="1833" spans="1:5">
      <c r="A1833" s="723"/>
      <c r="B1833" s="220" t="s">
        <v>6152</v>
      </c>
      <c r="C1833" s="723" t="s">
        <v>6154</v>
      </c>
      <c r="D1833" s="810">
        <v>17.200849956393093</v>
      </c>
      <c r="E1833" s="725" t="s">
        <v>6153</v>
      </c>
    </row>
    <row r="1836" spans="1:5">
      <c r="A1836" s="723"/>
      <c r="B1836" s="220" t="s">
        <v>6155</v>
      </c>
      <c r="C1836" s="723" t="s">
        <v>6156</v>
      </c>
      <c r="D1836" s="810">
        <v>18.819499575878012</v>
      </c>
      <c r="E1836" s="725" t="s">
        <v>6153</v>
      </c>
    </row>
    <row r="1839" spans="1:5">
      <c r="A1839" s="723"/>
      <c r="B1839" s="220" t="s">
        <v>6157</v>
      </c>
      <c r="C1839" s="723" t="s">
        <v>6159</v>
      </c>
      <c r="D1839" s="810">
        <v>0.26599808746868864</v>
      </c>
      <c r="E1839" s="725" t="s">
        <v>6158</v>
      </c>
    </row>
    <row r="1842" spans="1:5">
      <c r="A1842" s="723"/>
      <c r="B1842" s="220" t="s">
        <v>6160</v>
      </c>
      <c r="C1842" s="723" t="s">
        <v>6161</v>
      </c>
      <c r="D1842" s="810">
        <v>0.38318831991939695</v>
      </c>
      <c r="E1842" s="725" t="s">
        <v>6158</v>
      </c>
    </row>
    <row r="1845" spans="1:5">
      <c r="A1845" s="723"/>
      <c r="B1845" s="220" t="s">
        <v>6162</v>
      </c>
      <c r="C1845" s="723" t="s">
        <v>6164</v>
      </c>
      <c r="D1845" s="810">
        <v>5.5573636935648949</v>
      </c>
      <c r="E1845" s="725" t="s">
        <v>6163</v>
      </c>
    </row>
    <row r="1848" spans="1:5">
      <c r="A1848" s="723"/>
      <c r="B1848" s="220" t="s">
        <v>6165</v>
      </c>
      <c r="C1848" s="723" t="s">
        <v>6166</v>
      </c>
      <c r="D1848" s="810">
        <v>6.0105855870206728</v>
      </c>
      <c r="E1848" s="725" t="s">
        <v>6163</v>
      </c>
    </row>
    <row r="1851" spans="1:5">
      <c r="A1851" s="723" t="s">
        <v>6168</v>
      </c>
      <c r="B1851" s="633" t="s">
        <v>6167</v>
      </c>
      <c r="C1851" s="1147">
        <v>2722.1435719501874</v>
      </c>
      <c r="D1851" s="1147">
        <v>2600</v>
      </c>
    </row>
    <row r="1854" spans="1:5">
      <c r="A1854" s="1177"/>
      <c r="B1854" s="1128" t="s">
        <v>6169</v>
      </c>
      <c r="C1854" s="1131"/>
    </row>
    <row r="1855" spans="1:5">
      <c r="A1855" s="1134"/>
      <c r="B1855" s="1151" t="s">
        <v>6059</v>
      </c>
      <c r="C1855" s="1133" t="s">
        <v>6060</v>
      </c>
    </row>
    <row r="1856" spans="1:5">
      <c r="A1856" s="723" t="s">
        <v>6170</v>
      </c>
      <c r="B1856" s="220">
        <v>0</v>
      </c>
      <c r="C1856" s="1147">
        <v>953.90523240122491</v>
      </c>
    </row>
    <row r="1857" spans="1:5">
      <c r="A1857" s="723"/>
      <c r="B1857" s="220">
        <v>20000</v>
      </c>
      <c r="C1857" s="1147">
        <v>4769.5261620061247</v>
      </c>
    </row>
    <row r="1858" spans="1:5">
      <c r="A1858" s="723"/>
      <c r="B1858" s="220">
        <v>50000</v>
      </c>
      <c r="C1858" s="1147">
        <v>9857.0207348126569</v>
      </c>
    </row>
    <row r="1861" spans="1:5">
      <c r="A1861" s="723"/>
      <c r="B1861" s="220" t="s">
        <v>6171</v>
      </c>
      <c r="C1861" s="723" t="s">
        <v>6172</v>
      </c>
      <c r="D1861" s="810">
        <v>14784.380530580231</v>
      </c>
      <c r="E1861" s="725" t="s">
        <v>4105</v>
      </c>
    </row>
    <row r="1864" spans="1:5">
      <c r="A1864" s="723"/>
      <c r="B1864" s="220" t="s">
        <v>6173</v>
      </c>
      <c r="C1864" s="723" t="s">
        <v>6174</v>
      </c>
      <c r="D1864" s="810">
        <v>3392.2096819686953</v>
      </c>
      <c r="E1864" s="725" t="s">
        <v>6053</v>
      </c>
    </row>
    <row r="1867" spans="1:5">
      <c r="A1867" s="723"/>
      <c r="B1867" s="220" t="s">
        <v>6175</v>
      </c>
      <c r="C1867" s="723" t="s">
        <v>6176</v>
      </c>
      <c r="D1867" s="810">
        <v>0.56536828032811592</v>
      </c>
      <c r="E1867" s="725" t="s">
        <v>6056</v>
      </c>
    </row>
    <row r="1870" spans="1:5">
      <c r="A1870" s="723" t="s">
        <v>6178</v>
      </c>
      <c r="B1870" s="633" t="s">
        <v>6177</v>
      </c>
      <c r="C1870" s="1147">
        <v>3350.3305500925385</v>
      </c>
      <c r="D1870" s="1147">
        <v>3200</v>
      </c>
    </row>
    <row r="1873" spans="1:4">
      <c r="A1873" s="1177"/>
      <c r="B1873" s="1128" t="s">
        <v>6179</v>
      </c>
      <c r="C1873" s="1131"/>
    </row>
    <row r="1874" spans="1:4">
      <c r="A1874" s="1134"/>
      <c r="B1874" s="1151" t="s">
        <v>6101</v>
      </c>
      <c r="C1874" s="1127" t="s">
        <v>6102</v>
      </c>
    </row>
    <row r="1875" spans="1:4">
      <c r="A1875" s="723" t="s">
        <v>6180</v>
      </c>
      <c r="B1875" s="220">
        <v>0</v>
      </c>
      <c r="C1875" s="1147">
        <v>0</v>
      </c>
    </row>
    <row r="1876" spans="1:4">
      <c r="A1876" s="723"/>
      <c r="B1876" s="220">
        <v>1</v>
      </c>
      <c r="C1876" s="1147">
        <v>1779.8631047366612</v>
      </c>
    </row>
    <row r="1877" spans="1:4">
      <c r="A1877" s="723"/>
      <c r="B1877" s="220">
        <v>5</v>
      </c>
      <c r="C1877" s="1147">
        <v>2722.1435719501874</v>
      </c>
    </row>
    <row r="1880" spans="1:4">
      <c r="A1880" s="1177"/>
      <c r="B1880" s="1128" t="s">
        <v>6181</v>
      </c>
      <c r="C1880" s="1131"/>
      <c r="D1880" s="1131"/>
    </row>
    <row r="1881" spans="1:4">
      <c r="A1881" s="1134"/>
      <c r="B1881" s="1151" t="s">
        <v>6081</v>
      </c>
      <c r="C1881" s="1127" t="s">
        <v>6082</v>
      </c>
      <c r="D1881" s="1188" t="s">
        <v>6182</v>
      </c>
    </row>
    <row r="1882" spans="1:4">
      <c r="A1882" s="723" t="s">
        <v>6183</v>
      </c>
      <c r="B1882" s="220">
        <v>0</v>
      </c>
      <c r="C1882" s="1147" t="s">
        <v>6084</v>
      </c>
      <c r="D1882" s="1147">
        <v>2.6</v>
      </c>
    </row>
    <row r="1883" spans="1:4">
      <c r="A1883" s="723"/>
      <c r="B1883" s="220">
        <v>3.1E-2</v>
      </c>
      <c r="C1883" s="1147" t="s">
        <v>6085</v>
      </c>
      <c r="D1883" s="1147">
        <v>2.2999999999999998</v>
      </c>
    </row>
    <row r="1884" spans="1:4">
      <c r="A1884" s="723"/>
      <c r="B1884" s="220">
        <v>0.1241</v>
      </c>
      <c r="C1884" s="1147" t="s">
        <v>6086</v>
      </c>
      <c r="D1884" s="1147">
        <v>2.2000000000000002</v>
      </c>
    </row>
    <row r="1885" spans="1:4">
      <c r="A1885" s="220"/>
      <c r="B1885" s="220">
        <v>0.30509999999999998</v>
      </c>
      <c r="C1885" s="220" t="s">
        <v>6087</v>
      </c>
      <c r="D1885" s="220">
        <v>1.8</v>
      </c>
    </row>
    <row r="1886" spans="1:4">
      <c r="A1886" s="220"/>
      <c r="B1886" s="220">
        <v>0.74099999999999999</v>
      </c>
      <c r="C1886" s="220" t="s">
        <v>6088</v>
      </c>
      <c r="D1886" s="220">
        <v>1.6</v>
      </c>
    </row>
    <row r="1887" spans="1:4">
      <c r="A1887" s="220"/>
      <c r="B1887" s="220">
        <v>2.1520999999999999</v>
      </c>
      <c r="C1887" s="220" t="s">
        <v>6089</v>
      </c>
      <c r="D1887" s="220">
        <v>1.5</v>
      </c>
    </row>
    <row r="1888" spans="1:4">
      <c r="A1888" s="220"/>
      <c r="B1888" s="220">
        <v>7.3651</v>
      </c>
      <c r="C1888" s="220" t="s">
        <v>6090</v>
      </c>
      <c r="D1888" s="220">
        <v>1.5</v>
      </c>
    </row>
    <row r="1889" spans="1:4">
      <c r="A1889" s="220"/>
      <c r="B1889" s="220">
        <v>22.614100000000001</v>
      </c>
      <c r="C1889" s="220" t="s">
        <v>6091</v>
      </c>
      <c r="D1889" s="220">
        <v>1.4</v>
      </c>
    </row>
  </sheetData>
  <phoneticPr fontId="70"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E104"/>
  <sheetViews>
    <sheetView zoomScaleNormal="100" workbookViewId="0">
      <pane ySplit="3" topLeftCell="A4" activePane="bottomLeft" state="frozen"/>
      <selection pane="bottomLeft" activeCell="C23" sqref="C23"/>
    </sheetView>
  </sheetViews>
  <sheetFormatPr baseColWidth="10" defaultColWidth="8.83203125" defaultRowHeight="13"/>
  <cols>
    <col min="1" max="1" width="56.5" style="69" customWidth="1"/>
    <col min="2" max="2" width="20.83203125" style="71" customWidth="1"/>
    <col min="3" max="3" width="15" style="4" bestFit="1" customWidth="1"/>
    <col min="4" max="4" width="12.5" customWidth="1"/>
  </cols>
  <sheetData>
    <row r="1" spans="1:5">
      <c r="A1" s="20" t="s">
        <v>5498</v>
      </c>
    </row>
    <row r="3" spans="1:5">
      <c r="A3" s="235" t="s">
        <v>5172</v>
      </c>
      <c r="B3" s="236" t="s">
        <v>1989</v>
      </c>
      <c r="C3" s="237" t="s">
        <v>1990</v>
      </c>
      <c r="D3" s="236" t="s">
        <v>2961</v>
      </c>
      <c r="E3" s="236" t="s">
        <v>1991</v>
      </c>
    </row>
    <row r="4" spans="1:5">
      <c r="A4" s="68" t="s">
        <v>969</v>
      </c>
    </row>
    <row r="5" spans="1:5">
      <c r="A5" s="1006" t="s">
        <v>3555</v>
      </c>
    </row>
    <row r="6" spans="1:5">
      <c r="A6" s="400" t="s">
        <v>3556</v>
      </c>
      <c r="B6" s="71" t="s">
        <v>3082</v>
      </c>
      <c r="C6" s="11">
        <f ca="1">mat_pct*SUMPRODUCT(OUTPUT!J223:J225,OUTPUT!L223:L225)</f>
        <v>770.96005750414781</v>
      </c>
      <c r="D6" s="6" t="s">
        <v>82</v>
      </c>
    </row>
    <row r="7" spans="1:5">
      <c r="A7" s="400" t="s">
        <v>4541</v>
      </c>
      <c r="B7" s="71" t="s">
        <v>1743</v>
      </c>
      <c r="C7" s="11">
        <f>mat_pct*OUTPUT!J222</f>
        <v>0</v>
      </c>
      <c r="D7" s="6" t="s">
        <v>82</v>
      </c>
    </row>
    <row r="8" spans="1:5">
      <c r="A8" s="1007"/>
      <c r="C8" s="11"/>
    </row>
    <row r="9" spans="1:5">
      <c r="A9" s="1006" t="s">
        <v>3561</v>
      </c>
      <c r="C9" s="91"/>
    </row>
    <row r="10" spans="1:5">
      <c r="A10" s="400" t="s">
        <v>3055</v>
      </c>
      <c r="B10" s="71" t="s">
        <v>685</v>
      </c>
      <c r="C10" s="11">
        <f ca="1">mat_pct*(SUMPRODUCT(OUTPUT!J215:J221,OUTPUT!L215:L221)+SUMPRODUCT(OUTPUT!J230,OUTPUT!L230))</f>
        <v>738.154274713272</v>
      </c>
      <c r="D10" s="6" t="s">
        <v>82</v>
      </c>
      <c r="E10" s="7" t="s">
        <v>1813</v>
      </c>
    </row>
    <row r="11" spans="1:5">
      <c r="A11" s="400" t="s">
        <v>4538</v>
      </c>
      <c r="B11" s="71" t="s">
        <v>4123</v>
      </c>
      <c r="C11" s="12">
        <f ca="1">IF(feed_sdi&lt;=cart_life_sdi_cutover,cart_life_long,cart_life_short)</f>
        <v>3</v>
      </c>
      <c r="D11" t="s">
        <v>4124</v>
      </c>
      <c r="E11" s="7" t="s">
        <v>4540</v>
      </c>
    </row>
    <row r="12" spans="1:5">
      <c r="A12" s="400" t="s">
        <v>4539</v>
      </c>
      <c r="B12" s="71" t="s">
        <v>1817</v>
      </c>
      <c r="C12" s="15">
        <f ca="1">active_filters*filter_elements*12/cart_life</f>
        <v>64</v>
      </c>
      <c r="D12" s="6" t="s">
        <v>4121</v>
      </c>
      <c r="E12" s="7"/>
    </row>
    <row r="13" spans="1:5">
      <c r="A13" s="400" t="s">
        <v>4125</v>
      </c>
      <c r="B13" s="71" t="s">
        <v>4127</v>
      </c>
      <c r="C13" s="12">
        <f ca="1">acid_dose*8.34*average_inflow*365</f>
        <v>478877.3699262779</v>
      </c>
      <c r="D13" s="4" t="s">
        <v>4312</v>
      </c>
    </row>
    <row r="14" spans="1:5">
      <c r="A14" s="400" t="s">
        <v>4223</v>
      </c>
      <c r="B14" s="71" t="s">
        <v>4225</v>
      </c>
      <c r="C14" s="12">
        <f>IF(use_antiscalant=2,anti_dose*8.34*average_inflow*365,0)</f>
        <v>32503.687531744978</v>
      </c>
      <c r="D14" s="4" t="s">
        <v>4312</v>
      </c>
    </row>
    <row r="15" spans="1:5">
      <c r="A15" s="400" t="s">
        <v>4224</v>
      </c>
      <c r="B15" s="71" t="s">
        <v>4226</v>
      </c>
      <c r="C15" s="12">
        <f>IF(use_antiscalant=3,anti_dose*8.34*average_inflow*365,0)</f>
        <v>0</v>
      </c>
      <c r="D15" s="4" t="s">
        <v>4312</v>
      </c>
    </row>
    <row r="16" spans="1:5">
      <c r="A16" s="400"/>
      <c r="C16" s="12"/>
    </row>
    <row r="17" spans="1:5">
      <c r="A17" s="1006" t="s">
        <v>3562</v>
      </c>
      <c r="C17" s="91"/>
    </row>
    <row r="18" spans="1:5">
      <c r="A18" s="400" t="s">
        <v>3055</v>
      </c>
      <c r="B18" s="71" t="s">
        <v>686</v>
      </c>
      <c r="C18" s="11">
        <f ca="1">mat_pct_train*OUTPUT!J35</f>
        <v>2188.8000000000002</v>
      </c>
      <c r="D18" s="6" t="s">
        <v>82</v>
      </c>
    </row>
    <row r="19" spans="1:5">
      <c r="A19" s="1212" t="s">
        <v>297</v>
      </c>
      <c r="B19" s="1213" t="s">
        <v>4151</v>
      </c>
      <c r="C19" s="1214">
        <v>2</v>
      </c>
      <c r="D19" s="1215" t="s">
        <v>566</v>
      </c>
      <c r="E19" s="7" t="s">
        <v>5071</v>
      </c>
    </row>
    <row r="20" spans="1:5">
      <c r="A20" s="400" t="s">
        <v>2494</v>
      </c>
      <c r="B20" s="71" t="s">
        <v>2493</v>
      </c>
      <c r="C20" s="12">
        <f ca="1">total_elements/membrane_life</f>
        <v>228</v>
      </c>
      <c r="D20" t="s">
        <v>2496</v>
      </c>
    </row>
    <row r="21" spans="1:5">
      <c r="A21" s="400" t="s">
        <v>3638</v>
      </c>
      <c r="B21" s="71" t="s">
        <v>3639</v>
      </c>
      <c r="C21" s="55">
        <f ca="1">VLOOKUP(element_replace,filter_discount_table,2)</f>
        <v>0.1</v>
      </c>
      <c r="E21" s="7" t="s">
        <v>59</v>
      </c>
    </row>
    <row r="22" spans="1:5">
      <c r="A22" s="1212" t="s">
        <v>2492</v>
      </c>
      <c r="B22" s="1213" t="s">
        <v>2495</v>
      </c>
      <c r="C22" s="1216">
        <f ca="1">IF(element_cost="contact vendor", "contact vendor", element_cost*(1-element_replace_disc))</f>
        <v>432</v>
      </c>
      <c r="D22" s="1217" t="s">
        <v>2497</v>
      </c>
    </row>
    <row r="23" spans="1:5">
      <c r="A23" s="1008"/>
      <c r="C23" s="91"/>
    </row>
    <row r="24" spans="1:5">
      <c r="A24" s="1006" t="s">
        <v>3563</v>
      </c>
      <c r="C24" s="91"/>
    </row>
    <row r="25" spans="1:5">
      <c r="A25" s="400" t="s">
        <v>3055</v>
      </c>
      <c r="B25" s="71" t="s">
        <v>3080</v>
      </c>
      <c r="C25" s="399">
        <f ca="1">mat_pct*(SUMPRODUCT(OUTPUT!J232:J234,OUTPUT!L232:L234)+SUMPRODUCT(OUTPUT!J226,OUTPUT!L226))</f>
        <v>891.32040389494841</v>
      </c>
      <c r="D25" s="6" t="s">
        <v>82</v>
      </c>
      <c r="E25" s="7" t="s">
        <v>350</v>
      </c>
    </row>
    <row r="26" spans="1:5">
      <c r="A26" s="400" t="s">
        <v>3078</v>
      </c>
      <c r="B26" s="71" t="s">
        <v>1815</v>
      </c>
      <c r="C26" s="15">
        <f ca="1">op_cart_filters*clean_filter_elements*12/cart_life</f>
        <v>64</v>
      </c>
      <c r="D26" s="6" t="s">
        <v>4121</v>
      </c>
      <c r="E26" s="7" t="s">
        <v>1814</v>
      </c>
    </row>
    <row r="27" spans="1:5">
      <c r="A27" s="400"/>
      <c r="C27" s="15"/>
      <c r="D27" s="6"/>
      <c r="E27" s="7"/>
    </row>
    <row r="28" spans="1:5">
      <c r="A28" s="400" t="s">
        <v>1816</v>
      </c>
      <c r="B28" s="71" t="s">
        <v>4122</v>
      </c>
      <c r="C28" s="15">
        <f ca="1">pre_filter_replacement+26:26</f>
        <v>128</v>
      </c>
      <c r="D28" s="6" t="s">
        <v>4121</v>
      </c>
      <c r="E28" s="7"/>
    </row>
    <row r="29" spans="1:5">
      <c r="A29" s="400"/>
      <c r="C29" s="91"/>
    </row>
    <row r="30" spans="1:5">
      <c r="A30" s="1006" t="s">
        <v>961</v>
      </c>
      <c r="C30" s="91"/>
    </row>
    <row r="31" spans="1:5">
      <c r="A31" s="814" t="s">
        <v>3913</v>
      </c>
      <c r="B31" s="600" t="s">
        <v>2221</v>
      </c>
      <c r="C31" s="91">
        <f ca="1">tot_fm_in+tot_fm_feed+tot_fm_perm+tot_fm_conc+tot_pH_controls+temp_meter_in+tot_cond_meters+tot_headloss_sensors</f>
        <v>26</v>
      </c>
      <c r="E31" s="601" t="s">
        <v>3921</v>
      </c>
    </row>
    <row r="32" spans="1:5">
      <c r="A32" s="814" t="s">
        <v>3914</v>
      </c>
      <c r="B32" s="600" t="s">
        <v>3915</v>
      </c>
      <c r="C32" s="91">
        <f ca="1">tot_fm_in+tot_fm_feed+tot_fm_perm+tot_fm_conc+tot_pH_controls+temp_meter_in+tot_cond_meters+tot_headloss_sensors+tot_fm_clean+tot_fm_res</f>
        <v>38</v>
      </c>
      <c r="E32" s="601" t="s">
        <v>3922</v>
      </c>
    </row>
    <row r="33" spans="1:5">
      <c r="A33" s="814" t="s">
        <v>3916</v>
      </c>
      <c r="B33" s="600" t="s">
        <v>2222</v>
      </c>
      <c r="C33" s="91">
        <f ca="1">inf_pumps+boost_pumps_2_op+boost_pumps_3_op+op_num_bp_pumps+MAX(0,acid_mpumps-NRD_acid_mpumps)+MAX(0,anti_mpumps-NRD_anti_mpumps)</f>
        <v>4</v>
      </c>
      <c r="E33" s="601" t="s">
        <v>3923</v>
      </c>
    </row>
    <row r="34" spans="1:5">
      <c r="A34" s="814" t="s">
        <v>3917</v>
      </c>
      <c r="B34" s="600" t="s">
        <v>3918</v>
      </c>
      <c r="C34" s="91">
        <f ca="1">inf_pumps+boost_pumps_2_op+boost_pumps_3_op+op_num_bp_pumps+res_pumps+num_well_pumps</f>
        <v>4</v>
      </c>
      <c r="E34" s="214" t="s">
        <v>3924</v>
      </c>
    </row>
    <row r="35" spans="1:5">
      <c r="A35" s="814" t="s">
        <v>3414</v>
      </c>
      <c r="B35" s="600" t="s">
        <v>2223</v>
      </c>
      <c r="C35" s="91">
        <f ca="1">tot_feed_MOVs+tot_boost_2_MOVs+tot_boost_3_MOVs+tot_perm_1_MOVs+tot_perm_2_MOVs+tot_perm_3_MOVs+tot_feed_man+tot_boost_2_man+tot_boost_3_man+tot_perm_1_man+tot_perm_2_man+tot_perm_3_man+tot_bp_MOVs+tot_bp_man</f>
        <v>5</v>
      </c>
      <c r="E35" s="214" t="s">
        <v>3925</v>
      </c>
    </row>
    <row r="36" spans="1:5">
      <c r="A36" s="814" t="s">
        <v>3919</v>
      </c>
      <c r="B36" s="600" t="s">
        <v>3920</v>
      </c>
      <c r="C36" s="91">
        <f ca="1">acid_tanks+anti_tanks+total_chem_tanks+clean_acid_store_tanks+clean_caustic_store_tanks</f>
        <v>6</v>
      </c>
      <c r="E36" s="7"/>
    </row>
    <row r="37" spans="1:5">
      <c r="A37" s="814"/>
      <c r="B37" s="600"/>
      <c r="C37" s="91"/>
      <c r="E37" s="7"/>
    </row>
    <row r="38" spans="1:5">
      <c r="A38" s="1009" t="s">
        <v>3926</v>
      </c>
      <c r="C38" s="18">
        <f>IF(manual=1,tot_inst*uloe_inst*365/60,uloe_inst_auto*365/60)</f>
        <v>30.416666666666668</v>
      </c>
      <c r="D38" t="s">
        <v>3054</v>
      </c>
      <c r="E38" s="7"/>
    </row>
    <row r="39" spans="1:5">
      <c r="A39" s="814" t="s">
        <v>3927</v>
      </c>
      <c r="C39" s="18">
        <f ca="1">tot_inst_maint*uloe_inst_maint*12/60</f>
        <v>76</v>
      </c>
      <c r="D39" t="s">
        <v>3054</v>
      </c>
      <c r="E39" s="7"/>
    </row>
    <row r="40" spans="1:5">
      <c r="A40" s="814" t="s">
        <v>3928</v>
      </c>
      <c r="C40" s="18">
        <f>IF(OR(manual=1,manual=2),tot_pumps*uloe_pump*365/60,0)</f>
        <v>0</v>
      </c>
      <c r="D40" t="s">
        <v>3054</v>
      </c>
      <c r="E40" s="7"/>
    </row>
    <row r="41" spans="1:5">
      <c r="A41" s="814" t="s">
        <v>3929</v>
      </c>
      <c r="C41" s="18">
        <f ca="1">tot_pumps_maint*uloe_pump_maint</f>
        <v>121</v>
      </c>
      <c r="D41" t="s">
        <v>3054</v>
      </c>
      <c r="E41" s="7"/>
    </row>
    <row r="42" spans="1:5">
      <c r="A42" s="814" t="s">
        <v>3930</v>
      </c>
      <c r="C42" s="18">
        <f>IF(OR(manual=1,manual=2),tot_valves*uloe_valve*52/60,0)</f>
        <v>0</v>
      </c>
      <c r="D42" t="s">
        <v>3054</v>
      </c>
      <c r="E42" s="7"/>
    </row>
    <row r="43" spans="1:5">
      <c r="A43" s="814" t="s">
        <v>3931</v>
      </c>
      <c r="C43" s="18">
        <f ca="1">tot_valves*uloe_valve_maint/60</f>
        <v>0.41666666666666669</v>
      </c>
      <c r="D43" t="s">
        <v>3054</v>
      </c>
      <c r="E43" s="7"/>
    </row>
    <row r="44" spans="1:5">
      <c r="A44" s="814" t="s">
        <v>3932</v>
      </c>
      <c r="C44" s="18">
        <f ca="1">total_fp/100*uloe_fp*365/60</f>
        <v>864.44166666666672</v>
      </c>
      <c r="D44" t="s">
        <v>3054</v>
      </c>
      <c r="E44" s="7"/>
    </row>
    <row r="45" spans="1:5">
      <c r="A45" s="814" t="s">
        <v>3933</v>
      </c>
      <c r="C45" s="18">
        <f ca="1">tot_chem*uloe_chem_maint*12/60</f>
        <v>144</v>
      </c>
      <c r="D45" t="s">
        <v>3054</v>
      </c>
      <c r="E45" s="7"/>
    </row>
    <row r="46" spans="1:5">
      <c r="A46" s="1010" t="s">
        <v>2220</v>
      </c>
      <c r="B46" s="71" t="s">
        <v>2224</v>
      </c>
      <c r="C46" s="18">
        <f ca="1">SUM(C38:C45)</f>
        <v>1236.2750000000001</v>
      </c>
      <c r="D46" t="s">
        <v>3054</v>
      </c>
    </row>
    <row r="47" spans="1:5">
      <c r="A47" s="400"/>
      <c r="C47" s="91"/>
    </row>
    <row r="48" spans="1:5">
      <c r="A48" s="1011" t="s">
        <v>3557</v>
      </c>
      <c r="C48" s="91"/>
    </row>
    <row r="49" spans="1:5">
      <c r="A49" s="400" t="s">
        <v>3558</v>
      </c>
      <c r="B49" s="71" t="s">
        <v>4120</v>
      </c>
      <c r="C49" s="12">
        <f ca="1">pre_filter_replacement*hrs_filter</f>
        <v>768</v>
      </c>
      <c r="D49" t="s">
        <v>3054</v>
      </c>
      <c r="E49" s="7" t="s">
        <v>1818</v>
      </c>
    </row>
    <row r="50" spans="1:5">
      <c r="A50" s="400" t="s">
        <v>3559</v>
      </c>
      <c r="B50" s="71" t="s">
        <v>684</v>
      </c>
      <c r="C50" s="12">
        <f>VLOOKUP(design_flow,labor_table,3)*52</f>
        <v>1040</v>
      </c>
      <c r="D50" t="s">
        <v>3054</v>
      </c>
    </row>
    <row r="51" spans="1:5">
      <c r="A51" s="400" t="s">
        <v>3560</v>
      </c>
      <c r="C51" s="91"/>
    </row>
    <row r="52" spans="1:5">
      <c r="A52" s="1012" t="s">
        <v>352</v>
      </c>
      <c r="C52" s="12">
        <f ca="1">IF(simplex_screens,labor_simplex_screen*op_sec_screens*cycles_yr,monthly_labor_auto_screen*op_sec_screens*12)</f>
        <v>12.16</v>
      </c>
      <c r="D52" t="s">
        <v>3054</v>
      </c>
    </row>
    <row r="53" spans="1:5">
      <c r="A53" s="1012" t="s">
        <v>2364</v>
      </c>
      <c r="C53" s="12">
        <f ca="1">hrs_filter*clean_filter_replacement</f>
        <v>768</v>
      </c>
      <c r="D53" t="s">
        <v>3054</v>
      </c>
    </row>
    <row r="54" spans="1:5">
      <c r="A54" s="400" t="s">
        <v>351</v>
      </c>
      <c r="B54" s="71" t="s">
        <v>3079</v>
      </c>
      <c r="C54" s="12">
        <f ca="1">SUM(C52:C53)</f>
        <v>780.16</v>
      </c>
      <c r="D54" t="s">
        <v>3054</v>
      </c>
    </row>
    <row r="55" spans="1:5">
      <c r="A55" s="1009" t="s">
        <v>3831</v>
      </c>
      <c r="B55" s="31"/>
      <c r="C55" s="599">
        <f>IF(res_transfer_method=3,res_solids*2000/ht_solids_density*sol_disp_freq*uloe_solids,sol_disp_freq*transfer_time)</f>
        <v>0</v>
      </c>
      <c r="D55" t="s">
        <v>3054</v>
      </c>
    </row>
    <row r="56" spans="1:5">
      <c r="A56" s="400"/>
      <c r="C56" s="91"/>
    </row>
    <row r="57" spans="1:5">
      <c r="A57" s="1006" t="s">
        <v>3809</v>
      </c>
    </row>
    <row r="58" spans="1:5">
      <c r="A58" s="400" t="s">
        <v>2907</v>
      </c>
      <c r="B58" s="71" t="s">
        <v>2908</v>
      </c>
      <c r="C58" s="602">
        <f ca="1">pretreat_labor+membrane_labor+clean_labor+General_Oper_Labor+C55</f>
        <v>3824.4349999999999</v>
      </c>
      <c r="D58" t="s">
        <v>81</v>
      </c>
      <c r="E58" s="7"/>
    </row>
    <row r="59" spans="1:5">
      <c r="A59" s="400" t="s">
        <v>2909</v>
      </c>
      <c r="B59" s="71" t="s">
        <v>2910</v>
      </c>
      <c r="C59" s="602">
        <f ca="1">Operator_LOE*Manager_percent</f>
        <v>382.44350000000003</v>
      </c>
      <c r="D59" t="s">
        <v>81</v>
      </c>
      <c r="E59" s="7" t="s">
        <v>3660</v>
      </c>
    </row>
    <row r="60" spans="1:5">
      <c r="A60" s="400" t="s">
        <v>3564</v>
      </c>
      <c r="B60" s="71" t="s">
        <v>2911</v>
      </c>
      <c r="C60" s="602">
        <f ca="1">Operator_LOE*Clerical_percent</f>
        <v>382.44350000000003</v>
      </c>
      <c r="D60" t="s">
        <v>81</v>
      </c>
      <c r="E60" s="7" t="s">
        <v>3660</v>
      </c>
    </row>
    <row r="61" spans="1:5">
      <c r="A61" s="400"/>
      <c r="C61" s="91"/>
      <c r="E61" s="7"/>
    </row>
    <row r="62" spans="1:5" s="14" customFormat="1">
      <c r="A62" s="811" t="s">
        <v>5409</v>
      </c>
      <c r="B62" s="31"/>
      <c r="C62" s="28"/>
    </row>
    <row r="63" spans="1:5" s="14" customFormat="1">
      <c r="A63" s="814" t="s">
        <v>5410</v>
      </c>
      <c r="B63" s="31"/>
      <c r="C63" s="585">
        <f>IF(include_buildings=0,0,building_matl_rate_cl*total_fp)</f>
        <v>0</v>
      </c>
      <c r="D63" s="586" t="s">
        <v>82</v>
      </c>
      <c r="E63" s="214" t="s">
        <v>3870</v>
      </c>
    </row>
    <row r="64" spans="1:5" s="14" customFormat="1">
      <c r="A64" s="814" t="s">
        <v>3871</v>
      </c>
      <c r="B64" s="31"/>
      <c r="C64" s="585">
        <f ca="1">build1_need_heat*heating_matl_rate_cl*build1_fp</f>
        <v>0</v>
      </c>
      <c r="D64" s="586" t="s">
        <v>82</v>
      </c>
    </row>
    <row r="65" spans="1:5" s="14" customFormat="1">
      <c r="A65" s="814" t="s">
        <v>3872</v>
      </c>
      <c r="B65" s="31"/>
      <c r="C65" s="585">
        <f ca="1">build1_need_cool*cooling_matl_rate_cl*build1_fp</f>
        <v>0</v>
      </c>
      <c r="D65" s="586" t="s">
        <v>82</v>
      </c>
    </row>
    <row r="66" spans="1:5" s="14" customFormat="1">
      <c r="A66" s="814" t="s">
        <v>3873</v>
      </c>
      <c r="B66" s="31"/>
      <c r="C66" s="585">
        <f ca="1">build2_need_heat*heating_matl_rate_cl*build2_fp</f>
        <v>0</v>
      </c>
      <c r="D66" s="586" t="s">
        <v>82</v>
      </c>
    </row>
    <row r="67" spans="1:5" s="14" customFormat="1">
      <c r="A67" s="814" t="s">
        <v>3874</v>
      </c>
      <c r="B67" s="31"/>
      <c r="C67" s="585">
        <f ca="1">build2_need_cool*cooling_matl_rate_cl*build2_fp</f>
        <v>0</v>
      </c>
      <c r="D67" s="586" t="s">
        <v>82</v>
      </c>
    </row>
    <row r="68" spans="1:5" s="14" customFormat="1">
      <c r="A68" s="814" t="s">
        <v>3877</v>
      </c>
      <c r="B68" s="31"/>
      <c r="C68" s="585">
        <f ca="1">build3_need_heat*heating_matl_rate_cl*build3_fp</f>
        <v>0</v>
      </c>
      <c r="D68" s="586" t="s">
        <v>82</v>
      </c>
    </row>
    <row r="69" spans="1:5" s="14" customFormat="1">
      <c r="A69" s="814" t="s">
        <v>3878</v>
      </c>
      <c r="B69" s="31"/>
      <c r="C69" s="585">
        <f ca="1">build3_need_cool*cooling_matl_rate_cl*build3_fp</f>
        <v>0</v>
      </c>
      <c r="D69" s="586" t="s">
        <v>82</v>
      </c>
    </row>
    <row r="70" spans="1:5" s="14" customFormat="1">
      <c r="A70" s="814" t="s">
        <v>5411</v>
      </c>
      <c r="B70" s="31" t="s">
        <v>3875</v>
      </c>
      <c r="C70" s="587">
        <f ca="1">SUM(C63:C69)</f>
        <v>0</v>
      </c>
      <c r="E70" s="214" t="s">
        <v>3876</v>
      </c>
    </row>
    <row r="71" spans="1:5" s="14" customFormat="1">
      <c r="B71" s="31"/>
      <c r="C71" s="587"/>
      <c r="E71" s="214"/>
    </row>
    <row r="72" spans="1:5">
      <c r="A72" s="68" t="s">
        <v>3059</v>
      </c>
      <c r="C72" s="91"/>
    </row>
    <row r="73" spans="1:5">
      <c r="A73" s="1006" t="s">
        <v>703</v>
      </c>
      <c r="C73" s="91"/>
      <c r="E73" s="7" t="s">
        <v>962</v>
      </c>
    </row>
    <row r="74" spans="1:5">
      <c r="A74" s="400" t="s">
        <v>704</v>
      </c>
      <c r="B74" s="71" t="s">
        <v>710</v>
      </c>
      <c r="C74" s="144">
        <f ca="1">inf_pump_hp*average_inflow_rate/design_inflow_rate</f>
        <v>111.43226691694274</v>
      </c>
      <c r="D74" t="s">
        <v>80</v>
      </c>
    </row>
    <row r="75" spans="1:5">
      <c r="A75" s="400" t="s">
        <v>705</v>
      </c>
      <c r="B75" s="71" t="s">
        <v>711</v>
      </c>
      <c r="C75" s="143">
        <f ca="1">inf_pump_op_hp*0.7457/1000*24*365</f>
        <v>727.91256301408646</v>
      </c>
      <c r="D75" t="s">
        <v>83</v>
      </c>
    </row>
    <row r="76" spans="1:5">
      <c r="A76" s="400" t="s">
        <v>706</v>
      </c>
      <c r="B76" s="71" t="s">
        <v>2302</v>
      </c>
      <c r="C76" s="143">
        <f>boost_pump_2_hp*average_inflow_rate/design_inflow_rate</f>
        <v>0</v>
      </c>
      <c r="D76" t="s">
        <v>80</v>
      </c>
    </row>
    <row r="77" spans="1:5">
      <c r="A77" s="400" t="s">
        <v>707</v>
      </c>
      <c r="B77" s="71" t="s">
        <v>2303</v>
      </c>
      <c r="C77" s="143">
        <f>boost_2_op_hp*0.7457/1000*24*365</f>
        <v>0</v>
      </c>
      <c r="D77" t="s">
        <v>83</v>
      </c>
    </row>
    <row r="78" spans="1:5">
      <c r="A78" s="400" t="s">
        <v>708</v>
      </c>
      <c r="B78" s="71" t="s">
        <v>2304</v>
      </c>
      <c r="C78" s="143">
        <f>boost_pump_3_hp*average_inflow_rate/design_inflow_rate</f>
        <v>0</v>
      </c>
      <c r="D78" t="s">
        <v>80</v>
      </c>
    </row>
    <row r="79" spans="1:5">
      <c r="A79" s="400" t="s">
        <v>709</v>
      </c>
      <c r="B79" s="71" t="s">
        <v>2305</v>
      </c>
      <c r="C79" s="143">
        <f>boost_3_op_hp*0.7457/1000*24*365</f>
        <v>0</v>
      </c>
      <c r="D79" t="s">
        <v>83</v>
      </c>
    </row>
    <row r="80" spans="1:5">
      <c r="A80" s="400" t="s">
        <v>4332</v>
      </c>
      <c r="B80" s="71" t="s">
        <v>3060</v>
      </c>
      <c r="C80" s="143">
        <f ca="1">inf_pump_energy*inf_pumps+boost_2_energy*boost_pumps_2_op+boost_3_energy*boost_pumps_3_op</f>
        <v>1455.8251260281729</v>
      </c>
      <c r="D80" t="s">
        <v>83</v>
      </c>
    </row>
    <row r="81" spans="1:4">
      <c r="A81" s="400"/>
      <c r="C81" s="91"/>
    </row>
    <row r="82" spans="1:4">
      <c r="A82" s="1011" t="s">
        <v>1744</v>
      </c>
      <c r="C82" s="91"/>
    </row>
    <row r="83" spans="1:4">
      <c r="A83" s="814" t="s">
        <v>1747</v>
      </c>
      <c r="B83" s="71" t="s">
        <v>5159</v>
      </c>
      <c r="C83" s="144">
        <f>IF(op_num_bp_pumps=0,0,bp_flow_rate*bp_pump_head/op_num_bp_pumps/bp_pump_eff/14.7*33.9*8.34/550/60)</f>
        <v>0</v>
      </c>
      <c r="D83" t="s">
        <v>80</v>
      </c>
    </row>
    <row r="84" spans="1:4">
      <c r="A84" s="814" t="s">
        <v>1745</v>
      </c>
      <c r="C84" s="572">
        <f>bp_pump_hp*0.7457/1000*24*365</f>
        <v>0</v>
      </c>
      <c r="D84" t="s">
        <v>83</v>
      </c>
    </row>
    <row r="85" spans="1:4">
      <c r="A85" s="1013" t="s">
        <v>1746</v>
      </c>
      <c r="B85" s="71" t="s">
        <v>1748</v>
      </c>
      <c r="C85" s="572">
        <f>C84*op_num_bp_pumps</f>
        <v>0</v>
      </c>
      <c r="D85" t="s">
        <v>83</v>
      </c>
    </row>
    <row r="86" spans="1:4">
      <c r="A86" s="400"/>
      <c r="C86" s="91"/>
    </row>
    <row r="87" spans="1:4">
      <c r="A87" s="1006" t="s">
        <v>5157</v>
      </c>
      <c r="C87" s="145"/>
    </row>
    <row r="88" spans="1:4" s="14" customFormat="1" ht="12" customHeight="1">
      <c r="A88" s="1009" t="s">
        <v>3891</v>
      </c>
      <c r="B88" s="31" t="s">
        <v>3892</v>
      </c>
      <c r="C88" s="598">
        <f ca="1">IF(OR(build1_fp&lt;500,component_level=""),lighting_power_low,CHOOSE(component_level,lighting_power_mid,lighting_power_high))*24*365/1000</f>
        <v>2.6279999999999997</v>
      </c>
      <c r="D88" s="14" t="s">
        <v>298</v>
      </c>
    </row>
    <row r="89" spans="1:4" s="14" customFormat="1" ht="12" customHeight="1">
      <c r="A89" s="1009" t="s">
        <v>3893</v>
      </c>
      <c r="B89" s="31" t="s">
        <v>3894</v>
      </c>
      <c r="C89" s="598">
        <f ca="1">IF(OR(build2_fp&lt;500,component_level=""),lighting_power_low,CHOOSE(component_level,lighting_power_mid,lighting_power_high))*24*365/1000</f>
        <v>2.6279999999999997</v>
      </c>
      <c r="D89" s="14" t="s">
        <v>298</v>
      </c>
    </row>
    <row r="90" spans="1:4" s="14" customFormat="1" ht="12" customHeight="1">
      <c r="A90" s="1009" t="s">
        <v>3893</v>
      </c>
      <c r="B90" s="31" t="s">
        <v>3895</v>
      </c>
      <c r="C90" s="598">
        <f ca="1">IF(OR(build3_fp&lt;500,component_level=""),lighting_power_low,CHOOSE(component_level,lighting_power_mid,lighting_power_high))*24*365/1000</f>
        <v>2.6279999999999997</v>
      </c>
      <c r="D90" s="14" t="s">
        <v>298</v>
      </c>
    </row>
    <row r="91" spans="1:4">
      <c r="A91" s="1010" t="s">
        <v>963</v>
      </c>
      <c r="B91" s="71" t="s">
        <v>964</v>
      </c>
      <c r="C91" s="599">
        <f>IF(include_buildings=0,0,MIN(1,Operator_LOE/(24*365))*(build1_fp*lighting_energy_1+build2_fp*lighting_energy_2+build3_fp*lighting_energy_3)/1000)</f>
        <v>0</v>
      </c>
      <c r="D91" t="s">
        <v>83</v>
      </c>
    </row>
    <row r="92" spans="1:4">
      <c r="A92" s="400"/>
    </row>
    <row r="93" spans="1:4" s="14" customFormat="1">
      <c r="A93" s="1014" t="s">
        <v>4920</v>
      </c>
      <c r="B93" s="723"/>
    </row>
    <row r="94" spans="1:4" s="14" customFormat="1">
      <c r="A94" s="724" t="s">
        <v>4921</v>
      </c>
      <c r="B94" s="723"/>
    </row>
    <row r="95" spans="1:4" s="14" customFormat="1">
      <c r="A95" s="1015" t="s">
        <v>3695</v>
      </c>
      <c r="B95" s="723" t="s">
        <v>3851</v>
      </c>
      <c r="C95" s="212">
        <f t="shared" ref="C95:C100" ca="1" si="0">IF(build1_heat=A95,VLOOKUP(A95,build1_heat_options, 7,FALSE),0)+IF(build2_heat=A95,VLOOKUP(A95,build2_heat_options, 7,FALSE),0)+IF(build3_heat=A95,VLOOKUP(A95,build3_heat_options, 7,FALSE),0)</f>
        <v>0</v>
      </c>
      <c r="D95" s="14" t="s">
        <v>83</v>
      </c>
    </row>
    <row r="96" spans="1:4" s="14" customFormat="1">
      <c r="A96" s="1015" t="s">
        <v>3696</v>
      </c>
      <c r="B96" s="723" t="s">
        <v>2401</v>
      </c>
      <c r="C96" s="212">
        <f t="shared" ca="1" si="0"/>
        <v>0</v>
      </c>
      <c r="D96" s="14" t="s">
        <v>2402</v>
      </c>
    </row>
    <row r="97" spans="1:4" s="14" customFormat="1">
      <c r="A97" s="1015" t="s">
        <v>3635</v>
      </c>
      <c r="B97" s="723" t="s">
        <v>3763</v>
      </c>
      <c r="C97" s="212">
        <f t="shared" ca="1" si="0"/>
        <v>0</v>
      </c>
      <c r="D97" s="14" t="s">
        <v>2402</v>
      </c>
    </row>
    <row r="98" spans="1:4" s="14" customFormat="1">
      <c r="A98" s="1015" t="s">
        <v>2161</v>
      </c>
      <c r="B98" s="723" t="s">
        <v>4082</v>
      </c>
      <c r="C98" s="212">
        <f t="shared" ca="1" si="0"/>
        <v>0</v>
      </c>
      <c r="D98" s="14" t="s">
        <v>4083</v>
      </c>
    </row>
    <row r="99" spans="1:4" s="14" customFormat="1">
      <c r="A99" s="1015" t="s">
        <v>2162</v>
      </c>
      <c r="B99" s="723" t="s">
        <v>3336</v>
      </c>
      <c r="C99" s="212">
        <f t="shared" ca="1" si="0"/>
        <v>0</v>
      </c>
      <c r="D99" s="14" t="s">
        <v>4083</v>
      </c>
    </row>
    <row r="100" spans="1:4" s="14" customFormat="1">
      <c r="A100" s="1015" t="s">
        <v>3694</v>
      </c>
      <c r="B100" s="723" t="s">
        <v>2400</v>
      </c>
      <c r="C100" s="212">
        <f t="shared" ca="1" si="0"/>
        <v>0</v>
      </c>
      <c r="D100" s="14" t="s">
        <v>83</v>
      </c>
    </row>
    <row r="101" spans="1:4" s="14" customFormat="1">
      <c r="A101" s="724"/>
      <c r="B101" s="723"/>
      <c r="C101" s="212"/>
    </row>
    <row r="102" spans="1:4" s="14" customFormat="1">
      <c r="A102" s="724" t="s">
        <v>4922</v>
      </c>
      <c r="B102" s="723"/>
      <c r="C102" s="212"/>
    </row>
    <row r="103" spans="1:4" s="14" customFormat="1">
      <c r="A103" s="1015" t="s">
        <v>4807</v>
      </c>
      <c r="B103" s="723" t="s">
        <v>3860</v>
      </c>
      <c r="C103" s="212">
        <f ca="1">IF(build1_cool=A103,VLOOKUP(A103,build1_cool_options, 7,FALSE),0)+IF(build2_cool=A103,VLOOKUP(A103,build2_cool_options, 7,FALSE),0)+IF(build3_cool=A103,VLOOKUP(A103,build3_cool_options, 7,FALSE),0)</f>
        <v>0</v>
      </c>
      <c r="D103" s="14" t="s">
        <v>83</v>
      </c>
    </row>
    <row r="104" spans="1:4" s="14" customFormat="1">
      <c r="A104" s="1015" t="s">
        <v>3694</v>
      </c>
      <c r="B104" s="723" t="s">
        <v>3692</v>
      </c>
      <c r="C104" s="212">
        <f ca="1">IF(build1_cool=A104,VLOOKUP(A104,build1_cool_options, 7,FALSE),0)+IF(build2_cool=A104,VLOOKUP(A104,build2_cool_options, 7,FALSE),0)+IF(build3_cool=A104,VLOOKUP(A104,build3_cool_options, 7,FALSE),0)</f>
        <v>0</v>
      </c>
      <c r="D104" s="14" t="s">
        <v>83</v>
      </c>
    </row>
  </sheetData>
  <phoneticPr fontId="0"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K186"/>
  <sheetViews>
    <sheetView zoomScaleNormal="100" workbookViewId="0">
      <pane ySplit="3" topLeftCell="A4" activePane="bottomLeft" state="frozen"/>
      <selection pane="bottomLeft" activeCell="C11" sqref="C11"/>
    </sheetView>
  </sheetViews>
  <sheetFormatPr baseColWidth="10" defaultColWidth="8.83203125" defaultRowHeight="13"/>
  <cols>
    <col min="1" max="1" width="46" bestFit="1" customWidth="1"/>
    <col min="2" max="2" width="23.5" style="67" bestFit="1" customWidth="1"/>
    <col min="3" max="3" width="19.5" style="8" customWidth="1"/>
    <col min="4" max="4" width="15.1640625" style="137" customWidth="1"/>
    <col min="5" max="5" width="15" style="70" bestFit="1" customWidth="1"/>
  </cols>
  <sheetData>
    <row r="1" spans="1:5">
      <c r="A1" s="20" t="s">
        <v>5497</v>
      </c>
    </row>
    <row r="3" spans="1:5">
      <c r="A3" s="235" t="s">
        <v>5172</v>
      </c>
      <c r="B3" s="236" t="s">
        <v>1989</v>
      </c>
      <c r="C3" s="237" t="s">
        <v>1990</v>
      </c>
      <c r="D3" s="236" t="s">
        <v>2961</v>
      </c>
      <c r="E3" s="236" t="s">
        <v>1991</v>
      </c>
    </row>
    <row r="4" spans="1:5">
      <c r="A4" s="1" t="s">
        <v>2343</v>
      </c>
    </row>
    <row r="5" spans="1:5">
      <c r="A5" t="s">
        <v>2131</v>
      </c>
      <c r="B5" s="743" t="s">
        <v>1067</v>
      </c>
      <c r="C5" s="8">
        <f>VLOOKUP(res_s2_opt_I,res_s2_opt_table,2,FALSE)</f>
        <v>6</v>
      </c>
      <c r="D5" s="263" t="s">
        <v>5115</v>
      </c>
    </row>
    <row r="6" spans="1:5">
      <c r="A6" t="s">
        <v>2344</v>
      </c>
      <c r="B6" s="67" t="s">
        <v>2132</v>
      </c>
      <c r="C6" s="8">
        <f>IF(res_s2_opt=3,4,VLOOKUP(res_s1_opt_I,res_s1_opt_table,2,FALSE))</f>
        <v>1</v>
      </c>
      <c r="D6" s="137" t="s">
        <v>2347</v>
      </c>
    </row>
    <row r="7" spans="1:5">
      <c r="A7" t="s">
        <v>2345</v>
      </c>
      <c r="B7" s="67" t="s">
        <v>2841</v>
      </c>
      <c r="C7" s="8">
        <f>VLOOKUP(solids_haz_I,solids_haz_table,2,FALSE)</f>
        <v>2</v>
      </c>
      <c r="D7" s="137" t="s">
        <v>5137</v>
      </c>
    </row>
    <row r="9" spans="1:5">
      <c r="A9" s="1" t="s">
        <v>790</v>
      </c>
    </row>
    <row r="10" spans="1:5">
      <c r="A10" t="s">
        <v>791</v>
      </c>
      <c r="B10" s="67" t="s">
        <v>793</v>
      </c>
      <c r="C10" s="13">
        <f ca="1">conc_flow_sys*op_trains</f>
        <v>486.61563478251401</v>
      </c>
      <c r="D10" s="137" t="s">
        <v>2193</v>
      </c>
    </row>
    <row r="11" spans="1:5">
      <c r="A11" t="s">
        <v>792</v>
      </c>
      <c r="B11" s="67" t="s">
        <v>794</v>
      </c>
      <c r="C11" s="13">
        <f ca="1">design_rej_flow*average_inflow_rate/design_inflow_rate</f>
        <v>486.61563478251395</v>
      </c>
      <c r="D11" s="137" t="s">
        <v>2193</v>
      </c>
    </row>
    <row r="13" spans="1:5">
      <c r="A13" s="1" t="s">
        <v>2424</v>
      </c>
    </row>
    <row r="14" spans="1:5">
      <c r="A14" t="s">
        <v>238</v>
      </c>
      <c r="B14" s="67" t="s">
        <v>239</v>
      </c>
      <c r="C14" s="13">
        <f ca="1">high_circ_flow*drain_rate_frac</f>
        <v>175</v>
      </c>
      <c r="D14" s="137" t="s">
        <v>2193</v>
      </c>
    </row>
    <row r="15" spans="1:5">
      <c r="A15" t="s">
        <v>795</v>
      </c>
      <c r="B15" s="67" t="s">
        <v>796</v>
      </c>
      <c r="C15" s="13">
        <f ca="1">chem_tank_vol*total_chem_tanks+flush_rate*flush_time</f>
        <v>5367</v>
      </c>
      <c r="D15" s="137" t="s">
        <v>1970</v>
      </c>
    </row>
    <row r="16" spans="1:5">
      <c r="A16" t="s">
        <v>797</v>
      </c>
      <c r="B16" s="67" t="s">
        <v>799</v>
      </c>
      <c r="C16" s="13">
        <f ca="1">flush_rate</f>
        <v>175</v>
      </c>
      <c r="D16" s="137" t="s">
        <v>2193</v>
      </c>
      <c r="E16" s="70" t="s">
        <v>801</v>
      </c>
    </row>
    <row r="17" spans="1:5">
      <c r="A17" t="s">
        <v>798</v>
      </c>
      <c r="B17" s="67" t="s">
        <v>800</v>
      </c>
      <c r="C17" s="16">
        <f ca="1">scs_vol*cycles_yr/(365*24*60)</f>
        <v>0.12416803652968036</v>
      </c>
      <c r="D17" s="137" t="s">
        <v>2193</v>
      </c>
      <c r="E17" s="70" t="s">
        <v>802</v>
      </c>
    </row>
    <row r="19" spans="1:5">
      <c r="A19" s="1" t="s">
        <v>601</v>
      </c>
    </row>
    <row r="20" spans="1:5">
      <c r="A20" s="5" t="s">
        <v>603</v>
      </c>
      <c r="B20" s="75" t="s">
        <v>604</v>
      </c>
      <c r="C20" s="538">
        <f>IF(OR(res_s1_opt=4,res_s2_opt=3),0,1)</f>
        <v>1</v>
      </c>
      <c r="D20" s="137" t="s">
        <v>3663</v>
      </c>
    </row>
    <row r="21" spans="1:5">
      <c r="A21" s="4" t="s">
        <v>3664</v>
      </c>
      <c r="B21" s="67" t="s">
        <v>553</v>
      </c>
      <c r="C21" s="13">
        <f ca="1">design_rej_flow+design_scs_flow</f>
        <v>661.61563478251401</v>
      </c>
      <c r="D21" s="137" t="s">
        <v>2193</v>
      </c>
    </row>
    <row r="22" spans="1:5">
      <c r="A22" t="s">
        <v>599</v>
      </c>
      <c r="B22" s="67" t="s">
        <v>600</v>
      </c>
      <c r="C22" s="13">
        <f ca="1">IF(flow_equalization&lt;&gt;0,average_rej_flow+design_scs_flow,max_res_flow)</f>
        <v>661.61563478251401</v>
      </c>
      <c r="D22" s="137" t="s">
        <v>2193</v>
      </c>
      <c r="E22" s="70" t="s">
        <v>602</v>
      </c>
    </row>
    <row r="23" spans="1:5">
      <c r="A23" t="s">
        <v>803</v>
      </c>
      <c r="B23" s="67" t="s">
        <v>804</v>
      </c>
      <c r="C23" s="13">
        <f ca="1">average_rej_flow+average_scs_flow</f>
        <v>486.73980281904363</v>
      </c>
      <c r="D23" s="137" t="s">
        <v>2193</v>
      </c>
      <c r="E23" s="70" t="s">
        <v>802</v>
      </c>
    </row>
    <row r="24" spans="1:5">
      <c r="A24" t="s">
        <v>605</v>
      </c>
      <c r="B24" s="67" t="s">
        <v>606</v>
      </c>
      <c r="C24" s="13">
        <f ca="1">IF(flow_equalization&gt;0,(design_rej_flow*res_cap_factor*24*60+scs_vol),0)</f>
        <v>706093.51408682019</v>
      </c>
      <c r="D24" s="137" t="s">
        <v>1970</v>
      </c>
    </row>
    <row r="25" spans="1:5">
      <c r="A25" s="4" t="s">
        <v>5056</v>
      </c>
      <c r="B25" s="67" t="s">
        <v>554</v>
      </c>
      <c r="C25" s="13">
        <f ca="1">res_flow_actual*365*24*60</f>
        <v>255830440.36168936</v>
      </c>
      <c r="D25" s="137" t="s">
        <v>1970</v>
      </c>
    </row>
    <row r="27" spans="1:5">
      <c r="A27" s="1" t="s">
        <v>971</v>
      </c>
    </row>
    <row r="28" spans="1:5">
      <c r="A28" t="s">
        <v>2917</v>
      </c>
      <c r="B28" s="67" t="s">
        <v>2918</v>
      </c>
      <c r="C28" s="64">
        <f ca="1">(influent_TSS-effluent_TSS)*(feed_flow_sys*average_inflow_rate/design_inflow_rate)/res_flow_actual</f>
        <v>4.0937531326842844</v>
      </c>
      <c r="D28" s="137" t="s">
        <v>2263</v>
      </c>
    </row>
    <row r="29" spans="1:5">
      <c r="A29" t="s">
        <v>555</v>
      </c>
      <c r="C29" s="80">
        <f>IF(res_s2_opt=3,TSS_residuals*res_flow_annual*3.785/1000/453.59/dredging_freq,0)</f>
        <v>0</v>
      </c>
      <c r="D29" s="137" t="s">
        <v>4312</v>
      </c>
    </row>
    <row r="30" spans="1:5">
      <c r="A30" t="s">
        <v>556</v>
      </c>
      <c r="C30" s="80">
        <f>IF(res_s2_opt=3,conc_tds_sys*res_flow_annual*3.785/1000/453.59/dredging_freq,0)</f>
        <v>0</v>
      </c>
      <c r="D30" s="137" t="s">
        <v>4312</v>
      </c>
    </row>
    <row r="31" spans="1:5">
      <c r="A31" t="s">
        <v>557</v>
      </c>
      <c r="B31" s="67" t="s">
        <v>558</v>
      </c>
      <c r="C31" s="65">
        <f>C29+C30</f>
        <v>0</v>
      </c>
      <c r="D31" s="137" t="s">
        <v>4312</v>
      </c>
    </row>
    <row r="32" spans="1:5">
      <c r="A32" s="555" t="s">
        <v>929</v>
      </c>
      <c r="B32" s="75" t="s">
        <v>930</v>
      </c>
      <c r="C32" s="556">
        <f>IF(res_s2_opt=3,ep_solids,0)/2000</f>
        <v>0</v>
      </c>
      <c r="D32" s="557" t="s">
        <v>1846</v>
      </c>
    </row>
    <row r="33" spans="1:5">
      <c r="A33" s="555" t="s">
        <v>931</v>
      </c>
      <c r="B33" s="75" t="s">
        <v>932</v>
      </c>
      <c r="C33" s="65">
        <f>IF(res_s2_opt=3,dredging_freq,0)</f>
        <v>0</v>
      </c>
      <c r="D33" s="557" t="s">
        <v>934</v>
      </c>
    </row>
    <row r="35" spans="1:5">
      <c r="A35" s="1" t="s">
        <v>935</v>
      </c>
    </row>
    <row r="36" spans="1:5">
      <c r="A36" t="s">
        <v>936</v>
      </c>
      <c r="B36" s="67" t="s">
        <v>937</v>
      </c>
      <c r="C36" s="8">
        <f ca="1">12/cart_life</f>
        <v>4</v>
      </c>
      <c r="D36" s="137" t="s">
        <v>934</v>
      </c>
    </row>
    <row r="37" spans="1:5">
      <c r="A37" t="s">
        <v>938</v>
      </c>
      <c r="B37" s="67" t="s">
        <v>1388</v>
      </c>
      <c r="C37" s="8">
        <f ca="1">(active_filters+op_cart_filters)*filter_elements*VLOOKUP(filter_size,cart_wt_table,3)/2000</f>
        <v>0.38400000000000001</v>
      </c>
      <c r="D37" s="137" t="s">
        <v>1846</v>
      </c>
    </row>
    <row r="39" spans="1:5">
      <c r="A39" s="1" t="s">
        <v>1389</v>
      </c>
    </row>
    <row r="40" spans="1:5">
      <c r="A40" t="s">
        <v>936</v>
      </c>
      <c r="B40" s="67" t="s">
        <v>158</v>
      </c>
      <c r="C40" s="8">
        <f>1/membrane_life</f>
        <v>0.5</v>
      </c>
      <c r="D40" s="137" t="s">
        <v>934</v>
      </c>
    </row>
    <row r="41" spans="1:5">
      <c r="A41" t="s">
        <v>240</v>
      </c>
      <c r="B41" s="67" t="s">
        <v>241</v>
      </c>
      <c r="C41" s="8">
        <f ca="1">CHOOSE(element_class,elem_wt_4,elem_wt_8,elem_wt_16)</f>
        <v>40</v>
      </c>
      <c r="D41" s="137" t="s">
        <v>3662</v>
      </c>
    </row>
    <row r="42" spans="1:5">
      <c r="A42" t="s">
        <v>938</v>
      </c>
      <c r="B42" s="67" t="s">
        <v>3661</v>
      </c>
      <c r="C42" s="8">
        <f ca="1">n_elements*elem_wt/2000</f>
        <v>9</v>
      </c>
      <c r="D42" s="137" t="s">
        <v>1846</v>
      </c>
    </row>
    <row r="44" spans="1:5">
      <c r="A44" s="1" t="s">
        <v>1830</v>
      </c>
    </row>
    <row r="45" spans="1:5">
      <c r="A45" s="2" t="s">
        <v>1831</v>
      </c>
    </row>
    <row r="46" spans="1:5">
      <c r="A46" s="4" t="s">
        <v>1832</v>
      </c>
      <c r="B46" s="67" t="s">
        <v>1833</v>
      </c>
      <c r="C46" s="8">
        <f ca="1">IF(AND(flow_equalization,res_s1_opt=1),ROUNDUP(hold_cap/max_htank_size,0),0)</f>
        <v>3</v>
      </c>
      <c r="D46" s="137" t="s">
        <v>2192</v>
      </c>
    </row>
    <row r="47" spans="1:5">
      <c r="A47" s="4" t="s">
        <v>1834</v>
      </c>
      <c r="B47" s="67" t="s">
        <v>1202</v>
      </c>
      <c r="C47" s="13">
        <f ca="1">IF(htanks=0,0,hold_cap/htanks)</f>
        <v>235364.50469560674</v>
      </c>
      <c r="D47" s="137" t="s">
        <v>4311</v>
      </c>
    </row>
    <row r="48" spans="1:5">
      <c r="A48" s="28" t="s">
        <v>2613</v>
      </c>
      <c r="B48" s="216" t="s">
        <v>2614</v>
      </c>
      <c r="C48" s="775">
        <f>MAX(VLOOKUP(10^6,st_bwt_cost_cl,1)-1,VLOOKUP(10^6,fg_bwt_cost_cl,1)-1,VLOOKUP(10^6,hdpe_bwt_cost_cl,1)-1)</f>
        <v>289000</v>
      </c>
      <c r="D48" s="223" t="s">
        <v>4311</v>
      </c>
      <c r="E48" s="214" t="s">
        <v>2615</v>
      </c>
    </row>
    <row r="49" spans="1:4">
      <c r="A49" s="4" t="s">
        <v>3283</v>
      </c>
      <c r="B49" s="67" t="s">
        <v>3284</v>
      </c>
      <c r="C49" s="8">
        <f>IF(AND(flow_equalization,res_s1_opt=2),ROUNDUP(hold_cap/(max_hbasin_size*7.48),0),0)</f>
        <v>0</v>
      </c>
      <c r="D49" s="137" t="s">
        <v>2192</v>
      </c>
    </row>
    <row r="50" spans="1:4">
      <c r="A50" s="4" t="s">
        <v>3288</v>
      </c>
      <c r="B50" s="67" t="s">
        <v>3289</v>
      </c>
      <c r="C50" s="13">
        <f>IF(hbasins=0,0,hold_cap/7.48/hbasins)</f>
        <v>0</v>
      </c>
      <c r="D50" s="137" t="s">
        <v>3280</v>
      </c>
    </row>
    <row r="51" spans="1:4">
      <c r="A51" t="s">
        <v>3351</v>
      </c>
      <c r="B51" s="67" t="s">
        <v>3352</v>
      </c>
      <c r="C51" s="8">
        <f>ROUNDUP(hbasin_op_vol^(1/3)*hbasin_ratio,0)</f>
        <v>0</v>
      </c>
      <c r="D51" s="137" t="s">
        <v>4111</v>
      </c>
    </row>
    <row r="52" spans="1:4">
      <c r="A52" t="s">
        <v>3353</v>
      </c>
      <c r="B52" s="67" t="s">
        <v>3354</v>
      </c>
      <c r="C52" s="8">
        <f>IF(hbasins=0,0,ROUNDUP((hbasin_op_vol/hbasin_op_depth)^0.5,0))</f>
        <v>0</v>
      </c>
      <c r="D52" s="137" t="s">
        <v>4111</v>
      </c>
    </row>
    <row r="53" spans="1:4">
      <c r="A53" t="s">
        <v>3355</v>
      </c>
      <c r="B53" s="67" t="s">
        <v>3356</v>
      </c>
      <c r="C53" s="8">
        <f>IF(hbasins=0,0,ROUNDUP((hbasin_op_vol/hbasin_op_depth)^0.5,0))</f>
        <v>0</v>
      </c>
      <c r="D53" s="137" t="s">
        <v>4111</v>
      </c>
    </row>
    <row r="54" spans="1:4">
      <c r="A54" t="s">
        <v>3357</v>
      </c>
      <c r="B54" s="67" t="s">
        <v>3358</v>
      </c>
      <c r="C54" s="8">
        <f>IF(hbasins=0,0,hbasin_op_depth+hbasin_freeboard)</f>
        <v>0</v>
      </c>
      <c r="D54" s="137" t="s">
        <v>4111</v>
      </c>
    </row>
    <row r="55" spans="1:4">
      <c r="A55" t="s">
        <v>3359</v>
      </c>
      <c r="B55" s="67" t="s">
        <v>3285</v>
      </c>
      <c r="C55" s="13">
        <f>ROUND(hbasin_op_depth*hbasin_width*hbasin_length*7.48,0)</f>
        <v>0</v>
      </c>
      <c r="D55" s="137" t="s">
        <v>4311</v>
      </c>
    </row>
    <row r="56" spans="1:4">
      <c r="A56" t="s">
        <v>3290</v>
      </c>
      <c r="B56" s="67" t="s">
        <v>3360</v>
      </c>
      <c r="C56" s="8">
        <f>ROUNDUP(((2*hbasin_depth*hbasin_length+2*hbasin_depth*hbasin_width+hbasin_width*hbasin_length)*1.2*conc_thick*hbasins)/27,0)</f>
        <v>0</v>
      </c>
      <c r="D56" s="137" t="s">
        <v>805</v>
      </c>
    </row>
    <row r="57" spans="1:4">
      <c r="A57" t="s">
        <v>3361</v>
      </c>
      <c r="B57" s="67" t="s">
        <v>3362</v>
      </c>
      <c r="C57" s="8">
        <f>ROUNDUP(((hbasin_width+overexcavate)*(hbasin_length+overexcavate)*(hbasin_depth+overexcavate)+0.5*(3*(hbasin_depth+overexcavate)*(hbasin_width+overexcavate)*(hbasin_depth+overexcavate)))*hbasins/27,0)</f>
        <v>0</v>
      </c>
      <c r="D57" s="137" t="s">
        <v>805</v>
      </c>
    </row>
    <row r="58" spans="1:4">
      <c r="A58" t="s">
        <v>3349</v>
      </c>
      <c r="B58" s="67" t="s">
        <v>3363</v>
      </c>
      <c r="C58" s="8">
        <f>ROUNDUP(hbasin_excavation_vol-(hbasin_width*hbasin_length*hbasin_depth*hbasins)/27,0)</f>
        <v>0</v>
      </c>
      <c r="D58" s="137" t="s">
        <v>805</v>
      </c>
    </row>
    <row r="59" spans="1:4">
      <c r="A59" t="s">
        <v>3350</v>
      </c>
      <c r="B59" s="67" t="s">
        <v>3364</v>
      </c>
      <c r="C59" s="8">
        <f>(hbasin_width*2+hbasin_length*2)*hbasins*2</f>
        <v>0</v>
      </c>
      <c r="D59" s="137" t="s">
        <v>1777</v>
      </c>
    </row>
    <row r="61" spans="1:4">
      <c r="A61" t="s">
        <v>2592</v>
      </c>
      <c r="B61" s="67" t="s">
        <v>2589</v>
      </c>
      <c r="C61" s="13">
        <f>max_hl_cell_area*43560*max_hl_depth</f>
        <v>653400</v>
      </c>
      <c r="D61" s="137" t="s">
        <v>3280</v>
      </c>
    </row>
    <row r="62" spans="1:4">
      <c r="A62" t="s">
        <v>2591</v>
      </c>
      <c r="B62" s="67" t="s">
        <v>2590</v>
      </c>
      <c r="C62" s="8">
        <f>IF(AND(flow_equalization,res_s1_opt=3),ROUNDUP(hold_cap/(max_hl_vol*7.48),0),0)</f>
        <v>0</v>
      </c>
      <c r="D62" s="137" t="s">
        <v>2192</v>
      </c>
    </row>
    <row r="63" spans="1:4">
      <c r="A63" t="s">
        <v>2595</v>
      </c>
      <c r="B63" s="67" t="s">
        <v>2596</v>
      </c>
      <c r="C63" s="13">
        <f>IF(hlagoons=0,0,hold_cap/7.48/hlagoons)</f>
        <v>0</v>
      </c>
      <c r="D63" s="137" t="s">
        <v>3280</v>
      </c>
    </row>
    <row r="64" spans="1:4">
      <c r="A64" t="s">
        <v>2593</v>
      </c>
      <c r="B64" s="67" t="s">
        <v>2594</v>
      </c>
      <c r="C64" s="81">
        <f>ROUND(2*(max_hl_depth/(max_hl_cell_area*43560)*hl_vol)^(1/2),0)/2</f>
        <v>0</v>
      </c>
      <c r="D64" s="137" t="s">
        <v>4111</v>
      </c>
    </row>
    <row r="65" spans="1:11">
      <c r="A65" t="s">
        <v>2598</v>
      </c>
      <c r="B65" s="67" t="s">
        <v>2597</v>
      </c>
      <c r="C65" s="13">
        <f>IF(hlagoons=0,0,ROUNDUP((hl_vol/hl_op_depth)^(1/2),0))</f>
        <v>0</v>
      </c>
      <c r="D65" s="137" t="s">
        <v>4111</v>
      </c>
    </row>
    <row r="66" spans="1:11">
      <c r="A66" t="s">
        <v>1097</v>
      </c>
      <c r="B66" s="67" t="s">
        <v>1099</v>
      </c>
      <c r="C66" s="16">
        <f>IF(hlagoons=0,0,hl_op_depth+hl_freeboard)</f>
        <v>0</v>
      </c>
      <c r="D66" s="137" t="s">
        <v>4111</v>
      </c>
      <c r="E66" s="70" t="s">
        <v>1100</v>
      </c>
    </row>
    <row r="67" spans="1:11">
      <c r="A67" t="s">
        <v>2599</v>
      </c>
      <c r="B67" s="67" t="s">
        <v>2607</v>
      </c>
      <c r="C67" s="13">
        <f>IF(hlagoons=0,0,ROUNDUP(((hl_side+hl_overexcavate)^2*(hl_depth+hl_overexcavate)+0.5*(3*(hl_depth+hl_overexcavate)*(hl_side+hl_overexcavate)*(hl_depth+hl_overexcavate)))*hlagoons/27,0))</f>
        <v>0</v>
      </c>
      <c r="D67" s="137" t="s">
        <v>2349</v>
      </c>
      <c r="E67" s="69"/>
    </row>
    <row r="68" spans="1:11">
      <c r="A68" t="s">
        <v>2601</v>
      </c>
      <c r="B68" s="67" t="s">
        <v>2608</v>
      </c>
      <c r="C68" s="13">
        <f>ROUNDUP(hl_excavation_vol-(hl_side^2*hl_depth*hlagoons)/27,0)</f>
        <v>0</v>
      </c>
      <c r="D68" s="137" t="s">
        <v>2349</v>
      </c>
      <c r="E68" s="69"/>
    </row>
    <row r="69" spans="1:11">
      <c r="A69" t="s">
        <v>2603</v>
      </c>
      <c r="B69" s="67" t="s">
        <v>2609</v>
      </c>
      <c r="C69" s="13">
        <f>hlagoons*hl_side*4*ldike_xsection/27</f>
        <v>0</v>
      </c>
      <c r="D69" s="137" t="s">
        <v>2349</v>
      </c>
      <c r="E69" s="69"/>
    </row>
    <row r="70" spans="1:11">
      <c r="A70" t="s">
        <v>2605</v>
      </c>
      <c r="B70" s="67" t="s">
        <v>2610</v>
      </c>
      <c r="C70" s="13">
        <f>(hl_side^2+hl_side*(hl_depth+2)*4)*hlagoons</f>
        <v>0</v>
      </c>
      <c r="D70" s="137" t="s">
        <v>4310</v>
      </c>
      <c r="E70" s="70" t="s">
        <v>1096</v>
      </c>
    </row>
    <row r="72" spans="1:11">
      <c r="A72" s="2" t="s">
        <v>3742</v>
      </c>
    </row>
    <row r="73" spans="1:11">
      <c r="A73" s="14" t="s">
        <v>2200</v>
      </c>
      <c r="B73" s="216" t="s">
        <v>2201</v>
      </c>
      <c r="C73" s="775">
        <f>VLOOKUP(10^6,pump_cost_cl,1)-1</f>
        <v>10000</v>
      </c>
      <c r="D73" s="223" t="s">
        <v>2193</v>
      </c>
      <c r="E73" s="214" t="s">
        <v>1863</v>
      </c>
    </row>
    <row r="74" spans="1:11">
      <c r="A74" s="4" t="s">
        <v>4072</v>
      </c>
      <c r="B74" s="67" t="s">
        <v>1101</v>
      </c>
      <c r="C74" s="8">
        <f ca="1">IF(flow_equalization,ROUNDUP(res_flow*(1+pump_safety_factor)/max_res_pump_size,0)+NRD_res_pump,0)</f>
        <v>2</v>
      </c>
      <c r="D74" s="137" t="s">
        <v>2192</v>
      </c>
      <c r="G74" s="14"/>
      <c r="H74" s="216"/>
      <c r="I74" s="775"/>
      <c r="J74" s="223"/>
      <c r="K74" s="214"/>
    </row>
    <row r="75" spans="1:11">
      <c r="A75" s="4" t="s">
        <v>1102</v>
      </c>
      <c r="B75" s="67" t="s">
        <v>1103</v>
      </c>
      <c r="C75" s="82">
        <f ca="1">IF(flow_equalization,res_flow*(1+pump_safety_factor)/(res_pumps-NRD_res_pump),0)</f>
        <v>827.01954347814251</v>
      </c>
      <c r="D75" s="137" t="s">
        <v>2193</v>
      </c>
    </row>
    <row r="77" spans="1:11">
      <c r="A77" s="554" t="s">
        <v>970</v>
      </c>
      <c r="B77" s="31"/>
    </row>
    <row r="78" spans="1:11">
      <c r="A78" s="14" t="s">
        <v>1402</v>
      </c>
      <c r="B78" s="31" t="s">
        <v>1403</v>
      </c>
      <c r="C78" s="539">
        <f>res_solids*2000/transfer_time</f>
        <v>0</v>
      </c>
      <c r="D78" s="137" t="s">
        <v>1414</v>
      </c>
    </row>
    <row r="79" spans="1:11">
      <c r="A79" s="14" t="s">
        <v>1404</v>
      </c>
      <c r="B79" s="31" t="s">
        <v>1405</v>
      </c>
      <c r="C79" s="540">
        <f>res_transfer_rate/(ht_solids_density/7.48*60)</f>
        <v>0</v>
      </c>
      <c r="D79" s="137" t="s">
        <v>2193</v>
      </c>
    </row>
    <row r="80" spans="1:11">
      <c r="A80" s="14" t="s">
        <v>1406</v>
      </c>
      <c r="B80" s="31" t="s">
        <v>1407</v>
      </c>
      <c r="C80" s="541">
        <f>IF(res_transfer_method=1,1,0)</f>
        <v>0</v>
      </c>
      <c r="D80" s="137" t="s">
        <v>2192</v>
      </c>
    </row>
    <row r="81" spans="1:5">
      <c r="A81" s="220" t="s">
        <v>2166</v>
      </c>
      <c r="B81" s="219" t="s">
        <v>2167</v>
      </c>
      <c r="C81" s="776">
        <f>MAX(VLOOKUP(10^6,eductor_size_table_cl,1))</f>
        <v>53.5</v>
      </c>
      <c r="D81" s="408" t="s">
        <v>2193</v>
      </c>
      <c r="E81" s="46" t="s">
        <v>2168</v>
      </c>
    </row>
    <row r="82" spans="1:5">
      <c r="A82" s="220" t="s">
        <v>1408</v>
      </c>
      <c r="B82" s="31" t="s">
        <v>1409</v>
      </c>
      <c r="C82" s="542">
        <f>IF(res_transfer_method&lt;&gt;2,0,ROUNDUP(res_transfer_rate_gal/max_eductor_size,0))</f>
        <v>0</v>
      </c>
      <c r="D82" s="137" t="s">
        <v>2192</v>
      </c>
    </row>
    <row r="83" spans="1:5">
      <c r="A83" s="220" t="s">
        <v>1410</v>
      </c>
      <c r="B83" s="31" t="s">
        <v>1411</v>
      </c>
      <c r="C83" s="540">
        <f>IF(res_eductors=0,0,res_transfer_rate_gal/res_eductors)</f>
        <v>0</v>
      </c>
      <c r="D83" s="137" t="s">
        <v>2193</v>
      </c>
    </row>
    <row r="84" spans="1:5">
      <c r="A84" s="14" t="s">
        <v>1412</v>
      </c>
      <c r="B84" s="31" t="s">
        <v>1413</v>
      </c>
      <c r="C84" s="409" t="str">
        <f>IF(res_transfer_method=2,VLOOKUP(res_eff_transfer_rate,eductor_size_table_cl,2),"NA")</f>
        <v>NA</v>
      </c>
      <c r="D84" s="137" t="s">
        <v>2156</v>
      </c>
    </row>
    <row r="86" spans="1:5">
      <c r="A86" s="32" t="s">
        <v>1264</v>
      </c>
      <c r="B86" s="31"/>
    </row>
    <row r="87" spans="1:5">
      <c r="A87" s="28" t="s">
        <v>517</v>
      </c>
      <c r="B87" s="31" t="s">
        <v>483</v>
      </c>
      <c r="C87" s="8">
        <f>ROUNDUP(res_solids*2000/ht_solids_density/solids_storage_height,-1)</f>
        <v>0</v>
      </c>
      <c r="D87" s="137" t="s">
        <v>296</v>
      </c>
      <c r="E87" s="214" t="s">
        <v>972</v>
      </c>
    </row>
    <row r="88" spans="1:5">
      <c r="A88" s="28" t="s">
        <v>463</v>
      </c>
      <c r="B88" s="31" t="s">
        <v>484</v>
      </c>
      <c r="C88" s="128">
        <f>solids_pad_area*IF(ss_cat2=1,pad_thick_small,pad_thick)/27</f>
        <v>0</v>
      </c>
      <c r="D88" s="137" t="s">
        <v>485</v>
      </c>
      <c r="E88" s="14"/>
    </row>
    <row r="89" spans="1:5">
      <c r="A89" s="28"/>
      <c r="B89" s="31"/>
    </row>
    <row r="90" spans="1:5">
      <c r="A90" s="2" t="s">
        <v>1104</v>
      </c>
    </row>
    <row r="91" spans="1:5">
      <c r="A91" t="s">
        <v>1105</v>
      </c>
      <c r="B91" s="67" t="s">
        <v>1106</v>
      </c>
      <c r="C91" s="13">
        <f>IF(res_s2_opt=3,(res_flow_annual/7.48)*ep_safety_factor/((pan_evap*evap_ratio-precip)*0.0328),0)</f>
        <v>0</v>
      </c>
      <c r="D91" s="137" t="s">
        <v>4310</v>
      </c>
      <c r="E91" s="69"/>
    </row>
    <row r="92" spans="1:5">
      <c r="A92" t="s">
        <v>1107</v>
      </c>
      <c r="B92" s="67" t="s">
        <v>1108</v>
      </c>
      <c r="C92" s="16">
        <f>IF(res_s2_opt=3,ep_solids/ep_solids_density/ep_total_sa,0)</f>
        <v>0</v>
      </c>
      <c r="D92" s="137" t="s">
        <v>4111</v>
      </c>
      <c r="E92" s="69"/>
    </row>
    <row r="93" spans="1:5">
      <c r="A93" t="s">
        <v>3415</v>
      </c>
      <c r="B93" s="67" t="s">
        <v>3416</v>
      </c>
      <c r="C93" s="16">
        <f>IF(res_s2_opt=3,(res_flow_annual/7.48)*winter_days/365/ep_total_sa,0)</f>
        <v>0</v>
      </c>
      <c r="D93" s="137" t="s">
        <v>4111</v>
      </c>
      <c r="E93" s="69"/>
    </row>
    <row r="94" spans="1:5">
      <c r="A94" t="s">
        <v>1097</v>
      </c>
      <c r="B94" s="67" t="s">
        <v>1098</v>
      </c>
      <c r="C94" s="16">
        <f>IF(res_s2_opt=3,ep_solids_depth+ep_water_depth+ep_freeboard,0)</f>
        <v>0</v>
      </c>
      <c r="D94" s="137" t="s">
        <v>4111</v>
      </c>
      <c r="E94" s="70" t="s">
        <v>1100</v>
      </c>
    </row>
    <row r="95" spans="1:5">
      <c r="A95" t="s">
        <v>3417</v>
      </c>
      <c r="B95" s="67" t="s">
        <v>2197</v>
      </c>
      <c r="C95" s="8">
        <f>IF(res_s2_opt=3,IF(ROUNDUP(ep_total_sa/(max_ep_cell_area*43560),0)&lt;min_ep_cells,min_ep_cells,ROUNDUP(ep_total_sa/(max_ep_cell_area*43560),0)),0)</f>
        <v>0</v>
      </c>
      <c r="D95" s="137" t="s">
        <v>2219</v>
      </c>
      <c r="E95" s="69"/>
    </row>
    <row r="96" spans="1:5">
      <c r="A96" t="s">
        <v>2198</v>
      </c>
      <c r="B96" s="67" t="s">
        <v>2199</v>
      </c>
      <c r="C96" s="13">
        <f>IF(res_s2_opt=3,SQRT(ep_total_sa/ep_cells),0)</f>
        <v>0</v>
      </c>
      <c r="D96" s="137" t="s">
        <v>4111</v>
      </c>
      <c r="E96" s="69"/>
    </row>
    <row r="97" spans="1:5">
      <c r="A97" t="s">
        <v>2599</v>
      </c>
      <c r="B97" s="67" t="s">
        <v>2600</v>
      </c>
      <c r="C97" s="13">
        <f>IF(res_s2_opt=3,ROUNDUP(((ep_cell_side+ep_overexcavate)^2*(ep_depth+ep_overexcavate)+0.5*(3*(ep_depth+ep_overexcavate)*(ep_cell_side+ep_overexcavate)*(ep_depth+ep_overexcavate)))*ep_cells/27,0),0)</f>
        <v>0</v>
      </c>
      <c r="D97" s="137" t="s">
        <v>2349</v>
      </c>
      <c r="E97" s="69"/>
    </row>
    <row r="98" spans="1:5">
      <c r="A98" t="s">
        <v>2601</v>
      </c>
      <c r="B98" s="67" t="s">
        <v>2602</v>
      </c>
      <c r="C98" s="13">
        <f>IF(res_s2_opt=3,ROUNDUP(ep_excavation_vol-(ep_cell_side^2*ep_depth*ep_cells)/27,0),0)</f>
        <v>0</v>
      </c>
      <c r="D98" s="137" t="s">
        <v>2349</v>
      </c>
      <c r="E98" s="69"/>
    </row>
    <row r="99" spans="1:5">
      <c r="A99" t="s">
        <v>2603</v>
      </c>
      <c r="B99" s="67" t="s">
        <v>2604</v>
      </c>
      <c r="C99" s="13">
        <f>IF(res_s2_opt=3,ep_cells*ep_cell_side*4*dike_xsection/27,0)</f>
        <v>0</v>
      </c>
      <c r="D99" s="137" t="s">
        <v>2349</v>
      </c>
      <c r="E99" s="69"/>
    </row>
    <row r="100" spans="1:5">
      <c r="A100" t="s">
        <v>2605</v>
      </c>
      <c r="B100" s="67" t="s">
        <v>2606</v>
      </c>
      <c r="C100" s="13">
        <f>(ep_cell_side^2+ep_cell_side*(ep_depth+2)*4)*ep_cells</f>
        <v>0</v>
      </c>
      <c r="D100" s="137" t="s">
        <v>4310</v>
      </c>
      <c r="E100" s="70" t="s">
        <v>1096</v>
      </c>
    </row>
    <row r="101" spans="1:5">
      <c r="C101" s="13"/>
    </row>
    <row r="102" spans="1:5">
      <c r="A102" s="2" t="s">
        <v>2179</v>
      </c>
      <c r="C102" s="13"/>
    </row>
    <row r="103" spans="1:5">
      <c r="A103" t="s">
        <v>2180</v>
      </c>
      <c r="B103" s="67" t="s">
        <v>2181</v>
      </c>
      <c r="C103" s="541">
        <f>IF(res_s2_opt=4,ROUNDUP(res_flow_actual/injection_well_max_flow,0)+NRD_wells,0)</f>
        <v>0</v>
      </c>
    </row>
    <row r="104" spans="1:5">
      <c r="A104" t="s">
        <v>2185</v>
      </c>
      <c r="B104" s="67" t="s">
        <v>2186</v>
      </c>
      <c r="C104" s="13">
        <f>IF(res_s2_opt=4,res_flow/num_wells,0)</f>
        <v>0</v>
      </c>
      <c r="D104" s="137" t="s">
        <v>2193</v>
      </c>
    </row>
    <row r="105" spans="1:5">
      <c r="A105" t="s">
        <v>2182</v>
      </c>
      <c r="B105" s="67" t="s">
        <v>2184</v>
      </c>
      <c r="C105" s="541">
        <f>IF(res_s2_opt=4,ROUNDUP(SQRT(flow_per_well/7.48/60/injection_well_flow_speed/PI())*2*12,0),0)</f>
        <v>0</v>
      </c>
      <c r="D105" s="137" t="s">
        <v>1951</v>
      </c>
      <c r="E105" s="70" t="s">
        <v>2183</v>
      </c>
    </row>
    <row r="106" spans="1:5">
      <c r="A106" t="s">
        <v>1010</v>
      </c>
      <c r="B106" s="67" t="s">
        <v>1011</v>
      </c>
      <c r="C106" s="541">
        <f>IF(res_s2_opt=4,ROUNDUP(flow_per_well*(1+pump_safety_factor)/max_well_pump_size,0),0)*num_wells</f>
        <v>0</v>
      </c>
    </row>
    <row r="107" spans="1:5">
      <c r="A107" t="s">
        <v>1012</v>
      </c>
      <c r="B107" s="67" t="s">
        <v>998</v>
      </c>
      <c r="C107" s="541">
        <f>IF(res_s2_opt=4,op_well_pumps+NRD_well_pump*num_wells,0)</f>
        <v>0</v>
      </c>
      <c r="E107" s="70" t="s">
        <v>1013</v>
      </c>
    </row>
    <row r="108" spans="1:5">
      <c r="A108" t="s">
        <v>1014</v>
      </c>
      <c r="B108" s="67" t="s">
        <v>1015</v>
      </c>
      <c r="C108" s="13">
        <f>IF(res_s2_opt=4,num_wells*flow_per_well/op_well_pumps,0)</f>
        <v>0</v>
      </c>
      <c r="D108" s="137" t="s">
        <v>2193</v>
      </c>
    </row>
    <row r="109" spans="1:5">
      <c r="A109" t="s">
        <v>4011</v>
      </c>
      <c r="B109" s="67" t="s">
        <v>4012</v>
      </c>
      <c r="C109" s="13">
        <f>flow_per_well_pump*(1+pump_safety_factor)</f>
        <v>0</v>
      </c>
      <c r="D109" s="137" t="s">
        <v>2193</v>
      </c>
    </row>
    <row r="110" spans="1:5">
      <c r="A110" t="s">
        <v>1018</v>
      </c>
      <c r="B110" s="67" t="s">
        <v>1019</v>
      </c>
      <c r="C110" s="545">
        <f>IF(res_s2_opt=4,injection_well_intercept_cl+injection_well_coeff_diam_cl*well_diam+injection_well_coeff_depth_cl*injection_well_depth,0)</f>
        <v>0</v>
      </c>
    </row>
    <row r="111" spans="1:5">
      <c r="A111" t="s">
        <v>4008</v>
      </c>
      <c r="B111" s="67" t="s">
        <v>4009</v>
      </c>
      <c r="C111" s="545">
        <f>num_wells*injection_well_cost</f>
        <v>0</v>
      </c>
    </row>
    <row r="113" spans="1:5">
      <c r="A113" s="2" t="s">
        <v>2202</v>
      </c>
    </row>
    <row r="114" spans="1:5">
      <c r="A114" s="555" t="s">
        <v>2262</v>
      </c>
      <c r="B114" s="67" t="s">
        <v>2257</v>
      </c>
      <c r="C114" s="543">
        <f ca="1">res_pipe_mult*facil_length+IF(OR(res_s2_opt=1,res_s2_opt=4),add_res_pipe_length_direct,add_res_pipe_length)</f>
        <v>160</v>
      </c>
      <c r="D114" s="137" t="s">
        <v>3065</v>
      </c>
      <c r="E114" s="70" t="s">
        <v>4679</v>
      </c>
    </row>
    <row r="115" spans="1:5">
      <c r="A115" t="s">
        <v>2203</v>
      </c>
      <c r="B115" s="67" t="s">
        <v>2204</v>
      </c>
      <c r="C115" s="543">
        <f ca="1">MAX(min_res_pipe_size,VLOOKUP(res_flow,pipe_size_table_cl,2))</f>
        <v>6</v>
      </c>
      <c r="D115" s="137" t="s">
        <v>2156</v>
      </c>
    </row>
    <row r="116" spans="1:5">
      <c r="A116" s="14" t="s">
        <v>3934</v>
      </c>
      <c r="B116" s="31" t="s">
        <v>3935</v>
      </c>
      <c r="C116" s="543">
        <f>IF(OR(res_s2_opt=5,res_s2_opt=6),0,IF(OR(res_s2_opt=1,res_s2_opt=4),add_res_pipe_length_direct,add_res_pipe_length))</f>
        <v>0</v>
      </c>
      <c r="D116" s="14" t="s">
        <v>3065</v>
      </c>
    </row>
    <row r="117" spans="1:5">
      <c r="A117" s="220" t="s">
        <v>2922</v>
      </c>
      <c r="B117" s="31" t="s">
        <v>3936</v>
      </c>
      <c r="C117" s="543">
        <f>MAX(frost,min_trench_depth)</f>
        <v>38</v>
      </c>
      <c r="D117" s="14" t="s">
        <v>2919</v>
      </c>
    </row>
    <row r="118" spans="1:5">
      <c r="A118" s="220" t="s">
        <v>2924</v>
      </c>
      <c r="B118" s="31" t="s">
        <v>3937</v>
      </c>
      <c r="C118" s="26">
        <f ca="1">VLOOKUP(res_pipe_diam,thrust_block_table_cl,2)*2.2</f>
        <v>6237.043283051893</v>
      </c>
      <c r="D118" s="14" t="s">
        <v>2156</v>
      </c>
    </row>
    <row r="119" spans="1:5">
      <c r="A119" s="220" t="s">
        <v>2926</v>
      </c>
      <c r="B119" s="31" t="s">
        <v>3938</v>
      </c>
      <c r="C119" s="14">
        <f ca="1">1.5*res_thrust_force/(soil_dens*(res_trn_depth/12+res_pipe_diam/12)*Coeff_Kp*Reduction)</f>
        <v>18.775379196767016</v>
      </c>
      <c r="D119" s="14" t="s">
        <v>4312</v>
      </c>
    </row>
    <row r="120" spans="1:5">
      <c r="A120" s="220" t="s">
        <v>2928</v>
      </c>
      <c r="B120" s="31"/>
      <c r="C120" s="14">
        <f ca="1">res_bearing_area/C121</f>
        <v>6.1278673609612362</v>
      </c>
      <c r="D120" s="14" t="s">
        <v>296</v>
      </c>
    </row>
    <row r="121" spans="1:5">
      <c r="A121" s="220" t="s">
        <v>2929</v>
      </c>
      <c r="B121" s="31"/>
      <c r="C121" s="14">
        <f ca="1">(res_bearing_area/2)^0.5</f>
        <v>3.0639336804806185</v>
      </c>
      <c r="D121" s="14" t="s">
        <v>3065</v>
      </c>
    </row>
    <row r="122" spans="1:5">
      <c r="A122" s="220" t="s">
        <v>2930</v>
      </c>
      <c r="B122" s="31"/>
      <c r="C122" s="14">
        <f ca="1">MAX(0.5,res_pipe_diam/12)</f>
        <v>0.5</v>
      </c>
      <c r="D122" s="14" t="s">
        <v>3065</v>
      </c>
    </row>
    <row r="123" spans="1:5">
      <c r="A123" s="220" t="s">
        <v>2932</v>
      </c>
      <c r="B123" s="31"/>
      <c r="C123" s="14">
        <f ca="1">C120/2</f>
        <v>3.0639336804806181</v>
      </c>
      <c r="D123" s="14" t="s">
        <v>3065</v>
      </c>
    </row>
    <row r="124" spans="1:5">
      <c r="A124" s="220" t="s">
        <v>2933</v>
      </c>
      <c r="B124" s="31" t="s">
        <v>3939</v>
      </c>
      <c r="C124" s="14">
        <f>IF(buried_res_pipe_length=0,0,IF(res_pipe_diam=0,0,(C123+(C116/12)/2)*(C120+C122)/2*C121/27))</f>
        <v>0</v>
      </c>
      <c r="D124" s="14" t="s">
        <v>3747</v>
      </c>
    </row>
    <row r="125" spans="1:5">
      <c r="A125" s="220" t="s">
        <v>3940</v>
      </c>
      <c r="B125" s="31" t="s">
        <v>3941</v>
      </c>
      <c r="C125" s="267">
        <f ca="1">IF(res_pipe_diam=0,0,(res_pipe_diam/12+2)*(bedding_depth/12+res_pipe_diam/12+res_trn_depth/12)+(bedding_depth/12+res_pipe_diam/12+res_trn_depth/12)^2*TAN(trench_angle))</f>
        <v>27.777777777777768</v>
      </c>
      <c r="D125" s="14" t="s">
        <v>3747</v>
      </c>
    </row>
    <row r="126" spans="1:5">
      <c r="A126" s="220" t="s">
        <v>3942</v>
      </c>
      <c r="B126" s="31"/>
      <c r="C126" s="131">
        <f ca="1">res_trench_area*buried_res_pipe_length/27</f>
        <v>0</v>
      </c>
      <c r="D126" s="14" t="s">
        <v>296</v>
      </c>
    </row>
    <row r="127" spans="1:5">
      <c r="A127" s="220" t="s">
        <v>3943</v>
      </c>
      <c r="B127" s="31" t="s">
        <v>3944</v>
      </c>
      <c r="C127" s="131">
        <f>IF(buried_res_pipe_length=0,0,IF(res_pipe_diam=0,0,C126+res_block_vol))</f>
        <v>0</v>
      </c>
      <c r="D127" s="14" t="s">
        <v>3747</v>
      </c>
    </row>
    <row r="128" spans="1:5">
      <c r="A128" s="220" t="s">
        <v>1778</v>
      </c>
      <c r="B128" s="31"/>
      <c r="C128" s="268">
        <f ca="1">IF(res_pipe_diam=0,0,(res_pipe_diam/12+2)*(bedding_depth/12+res_pipe_diam/12*bedding_pct)+(bedding_depth/12+res_pipe_diam/12*bedding_pct)^2*TAN(trench_angle)-((res_pipe_diam/12/2)^2*ACOS((res_pipe_diam/12/2-bedding_pct*res_pipe_diam/12)/(res_pipe_diam/12/2))-(res_pipe_diam/12/2-res_pipe_diam/12*bedding_pct)*((2*res_pipe_diam/12/2*res_pipe_diam/12*bedding_pct-(res_pipe_diam/12*bedding_pct)^2)^0.5)))</f>
        <v>1.9147384469184763</v>
      </c>
      <c r="D128" s="14" t="s">
        <v>296</v>
      </c>
    </row>
    <row r="129" spans="1:4">
      <c r="A129" s="220" t="s">
        <v>1779</v>
      </c>
      <c r="B129" s="31" t="s">
        <v>3945</v>
      </c>
      <c r="C129" s="14">
        <f ca="1">C128*buried_res_pipe_length/2/27</f>
        <v>0</v>
      </c>
      <c r="D129" s="14" t="s">
        <v>3747</v>
      </c>
    </row>
    <row r="130" spans="1:4">
      <c r="C130" s="543"/>
      <c r="D130" s="14"/>
    </row>
    <row r="131" spans="1:4">
      <c r="A131" s="2" t="s">
        <v>1768</v>
      </c>
    </row>
    <row r="132" spans="1:4">
      <c r="A132" s="4" t="s">
        <v>1769</v>
      </c>
      <c r="B132" s="67" t="s">
        <v>1770</v>
      </c>
      <c r="C132" s="543">
        <f ca="1">res_pipe_diam</f>
        <v>6</v>
      </c>
      <c r="D132" s="137" t="s">
        <v>2156</v>
      </c>
    </row>
    <row r="133" spans="1:4">
      <c r="A133" t="s">
        <v>1771</v>
      </c>
      <c r="B133" s="67" t="s">
        <v>1772</v>
      </c>
      <c r="C133" s="543">
        <f ca="1">VLOOKUP("res_MOV_pump",valve_table,manual+1,FALSE)*res_pumps+VLOOKUP("res_MOV_tank",valve_table,manual+1,FALSE)*(htanks+hbasins+hlagoons)+VLOOKUP("res_MOV_ep",valve_table,manual+1,FALSE)*ep_cells</f>
        <v>5</v>
      </c>
      <c r="D133" s="137" t="s">
        <v>2627</v>
      </c>
    </row>
    <row r="134" spans="1:4">
      <c r="A134" t="s">
        <v>3536</v>
      </c>
      <c r="B134" s="67" t="s">
        <v>3537</v>
      </c>
      <c r="C134" s="543">
        <f ca="1">VLOOKUP("res_man_pump",valve_table,manual+1,FALSE)*res_pumps+VLOOKUP("res_man_tank",valve_table,manual+1,FALSE)*(htanks+num_neut_tanks)</f>
        <v>0</v>
      </c>
      <c r="D134" s="137" t="s">
        <v>2627</v>
      </c>
    </row>
    <row r="135" spans="1:4">
      <c r="A135" t="s">
        <v>1773</v>
      </c>
      <c r="B135" s="67" t="s">
        <v>1774</v>
      </c>
      <c r="C135" s="8">
        <f ca="1">res_chv_pump*res_pumps+IF(res_pumps=0,res_chv_no_pump,0)</f>
        <v>2</v>
      </c>
      <c r="D135" s="137" t="s">
        <v>2627</v>
      </c>
    </row>
    <row r="136" spans="1:4">
      <c r="A136" t="s">
        <v>1139</v>
      </c>
      <c r="B136" s="67" t="s">
        <v>1140</v>
      </c>
      <c r="C136" s="8">
        <f ca="1">(htanks+hbasins)*alarm_res</f>
        <v>3</v>
      </c>
      <c r="D136" s="137" t="s">
        <v>2192</v>
      </c>
    </row>
    <row r="137" spans="1:4">
      <c r="A137" t="s">
        <v>1141</v>
      </c>
      <c r="B137" s="67" t="s">
        <v>1142</v>
      </c>
      <c r="C137" s="543">
        <f ca="1">res_pipe_diam</f>
        <v>6</v>
      </c>
      <c r="D137" s="137" t="s">
        <v>2156</v>
      </c>
    </row>
    <row r="138" spans="1:4">
      <c r="C138" s="543"/>
    </row>
    <row r="139" spans="1:4">
      <c r="A139" s="1" t="s">
        <v>1146</v>
      </c>
    </row>
    <row r="140" spans="1:4">
      <c r="A140" s="2" t="s">
        <v>3742</v>
      </c>
    </row>
    <row r="141" spans="1:4">
      <c r="A141" t="s">
        <v>1008</v>
      </c>
      <c r="C141" s="8">
        <f ca="1">IF(res_pumps=0,0,res_flow_actual*res_pump_psi/(res_pumps-NRD_res_pump)/pump_effcy/14.7*33.9*8.34/550/60)</f>
        <v>9.4560569979947022</v>
      </c>
      <c r="D141" s="137" t="s">
        <v>80</v>
      </c>
    </row>
    <row r="142" spans="1:4">
      <c r="A142" t="s">
        <v>1007</v>
      </c>
      <c r="C142" s="544">
        <f ca="1">C141*0.7457/1000*24*365</f>
        <v>61.770103721824732</v>
      </c>
      <c r="D142" s="137" t="s">
        <v>83</v>
      </c>
    </row>
    <row r="143" spans="1:4">
      <c r="A143" t="s">
        <v>1009</v>
      </c>
      <c r="C143" s="8">
        <f>IF(res_s2_opt=4,flow_per_well_pump*well_pump_psi/pump_effcy/14.7*33.9*8.34/550/60,0)</f>
        <v>0</v>
      </c>
      <c r="D143" s="137" t="s">
        <v>80</v>
      </c>
    </row>
    <row r="144" spans="1:4">
      <c r="A144" t="s">
        <v>1017</v>
      </c>
      <c r="C144" s="544">
        <f>C143*0.7457/1000*24*365</f>
        <v>0</v>
      </c>
      <c r="D144" s="137" t="s">
        <v>83</v>
      </c>
    </row>
    <row r="145" spans="1:4">
      <c r="A145" t="s">
        <v>1016</v>
      </c>
      <c r="B145" s="67" t="s">
        <v>1143</v>
      </c>
      <c r="C145" s="544">
        <f ca="1">C142*(res_pumps-NRD_res_pump)+C144*op_well_pumps</f>
        <v>61.770103721824732</v>
      </c>
      <c r="D145" s="137" t="s">
        <v>83</v>
      </c>
    </row>
    <row r="146" spans="1:4">
      <c r="A146" t="s">
        <v>1144</v>
      </c>
      <c r="B146" s="67" t="s">
        <v>1145</v>
      </c>
      <c r="C146" s="17">
        <f ca="1">mat_pct*SUM(OUTPUT!J227:J228)</f>
        <v>317.65129772338599</v>
      </c>
      <c r="D146" s="137" t="s">
        <v>82</v>
      </c>
    </row>
    <row r="148" spans="1:4">
      <c r="A148" s="2" t="s">
        <v>3155</v>
      </c>
    </row>
    <row r="149" spans="1:4">
      <c r="A149" s="555" t="s">
        <v>3156</v>
      </c>
      <c r="B149" s="75" t="s">
        <v>3157</v>
      </c>
      <c r="C149" s="558">
        <f ca="1">TSS_residuals</f>
        <v>4.0937531326842844</v>
      </c>
      <c r="D149" s="557" t="s">
        <v>2263</v>
      </c>
    </row>
    <row r="150" spans="1:4">
      <c r="A150" t="s">
        <v>3158</v>
      </c>
      <c r="B150" s="67" t="s">
        <v>3159</v>
      </c>
      <c r="C150" s="80">
        <f ca="1">IF((TSS_residuals_dis-POTW_TSS_limit)*res_flow_annual*3.785/1000/453.59&gt;0,(TSS_residuals_dis-POTW_TSS_limit)*res_flow_annual*3.785/1000/453.59,0)</f>
        <v>0</v>
      </c>
      <c r="D150" s="137" t="s">
        <v>933</v>
      </c>
    </row>
    <row r="151" spans="1:4">
      <c r="A151" s="4" t="s">
        <v>3160</v>
      </c>
      <c r="C151" s="559">
        <f>IF(POTW_rate_type=1,POTW_base_cost_avg_cl,IF(POTW_base_fee=1,POTW_base_cost_typ_cl,0))*12</f>
        <v>206.41019947671711</v>
      </c>
      <c r="D151" s="137" t="s">
        <v>2897</v>
      </c>
    </row>
    <row r="152" spans="1:4">
      <c r="A152" s="4" t="s">
        <v>3161</v>
      </c>
      <c r="C152" s="559">
        <f ca="1">IF(POTW_rate_type=1,POTW_vol_cost_avg_cl,IF(POTW_volume_fee=1,POTW_vol_cost_typ_cl,0))*res_flow_annual/1000</f>
        <v>1421742.8009747716</v>
      </c>
      <c r="D152" s="137" t="s">
        <v>2897</v>
      </c>
    </row>
    <row r="153" spans="1:4">
      <c r="A153" s="4" t="s">
        <v>3162</v>
      </c>
      <c r="C153" s="559">
        <f ca="1">IF(POTW_rate_type=1,POTW_TSS_cost_avg_cl,IF(POTW_TSS_fee=1,POTW_TSS_cost_typ_cl,0))*ex_TSS_total</f>
        <v>0</v>
      </c>
      <c r="D153" s="137" t="s">
        <v>2897</v>
      </c>
    </row>
    <row r="154" spans="1:4">
      <c r="A154" s="4" t="s">
        <v>1855</v>
      </c>
      <c r="B154" s="67" t="s">
        <v>2896</v>
      </c>
      <c r="C154" s="560">
        <f ca="1">SUM(C151:C153)</f>
        <v>1421949.2111742483</v>
      </c>
      <c r="D154" s="137" t="s">
        <v>2897</v>
      </c>
    </row>
    <row r="156" spans="1:4">
      <c r="A156" s="32" t="s">
        <v>5116</v>
      </c>
      <c r="B156" s="31"/>
    </row>
    <row r="157" spans="1:4">
      <c r="A157" s="14" t="s">
        <v>2898</v>
      </c>
      <c r="B157" s="31"/>
      <c r="C157" s="139">
        <f ca="1">IF(res_s2_opt=6,lhaz_disposal_cost_cl*res_flow_annual,0)</f>
        <v>974970064.23566186</v>
      </c>
      <c r="D157" s="223" t="s">
        <v>2897</v>
      </c>
    </row>
    <row r="158" spans="1:4">
      <c r="A158" s="28" t="s">
        <v>5117</v>
      </c>
      <c r="B158" s="31"/>
      <c r="C158" s="780">
        <f ca="1">IF(res_s2_opt=6,res_flow_annual/hold_cap,0)</f>
        <v>362.31807155536745</v>
      </c>
      <c r="D158" s="223"/>
    </row>
    <row r="159" spans="1:4">
      <c r="A159" s="14" t="s">
        <v>2899</v>
      </c>
      <c r="B159" s="31"/>
      <c r="C159" s="780">
        <f ca="1">IF(hold_cap&gt;max_lhaz_ship,ROUNDUP(hold_cap/max_lhaz_ship,0)*C158,C158)</f>
        <v>42753.53244353336</v>
      </c>
      <c r="D159" s="412" t="s">
        <v>934</v>
      </c>
    </row>
    <row r="160" spans="1:4">
      <c r="A160" s="14" t="s">
        <v>2900</v>
      </c>
      <c r="B160" s="31"/>
      <c r="C160" s="139">
        <f ca="1">IF(res_s2_opt=6,MAX(C159*lhaz_trans_min_cost_cl,res_flow_annual*haz_miles*lhaz_transportation_cost_cl),0)</f>
        <v>145028946.69331661</v>
      </c>
      <c r="D160" s="14" t="s">
        <v>2897</v>
      </c>
    </row>
    <row r="161" spans="1:5">
      <c r="A161" s="14" t="s">
        <v>5118</v>
      </c>
      <c r="B161" s="31" t="s">
        <v>5119</v>
      </c>
      <c r="C161" s="139">
        <f ca="1">C157+C160</f>
        <v>1119999010.9289784</v>
      </c>
      <c r="D161" s="14" t="s">
        <v>2897</v>
      </c>
    </row>
    <row r="163" spans="1:5">
      <c r="A163" s="2" t="s">
        <v>2902</v>
      </c>
    </row>
    <row r="164" spans="1:5">
      <c r="A164" t="s">
        <v>2898</v>
      </c>
      <c r="C164" s="139">
        <f ca="1">cart_disp_wt*cart_disp_freq*nonhaz_disposal_cost_cl</f>
        <v>169.01747559106838</v>
      </c>
      <c r="D164" s="137" t="s">
        <v>2897</v>
      </c>
    </row>
    <row r="165" spans="1:5">
      <c r="A165" t="s">
        <v>2900</v>
      </c>
      <c r="C165" s="139">
        <f ca="1">cart_disp_wt*cart_disp_freq*non_haz_miles*nonhaz_transportation_cost_cl</f>
        <v>3.255996526596181</v>
      </c>
      <c r="D165" s="137" t="s">
        <v>2897</v>
      </c>
    </row>
    <row r="166" spans="1:5">
      <c r="A166" t="s">
        <v>2901</v>
      </c>
      <c r="B166" s="67" t="s">
        <v>2903</v>
      </c>
      <c r="C166" s="139">
        <f ca="1">SUM(C164:C165)</f>
        <v>172.27347211766457</v>
      </c>
      <c r="D166" s="137" t="s">
        <v>2897</v>
      </c>
    </row>
    <row r="168" spans="1:5">
      <c r="A168" s="2" t="s">
        <v>2904</v>
      </c>
    </row>
    <row r="169" spans="1:5">
      <c r="A169" t="s">
        <v>2898</v>
      </c>
      <c r="C169" s="139">
        <f ca="1">elem_disp_wt*elem_disp_freq*CHOOSE(solids_haz,nonhaz_disposal_cost_cl,haz_disposal_cost_cl,rad_disposal_cost_cl,hazrad_disposal_cost_cl)</f>
        <v>1635.3277508490753</v>
      </c>
      <c r="D169" s="137" t="s">
        <v>2897</v>
      </c>
    </row>
    <row r="170" spans="1:5">
      <c r="A170" t="s">
        <v>2899</v>
      </c>
      <c r="B170" s="31" t="s">
        <v>5175</v>
      </c>
      <c r="C170" s="558">
        <f ca="1">CHOOSE(solids_haz,elem_disp_freq,IF(elem_disp_wt&gt;max_haz_ship,ROUNDUP(elem_disp_wt/max_haz_ship,0)*elem_disp_freq,elem_disp_freq),IF(elem_disp_wt&gt;max_rad_ship,ROUNDUP(elem_disp_wt/max_rad_ship,0)*elem_disp_freq,elem_disp_freq),IF(elem_disp_wt&gt;max_hazrad_ship,ROUNDUP(elem_disp_wt/max_hazrad_ship,0)*elem_disp_freq,elem_disp_freq))</f>
        <v>0.5</v>
      </c>
    </row>
    <row r="171" spans="1:5">
      <c r="A171" s="804" t="s">
        <v>5161</v>
      </c>
      <c r="B171" s="31"/>
      <c r="C171" s="808">
        <f>CHOOSE(solids_haz,nonhaz_transportation_cost_cl,haz_transportation_cost_cl,rad_transportation_cost_cl,hazrad_transportation_cost_cl)</f>
        <v>0.28268414016405796</v>
      </c>
      <c r="D171" s="805" t="s">
        <v>5162</v>
      </c>
    </row>
    <row r="172" spans="1:5">
      <c r="A172" s="804" t="s">
        <v>5163</v>
      </c>
      <c r="B172" s="31"/>
      <c r="C172" s="808">
        <f>CHOOSE(solids_haz,0,haz_trans_min_cost_cl,rad_trans_min_cost_cl,hazrad_trans_min_cost_cl)</f>
        <v>3392.2096819686953</v>
      </c>
      <c r="D172" s="805" t="s">
        <v>5164</v>
      </c>
    </row>
    <row r="173" spans="1:5">
      <c r="A173" s="804" t="s">
        <v>5165</v>
      </c>
      <c r="B173" s="31" t="s">
        <v>5176</v>
      </c>
      <c r="C173" s="809">
        <f>CHOOSE(solids_haz,non_haz_miles,haz_miles,rad_miles,hazrad_miles)</f>
        <v>200</v>
      </c>
      <c r="D173" s="805" t="s">
        <v>1849</v>
      </c>
    </row>
    <row r="174" spans="1:5">
      <c r="A174" t="s">
        <v>2900</v>
      </c>
      <c r="C174" s="808">
        <f ca="1">MAX(C170*C172,C170*C171*C173*elem_disp_wt)</f>
        <v>1696.1048409843477</v>
      </c>
      <c r="D174" s="137" t="s">
        <v>2897</v>
      </c>
      <c r="E174" s="459"/>
    </row>
    <row r="175" spans="1:5">
      <c r="A175" s="804" t="s">
        <v>5528</v>
      </c>
      <c r="C175" s="808">
        <f>CHOOSE(solids_haz,0,0,VLOOKUP(households*hh_size,rad_annual_fee_cl,2),VLOOKUP(households*hh_size,hazrad_annual_fee_cl,2))</f>
        <v>0</v>
      </c>
      <c r="D175" s="137" t="s">
        <v>2897</v>
      </c>
      <c r="E175" s="459"/>
    </row>
    <row r="176" spans="1:5">
      <c r="A176" t="s">
        <v>2901</v>
      </c>
      <c r="B176" s="67" t="s">
        <v>2725</v>
      </c>
      <c r="C176" s="810">
        <f ca="1">C169+C174+C175</f>
        <v>3331.432591833423</v>
      </c>
      <c r="D176" s="137" t="s">
        <v>2897</v>
      </c>
    </row>
    <row r="177" spans="1:5">
      <c r="C177" s="538"/>
    </row>
    <row r="178" spans="1:5">
      <c r="A178" s="2" t="s">
        <v>973</v>
      </c>
      <c r="C178" s="538"/>
      <c r="E178" s="69"/>
    </row>
    <row r="179" spans="1:5">
      <c r="A179" t="s">
        <v>2898</v>
      </c>
      <c r="C179" s="808">
        <f>res_solids*sol_disp_freq*CHOOSE(solids_haz,nonhaz_disposal_cost_cl,haz_disposal_cost_cl,rad_disposal_cost_cl,hazrad_disposal_cost_cl)</f>
        <v>0</v>
      </c>
      <c r="D179" s="137" t="s">
        <v>2897</v>
      </c>
      <c r="E179" s="69"/>
    </row>
    <row r="180" spans="1:5">
      <c r="A180" t="s">
        <v>2899</v>
      </c>
      <c r="B180" s="31" t="s">
        <v>5173</v>
      </c>
      <c r="C180" s="558">
        <f>CHOOSE(solids_haz,sol_disp_freq,IF(res_solids&gt;max_haz_ship,ROUNDUP(res_solids/max_haz_ship,0)*sol_disp_freq,sol_disp_freq),IF(res_solids&gt;max_rad_ship,ROUNDUP(res_solids/max_rad_ship,0)*sol_disp_freq,sol_disp_freq),IF(res_solids&gt;max_hazrad_ship,ROUNDUP(res_solids/max_hazrad_ship,0)*sol_disp_freq,sol_disp_freq))</f>
        <v>0</v>
      </c>
    </row>
    <row r="181" spans="1:5">
      <c r="A181" s="804" t="s">
        <v>5161</v>
      </c>
      <c r="B181" s="31"/>
      <c r="C181" s="808">
        <f>CHOOSE(solids_haz,nonhaz_transportation_cost_cl,haz_transportation_cost_cl,rad_transportation_cost_cl,hazrad_transportation_cost_cl)</f>
        <v>0.28268414016405796</v>
      </c>
      <c r="D181" s="805" t="s">
        <v>5162</v>
      </c>
    </row>
    <row r="182" spans="1:5">
      <c r="A182" s="804" t="s">
        <v>5163</v>
      </c>
      <c r="B182" s="31"/>
      <c r="C182" s="808">
        <f>CHOOSE(solids_haz,0,haz_trans_min_cost_cl,rad_trans_min_cost_cl,hazrad_trans_min_cost_cl)</f>
        <v>3392.2096819686953</v>
      </c>
      <c r="D182" s="805" t="s">
        <v>5164</v>
      </c>
    </row>
    <row r="183" spans="1:5">
      <c r="A183" s="804" t="s">
        <v>5165</v>
      </c>
      <c r="B183" s="31" t="s">
        <v>5174</v>
      </c>
      <c r="C183" s="809">
        <f>CHOOSE(solids_haz,non_haz_miles,haz_miles,rad_miles,hazrad_miles)</f>
        <v>200</v>
      </c>
      <c r="D183" s="805" t="s">
        <v>1849</v>
      </c>
    </row>
    <row r="184" spans="1:5">
      <c r="A184" t="s">
        <v>2900</v>
      </c>
      <c r="C184" s="808">
        <f>MAX(C180*C182,C180*C181*C183*res_solids)</f>
        <v>0</v>
      </c>
      <c r="D184" s="137" t="s">
        <v>2897</v>
      </c>
      <c r="E184" s="69"/>
    </row>
    <row r="185" spans="1:5">
      <c r="A185" s="804" t="s">
        <v>5528</v>
      </c>
      <c r="C185" s="808">
        <f>IF(res_solids=0,0,CHOOSE(solids_haz,0,0,VLOOKUP(households*hh_size,rad_annual_fee_cl,2),VLOOKUP(households*hh_size,hazrad_annual_fee_cl,2)))</f>
        <v>0</v>
      </c>
      <c r="D185" s="137" t="s">
        <v>2897</v>
      </c>
      <c r="E185" s="69"/>
    </row>
    <row r="186" spans="1:5">
      <c r="A186" s="4" t="s">
        <v>5138</v>
      </c>
      <c r="B186" s="67" t="s">
        <v>4018</v>
      </c>
      <c r="C186" s="561">
        <f>IF(AND(solids_haz=1,solids_method=2),0,C184+C179+C185)</f>
        <v>0</v>
      </c>
      <c r="D186" s="137" t="s">
        <v>2897</v>
      </c>
      <c r="E186" s="69"/>
    </row>
  </sheetData>
  <phoneticPr fontId="0" type="noConversion"/>
  <pageMargins left="0.75" right="0.75" top="1" bottom="1" header="0.5" footer="0.5"/>
  <pageSetup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61"/>
  <sheetViews>
    <sheetView zoomScaleNormal="100" workbookViewId="0">
      <pane ySplit="4" topLeftCell="A100" activePane="bottomLeft" state="frozenSplit"/>
      <selection pane="bottomLeft" activeCell="B119" sqref="B119"/>
    </sheetView>
  </sheetViews>
  <sheetFormatPr baseColWidth="10" defaultColWidth="9.1640625" defaultRowHeight="13"/>
  <cols>
    <col min="1" max="1" width="57.83203125" style="14" customWidth="1"/>
    <col min="2" max="2" width="27.5" style="216" bestFit="1" customWidth="1"/>
    <col min="3" max="3" width="14.5" style="14" customWidth="1"/>
    <col min="4" max="4" width="21.1640625" style="238" customWidth="1"/>
    <col min="5" max="5" width="12" style="14" customWidth="1"/>
    <col min="6" max="6" width="15.5" style="14" customWidth="1"/>
    <col min="7" max="7" width="12.5" style="14" customWidth="1"/>
    <col min="8" max="16384" width="9.1640625" style="14"/>
  </cols>
  <sheetData>
    <row r="1" spans="1:6">
      <c r="A1" s="20" t="s">
        <v>16</v>
      </c>
    </row>
    <row r="2" spans="1:6">
      <c r="A2" s="976" t="s">
        <v>5456</v>
      </c>
    </row>
    <row r="4" spans="1:6">
      <c r="A4" s="235" t="s">
        <v>1988</v>
      </c>
      <c r="B4" s="236" t="s">
        <v>1989</v>
      </c>
      <c r="C4" s="237" t="s">
        <v>1990</v>
      </c>
      <c r="D4" s="236" t="s">
        <v>2961</v>
      </c>
      <c r="E4" s="236" t="s">
        <v>1991</v>
      </c>
      <c r="F4" s="20"/>
    </row>
    <row r="5" spans="1:6" ht="56">
      <c r="A5" s="28" t="s">
        <v>2728</v>
      </c>
      <c r="B5" s="216" t="s">
        <v>3076</v>
      </c>
      <c r="C5" s="89">
        <v>1</v>
      </c>
      <c r="D5" s="839" t="s">
        <v>2849</v>
      </c>
      <c r="E5" s="214" t="s">
        <v>5514</v>
      </c>
    </row>
    <row r="6" spans="1:6">
      <c r="A6" s="278" t="s">
        <v>4733</v>
      </c>
      <c r="B6" s="216" t="s">
        <v>4734</v>
      </c>
      <c r="C6" s="89">
        <v>0.1</v>
      </c>
      <c r="E6" s="214" t="s">
        <v>4735</v>
      </c>
    </row>
    <row r="8" spans="1:6">
      <c r="A8" s="32" t="s">
        <v>3998</v>
      </c>
    </row>
    <row r="9" spans="1:6">
      <c r="A9" s="14" t="s">
        <v>1391</v>
      </c>
      <c r="B9" s="216" t="s">
        <v>1392</v>
      </c>
      <c r="C9" s="240">
        <v>0.25</v>
      </c>
      <c r="E9" s="214"/>
    </row>
    <row r="10" spans="1:6">
      <c r="A10" s="14" t="s">
        <v>3999</v>
      </c>
      <c r="B10" s="216" t="s">
        <v>4001</v>
      </c>
      <c r="C10" s="89">
        <v>10</v>
      </c>
      <c r="D10" s="238" t="s">
        <v>3749</v>
      </c>
      <c r="E10" s="214" t="s">
        <v>4000</v>
      </c>
    </row>
    <row r="11" spans="1:6">
      <c r="A11" s="14" t="s">
        <v>3997</v>
      </c>
      <c r="B11" s="216" t="s">
        <v>590</v>
      </c>
      <c r="C11" s="89">
        <v>0</v>
      </c>
      <c r="D11" s="238" t="s">
        <v>2192</v>
      </c>
      <c r="E11" s="214" t="s">
        <v>519</v>
      </c>
    </row>
    <row r="12" spans="1:6">
      <c r="A12" s="28" t="s">
        <v>1085</v>
      </c>
      <c r="B12" s="216" t="s">
        <v>3069</v>
      </c>
      <c r="C12" s="240">
        <v>0.75</v>
      </c>
      <c r="E12" s="214" t="s">
        <v>4526</v>
      </c>
    </row>
    <row r="13" spans="1:6">
      <c r="A13" s="14" t="s">
        <v>340</v>
      </c>
      <c r="B13" s="216" t="s">
        <v>341</v>
      </c>
      <c r="C13" s="239">
        <v>5</v>
      </c>
      <c r="D13" s="238" t="s">
        <v>3749</v>
      </c>
      <c r="E13" s="214" t="s">
        <v>3505</v>
      </c>
    </row>
    <row r="14" spans="1:6" ht="12.75" customHeight="1">
      <c r="A14" s="238" t="s">
        <v>5275</v>
      </c>
      <c r="B14" s="31" t="s">
        <v>5276</v>
      </c>
      <c r="C14" s="901">
        <v>0.13</v>
      </c>
      <c r="D14" s="238" t="s">
        <v>1040</v>
      </c>
      <c r="E14" s="813" t="s">
        <v>5277</v>
      </c>
    </row>
    <row r="15" spans="1:6">
      <c r="C15" s="86"/>
      <c r="E15" s="214"/>
    </row>
    <row r="16" spans="1:6">
      <c r="A16" s="32" t="s">
        <v>440</v>
      </c>
      <c r="C16" s="86"/>
      <c r="E16" s="214"/>
    </row>
    <row r="17" spans="1:5">
      <c r="A17" s="14" t="s">
        <v>2321</v>
      </c>
      <c r="B17" s="216" t="s">
        <v>2322</v>
      </c>
      <c r="C17" s="530">
        <v>0</v>
      </c>
      <c r="E17" s="214" t="s">
        <v>5158</v>
      </c>
    </row>
    <row r="18" spans="1:5">
      <c r="A18" s="14" t="s">
        <v>2568</v>
      </c>
      <c r="B18" s="216" t="s">
        <v>2572</v>
      </c>
      <c r="C18" s="239">
        <v>25</v>
      </c>
      <c r="D18" s="238" t="s">
        <v>3749</v>
      </c>
      <c r="E18" s="214" t="s">
        <v>2570</v>
      </c>
    </row>
    <row r="19" spans="1:5">
      <c r="A19" s="14" t="s">
        <v>2571</v>
      </c>
      <c r="B19" s="216" t="s">
        <v>2573</v>
      </c>
      <c r="C19" s="240">
        <v>0.75</v>
      </c>
      <c r="E19" s="214"/>
    </row>
    <row r="20" spans="1:5">
      <c r="A20" s="14" t="s">
        <v>2580</v>
      </c>
      <c r="B20" s="216" t="s">
        <v>2581</v>
      </c>
      <c r="C20" s="239">
        <v>0</v>
      </c>
      <c r="D20" s="238" t="s">
        <v>2192</v>
      </c>
      <c r="E20" s="214" t="s">
        <v>1741</v>
      </c>
    </row>
    <row r="21" spans="1:5">
      <c r="C21" s="87"/>
      <c r="E21" s="214"/>
    </row>
    <row r="22" spans="1:5">
      <c r="A22" s="32" t="s">
        <v>5561</v>
      </c>
      <c r="B22" s="31"/>
      <c r="C22" s="238"/>
      <c r="E22" s="214"/>
    </row>
    <row r="23" spans="1:5">
      <c r="A23" s="238" t="s">
        <v>5562</v>
      </c>
      <c r="B23" s="31" t="s">
        <v>5563</v>
      </c>
      <c r="C23" s="815">
        <v>2</v>
      </c>
      <c r="D23" s="238" t="s">
        <v>5564</v>
      </c>
      <c r="E23" s="214"/>
    </row>
    <row r="24" spans="1:5">
      <c r="A24" s="238" t="s">
        <v>5565</v>
      </c>
      <c r="B24" s="31" t="s">
        <v>5566</v>
      </c>
      <c r="C24" s="815">
        <v>2.5</v>
      </c>
      <c r="D24" s="238" t="s">
        <v>5564</v>
      </c>
      <c r="E24" s="214"/>
    </row>
    <row r="25" spans="1:5">
      <c r="A25" s="238" t="s">
        <v>5567</v>
      </c>
      <c r="B25" s="31" t="s">
        <v>5568</v>
      </c>
      <c r="C25" s="815">
        <v>1</v>
      </c>
      <c r="D25" s="238" t="s">
        <v>5564</v>
      </c>
      <c r="E25" s="214"/>
    </row>
    <row r="26" spans="1:5">
      <c r="C26" s="87"/>
      <c r="E26" s="214"/>
    </row>
    <row r="27" spans="1:5">
      <c r="A27" s="981" t="s">
        <v>441</v>
      </c>
      <c r="E27" s="241"/>
    </row>
    <row r="28" spans="1:5">
      <c r="A28" s="982" t="s">
        <v>5458</v>
      </c>
      <c r="B28" s="14"/>
    </row>
    <row r="29" spans="1:5">
      <c r="A29" s="14" t="s">
        <v>5546</v>
      </c>
      <c r="B29" s="216" t="s">
        <v>13</v>
      </c>
      <c r="C29" s="89">
        <v>2</v>
      </c>
      <c r="D29" s="238" t="s">
        <v>2627</v>
      </c>
    </row>
    <row r="30" spans="1:5">
      <c r="A30" s="14" t="s">
        <v>14</v>
      </c>
      <c r="B30" s="216" t="s">
        <v>15</v>
      </c>
      <c r="C30" s="89">
        <v>1</v>
      </c>
      <c r="D30" s="238" t="s">
        <v>2627</v>
      </c>
    </row>
    <row r="31" spans="1:5">
      <c r="A31" s="14" t="s">
        <v>3799</v>
      </c>
      <c r="B31" s="31" t="s">
        <v>3800</v>
      </c>
      <c r="C31" s="95">
        <v>1</v>
      </c>
      <c r="D31" s="238" t="s">
        <v>2627</v>
      </c>
      <c r="E31" s="241"/>
    </row>
    <row r="32" spans="1:5">
      <c r="A32" s="14" t="s">
        <v>5078</v>
      </c>
      <c r="B32" s="31" t="s">
        <v>5082</v>
      </c>
      <c r="C32" s="95">
        <v>1</v>
      </c>
      <c r="D32" s="238" t="s">
        <v>2627</v>
      </c>
      <c r="E32" s="241"/>
    </row>
    <row r="33" spans="1:8">
      <c r="A33" s="28" t="s">
        <v>5079</v>
      </c>
      <c r="B33" s="31" t="s">
        <v>5083</v>
      </c>
      <c r="C33" s="95">
        <v>1</v>
      </c>
      <c r="D33" s="238" t="s">
        <v>2627</v>
      </c>
      <c r="E33" s="241"/>
      <c r="H33" s="21"/>
    </row>
    <row r="35" spans="1:8">
      <c r="A35" s="14" t="s">
        <v>5545</v>
      </c>
      <c r="B35" s="216" t="s">
        <v>3609</v>
      </c>
      <c r="C35" s="89">
        <v>2</v>
      </c>
      <c r="D35" s="238" t="s">
        <v>2192</v>
      </c>
      <c r="E35" s="214" t="s">
        <v>3610</v>
      </c>
    </row>
    <row r="36" spans="1:8">
      <c r="A36" s="220" t="s">
        <v>4601</v>
      </c>
      <c r="B36" s="216" t="s">
        <v>4629</v>
      </c>
      <c r="C36" s="89">
        <v>1</v>
      </c>
      <c r="D36" s="238" t="s">
        <v>4610</v>
      </c>
      <c r="E36" s="214"/>
    </row>
    <row r="37" spans="1:8">
      <c r="A37" s="220" t="s">
        <v>4602</v>
      </c>
      <c r="B37" s="216" t="s">
        <v>4618</v>
      </c>
      <c r="C37" s="89">
        <v>1</v>
      </c>
      <c r="D37" s="238" t="s">
        <v>4610</v>
      </c>
      <c r="E37" s="214"/>
    </row>
    <row r="38" spans="1:8">
      <c r="A38" s="220" t="s">
        <v>4603</v>
      </c>
      <c r="B38" s="216" t="s">
        <v>4619</v>
      </c>
      <c r="C38" s="89">
        <v>1</v>
      </c>
      <c r="D38" s="238" t="s">
        <v>4610</v>
      </c>
      <c r="E38" s="214"/>
    </row>
    <row r="39" spans="1:8">
      <c r="A39" s="14" t="s">
        <v>2723</v>
      </c>
      <c r="B39" s="216" t="s">
        <v>1235</v>
      </c>
      <c r="C39" s="89">
        <v>1</v>
      </c>
      <c r="D39" s="238" t="s">
        <v>2722</v>
      </c>
      <c r="E39" s="214"/>
    </row>
    <row r="40" spans="1:8">
      <c r="A40" s="14" t="s">
        <v>1238</v>
      </c>
      <c r="B40" s="216" t="s">
        <v>1239</v>
      </c>
      <c r="C40" s="89">
        <v>1</v>
      </c>
      <c r="D40" s="238" t="s">
        <v>2995</v>
      </c>
      <c r="E40" s="214"/>
    </row>
    <row r="41" spans="1:8">
      <c r="A41" s="14" t="s">
        <v>3608</v>
      </c>
      <c r="B41" s="669" t="s">
        <v>1240</v>
      </c>
      <c r="C41" s="89">
        <v>1</v>
      </c>
      <c r="D41" s="238" t="s">
        <v>2995</v>
      </c>
      <c r="E41" s="241"/>
    </row>
    <row r="42" spans="1:8">
      <c r="A42" s="14" t="s">
        <v>1241</v>
      </c>
      <c r="B42" s="216" t="s">
        <v>1328</v>
      </c>
      <c r="C42" s="89">
        <v>1</v>
      </c>
      <c r="D42" s="238" t="s">
        <v>2995</v>
      </c>
      <c r="E42" s="241"/>
    </row>
    <row r="43" spans="1:8">
      <c r="A43" s="14" t="s">
        <v>1237</v>
      </c>
      <c r="B43" s="216" t="s">
        <v>1236</v>
      </c>
      <c r="C43" s="89">
        <v>1</v>
      </c>
      <c r="D43" s="238" t="s">
        <v>2722</v>
      </c>
      <c r="E43" s="241"/>
    </row>
    <row r="44" spans="1:8">
      <c r="A44" s="238" t="s">
        <v>5571</v>
      </c>
      <c r="B44" s="216" t="s">
        <v>2996</v>
      </c>
      <c r="C44" s="89">
        <v>1</v>
      </c>
      <c r="D44" s="238" t="s">
        <v>2192</v>
      </c>
      <c r="E44" s="214" t="s">
        <v>5578</v>
      </c>
    </row>
    <row r="45" spans="1:8">
      <c r="A45" s="14" t="s">
        <v>2717</v>
      </c>
      <c r="B45" s="216" t="s">
        <v>2718</v>
      </c>
      <c r="C45" s="89">
        <v>1</v>
      </c>
      <c r="D45" s="238" t="s">
        <v>2995</v>
      </c>
      <c r="E45" s="241"/>
    </row>
    <row r="46" spans="1:8">
      <c r="A46" s="238" t="s">
        <v>5572</v>
      </c>
      <c r="B46" s="216" t="s">
        <v>2405</v>
      </c>
      <c r="C46" s="89">
        <v>2</v>
      </c>
      <c r="D46" s="238" t="s">
        <v>2192</v>
      </c>
      <c r="E46" s="214" t="s">
        <v>5573</v>
      </c>
    </row>
    <row r="47" spans="1:8">
      <c r="A47" s="221" t="s">
        <v>4604</v>
      </c>
      <c r="B47" s="216" t="s">
        <v>4620</v>
      </c>
      <c r="C47" s="89">
        <v>3</v>
      </c>
      <c r="D47" s="238" t="s">
        <v>4610</v>
      </c>
      <c r="E47" s="214" t="s">
        <v>4612</v>
      </c>
    </row>
    <row r="48" spans="1:8">
      <c r="A48" s="221" t="s">
        <v>4605</v>
      </c>
      <c r="B48" s="31" t="s">
        <v>4621</v>
      </c>
      <c r="C48" s="404">
        <v>1</v>
      </c>
      <c r="D48" s="238" t="s">
        <v>4610</v>
      </c>
      <c r="E48" s="214"/>
    </row>
    <row r="49" spans="1:5">
      <c r="A49" s="14" t="s">
        <v>2719</v>
      </c>
      <c r="B49" s="216" t="s">
        <v>2720</v>
      </c>
      <c r="C49" s="89">
        <v>1</v>
      </c>
      <c r="D49" s="238" t="s">
        <v>2721</v>
      </c>
      <c r="E49" s="214"/>
    </row>
    <row r="50" spans="1:5">
      <c r="A50" s="14" t="s">
        <v>4522</v>
      </c>
      <c r="B50" s="216" t="s">
        <v>4523</v>
      </c>
      <c r="C50" s="89">
        <v>1</v>
      </c>
      <c r="D50" s="238" t="s">
        <v>4524</v>
      </c>
      <c r="E50" s="214" t="s">
        <v>4525</v>
      </c>
    </row>
    <row r="51" spans="1:5">
      <c r="A51" s="220" t="s">
        <v>4606</v>
      </c>
      <c r="B51" s="31" t="s">
        <v>4622</v>
      </c>
      <c r="C51" s="89">
        <v>1</v>
      </c>
      <c r="D51" s="238" t="s">
        <v>4611</v>
      </c>
      <c r="E51" s="214"/>
    </row>
    <row r="52" spans="1:5">
      <c r="A52" s="220" t="s">
        <v>4481</v>
      </c>
      <c r="B52" s="31" t="s">
        <v>4482</v>
      </c>
      <c r="C52" s="89">
        <v>1</v>
      </c>
      <c r="D52" s="238" t="s">
        <v>4483</v>
      </c>
      <c r="E52" s="214" t="s">
        <v>4484</v>
      </c>
    </row>
    <row r="53" spans="1:5">
      <c r="A53" s="14" t="s">
        <v>5582</v>
      </c>
      <c r="B53" s="31" t="s">
        <v>3105</v>
      </c>
      <c r="C53" s="89">
        <v>1</v>
      </c>
      <c r="D53" s="238" t="s">
        <v>2442</v>
      </c>
      <c r="E53" s="214" t="s">
        <v>3106</v>
      </c>
    </row>
    <row r="54" spans="1:5">
      <c r="A54" s="14" t="s">
        <v>3107</v>
      </c>
      <c r="B54" s="31" t="s">
        <v>3119</v>
      </c>
      <c r="C54" s="89">
        <v>2</v>
      </c>
      <c r="D54" s="238" t="s">
        <v>3126</v>
      </c>
      <c r="E54" s="214" t="s">
        <v>5547</v>
      </c>
    </row>
    <row r="55" spans="1:5">
      <c r="A55" s="14" t="s">
        <v>2997</v>
      </c>
      <c r="B55" s="216" t="s">
        <v>2998</v>
      </c>
      <c r="C55" s="89">
        <v>0</v>
      </c>
      <c r="D55" s="238" t="s">
        <v>2192</v>
      </c>
      <c r="E55" s="806" t="s">
        <v>5166</v>
      </c>
    </row>
    <row r="57" spans="1:5">
      <c r="A57" s="32" t="s">
        <v>811</v>
      </c>
    </row>
    <row r="58" spans="1:5">
      <c r="A58" s="28" t="s">
        <v>812</v>
      </c>
      <c r="B58" s="219" t="s">
        <v>813</v>
      </c>
      <c r="C58" s="530">
        <v>0.36</v>
      </c>
      <c r="E58" s="214"/>
    </row>
    <row r="59" spans="1:5">
      <c r="A59" s="28" t="s">
        <v>815</v>
      </c>
      <c r="B59" s="219" t="s">
        <v>814</v>
      </c>
      <c r="C59" s="530">
        <v>0.78</v>
      </c>
      <c r="E59" s="214"/>
    </row>
    <row r="60" spans="1:5">
      <c r="A60" s="220" t="s">
        <v>817</v>
      </c>
      <c r="B60" s="219" t="s">
        <v>816</v>
      </c>
      <c r="C60" s="530">
        <v>0.5</v>
      </c>
      <c r="E60" s="214" t="s">
        <v>5527</v>
      </c>
    </row>
    <row r="61" spans="1:5">
      <c r="E61" s="214"/>
    </row>
    <row r="62" spans="1:5">
      <c r="A62" s="32" t="s">
        <v>1045</v>
      </c>
    </row>
    <row r="63" spans="1:5">
      <c r="A63" s="28" t="s">
        <v>1681</v>
      </c>
      <c r="B63" s="216" t="s">
        <v>1680</v>
      </c>
      <c r="C63" s="89">
        <v>2</v>
      </c>
      <c r="D63" s="238" t="s">
        <v>2192</v>
      </c>
      <c r="E63" s="214" t="s">
        <v>1682</v>
      </c>
    </row>
    <row r="64" spans="1:5">
      <c r="A64" s="28" t="s">
        <v>4119</v>
      </c>
      <c r="B64" s="216" t="s">
        <v>1149</v>
      </c>
      <c r="C64" s="89">
        <v>1</v>
      </c>
      <c r="D64" s="238" t="s">
        <v>2192</v>
      </c>
      <c r="E64" s="214"/>
    </row>
    <row r="65" spans="1:5">
      <c r="A65" s="28" t="s">
        <v>1150</v>
      </c>
      <c r="B65" s="216" t="s">
        <v>1151</v>
      </c>
      <c r="C65" s="89">
        <v>50</v>
      </c>
      <c r="D65" s="238" t="s">
        <v>1093</v>
      </c>
      <c r="E65" s="214"/>
    </row>
    <row r="66" spans="1:5">
      <c r="A66" s="14" t="s">
        <v>221</v>
      </c>
      <c r="B66" s="216" t="s">
        <v>1335</v>
      </c>
      <c r="C66" s="531">
        <v>15</v>
      </c>
      <c r="D66" s="238" t="s">
        <v>1333</v>
      </c>
      <c r="E66" s="214" t="s">
        <v>1332</v>
      </c>
    </row>
    <row r="67" spans="1:5">
      <c r="A67" s="14" t="s">
        <v>223</v>
      </c>
      <c r="B67" s="216" t="s">
        <v>225</v>
      </c>
      <c r="C67" s="531">
        <v>10</v>
      </c>
      <c r="D67" s="238" t="s">
        <v>226</v>
      </c>
      <c r="E67" s="214" t="s">
        <v>620</v>
      </c>
    </row>
    <row r="68" spans="1:5">
      <c r="A68" s="28" t="s">
        <v>3066</v>
      </c>
      <c r="B68" s="216" t="s">
        <v>3068</v>
      </c>
      <c r="C68" s="531">
        <v>30</v>
      </c>
      <c r="D68" s="238" t="s">
        <v>3067</v>
      </c>
    </row>
    <row r="69" spans="1:5">
      <c r="A69" s="14" t="s">
        <v>4964</v>
      </c>
      <c r="B69" s="31" t="s">
        <v>4965</v>
      </c>
      <c r="C69" s="401">
        <v>5</v>
      </c>
      <c r="D69" s="238" t="s">
        <v>4311</v>
      </c>
    </row>
    <row r="70" spans="1:5">
      <c r="A70" s="238" t="s">
        <v>5273</v>
      </c>
      <c r="B70" s="31" t="s">
        <v>5274</v>
      </c>
      <c r="C70" s="901">
        <v>0</v>
      </c>
      <c r="D70" s="238" t="s">
        <v>2806</v>
      </c>
      <c r="E70" s="214"/>
    </row>
    <row r="71" spans="1:5">
      <c r="A71" s="14" t="s">
        <v>4966</v>
      </c>
      <c r="B71" s="743" t="s">
        <v>4967</v>
      </c>
      <c r="C71" s="401">
        <v>0.25</v>
      </c>
      <c r="D71" s="238" t="s">
        <v>4968</v>
      </c>
    </row>
    <row r="72" spans="1:5">
      <c r="A72" s="238" t="s">
        <v>5271</v>
      </c>
      <c r="B72" s="900" t="s">
        <v>5272</v>
      </c>
      <c r="C72" s="401">
        <f>1/3</f>
        <v>0.33333333333333331</v>
      </c>
      <c r="D72" s="238" t="s">
        <v>80</v>
      </c>
      <c r="E72" s="214"/>
    </row>
    <row r="73" spans="1:5">
      <c r="A73" s="14" t="s">
        <v>593</v>
      </c>
      <c r="B73" s="216" t="s">
        <v>594</v>
      </c>
      <c r="C73" s="89">
        <v>1</v>
      </c>
      <c r="D73" s="238" t="s">
        <v>2192</v>
      </c>
      <c r="E73" s="214"/>
    </row>
    <row r="74" spans="1:5">
      <c r="A74" s="14" t="s">
        <v>595</v>
      </c>
      <c r="B74" s="216" t="s">
        <v>596</v>
      </c>
      <c r="C74" s="89">
        <v>1</v>
      </c>
      <c r="D74" s="238" t="s">
        <v>2192</v>
      </c>
      <c r="E74" s="214"/>
    </row>
    <row r="75" spans="1:5">
      <c r="A75" s="28" t="s">
        <v>1326</v>
      </c>
      <c r="B75" s="216" t="s">
        <v>1327</v>
      </c>
      <c r="C75" s="531">
        <v>2.2999999999999998</v>
      </c>
      <c r="E75" s="214" t="s">
        <v>1329</v>
      </c>
    </row>
    <row r="76" spans="1:5">
      <c r="A76" s="28" t="s">
        <v>353</v>
      </c>
      <c r="B76" s="216" t="s">
        <v>354</v>
      </c>
      <c r="C76" s="530">
        <v>2</v>
      </c>
      <c r="E76" s="214" t="s">
        <v>1330</v>
      </c>
    </row>
    <row r="77" spans="1:5">
      <c r="A77" s="28" t="s">
        <v>4217</v>
      </c>
      <c r="B77" s="216" t="s">
        <v>4218</v>
      </c>
      <c r="C77" s="530">
        <v>40</v>
      </c>
      <c r="E77" s="214" t="s">
        <v>1330</v>
      </c>
    </row>
    <row r="78" spans="1:5">
      <c r="A78" s="28" t="s">
        <v>4492</v>
      </c>
      <c r="B78" s="216" t="s">
        <v>4219</v>
      </c>
      <c r="C78" s="530">
        <v>8</v>
      </c>
      <c r="E78" s="214" t="s">
        <v>1330</v>
      </c>
    </row>
    <row r="79" spans="1:5">
      <c r="A79" s="28" t="s">
        <v>355</v>
      </c>
      <c r="B79" s="216" t="s">
        <v>356</v>
      </c>
      <c r="C79" s="530">
        <v>100</v>
      </c>
      <c r="E79" s="214" t="s">
        <v>1330</v>
      </c>
    </row>
    <row r="80" spans="1:5">
      <c r="A80" s="28" t="s">
        <v>357</v>
      </c>
      <c r="B80" s="216" t="s">
        <v>3444</v>
      </c>
      <c r="C80" s="531">
        <v>150</v>
      </c>
      <c r="D80" s="238" t="s">
        <v>220</v>
      </c>
      <c r="E80" s="214" t="s">
        <v>1331</v>
      </c>
    </row>
    <row r="81" spans="1:5">
      <c r="A81" s="28" t="s">
        <v>3583</v>
      </c>
      <c r="B81" s="216" t="s">
        <v>3440</v>
      </c>
      <c r="C81" s="89">
        <v>0</v>
      </c>
      <c r="E81" s="214"/>
    </row>
    <row r="82" spans="1:5">
      <c r="A82" s="28" t="s">
        <v>3584</v>
      </c>
      <c r="B82" s="216" t="s">
        <v>3441</v>
      </c>
      <c r="C82" s="240">
        <v>1</v>
      </c>
      <c r="E82" s="214"/>
    </row>
    <row r="83" spans="1:5">
      <c r="A83" s="28" t="s">
        <v>4213</v>
      </c>
      <c r="B83" s="216" t="s">
        <v>4215</v>
      </c>
      <c r="C83" s="240">
        <v>1</v>
      </c>
      <c r="E83" s="214"/>
    </row>
    <row r="84" spans="1:5">
      <c r="A84" s="28" t="s">
        <v>4214</v>
      </c>
      <c r="B84" s="216" t="s">
        <v>4216</v>
      </c>
      <c r="C84" s="240">
        <v>1</v>
      </c>
      <c r="E84" s="214"/>
    </row>
    <row r="85" spans="1:5">
      <c r="A85" s="28" t="s">
        <v>3585</v>
      </c>
      <c r="B85" s="216" t="s">
        <v>3442</v>
      </c>
      <c r="C85" s="240">
        <v>1</v>
      </c>
      <c r="E85" s="214"/>
    </row>
    <row r="86" spans="1:5">
      <c r="A86" s="28" t="s">
        <v>3443</v>
      </c>
      <c r="B86" s="216" t="s">
        <v>3445</v>
      </c>
      <c r="C86" s="240">
        <v>1</v>
      </c>
      <c r="E86" s="214"/>
    </row>
    <row r="87" spans="1:5" ht="13.5" customHeight="1">
      <c r="A87" s="32"/>
      <c r="C87" s="85"/>
    </row>
    <row r="88" spans="1:5">
      <c r="A88" s="32" t="s">
        <v>5297</v>
      </c>
      <c r="B88" s="31"/>
      <c r="C88" s="922"/>
      <c r="E88" s="214"/>
    </row>
    <row r="89" spans="1:5">
      <c r="A89" s="238" t="s">
        <v>5298</v>
      </c>
      <c r="B89" s="723" t="s">
        <v>5299</v>
      </c>
      <c r="C89" s="901">
        <v>1</v>
      </c>
      <c r="D89" s="238" t="s">
        <v>2806</v>
      </c>
    </row>
    <row r="90" spans="1:5">
      <c r="A90" s="238" t="s">
        <v>5300</v>
      </c>
      <c r="B90" s="31" t="s">
        <v>5301</v>
      </c>
      <c r="C90" s="923">
        <v>1.1000000000000001</v>
      </c>
    </row>
    <row r="91" spans="1:5">
      <c r="A91" s="238" t="s">
        <v>5302</v>
      </c>
      <c r="B91" s="31" t="s">
        <v>5303</v>
      </c>
      <c r="C91" s="923">
        <v>0.1</v>
      </c>
    </row>
    <row r="92" spans="1:5">
      <c r="A92" s="238" t="s">
        <v>5304</v>
      </c>
      <c r="B92" s="31" t="s">
        <v>5305</v>
      </c>
      <c r="C92" s="924">
        <v>6</v>
      </c>
      <c r="D92" s="238" t="s">
        <v>2156</v>
      </c>
      <c r="E92" s="813" t="s">
        <v>5306</v>
      </c>
    </row>
    <row r="93" spans="1:5">
      <c r="A93" s="238" t="s">
        <v>5307</v>
      </c>
      <c r="B93" s="31" t="s">
        <v>5308</v>
      </c>
      <c r="C93" s="404">
        <v>1</v>
      </c>
      <c r="D93" s="238" t="s">
        <v>5309</v>
      </c>
      <c r="E93" s="813" t="s">
        <v>5310</v>
      </c>
    </row>
    <row r="94" spans="1:5">
      <c r="A94" s="238" t="s">
        <v>5311</v>
      </c>
      <c r="B94" s="31" t="s">
        <v>5312</v>
      </c>
      <c r="C94" s="404">
        <v>125</v>
      </c>
      <c r="D94" s="238" t="s">
        <v>5313</v>
      </c>
      <c r="E94" s="813"/>
    </row>
    <row r="95" spans="1:5" ht="13.5" customHeight="1">
      <c r="A95" s="32"/>
      <c r="C95" s="85"/>
    </row>
    <row r="96" spans="1:5">
      <c r="A96" s="250" t="s">
        <v>597</v>
      </c>
    </row>
    <row r="97" spans="1:5">
      <c r="A97" s="251" t="s">
        <v>1860</v>
      </c>
      <c r="B97" s="216" t="s">
        <v>977</v>
      </c>
      <c r="C97" s="240">
        <v>0.5</v>
      </c>
      <c r="E97" s="214" t="s">
        <v>3124</v>
      </c>
    </row>
    <row r="98" spans="1:5">
      <c r="A98" s="251" t="s">
        <v>1861</v>
      </c>
      <c r="B98" s="216" t="s">
        <v>978</v>
      </c>
      <c r="C98" s="240">
        <v>0.85</v>
      </c>
    </row>
    <row r="99" spans="1:5">
      <c r="A99" s="251" t="s">
        <v>979</v>
      </c>
      <c r="B99" s="216" t="s">
        <v>981</v>
      </c>
      <c r="C99" s="240">
        <v>0.8</v>
      </c>
    </row>
    <row r="100" spans="1:5">
      <c r="A100" s="251" t="s">
        <v>980</v>
      </c>
      <c r="B100" s="216" t="s">
        <v>982</v>
      </c>
      <c r="C100" s="240">
        <v>0.9</v>
      </c>
    </row>
    <row r="101" spans="1:5">
      <c r="A101" s="14" t="s">
        <v>3406</v>
      </c>
      <c r="B101" s="216" t="s">
        <v>66</v>
      </c>
      <c r="C101" s="530">
        <v>0.85</v>
      </c>
      <c r="E101" s="214" t="s">
        <v>3773</v>
      </c>
    </row>
    <row r="103" spans="1:5">
      <c r="A103" s="28" t="s">
        <v>343</v>
      </c>
      <c r="B103" s="216" t="s">
        <v>128</v>
      </c>
      <c r="C103" s="239">
        <v>21</v>
      </c>
      <c r="D103" s="238" t="s">
        <v>1950</v>
      </c>
      <c r="E103" s="214" t="s">
        <v>342</v>
      </c>
    </row>
    <row r="104" spans="1:5">
      <c r="A104" s="28" t="s">
        <v>2853</v>
      </c>
      <c r="B104" s="216" t="s">
        <v>129</v>
      </c>
      <c r="C104" s="239">
        <v>25</v>
      </c>
      <c r="D104" s="238" t="s">
        <v>1950</v>
      </c>
      <c r="E104" s="214" t="s">
        <v>342</v>
      </c>
    </row>
    <row r="105" spans="1:5">
      <c r="A105" s="28" t="s">
        <v>344</v>
      </c>
      <c r="B105" s="216" t="s">
        <v>130</v>
      </c>
      <c r="C105" s="239">
        <v>16</v>
      </c>
      <c r="D105" s="238" t="s">
        <v>1950</v>
      </c>
      <c r="E105" s="214" t="s">
        <v>2854</v>
      </c>
    </row>
    <row r="106" spans="1:5">
      <c r="A106" s="28" t="s">
        <v>2852</v>
      </c>
      <c r="B106" s="216" t="s">
        <v>131</v>
      </c>
      <c r="C106" s="239">
        <v>20</v>
      </c>
      <c r="D106" s="238" t="s">
        <v>1950</v>
      </c>
      <c r="E106" s="214" t="s">
        <v>2854</v>
      </c>
    </row>
    <row r="107" spans="1:5">
      <c r="A107" s="28" t="s">
        <v>345</v>
      </c>
      <c r="B107" s="216" t="s">
        <v>132</v>
      </c>
      <c r="C107" s="239">
        <v>12</v>
      </c>
      <c r="D107" s="238" t="s">
        <v>1950</v>
      </c>
      <c r="E107" s="214" t="s">
        <v>1684</v>
      </c>
    </row>
    <row r="108" spans="1:5">
      <c r="A108" s="28" t="s">
        <v>2851</v>
      </c>
      <c r="B108" s="216" t="s">
        <v>133</v>
      </c>
      <c r="C108" s="239">
        <v>16</v>
      </c>
      <c r="D108" s="238" t="s">
        <v>1950</v>
      </c>
      <c r="E108" s="214" t="s">
        <v>1684</v>
      </c>
    </row>
    <row r="109" spans="1:5">
      <c r="A109" s="28" t="s">
        <v>343</v>
      </c>
      <c r="B109" s="216" t="s">
        <v>134</v>
      </c>
      <c r="C109" s="239">
        <v>21</v>
      </c>
      <c r="D109" s="238" t="s">
        <v>1950</v>
      </c>
      <c r="E109" s="214" t="s">
        <v>342</v>
      </c>
    </row>
    <row r="110" spans="1:5">
      <c r="A110" s="28" t="s">
        <v>2853</v>
      </c>
      <c r="B110" s="216" t="s">
        <v>135</v>
      </c>
      <c r="C110" s="239">
        <v>25</v>
      </c>
      <c r="D110" s="238" t="s">
        <v>1950</v>
      </c>
      <c r="E110" s="214" t="s">
        <v>342</v>
      </c>
    </row>
    <row r="111" spans="1:5">
      <c r="A111" s="238" t="s">
        <v>344</v>
      </c>
      <c r="B111" s="216" t="s">
        <v>136</v>
      </c>
      <c r="C111" s="239">
        <v>12</v>
      </c>
      <c r="D111" s="238" t="s">
        <v>1950</v>
      </c>
      <c r="E111" s="214" t="s">
        <v>5185</v>
      </c>
    </row>
    <row r="112" spans="1:5">
      <c r="A112" s="28" t="s">
        <v>2852</v>
      </c>
      <c r="B112" s="216" t="s">
        <v>137</v>
      </c>
      <c r="C112" s="239">
        <v>17</v>
      </c>
      <c r="D112" s="238" t="s">
        <v>1950</v>
      </c>
      <c r="E112" s="214" t="s">
        <v>2854</v>
      </c>
    </row>
    <row r="113" spans="1:5">
      <c r="A113" s="28" t="s">
        <v>345</v>
      </c>
      <c r="B113" s="216" t="s">
        <v>138</v>
      </c>
      <c r="C113" s="239">
        <v>10</v>
      </c>
      <c r="D113" s="238" t="s">
        <v>1950</v>
      </c>
      <c r="E113" s="214" t="s">
        <v>1684</v>
      </c>
    </row>
    <row r="114" spans="1:5">
      <c r="A114" s="28" t="s">
        <v>2851</v>
      </c>
      <c r="B114" s="216" t="s">
        <v>139</v>
      </c>
      <c r="C114" s="239">
        <v>16</v>
      </c>
      <c r="D114" s="238" t="s">
        <v>1950</v>
      </c>
      <c r="E114" s="214" t="s">
        <v>1684</v>
      </c>
    </row>
    <row r="115" spans="1:5">
      <c r="A115" s="28"/>
      <c r="E115" s="214"/>
    </row>
    <row r="116" spans="1:5">
      <c r="A116" s="221" t="s">
        <v>4607</v>
      </c>
      <c r="B116" s="669" t="s">
        <v>4623</v>
      </c>
      <c r="C116" s="670">
        <v>0.5</v>
      </c>
      <c r="D116" s="238" t="s">
        <v>1093</v>
      </c>
      <c r="E116" s="214"/>
    </row>
    <row r="117" spans="1:5">
      <c r="A117" s="221" t="s">
        <v>4608</v>
      </c>
      <c r="B117" s="669" t="s">
        <v>4624</v>
      </c>
      <c r="C117" s="670">
        <v>3</v>
      </c>
      <c r="D117" s="238" t="s">
        <v>1093</v>
      </c>
      <c r="E117" s="214" t="s">
        <v>4613</v>
      </c>
    </row>
    <row r="118" spans="1:5">
      <c r="A118" s="221" t="s">
        <v>4609</v>
      </c>
      <c r="B118" s="669" t="s">
        <v>4625</v>
      </c>
      <c r="C118" s="670">
        <v>2</v>
      </c>
      <c r="D118" s="238" t="s">
        <v>1093</v>
      </c>
      <c r="E118" s="214" t="s">
        <v>4376</v>
      </c>
    </row>
    <row r="119" spans="1:5">
      <c r="A119" s="14" t="s">
        <v>4353</v>
      </c>
      <c r="B119" s="216" t="s">
        <v>4354</v>
      </c>
      <c r="C119" s="89">
        <v>2</v>
      </c>
      <c r="D119" s="238" t="s">
        <v>4355</v>
      </c>
      <c r="E119" s="214" t="s">
        <v>4377</v>
      </c>
    </row>
    <row r="120" spans="1:5">
      <c r="A120" s="14" t="s">
        <v>4356</v>
      </c>
      <c r="B120" s="216" t="s">
        <v>4357</v>
      </c>
      <c r="C120" s="89">
        <v>1</v>
      </c>
      <c r="D120" s="238" t="s">
        <v>4358</v>
      </c>
      <c r="E120" s="214"/>
    </row>
    <row r="121" spans="1:5">
      <c r="E121" s="214"/>
    </row>
    <row r="122" spans="1:5">
      <c r="A122" s="14" t="s">
        <v>4406</v>
      </c>
      <c r="B122" s="216" t="s">
        <v>4407</v>
      </c>
      <c r="C122" s="89">
        <v>1.5</v>
      </c>
      <c r="E122" s="214" t="s">
        <v>4408</v>
      </c>
    </row>
    <row r="123" spans="1:5">
      <c r="A123" s="21" t="s">
        <v>5040</v>
      </c>
      <c r="B123" s="669" t="s">
        <v>5041</v>
      </c>
      <c r="C123" s="89">
        <v>7</v>
      </c>
      <c r="D123" s="238" t="s">
        <v>5461</v>
      </c>
      <c r="E123" s="214" t="s">
        <v>5055</v>
      </c>
    </row>
    <row r="124" spans="1:5">
      <c r="E124" s="214"/>
    </row>
    <row r="125" spans="1:5">
      <c r="A125" s="14" t="s">
        <v>4427</v>
      </c>
      <c r="B125" s="216" t="s">
        <v>4436</v>
      </c>
      <c r="C125" s="89">
        <v>2</v>
      </c>
      <c r="D125" s="238" t="s">
        <v>2192</v>
      </c>
      <c r="E125" s="214" t="s">
        <v>4435</v>
      </c>
    </row>
    <row r="126" spans="1:5">
      <c r="A126" s="14" t="s">
        <v>4434</v>
      </c>
      <c r="B126" s="216" t="s">
        <v>4437</v>
      </c>
      <c r="C126" s="89">
        <v>3</v>
      </c>
      <c r="D126" s="238" t="s">
        <v>2192</v>
      </c>
      <c r="E126" s="214" t="s">
        <v>4435</v>
      </c>
    </row>
    <row r="127" spans="1:5">
      <c r="A127" s="14" t="s">
        <v>4426</v>
      </c>
      <c r="B127" s="216" t="s">
        <v>4438</v>
      </c>
      <c r="C127" s="89">
        <v>3</v>
      </c>
      <c r="D127" s="238" t="s">
        <v>2192</v>
      </c>
      <c r="E127" s="214" t="s">
        <v>4445</v>
      </c>
    </row>
    <row r="128" spans="1:5">
      <c r="A128" s="14" t="s">
        <v>4428</v>
      </c>
      <c r="B128" s="216" t="s">
        <v>4442</v>
      </c>
      <c r="C128" s="89">
        <v>2</v>
      </c>
      <c r="D128" s="238" t="s">
        <v>2192</v>
      </c>
      <c r="E128" s="214" t="s">
        <v>4447</v>
      </c>
    </row>
    <row r="129" spans="1:5">
      <c r="A129" s="14" t="s">
        <v>4433</v>
      </c>
      <c r="B129" s="216" t="s">
        <v>4443</v>
      </c>
      <c r="C129" s="89">
        <v>3</v>
      </c>
      <c r="D129" s="238" t="s">
        <v>2192</v>
      </c>
      <c r="E129" s="214" t="s">
        <v>4447</v>
      </c>
    </row>
    <row r="130" spans="1:5">
      <c r="A130" s="14" t="s">
        <v>4429</v>
      </c>
      <c r="B130" s="216" t="s">
        <v>4444</v>
      </c>
      <c r="C130" s="89">
        <v>3</v>
      </c>
      <c r="D130" s="238" t="s">
        <v>2192</v>
      </c>
      <c r="E130" s="214" t="s">
        <v>4448</v>
      </c>
    </row>
    <row r="131" spans="1:5">
      <c r="A131" s="14" t="s">
        <v>4430</v>
      </c>
      <c r="B131" s="216" t="s">
        <v>4439</v>
      </c>
      <c r="C131" s="89">
        <v>2</v>
      </c>
      <c r="D131" s="238" t="s">
        <v>2192</v>
      </c>
      <c r="E131" s="214" t="s">
        <v>4454</v>
      </c>
    </row>
    <row r="132" spans="1:5">
      <c r="A132" s="14" t="s">
        <v>4432</v>
      </c>
      <c r="B132" s="216" t="s">
        <v>4440</v>
      </c>
      <c r="C132" s="89">
        <v>3</v>
      </c>
      <c r="D132" s="238" t="s">
        <v>2192</v>
      </c>
      <c r="E132" s="214" t="s">
        <v>4454</v>
      </c>
    </row>
    <row r="133" spans="1:5">
      <c r="A133" s="14" t="s">
        <v>4431</v>
      </c>
      <c r="B133" s="216" t="s">
        <v>4441</v>
      </c>
      <c r="C133" s="89">
        <v>2</v>
      </c>
      <c r="D133" s="238" t="s">
        <v>2192</v>
      </c>
      <c r="E133" s="214" t="s">
        <v>4455</v>
      </c>
    </row>
    <row r="134" spans="1:5">
      <c r="E134" s="214"/>
    </row>
    <row r="135" spans="1:5">
      <c r="A135" s="14" t="s">
        <v>4475</v>
      </c>
      <c r="B135" s="216" t="s">
        <v>4474</v>
      </c>
      <c r="C135" s="240">
        <v>0.25</v>
      </c>
      <c r="E135" s="214"/>
    </row>
    <row r="136" spans="1:5">
      <c r="E136" s="214"/>
    </row>
    <row r="137" spans="1:5">
      <c r="A137" s="14" t="s">
        <v>4394</v>
      </c>
      <c r="B137" s="216" t="s">
        <v>4400</v>
      </c>
      <c r="C137" s="89">
        <v>1</v>
      </c>
      <c r="D137" s="238" t="s">
        <v>1951</v>
      </c>
      <c r="E137" s="214" t="s">
        <v>4449</v>
      </c>
    </row>
    <row r="138" spans="1:5">
      <c r="A138" s="14" t="s">
        <v>4395</v>
      </c>
      <c r="B138" s="216" t="s">
        <v>4401</v>
      </c>
      <c r="C138" s="89">
        <v>1.5</v>
      </c>
      <c r="D138" s="238" t="s">
        <v>1951</v>
      </c>
      <c r="E138" s="214" t="s">
        <v>4450</v>
      </c>
    </row>
    <row r="139" spans="1:5">
      <c r="A139" s="14" t="s">
        <v>4396</v>
      </c>
      <c r="B139" s="216" t="s">
        <v>4402</v>
      </c>
      <c r="C139" s="89">
        <v>3</v>
      </c>
      <c r="D139" s="238" t="s">
        <v>1951</v>
      </c>
      <c r="E139" s="214" t="s">
        <v>4456</v>
      </c>
    </row>
    <row r="140" spans="1:5">
      <c r="A140" s="14" t="s">
        <v>4397</v>
      </c>
      <c r="B140" s="216" t="s">
        <v>4403</v>
      </c>
      <c r="C140" s="89">
        <v>0.5</v>
      </c>
      <c r="D140" s="238" t="s">
        <v>1951</v>
      </c>
      <c r="E140" s="214" t="s">
        <v>4449</v>
      </c>
    </row>
    <row r="141" spans="1:5">
      <c r="A141" s="14" t="s">
        <v>4398</v>
      </c>
      <c r="B141" s="216" t="s">
        <v>4404</v>
      </c>
      <c r="C141" s="89">
        <v>1</v>
      </c>
      <c r="D141" s="238" t="s">
        <v>1951</v>
      </c>
      <c r="E141" s="214" t="s">
        <v>4451</v>
      </c>
    </row>
    <row r="142" spans="1:5">
      <c r="A142" s="14" t="s">
        <v>4399</v>
      </c>
      <c r="B142" s="216" t="s">
        <v>4405</v>
      </c>
      <c r="C142" s="89">
        <v>3</v>
      </c>
      <c r="D142" s="238" t="s">
        <v>1951</v>
      </c>
      <c r="E142" s="214" t="s">
        <v>4456</v>
      </c>
    </row>
    <row r="143" spans="1:5">
      <c r="A143" s="14" t="s">
        <v>4446</v>
      </c>
      <c r="B143" s="216" t="s">
        <v>4460</v>
      </c>
      <c r="C143" s="89">
        <v>2</v>
      </c>
      <c r="D143" s="238" t="s">
        <v>2192</v>
      </c>
      <c r="E143" s="214" t="s">
        <v>4457</v>
      </c>
    </row>
    <row r="144" spans="1:5">
      <c r="A144" s="14" t="s">
        <v>4452</v>
      </c>
      <c r="B144" s="216" t="s">
        <v>4461</v>
      </c>
      <c r="C144" s="89">
        <v>0</v>
      </c>
      <c r="D144" s="238" t="s">
        <v>2192</v>
      </c>
      <c r="E144" s="214" t="s">
        <v>4453</v>
      </c>
    </row>
    <row r="145" spans="1:5">
      <c r="E145" s="214"/>
    </row>
    <row r="146" spans="1:5">
      <c r="A146" s="14" t="s">
        <v>4577</v>
      </c>
      <c r="B146" s="216" t="s">
        <v>4580</v>
      </c>
      <c r="C146" s="89">
        <v>2</v>
      </c>
      <c r="D146" s="238" t="s">
        <v>5462</v>
      </c>
      <c r="E146" s="214" t="s">
        <v>5074</v>
      </c>
    </row>
    <row r="147" spans="1:5">
      <c r="A147" s="14" t="s">
        <v>4578</v>
      </c>
      <c r="B147" s="216" t="s">
        <v>4581</v>
      </c>
      <c r="C147" s="89">
        <v>2</v>
      </c>
      <c r="D147" s="238" t="s">
        <v>5462</v>
      </c>
      <c r="E147" s="214"/>
    </row>
    <row r="148" spans="1:5">
      <c r="A148" s="14" t="s">
        <v>4579</v>
      </c>
      <c r="B148" s="216" t="s">
        <v>4582</v>
      </c>
      <c r="C148" s="89">
        <v>2</v>
      </c>
      <c r="D148" s="238" t="s">
        <v>5462</v>
      </c>
      <c r="E148" s="214"/>
    </row>
    <row r="149" spans="1:5">
      <c r="E149" s="214"/>
    </row>
    <row r="150" spans="1:5">
      <c r="A150" s="220" t="s">
        <v>4594</v>
      </c>
      <c r="B150" s="216" t="s">
        <v>4626</v>
      </c>
      <c r="C150" s="89">
        <v>0</v>
      </c>
      <c r="D150" s="238" t="s">
        <v>3065</v>
      </c>
      <c r="E150" s="214" t="s">
        <v>4681</v>
      </c>
    </row>
    <row r="151" spans="1:5">
      <c r="A151" s="220" t="s">
        <v>4595</v>
      </c>
      <c r="B151" s="216" t="s">
        <v>4416</v>
      </c>
      <c r="C151" s="240">
        <v>0.15</v>
      </c>
      <c r="E151" s="214" t="s">
        <v>4614</v>
      </c>
    </row>
    <row r="152" spans="1:5">
      <c r="A152" s="220" t="s">
        <v>4596</v>
      </c>
      <c r="B152" s="216" t="s">
        <v>4417</v>
      </c>
      <c r="C152" s="89">
        <v>1</v>
      </c>
      <c r="D152" s="238" t="s">
        <v>3065</v>
      </c>
    </row>
    <row r="153" spans="1:5">
      <c r="A153" s="220" t="s">
        <v>4597</v>
      </c>
      <c r="B153" s="216" t="s">
        <v>4418</v>
      </c>
      <c r="C153" s="89">
        <v>1</v>
      </c>
      <c r="D153" s="238" t="s">
        <v>3065</v>
      </c>
      <c r="E153" s="214" t="s">
        <v>4615</v>
      </c>
    </row>
    <row r="154" spans="1:5">
      <c r="A154" s="220" t="s">
        <v>4598</v>
      </c>
      <c r="B154" s="216" t="s">
        <v>4419</v>
      </c>
      <c r="C154" s="89">
        <v>1</v>
      </c>
      <c r="D154" s="238" t="s">
        <v>3065</v>
      </c>
      <c r="E154" s="214"/>
    </row>
    <row r="155" spans="1:5">
      <c r="A155" s="220" t="s">
        <v>4599</v>
      </c>
      <c r="B155" s="216" t="s">
        <v>4627</v>
      </c>
      <c r="C155" s="89">
        <v>0</v>
      </c>
      <c r="D155" s="238" t="s">
        <v>3065</v>
      </c>
      <c r="E155" s="214" t="s">
        <v>4680</v>
      </c>
    </row>
    <row r="156" spans="1:5">
      <c r="A156" s="220" t="s">
        <v>4600</v>
      </c>
      <c r="B156" s="216" t="s">
        <v>4628</v>
      </c>
      <c r="C156" s="89">
        <v>1</v>
      </c>
      <c r="D156" s="238" t="s">
        <v>3065</v>
      </c>
      <c r="E156" s="214" t="s">
        <v>4697</v>
      </c>
    </row>
    <row r="157" spans="1:5">
      <c r="A157" s="220"/>
      <c r="C157" s="86"/>
      <c r="E157" s="214"/>
    </row>
    <row r="158" spans="1:5">
      <c r="A158" s="220" t="s">
        <v>4724</v>
      </c>
      <c r="B158" s="216" t="s">
        <v>4726</v>
      </c>
      <c r="C158" s="690">
        <v>1</v>
      </c>
      <c r="E158" s="214" t="s">
        <v>4725</v>
      </c>
    </row>
    <row r="159" spans="1:5">
      <c r="C159" s="86"/>
    </row>
    <row r="160" spans="1:5">
      <c r="A160" s="49" t="s">
        <v>4378</v>
      </c>
      <c r="C160" s="86"/>
    </row>
    <row r="161" spans="1:5">
      <c r="A161" s="14" t="s">
        <v>1362</v>
      </c>
      <c r="B161" s="31" t="s">
        <v>1363</v>
      </c>
      <c r="C161" s="249">
        <v>0.01</v>
      </c>
      <c r="E161" s="214" t="s">
        <v>414</v>
      </c>
    </row>
    <row r="162" spans="1:5">
      <c r="A162" s="14" t="s">
        <v>412</v>
      </c>
      <c r="B162" s="31" t="s">
        <v>413</v>
      </c>
      <c r="C162" s="89">
        <v>500</v>
      </c>
      <c r="D162" s="238" t="s">
        <v>2532</v>
      </c>
      <c r="E162" s="214" t="s">
        <v>2536</v>
      </c>
    </row>
    <row r="163" spans="1:5">
      <c r="A163" s="14" t="s">
        <v>335</v>
      </c>
      <c r="B163" s="669" t="s">
        <v>336</v>
      </c>
      <c r="C163" s="89">
        <v>80</v>
      </c>
      <c r="D163" s="238" t="s">
        <v>337</v>
      </c>
    </row>
    <row r="164" spans="1:5">
      <c r="A164" s="14" t="s">
        <v>4247</v>
      </c>
      <c r="B164" s="31" t="s">
        <v>4248</v>
      </c>
      <c r="C164" s="240">
        <v>0.7</v>
      </c>
      <c r="E164" s="214"/>
    </row>
    <row r="165" spans="1:5">
      <c r="A165" s="14" t="s">
        <v>2671</v>
      </c>
      <c r="B165" s="31" t="s">
        <v>2668</v>
      </c>
      <c r="C165" s="89">
        <v>4</v>
      </c>
      <c r="D165" s="238" t="s">
        <v>2081</v>
      </c>
      <c r="E165" s="214" t="s">
        <v>4314</v>
      </c>
    </row>
    <row r="166" spans="1:5">
      <c r="A166" s="14" t="s">
        <v>2667</v>
      </c>
      <c r="B166" s="31" t="s">
        <v>2669</v>
      </c>
      <c r="C166" s="89">
        <v>5</v>
      </c>
      <c r="D166" s="238" t="s">
        <v>2081</v>
      </c>
      <c r="E166" s="214"/>
    </row>
    <row r="167" spans="1:5">
      <c r="A167" s="14" t="s">
        <v>2670</v>
      </c>
      <c r="B167" s="31" t="s">
        <v>2665</v>
      </c>
      <c r="C167" s="89">
        <v>6</v>
      </c>
      <c r="D167" s="238" t="s">
        <v>2081</v>
      </c>
      <c r="E167" s="214" t="s">
        <v>4314</v>
      </c>
    </row>
    <row r="168" spans="1:5">
      <c r="A168" s="14" t="s">
        <v>2664</v>
      </c>
      <c r="B168" s="31" t="s">
        <v>2666</v>
      </c>
      <c r="C168" s="89">
        <v>8</v>
      </c>
      <c r="D168" s="238" t="s">
        <v>2081</v>
      </c>
      <c r="E168" s="214"/>
    </row>
    <row r="169" spans="1:5">
      <c r="A169" s="14" t="s">
        <v>2270</v>
      </c>
      <c r="B169" s="31" t="s">
        <v>2271</v>
      </c>
      <c r="C169" s="531">
        <v>1</v>
      </c>
      <c r="D169" s="238" t="s">
        <v>4183</v>
      </c>
      <c r="E169" s="214"/>
    </row>
    <row r="170" spans="1:5">
      <c r="A170" s="14" t="s">
        <v>2272</v>
      </c>
      <c r="B170" s="31" t="s">
        <v>2273</v>
      </c>
      <c r="C170" s="531">
        <v>1</v>
      </c>
      <c r="D170" s="238" t="s">
        <v>826</v>
      </c>
      <c r="E170" s="214"/>
    </row>
    <row r="171" spans="1:5">
      <c r="A171" s="14" t="s">
        <v>1526</v>
      </c>
      <c r="B171" s="31" t="s">
        <v>2280</v>
      </c>
      <c r="C171" s="240">
        <v>0.35</v>
      </c>
      <c r="E171" s="214"/>
    </row>
    <row r="172" spans="1:5">
      <c r="A172" s="14" t="s">
        <v>1527</v>
      </c>
      <c r="B172" s="31" t="s">
        <v>2281</v>
      </c>
      <c r="C172" s="240">
        <v>0.35</v>
      </c>
      <c r="E172" s="214"/>
    </row>
    <row r="173" spans="1:5">
      <c r="B173" s="31"/>
      <c r="E173" s="214"/>
    </row>
    <row r="174" spans="1:5">
      <c r="A174" s="32" t="s">
        <v>4080</v>
      </c>
    </row>
    <row r="175" spans="1:5">
      <c r="A175" s="28" t="s">
        <v>3318</v>
      </c>
      <c r="B175" s="216" t="s">
        <v>3319</v>
      </c>
      <c r="C175" s="532">
        <v>12</v>
      </c>
      <c r="D175" s="238" t="s">
        <v>4124</v>
      </c>
      <c r="E175" s="214"/>
    </row>
    <row r="176" spans="1:5">
      <c r="A176" s="28" t="s">
        <v>3320</v>
      </c>
      <c r="B176" s="216" t="s">
        <v>3321</v>
      </c>
      <c r="C176" s="532">
        <v>4</v>
      </c>
      <c r="D176" s="238" t="s">
        <v>4124</v>
      </c>
      <c r="E176" s="214" t="s">
        <v>3780</v>
      </c>
    </row>
    <row r="177" spans="1:5">
      <c r="A177" s="28" t="s">
        <v>3322</v>
      </c>
      <c r="B177" s="216" t="s">
        <v>3323</v>
      </c>
      <c r="C177" s="532">
        <v>18</v>
      </c>
      <c r="D177" s="238" t="s">
        <v>4124</v>
      </c>
      <c r="E177" s="214" t="s">
        <v>3781</v>
      </c>
    </row>
    <row r="178" spans="1:5" s="220" customFormat="1">
      <c r="A178" s="221" t="s">
        <v>2250</v>
      </c>
      <c r="B178" s="219" t="s">
        <v>2251</v>
      </c>
      <c r="C178" s="532">
        <v>3</v>
      </c>
      <c r="D178" s="238" t="s">
        <v>4124</v>
      </c>
      <c r="E178" s="214" t="s">
        <v>1052</v>
      </c>
    </row>
    <row r="179" spans="1:5" s="220" customFormat="1">
      <c r="A179" s="221" t="s">
        <v>4485</v>
      </c>
      <c r="B179" s="219" t="s">
        <v>4488</v>
      </c>
      <c r="C179" s="89">
        <v>9</v>
      </c>
      <c r="D179" s="238" t="s">
        <v>2193</v>
      </c>
      <c r="E179" s="214" t="s">
        <v>5106</v>
      </c>
    </row>
    <row r="180" spans="1:5" s="220" customFormat="1">
      <c r="A180" s="221" t="s">
        <v>4486</v>
      </c>
      <c r="B180" s="219" t="s">
        <v>4489</v>
      </c>
      <c r="C180" s="89">
        <v>35</v>
      </c>
      <c r="D180" s="238" t="s">
        <v>2193</v>
      </c>
      <c r="E180" s="214" t="s">
        <v>5106</v>
      </c>
    </row>
    <row r="181" spans="1:5" s="220" customFormat="1">
      <c r="A181" s="221" t="s">
        <v>4487</v>
      </c>
      <c r="B181" s="219" t="s">
        <v>4490</v>
      </c>
      <c r="C181" s="89">
        <v>180</v>
      </c>
      <c r="D181" s="238" t="s">
        <v>2193</v>
      </c>
      <c r="E181" s="214" t="s">
        <v>4491</v>
      </c>
    </row>
    <row r="182" spans="1:5">
      <c r="A182" s="28" t="s">
        <v>2152</v>
      </c>
      <c r="B182" s="216" t="s">
        <v>2153</v>
      </c>
      <c r="C182" s="431">
        <v>0.05</v>
      </c>
      <c r="E182" s="214"/>
    </row>
    <row r="183" spans="1:5">
      <c r="A183" s="221" t="s">
        <v>4062</v>
      </c>
      <c r="B183" s="219" t="s">
        <v>4063</v>
      </c>
      <c r="C183" s="239">
        <v>2</v>
      </c>
      <c r="D183" s="238" t="s">
        <v>4064</v>
      </c>
      <c r="E183" s="214" t="s">
        <v>394</v>
      </c>
    </row>
    <row r="184" spans="1:5">
      <c r="A184" s="28" t="s">
        <v>1158</v>
      </c>
      <c r="B184" s="216" t="s">
        <v>1159</v>
      </c>
      <c r="C184" s="239">
        <v>1</v>
      </c>
      <c r="D184" s="238" t="s">
        <v>2192</v>
      </c>
      <c r="E184" s="214"/>
    </row>
    <row r="185" spans="1:5" s="220" customFormat="1">
      <c r="A185" s="221" t="s">
        <v>3969</v>
      </c>
      <c r="B185" s="219" t="s">
        <v>3971</v>
      </c>
      <c r="C185" s="239">
        <v>95</v>
      </c>
      <c r="D185" s="238" t="s">
        <v>3539</v>
      </c>
      <c r="E185" s="46" t="s">
        <v>3970</v>
      </c>
    </row>
    <row r="186" spans="1:5" s="220" customFormat="1">
      <c r="A186" s="221" t="s">
        <v>3972</v>
      </c>
      <c r="B186" s="219" t="s">
        <v>3973</v>
      </c>
      <c r="C186" s="239">
        <v>5</v>
      </c>
      <c r="D186" s="238" t="s">
        <v>4237</v>
      </c>
      <c r="E186" s="46"/>
    </row>
    <row r="187" spans="1:5" s="220" customFormat="1">
      <c r="A187" s="221" t="s">
        <v>1079</v>
      </c>
      <c r="B187" s="219" t="s">
        <v>1080</v>
      </c>
      <c r="C187" s="239">
        <v>0</v>
      </c>
      <c r="D187" s="238" t="s">
        <v>2192</v>
      </c>
      <c r="E187" s="46" t="s">
        <v>1733</v>
      </c>
    </row>
    <row r="188" spans="1:5" s="220" customFormat="1">
      <c r="A188" s="221" t="s">
        <v>3466</v>
      </c>
      <c r="B188" s="219" t="s">
        <v>3467</v>
      </c>
      <c r="C188" s="239">
        <v>1</v>
      </c>
      <c r="D188" s="238" t="s">
        <v>2192</v>
      </c>
      <c r="E188" s="46" t="s">
        <v>1786</v>
      </c>
    </row>
    <row r="189" spans="1:5" s="220" customFormat="1">
      <c r="A189" s="221" t="s">
        <v>3764</v>
      </c>
      <c r="B189" s="219" t="s">
        <v>3765</v>
      </c>
      <c r="C189" s="239">
        <v>1</v>
      </c>
      <c r="D189" s="238" t="s">
        <v>2192</v>
      </c>
      <c r="E189" s="46"/>
    </row>
    <row r="190" spans="1:5" s="220" customFormat="1">
      <c r="A190" s="221" t="s">
        <v>391</v>
      </c>
      <c r="B190" s="219" t="s">
        <v>392</v>
      </c>
      <c r="C190" s="239">
        <v>1</v>
      </c>
      <c r="D190" s="238" t="s">
        <v>2192</v>
      </c>
      <c r="E190" s="46" t="s">
        <v>393</v>
      </c>
    </row>
    <row r="191" spans="1:5" s="220" customFormat="1">
      <c r="A191" s="221" t="s">
        <v>3766</v>
      </c>
      <c r="B191" s="219" t="s">
        <v>3767</v>
      </c>
      <c r="C191" s="239">
        <v>1</v>
      </c>
      <c r="D191" s="238" t="s">
        <v>2192</v>
      </c>
      <c r="E191" s="46"/>
    </row>
    <row r="192" spans="1:5">
      <c r="A192" s="28" t="s">
        <v>808</v>
      </c>
      <c r="B192" s="219" t="s">
        <v>1761</v>
      </c>
      <c r="C192" s="239">
        <v>5</v>
      </c>
      <c r="D192" s="238" t="s">
        <v>4311</v>
      </c>
      <c r="E192" s="46"/>
    </row>
    <row r="193" spans="1:6">
      <c r="A193" s="28" t="s">
        <v>2510</v>
      </c>
      <c r="B193" s="219" t="s">
        <v>2508</v>
      </c>
      <c r="C193" s="531">
        <v>3</v>
      </c>
      <c r="D193" s="238" t="s">
        <v>3782</v>
      </c>
      <c r="E193" s="46"/>
    </row>
    <row r="194" spans="1:6">
      <c r="A194" s="28" t="s">
        <v>2527</v>
      </c>
      <c r="B194" s="219" t="s">
        <v>2528</v>
      </c>
      <c r="C194" s="89">
        <v>99.6</v>
      </c>
      <c r="D194" s="238" t="s">
        <v>2529</v>
      </c>
      <c r="E194" s="46" t="s">
        <v>3549</v>
      </c>
    </row>
    <row r="195" spans="1:6">
      <c r="A195" s="28" t="s">
        <v>2506</v>
      </c>
      <c r="B195" s="219" t="s">
        <v>2507</v>
      </c>
      <c r="C195" s="252">
        <v>0.02</v>
      </c>
      <c r="E195" s="46"/>
    </row>
    <row r="196" spans="1:6">
      <c r="A196" s="220" t="s">
        <v>1787</v>
      </c>
      <c r="B196" s="219" t="s">
        <v>2524</v>
      </c>
      <c r="C196" s="252">
        <v>2E-3</v>
      </c>
      <c r="E196" s="46"/>
    </row>
    <row r="197" spans="1:6">
      <c r="A197" s="220" t="s">
        <v>2511</v>
      </c>
      <c r="B197" s="219" t="s">
        <v>2512</v>
      </c>
      <c r="C197" s="531">
        <v>2</v>
      </c>
      <c r="D197" s="238" t="s">
        <v>3783</v>
      </c>
      <c r="E197" s="46"/>
    </row>
    <row r="198" spans="1:6">
      <c r="A198" s="220" t="s">
        <v>1788</v>
      </c>
      <c r="B198" s="219" t="s">
        <v>4065</v>
      </c>
      <c r="C198" s="252">
        <v>1E-3</v>
      </c>
      <c r="E198" s="46"/>
    </row>
    <row r="199" spans="1:6">
      <c r="A199" s="221" t="s">
        <v>5047</v>
      </c>
      <c r="B199" s="751" t="s">
        <v>5048</v>
      </c>
      <c r="C199" s="89">
        <v>40</v>
      </c>
      <c r="D199" s="238" t="s">
        <v>3784</v>
      </c>
      <c r="E199" s="46" t="s">
        <v>5526</v>
      </c>
    </row>
    <row r="200" spans="1:6">
      <c r="A200" s="221" t="s">
        <v>5049</v>
      </c>
      <c r="B200" s="751" t="s">
        <v>5050</v>
      </c>
      <c r="C200" s="89">
        <v>40</v>
      </c>
      <c r="D200" s="238" t="s">
        <v>3784</v>
      </c>
      <c r="E200" s="46" t="s">
        <v>5526</v>
      </c>
    </row>
    <row r="201" spans="1:6">
      <c r="A201" s="220" t="s">
        <v>237</v>
      </c>
      <c r="B201" s="219" t="s">
        <v>2425</v>
      </c>
      <c r="C201" s="240">
        <v>0.2</v>
      </c>
      <c r="E201" s="46" t="s">
        <v>2426</v>
      </c>
    </row>
    <row r="202" spans="1:6">
      <c r="A202" s="220" t="s">
        <v>2427</v>
      </c>
      <c r="B202" s="219" t="s">
        <v>234</v>
      </c>
      <c r="C202" s="89">
        <v>15</v>
      </c>
      <c r="D202" s="238" t="s">
        <v>235</v>
      </c>
      <c r="E202" s="46" t="s">
        <v>236</v>
      </c>
    </row>
    <row r="203" spans="1:6">
      <c r="A203" s="28"/>
    </row>
    <row r="204" spans="1:6">
      <c r="A204" s="32" t="s">
        <v>968</v>
      </c>
    </row>
    <row r="205" spans="1:6">
      <c r="A205" s="238" t="s">
        <v>5156</v>
      </c>
      <c r="B205" s="31" t="s">
        <v>5151</v>
      </c>
      <c r="C205" s="401">
        <v>1</v>
      </c>
      <c r="D205" s="238" t="s">
        <v>4111</v>
      </c>
      <c r="E205" s="214" t="s">
        <v>5154</v>
      </c>
      <c r="F205" s="214"/>
    </row>
    <row r="206" spans="1:6">
      <c r="A206" s="238" t="s">
        <v>5155</v>
      </c>
      <c r="B206" s="31" t="s">
        <v>5153</v>
      </c>
      <c r="C206" s="401">
        <v>6</v>
      </c>
      <c r="D206" s="238" t="s">
        <v>4111</v>
      </c>
      <c r="E206" s="214" t="s">
        <v>5152</v>
      </c>
      <c r="F206" s="214"/>
    </row>
    <row r="207" spans="1:6">
      <c r="A207" s="14" t="s">
        <v>4112</v>
      </c>
      <c r="B207" s="216" t="s">
        <v>4113</v>
      </c>
      <c r="C207" s="89">
        <v>4</v>
      </c>
      <c r="D207" s="238" t="s">
        <v>4111</v>
      </c>
      <c r="E207" s="214"/>
    </row>
    <row r="208" spans="1:6">
      <c r="A208" s="14" t="s">
        <v>831</v>
      </c>
      <c r="B208" s="216" t="s">
        <v>257</v>
      </c>
      <c r="C208" s="89">
        <v>3</v>
      </c>
      <c r="D208" s="238" t="s">
        <v>4111</v>
      </c>
      <c r="E208" s="214" t="s">
        <v>778</v>
      </c>
    </row>
    <row r="209" spans="1:5">
      <c r="A209" s="14" t="s">
        <v>828</v>
      </c>
      <c r="B209" s="216" t="s">
        <v>830</v>
      </c>
      <c r="C209" s="89">
        <v>2</v>
      </c>
      <c r="D209" s="238" t="s">
        <v>4111</v>
      </c>
      <c r="E209" s="214" t="s">
        <v>4616</v>
      </c>
    </row>
    <row r="210" spans="1:5">
      <c r="A210" s="28" t="s">
        <v>1856</v>
      </c>
      <c r="B210" s="216" t="s">
        <v>1857</v>
      </c>
      <c r="C210" s="89">
        <v>40</v>
      </c>
      <c r="D210" s="238" t="s">
        <v>4111</v>
      </c>
    </row>
    <row r="211" spans="1:5">
      <c r="A211" s="28" t="s">
        <v>3803</v>
      </c>
      <c r="B211" s="216" t="s">
        <v>3644</v>
      </c>
      <c r="C211" s="89">
        <v>10</v>
      </c>
      <c r="D211" s="238" t="s">
        <v>4111</v>
      </c>
    </row>
    <row r="212" spans="1:5">
      <c r="A212" s="14" t="s">
        <v>574</v>
      </c>
      <c r="B212" s="216" t="s">
        <v>575</v>
      </c>
      <c r="C212" s="89">
        <v>20</v>
      </c>
      <c r="D212" s="238" t="s">
        <v>4111</v>
      </c>
    </row>
    <row r="213" spans="1:5">
      <c r="A213" s="14" t="s">
        <v>490</v>
      </c>
      <c r="B213" s="67" t="s">
        <v>491</v>
      </c>
      <c r="C213" s="95">
        <v>3</v>
      </c>
      <c r="D213" s="238" t="s">
        <v>4111</v>
      </c>
      <c r="E213" s="214" t="s">
        <v>492</v>
      </c>
    </row>
    <row r="214" spans="1:5">
      <c r="A214" s="14" t="s">
        <v>762</v>
      </c>
      <c r="B214" s="216" t="s">
        <v>763</v>
      </c>
      <c r="C214" s="89">
        <v>100</v>
      </c>
      <c r="D214" s="238" t="s">
        <v>296</v>
      </c>
    </row>
    <row r="215" spans="1:5">
      <c r="A215" s="14" t="s">
        <v>687</v>
      </c>
      <c r="B215" s="216" t="s">
        <v>688</v>
      </c>
      <c r="C215" s="89">
        <f>6/12</f>
        <v>0.5</v>
      </c>
      <c r="D215" s="238" t="s">
        <v>4111</v>
      </c>
    </row>
    <row r="216" spans="1:5">
      <c r="A216" s="14" t="s">
        <v>1968</v>
      </c>
      <c r="B216" s="216" t="s">
        <v>1969</v>
      </c>
      <c r="C216" s="89">
        <f>4/12</f>
        <v>0.33333333333333331</v>
      </c>
      <c r="D216" s="238" t="s">
        <v>4111</v>
      </c>
    </row>
    <row r="217" spans="1:5">
      <c r="A217" s="21" t="s">
        <v>5051</v>
      </c>
      <c r="B217" s="669" t="s">
        <v>5052</v>
      </c>
      <c r="C217" s="89">
        <v>0.5</v>
      </c>
      <c r="D217" s="238" t="s">
        <v>4111</v>
      </c>
    </row>
    <row r="218" spans="1:5">
      <c r="A218" s="14" t="s">
        <v>3550</v>
      </c>
      <c r="B218" s="216" t="s">
        <v>3551</v>
      </c>
      <c r="C218" s="89">
        <v>5</v>
      </c>
      <c r="D218" s="238" t="s">
        <v>4111</v>
      </c>
    </row>
    <row r="219" spans="1:5">
      <c r="A219" s="14" t="s">
        <v>4836</v>
      </c>
      <c r="B219" s="31" t="s">
        <v>4835</v>
      </c>
      <c r="C219" s="401">
        <v>10000</v>
      </c>
      <c r="D219" s="238" t="s">
        <v>3746</v>
      </c>
    </row>
    <row r="220" spans="1:5">
      <c r="A220" s="14" t="s">
        <v>4837</v>
      </c>
      <c r="B220" s="216" t="s">
        <v>4838</v>
      </c>
      <c r="C220" s="89">
        <v>20000</v>
      </c>
      <c r="D220" s="238" t="s">
        <v>3746</v>
      </c>
    </row>
    <row r="222" spans="1:5">
      <c r="A222" s="32" t="s">
        <v>2258</v>
      </c>
    </row>
    <row r="223" spans="1:5" s="220" customFormat="1">
      <c r="A223" s="221" t="s">
        <v>2466</v>
      </c>
      <c r="B223" s="219" t="s">
        <v>2611</v>
      </c>
      <c r="C223" s="89">
        <v>25</v>
      </c>
      <c r="D223" s="633" t="s">
        <v>2133</v>
      </c>
      <c r="E223" s="46" t="s">
        <v>5073</v>
      </c>
    </row>
    <row r="224" spans="1:5">
      <c r="A224" s="28" t="s">
        <v>1962</v>
      </c>
      <c r="B224" s="216" t="s">
        <v>2612</v>
      </c>
      <c r="C224" s="89">
        <v>1</v>
      </c>
      <c r="D224" s="238" t="s">
        <v>4064</v>
      </c>
      <c r="E224" s="214" t="s">
        <v>3277</v>
      </c>
    </row>
    <row r="225" spans="1:5">
      <c r="A225" s="28" t="s">
        <v>3278</v>
      </c>
      <c r="B225" s="216" t="s">
        <v>3279</v>
      </c>
      <c r="C225" s="239">
        <v>52215</v>
      </c>
      <c r="D225" s="238" t="s">
        <v>3280</v>
      </c>
      <c r="E225" s="214" t="s">
        <v>2357</v>
      </c>
    </row>
    <row r="226" spans="1:5">
      <c r="A226" s="28" t="s">
        <v>3281</v>
      </c>
      <c r="B226" s="216" t="s">
        <v>3282</v>
      </c>
      <c r="C226" s="89">
        <f>2/5</f>
        <v>0.4</v>
      </c>
      <c r="E226" s="214"/>
    </row>
    <row r="227" spans="1:5">
      <c r="A227" s="28" t="s">
        <v>3287</v>
      </c>
      <c r="B227" s="216" t="s">
        <v>3286</v>
      </c>
      <c r="C227" s="89">
        <v>3</v>
      </c>
      <c r="D227" s="238" t="s">
        <v>4111</v>
      </c>
      <c r="E227" s="214"/>
    </row>
    <row r="228" spans="1:5">
      <c r="A228" s="14" t="s">
        <v>3365</v>
      </c>
      <c r="B228" s="216" t="s">
        <v>3366</v>
      </c>
      <c r="C228" s="89">
        <v>15</v>
      </c>
      <c r="D228" s="238" t="s">
        <v>3366</v>
      </c>
    </row>
    <row r="229" spans="1:5">
      <c r="A229" s="28" t="s">
        <v>3369</v>
      </c>
      <c r="B229" s="216" t="s">
        <v>3367</v>
      </c>
      <c r="C229" s="89">
        <v>4</v>
      </c>
      <c r="D229" s="238" t="s">
        <v>3065</v>
      </c>
      <c r="E229" s="214" t="s">
        <v>2461</v>
      </c>
    </row>
    <row r="230" spans="1:5">
      <c r="A230" s="14" t="s">
        <v>3370</v>
      </c>
      <c r="B230" s="216" t="s">
        <v>3368</v>
      </c>
      <c r="C230" s="89">
        <v>1</v>
      </c>
      <c r="D230" s="238" t="s">
        <v>3065</v>
      </c>
      <c r="E230" s="214"/>
    </row>
    <row r="231" spans="1:5">
      <c r="A231" s="14" t="s">
        <v>2361</v>
      </c>
      <c r="B231" s="216" t="s">
        <v>2362</v>
      </c>
      <c r="C231" s="89">
        <v>1</v>
      </c>
      <c r="D231" s="238" t="s">
        <v>2859</v>
      </c>
      <c r="E231" s="214"/>
    </row>
    <row r="232" spans="1:5">
      <c r="A232" s="14" t="s">
        <v>2360</v>
      </c>
      <c r="B232" s="216" t="s">
        <v>2363</v>
      </c>
      <c r="C232" s="89">
        <v>15</v>
      </c>
      <c r="D232" s="238" t="s">
        <v>4111</v>
      </c>
      <c r="E232" s="214"/>
    </row>
    <row r="233" spans="1:5">
      <c r="A233" s="14" t="s">
        <v>526</v>
      </c>
      <c r="B233" s="216" t="s">
        <v>2587</v>
      </c>
      <c r="C233" s="89">
        <v>0.5</v>
      </c>
      <c r="D233" s="238" t="s">
        <v>4111</v>
      </c>
      <c r="E233" s="46" t="s">
        <v>2458</v>
      </c>
    </row>
    <row r="234" spans="1:5">
      <c r="A234" s="28" t="s">
        <v>527</v>
      </c>
      <c r="B234" s="216" t="s">
        <v>529</v>
      </c>
      <c r="C234" s="89">
        <v>4</v>
      </c>
      <c r="D234" s="238" t="s">
        <v>3065</v>
      </c>
      <c r="E234" s="214" t="s">
        <v>2461</v>
      </c>
    </row>
    <row r="235" spans="1:5">
      <c r="A235" s="28" t="s">
        <v>2588</v>
      </c>
      <c r="B235" s="216" t="s">
        <v>528</v>
      </c>
      <c r="C235" s="89">
        <v>35.630000000000003</v>
      </c>
      <c r="D235" s="238" t="s">
        <v>296</v>
      </c>
      <c r="E235" s="214" t="s">
        <v>2470</v>
      </c>
    </row>
    <row r="236" spans="1:5">
      <c r="A236" s="14" t="s">
        <v>2163</v>
      </c>
      <c r="B236" s="216" t="s">
        <v>2164</v>
      </c>
      <c r="C236" s="239">
        <v>3</v>
      </c>
      <c r="D236" s="238" t="s">
        <v>2165</v>
      </c>
      <c r="E236" s="214"/>
    </row>
    <row r="237" spans="1:5">
      <c r="A237" s="28" t="s">
        <v>2616</v>
      </c>
      <c r="B237" s="216" t="s">
        <v>2617</v>
      </c>
      <c r="C237" s="239">
        <v>1</v>
      </c>
      <c r="D237" s="238" t="s">
        <v>2192</v>
      </c>
      <c r="E237" s="214" t="s">
        <v>2618</v>
      </c>
    </row>
    <row r="238" spans="1:5">
      <c r="A238" s="238" t="s">
        <v>5569</v>
      </c>
      <c r="B238" s="31" t="s">
        <v>5570</v>
      </c>
      <c r="C238" s="815">
        <v>1</v>
      </c>
      <c r="D238" s="238" t="s">
        <v>5564</v>
      </c>
      <c r="E238" s="214"/>
    </row>
    <row r="239" spans="1:5">
      <c r="A239" s="28" t="s">
        <v>2398</v>
      </c>
      <c r="B239" s="216" t="s">
        <v>2619</v>
      </c>
      <c r="C239" s="89">
        <v>40</v>
      </c>
      <c r="D239" s="238" t="s">
        <v>3065</v>
      </c>
      <c r="E239" s="214"/>
    </row>
    <row r="240" spans="1:5">
      <c r="A240" s="28" t="s">
        <v>2177</v>
      </c>
      <c r="B240" s="216" t="s">
        <v>2399</v>
      </c>
      <c r="C240" s="89">
        <v>5000</v>
      </c>
      <c r="D240" s="238" t="s">
        <v>3065</v>
      </c>
      <c r="E240" s="214" t="s">
        <v>2178</v>
      </c>
    </row>
    <row r="241" spans="1:5" ht="14">
      <c r="A241" s="655" t="s">
        <v>2430</v>
      </c>
      <c r="B241" s="31" t="s">
        <v>2431</v>
      </c>
      <c r="C241" s="656">
        <v>1</v>
      </c>
      <c r="D241" s="238" t="s">
        <v>2432</v>
      </c>
      <c r="E241" s="214"/>
    </row>
    <row r="242" spans="1:5">
      <c r="A242" s="14" t="s">
        <v>2623</v>
      </c>
      <c r="B242" s="216" t="s">
        <v>2624</v>
      </c>
      <c r="C242" s="89">
        <v>1</v>
      </c>
      <c r="D242" s="238" t="s">
        <v>2621</v>
      </c>
      <c r="E242" s="214"/>
    </row>
    <row r="243" spans="1:5">
      <c r="A243" s="14" t="s">
        <v>2625</v>
      </c>
      <c r="B243" s="216" t="s">
        <v>2626</v>
      </c>
      <c r="C243" s="89">
        <v>1</v>
      </c>
      <c r="D243" s="238" t="s">
        <v>2627</v>
      </c>
      <c r="E243" s="214"/>
    </row>
    <row r="244" spans="1:5">
      <c r="A244" s="14" t="s">
        <v>2628</v>
      </c>
      <c r="B244" s="216" t="s">
        <v>2629</v>
      </c>
      <c r="C244" s="89">
        <v>1</v>
      </c>
      <c r="D244" s="238" t="s">
        <v>2192</v>
      </c>
      <c r="E244" s="214"/>
    </row>
    <row r="245" spans="1:5">
      <c r="A245" s="14" t="s">
        <v>2358</v>
      </c>
      <c r="B245" s="216" t="s">
        <v>2630</v>
      </c>
      <c r="C245" s="89">
        <v>1</v>
      </c>
      <c r="D245" s="238" t="s">
        <v>2359</v>
      </c>
      <c r="E245" s="214"/>
    </row>
    <row r="246" spans="1:5">
      <c r="A246" s="14" t="s">
        <v>2320</v>
      </c>
      <c r="B246" s="216" t="s">
        <v>2631</v>
      </c>
      <c r="C246" s="89">
        <v>2</v>
      </c>
      <c r="D246" s="238" t="s">
        <v>2263</v>
      </c>
      <c r="E246" s="214" t="s">
        <v>3033</v>
      </c>
    </row>
    <row r="247" spans="1:5">
      <c r="A247" s="14" t="s">
        <v>2336</v>
      </c>
      <c r="B247" s="216" t="s">
        <v>2337</v>
      </c>
      <c r="C247" s="89">
        <v>0</v>
      </c>
      <c r="D247" s="238" t="s">
        <v>2263</v>
      </c>
      <c r="E247" s="214" t="s">
        <v>2838</v>
      </c>
    </row>
    <row r="248" spans="1:5">
      <c r="A248" s="28" t="s">
        <v>2338</v>
      </c>
      <c r="B248" s="216" t="s">
        <v>2339</v>
      </c>
      <c r="C248" s="89">
        <v>1</v>
      </c>
      <c r="D248" s="238" t="s">
        <v>3649</v>
      </c>
      <c r="E248" s="214"/>
    </row>
    <row r="249" spans="1:5">
      <c r="A249" s="28" t="s">
        <v>2059</v>
      </c>
      <c r="B249" s="216" t="s">
        <v>2060</v>
      </c>
      <c r="C249" s="89">
        <v>1</v>
      </c>
      <c r="D249" s="238" t="s">
        <v>2061</v>
      </c>
    </row>
    <row r="250" spans="1:5">
      <c r="A250" s="28" t="s">
        <v>60</v>
      </c>
      <c r="B250" s="216" t="s">
        <v>61</v>
      </c>
      <c r="C250" s="89">
        <v>1</v>
      </c>
      <c r="D250" s="238" t="s">
        <v>2061</v>
      </c>
    </row>
    <row r="251" spans="1:5">
      <c r="A251" s="28" t="s">
        <v>62</v>
      </c>
      <c r="B251" s="216" t="s">
        <v>63</v>
      </c>
      <c r="C251" s="89">
        <v>1</v>
      </c>
      <c r="D251" s="238" t="s">
        <v>2061</v>
      </c>
    </row>
    <row r="252" spans="1:5">
      <c r="A252" s="28" t="s">
        <v>3677</v>
      </c>
      <c r="B252" s="216" t="s">
        <v>3678</v>
      </c>
      <c r="C252" s="89">
        <v>250</v>
      </c>
      <c r="D252" s="238" t="s">
        <v>2263</v>
      </c>
      <c r="E252" s="214" t="s">
        <v>4031</v>
      </c>
    </row>
    <row r="253" spans="1:5">
      <c r="A253" s="221" t="s">
        <v>245</v>
      </c>
      <c r="B253" s="219" t="s">
        <v>242</v>
      </c>
      <c r="C253" s="89">
        <v>10</v>
      </c>
      <c r="D253" s="633" t="s">
        <v>3662</v>
      </c>
      <c r="E253" s="430"/>
    </row>
    <row r="254" spans="1:5">
      <c r="A254" s="221" t="s">
        <v>1206</v>
      </c>
      <c r="B254" s="219" t="s">
        <v>243</v>
      </c>
      <c r="C254" s="89">
        <v>40</v>
      </c>
      <c r="D254" s="633" t="s">
        <v>3662</v>
      </c>
      <c r="E254" s="430"/>
    </row>
    <row r="255" spans="1:5">
      <c r="A255" s="221" t="s">
        <v>1205</v>
      </c>
      <c r="B255" s="219" t="s">
        <v>244</v>
      </c>
      <c r="C255" s="89">
        <v>250</v>
      </c>
      <c r="D255" s="633" t="s">
        <v>3662</v>
      </c>
      <c r="E255" s="430"/>
    </row>
    <row r="256" spans="1:5">
      <c r="A256" s="28" t="s">
        <v>5139</v>
      </c>
      <c r="B256" s="31" t="s">
        <v>5132</v>
      </c>
      <c r="C256" s="782">
        <v>1</v>
      </c>
      <c r="D256" s="238" t="s">
        <v>5133</v>
      </c>
      <c r="E256" s="214" t="s">
        <v>5134</v>
      </c>
    </row>
    <row r="257" spans="1:5">
      <c r="A257" s="28" t="s">
        <v>1844</v>
      </c>
      <c r="B257" s="216" t="s">
        <v>1845</v>
      </c>
      <c r="C257" s="89">
        <v>18</v>
      </c>
      <c r="D257" s="238" t="s">
        <v>1846</v>
      </c>
      <c r="E257" s="214"/>
    </row>
    <row r="258" spans="1:5">
      <c r="A258" s="221" t="s">
        <v>5120</v>
      </c>
      <c r="B258" s="31" t="s">
        <v>5121</v>
      </c>
      <c r="C258" s="779">
        <v>6000</v>
      </c>
      <c r="D258" s="238" t="s">
        <v>4311</v>
      </c>
      <c r="E258" s="214"/>
    </row>
    <row r="259" spans="1:5">
      <c r="A259" s="28" t="s">
        <v>5123</v>
      </c>
      <c r="B259" s="31" t="s">
        <v>5124</v>
      </c>
      <c r="C259" s="401">
        <v>18</v>
      </c>
      <c r="D259" s="238" t="s">
        <v>1846</v>
      </c>
      <c r="E259" s="214"/>
    </row>
    <row r="260" spans="1:5">
      <c r="A260" s="28" t="s">
        <v>5125</v>
      </c>
      <c r="B260" s="31" t="s">
        <v>5126</v>
      </c>
      <c r="C260" s="401">
        <v>18</v>
      </c>
      <c r="D260" s="238" t="s">
        <v>1846</v>
      </c>
      <c r="E260" s="214"/>
    </row>
    <row r="261" spans="1:5">
      <c r="A261" s="28" t="s">
        <v>1847</v>
      </c>
      <c r="B261" s="216" t="s">
        <v>1848</v>
      </c>
      <c r="C261" s="89">
        <v>10</v>
      </c>
      <c r="D261" s="238" t="s">
        <v>1849</v>
      </c>
      <c r="E261" s="214"/>
    </row>
    <row r="262" spans="1:5">
      <c r="A262" s="28" t="s">
        <v>788</v>
      </c>
      <c r="B262" s="216" t="s">
        <v>789</v>
      </c>
      <c r="C262" s="89">
        <v>200</v>
      </c>
      <c r="D262" s="238" t="s">
        <v>1849</v>
      </c>
      <c r="E262" s="214"/>
    </row>
    <row r="263" spans="1:5">
      <c r="A263" s="28" t="s">
        <v>5127</v>
      </c>
      <c r="B263" s="31" t="s">
        <v>5128</v>
      </c>
      <c r="C263" s="781">
        <v>700</v>
      </c>
      <c r="D263" s="238" t="s">
        <v>1849</v>
      </c>
      <c r="E263" s="214"/>
    </row>
    <row r="264" spans="1:5">
      <c r="A264" s="28" t="s">
        <v>5129</v>
      </c>
      <c r="B264" s="31" t="s">
        <v>5130</v>
      </c>
      <c r="C264" s="781">
        <v>700</v>
      </c>
      <c r="D264" s="238" t="s">
        <v>1849</v>
      </c>
      <c r="E264" s="214"/>
    </row>
    <row r="265" spans="1:5">
      <c r="A265" s="14" t="s">
        <v>4032</v>
      </c>
      <c r="B265" s="216" t="s">
        <v>4033</v>
      </c>
      <c r="C265" s="89">
        <v>180</v>
      </c>
      <c r="D265" s="238" t="s">
        <v>4034</v>
      </c>
      <c r="E265" s="214" t="s">
        <v>845</v>
      </c>
    </row>
    <row r="266" spans="1:5">
      <c r="A266" s="14" t="s">
        <v>846</v>
      </c>
      <c r="B266" s="216" t="s">
        <v>847</v>
      </c>
      <c r="C266" s="89">
        <v>0.7</v>
      </c>
      <c r="E266" s="214" t="s">
        <v>848</v>
      </c>
    </row>
    <row r="267" spans="1:5">
      <c r="A267" s="14" t="s">
        <v>849</v>
      </c>
      <c r="B267" s="216" t="s">
        <v>850</v>
      </c>
      <c r="C267" s="89">
        <v>70</v>
      </c>
      <c r="D267" s="238" t="s">
        <v>4034</v>
      </c>
      <c r="E267" s="214" t="s">
        <v>845</v>
      </c>
    </row>
    <row r="268" spans="1:5">
      <c r="A268" s="14" t="s">
        <v>851</v>
      </c>
      <c r="B268" s="216" t="s">
        <v>852</v>
      </c>
      <c r="C268" s="89">
        <v>180</v>
      </c>
      <c r="D268" s="238" t="s">
        <v>4064</v>
      </c>
      <c r="E268" s="214" t="s">
        <v>853</v>
      </c>
    </row>
    <row r="269" spans="1:5">
      <c r="A269" s="14" t="s">
        <v>854</v>
      </c>
      <c r="B269" s="216" t="s">
        <v>855</v>
      </c>
      <c r="C269" s="89">
        <v>1.1000000000000001</v>
      </c>
      <c r="E269" s="214" t="s">
        <v>856</v>
      </c>
    </row>
    <row r="270" spans="1:5">
      <c r="A270" s="14" t="s">
        <v>857</v>
      </c>
      <c r="B270" s="216" t="s">
        <v>1207</v>
      </c>
      <c r="C270" s="89">
        <v>5</v>
      </c>
      <c r="D270" s="238" t="s">
        <v>2859</v>
      </c>
    </row>
    <row r="271" spans="1:5">
      <c r="A271" s="14" t="s">
        <v>2217</v>
      </c>
      <c r="B271" s="216" t="s">
        <v>2218</v>
      </c>
      <c r="C271" s="89">
        <v>2</v>
      </c>
      <c r="D271" s="238" t="s">
        <v>2219</v>
      </c>
      <c r="E271" s="46" t="s">
        <v>442</v>
      </c>
    </row>
    <row r="272" spans="1:5">
      <c r="A272" s="14" t="s">
        <v>2456</v>
      </c>
      <c r="B272" s="216" t="s">
        <v>2457</v>
      </c>
      <c r="C272" s="89">
        <v>0.5</v>
      </c>
      <c r="D272" s="238" t="s">
        <v>4111</v>
      </c>
      <c r="E272" s="46" t="s">
        <v>2458</v>
      </c>
    </row>
    <row r="273" spans="1:5">
      <c r="A273" s="28" t="s">
        <v>2459</v>
      </c>
      <c r="B273" s="216" t="s">
        <v>2460</v>
      </c>
      <c r="C273" s="89">
        <v>4</v>
      </c>
      <c r="D273" s="238" t="s">
        <v>3065</v>
      </c>
      <c r="E273" s="214" t="s">
        <v>2461</v>
      </c>
    </row>
    <row r="274" spans="1:5">
      <c r="A274" s="28" t="s">
        <v>2462</v>
      </c>
      <c r="B274" s="216" t="s">
        <v>2463</v>
      </c>
      <c r="C274" s="89">
        <v>1</v>
      </c>
      <c r="D274" s="238" t="s">
        <v>2464</v>
      </c>
      <c r="E274" s="214" t="s">
        <v>2465</v>
      </c>
    </row>
    <row r="275" spans="1:5">
      <c r="A275" s="28" t="s">
        <v>2466</v>
      </c>
      <c r="B275" s="216" t="s">
        <v>2467</v>
      </c>
      <c r="C275" s="89">
        <v>25</v>
      </c>
      <c r="D275" s="238" t="s">
        <v>2133</v>
      </c>
    </row>
    <row r="276" spans="1:5">
      <c r="A276" s="28" t="s">
        <v>2468</v>
      </c>
      <c r="B276" s="216" t="s">
        <v>2469</v>
      </c>
      <c r="C276" s="89">
        <v>35.630000000000003</v>
      </c>
      <c r="D276" s="238" t="s">
        <v>296</v>
      </c>
      <c r="E276" s="214" t="s">
        <v>2470</v>
      </c>
    </row>
    <row r="277" spans="1:5">
      <c r="A277" s="14" t="s">
        <v>1401</v>
      </c>
      <c r="B277" s="31" t="s">
        <v>1353</v>
      </c>
      <c r="C277" s="404">
        <v>4</v>
      </c>
      <c r="D277" s="238" t="s">
        <v>1354</v>
      </c>
      <c r="E277" s="214" t="s">
        <v>1400</v>
      </c>
    </row>
    <row r="278" spans="1:5">
      <c r="A278" s="14" t="s">
        <v>486</v>
      </c>
      <c r="B278" s="31" t="s">
        <v>487</v>
      </c>
      <c r="C278" s="401">
        <v>2</v>
      </c>
      <c r="D278" s="238" t="s">
        <v>3065</v>
      </c>
      <c r="E278" s="214"/>
    </row>
    <row r="279" spans="1:5">
      <c r="A279" s="14" t="s">
        <v>2170</v>
      </c>
      <c r="B279" s="31" t="s">
        <v>2171</v>
      </c>
      <c r="C279" s="401">
        <v>3500</v>
      </c>
      <c r="D279" s="238" t="s">
        <v>3065</v>
      </c>
      <c r="E279" s="214" t="s">
        <v>2209</v>
      </c>
    </row>
    <row r="280" spans="1:5">
      <c r="A280" s="14" t="s">
        <v>2172</v>
      </c>
      <c r="B280" s="31" t="s">
        <v>2173</v>
      </c>
      <c r="C280" s="401">
        <v>10</v>
      </c>
      <c r="D280" s="238" t="s">
        <v>2174</v>
      </c>
      <c r="E280" s="214" t="s">
        <v>833</v>
      </c>
    </row>
    <row r="281" spans="1:5">
      <c r="A281" s="14" t="s">
        <v>2175</v>
      </c>
      <c r="B281" s="31" t="s">
        <v>2176</v>
      </c>
      <c r="C281" s="401">
        <v>10000</v>
      </c>
      <c r="D281" s="238" t="s">
        <v>2193</v>
      </c>
      <c r="E281" s="214" t="s">
        <v>832</v>
      </c>
    </row>
    <row r="282" spans="1:5">
      <c r="A282" s="14" t="s">
        <v>1002</v>
      </c>
      <c r="B282" s="31" t="s">
        <v>1003</v>
      </c>
      <c r="C282" s="401">
        <v>2000</v>
      </c>
      <c r="D282" s="238" t="s">
        <v>2193</v>
      </c>
      <c r="E282" s="214" t="s">
        <v>2615</v>
      </c>
    </row>
    <row r="283" spans="1:5">
      <c r="A283" s="14" t="s">
        <v>1004</v>
      </c>
      <c r="B283" s="216" t="s">
        <v>1005</v>
      </c>
      <c r="C283" s="401">
        <v>1</v>
      </c>
      <c r="D283" s="238" t="s">
        <v>2192</v>
      </c>
      <c r="E283" s="214" t="s">
        <v>1006</v>
      </c>
    </row>
    <row r="284" spans="1:5">
      <c r="A284" s="14" t="s">
        <v>4527</v>
      </c>
      <c r="B284" s="216" t="s">
        <v>4528</v>
      </c>
      <c r="C284" s="401">
        <v>1</v>
      </c>
      <c r="D284" s="238" t="s">
        <v>2192</v>
      </c>
      <c r="E284" s="214" t="s">
        <v>4529</v>
      </c>
    </row>
    <row r="286" spans="1:5">
      <c r="A286" s="32" t="s">
        <v>3129</v>
      </c>
    </row>
    <row r="287" spans="1:5">
      <c r="A287" s="982" t="s">
        <v>5459</v>
      </c>
    </row>
    <row r="288" spans="1:5">
      <c r="A288" s="214" t="s">
        <v>2999</v>
      </c>
    </row>
    <row r="289" spans="1:5">
      <c r="A289" s="214" t="s">
        <v>3000</v>
      </c>
      <c r="C289" s="214"/>
    </row>
    <row r="290" spans="1:5">
      <c r="A290" s="28" t="s">
        <v>3486</v>
      </c>
      <c r="B290" s="216" t="s">
        <v>3487</v>
      </c>
      <c r="C290" s="89">
        <v>1</v>
      </c>
      <c r="D290" s="238" t="s">
        <v>2192</v>
      </c>
    </row>
    <row r="291" spans="1:5">
      <c r="A291" s="28" t="s">
        <v>3001</v>
      </c>
      <c r="B291" s="216" t="s">
        <v>3002</v>
      </c>
      <c r="C291" s="89">
        <v>1</v>
      </c>
      <c r="D291" s="238" t="s">
        <v>2192</v>
      </c>
    </row>
    <row r="292" spans="1:5">
      <c r="A292" s="28" t="s">
        <v>692</v>
      </c>
      <c r="B292" s="216" t="s">
        <v>693</v>
      </c>
      <c r="C292" s="89">
        <v>1</v>
      </c>
      <c r="D292" s="238" t="s">
        <v>2192</v>
      </c>
    </row>
    <row r="293" spans="1:5">
      <c r="A293" s="28" t="s">
        <v>2643</v>
      </c>
      <c r="B293" s="216" t="s">
        <v>2644</v>
      </c>
      <c r="C293" s="89">
        <v>1</v>
      </c>
      <c r="D293" s="238" t="s">
        <v>2192</v>
      </c>
    </row>
    <row r="294" spans="1:5">
      <c r="A294" s="28" t="s">
        <v>3488</v>
      </c>
      <c r="B294" s="31" t="s">
        <v>2151</v>
      </c>
      <c r="C294" s="89">
        <v>1</v>
      </c>
      <c r="D294" s="238" t="s">
        <v>2192</v>
      </c>
    </row>
    <row r="295" spans="1:5">
      <c r="A295" s="28" t="s">
        <v>3489</v>
      </c>
      <c r="B295" s="31" t="s">
        <v>3490</v>
      </c>
      <c r="C295" s="89">
        <v>1</v>
      </c>
      <c r="D295" s="238" t="s">
        <v>2192</v>
      </c>
    </row>
    <row r="296" spans="1:5">
      <c r="A296" s="28" t="s">
        <v>202</v>
      </c>
      <c r="B296" s="31" t="s">
        <v>203</v>
      </c>
      <c r="C296" s="89">
        <v>1</v>
      </c>
      <c r="D296" s="238" t="s">
        <v>2192</v>
      </c>
    </row>
    <row r="297" spans="1:5">
      <c r="A297" s="28" t="s">
        <v>3003</v>
      </c>
      <c r="B297" s="31" t="s">
        <v>3004</v>
      </c>
      <c r="C297" s="404">
        <v>1</v>
      </c>
      <c r="D297" s="238" t="s">
        <v>2192</v>
      </c>
    </row>
    <row r="298" spans="1:5">
      <c r="A298" s="28" t="s">
        <v>3829</v>
      </c>
      <c r="B298" s="31" t="s">
        <v>3830</v>
      </c>
      <c r="C298" s="404">
        <v>1</v>
      </c>
      <c r="D298" s="238" t="s">
        <v>2192</v>
      </c>
    </row>
    <row r="299" spans="1:5">
      <c r="A299" s="28" t="s">
        <v>3005</v>
      </c>
      <c r="B299" s="216" t="s">
        <v>4973</v>
      </c>
      <c r="C299" s="89">
        <v>1</v>
      </c>
      <c r="D299" s="238" t="s">
        <v>2192</v>
      </c>
    </row>
    <row r="301" spans="1:5">
      <c r="A301" s="14" t="s">
        <v>1753</v>
      </c>
      <c r="B301" s="222" t="s">
        <v>2449</v>
      </c>
      <c r="C301" s="89">
        <v>2</v>
      </c>
      <c r="D301" s="238" t="s">
        <v>2450</v>
      </c>
      <c r="E301" s="214" t="s">
        <v>755</v>
      </c>
    </row>
    <row r="302" spans="1:5">
      <c r="A302" s="14" t="s">
        <v>1221</v>
      </c>
      <c r="B302" s="222" t="s">
        <v>2451</v>
      </c>
      <c r="C302" s="89">
        <v>2</v>
      </c>
      <c r="D302" s="238" t="s">
        <v>2450</v>
      </c>
      <c r="E302" s="214" t="s">
        <v>756</v>
      </c>
    </row>
    <row r="303" spans="1:5">
      <c r="A303" s="14" t="s">
        <v>1752</v>
      </c>
      <c r="B303" s="222" t="s">
        <v>2452</v>
      </c>
      <c r="C303" s="89">
        <v>2</v>
      </c>
      <c r="D303" s="238" t="s">
        <v>2450</v>
      </c>
      <c r="E303" s="214" t="s">
        <v>757</v>
      </c>
    </row>
    <row r="304" spans="1:5">
      <c r="A304" s="14" t="s">
        <v>1227</v>
      </c>
      <c r="B304" s="222" t="s">
        <v>2453</v>
      </c>
      <c r="C304" s="89">
        <v>1</v>
      </c>
      <c r="D304" s="238" t="s">
        <v>2450</v>
      </c>
      <c r="E304" s="214" t="s">
        <v>2454</v>
      </c>
    </row>
    <row r="305" spans="1:7">
      <c r="A305" s="14" t="s">
        <v>2455</v>
      </c>
      <c r="B305" s="216" t="s">
        <v>1394</v>
      </c>
      <c r="C305" s="89">
        <v>1</v>
      </c>
      <c r="D305" s="238" t="s">
        <v>1395</v>
      </c>
      <c r="E305" s="214" t="s">
        <v>1396</v>
      </c>
    </row>
    <row r="306" spans="1:7">
      <c r="A306" s="14" t="s">
        <v>1397</v>
      </c>
      <c r="B306" s="216" t="s">
        <v>1398</v>
      </c>
      <c r="C306" s="89">
        <v>3</v>
      </c>
      <c r="D306" s="238" t="s">
        <v>1399</v>
      </c>
      <c r="E306" s="214" t="s">
        <v>403</v>
      </c>
    </row>
    <row r="307" spans="1:7">
      <c r="A307" s="14" t="s">
        <v>404</v>
      </c>
      <c r="B307" s="216" t="s">
        <v>405</v>
      </c>
      <c r="C307" s="89">
        <v>4</v>
      </c>
      <c r="D307" s="238" t="s">
        <v>776</v>
      </c>
      <c r="E307" s="214" t="s">
        <v>777</v>
      </c>
    </row>
    <row r="309" spans="1:7">
      <c r="A309" s="977" t="s">
        <v>5457</v>
      </c>
    </row>
    <row r="310" spans="1:7">
      <c r="A310" s="242" t="s">
        <v>3733</v>
      </c>
      <c r="E310" s="241"/>
    </row>
    <row r="311" spans="1:7" ht="14" thickBot="1">
      <c r="A311" s="242" t="s">
        <v>3523</v>
      </c>
      <c r="E311" s="241"/>
    </row>
    <row r="312" spans="1:7">
      <c r="A312" s="978" t="s">
        <v>3524</v>
      </c>
      <c r="B312" s="88" t="s">
        <v>3525</v>
      </c>
      <c r="C312" s="979" t="s">
        <v>3526</v>
      </c>
      <c r="D312" s="979" t="s">
        <v>3527</v>
      </c>
      <c r="E312" s="979" t="s">
        <v>3528</v>
      </c>
      <c r="F312" s="253" t="s">
        <v>2961</v>
      </c>
      <c r="G312" s="980" t="s">
        <v>1991</v>
      </c>
    </row>
    <row r="313" spans="1:7">
      <c r="A313" s="244" t="s">
        <v>3703</v>
      </c>
      <c r="B313" s="245" t="s">
        <v>1716</v>
      </c>
      <c r="C313" s="246">
        <v>0</v>
      </c>
      <c r="D313" s="246">
        <v>0</v>
      </c>
      <c r="E313" s="246">
        <v>2</v>
      </c>
      <c r="F313" s="402" t="s">
        <v>2621</v>
      </c>
    </row>
    <row r="314" spans="1:7">
      <c r="A314" s="244" t="s">
        <v>1709</v>
      </c>
      <c r="B314" s="245" t="s">
        <v>1717</v>
      </c>
      <c r="C314" s="246">
        <v>0</v>
      </c>
      <c r="D314" s="246">
        <v>0</v>
      </c>
      <c r="E314" s="246">
        <v>2</v>
      </c>
      <c r="F314" s="402" t="s">
        <v>2621</v>
      </c>
    </row>
    <row r="315" spans="1:7">
      <c r="A315" s="14" t="s">
        <v>1710</v>
      </c>
      <c r="B315" s="216" t="s">
        <v>1718</v>
      </c>
      <c r="C315" s="246">
        <v>0</v>
      </c>
      <c r="D315" s="246">
        <v>0</v>
      </c>
      <c r="E315" s="246">
        <v>1</v>
      </c>
      <c r="F315" s="402" t="s">
        <v>3410</v>
      </c>
    </row>
    <row r="316" spans="1:7">
      <c r="A316" s="14" t="s">
        <v>1711</v>
      </c>
      <c r="B316" s="216" t="s">
        <v>1719</v>
      </c>
      <c r="C316" s="246">
        <v>0</v>
      </c>
      <c r="D316" s="246">
        <v>0</v>
      </c>
      <c r="E316" s="246">
        <v>1</v>
      </c>
      <c r="F316" s="402" t="s">
        <v>2621</v>
      </c>
    </row>
    <row r="317" spans="1:7">
      <c r="A317" s="689" t="s">
        <v>4687</v>
      </c>
      <c r="B317" s="216" t="s">
        <v>4690</v>
      </c>
      <c r="C317" s="246">
        <v>0</v>
      </c>
      <c r="D317" s="246">
        <v>0</v>
      </c>
      <c r="E317" s="246">
        <v>1</v>
      </c>
      <c r="F317" s="402" t="s">
        <v>4686</v>
      </c>
      <c r="G317" s="214" t="s">
        <v>4688</v>
      </c>
    </row>
    <row r="318" spans="1:7">
      <c r="A318" s="244" t="s">
        <v>1712</v>
      </c>
      <c r="B318" s="217" t="s">
        <v>1720</v>
      </c>
      <c r="C318" s="246">
        <v>0</v>
      </c>
      <c r="D318" s="246">
        <v>0</v>
      </c>
      <c r="E318" s="246">
        <v>1</v>
      </c>
      <c r="F318" s="402" t="s">
        <v>2621</v>
      </c>
    </row>
    <row r="319" spans="1:7">
      <c r="A319" s="244" t="s">
        <v>4592</v>
      </c>
      <c r="B319" s="217" t="s">
        <v>1721</v>
      </c>
      <c r="C319" s="246">
        <v>0</v>
      </c>
      <c r="D319" s="246">
        <v>0</v>
      </c>
      <c r="E319" s="246">
        <v>1</v>
      </c>
      <c r="F319" s="402" t="s">
        <v>4617</v>
      </c>
    </row>
    <row r="320" spans="1:7">
      <c r="A320" s="244" t="s">
        <v>1713</v>
      </c>
      <c r="B320" s="217" t="s">
        <v>1850</v>
      </c>
      <c r="C320" s="246">
        <v>0</v>
      </c>
      <c r="D320" s="246">
        <v>0</v>
      </c>
      <c r="E320" s="246">
        <v>3</v>
      </c>
      <c r="F320" s="402" t="s">
        <v>3529</v>
      </c>
      <c r="G320" s="214" t="s">
        <v>5111</v>
      </c>
    </row>
    <row r="321" spans="1:7">
      <c r="A321" s="244" t="s">
        <v>1714</v>
      </c>
      <c r="B321" s="217" t="s">
        <v>1851</v>
      </c>
      <c r="C321" s="246">
        <v>0</v>
      </c>
      <c r="D321" s="246">
        <v>0</v>
      </c>
      <c r="E321" s="246">
        <v>2</v>
      </c>
      <c r="F321" s="402" t="s">
        <v>2621</v>
      </c>
      <c r="G321" s="214" t="s">
        <v>5112</v>
      </c>
    </row>
    <row r="322" spans="1:7">
      <c r="A322" s="777" t="s">
        <v>5080</v>
      </c>
      <c r="B322" s="778" t="s">
        <v>5102</v>
      </c>
      <c r="C322" s="246">
        <v>0</v>
      </c>
      <c r="D322" s="246">
        <v>0</v>
      </c>
      <c r="E322" s="246">
        <v>1</v>
      </c>
      <c r="F322" s="402" t="s">
        <v>4617</v>
      </c>
      <c r="G322" s="214" t="s">
        <v>5113</v>
      </c>
    </row>
    <row r="323" spans="1:7">
      <c r="A323" s="777" t="s">
        <v>5107</v>
      </c>
      <c r="B323" s="778" t="s">
        <v>5104</v>
      </c>
      <c r="C323" s="246">
        <v>0</v>
      </c>
      <c r="D323" s="246">
        <v>0</v>
      </c>
      <c r="E323" s="246">
        <v>2</v>
      </c>
      <c r="F323" s="402" t="s">
        <v>4617</v>
      </c>
      <c r="G323" s="214" t="s">
        <v>5108</v>
      </c>
    </row>
    <row r="324" spans="1:7">
      <c r="A324" s="244" t="s">
        <v>4969</v>
      </c>
      <c r="B324" s="245" t="s">
        <v>4970</v>
      </c>
      <c r="C324" s="744">
        <v>0</v>
      </c>
      <c r="D324" s="984">
        <v>0</v>
      </c>
      <c r="E324" s="744">
        <v>1</v>
      </c>
      <c r="F324" s="402" t="s">
        <v>3529</v>
      </c>
    </row>
    <row r="325" spans="1:7">
      <c r="A325" s="244" t="s">
        <v>1715</v>
      </c>
      <c r="B325" s="778" t="s">
        <v>2622</v>
      </c>
      <c r="C325" s="246">
        <v>0</v>
      </c>
      <c r="D325" s="246">
        <v>0</v>
      </c>
      <c r="E325" s="246">
        <v>1</v>
      </c>
      <c r="F325" s="402" t="s">
        <v>3529</v>
      </c>
    </row>
    <row r="326" spans="1:7">
      <c r="A326" s="244" t="s">
        <v>3530</v>
      </c>
      <c r="B326" s="778" t="s">
        <v>2620</v>
      </c>
      <c r="C326" s="246">
        <v>0</v>
      </c>
      <c r="D326" s="246">
        <v>0</v>
      </c>
      <c r="E326" s="246">
        <v>1</v>
      </c>
      <c r="F326" s="402" t="s">
        <v>2621</v>
      </c>
    </row>
    <row r="327" spans="1:7">
      <c r="A327" s="244" t="s">
        <v>1697</v>
      </c>
      <c r="B327" s="778" t="s">
        <v>2836</v>
      </c>
      <c r="C327" s="246">
        <v>0</v>
      </c>
      <c r="D327" s="246">
        <v>0</v>
      </c>
      <c r="E327" s="246">
        <v>1</v>
      </c>
      <c r="F327" s="402" t="s">
        <v>2837</v>
      </c>
    </row>
    <row r="328" spans="1:7">
      <c r="A328" s="244" t="s">
        <v>1762</v>
      </c>
      <c r="B328" s="778" t="s">
        <v>3531</v>
      </c>
      <c r="C328" s="246">
        <v>0</v>
      </c>
      <c r="D328" s="246">
        <v>0</v>
      </c>
      <c r="E328" s="246">
        <v>1</v>
      </c>
      <c r="F328" s="402" t="s">
        <v>2627</v>
      </c>
    </row>
    <row r="329" spans="1:7">
      <c r="A329" s="244" t="s">
        <v>1722</v>
      </c>
      <c r="B329" s="245" t="s">
        <v>3111</v>
      </c>
      <c r="C329" s="246">
        <v>2</v>
      </c>
      <c r="D329" s="246">
        <v>2</v>
      </c>
      <c r="E329" s="246">
        <v>0</v>
      </c>
      <c r="F329" s="402" t="s">
        <v>2621</v>
      </c>
    </row>
    <row r="330" spans="1:7">
      <c r="A330" s="244" t="s">
        <v>1723</v>
      </c>
      <c r="B330" s="245" t="s">
        <v>3112</v>
      </c>
      <c r="C330" s="246">
        <v>2</v>
      </c>
      <c r="D330" s="246">
        <v>2</v>
      </c>
      <c r="E330" s="246">
        <v>0</v>
      </c>
      <c r="F330" s="402" t="s">
        <v>2621</v>
      </c>
    </row>
    <row r="331" spans="1:7">
      <c r="A331" s="14" t="s">
        <v>1724</v>
      </c>
      <c r="B331" s="669" t="s">
        <v>3113</v>
      </c>
      <c r="C331" s="246">
        <v>1</v>
      </c>
      <c r="D331" s="246">
        <v>1</v>
      </c>
      <c r="E331" s="246">
        <v>0</v>
      </c>
      <c r="F331" s="402" t="s">
        <v>3410</v>
      </c>
    </row>
    <row r="332" spans="1:7">
      <c r="A332" s="14" t="s">
        <v>1725</v>
      </c>
      <c r="B332" s="669" t="s">
        <v>3114</v>
      </c>
      <c r="C332" s="246">
        <v>1</v>
      </c>
      <c r="D332" s="246">
        <v>1</v>
      </c>
      <c r="E332" s="246">
        <v>0</v>
      </c>
      <c r="F332" s="402" t="s">
        <v>2621</v>
      </c>
    </row>
    <row r="333" spans="1:7">
      <c r="A333" s="689" t="s">
        <v>4685</v>
      </c>
      <c r="B333" s="669" t="s">
        <v>4689</v>
      </c>
      <c r="C333" s="246">
        <v>1</v>
      </c>
      <c r="D333" s="246">
        <v>1</v>
      </c>
      <c r="E333" s="246">
        <v>0</v>
      </c>
      <c r="F333" s="402" t="s">
        <v>4686</v>
      </c>
      <c r="G333" s="214" t="s">
        <v>4688</v>
      </c>
    </row>
    <row r="334" spans="1:7">
      <c r="A334" s="244" t="s">
        <v>1726</v>
      </c>
      <c r="B334" s="778" t="s">
        <v>3115</v>
      </c>
      <c r="C334" s="246">
        <v>1</v>
      </c>
      <c r="D334" s="246">
        <v>1</v>
      </c>
      <c r="E334" s="246">
        <v>0</v>
      </c>
      <c r="F334" s="402" t="s">
        <v>2621</v>
      </c>
    </row>
    <row r="335" spans="1:7">
      <c r="A335" s="244" t="s">
        <v>4593</v>
      </c>
      <c r="B335" s="778" t="s">
        <v>3116</v>
      </c>
      <c r="C335" s="246">
        <v>1</v>
      </c>
      <c r="D335" s="246">
        <v>1</v>
      </c>
      <c r="E335" s="246">
        <v>0</v>
      </c>
      <c r="F335" s="402" t="s">
        <v>4617</v>
      </c>
    </row>
    <row r="336" spans="1:7">
      <c r="A336" s="244" t="s">
        <v>3108</v>
      </c>
      <c r="B336" s="778" t="s">
        <v>1852</v>
      </c>
      <c r="C336" s="246">
        <v>3</v>
      </c>
      <c r="D336" s="246">
        <v>3</v>
      </c>
      <c r="E336" s="246">
        <v>0</v>
      </c>
      <c r="F336" s="402" t="s">
        <v>3529</v>
      </c>
      <c r="G336" s="214" t="s">
        <v>5111</v>
      </c>
    </row>
    <row r="337" spans="1:7">
      <c r="A337" s="244" t="s">
        <v>3109</v>
      </c>
      <c r="B337" s="778" t="s">
        <v>1853</v>
      </c>
      <c r="C337" s="246">
        <v>2</v>
      </c>
      <c r="D337" s="246">
        <v>2</v>
      </c>
      <c r="E337" s="246">
        <v>0</v>
      </c>
      <c r="F337" s="402" t="s">
        <v>2621</v>
      </c>
      <c r="G337" s="214" t="s">
        <v>5112</v>
      </c>
    </row>
    <row r="338" spans="1:7">
      <c r="A338" s="777" t="s">
        <v>5081</v>
      </c>
      <c r="B338" s="778" t="s">
        <v>5103</v>
      </c>
      <c r="C338" s="246">
        <v>1</v>
      </c>
      <c r="D338" s="246">
        <v>1</v>
      </c>
      <c r="E338" s="246">
        <v>0</v>
      </c>
      <c r="F338" s="402" t="s">
        <v>4617</v>
      </c>
      <c r="G338" s="214" t="s">
        <v>5113</v>
      </c>
    </row>
    <row r="339" spans="1:7">
      <c r="A339" s="777" t="s">
        <v>5109</v>
      </c>
      <c r="B339" s="778" t="s">
        <v>5105</v>
      </c>
      <c r="C339" s="246">
        <v>2</v>
      </c>
      <c r="D339" s="246">
        <v>2</v>
      </c>
      <c r="E339" s="246">
        <v>0</v>
      </c>
      <c r="F339" s="402" t="s">
        <v>4617</v>
      </c>
      <c r="G339" s="214" t="s">
        <v>5108</v>
      </c>
    </row>
    <row r="340" spans="1:7">
      <c r="A340" s="244" t="s">
        <v>4971</v>
      </c>
      <c r="B340" s="245" t="s">
        <v>4972</v>
      </c>
      <c r="C340" s="744">
        <v>1</v>
      </c>
      <c r="D340" s="984">
        <v>1</v>
      </c>
      <c r="E340" s="744">
        <v>0</v>
      </c>
      <c r="F340" s="402" t="s">
        <v>3529</v>
      </c>
    </row>
    <row r="341" spans="1:7">
      <c r="A341" s="244" t="s">
        <v>3110</v>
      </c>
      <c r="B341" s="217" t="s">
        <v>3534</v>
      </c>
      <c r="C341" s="246">
        <v>1</v>
      </c>
      <c r="D341" s="246">
        <v>1</v>
      </c>
      <c r="E341" s="246">
        <v>0</v>
      </c>
      <c r="F341" s="402" t="s">
        <v>3529</v>
      </c>
    </row>
    <row r="342" spans="1:7">
      <c r="A342" s="244" t="s">
        <v>3532</v>
      </c>
      <c r="B342" s="217" t="s">
        <v>3533</v>
      </c>
      <c r="C342" s="246">
        <v>1</v>
      </c>
      <c r="D342" s="246">
        <v>1</v>
      </c>
      <c r="E342" s="246">
        <v>0</v>
      </c>
      <c r="F342" s="402" t="s">
        <v>2621</v>
      </c>
    </row>
    <row r="343" spans="1:7">
      <c r="A343" s="244" t="s">
        <v>11</v>
      </c>
      <c r="B343" s="217" t="s">
        <v>12</v>
      </c>
      <c r="C343" s="246">
        <v>1</v>
      </c>
      <c r="D343" s="246">
        <v>1</v>
      </c>
      <c r="E343" s="246">
        <v>0</v>
      </c>
      <c r="F343" s="402" t="s">
        <v>2837</v>
      </c>
    </row>
    <row r="344" spans="1:7" ht="14" thickBot="1">
      <c r="A344" s="247" t="s">
        <v>1763</v>
      </c>
      <c r="B344" s="218" t="s">
        <v>3535</v>
      </c>
      <c r="C344" s="248">
        <v>1</v>
      </c>
      <c r="D344" s="248">
        <v>1</v>
      </c>
      <c r="E344" s="248">
        <v>0</v>
      </c>
      <c r="F344" s="403" t="s">
        <v>2627</v>
      </c>
    </row>
    <row r="346" spans="1:7">
      <c r="A346" s="983" t="s">
        <v>5460</v>
      </c>
    </row>
    <row r="347" spans="1:7">
      <c r="A347" s="214" t="s">
        <v>3006</v>
      </c>
      <c r="E347" s="214"/>
    </row>
    <row r="348" spans="1:7" ht="14" thickBot="1">
      <c r="A348" s="242" t="s">
        <v>3007</v>
      </c>
    </row>
    <row r="349" spans="1:7">
      <c r="A349" s="978" t="s">
        <v>3008</v>
      </c>
      <c r="B349" s="88" t="s">
        <v>3525</v>
      </c>
      <c r="C349" s="979" t="s">
        <v>3009</v>
      </c>
      <c r="D349" s="979" t="s">
        <v>3010</v>
      </c>
      <c r="E349" s="979" t="s">
        <v>3011</v>
      </c>
      <c r="F349" s="253" t="s">
        <v>3012</v>
      </c>
      <c r="G349" s="941" t="s">
        <v>1991</v>
      </c>
    </row>
    <row r="350" spans="1:7">
      <c r="A350" s="244" t="s">
        <v>1316</v>
      </c>
      <c r="B350" s="217" t="s">
        <v>1317</v>
      </c>
      <c r="C350" s="246">
        <v>1</v>
      </c>
      <c r="D350" s="246">
        <v>1</v>
      </c>
      <c r="E350" s="246">
        <v>0</v>
      </c>
      <c r="F350" s="254">
        <v>0</v>
      </c>
    </row>
    <row r="351" spans="1:7">
      <c r="A351" s="244" t="s">
        <v>2433</v>
      </c>
      <c r="B351" s="217" t="s">
        <v>2434</v>
      </c>
      <c r="C351" s="246">
        <v>0</v>
      </c>
      <c r="D351" s="246">
        <v>0</v>
      </c>
      <c r="E351" s="246">
        <v>1</v>
      </c>
      <c r="F351" s="254">
        <v>0</v>
      </c>
    </row>
    <row r="352" spans="1:7">
      <c r="A352" s="244" t="s">
        <v>3459</v>
      </c>
      <c r="B352" s="288" t="s">
        <v>3460</v>
      </c>
      <c r="C352" s="573">
        <v>0</v>
      </c>
      <c r="D352" s="644">
        <v>0</v>
      </c>
      <c r="E352" s="573">
        <v>1</v>
      </c>
      <c r="F352" s="574">
        <v>0</v>
      </c>
      <c r="G352" s="214"/>
    </row>
    <row r="353" spans="1:7">
      <c r="A353" s="244" t="s">
        <v>3461</v>
      </c>
      <c r="B353" s="288" t="s">
        <v>3462</v>
      </c>
      <c r="C353" s="573">
        <v>0</v>
      </c>
      <c r="D353" s="644">
        <v>0</v>
      </c>
      <c r="E353" s="573">
        <v>2</v>
      </c>
      <c r="F353" s="574">
        <v>1</v>
      </c>
      <c r="G353" s="214" t="s">
        <v>2436</v>
      </c>
    </row>
    <row r="354" spans="1:7">
      <c r="A354" s="244" t="s">
        <v>3463</v>
      </c>
      <c r="B354" s="288" t="s">
        <v>3464</v>
      </c>
      <c r="C354" s="573">
        <v>0</v>
      </c>
      <c r="D354" s="644">
        <v>0</v>
      </c>
      <c r="E354" s="573">
        <v>1</v>
      </c>
      <c r="F354" s="574">
        <v>0</v>
      </c>
      <c r="G354" s="214"/>
    </row>
    <row r="355" spans="1:7">
      <c r="A355" s="244" t="s">
        <v>3465</v>
      </c>
      <c r="B355" s="288" t="s">
        <v>3707</v>
      </c>
      <c r="C355" s="573">
        <v>0</v>
      </c>
      <c r="D355" s="644">
        <v>0</v>
      </c>
      <c r="E355" s="573">
        <v>2</v>
      </c>
      <c r="F355" s="574">
        <v>1</v>
      </c>
      <c r="G355" s="214" t="s">
        <v>2436</v>
      </c>
    </row>
    <row r="356" spans="1:7">
      <c r="A356" s="244" t="s">
        <v>2437</v>
      </c>
      <c r="B356" s="217" t="s">
        <v>2438</v>
      </c>
      <c r="C356" s="246">
        <v>1</v>
      </c>
      <c r="D356" s="246">
        <v>0</v>
      </c>
      <c r="E356" s="246">
        <v>0</v>
      </c>
      <c r="F356" s="254">
        <v>0</v>
      </c>
    </row>
    <row r="357" spans="1:7">
      <c r="A357" s="244" t="s">
        <v>2439</v>
      </c>
      <c r="B357" s="217" t="s">
        <v>2440</v>
      </c>
      <c r="C357" s="246">
        <v>0</v>
      </c>
      <c r="D357" s="246">
        <v>0</v>
      </c>
      <c r="E357" s="246">
        <v>1</v>
      </c>
      <c r="F357" s="254">
        <v>0</v>
      </c>
    </row>
    <row r="358" spans="1:7">
      <c r="A358" s="244" t="s">
        <v>2441</v>
      </c>
      <c r="B358" s="217" t="s">
        <v>2442</v>
      </c>
      <c r="C358" s="246">
        <v>1</v>
      </c>
      <c r="D358" s="246">
        <v>0</v>
      </c>
      <c r="E358" s="246">
        <v>0</v>
      </c>
      <c r="F358" s="254">
        <v>0</v>
      </c>
    </row>
    <row r="359" spans="1:7">
      <c r="A359" s="244" t="s">
        <v>2443</v>
      </c>
      <c r="B359" s="217" t="s">
        <v>2444</v>
      </c>
      <c r="C359" s="246">
        <v>3</v>
      </c>
      <c r="D359" s="246">
        <v>1</v>
      </c>
      <c r="E359" s="246">
        <v>0</v>
      </c>
      <c r="F359" s="254">
        <v>0</v>
      </c>
    </row>
    <row r="360" spans="1:7">
      <c r="A360" s="244" t="s">
        <v>2445</v>
      </c>
      <c r="B360" s="217" t="s">
        <v>2446</v>
      </c>
      <c r="C360" s="246">
        <v>0</v>
      </c>
      <c r="D360" s="246">
        <v>0</v>
      </c>
      <c r="E360" s="246">
        <v>1</v>
      </c>
      <c r="F360" s="254">
        <v>0</v>
      </c>
    </row>
    <row r="361" spans="1:7" ht="14" thickBot="1">
      <c r="A361" s="255" t="s">
        <v>2447</v>
      </c>
      <c r="B361" s="218" t="s">
        <v>2448</v>
      </c>
      <c r="C361" s="248">
        <v>0</v>
      </c>
      <c r="D361" s="248">
        <v>0</v>
      </c>
      <c r="E361" s="248">
        <v>1</v>
      </c>
      <c r="F361" s="256">
        <v>1</v>
      </c>
    </row>
  </sheetData>
  <phoneticPr fontId="0" type="noConversion"/>
  <dataValidations count="1">
    <dataValidation type="list" allowBlank="1" showInputMessage="1" showErrorMessage="1" sqref="C60" xr:uid="{00000000-0002-0000-0500-000001000000}">
      <formula1>"25%,50%"</formula1>
    </dataValidation>
  </dataValidations>
  <hyperlinks>
    <hyperlink ref="A28" location="valve_table" display="See the Valve Table at the bottom of this page for additional assumptions relating to valves" xr:uid="{00000000-0004-0000-0500-000000000000}"/>
    <hyperlink ref="A287" location="port_table" display="See the I/O Port Table at the bottom of this page for additional assumptions relating to system controls" xr:uid="{00000000-0004-0000-0500-000001000000}"/>
  </hyperlinks>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1"/>
  <dimension ref="A1:AJ290"/>
  <sheetViews>
    <sheetView zoomScale="85" zoomScaleNormal="85" workbookViewId="0">
      <pane ySplit="3" topLeftCell="A129" activePane="bottomLeft" state="frozen"/>
      <selection pane="bottomLeft" activeCell="J178" sqref="J178"/>
    </sheetView>
  </sheetViews>
  <sheetFormatPr baseColWidth="10" defaultColWidth="8.83203125" defaultRowHeight="13"/>
  <cols>
    <col min="1" max="1" width="13.83203125" customWidth="1"/>
    <col min="2" max="2" width="37.1640625" customWidth="1"/>
    <col min="3" max="3" width="24.5" style="3" bestFit="1" customWidth="1"/>
    <col min="4" max="4" width="24.5" style="3" customWidth="1"/>
    <col min="5" max="5" width="12.5" customWidth="1"/>
    <col min="6" max="6" width="10.5" customWidth="1"/>
    <col min="7" max="7" width="10.5" style="69" customWidth="1"/>
    <col min="8" max="11" width="10.5" customWidth="1"/>
    <col min="14" max="20" width="10.5" customWidth="1"/>
    <col min="23" max="29" width="10.5" customWidth="1"/>
  </cols>
  <sheetData>
    <row r="1" spans="1:7">
      <c r="A1" s="1" t="s">
        <v>5471</v>
      </c>
      <c r="G1" s="70"/>
    </row>
    <row r="2" spans="1:7">
      <c r="B2" s="1"/>
      <c r="G2" s="70"/>
    </row>
    <row r="3" spans="1:7">
      <c r="A3" s="235" t="s">
        <v>5451</v>
      </c>
      <c r="B3" s="235" t="s">
        <v>5172</v>
      </c>
      <c r="C3" s="236" t="s">
        <v>1989</v>
      </c>
      <c r="D3" s="237" t="s">
        <v>1990</v>
      </c>
      <c r="E3" s="236" t="s">
        <v>2961</v>
      </c>
      <c r="F3" s="236" t="s">
        <v>1991</v>
      </c>
      <c r="G3" s="70"/>
    </row>
    <row r="4" spans="1:7">
      <c r="B4" s="1" t="s">
        <v>3325</v>
      </c>
      <c r="G4" s="70"/>
    </row>
    <row r="5" spans="1:7">
      <c r="B5" s="2" t="s">
        <v>3602</v>
      </c>
      <c r="G5" s="70"/>
    </row>
    <row r="6" spans="1:7">
      <c r="B6" s="4" t="s">
        <v>2324</v>
      </c>
      <c r="C6" s="3" t="s">
        <v>2325</v>
      </c>
      <c r="D6" s="77">
        <f ca="1">MATCH(element_I,element_names,0)</f>
        <v>8</v>
      </c>
      <c r="F6" s="70" t="s">
        <v>2326</v>
      </c>
    </row>
    <row r="7" spans="1:7">
      <c r="A7" t="s">
        <v>3327</v>
      </c>
      <c r="B7" s="4" t="s">
        <v>3408</v>
      </c>
      <c r="C7" s="3" t="s">
        <v>3409</v>
      </c>
      <c r="D7" s="92" t="str">
        <f ca="1">VLOOKUP("name",element_table,element_index+1,FALSE)</f>
        <v>8 inch Brackish Water RO</v>
      </c>
      <c r="F7" s="70"/>
    </row>
    <row r="8" spans="1:7">
      <c r="A8" t="s">
        <v>3327</v>
      </c>
      <c r="B8" t="s">
        <v>1948</v>
      </c>
      <c r="C8" s="3" t="s">
        <v>4005</v>
      </c>
      <c r="D8" s="92">
        <f ca="1">VLOOKUP("length",element_table,element_index+1,FALSE)</f>
        <v>40</v>
      </c>
      <c r="E8" t="s">
        <v>1951</v>
      </c>
      <c r="F8" s="70"/>
    </row>
    <row r="9" spans="1:7">
      <c r="A9" t="s">
        <v>3327</v>
      </c>
      <c r="B9" t="s">
        <v>1949</v>
      </c>
      <c r="C9" s="3" t="s">
        <v>4006</v>
      </c>
      <c r="D9" s="92">
        <f ca="1">VLOOKUP("diameter",element_table,element_index+1,FALSE)</f>
        <v>8</v>
      </c>
      <c r="E9" t="s">
        <v>1951</v>
      </c>
      <c r="F9" s="70"/>
    </row>
    <row r="10" spans="1:7">
      <c r="A10" t="s">
        <v>3327</v>
      </c>
      <c r="B10" t="s">
        <v>1946</v>
      </c>
      <c r="C10" s="3" t="s">
        <v>3423</v>
      </c>
      <c r="D10" s="92">
        <f ca="1">VLOOKUP("area",element_table,element_index+1,FALSE)</f>
        <v>400</v>
      </c>
      <c r="E10" t="s">
        <v>3331</v>
      </c>
      <c r="F10" s="70"/>
    </row>
    <row r="11" spans="1:7">
      <c r="A11" t="s">
        <v>3327</v>
      </c>
      <c r="B11" t="s">
        <v>3332</v>
      </c>
      <c r="C11" s="3" t="s">
        <v>3424</v>
      </c>
      <c r="D11" s="92">
        <f ca="1">VLOOKUP("A_I",element_table,element_index+1,FALSE)</f>
        <v>0.14000000000000001</v>
      </c>
      <c r="E11" t="s">
        <v>3334</v>
      </c>
      <c r="F11" s="70" t="s">
        <v>3034</v>
      </c>
    </row>
    <row r="12" spans="1:7">
      <c r="A12" t="s">
        <v>3327</v>
      </c>
      <c r="B12" t="s">
        <v>2641</v>
      </c>
      <c r="C12" s="3" t="s">
        <v>3035</v>
      </c>
      <c r="D12" s="92">
        <f ca="1">VLOOKUP("B_min_I",element_table,element_index+1,FALSE)</f>
        <v>0.1</v>
      </c>
      <c r="E12" t="s">
        <v>1950</v>
      </c>
      <c r="F12" s="70" t="s">
        <v>3036</v>
      </c>
    </row>
    <row r="13" spans="1:7">
      <c r="A13" t="s">
        <v>3327</v>
      </c>
      <c r="B13" t="s">
        <v>909</v>
      </c>
      <c r="C13" s="3" t="s">
        <v>3037</v>
      </c>
      <c r="D13" s="92">
        <f ca="1">VLOOKUP("B_max_I",element_table,element_index+1,FALSE)</f>
        <v>0.18</v>
      </c>
      <c r="E13" t="s">
        <v>1950</v>
      </c>
      <c r="F13" s="70" t="s">
        <v>911</v>
      </c>
    </row>
    <row r="14" spans="1:7">
      <c r="A14" t="s">
        <v>3327</v>
      </c>
      <c r="B14" t="s">
        <v>912</v>
      </c>
      <c r="C14" s="3" t="s">
        <v>3038</v>
      </c>
      <c r="D14" s="92">
        <f ca="1">VLOOKUP("dp_coeff_I",element_table,element_index+1,FALSE)</f>
        <v>1.7000000000000001E-2</v>
      </c>
      <c r="E14" t="s">
        <v>914</v>
      </c>
      <c r="F14" s="70" t="s">
        <v>915</v>
      </c>
    </row>
    <row r="15" spans="1:7">
      <c r="A15" t="s">
        <v>3327</v>
      </c>
      <c r="B15" t="s">
        <v>916</v>
      </c>
      <c r="C15" s="3" t="s">
        <v>3039</v>
      </c>
      <c r="D15" s="92">
        <f ca="1">VLOOKUP("dp_exp",element_table,element_index+1,FALSE)</f>
        <v>1.4</v>
      </c>
      <c r="F15" s="70"/>
    </row>
    <row r="16" spans="1:7">
      <c r="A16" t="s">
        <v>3327</v>
      </c>
      <c r="B16" t="s">
        <v>918</v>
      </c>
      <c r="C16" s="3" t="s">
        <v>3040</v>
      </c>
      <c r="D16" s="92">
        <f ca="1">VLOOKUP("A_T_coeff_lo",element_table,element_index+1,FALSE)</f>
        <v>2900</v>
      </c>
      <c r="E16" t="s">
        <v>920</v>
      </c>
      <c r="F16" s="70" t="s">
        <v>921</v>
      </c>
    </row>
    <row r="17" spans="1:6">
      <c r="A17" t="s">
        <v>3327</v>
      </c>
      <c r="B17" t="s">
        <v>922</v>
      </c>
      <c r="C17" s="3" t="s">
        <v>3041</v>
      </c>
      <c r="D17" s="92">
        <f ca="1">VLOOKUP("A_T_coeff_hi",element_table,element_index+1,FALSE)</f>
        <v>2900</v>
      </c>
      <c r="E17" t="s">
        <v>920</v>
      </c>
      <c r="F17" s="70"/>
    </row>
    <row r="18" spans="1:6">
      <c r="A18" t="s">
        <v>3327</v>
      </c>
      <c r="B18" t="s">
        <v>4296</v>
      </c>
      <c r="C18" s="3" t="s">
        <v>4297</v>
      </c>
      <c r="D18" s="92">
        <f ca="1">VLOOKUP("A_P_coeff_I",element_table,element_index+1,FALSE)</f>
        <v>5.0000000000000002E-5</v>
      </c>
      <c r="E18" s="6" t="s">
        <v>1938</v>
      </c>
      <c r="F18" s="70" t="s">
        <v>4298</v>
      </c>
    </row>
    <row r="19" spans="1:6">
      <c r="A19" t="s">
        <v>3327</v>
      </c>
      <c r="B19" t="s">
        <v>4299</v>
      </c>
      <c r="C19" s="3" t="s">
        <v>4300</v>
      </c>
      <c r="D19" s="104">
        <f ca="1">VLOOKUP("A_S_coeff_I",element_table,element_index+1,FALSE)</f>
        <v>3.0000000000000001E-5</v>
      </c>
      <c r="E19" t="s">
        <v>1942</v>
      </c>
      <c r="F19" s="70" t="s">
        <v>4301</v>
      </c>
    </row>
    <row r="20" spans="1:6">
      <c r="A20" t="s">
        <v>3327</v>
      </c>
      <c r="B20" t="s">
        <v>1613</v>
      </c>
      <c r="C20" s="3" t="s">
        <v>4302</v>
      </c>
      <c r="D20" s="92">
        <f ca="1">VLOOKUP("B_T_coeff",element_table,element_index+1,FALSE)</f>
        <v>2700</v>
      </c>
      <c r="E20" t="s">
        <v>920</v>
      </c>
      <c r="F20" s="70" t="s">
        <v>921</v>
      </c>
    </row>
    <row r="21" spans="1:6">
      <c r="A21" t="s">
        <v>3327</v>
      </c>
      <c r="B21" t="s">
        <v>1615</v>
      </c>
      <c r="C21" s="3" t="s">
        <v>4303</v>
      </c>
      <c r="D21" s="92">
        <f ca="1">VLOOKUP("sal_minB",element_table,element_index+1,FALSE)</f>
        <v>500</v>
      </c>
      <c r="E21" t="s">
        <v>2263</v>
      </c>
      <c r="F21" s="70" t="s">
        <v>31</v>
      </c>
    </row>
    <row r="22" spans="1:6">
      <c r="A22" t="s">
        <v>3327</v>
      </c>
      <c r="B22" t="s">
        <v>32</v>
      </c>
      <c r="C22" s="3" t="s">
        <v>4304</v>
      </c>
      <c r="D22" s="92">
        <f ca="1">VLOOKUP("B_S_coeff_lo",element_table,element_index+1,FALSE)</f>
        <v>7.9999999999999982E-4</v>
      </c>
      <c r="E22" t="s">
        <v>34</v>
      </c>
      <c r="F22" s="70" t="s">
        <v>4305</v>
      </c>
    </row>
    <row r="23" spans="1:6">
      <c r="A23" t="s">
        <v>3327</v>
      </c>
      <c r="B23" t="s">
        <v>36</v>
      </c>
      <c r="C23" s="3" t="s">
        <v>4306</v>
      </c>
      <c r="D23" s="92">
        <f ca="1">VLOOKUP("B_S_coeff_hi",element_table,element_index+1,FALSE)</f>
        <v>1.5999999999999996E-5</v>
      </c>
      <c r="E23" t="s">
        <v>34</v>
      </c>
      <c r="F23" s="70" t="s">
        <v>38</v>
      </c>
    </row>
    <row r="24" spans="1:6">
      <c r="A24" t="s">
        <v>3327</v>
      </c>
      <c r="B24" t="s">
        <v>39</v>
      </c>
      <c r="C24" s="3" t="s">
        <v>4307</v>
      </c>
      <c r="D24" s="92">
        <f ca="1">VLOOKUP("ref_temp_I",element_table,element_index+1,FALSE)</f>
        <v>25</v>
      </c>
      <c r="E24" t="s">
        <v>41</v>
      </c>
      <c r="F24" s="70" t="s">
        <v>42</v>
      </c>
    </row>
    <row r="25" spans="1:6">
      <c r="A25" t="s">
        <v>3327</v>
      </c>
      <c r="B25" t="s">
        <v>43</v>
      </c>
      <c r="C25" s="3" t="s">
        <v>4308</v>
      </c>
      <c r="D25" s="92">
        <f ca="1">VLOOKUP("ref_tds",element_table,element_index+1,FALSE)</f>
        <v>2000</v>
      </c>
      <c r="E25" t="s">
        <v>2263</v>
      </c>
      <c r="F25" s="70" t="s">
        <v>45</v>
      </c>
    </row>
    <row r="26" spans="1:6">
      <c r="A26" t="s">
        <v>3327</v>
      </c>
      <c r="B26" t="s">
        <v>4309</v>
      </c>
      <c r="C26" s="3" t="s">
        <v>3975</v>
      </c>
      <c r="D26" s="92">
        <f ca="1">VLOOKUP("beta_coeff",element_table,element_index+1,FALSE)</f>
        <v>0.9</v>
      </c>
      <c r="F26" s="70" t="s">
        <v>31</v>
      </c>
    </row>
    <row r="27" spans="1:6">
      <c r="A27" t="s">
        <v>3327</v>
      </c>
      <c r="B27" t="s">
        <v>48</v>
      </c>
      <c r="C27" s="3" t="s">
        <v>3976</v>
      </c>
      <c r="D27" s="92" t="str">
        <f ca="1">VLOOKUP("type",element_table,element_index+1,FALSE)</f>
        <v>RO</v>
      </c>
      <c r="F27" s="70" t="s">
        <v>64</v>
      </c>
    </row>
    <row r="28" spans="1:6">
      <c r="A28" t="s">
        <v>65</v>
      </c>
      <c r="B28" t="s">
        <v>984</v>
      </c>
      <c r="C28" s="3" t="s">
        <v>985</v>
      </c>
      <c r="D28" s="51">
        <f ca="1">IF(sys_element_type="RO",recov_min_ro,recov_min_nf)</f>
        <v>0.5</v>
      </c>
      <c r="F28" s="70"/>
    </row>
    <row r="29" spans="1:6">
      <c r="A29" t="s">
        <v>65</v>
      </c>
      <c r="B29" t="s">
        <v>983</v>
      </c>
      <c r="C29" s="3" t="s">
        <v>986</v>
      </c>
      <c r="D29" s="51">
        <f ca="1">IF(sys_element_type="RO",recov_max_ro,recov_max_nf)</f>
        <v>0.85</v>
      </c>
      <c r="F29" s="70"/>
    </row>
    <row r="30" spans="1:6">
      <c r="D30" s="5"/>
      <c r="F30" s="70"/>
    </row>
    <row r="31" spans="1:6">
      <c r="B31" s="33" t="s">
        <v>4338</v>
      </c>
      <c r="D31" s="5"/>
      <c r="F31" s="70"/>
    </row>
    <row r="32" spans="1:6">
      <c r="A32" t="s">
        <v>3327</v>
      </c>
      <c r="B32" t="s">
        <v>1031</v>
      </c>
      <c r="C32" s="3" t="s">
        <v>1034</v>
      </c>
      <c r="D32" s="92">
        <f ca="1">VLOOKUP("max_P_feed_I",element_table,element_index+1,FALSE)</f>
        <v>600</v>
      </c>
      <c r="E32" t="s">
        <v>3749</v>
      </c>
      <c r="F32" s="72"/>
    </row>
    <row r="33" spans="1:6">
      <c r="A33" t="s">
        <v>3327</v>
      </c>
      <c r="B33" t="s">
        <v>1032</v>
      </c>
      <c r="C33" s="3" t="s">
        <v>1033</v>
      </c>
      <c r="D33" s="105">
        <f ca="1">VLOOKUP("max_recovery",element_table,element_index+1,FALSE)</f>
        <v>0.17</v>
      </c>
      <c r="F33" s="72"/>
    </row>
    <row r="34" spans="1:6">
      <c r="A34" t="s">
        <v>3327</v>
      </c>
      <c r="B34" t="s">
        <v>3750</v>
      </c>
      <c r="C34" s="3" t="s">
        <v>3751</v>
      </c>
      <c r="D34" s="92">
        <f ca="1">VLOOKUP("max_feed_flow_I",element_table,element_index+1,FALSE)</f>
        <v>75</v>
      </c>
      <c r="E34" t="s">
        <v>2193</v>
      </c>
      <c r="F34" s="72"/>
    </row>
    <row r="35" spans="1:6">
      <c r="A35" t="s">
        <v>3327</v>
      </c>
      <c r="B35" t="s">
        <v>1035</v>
      </c>
      <c r="C35" s="3" t="s">
        <v>3752</v>
      </c>
      <c r="D35" s="92">
        <f ca="1">VLOOKUP("min_conc_flow_I",element_table,element_index+1,FALSE)</f>
        <v>12</v>
      </c>
      <c r="E35" t="s">
        <v>2193</v>
      </c>
      <c r="F35" s="72"/>
    </row>
    <row r="36" spans="1:6">
      <c r="A36" t="s">
        <v>3327</v>
      </c>
      <c r="B36" t="s">
        <v>3759</v>
      </c>
      <c r="C36" s="3" t="s">
        <v>3760</v>
      </c>
      <c r="D36" s="92">
        <f ca="1">VLOOKUP("max_feed_SDI",element_table,element_index+1,FALSE)</f>
        <v>5</v>
      </c>
      <c r="E36" t="s">
        <v>3761</v>
      </c>
      <c r="F36" s="72"/>
    </row>
    <row r="37" spans="1:6">
      <c r="A37" t="s">
        <v>3327</v>
      </c>
      <c r="B37" t="s">
        <v>508</v>
      </c>
      <c r="C37" s="3" t="s">
        <v>507</v>
      </c>
      <c r="D37" s="92">
        <f ca="1">VLOOKUP("min_feed_pH",element_table,element_index+1,FALSE)</f>
        <v>3</v>
      </c>
      <c r="E37" t="s">
        <v>506</v>
      </c>
      <c r="F37" s="72"/>
    </row>
    <row r="38" spans="1:6">
      <c r="A38" t="s">
        <v>3327</v>
      </c>
      <c r="B38" t="s">
        <v>3753</v>
      </c>
      <c r="C38" s="3" t="s">
        <v>3754</v>
      </c>
      <c r="D38" s="92">
        <f ca="1">VLOOKUP("max_temp",element_table,element_index+1,FALSE)</f>
        <v>45</v>
      </c>
      <c r="E38" t="s">
        <v>41</v>
      </c>
      <c r="F38" s="72"/>
    </row>
    <row r="39" spans="1:6">
      <c r="A39" t="s">
        <v>3327</v>
      </c>
      <c r="B39" t="s">
        <v>3755</v>
      </c>
      <c r="C39" s="3" t="s">
        <v>3757</v>
      </c>
      <c r="D39" s="92">
        <f ca="1">VLOOKUP("max_deltaP_el_I",element_table,element_index+1,FALSE)</f>
        <v>10</v>
      </c>
      <c r="E39" t="s">
        <v>3749</v>
      </c>
      <c r="F39" s="72"/>
    </row>
    <row r="40" spans="1:6">
      <c r="A40" t="s">
        <v>3327</v>
      </c>
      <c r="B40" t="s">
        <v>3756</v>
      </c>
      <c r="C40" s="3" t="s">
        <v>3758</v>
      </c>
      <c r="D40" s="92">
        <f ca="1">VLOOKUP("max_deltaP_ves_I",element_table,element_index+1,FALSE)</f>
        <v>50</v>
      </c>
      <c r="E40" t="s">
        <v>3749</v>
      </c>
      <c r="F40" s="72"/>
    </row>
    <row r="41" spans="1:6">
      <c r="D41" s="5"/>
      <c r="F41" s="72"/>
    </row>
    <row r="42" spans="1:6">
      <c r="B42" t="s">
        <v>3084</v>
      </c>
      <c r="D42"/>
      <c r="F42" s="70" t="s">
        <v>3085</v>
      </c>
    </row>
    <row r="43" spans="1:6">
      <c r="B43" s="8" t="s">
        <v>3814</v>
      </c>
      <c r="C43" s="3" t="s">
        <v>3086</v>
      </c>
      <c r="D43" s="92">
        <f t="array" aca="1" ref="D43:D55" ca="1">IF(sys_element_type="RO",ion_conc_pol_coeffs_ro,IF(sys_element_type="NF",ion_conc_pol_coeffs_nf,1))</f>
        <v>0.25</v>
      </c>
      <c r="F43" s="72"/>
    </row>
    <row r="44" spans="1:6">
      <c r="B44" s="8" t="s">
        <v>3816</v>
      </c>
      <c r="D44" s="92">
        <f ca="1"/>
        <v>0.25</v>
      </c>
      <c r="F44" s="72"/>
    </row>
    <row r="45" spans="1:6">
      <c r="B45" s="8" t="s">
        <v>72</v>
      </c>
      <c r="D45" s="92">
        <f ca="1"/>
        <v>1</v>
      </c>
      <c r="F45" s="72"/>
    </row>
    <row r="46" spans="1:6">
      <c r="B46" s="8" t="s">
        <v>3818</v>
      </c>
      <c r="D46" s="92">
        <f ca="1"/>
        <v>1.3</v>
      </c>
      <c r="F46" s="72"/>
    </row>
    <row r="47" spans="1:6">
      <c r="B47" s="8" t="s">
        <v>3253</v>
      </c>
      <c r="D47" s="92">
        <f ca="1"/>
        <v>0.25</v>
      </c>
      <c r="F47" s="72"/>
    </row>
    <row r="48" spans="1:6">
      <c r="B48" s="8" t="s">
        <v>3254</v>
      </c>
      <c r="D48" s="92">
        <f ca="1"/>
        <v>0.25</v>
      </c>
      <c r="F48" s="72"/>
    </row>
    <row r="49" spans="1:6">
      <c r="B49" s="8" t="s">
        <v>3817</v>
      </c>
      <c r="D49" s="92">
        <f ca="1"/>
        <v>1</v>
      </c>
      <c r="F49" s="72"/>
    </row>
    <row r="50" spans="1:6">
      <c r="B50" s="8" t="s">
        <v>3815</v>
      </c>
      <c r="D50" s="92">
        <f ca="1"/>
        <v>0.25</v>
      </c>
      <c r="F50" s="72"/>
    </row>
    <row r="51" spans="1:6">
      <c r="B51" s="8" t="s">
        <v>1542</v>
      </c>
      <c r="D51" s="92">
        <f ca="1"/>
        <v>1</v>
      </c>
      <c r="F51" s="72"/>
    </row>
    <row r="52" spans="1:6">
      <c r="B52" s="8" t="s">
        <v>3813</v>
      </c>
      <c r="D52" s="92">
        <f ca="1"/>
        <v>0.25</v>
      </c>
      <c r="F52" s="72"/>
    </row>
    <row r="53" spans="1:6">
      <c r="B53" s="8" t="s">
        <v>2930</v>
      </c>
      <c r="D53" s="92">
        <f ca="1"/>
        <v>0.7</v>
      </c>
      <c r="F53" s="72"/>
    </row>
    <row r="54" spans="1:6">
      <c r="B54" s="8" t="s">
        <v>1944</v>
      </c>
      <c r="D54" s="92">
        <f ca="1"/>
        <v>0.75</v>
      </c>
      <c r="F54" s="72"/>
    </row>
    <row r="55" spans="1:6">
      <c r="B55" s="8" t="s">
        <v>3243</v>
      </c>
      <c r="D55" s="92">
        <f ca="1"/>
        <v>0</v>
      </c>
      <c r="F55" s="72"/>
    </row>
    <row r="56" spans="1:6">
      <c r="D56"/>
      <c r="F56" s="70"/>
    </row>
    <row r="57" spans="1:6">
      <c r="B57" s="2" t="s">
        <v>3077</v>
      </c>
      <c r="D57"/>
      <c r="F57" s="69"/>
    </row>
    <row r="58" spans="1:6">
      <c r="B58" t="s">
        <v>69</v>
      </c>
      <c r="D58"/>
      <c r="F58" s="69"/>
    </row>
    <row r="59" spans="1:6">
      <c r="A59" t="s">
        <v>70</v>
      </c>
      <c r="B59" s="8" t="s">
        <v>3814</v>
      </c>
      <c r="C59" s="3" t="s">
        <v>3977</v>
      </c>
      <c r="D59" s="106">
        <f t="array" aca="1" ref="D59:D71" ca="1">tfeed_ppm_bal</f>
        <v>275.05361098139338</v>
      </c>
      <c r="E59" t="s">
        <v>2263</v>
      </c>
      <c r="F59" s="69"/>
    </row>
    <row r="60" spans="1:6">
      <c r="A60" t="s">
        <v>70</v>
      </c>
      <c r="B60" s="8" t="s">
        <v>3816</v>
      </c>
      <c r="D60" s="106">
        <f ca="1"/>
        <v>25.00487372558122</v>
      </c>
      <c r="E60" t="s">
        <v>2263</v>
      </c>
      <c r="F60" s="69"/>
    </row>
    <row r="61" spans="1:6">
      <c r="A61" t="s">
        <v>70</v>
      </c>
      <c r="B61" s="8" t="s">
        <v>72</v>
      </c>
      <c r="D61" s="106">
        <f ca="1"/>
        <v>589.11482497469342</v>
      </c>
      <c r="E61" t="s">
        <v>2263</v>
      </c>
      <c r="F61" s="69"/>
    </row>
    <row r="62" spans="1:6">
      <c r="A62" t="s">
        <v>70</v>
      </c>
      <c r="B62" s="8" t="s">
        <v>3818</v>
      </c>
      <c r="D62" s="106">
        <f ca="1"/>
        <v>3.0005848470697458</v>
      </c>
      <c r="E62" t="s">
        <v>2263</v>
      </c>
      <c r="F62" s="69"/>
    </row>
    <row r="63" spans="1:6">
      <c r="A63" t="s">
        <v>70</v>
      </c>
      <c r="B63" s="8" t="s">
        <v>3253</v>
      </c>
      <c r="D63" s="106">
        <f ca="1"/>
        <v>5.0009747451162434E-2</v>
      </c>
      <c r="E63" t="s">
        <v>2263</v>
      </c>
      <c r="F63" s="69"/>
    </row>
    <row r="64" spans="1:6">
      <c r="A64" t="s">
        <v>70</v>
      </c>
      <c r="B64" s="8" t="s">
        <v>3254</v>
      </c>
      <c r="D64" s="106">
        <f ca="1"/>
        <v>1.0001949490232487</v>
      </c>
      <c r="E64" t="s">
        <v>2263</v>
      </c>
      <c r="F64" s="69"/>
    </row>
    <row r="65" spans="1:6">
      <c r="A65" t="s">
        <v>70</v>
      </c>
      <c r="B65" s="8" t="s">
        <v>3817</v>
      </c>
      <c r="D65" s="106">
        <f ca="1"/>
        <v>75.877192617390619</v>
      </c>
      <c r="E65" t="s">
        <v>2263</v>
      </c>
      <c r="F65" s="69"/>
    </row>
    <row r="66" spans="1:6">
      <c r="A66" t="s">
        <v>70</v>
      </c>
      <c r="B66" s="8" t="s">
        <v>3815</v>
      </c>
      <c r="D66" s="106">
        <f ca="1"/>
        <v>1.8702617065367824E-2</v>
      </c>
      <c r="E66" t="s">
        <v>2263</v>
      </c>
      <c r="F66" s="69"/>
    </row>
    <row r="67" spans="1:6">
      <c r="A67" t="s">
        <v>70</v>
      </c>
      <c r="B67" s="8" t="s">
        <v>1542</v>
      </c>
      <c r="D67" s="106">
        <f ca="1"/>
        <v>899.82461426163309</v>
      </c>
      <c r="E67" t="s">
        <v>2263</v>
      </c>
      <c r="F67" s="69"/>
    </row>
    <row r="68" spans="1:6">
      <c r="A68" t="s">
        <v>70</v>
      </c>
      <c r="B68" s="8" t="s">
        <v>3813</v>
      </c>
      <c r="D68" s="106">
        <f ca="1"/>
        <v>713.96292417367795</v>
      </c>
      <c r="E68" t="s">
        <v>2263</v>
      </c>
      <c r="F68" s="69"/>
    </row>
    <row r="69" spans="1:6">
      <c r="A69" t="s">
        <v>70</v>
      </c>
      <c r="B69" s="8" t="s">
        <v>2930</v>
      </c>
      <c r="D69" s="106">
        <f ca="1"/>
        <v>0.29994153808721102</v>
      </c>
      <c r="E69" t="s">
        <v>2263</v>
      </c>
      <c r="F69" s="69"/>
    </row>
    <row r="70" spans="1:6">
      <c r="A70" t="s">
        <v>70</v>
      </c>
      <c r="B70" s="8" t="s">
        <v>1944</v>
      </c>
      <c r="D70" s="106">
        <f ca="1"/>
        <v>5</v>
      </c>
      <c r="E70" t="s">
        <v>2263</v>
      </c>
      <c r="F70" s="69"/>
    </row>
    <row r="71" spans="1:6">
      <c r="A71" t="s">
        <v>70</v>
      </c>
      <c r="B71" s="8" t="s">
        <v>3243</v>
      </c>
      <c r="C71" s="3" t="s">
        <v>275</v>
      </c>
      <c r="D71" s="106">
        <f ca="1"/>
        <v>37.821971047807097</v>
      </c>
      <c r="E71" t="s">
        <v>2263</v>
      </c>
      <c r="F71" s="69"/>
    </row>
    <row r="72" spans="1:6">
      <c r="B72" s="8"/>
      <c r="D72" s="77"/>
      <c r="F72" s="69"/>
    </row>
    <row r="73" spans="1:6">
      <c r="B73" s="2" t="s">
        <v>73</v>
      </c>
      <c r="D73" s="77"/>
      <c r="F73" s="69"/>
    </row>
    <row r="74" spans="1:6">
      <c r="B74" s="4" t="s">
        <v>2970</v>
      </c>
      <c r="C74" s="3" t="s">
        <v>2971</v>
      </c>
      <c r="D74" s="106">
        <f ca="1">(max_deltaP_el_I/sys_element_dp_coeff_I)^(1/sys_element_dp_exp)</f>
        <v>95.115385065148544</v>
      </c>
      <c r="E74" t="s">
        <v>2193</v>
      </c>
      <c r="F74" s="70" t="s">
        <v>2972</v>
      </c>
    </row>
    <row r="75" spans="1:6">
      <c r="B75" s="14"/>
      <c r="D75" s="5"/>
      <c r="F75" s="69"/>
    </row>
    <row r="76" spans="1:6">
      <c r="B76" s="49" t="s">
        <v>3371</v>
      </c>
      <c r="D76"/>
      <c r="E76" s="7"/>
      <c r="F76" s="69"/>
    </row>
    <row r="77" spans="1:6">
      <c r="B77" s="14" t="s">
        <v>3372</v>
      </c>
      <c r="C77" s="3" t="s">
        <v>3373</v>
      </c>
      <c r="D77" s="61">
        <v>0.7</v>
      </c>
      <c r="F77" s="69"/>
    </row>
    <row r="78" spans="1:6">
      <c r="B78" s="14" t="s">
        <v>3374</v>
      </c>
      <c r="C78" s="3" t="s">
        <v>3375</v>
      </c>
      <c r="D78" s="62">
        <v>1E-4</v>
      </c>
      <c r="F78" s="70" t="s">
        <v>3407</v>
      </c>
    </row>
    <row r="79" spans="1:6">
      <c r="B79" s="14"/>
      <c r="D79"/>
      <c r="F79" s="70"/>
    </row>
    <row r="80" spans="1:6">
      <c r="B80" s="1" t="s">
        <v>3376</v>
      </c>
      <c r="D80"/>
      <c r="F80" s="69"/>
    </row>
    <row r="81" spans="2:6">
      <c r="B81" t="s">
        <v>3643</v>
      </c>
      <c r="C81" s="3" t="s">
        <v>3642</v>
      </c>
      <c r="D81" t="b">
        <v>0</v>
      </c>
      <c r="F81" s="69"/>
    </row>
    <row r="82" spans="2:6">
      <c r="B82" s="4" t="s">
        <v>3377</v>
      </c>
      <c r="C82" s="3" t="s">
        <v>3378</v>
      </c>
      <c r="D82" s="50" t="s">
        <v>6507</v>
      </c>
      <c r="F82" s="69"/>
    </row>
    <row r="83" spans="2:6">
      <c r="B83" t="s">
        <v>3979</v>
      </c>
      <c r="C83" s="3" t="s">
        <v>3379</v>
      </c>
      <c r="D83" s="77">
        <v>2</v>
      </c>
      <c r="F83" s="69"/>
    </row>
    <row r="84" spans="2:6">
      <c r="B84" t="s">
        <v>3380</v>
      </c>
      <c r="C84" s="3" t="s">
        <v>3381</v>
      </c>
      <c r="D84" s="108" t="s">
        <v>6509</v>
      </c>
      <c r="F84" s="69"/>
    </row>
    <row r="85" spans="2:6">
      <c r="B85" t="s">
        <v>3382</v>
      </c>
      <c r="C85" s="3" t="s">
        <v>3383</v>
      </c>
      <c r="D85" s="108"/>
      <c r="F85" s="69"/>
    </row>
    <row r="86" spans="2:6">
      <c r="B86" t="s">
        <v>3980</v>
      </c>
      <c r="C86" s="3" t="s">
        <v>3384</v>
      </c>
      <c r="D86" s="77">
        <v>25</v>
      </c>
      <c r="F86" s="69"/>
    </row>
    <row r="87" spans="2:6">
      <c r="B87" t="s">
        <v>3385</v>
      </c>
      <c r="C87" s="3" t="s">
        <v>3386</v>
      </c>
      <c r="D87" s="77">
        <v>13</v>
      </c>
      <c r="F87" s="69"/>
    </row>
    <row r="88" spans="2:6">
      <c r="B88" t="s">
        <v>3387</v>
      </c>
      <c r="C88" s="3" t="s">
        <v>3388</v>
      </c>
      <c r="D88" s="77"/>
      <c r="F88" s="69"/>
    </row>
    <row r="89" spans="2:6">
      <c r="B89" t="s">
        <v>77</v>
      </c>
      <c r="C89" s="3" t="s">
        <v>3389</v>
      </c>
      <c r="D89" s="109">
        <f>stg_1 feed_flow_v * num_vess_1_out</f>
        <v>996.29629629629528</v>
      </c>
      <c r="E89" t="s">
        <v>2193</v>
      </c>
      <c r="F89" s="69"/>
    </row>
    <row r="90" spans="2:6">
      <c r="B90" t="s">
        <v>3401</v>
      </c>
      <c r="C90" s="3" t="s">
        <v>3390</v>
      </c>
      <c r="D90" s="109">
        <f>stg_2 conc_flow_v * num_vess_2_out</f>
        <v>243.307817391257</v>
      </c>
      <c r="E90" t="s">
        <v>2193</v>
      </c>
      <c r="F90" s="69"/>
    </row>
    <row r="91" spans="2:6">
      <c r="B91" t="s">
        <v>1945</v>
      </c>
      <c r="C91" s="3" t="s">
        <v>3949</v>
      </c>
      <c r="D91" s="109">
        <f>feed_flow_sys-conc_flow_sys</f>
        <v>752.98847890503828</v>
      </c>
      <c r="E91" t="s">
        <v>2193</v>
      </c>
      <c r="F91" s="69"/>
    </row>
    <row r="92" spans="2:6">
      <c r="B92" t="s">
        <v>1586</v>
      </c>
      <c r="C92" s="3" t="s">
        <v>4173</v>
      </c>
      <c r="D92" s="110">
        <f>perm_flow_sys/feed_flow_sys</f>
        <v>0.75578769258126599</v>
      </c>
      <c r="F92" s="69"/>
    </row>
    <row r="93" spans="2:6">
      <c r="B93" t="s">
        <v>3346</v>
      </c>
      <c r="C93" s="3" t="s">
        <v>3950</v>
      </c>
      <c r="D93" s="109">
        <f>stg_1 feed_tds_v</f>
        <v>2588.2074744330666</v>
      </c>
      <c r="E93" t="s">
        <v>2263</v>
      </c>
      <c r="F93" s="69"/>
    </row>
    <row r="94" spans="2:6">
      <c r="B94" t="s">
        <v>1190</v>
      </c>
      <c r="C94" s="3" t="s">
        <v>3951</v>
      </c>
      <c r="D94" s="109">
        <f>(feed_tds_sys*feed_flow_sys-conc_tds_sys*conc_flow_sys)/perm_flow_sys</f>
        <v>25.509280207183149</v>
      </c>
      <c r="E94" t="s">
        <v>2263</v>
      </c>
      <c r="F94" s="69"/>
    </row>
    <row r="95" spans="2:6">
      <c r="B95" t="s">
        <v>1086</v>
      </c>
      <c r="C95" s="3" t="s">
        <v>1087</v>
      </c>
      <c r="D95" s="109">
        <f ca="1">perm_tds_sys-D120/2</f>
        <v>24.984063423653037</v>
      </c>
      <c r="E95" t="s">
        <v>2263</v>
      </c>
      <c r="F95" s="69"/>
    </row>
    <row r="96" spans="2:6">
      <c r="B96" t="s">
        <v>2855</v>
      </c>
      <c r="C96" s="3" t="s">
        <v>3952</v>
      </c>
      <c r="D96" s="109">
        <f>stg_2 conc_tds_v</f>
        <v>10519.240007020231</v>
      </c>
      <c r="E96" t="s">
        <v>2263</v>
      </c>
      <c r="F96" s="69"/>
    </row>
    <row r="97" spans="2:6">
      <c r="B97" t="s">
        <v>1947</v>
      </c>
      <c r="C97" s="3" t="s">
        <v>3953</v>
      </c>
      <c r="D97" s="111">
        <f>1-perm_tds_sys/feed_tds_sys</f>
        <v>0.99014403580115973</v>
      </c>
      <c r="F97" s="69"/>
    </row>
    <row r="98" spans="2:6">
      <c r="B98" t="s">
        <v>0</v>
      </c>
      <c r="C98" s="3" t="s">
        <v>1</v>
      </c>
      <c r="D98" s="112" t="str">
        <f>CHOOSE(num_stages_out,"1 stage",stage_1_2_ratio,num_vess_1_out&amp;":"&amp;num_vess_2_out&amp;":"&amp;num_vess_3_out)</f>
        <v>25:13</v>
      </c>
      <c r="F98" s="69"/>
    </row>
    <row r="99" spans="2:6">
      <c r="B99" t="s">
        <v>4381</v>
      </c>
      <c r="C99" s="3" t="s">
        <v>4379</v>
      </c>
      <c r="D99" s="77">
        <f>CHOOSE(num_stages_out,num_vess_1_out,num_vess_1_out+num_vess_2_out,num_vess_1_out+num_vess_2_out+num_vess_3_out)</f>
        <v>38</v>
      </c>
      <c r="F99" s="69"/>
    </row>
    <row r="100" spans="2:6">
      <c r="B100" t="s">
        <v>4382</v>
      </c>
      <c r="C100" s="3" t="s">
        <v>4380</v>
      </c>
      <c r="D100" s="77">
        <f ca="1">PVs_per_train_calc*el_per_vess</f>
        <v>228</v>
      </c>
      <c r="F100" s="69"/>
    </row>
    <row r="101" spans="2:6">
      <c r="B101" t="s">
        <v>4383</v>
      </c>
      <c r="C101" s="3" t="s">
        <v>4384</v>
      </c>
      <c r="D101" s="98">
        <f ca="1">elements_per_train_calc*sys_element_area_I</f>
        <v>91200</v>
      </c>
      <c r="E101" t="s">
        <v>3331</v>
      </c>
      <c r="F101" s="69"/>
    </row>
    <row r="102" spans="2:6">
      <c r="D102" s="77"/>
      <c r="F102" s="69"/>
    </row>
    <row r="103" spans="2:6">
      <c r="B103" t="s">
        <v>3954</v>
      </c>
      <c r="C103" s="3" t="s">
        <v>3955</v>
      </c>
      <c r="D103" s="77">
        <f>SUM(num_iterations_out)</f>
        <v>68</v>
      </c>
      <c r="F103" s="69"/>
    </row>
    <row r="104" spans="2:6">
      <c r="D104"/>
      <c r="F104" s="69"/>
    </row>
    <row r="105" spans="2:6">
      <c r="B105" t="s">
        <v>436</v>
      </c>
      <c r="C105" s="3" t="s">
        <v>3576</v>
      </c>
      <c r="D105" s="100">
        <f>el_2_6 conc_LSI_out</f>
        <v>0.53698937626450949</v>
      </c>
      <c r="F105" s="69"/>
    </row>
    <row r="106" spans="2:6">
      <c r="B106" t="s">
        <v>1675</v>
      </c>
      <c r="C106" s="3" t="s">
        <v>3577</v>
      </c>
      <c r="D106" s="150">
        <f>el_2_6 conc_CaSO4_sat_out</f>
        <v>1.548902366060775</v>
      </c>
      <c r="F106" s="69"/>
    </row>
    <row r="107" spans="2:6">
      <c r="B107" t="s">
        <v>4189</v>
      </c>
      <c r="C107" s="3" t="s">
        <v>4191</v>
      </c>
      <c r="D107" s="150">
        <f>el_2_6 conc_BaSO4_sat_out</f>
        <v>22.221742129219081</v>
      </c>
      <c r="F107" s="69"/>
    </row>
    <row r="108" spans="2:6">
      <c r="B108" t="s">
        <v>4190</v>
      </c>
      <c r="C108" s="3" t="s">
        <v>4192</v>
      </c>
      <c r="D108" s="150">
        <f>el_2_6 conc_SrSO4_sat_out</f>
        <v>0.25598552211159958</v>
      </c>
      <c r="F108" s="69"/>
    </row>
    <row r="109" spans="2:6">
      <c r="B109" t="s">
        <v>1836</v>
      </c>
      <c r="C109" s="3" t="s">
        <v>3580</v>
      </c>
      <c r="D109" s="150">
        <f>el_2_6 conc_CaF2_sat_out</f>
        <v>0.90731210350441549</v>
      </c>
      <c r="F109" s="69"/>
    </row>
    <row r="110" spans="2:6">
      <c r="B110" t="s">
        <v>1837</v>
      </c>
      <c r="C110" s="3" t="s">
        <v>3578</v>
      </c>
      <c r="D110" s="44">
        <f ca="1">OFFSET((el_2_6 conc_conc_out),(ion_sio2 ion_offset),0,1,1)</f>
        <v>20.311316819407519</v>
      </c>
      <c r="E110" t="s">
        <v>2263</v>
      </c>
      <c r="F110" s="69"/>
    </row>
    <row r="111" spans="2:6">
      <c r="B111" t="s">
        <v>1835</v>
      </c>
      <c r="C111" s="3" t="s">
        <v>3579</v>
      </c>
      <c r="D111" s="150">
        <f>el_2_6 conc_SiO2_sat_out</f>
        <v>0.18249161562809987</v>
      </c>
      <c r="F111" s="69"/>
    </row>
    <row r="112" spans="2:6">
      <c r="D112"/>
      <c r="F112" s="69"/>
    </row>
    <row r="113" spans="2:6">
      <c r="B113" t="s">
        <v>417</v>
      </c>
      <c r="D113"/>
      <c r="F113" s="69"/>
    </row>
    <row r="114" spans="2:6" ht="12.75" customHeight="1">
      <c r="B114" s="8" t="s">
        <v>3814</v>
      </c>
      <c r="C114" s="3" t="s">
        <v>418</v>
      </c>
      <c r="D114" s="44">
        <f t="array" aca="1" ref="D114:D126" ca="1">(sys_feed_ppm*feed_flow_sys-(el_2_6 conc_conc_out)*conc_flow_sys)/perm_flow_sys</f>
        <v>0.97723238936180912</v>
      </c>
      <c r="E114" t="s">
        <v>2263</v>
      </c>
      <c r="F114" s="533">
        <f t="array" aca="1" ref="F114:F126" ca="1">perm_ion_concs/sys_feed_ppm</f>
        <v>3.5528796945258653E-3</v>
      </c>
    </row>
    <row r="115" spans="2:6" ht="12.75" customHeight="1">
      <c r="B115" s="8" t="s">
        <v>3816</v>
      </c>
      <c r="D115" s="44">
        <f ca="1"/>
        <v>8.8839308123803903E-2</v>
      </c>
      <c r="E115" t="s">
        <v>2263</v>
      </c>
      <c r="F115" s="533">
        <f ca="1"/>
        <v>3.5528796945259876E-3</v>
      </c>
    </row>
    <row r="116" spans="2:6" ht="12.75" customHeight="1">
      <c r="B116" s="8" t="s">
        <v>72</v>
      </c>
      <c r="D116" s="44">
        <f ca="1"/>
        <v>8.3414917859662836</v>
      </c>
      <c r="E116" t="s">
        <v>2263</v>
      </c>
      <c r="F116" s="533">
        <f ca="1"/>
        <v>1.4159364918926644E-2</v>
      </c>
    </row>
    <row r="117" spans="2:6" ht="12.75" customHeight="1">
      <c r="B117" s="8" t="s">
        <v>3818</v>
      </c>
      <c r="D117" s="44">
        <f ca="1"/>
        <v>5.5151165126560354E-2</v>
      </c>
      <c r="E117" t="s">
        <v>2263</v>
      </c>
      <c r="F117" s="533">
        <f ca="1"/>
        <v>1.8380138518802037E-2</v>
      </c>
    </row>
    <row r="118" spans="2:6" ht="12.75" customHeight="1">
      <c r="B118" s="8" t="s">
        <v>3253</v>
      </c>
      <c r="D118" s="44">
        <f ca="1"/>
        <v>1.7767861624762993E-4</v>
      </c>
      <c r="E118" t="s">
        <v>2263</v>
      </c>
      <c r="F118" s="533">
        <f ca="1"/>
        <v>3.5528796945264304E-3</v>
      </c>
    </row>
    <row r="119" spans="2:6" ht="12.75" customHeight="1">
      <c r="B119" s="8" t="s">
        <v>3254</v>
      </c>
      <c r="D119" s="44">
        <f ca="1"/>
        <v>3.5535723249522587E-3</v>
      </c>
      <c r="E119" t="s">
        <v>2263</v>
      </c>
      <c r="F119" s="533">
        <f ca="1"/>
        <v>3.5528796945260908E-3</v>
      </c>
    </row>
    <row r="120" spans="2:6" ht="12.75" customHeight="1">
      <c r="B120" s="8" t="s">
        <v>3817</v>
      </c>
      <c r="D120" s="44">
        <f ca="1"/>
        <v>1.0504335670602238</v>
      </c>
      <c r="E120" t="s">
        <v>2263</v>
      </c>
      <c r="F120" s="533">
        <f ca="1"/>
        <v>1.3843864418614118E-2</v>
      </c>
    </row>
    <row r="121" spans="2:6" ht="12.75" customHeight="1">
      <c r="B121" s="8" t="s">
        <v>3815</v>
      </c>
      <c r="D121" s="44">
        <f ca="1"/>
        <v>3.195891816293226E-6</v>
      </c>
      <c r="E121" t="s">
        <v>2263</v>
      </c>
      <c r="F121" s="533">
        <f ca="1"/>
        <v>1.7087939110998275E-4</v>
      </c>
    </row>
    <row r="122" spans="2:6" ht="12.75" customHeight="1">
      <c r="B122" s="8" t="s">
        <v>1542</v>
      </c>
      <c r="D122" s="44">
        <f ca="1"/>
        <v>12.457028919118422</v>
      </c>
      <c r="E122" t="s">
        <v>2263</v>
      </c>
      <c r="F122" s="533">
        <f ca="1"/>
        <v>1.3843841034889066E-2</v>
      </c>
    </row>
    <row r="123" spans="2:6" ht="12.75" customHeight="1">
      <c r="B123" s="8" t="s">
        <v>3813</v>
      </c>
      <c r="D123" s="44">
        <f ca="1"/>
        <v>2.4798948252180395</v>
      </c>
      <c r="E123" t="s">
        <v>2263</v>
      </c>
      <c r="F123" s="533">
        <f ca="1"/>
        <v>3.4734224162805164E-3</v>
      </c>
    </row>
    <row r="124" spans="2:6" ht="12.75" customHeight="1">
      <c r="B124" s="8" t="s">
        <v>2930</v>
      </c>
      <c r="D124" s="44">
        <f ca="1"/>
        <v>2.9108211022565657E-3</v>
      </c>
      <c r="E124" t="s">
        <v>2263</v>
      </c>
      <c r="F124" s="533">
        <f ca="1"/>
        <v>9.704628177942513E-3</v>
      </c>
    </row>
    <row r="125" spans="2:6" ht="12.75" customHeight="1">
      <c r="B125" s="8" t="s">
        <v>1944</v>
      </c>
      <c r="D125" s="44">
        <f ca="1"/>
        <v>5.2562979272483483E-2</v>
      </c>
      <c r="E125" t="s">
        <v>2263</v>
      </c>
      <c r="F125" s="533">
        <f ca="1"/>
        <v>1.0512595854496697E-2</v>
      </c>
    </row>
    <row r="126" spans="2:6" ht="12.75" customHeight="1">
      <c r="B126" s="8" t="s">
        <v>3243</v>
      </c>
      <c r="C126" s="3" t="s">
        <v>273</v>
      </c>
      <c r="D126" s="44">
        <f ca="1"/>
        <v>37.821998251146603</v>
      </c>
      <c r="E126" t="s">
        <v>2263</v>
      </c>
      <c r="F126" s="533">
        <f ca="1"/>
        <v>1.0000007192470077</v>
      </c>
    </row>
    <row r="127" spans="2:6">
      <c r="D127"/>
      <c r="F127" s="69"/>
    </row>
    <row r="128" spans="2:6">
      <c r="B128" t="s">
        <v>3276</v>
      </c>
      <c r="C128" s="67"/>
      <c r="D128"/>
      <c r="F128" s="69"/>
    </row>
    <row r="129" spans="2:6">
      <c r="B129" s="8" t="s">
        <v>3814</v>
      </c>
      <c r="C129" s="67" t="s">
        <v>2406</v>
      </c>
      <c r="D129" s="44">
        <f t="array" aca="1" ref="D129:D141" ca="1">(perm_ion_concs*design_flow_rate+feed_ppm_bal*bp_flow_rate)/(design_flow_rate+bp_flow_rate)</f>
        <v>0.97723238936180912</v>
      </c>
      <c r="E129" t="s">
        <v>2263</v>
      </c>
      <c r="F129" s="69"/>
    </row>
    <row r="130" spans="2:6">
      <c r="B130" s="8" t="s">
        <v>3816</v>
      </c>
      <c r="C130" s="67"/>
      <c r="D130" s="44">
        <f ca="1"/>
        <v>8.8839308123803903E-2</v>
      </c>
      <c r="E130" t="s">
        <v>2263</v>
      </c>
      <c r="F130" s="69"/>
    </row>
    <row r="131" spans="2:6">
      <c r="B131" s="8" t="s">
        <v>72</v>
      </c>
      <c r="C131" s="67"/>
      <c r="D131" s="44">
        <f ca="1"/>
        <v>8.3414917859662836</v>
      </c>
      <c r="E131" t="s">
        <v>2263</v>
      </c>
      <c r="F131" s="69"/>
    </row>
    <row r="132" spans="2:6">
      <c r="B132" s="8" t="s">
        <v>3818</v>
      </c>
      <c r="C132" s="67"/>
      <c r="D132" s="44">
        <f ca="1"/>
        <v>5.5151165126560354E-2</v>
      </c>
      <c r="E132" t="s">
        <v>2263</v>
      </c>
      <c r="F132" s="69"/>
    </row>
    <row r="133" spans="2:6">
      <c r="B133" s="8" t="s">
        <v>3253</v>
      </c>
      <c r="C133" s="67"/>
      <c r="D133" s="44">
        <f ca="1"/>
        <v>1.7767861624762993E-4</v>
      </c>
      <c r="E133" t="s">
        <v>2263</v>
      </c>
      <c r="F133" s="69"/>
    </row>
    <row r="134" spans="2:6">
      <c r="B134" s="8" t="s">
        <v>3254</v>
      </c>
      <c r="C134" s="67"/>
      <c r="D134" s="44">
        <f ca="1"/>
        <v>3.5535723249522587E-3</v>
      </c>
      <c r="E134" t="s">
        <v>2263</v>
      </c>
      <c r="F134" s="69"/>
    </row>
    <row r="135" spans="2:6">
      <c r="B135" s="8" t="s">
        <v>3817</v>
      </c>
      <c r="C135" s="67"/>
      <c r="D135" s="44">
        <f ca="1"/>
        <v>1.0504335670602238</v>
      </c>
      <c r="E135" t="s">
        <v>2263</v>
      </c>
      <c r="F135" s="69"/>
    </row>
    <row r="136" spans="2:6">
      <c r="B136" s="8" t="s">
        <v>3815</v>
      </c>
      <c r="C136" s="67"/>
      <c r="D136" s="44">
        <f ca="1"/>
        <v>3.195891816293226E-6</v>
      </c>
      <c r="E136" t="s">
        <v>2263</v>
      </c>
      <c r="F136" s="69"/>
    </row>
    <row r="137" spans="2:6">
      <c r="B137" s="8" t="s">
        <v>1542</v>
      </c>
      <c r="C137" s="67"/>
      <c r="D137" s="44">
        <f ca="1"/>
        <v>12.457028919118423</v>
      </c>
      <c r="E137" t="s">
        <v>2263</v>
      </c>
      <c r="F137" s="69"/>
    </row>
    <row r="138" spans="2:6">
      <c r="B138" s="8" t="s">
        <v>3813</v>
      </c>
      <c r="C138" s="67"/>
      <c r="D138" s="44">
        <f ca="1"/>
        <v>2.4798948252180395</v>
      </c>
      <c r="E138" t="s">
        <v>2263</v>
      </c>
      <c r="F138" s="69"/>
    </row>
    <row r="139" spans="2:6">
      <c r="B139" s="8" t="s">
        <v>2930</v>
      </c>
      <c r="C139" s="67"/>
      <c r="D139" s="44">
        <f ca="1"/>
        <v>2.9108211022565657E-3</v>
      </c>
      <c r="E139" t="s">
        <v>2263</v>
      </c>
      <c r="F139" s="69"/>
    </row>
    <row r="140" spans="2:6">
      <c r="B140" s="8" t="s">
        <v>1944</v>
      </c>
      <c r="C140" s="67"/>
      <c r="D140" s="44">
        <f ca="1"/>
        <v>5.2562979272483483E-2</v>
      </c>
      <c r="E140" t="s">
        <v>2263</v>
      </c>
      <c r="F140" s="69"/>
    </row>
    <row r="141" spans="2:6">
      <c r="B141" s="8" t="s">
        <v>3243</v>
      </c>
      <c r="C141" s="67" t="s">
        <v>274</v>
      </c>
      <c r="D141" s="44">
        <f ca="1"/>
        <v>37.821998251146603</v>
      </c>
      <c r="E141" t="s">
        <v>2263</v>
      </c>
      <c r="F141" s="69"/>
    </row>
    <row r="142" spans="2:6">
      <c r="C142" s="67"/>
      <c r="D142"/>
      <c r="F142" s="69"/>
    </row>
    <row r="143" spans="2:6">
      <c r="B143" t="s">
        <v>2407</v>
      </c>
      <c r="C143" s="67" t="s">
        <v>2408</v>
      </c>
      <c r="D143" s="54">
        <f ca="1">SUM(blend_ion_concs)-SUM(blend_gas_concs)</f>
        <v>25.509280207182904</v>
      </c>
      <c r="E143" t="s">
        <v>2263</v>
      </c>
      <c r="F143" s="69"/>
    </row>
    <row r="144" spans="2:6">
      <c r="B144" s="8" t="s">
        <v>1091</v>
      </c>
      <c r="C144" s="3" t="s">
        <v>1092</v>
      </c>
      <c r="D144" s="54">
        <f ca="1">blend_TDS-D135/2</f>
        <v>24.984063423652792</v>
      </c>
      <c r="E144" t="s">
        <v>2263</v>
      </c>
      <c r="F144" s="69"/>
    </row>
    <row r="147" spans="1:11" s="964" customFormat="1">
      <c r="A147" s="967" t="s">
        <v>5453</v>
      </c>
      <c r="C147" s="965"/>
      <c r="F147" s="966"/>
      <c r="G147" s="966"/>
    </row>
    <row r="148" spans="1:11">
      <c r="D148" t="s">
        <v>1809</v>
      </c>
      <c r="E148" t="s">
        <v>1810</v>
      </c>
      <c r="F148" s="69" t="s">
        <v>1811</v>
      </c>
      <c r="G148"/>
    </row>
    <row r="149" spans="1:11">
      <c r="B149" s="1" t="s">
        <v>3956</v>
      </c>
      <c r="D149" s="3" t="s">
        <v>3957</v>
      </c>
      <c r="E149" s="3" t="s">
        <v>3958</v>
      </c>
      <c r="F149" s="71" t="s">
        <v>3959</v>
      </c>
      <c r="G149"/>
    </row>
    <row r="150" spans="1:11">
      <c r="B150" t="s">
        <v>3704</v>
      </c>
      <c r="C150" s="3" t="s">
        <v>3960</v>
      </c>
      <c r="D150" s="109">
        <f>el_1_1 feed_flow_out</f>
        <v>39.851851851851812</v>
      </c>
      <c r="E150" s="109">
        <f>el_2_1 feed_flow_out</f>
        <v>34.402878752546485</v>
      </c>
      <c r="F150" s="109"/>
      <c r="G150" t="s">
        <v>2193</v>
      </c>
      <c r="I150" s="44"/>
      <c r="J150" s="44"/>
      <c r="K150" s="44"/>
    </row>
    <row r="151" spans="1:11">
      <c r="B151" t="s">
        <v>3705</v>
      </c>
      <c r="C151" s="3" t="s">
        <v>3961</v>
      </c>
      <c r="D151" s="109">
        <f>el_1_6 c_perm_flow_out</f>
        <v>21.962354900527703</v>
      </c>
      <c r="E151" s="109">
        <f>el_2_6 c_perm_flow_out</f>
        <v>15.686892799372835</v>
      </c>
      <c r="F151" s="109"/>
      <c r="G151" t="s">
        <v>2193</v>
      </c>
      <c r="I151" s="44"/>
      <c r="J151" s="44"/>
      <c r="K151" s="44"/>
    </row>
    <row r="152" spans="1:11">
      <c r="B152" t="s">
        <v>3706</v>
      </c>
      <c r="C152" s="3" t="s">
        <v>3962</v>
      </c>
      <c r="D152" s="109">
        <f>el_1_6 conc_flow_out</f>
        <v>17.889496951324201</v>
      </c>
      <c r="E152" s="109">
        <f>el_2_6 conc_flow_out</f>
        <v>18.715985953173615</v>
      </c>
      <c r="F152" s="109"/>
      <c r="G152" t="s">
        <v>2193</v>
      </c>
      <c r="I152" s="44"/>
      <c r="J152" s="37"/>
      <c r="K152" s="44"/>
    </row>
    <row r="153" spans="1:11">
      <c r="B153" t="s">
        <v>3070</v>
      </c>
      <c r="C153" s="3" t="s">
        <v>433</v>
      </c>
      <c r="D153" s="109">
        <f ca="1">(stg_1 perm_flow_v)*24*60/area_per_vess</f>
        <v>13.177412940316623</v>
      </c>
      <c r="E153" s="109">
        <f ca="1">(stg_2 perm_flow_v)*24*60/area_per_vess</f>
        <v>9.4121356796237006</v>
      </c>
      <c r="F153" s="109"/>
      <c r="G153" t="s">
        <v>1950</v>
      </c>
      <c r="I153" s="44"/>
      <c r="J153" s="37"/>
      <c r="K153" s="44"/>
    </row>
    <row r="154" spans="1:11">
      <c r="B154" t="s">
        <v>3015</v>
      </c>
      <c r="C154" s="3" t="s">
        <v>3017</v>
      </c>
      <c r="D154" s="117">
        <v>25</v>
      </c>
      <c r="E154" s="117"/>
      <c r="F154" s="117"/>
      <c r="G154"/>
      <c r="I154" s="44"/>
      <c r="J154" s="44"/>
      <c r="K154" s="44"/>
    </row>
    <row r="155" spans="1:11">
      <c r="B155" t="s">
        <v>3016</v>
      </c>
      <c r="C155" s="3" t="s">
        <v>3018</v>
      </c>
      <c r="D155" s="117">
        <v>13</v>
      </c>
      <c r="E155" s="117"/>
      <c r="F155" s="117"/>
      <c r="G155"/>
      <c r="I155" s="44"/>
      <c r="J155" s="44"/>
      <c r="K155" s="44"/>
    </row>
    <row r="156" spans="1:11">
      <c r="B156" t="s">
        <v>1765</v>
      </c>
      <c r="C156" s="3" t="s">
        <v>3963</v>
      </c>
      <c r="D156" s="110">
        <f>el_1_6 c_recovery_out</f>
        <v>0.55109998356342804</v>
      </c>
      <c r="E156" s="110">
        <f>el_2_6 c_recovery_out</f>
        <v>0.45597616734941687</v>
      </c>
      <c r="F156" s="110"/>
      <c r="G156"/>
      <c r="I156" s="45"/>
      <c r="J156" s="45"/>
      <c r="K156" s="45"/>
    </row>
    <row r="157" spans="1:11">
      <c r="B157" t="s">
        <v>1766</v>
      </c>
      <c r="C157" s="3" t="s">
        <v>1767</v>
      </c>
      <c r="D157" s="110">
        <f>(stg_1 perm_flow_v)/(stg_1 feed_flow_v)</f>
        <v>0.55109998356342804</v>
      </c>
      <c r="E157" s="110">
        <f>1-(stg_2 conc_flow_v)/((stg_1 feed_flow_v)*(stg_1 ratio_curr_v)/(stg_1 ratio_next_v))</f>
        <v>0.75578769258126599</v>
      </c>
      <c r="F157" s="110"/>
      <c r="G157"/>
      <c r="I157" s="45"/>
      <c r="J157" s="45"/>
      <c r="K157" s="45"/>
    </row>
    <row r="158" spans="1:11">
      <c r="B158" t="s">
        <v>3541</v>
      </c>
      <c r="C158" s="3" t="s">
        <v>3964</v>
      </c>
      <c r="D158" s="109">
        <f>el_1_1 P_feed_out</f>
        <v>195.37119757241254</v>
      </c>
      <c r="E158" s="109">
        <f>el_2_1 P_feed_out</f>
        <v>182.7075544080426</v>
      </c>
      <c r="F158" s="109"/>
      <c r="G158" t="s">
        <v>3749</v>
      </c>
      <c r="I158" s="44"/>
      <c r="J158" s="44"/>
      <c r="K158" s="44"/>
    </row>
    <row r="159" spans="1:11">
      <c r="B159" t="s">
        <v>420</v>
      </c>
      <c r="C159" s="3" t="s">
        <v>421</v>
      </c>
      <c r="D159" s="109">
        <f>el_1_6 c_dP_out</f>
        <v>12.663643164367707</v>
      </c>
      <c r="E159" s="109">
        <f>el_2_6 c_dP_out</f>
        <v>11.150951537274491</v>
      </c>
      <c r="F159" s="109"/>
      <c r="G159" t="s">
        <v>3749</v>
      </c>
      <c r="I159" s="44"/>
      <c r="J159" s="44"/>
      <c r="K159" s="44"/>
    </row>
    <row r="160" spans="1:11">
      <c r="B160" t="s">
        <v>3346</v>
      </c>
      <c r="C160" s="3" t="s">
        <v>3965</v>
      </c>
      <c r="D160" s="109">
        <f>el_1_1 feed_tds_out</f>
        <v>2588.2074744330666</v>
      </c>
      <c r="E160" s="109">
        <f>el_2_1 feed_tds_out</f>
        <v>5745.3905893461779</v>
      </c>
      <c r="F160" s="109"/>
      <c r="G160" t="s">
        <v>2263</v>
      </c>
      <c r="I160" s="44"/>
      <c r="J160" s="44"/>
      <c r="K160" s="44"/>
    </row>
    <row r="161" spans="1:35">
      <c r="B161" t="s">
        <v>1190</v>
      </c>
      <c r="C161" s="3" t="s">
        <v>3966</v>
      </c>
      <c r="D161" s="109">
        <f>el_1_6 c_perm_tds_out</f>
        <v>16.515232648332098</v>
      </c>
      <c r="E161" s="109">
        <f>el_2_6 c_perm_tds_out</f>
        <v>49.724800941856799</v>
      </c>
      <c r="F161" s="109"/>
      <c r="G161" t="s">
        <v>2263</v>
      </c>
      <c r="I161" s="44"/>
      <c r="J161" s="44"/>
      <c r="K161" s="44"/>
    </row>
    <row r="162" spans="1:35">
      <c r="B162" t="s">
        <v>2855</v>
      </c>
      <c r="C162" s="3" t="s">
        <v>3967</v>
      </c>
      <c r="D162" s="109">
        <f>el_1_6 conc_tds_out</f>
        <v>5745.3905893461779</v>
      </c>
      <c r="E162" s="109">
        <f>el_2_6 conc_tds_out</f>
        <v>10519.240007020231</v>
      </c>
      <c r="F162" s="109"/>
      <c r="G162" t="s">
        <v>2263</v>
      </c>
      <c r="I162" s="44"/>
      <c r="J162" s="44"/>
      <c r="K162" s="44"/>
    </row>
    <row r="163" spans="1:35">
      <c r="B163" t="s">
        <v>1947</v>
      </c>
      <c r="C163" s="3" t="s">
        <v>3968</v>
      </c>
      <c r="D163" s="111">
        <f>el_1_6 c_salt_rej_out</f>
        <v>0.99361904607282314</v>
      </c>
      <c r="E163" s="111">
        <f>el_2_6 c_salt_rej_out</f>
        <v>0.99134527058368094</v>
      </c>
      <c r="F163" s="111"/>
      <c r="G163"/>
      <c r="I163" s="36"/>
      <c r="J163" s="36"/>
      <c r="K163" s="36"/>
    </row>
    <row r="164" spans="1:35">
      <c r="E164" s="54"/>
      <c r="F164" s="54"/>
    </row>
    <row r="165" spans="1:35">
      <c r="A165" s="46" t="s">
        <v>5452</v>
      </c>
      <c r="E165" s="54"/>
      <c r="F165" s="54"/>
    </row>
    <row r="166" spans="1:35">
      <c r="A166" s="46" t="s">
        <v>2696</v>
      </c>
      <c r="E166" s="54"/>
      <c r="F166" s="54"/>
    </row>
    <row r="167" spans="1:35">
      <c r="A167" s="46" t="s">
        <v>2697</v>
      </c>
      <c r="E167" s="54"/>
      <c r="F167" s="54"/>
    </row>
    <row r="168" spans="1:35">
      <c r="A168" s="46" t="s">
        <v>2698</v>
      </c>
      <c r="E168" s="54"/>
      <c r="F168" s="54"/>
    </row>
    <row r="169" spans="1:35">
      <c r="A169" s="46" t="s">
        <v>2036</v>
      </c>
    </row>
    <row r="170" spans="1:35">
      <c r="A170" s="46" t="s">
        <v>3292</v>
      </c>
      <c r="F170" s="54"/>
    </row>
    <row r="171" spans="1:35">
      <c r="A171" s="46" t="s">
        <v>3293</v>
      </c>
    </row>
    <row r="172" spans="1:35">
      <c r="A172" s="46" t="s">
        <v>1612</v>
      </c>
    </row>
    <row r="173" spans="1:35">
      <c r="E173" s="1271" t="s">
        <v>1809</v>
      </c>
      <c r="F173" s="1271"/>
      <c r="G173" s="1271"/>
      <c r="H173" s="1271"/>
      <c r="I173" s="1271"/>
      <c r="J173" s="1271"/>
      <c r="K173" s="1271"/>
      <c r="N173" s="1271" t="s">
        <v>1810</v>
      </c>
      <c r="O173" s="1271"/>
      <c r="P173" s="1271"/>
      <c r="Q173" s="1271"/>
      <c r="R173" s="1271"/>
      <c r="S173" s="1271"/>
      <c r="T173" s="1271"/>
      <c r="W173" s="1271" t="s">
        <v>1811</v>
      </c>
      <c r="X173" s="1271"/>
      <c r="Y173" s="1271"/>
      <c r="Z173" s="1271"/>
      <c r="AA173" s="1271"/>
      <c r="AB173" s="1271"/>
      <c r="AC173" s="1271"/>
    </row>
    <row r="174" spans="1:35">
      <c r="E174" t="s">
        <v>1705</v>
      </c>
      <c r="F174" t="s">
        <v>1706</v>
      </c>
      <c r="G174" s="69" t="s">
        <v>1707</v>
      </c>
      <c r="H174" t="s">
        <v>1708</v>
      </c>
      <c r="I174" t="s">
        <v>3665</v>
      </c>
      <c r="J174" t="s">
        <v>3666</v>
      </c>
      <c r="K174" t="s">
        <v>3667</v>
      </c>
      <c r="L174" t="s">
        <v>5066</v>
      </c>
      <c r="N174" t="s">
        <v>1705</v>
      </c>
      <c r="O174" t="s">
        <v>1706</v>
      </c>
      <c r="P174" t="s">
        <v>1707</v>
      </c>
      <c r="Q174" t="s">
        <v>1708</v>
      </c>
      <c r="R174" t="s">
        <v>3665</v>
      </c>
      <c r="S174" t="s">
        <v>3666</v>
      </c>
      <c r="T174" t="s">
        <v>3667</v>
      </c>
      <c r="U174" t="s">
        <v>5066</v>
      </c>
      <c r="W174" t="s">
        <v>1705</v>
      </c>
      <c r="X174" t="s">
        <v>1706</v>
      </c>
      <c r="Y174" t="s">
        <v>1707</v>
      </c>
      <c r="Z174" t="s">
        <v>1708</v>
      </c>
      <c r="AA174" t="s">
        <v>3665</v>
      </c>
      <c r="AB174" t="s">
        <v>3666</v>
      </c>
      <c r="AC174" t="s">
        <v>3667</v>
      </c>
      <c r="AD174" t="s">
        <v>5066</v>
      </c>
    </row>
    <row r="175" spans="1:35">
      <c r="B175" s="1" t="s">
        <v>3668</v>
      </c>
      <c r="D175" s="3" t="s">
        <v>3669</v>
      </c>
      <c r="E175" s="3" t="s">
        <v>3670</v>
      </c>
      <c r="F175" s="3" t="s">
        <v>2973</v>
      </c>
      <c r="G175" s="71" t="s">
        <v>2974</v>
      </c>
      <c r="H175" s="3" t="s">
        <v>2975</v>
      </c>
      <c r="I175" s="3" t="s">
        <v>2976</v>
      </c>
      <c r="J175" s="3" t="s">
        <v>2977</v>
      </c>
      <c r="K175" s="3" t="s">
        <v>2978</v>
      </c>
      <c r="L175" s="3" t="s">
        <v>5069</v>
      </c>
      <c r="M175" s="3"/>
      <c r="N175" s="3" t="s">
        <v>2979</v>
      </c>
      <c r="O175" s="3" t="s">
        <v>2980</v>
      </c>
      <c r="P175" s="3" t="s">
        <v>2981</v>
      </c>
      <c r="Q175" s="3" t="s">
        <v>2982</v>
      </c>
      <c r="R175" s="3" t="s">
        <v>2983</v>
      </c>
      <c r="S175" s="3" t="s">
        <v>2984</v>
      </c>
      <c r="T175" s="3" t="s">
        <v>2985</v>
      </c>
      <c r="U175" s="3" t="s">
        <v>5068</v>
      </c>
      <c r="V175" s="3"/>
      <c r="W175" s="3" t="s">
        <v>2986</v>
      </c>
      <c r="X175" s="3" t="s">
        <v>2987</v>
      </c>
      <c r="Y175" s="3" t="s">
        <v>2988</v>
      </c>
      <c r="Z175" s="3" t="s">
        <v>2989</v>
      </c>
      <c r="AA175" s="3" t="s">
        <v>2990</v>
      </c>
      <c r="AB175" s="3" t="s">
        <v>2991</v>
      </c>
      <c r="AC175" s="3" t="s">
        <v>2992</v>
      </c>
      <c r="AD175" s="3" t="s">
        <v>5067</v>
      </c>
    </row>
    <row r="176" spans="1:35">
      <c r="B176" t="s">
        <v>2993</v>
      </c>
      <c r="C176" s="3" t="s">
        <v>2994</v>
      </c>
      <c r="D176" s="3" t="s">
        <v>862</v>
      </c>
      <c r="E176" s="109">
        <f>gpm_per_m3s*0.00251428069373584</f>
        <v>39.851851851851812</v>
      </c>
      <c r="F176" s="109">
        <f>gpm_per_m3s*0.00226108253136845</f>
        <v>35.838610338696206</v>
      </c>
      <c r="G176" s="109">
        <f>gpm_per_m3s*0.00201613335137857</f>
        <v>31.956116846020613</v>
      </c>
      <c r="H176" s="109">
        <f>gpm_per_m3s*0.00177963821397752</f>
        <v>28.20762161918649</v>
      </c>
      <c r="I176" s="109">
        <f>gpm_per_m3s*0.00155213016375919</f>
        <v>24.601573521615911</v>
      </c>
      <c r="J176" s="109">
        <f>gpm_per_m3s*0.0013346082719945</f>
        <v>21.153808032767223</v>
      </c>
      <c r="K176" s="109"/>
      <c r="L176" s="109"/>
      <c r="M176" s="109"/>
      <c r="N176" s="109">
        <f>gpm_per_m3s*0.00217050123989265</f>
        <v>34.402878752546485</v>
      </c>
      <c r="O176" s="109">
        <f>gpm_per_m3s*0.00197627684732269</f>
        <v>31.324383285434106</v>
      </c>
      <c r="P176" s="109">
        <f>gpm_per_m3s*0.00179288622172181</f>
        <v>28.417605191535035</v>
      </c>
      <c r="Q176" s="109">
        <f>gpm_per_m3s*0.00162087310098527</f>
        <v>25.691162825236727</v>
      </c>
      <c r="R176" s="109">
        <f>gpm_per_m3s*0.00146094556375823</f>
        <v>23.156279374680697</v>
      </c>
      <c r="S176" s="109">
        <f>gpm_per_m3s*0.00131394908031374</f>
        <v>20.826355712788843</v>
      </c>
      <c r="T176" s="109"/>
      <c r="U176" s="109"/>
      <c r="V176" s="109"/>
      <c r="W176" s="109"/>
      <c r="X176" s="109"/>
      <c r="Y176" s="109"/>
      <c r="Z176" s="109"/>
      <c r="AA176" s="109"/>
      <c r="AB176" s="109"/>
      <c r="AC176" s="109"/>
      <c r="AD176" s="44"/>
      <c r="AE176" s="44"/>
      <c r="AF176" s="44"/>
      <c r="AG176" s="44"/>
      <c r="AH176" s="44"/>
      <c r="AI176" s="44"/>
    </row>
    <row r="177" spans="2:35">
      <c r="B177" t="s">
        <v>863</v>
      </c>
      <c r="C177" s="3" t="s">
        <v>864</v>
      </c>
      <c r="D177" s="3" t="s">
        <v>862</v>
      </c>
      <c r="E177" s="109">
        <f>gpm_per_m3s*0.000253198162367393</f>
        <v>4.0132415131556529</v>
      </c>
      <c r="F177" s="109">
        <f>gpm_per_m3s*0.000244949179989875</f>
        <v>3.882493492675517</v>
      </c>
      <c r="G177" s="109">
        <f>gpm_per_m3s*0.000236495137401053</f>
        <v>3.7484952268341702</v>
      </c>
      <c r="H177" s="109">
        <f>gpm_per_m3s*0.000227508050218328</f>
        <v>3.6060480975705427</v>
      </c>
      <c r="I177" s="109">
        <f>gpm_per_m3s*0.000217521891764692</f>
        <v>3.447765488848721</v>
      </c>
      <c r="J177" s="109">
        <f>gpm_per_m3s*0.000205947627250325</f>
        <v>3.2643110814431013</v>
      </c>
      <c r="K177" s="109"/>
      <c r="L177" s="77"/>
      <c r="M177" s="77"/>
      <c r="N177" s="109">
        <f>gpm_per_m3s*0.000194224392569964</f>
        <v>3.0784954671124436</v>
      </c>
      <c r="O177" s="109">
        <f>gpm_per_m3s*0.000183390625600878</f>
        <v>2.9067780938990366</v>
      </c>
      <c r="P177" s="109">
        <f>gpm_per_m3s*0.000172013120736541</f>
        <v>2.7264423662983224</v>
      </c>
      <c r="Q177" s="109">
        <f>gpm_per_m3s*0.00015992753722704</f>
        <v>2.5348834505560296</v>
      </c>
      <c r="R177" s="109">
        <f>gpm_per_m3s*0.000146996483444489</f>
        <v>2.3299236618918395</v>
      </c>
      <c r="S177" s="109">
        <f>gpm_per_m3s*0.000133144677014496</f>
        <v>2.1103697596151645</v>
      </c>
      <c r="T177" s="109"/>
      <c r="U177" s="77"/>
      <c r="V177" s="77"/>
      <c r="W177" s="109"/>
      <c r="X177" s="109"/>
      <c r="Y177" s="109"/>
      <c r="Z177" s="109"/>
      <c r="AA177" s="109"/>
      <c r="AB177" s="109"/>
      <c r="AC177" s="109"/>
      <c r="AD177" s="44"/>
      <c r="AE177" s="44"/>
      <c r="AF177" s="44"/>
      <c r="AG177" s="44"/>
      <c r="AH177" s="44"/>
      <c r="AI177" s="44"/>
    </row>
    <row r="178" spans="2:35">
      <c r="B178" t="s">
        <v>865</v>
      </c>
      <c r="C178" s="3" t="s">
        <v>866</v>
      </c>
      <c r="D178" s="3" t="s">
        <v>862</v>
      </c>
      <c r="E178" s="109">
        <f>gpm_per_m3s*0.00226108253136845</f>
        <v>35.838610338696206</v>
      </c>
      <c r="F178" s="109">
        <f>gpm_per_m3s*0.00201613335137857</f>
        <v>31.956116846020613</v>
      </c>
      <c r="G178" s="109">
        <f>gpm_per_m3s*0.00177963821397752</f>
        <v>28.20762161918649</v>
      </c>
      <c r="H178" s="109">
        <f>gpm_per_m3s*0.00155213016375919</f>
        <v>24.601573521615911</v>
      </c>
      <c r="I178" s="109">
        <f>gpm_per_m3s*0.0013346082719945</f>
        <v>21.153808032767223</v>
      </c>
      <c r="J178" s="109">
        <f>gpm_per_m3s*0.00112866064474418</f>
        <v>17.889496951324201</v>
      </c>
      <c r="K178" s="109"/>
      <c r="L178" s="77"/>
      <c r="M178" s="77"/>
      <c r="N178" s="109">
        <f>gpm_per_m3s*0.00197627684732269</f>
        <v>31.324383285434106</v>
      </c>
      <c r="O178" s="109">
        <f>gpm_per_m3s*0.00179288622172181</f>
        <v>28.417605191535035</v>
      </c>
      <c r="P178" s="109">
        <f>gpm_per_m3s*0.00162087310098527</f>
        <v>25.691162825236727</v>
      </c>
      <c r="Q178" s="109">
        <f>gpm_per_m3s*0.00146094556375823</f>
        <v>23.156279374680697</v>
      </c>
      <c r="R178" s="109">
        <f>gpm_per_m3s*0.00131394908031374</f>
        <v>20.826355712788843</v>
      </c>
      <c r="S178" s="109">
        <f>gpm_per_m3s*0.00118080440329924</f>
        <v>18.715985953173615</v>
      </c>
      <c r="T178" s="109"/>
      <c r="U178" s="77"/>
      <c r="V178" s="77"/>
      <c r="W178" s="109"/>
      <c r="X178" s="109"/>
      <c r="Y178" s="109"/>
      <c r="Z178" s="109"/>
      <c r="AA178" s="109"/>
      <c r="AB178" s="109"/>
      <c r="AC178" s="109"/>
      <c r="AD178" s="44"/>
      <c r="AE178" s="44"/>
      <c r="AF178" s="44"/>
      <c r="AG178" s="44"/>
      <c r="AH178" s="44"/>
      <c r="AI178" s="44"/>
    </row>
    <row r="179" spans="2:35">
      <c r="B179" t="s">
        <v>867</v>
      </c>
      <c r="C179" s="3" t="s">
        <v>868</v>
      </c>
      <c r="D179" s="3" t="s">
        <v>862</v>
      </c>
      <c r="E179" s="109">
        <f>gfd_per_mps*6.81350584349536E-06</f>
        <v>14.447669447360365</v>
      </c>
      <c r="F179" s="109">
        <f>gfd_per_mps*0.0000065915275751438</f>
        <v>13.976976573631861</v>
      </c>
      <c r="G179" s="109">
        <f>gfd_per_mps*6.36403118243099E-06</f>
        <v>13.494582816603037</v>
      </c>
      <c r="H179" s="109">
        <f>gfd_per_mps*6.12219067907595E-06</f>
        <v>12.981773151253957</v>
      </c>
      <c r="I179" s="109">
        <f>gfd_per_mps*5.85346539157094E-06</f>
        <v>12.411955759855413</v>
      </c>
      <c r="J179" s="109">
        <f>gfd_per_mps*5.54200452564106E-06</f>
        <v>11.751519893195162</v>
      </c>
      <c r="K179" s="109"/>
      <c r="L179" s="77"/>
      <c r="M179" s="77"/>
      <c r="N179" s="109">
        <f>gfd_per_mps*5.22653490590737E-06</f>
        <v>11.082583681604765</v>
      </c>
      <c r="O179" s="109">
        <f>gfd_per_mps*4.93500066308051E-06</f>
        <v>10.464401138036536</v>
      </c>
      <c r="P179" s="109">
        <f>gfd_per_mps*0.000004628834555267</f>
        <v>9.815192518673955</v>
      </c>
      <c r="Q179" s="109">
        <f>gfd_per_mps*4.30361420969216E-06</f>
        <v>9.1255804220016863</v>
      </c>
      <c r="R179" s="109">
        <f>gfd_per_mps*0.0000039556424484196</f>
        <v>8.3877251828106587</v>
      </c>
      <c r="S179" s="109">
        <f>gfd_per_mps*3.58289343961446E-06</f>
        <v>7.5973311346145875</v>
      </c>
      <c r="T179" s="109"/>
      <c r="U179" s="77"/>
      <c r="V179" s="77"/>
      <c r="W179" s="109"/>
      <c r="X179" s="109"/>
      <c r="Y179" s="109"/>
      <c r="Z179" s="109"/>
      <c r="AA179" s="109"/>
      <c r="AB179" s="109"/>
      <c r="AC179" s="109"/>
      <c r="AD179" s="44"/>
      <c r="AE179" s="44"/>
      <c r="AF179" s="44"/>
      <c r="AG179" s="44"/>
      <c r="AH179" s="44"/>
      <c r="AI179" s="44"/>
    </row>
    <row r="180" spans="2:35">
      <c r="B180" t="s">
        <v>1586</v>
      </c>
      <c r="C180" s="3" t="s">
        <v>869</v>
      </c>
      <c r="D180" s="3" t="s">
        <v>1081</v>
      </c>
      <c r="E180" s="110">
        <f>el_1_1 perm_flow_out / el_1_1 feed_flow_out</f>
        <v>0.10070401566468656</v>
      </c>
      <c r="F180" s="110">
        <f>el_1_2 perm_flow_out / el_1_2 feed_flow_out</f>
        <v>0.10833270196538432</v>
      </c>
      <c r="G180" s="110">
        <f>el_1_3 perm_flow_out / el_1_3 feed_flow_out</f>
        <v>0.11730133685817204</v>
      </c>
      <c r="H180" s="110">
        <f>el_1_4 perm_flow_out / el_1_4 feed_flow_out</f>
        <v>0.12783949480936568</v>
      </c>
      <c r="I180" s="110">
        <f>el_1_5 perm_flow_out / el_1_5 feed_flow_out</f>
        <v>0.14014410443378258</v>
      </c>
      <c r="J180" s="110">
        <f>el_1_6 perm_flow_out / el_1_6 feed_flow_out</f>
        <v>0.15431316557220748</v>
      </c>
      <c r="K180" s="110"/>
      <c r="L180" s="77"/>
      <c r="M180" s="77"/>
      <c r="N180" s="110">
        <f>el_2_1 perm_flow_out / el_2_1 feed_flow_out</f>
        <v>8.9483658889579834E-2</v>
      </c>
      <c r="O180" s="110">
        <f>el_2_2 perm_flow_out / el_2_2 feed_flow_out</f>
        <v>9.2796019874098967E-2</v>
      </c>
      <c r="P180" s="110">
        <f>el_2_3 perm_flow_out / el_2_3 feed_flow_out</f>
        <v>9.5942017208067484E-2</v>
      </c>
      <c r="Q180" s="110">
        <f>el_2_4 perm_flow_out / el_2_4 feed_flow_out</f>
        <v>9.8667525008482068E-2</v>
      </c>
      <c r="R180" s="110">
        <f>el_2_5 perm_flow_out / el_2_5 feed_flow_out</f>
        <v>0.10061735843623483</v>
      </c>
      <c r="S180" s="110">
        <f>el_2_6 perm_flow_out / el_2_6 feed_flow_out</f>
        <v>0.10133168705647573</v>
      </c>
      <c r="T180" s="110"/>
      <c r="U180" s="77"/>
      <c r="V180" s="77"/>
      <c r="W180" s="110"/>
      <c r="X180" s="110"/>
      <c r="Y180" s="110"/>
      <c r="Z180" s="110"/>
      <c r="AA180" s="110"/>
      <c r="AB180" s="110"/>
      <c r="AC180" s="110"/>
      <c r="AD180" s="45"/>
      <c r="AE180" s="45"/>
      <c r="AF180" s="45"/>
      <c r="AG180" s="45"/>
      <c r="AH180" s="45"/>
      <c r="AI180" s="45"/>
    </row>
    <row r="181" spans="2:35">
      <c r="E181" s="77"/>
      <c r="F181" s="77"/>
      <c r="G181" s="77"/>
      <c r="H181" s="77"/>
      <c r="I181" s="77"/>
      <c r="J181" s="77"/>
      <c r="K181" s="77"/>
      <c r="L181" s="77"/>
      <c r="M181" s="77"/>
      <c r="N181" s="77"/>
      <c r="O181" s="77"/>
      <c r="P181" s="77"/>
      <c r="Q181" s="77"/>
      <c r="R181" s="77"/>
      <c r="S181" s="77"/>
      <c r="T181" s="77"/>
      <c r="U181" s="77"/>
      <c r="V181" s="77"/>
      <c r="W181" s="77"/>
      <c r="X181" s="77"/>
      <c r="Y181" s="77"/>
      <c r="Z181" s="77"/>
      <c r="AA181" s="77"/>
      <c r="AB181" s="77"/>
      <c r="AC181" s="77"/>
    </row>
    <row r="182" spans="2:35">
      <c r="B182" t="s">
        <v>1082</v>
      </c>
      <c r="C182" s="3" t="s">
        <v>1203</v>
      </c>
      <c r="D182" s="3" t="s">
        <v>1204</v>
      </c>
      <c r="E182" s="109">
        <f>el_1_1 perm_flow_out</f>
        <v>4.0132415131556529</v>
      </c>
      <c r="F182" s="109">
        <f>el_1_2 perm_flow_out + el_1_1 c_perm_flow_out</f>
        <v>7.8957350058311704</v>
      </c>
      <c r="G182" s="109">
        <f>el_1_3 perm_flow_out + el_1_2 c_perm_flow_out</f>
        <v>11.64423023266534</v>
      </c>
      <c r="H182" s="109">
        <f>el_1_4 perm_flow_out + el_1_3 c_perm_flow_out</f>
        <v>15.250278330235883</v>
      </c>
      <c r="I182" s="109">
        <f>el_1_5 perm_flow_out + el_1_4 c_perm_flow_out</f>
        <v>18.698043819084603</v>
      </c>
      <c r="J182" s="109">
        <f>el_1_6 perm_flow_out + el_1_5 c_perm_flow_out</f>
        <v>21.962354900527703</v>
      </c>
      <c r="K182" s="109"/>
      <c r="L182" s="77"/>
      <c r="M182" s="77"/>
      <c r="N182" s="109">
        <f>el_2_1 perm_flow_out</f>
        <v>3.0784954671124436</v>
      </c>
      <c r="O182" s="109">
        <f>el_2_2 perm_flow_out + el_2_1 c_perm_flow_out</f>
        <v>5.9852735610114802</v>
      </c>
      <c r="P182" s="109">
        <f>el_2_3 perm_flow_out + el_2_2 c_perm_flow_out</f>
        <v>8.7117159273098022</v>
      </c>
      <c r="Q182" s="109">
        <f>el_2_4 perm_flow_out + el_2_3 c_perm_flow_out</f>
        <v>11.246599377865831</v>
      </c>
      <c r="R182" s="109">
        <f>el_2_5 perm_flow_out + el_2_4 c_perm_flow_out</f>
        <v>13.576523039757671</v>
      </c>
      <c r="S182" s="109">
        <f>el_2_6 perm_flow_out + el_2_5 c_perm_flow_out</f>
        <v>15.686892799372835</v>
      </c>
      <c r="T182" s="109"/>
      <c r="U182" s="77"/>
      <c r="V182" s="77"/>
      <c r="W182" s="109"/>
      <c r="X182" s="109"/>
      <c r="Y182" s="109"/>
      <c r="Z182" s="109"/>
      <c r="AA182" s="109"/>
      <c r="AB182" s="109"/>
      <c r="AC182" s="109"/>
      <c r="AD182" s="44"/>
      <c r="AE182" s="44"/>
      <c r="AF182" s="44"/>
      <c r="AG182" s="44"/>
      <c r="AH182" s="44"/>
      <c r="AI182" s="44"/>
    </row>
    <row r="183" spans="2:35">
      <c r="B183" t="s">
        <v>2876</v>
      </c>
      <c r="C183" s="3" t="s">
        <v>2877</v>
      </c>
      <c r="D183" s="3" t="s">
        <v>2878</v>
      </c>
      <c r="E183" s="110">
        <f>el_1_1 c_perm_flow_out / el_1_1 feed_flow_out</f>
        <v>0.10070401566468656</v>
      </c>
      <c r="F183" s="110">
        <f>el_1_2 c_perm_flow_out / el_1_1 feed_flow_out</f>
        <v>0.19812717951435113</v>
      </c>
      <c r="G183" s="110">
        <f>el_1_3 c_perm_flow_out / el_1_1 feed_flow_out</f>
        <v>0.29218793334755067</v>
      </c>
      <c r="H183" s="110">
        <f>el_1_4 c_perm_flow_out / el_1_1 feed_flow_out</f>
        <v>0.38267427036837293</v>
      </c>
      <c r="I183" s="110">
        <f>el_1_5 c_perm_flow_out / el_1_1 feed_flow_out</f>
        <v>0.4691888318915286</v>
      </c>
      <c r="J183" s="110">
        <f>el_1_6 c_perm_flow_out / el_1_1 feed_flow_out</f>
        <v>0.55109998356342804</v>
      </c>
      <c r="K183" s="110"/>
      <c r="L183" s="77"/>
      <c r="M183" s="77"/>
      <c r="N183" s="110">
        <f>el_2_1 c_perm_flow_out / el_2_1 feed_flow_out</f>
        <v>8.9483658889579834E-2</v>
      </c>
      <c r="O183" s="110">
        <f>el_2_2 c_perm_flow_out / el_2_1 feed_flow_out</f>
        <v>0.17397595137495442</v>
      </c>
      <c r="P183" s="110">
        <f>el_2_3 c_perm_flow_out / el_2_1 feed_flow_out</f>
        <v>0.25322636486241618</v>
      </c>
      <c r="Q183" s="110">
        <f>el_2_4 c_perm_flow_out / el_2_1 feed_flow_out</f>
        <v>0.32690867118302891</v>
      </c>
      <c r="R183" s="110">
        <f>el_2_5 c_perm_flow_out / el_2_1 feed_flow_out</f>
        <v>0.39463334267492783</v>
      </c>
      <c r="S183" s="110">
        <f>el_2_6 c_perm_flow_out / el_2_1 feed_flow_out</f>
        <v>0.45597616734941687</v>
      </c>
      <c r="T183" s="110"/>
      <c r="U183" s="77"/>
      <c r="V183" s="77"/>
      <c r="W183" s="110"/>
      <c r="X183" s="110"/>
      <c r="Y183" s="110"/>
      <c r="Z183" s="110"/>
      <c r="AA183" s="110"/>
      <c r="AB183" s="110"/>
      <c r="AC183" s="110"/>
      <c r="AD183" s="45"/>
      <c r="AE183" s="45"/>
      <c r="AF183" s="45"/>
      <c r="AG183" s="45"/>
      <c r="AH183" s="45"/>
      <c r="AI183" s="45"/>
    </row>
    <row r="184" spans="2:35">
      <c r="E184" s="77"/>
      <c r="F184" s="77"/>
      <c r="G184" s="77"/>
      <c r="H184" s="77"/>
      <c r="I184" s="77"/>
      <c r="J184" s="77"/>
      <c r="K184" s="77"/>
      <c r="L184" s="77"/>
      <c r="M184" s="77"/>
      <c r="N184" s="77"/>
      <c r="O184" s="77"/>
      <c r="P184" s="77"/>
      <c r="Q184" s="77"/>
      <c r="R184" s="77"/>
      <c r="S184" s="77"/>
      <c r="T184" s="77"/>
      <c r="U184" s="77"/>
      <c r="V184" s="77"/>
      <c r="W184" s="77"/>
      <c r="X184" s="77"/>
      <c r="Y184" s="77"/>
      <c r="Z184" s="77"/>
      <c r="AA184" s="77"/>
      <c r="AB184" s="77"/>
      <c r="AC184" s="77"/>
    </row>
    <row r="185" spans="2:35">
      <c r="B185" t="s">
        <v>2879</v>
      </c>
      <c r="C185" s="3" t="s">
        <v>2880</v>
      </c>
      <c r="D185" s="3" t="s">
        <v>862</v>
      </c>
      <c r="E185" s="109">
        <f>psi_per_atm*13.2941751206051</f>
        <v>195.37119757241254</v>
      </c>
      <c r="F185" s="109">
        <f>psi_per_atm*13.0827872281552</f>
        <v>192.2646411049688</v>
      </c>
      <c r="G185" s="109">
        <f>psi_per_atm*12.9016103889536</f>
        <v>189.60206627606209</v>
      </c>
      <c r="H185" s="109">
        <f>psi_per_atm*12.7483258593641</f>
        <v>187.34939682921481</v>
      </c>
      <c r="I185" s="109">
        <f>psi_per_atm*12.6206178386929</f>
        <v>185.47259975743086</v>
      </c>
      <c r="J185" s="109">
        <f>psi_per_atm*12.5161378186801</f>
        <v>183.93716138332275</v>
      </c>
      <c r="K185" s="109"/>
      <c r="L185" s="77"/>
      <c r="M185" s="77"/>
      <c r="N185" s="109">
        <f>psi_per_atm*12.4324683184569</f>
        <v>182.7075544080426</v>
      </c>
      <c r="O185" s="109">
        <f>psi_per_atm*12.2585041428833</f>
        <v>180.15097688381297</v>
      </c>
      <c r="P185" s="109">
        <f>psi_per_atm*12.1062487145127</f>
        <v>177.91343110847865</v>
      </c>
      <c r="Q185" s="109">
        <f>psi_per_atm*11.9736461083091</f>
        <v>175.96470320771056</v>
      </c>
      <c r="R185" s="109">
        <f>psi_per_atm*11.8586744570812</f>
        <v>174.27507982126531</v>
      </c>
      <c r="S185" s="109">
        <f>psi_per_atm*11.7593425980232</f>
        <v>172.81529882054892</v>
      </c>
      <c r="T185" s="109"/>
      <c r="U185" s="77"/>
      <c r="V185" s="77"/>
      <c r="W185" s="109"/>
      <c r="X185" s="109"/>
      <c r="Y185" s="109"/>
      <c r="Z185" s="109"/>
      <c r="AA185" s="109"/>
      <c r="AB185" s="109"/>
      <c r="AC185" s="109"/>
      <c r="AD185" s="44"/>
      <c r="AE185" s="44"/>
      <c r="AF185" s="44"/>
      <c r="AG185" s="44"/>
      <c r="AH185" s="44"/>
      <c r="AI185" s="44"/>
    </row>
    <row r="186" spans="2:35">
      <c r="B186" t="s">
        <v>2881</v>
      </c>
      <c r="C186" s="3" t="s">
        <v>2882</v>
      </c>
      <c r="D186" s="3" t="s">
        <v>862</v>
      </c>
      <c r="E186" s="109">
        <f t="shared" ref="E186:J186" si="0">psi_per_atm*0</f>
        <v>0</v>
      </c>
      <c r="F186" s="109">
        <f t="shared" si="0"/>
        <v>0</v>
      </c>
      <c r="G186" s="109">
        <f t="shared" si="0"/>
        <v>0</v>
      </c>
      <c r="H186" s="109">
        <f t="shared" si="0"/>
        <v>0</v>
      </c>
      <c r="I186" s="109">
        <f t="shared" si="0"/>
        <v>0</v>
      </c>
      <c r="J186" s="109">
        <f t="shared" si="0"/>
        <v>0</v>
      </c>
      <c r="K186" s="109"/>
      <c r="L186" s="77"/>
      <c r="M186" s="77"/>
      <c r="N186" s="109">
        <f t="shared" ref="N186:S186" si="1">psi_per_atm*0</f>
        <v>0</v>
      </c>
      <c r="O186" s="109">
        <f t="shared" si="1"/>
        <v>0</v>
      </c>
      <c r="P186" s="109">
        <f t="shared" si="1"/>
        <v>0</v>
      </c>
      <c r="Q186" s="109">
        <f t="shared" si="1"/>
        <v>0</v>
      </c>
      <c r="R186" s="109">
        <f t="shared" si="1"/>
        <v>0</v>
      </c>
      <c r="S186" s="109">
        <f t="shared" si="1"/>
        <v>0</v>
      </c>
      <c r="T186" s="109"/>
      <c r="U186" s="77"/>
      <c r="V186" s="77"/>
      <c r="W186" s="109"/>
      <c r="X186" s="109"/>
      <c r="Y186" s="109"/>
      <c r="Z186" s="109"/>
      <c r="AA186" s="109"/>
      <c r="AB186" s="109"/>
      <c r="AC186" s="109"/>
      <c r="AD186" s="44"/>
      <c r="AE186" s="44"/>
      <c r="AF186" s="44"/>
      <c r="AG186" s="44"/>
      <c r="AH186" s="44"/>
      <c r="AI186" s="44"/>
    </row>
    <row r="187" spans="2:35">
      <c r="B187" t="s">
        <v>2883</v>
      </c>
      <c r="C187" s="3" t="s">
        <v>2884</v>
      </c>
      <c r="D187" s="3" t="s">
        <v>862</v>
      </c>
      <c r="E187" s="109">
        <f>psi_per_atm*1.52019978308822</f>
        <v>22.340856012264478</v>
      </c>
      <c r="F187" s="109">
        <f>psi_per_atm*1.68589845117901</f>
        <v>24.775963638526733</v>
      </c>
      <c r="G187" s="109">
        <f>psi_per_atm*1.88506129721335</f>
        <v>27.702860823847391</v>
      </c>
      <c r="H187" s="109">
        <f>psi_per_atm*2.1283545367923</f>
        <v>31.278298272699637</v>
      </c>
      <c r="I187" s="109">
        <f>psi_per_atm*2.43094471354666</f>
        <v>35.725163510281718</v>
      </c>
      <c r="J187" s="109">
        <f>psi_per_atm*2.81466117491006</f>
        <v>41.364260626478242</v>
      </c>
      <c r="K187" s="109"/>
      <c r="L187" s="77"/>
      <c r="M187" s="77"/>
      <c r="N187" s="109">
        <f>psi_per_atm*3.31118587865677</f>
        <v>48.661187672739892</v>
      </c>
      <c r="O187" s="109">
        <f>psi_per_atm*3.62581957420377</f>
        <v>53.285044462498604</v>
      </c>
      <c r="P187" s="109">
        <f>psi_per_atm*3.98401281769833</f>
        <v>58.549052368894657</v>
      </c>
      <c r="Q187" s="109">
        <f>psi_per_atm*4.39185997477995</f>
        <v>64.542774189366142</v>
      </c>
      <c r="R187" s="109">
        <f>psi_per_atm*4.85501335387532</f>
        <v>71.349276248551703</v>
      </c>
      <c r="S187" s="109">
        <f>psi_per_atm*5.37748114613971</f>
        <v>79.027462923669177</v>
      </c>
      <c r="T187" s="109"/>
      <c r="U187" s="77"/>
      <c r="V187" s="77"/>
      <c r="W187" s="109"/>
      <c r="X187" s="109"/>
      <c r="Y187" s="109"/>
      <c r="Z187" s="109"/>
      <c r="AA187" s="109"/>
      <c r="AB187" s="109"/>
      <c r="AC187" s="109"/>
      <c r="AD187" s="44"/>
      <c r="AE187" s="44"/>
      <c r="AF187" s="44"/>
      <c r="AG187" s="44"/>
      <c r="AH187" s="44"/>
      <c r="AI187" s="44"/>
    </row>
    <row r="188" spans="2:35">
      <c r="B188" t="s">
        <v>2885</v>
      </c>
      <c r="C188" s="3" t="s">
        <v>2886</v>
      </c>
      <c r="D188" s="3" t="s">
        <v>862</v>
      </c>
      <c r="E188" s="109">
        <f>psi_per_atm*1.68589845117901</f>
        <v>24.775963638526733</v>
      </c>
      <c r="F188" s="109">
        <f>psi_per_atm*1.88506129721335</f>
        <v>27.702860823847391</v>
      </c>
      <c r="G188" s="109">
        <f>psi_per_atm*2.1283545367923</f>
        <v>31.278298272699637</v>
      </c>
      <c r="H188" s="109">
        <f>psi_per_atm*2.43094471354666</f>
        <v>35.725163510281718</v>
      </c>
      <c r="I188" s="109">
        <f>psi_per_atm*2.81466117491006</f>
        <v>41.364260626478242</v>
      </c>
      <c r="J188" s="109">
        <f>psi_per_atm*3.31118587865677</f>
        <v>48.661187672739892</v>
      </c>
      <c r="K188" s="109"/>
      <c r="L188" s="77"/>
      <c r="M188" s="77"/>
      <c r="N188" s="109">
        <f>psi_per_atm*3.62581957420377</f>
        <v>53.285044462498604</v>
      </c>
      <c r="O188" s="109">
        <f>psi_per_atm*3.98401281769833</f>
        <v>58.549052368894657</v>
      </c>
      <c r="P188" s="109">
        <f>psi_per_atm*4.39185997477995</f>
        <v>64.542774189366142</v>
      </c>
      <c r="Q188" s="109">
        <f>psi_per_atm*4.85501335387532</f>
        <v>71.349276248551703</v>
      </c>
      <c r="R188" s="109">
        <f>psi_per_atm*5.37748114613971</f>
        <v>79.027462923669177</v>
      </c>
      <c r="S188" s="109">
        <f>psi_per_atm*5.95975491263505</f>
        <v>87.5845581960847</v>
      </c>
      <c r="T188" s="109"/>
      <c r="U188" s="77"/>
      <c r="V188" s="77"/>
      <c r="W188" s="109"/>
      <c r="X188" s="109"/>
      <c r="Y188" s="109"/>
      <c r="Z188" s="109"/>
      <c r="AA188" s="109"/>
      <c r="AB188" s="109"/>
      <c r="AC188" s="109"/>
      <c r="AD188" s="44"/>
      <c r="AE188" s="44"/>
      <c r="AF188" s="44"/>
      <c r="AG188" s="44"/>
      <c r="AH188" s="44"/>
      <c r="AI188" s="44"/>
    </row>
    <row r="189" spans="2:35">
      <c r="B189" t="s">
        <v>2887</v>
      </c>
      <c r="C189" s="3" t="s">
        <v>2888</v>
      </c>
      <c r="D189" s="3" t="s">
        <v>862</v>
      </c>
      <c r="E189" s="109">
        <f>psi_per_atm*0.00758668806131813</f>
        <v>0.11149396774913123</v>
      </c>
      <c r="F189" s="109">
        <f>psi_per_atm*0.00882203967986345</f>
        <v>0.12964869513527327</v>
      </c>
      <c r="G189" s="109">
        <f>psi_per_atm*0.0103914031630954</f>
        <v>0.15271206088485001</v>
      </c>
      <c r="H189" s="109">
        <f>psi_per_atm*0.0124457032353775</f>
        <v>0.18290205474710772</v>
      </c>
      <c r="I189" s="109">
        <f>psi_per_atm*0.015234945820273</f>
        <v>0.223892763774732</v>
      </c>
      <c r="J189" s="109">
        <f>psi_per_atm*0.0191890679265024</f>
        <v>0.28200254224787924</v>
      </c>
      <c r="K189" s="109"/>
      <c r="L189" s="77"/>
      <c r="M189" s="77"/>
      <c r="N189" s="109">
        <f>psi_per_atm*0.0228006121062579</f>
        <v>0.33507779551356609</v>
      </c>
      <c r="O189" s="109">
        <f>psi_per_atm*0.0268196514101385</f>
        <v>0.39414159712339536</v>
      </c>
      <c r="P189" s="109">
        <f>psi_per_atm*0.0319021477872679</f>
        <v>0.46883396388168908</v>
      </c>
      <c r="Q189" s="109">
        <f>psi_per_atm*0.0384438164167542</f>
        <v>0.5649703260606197</v>
      </c>
      <c r="R189" s="109">
        <f>psi_per_atm*0.047019090776077</f>
        <v>0.69099255804522763</v>
      </c>
      <c r="S189" s="109">
        <f>psi_per_atm*0.0584683710590814</f>
        <v>0.85925118108426024</v>
      </c>
      <c r="T189" s="109"/>
      <c r="U189" s="77"/>
      <c r="V189" s="77"/>
      <c r="W189" s="109"/>
      <c r="X189" s="109"/>
      <c r="Y189" s="109"/>
      <c r="Z189" s="109"/>
      <c r="AA189" s="109"/>
      <c r="AB189" s="109"/>
      <c r="AC189" s="109"/>
      <c r="AD189" s="44"/>
      <c r="AE189" s="44"/>
      <c r="AF189" s="44"/>
      <c r="AG189" s="44"/>
      <c r="AH189" s="44"/>
      <c r="AI189" s="44"/>
    </row>
    <row r="190" spans="2:35">
      <c r="B190" t="s">
        <v>3981</v>
      </c>
      <c r="C190" s="3" t="s">
        <v>3982</v>
      </c>
      <c r="D190" s="3" t="s">
        <v>862</v>
      </c>
      <c r="E190" s="109">
        <f>psi_per_atm*1.59443378713771</f>
        <v>23.431798935775785</v>
      </c>
      <c r="F190" s="109">
        <f>psi_per_atm*1.77529069953532</f>
        <v>26.089672120371063</v>
      </c>
      <c r="G190" s="109">
        <f>psi_per_atm*1.99445611598854</f>
        <v>29.310527080567581</v>
      </c>
      <c r="H190" s="109">
        <f>psi_per_atm*2.26460968876965</f>
        <v>33.280703986158777</v>
      </c>
      <c r="I190" s="109">
        <f>psi_per_atm*2.6038621707792</f>
        <v>38.266358461771119</v>
      </c>
      <c r="J190" s="109">
        <f>psi_per_atm*3.03832229355463</f>
        <v>44.651184426078842</v>
      </c>
      <c r="K190" s="109"/>
      <c r="L190" s="77"/>
      <c r="M190" s="77"/>
      <c r="N190" s="109">
        <f>psi_per_atm*3.44480716982497</f>
        <v>50.624886167747761</v>
      </c>
      <c r="O190" s="109">
        <f>psi_per_atm*3.77707658101961</f>
        <v>55.507917434664186</v>
      </c>
      <c r="P190" s="109">
        <f>psi_per_atm*4.15490747895485</f>
        <v>61.06052031072047</v>
      </c>
      <c r="Q190" s="109">
        <f>psi_per_atm*4.58382102549234</f>
        <v>67.363833790635425</v>
      </c>
      <c r="R190" s="109">
        <f>psi_per_atm*5.0681520035517</f>
        <v>74.481561844195781</v>
      </c>
      <c r="S190" s="109">
        <f>psi_per_atm*5.609440820353</f>
        <v>82.436342295907693</v>
      </c>
      <c r="T190" s="109"/>
      <c r="U190" s="77"/>
      <c r="V190" s="77"/>
      <c r="W190" s="109"/>
      <c r="X190" s="109"/>
      <c r="Y190" s="109"/>
      <c r="Z190" s="109"/>
      <c r="AA190" s="109"/>
      <c r="AB190" s="109"/>
      <c r="AC190" s="109"/>
      <c r="AD190" s="44"/>
      <c r="AE190" s="44"/>
      <c r="AF190" s="44"/>
      <c r="AG190" s="44"/>
      <c r="AH190" s="44"/>
      <c r="AI190" s="44"/>
    </row>
    <row r="191" spans="2:35">
      <c r="B191" t="s">
        <v>3983</v>
      </c>
      <c r="C191" s="3" t="s">
        <v>3984</v>
      </c>
      <c r="D191" s="3" t="s">
        <v>862</v>
      </c>
      <c r="E191" s="109">
        <f>psi_per_atm*0.211387892449894</f>
        <v>3.1065564674436423</v>
      </c>
      <c r="F191" s="109">
        <f>psi_per_atm*0.181176839201552</f>
        <v>2.6625748289060081</v>
      </c>
      <c r="G191" s="109">
        <f>psi_per_atm*0.153284529589502</f>
        <v>2.2526694468473214</v>
      </c>
      <c r="H191" s="109">
        <f>psi_per_atm*0.127708020671165</f>
        <v>1.8767970717834406</v>
      </c>
      <c r="I191" s="109">
        <f>psi_per_atm*0.104480020012764</f>
        <v>1.5354383741075799</v>
      </c>
      <c r="J191" s="109">
        <f>psi_per_atm*0.0836695002231706</f>
        <v>1.2296069752797152</v>
      </c>
      <c r="K191" s="109"/>
      <c r="L191" s="77"/>
      <c r="M191" s="77"/>
      <c r="N191" s="109">
        <f>psi_per_atm*0.173964175573588</f>
        <v>2.5565775242294495</v>
      </c>
      <c r="O191" s="109">
        <f>psi_per_atm*0.152255428370626</f>
        <v>2.2375457753347199</v>
      </c>
      <c r="P191" s="109">
        <f>psi_per_atm*0.132602606203572</f>
        <v>1.9487279007676941</v>
      </c>
      <c r="Q191" s="109">
        <f>psi_per_atm*0.114971651227874</f>
        <v>1.6896233864448365</v>
      </c>
      <c r="R191" s="109">
        <f>psi_per_atm*0.0993318590580287</f>
        <v>1.4597810007167897</v>
      </c>
      <c r="S191" s="109">
        <f>psi_per_atm*0.0856488806328933</f>
        <v>1.258695949781</v>
      </c>
      <c r="T191" s="109"/>
      <c r="U191" s="77"/>
      <c r="V191" s="77"/>
      <c r="W191" s="109"/>
      <c r="X191" s="109"/>
      <c r="Y191" s="109"/>
      <c r="Z191" s="109"/>
      <c r="AA191" s="109"/>
      <c r="AB191" s="109"/>
      <c r="AC191" s="109"/>
      <c r="AD191" s="44"/>
      <c r="AE191" s="44"/>
      <c r="AF191" s="44"/>
      <c r="AG191" s="44"/>
      <c r="AH191" s="44"/>
      <c r="AI191" s="44"/>
    </row>
    <row r="192" spans="2:35">
      <c r="B192" t="s">
        <v>422</v>
      </c>
      <c r="C192" s="3" t="s">
        <v>423</v>
      </c>
      <c r="D192" s="3" t="s">
        <v>424</v>
      </c>
      <c r="E192" s="109">
        <f>el_1_1 dP_out</f>
        <v>3.1065564674436423</v>
      </c>
      <c r="F192" s="109">
        <f>el_1_2 dP_out + el_1_1 c_dP_out</f>
        <v>5.7691312963496504</v>
      </c>
      <c r="G192" s="109">
        <f>el_1_3 dP_out + el_1_2 c_dP_out</f>
        <v>8.0218007431969713</v>
      </c>
      <c r="H192" s="109">
        <f>el_1_4 dP_out + el_1_3 c_dP_out</f>
        <v>9.8985978149804126</v>
      </c>
      <c r="I192" s="109">
        <f>el_1_5 dP_out + el_1_4 c_dP_out</f>
        <v>11.434036189087992</v>
      </c>
      <c r="J192" s="109">
        <f>el_1_6 dP_out + el_1_5 c_dP_out</f>
        <v>12.663643164367707</v>
      </c>
      <c r="K192" s="109"/>
      <c r="L192" s="77"/>
      <c r="M192" s="77"/>
      <c r="N192" s="109">
        <f>el_2_1 dP_out</f>
        <v>2.5565775242294495</v>
      </c>
      <c r="O192" s="109">
        <f>el_2_2 dP_out + el_2_1 c_dP_out</f>
        <v>4.7941232995641698</v>
      </c>
      <c r="P192" s="109">
        <f>el_2_3 dP_out + el_2_2 c_dP_out</f>
        <v>6.7428512003318639</v>
      </c>
      <c r="Q192" s="109">
        <f>el_2_4 dP_out + el_2_3 c_dP_out</f>
        <v>8.432474586776701</v>
      </c>
      <c r="R192" s="109">
        <f>el_2_5 dP_out + el_2_4 c_dP_out</f>
        <v>9.8922555874934908</v>
      </c>
      <c r="S192" s="109">
        <f>el_2_6 dP_out + el_2_5 c_dP_out</f>
        <v>11.150951537274491</v>
      </c>
      <c r="T192" s="109"/>
      <c r="U192" s="77"/>
      <c r="V192" s="77"/>
      <c r="W192" s="109"/>
      <c r="X192" s="109"/>
      <c r="Y192" s="109"/>
      <c r="Z192" s="109"/>
      <c r="AA192" s="109"/>
      <c r="AB192" s="109"/>
      <c r="AC192" s="109"/>
      <c r="AD192" s="44"/>
      <c r="AE192" s="44"/>
      <c r="AF192" s="44"/>
      <c r="AG192" s="44"/>
      <c r="AH192" s="44"/>
      <c r="AI192" s="44"/>
    </row>
    <row r="193" spans="2:36">
      <c r="B193" t="s">
        <v>3985</v>
      </c>
      <c r="C193" s="3" t="s">
        <v>3986</v>
      </c>
      <c r="D193" s="3" t="s">
        <v>862</v>
      </c>
      <c r="E193" s="109">
        <f>psi_per_atm*11.59432638294</f>
        <v>170.39022052368625</v>
      </c>
      <c r="F193" s="109">
        <f>psi_per_atm*11.2173751641246</f>
        <v>164.85054541197513</v>
      </c>
      <c r="G193" s="109">
        <f>psi_per_atm*10.8311810027435</f>
        <v>159.17503601631847</v>
      </c>
      <c r="H193" s="109">
        <f>psi_per_atm*10.4207548179676</f>
        <v>153.14341280485183</v>
      </c>
      <c r="I193" s="109">
        <f>psi_per_atm*9.96478933134421</f>
        <v>146.44254401343451</v>
      </c>
      <c r="J193" s="109">
        <f>psi_per_atm*9.43634174908999</f>
        <v>138.6764783446265</v>
      </c>
      <c r="K193" s="109"/>
      <c r="L193" s="77"/>
      <c r="M193" s="77"/>
      <c r="N193" s="109">
        <f>psi_per_atm*8.90076674177835</f>
        <v>130.80566803717463</v>
      </c>
      <c r="O193" s="109">
        <f>psi_per_atm*8.4054590196777</f>
        <v>123.52662575318348</v>
      </c>
      <c r="P193" s="109">
        <f>psi_per_atm*7.88525862312542</f>
        <v>115.88176072545117</v>
      </c>
      <c r="Q193" s="109">
        <f>psi_per_atm*7.33260309724499</f>
        <v>107.75993511711236</v>
      </c>
      <c r="R193" s="109">
        <f>psi_per_atm*6.74114747456371</f>
        <v>99.067903286188283</v>
      </c>
      <c r="S193" s="109">
        <f>psi_per_atm*6.10737302651112</f>
        <v>89.753953997607425</v>
      </c>
      <c r="T193" s="109"/>
      <c r="U193" s="77"/>
      <c r="V193" s="77"/>
      <c r="W193" s="109"/>
      <c r="X193" s="109"/>
      <c r="Y193" s="109"/>
      <c r="Z193" s="109"/>
      <c r="AA193" s="109"/>
      <c r="AB193" s="109"/>
      <c r="AC193" s="109"/>
      <c r="AD193" s="44"/>
      <c r="AE193" s="44"/>
      <c r="AF193" s="44"/>
      <c r="AG193" s="44"/>
      <c r="AH193" s="44"/>
      <c r="AI193" s="44"/>
    </row>
    <row r="194" spans="2:36">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row>
    <row r="195" spans="2:36">
      <c r="B195" t="s">
        <v>3987</v>
      </c>
      <c r="C195" s="3" t="s">
        <v>3988</v>
      </c>
      <c r="D195" s="3" t="s">
        <v>862</v>
      </c>
      <c r="E195" s="113">
        <f>gfdpsi_per_msatm*5.87658620126549E-07</f>
        <v>8.4791658834386996E-2</v>
      </c>
      <c r="F195" s="113">
        <f>gfdpsi_per_msatm*5.8761764483235E-07</f>
        <v>8.4785746620990712E-2</v>
      </c>
      <c r="G195" s="113">
        <f>gfdpsi_per_msatm*5.87565767834461E-07</f>
        <v>8.4778261430514965E-2</v>
      </c>
      <c r="H195" s="113">
        <f>gfdpsi_per_msatm*5.87499733562487E-07</f>
        <v>8.4768733525590528E-2</v>
      </c>
      <c r="I195" s="113">
        <f>gfdpsi_per_msatm*5.87414866178744E-07</f>
        <v>8.4756488242356265E-2</v>
      </c>
      <c r="J195" s="113">
        <f>gfdpsi_per_msatm*5.8730434664212E-07</f>
        <v>8.4740541679976328E-2</v>
      </c>
      <c r="K195" s="113"/>
      <c r="L195" s="77"/>
      <c r="M195" s="77"/>
      <c r="N195" s="113">
        <f>gfdpsi_per_msatm*5.87200525250831E-07</f>
        <v>8.4725561574710465E-2</v>
      </c>
      <c r="O195" s="113">
        <f>gfdpsi_per_msatm*5.8711852041957E-07</f>
        <v>8.4713729321363188E-2</v>
      </c>
      <c r="P195" s="113">
        <f>gfdpsi_per_msatm*5.87023809427356E-07</f>
        <v>8.4700063730721545E-2</v>
      </c>
      <c r="Q195" s="113">
        <f>gfdpsi_per_msatm*5.86914926748063E-07</f>
        <v>8.468435334601962E-2</v>
      </c>
      <c r="R195" s="113">
        <f>gfdpsi_per_msatm*5.86790670779029E-07</f>
        <v>8.466642479128797E-2</v>
      </c>
      <c r="S195" s="113">
        <f>gfdpsi_per_msatm*5.86650499987752E-07</f>
        <v>8.4646199930279484E-2</v>
      </c>
      <c r="T195" s="113"/>
      <c r="U195" s="77"/>
      <c r="V195" s="77"/>
      <c r="W195" s="113"/>
      <c r="X195" s="113"/>
      <c r="Y195" s="113"/>
      <c r="Z195" s="113"/>
      <c r="AA195" s="113"/>
      <c r="AB195" s="113"/>
      <c r="AC195" s="113"/>
      <c r="AD195" s="22"/>
      <c r="AE195" s="22"/>
      <c r="AF195" s="22"/>
      <c r="AG195" s="22"/>
      <c r="AH195" s="22"/>
      <c r="AI195" s="22"/>
    </row>
    <row r="196" spans="2:36">
      <c r="B196" t="s">
        <v>3989</v>
      </c>
      <c r="C196" s="3" t="s">
        <v>3990</v>
      </c>
      <c r="D196" s="3" t="s">
        <v>862</v>
      </c>
      <c r="E196" s="113">
        <f>gfd_per_mps*3.58133423397553E-08</f>
        <v>7.5940249236581187E-2</v>
      </c>
      <c r="F196" s="113">
        <f>gfd_per_mps*3.60176402462605E-08</f>
        <v>7.6373451862332617E-2</v>
      </c>
      <c r="G196" s="113">
        <f>gfd_per_mps*3.6269218474918E-08</f>
        <v>7.6906909845826682E-2</v>
      </c>
      <c r="H196" s="113">
        <f>gfd_per_mps*3.65848707393642E-08</f>
        <v>7.7576233345619833E-2</v>
      </c>
      <c r="I196" s="113">
        <f>gfd_per_mps*3.69888341465117E-08</f>
        <v>7.8432815831839947E-2</v>
      </c>
      <c r="J196" s="113">
        <f>gfd_per_mps*3.75169240575008E-08</f>
        <v>7.955260183448061E-2</v>
      </c>
      <c r="K196" s="113"/>
      <c r="L196" s="77"/>
      <c r="M196" s="77"/>
      <c r="N196" s="113">
        <f>gfd_per_mps*3.77629482251462E-08</f>
        <v>8.0074282732956109E-2</v>
      </c>
      <c r="O196" s="113">
        <f>gfd_per_mps*3.81335229635899E-08</f>
        <v>8.0860066358824409E-2</v>
      </c>
      <c r="P196" s="113">
        <f>gfd_per_mps*3.85569635484641E-08</f>
        <v>8.1757949143602501E-2</v>
      </c>
      <c r="Q196" s="113">
        <f>gfd_per_mps*3.9039207195932E-08</f>
        <v>8.278052063201724E-2</v>
      </c>
      <c r="R196" s="113">
        <f>gfd_per_mps*3.95842009285863E-08</f>
        <v>8.3936150271315096E-2</v>
      </c>
      <c r="S196" s="113">
        <f>gfd_per_mps*4.01917350213036E-08</f>
        <v>8.5224393350751368E-2</v>
      </c>
      <c r="T196" s="113"/>
      <c r="U196" s="77"/>
      <c r="V196" s="77"/>
      <c r="W196" s="113"/>
      <c r="X196" s="113"/>
      <c r="Y196" s="113"/>
      <c r="Z196" s="113"/>
      <c r="AA196" s="113"/>
      <c r="AB196" s="113"/>
      <c r="AC196" s="113"/>
      <c r="AD196" s="22"/>
      <c r="AE196" s="22"/>
      <c r="AF196" s="22"/>
      <c r="AG196" s="22"/>
      <c r="AH196" s="22"/>
      <c r="AI196" s="22"/>
    </row>
    <row r="197" spans="2:36">
      <c r="B197" t="s">
        <v>4160</v>
      </c>
      <c r="C197" s="3" t="s">
        <v>3991</v>
      </c>
      <c r="D197" s="3" t="s">
        <v>862</v>
      </c>
      <c r="E197" s="113">
        <v>1.0948677876410073</v>
      </c>
      <c r="F197" s="113">
        <v>1.1024108151389784</v>
      </c>
      <c r="G197" s="113">
        <v>1.1113452330118909</v>
      </c>
      <c r="H197" s="113">
        <v>1.1219357541311652</v>
      </c>
      <c r="I197" s="113">
        <v>1.134429287403701</v>
      </c>
      <c r="J197" s="113">
        <v>1.1489883378796595</v>
      </c>
      <c r="K197" s="113"/>
      <c r="L197" s="77"/>
      <c r="M197" s="77"/>
      <c r="N197" s="113">
        <v>1.0838670988894235</v>
      </c>
      <c r="O197" s="113">
        <v>1.0871030630812746</v>
      </c>
      <c r="P197" s="113">
        <v>1.0901854457518656</v>
      </c>
      <c r="Q197" s="113">
        <v>1.0928629062998323</v>
      </c>
      <c r="R197" s="113">
        <v>1.0947824005835853</v>
      </c>
      <c r="S197" s="113">
        <v>1.0954864578385521</v>
      </c>
      <c r="T197" s="113"/>
      <c r="U197" s="77"/>
      <c r="V197" s="77"/>
      <c r="W197" s="113"/>
      <c r="X197" s="113"/>
      <c r="Y197" s="113"/>
      <c r="Z197" s="113"/>
      <c r="AA197" s="113"/>
      <c r="AB197" s="113"/>
      <c r="AC197" s="113"/>
      <c r="AD197" s="22"/>
      <c r="AE197" s="22"/>
      <c r="AF197" s="22"/>
      <c r="AG197" s="22"/>
      <c r="AH197" s="22"/>
      <c r="AI197" s="22"/>
    </row>
    <row r="198" spans="2:36">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row>
    <row r="199" spans="2:36">
      <c r="B199" t="s">
        <v>3992</v>
      </c>
      <c r="C199" s="3" t="s">
        <v>3993</v>
      </c>
      <c r="D199" s="3" t="s">
        <v>277</v>
      </c>
      <c r="E199" s="109">
        <f>SUM(el_1_1 feed_conc_out)-SUM(el_1_1 feed_gas_out)</f>
        <v>2588.2074744330666</v>
      </c>
      <c r="F199" s="109">
        <f>SUM(el_1_2 feed_conc_out)-SUM(el_1_2 feed_gas_out)</f>
        <v>2876.8698937924346</v>
      </c>
      <c r="G199" s="109">
        <f>SUM(el_1_3 feed_conc_out)-SUM(el_1_3 feed_gas_out)</f>
        <v>3224.9205589984699</v>
      </c>
      <c r="H199" s="109">
        <f>SUM(el_1_4 feed_conc_out)-SUM(el_1_4 feed_gas_out)</f>
        <v>3651.5797943711832</v>
      </c>
      <c r="I199" s="109">
        <f>SUM(el_1_5 feed_conc_out)-SUM(el_1_5 feed_gas_out)</f>
        <v>4184.3117643252954</v>
      </c>
      <c r="J199" s="109">
        <f>SUM(el_1_6 feed_conc_out)-SUM(el_1_6 feed_gas_out)</f>
        <v>4862.877611502975</v>
      </c>
      <c r="K199" s="109"/>
      <c r="L199" s="77"/>
      <c r="M199" s="77"/>
      <c r="N199" s="109">
        <f>SUM(el_2_1 feed_conc_out)-SUM(el_2_1 feed_gas_out)</f>
        <v>5745.3905893461779</v>
      </c>
      <c r="O199" s="109">
        <f>SUM(el_2_2 feed_conc_out)-SUM(el_2_2 feed_gas_out)</f>
        <v>6306.9495299828968</v>
      </c>
      <c r="P199" s="109">
        <f>SUM(el_2_3 feed_conc_out)-SUM(el_2_3 feed_gas_out)</f>
        <v>6948.2945364354164</v>
      </c>
      <c r="Q199" s="109">
        <f>SUM(el_2_4 feed_conc_out)-SUM(el_2_4 feed_gas_out)</f>
        <v>7681.0065859100623</v>
      </c>
      <c r="R199" s="109">
        <f>SUM(el_2_5 feed_conc_out)-SUM(el_2_5 feed_gas_out)</f>
        <v>8516.0304800289323</v>
      </c>
      <c r="S199" s="109">
        <f>SUM(el_2_6 feed_conc_out)-SUM(el_2_6 feed_gas_out)</f>
        <v>9461.4912164799007</v>
      </c>
      <c r="T199" s="109"/>
      <c r="U199" s="77"/>
      <c r="V199" s="77"/>
      <c r="W199" s="109"/>
      <c r="X199" s="109"/>
      <c r="Y199" s="109"/>
      <c r="Z199" s="109"/>
      <c r="AA199" s="109"/>
      <c r="AB199" s="109"/>
      <c r="AC199" s="109"/>
      <c r="AD199" s="44"/>
      <c r="AE199" s="44"/>
      <c r="AF199" s="44"/>
      <c r="AG199" s="44"/>
      <c r="AH199" s="44"/>
      <c r="AI199" s="44"/>
      <c r="AJ199" s="44"/>
    </row>
    <row r="200" spans="2:36">
      <c r="B200" t="s">
        <v>3994</v>
      </c>
      <c r="C200" s="3" t="s">
        <v>3995</v>
      </c>
      <c r="D200" s="3" t="s">
        <v>278</v>
      </c>
      <c r="E200" s="109">
        <f>SUM(el_1_1 perm_conc_out)-SUM(el_1_1 perm_gas_out)</f>
        <v>10.425914830115907</v>
      </c>
      <c r="F200" s="109">
        <f>SUM(el_1_2 perm_conc_out)-SUM(el_1_2 perm_gas_out)</f>
        <v>12.126463663811911</v>
      </c>
      <c r="G200" s="109">
        <f>SUM(el_1_3 perm_conc_out)-SUM(el_1_3 perm_gas_out)</f>
        <v>14.28761339132938</v>
      </c>
      <c r="H200" s="109">
        <f>SUM(el_1_4 perm_conc_out)-SUM(el_1_4 perm_gas_out)</f>
        <v>17.117809526575805</v>
      </c>
      <c r="I200" s="109">
        <f>SUM(el_1_5 perm_conc_out)-SUM(el_1_5 perm_gas_out)</f>
        <v>20.962570415405345</v>
      </c>
      <c r="J200" s="109">
        <f>SUM(el_1_6 perm_conc_out)-SUM(el_1_6 perm_gas_out)</f>
        <v>26.416614761678282</v>
      </c>
      <c r="K200" s="109"/>
      <c r="L200" s="77"/>
      <c r="M200" s="77"/>
      <c r="N200" s="109">
        <f>SUM(el_2_1 perm_conc_out)-SUM(el_2_1 perm_gas_out)</f>
        <v>31.402155130173561</v>
      </c>
      <c r="O200" s="109">
        <f>SUM(el_2_2 perm_conc_out)-SUM(el_2_2 perm_gas_out)</f>
        <v>36.952785758341953</v>
      </c>
      <c r="P200" s="109">
        <f>SUM(el_2_3 perm_conc_out)-SUM(el_2_3 perm_gas_out)</f>
        <v>43.976733956565234</v>
      </c>
      <c r="Q200" s="109">
        <f>SUM(el_2_4 perm_conc_out)-SUM(el_2_4 perm_gas_out)</f>
        <v>53.024095232235659</v>
      </c>
      <c r="R200" s="109">
        <f>SUM(el_2_5 perm_conc_out)-SUM(el_2_5 perm_gas_out)</f>
        <v>64.894534306622091</v>
      </c>
      <c r="S200" s="109">
        <f>SUM(el_2_6 perm_conc_out)-SUM(el_2_6 perm_gas_out)</f>
        <v>80.759988910893668</v>
      </c>
      <c r="T200" s="109"/>
      <c r="U200" s="77"/>
      <c r="V200" s="77"/>
      <c r="W200" s="109"/>
      <c r="X200" s="109"/>
      <c r="Y200" s="109"/>
      <c r="Z200" s="109"/>
      <c r="AA200" s="109"/>
      <c r="AB200" s="109"/>
      <c r="AC200" s="109"/>
      <c r="AD200" s="44"/>
      <c r="AE200" s="44"/>
      <c r="AF200" s="44"/>
      <c r="AG200" s="44"/>
      <c r="AH200" s="44"/>
      <c r="AI200" s="44"/>
      <c r="AJ200" s="44"/>
    </row>
    <row r="201" spans="2:36">
      <c r="B201" t="s">
        <v>3996</v>
      </c>
      <c r="C201" s="3" t="s">
        <v>2062</v>
      </c>
      <c r="D201" s="3" t="s">
        <v>279</v>
      </c>
      <c r="E201" s="109">
        <f>SUM(el_1_1 conc_conc_out)-SUM(el_1_1 conc_gas_out)</f>
        <v>2876.8698937924346</v>
      </c>
      <c r="F201" s="109">
        <f>SUM(el_1_2 conc_conc_out)-SUM(el_1_2 conc_gas_out)</f>
        <v>3224.9205589984699</v>
      </c>
      <c r="G201" s="109">
        <f>SUM(el_1_3 conc_conc_out)-SUM(el_1_3 conc_gas_out)</f>
        <v>3651.5797943711832</v>
      </c>
      <c r="H201" s="109">
        <f>SUM(el_1_4 conc_conc_out)-SUM(el_1_4 conc_gas_out)</f>
        <v>4184.3117643252954</v>
      </c>
      <c r="I201" s="109">
        <f>SUM(el_1_5 conc_conc_out)-SUM(el_1_5 conc_gas_out)</f>
        <v>4862.877611502975</v>
      </c>
      <c r="J201" s="109">
        <f>SUM(el_1_6 conc_conc_out)-SUM(el_1_6 conc_gas_out)</f>
        <v>5745.3905893461779</v>
      </c>
      <c r="K201" s="109"/>
      <c r="L201" s="77"/>
      <c r="M201" s="77"/>
      <c r="N201" s="109">
        <f>SUM(el_2_1 conc_conc_out)-SUM(el_2_1 conc_gas_out)</f>
        <v>6306.9495299828968</v>
      </c>
      <c r="O201" s="109">
        <f>SUM(el_2_2 conc_conc_out)-SUM(el_2_2 conc_gas_out)</f>
        <v>6948.2945364354164</v>
      </c>
      <c r="P201" s="109">
        <f>SUM(el_2_3 conc_conc_out)-SUM(el_2_3 conc_gas_out)</f>
        <v>7681.0065859100623</v>
      </c>
      <c r="Q201" s="109">
        <f>SUM(el_2_4 conc_conc_out)-SUM(el_2_4 conc_gas_out)</f>
        <v>8516.0304800289323</v>
      </c>
      <c r="R201" s="109">
        <f>SUM(el_2_5 conc_conc_out)-SUM(el_2_5 conc_gas_out)</f>
        <v>9461.4912164799007</v>
      </c>
      <c r="S201" s="109">
        <f>SUM(el_2_6 conc_conc_out)-SUM(el_2_6 conc_gas_out)</f>
        <v>10519.240007020231</v>
      </c>
      <c r="T201" s="109"/>
      <c r="U201" s="77"/>
      <c r="V201" s="77"/>
      <c r="W201" s="109"/>
      <c r="X201" s="109"/>
      <c r="Y201" s="109"/>
      <c r="Z201" s="109"/>
      <c r="AA201" s="109"/>
      <c r="AB201" s="109"/>
      <c r="AC201" s="109"/>
      <c r="AD201" s="44"/>
      <c r="AE201" s="44"/>
      <c r="AF201" s="44"/>
      <c r="AG201" s="44"/>
      <c r="AH201" s="44"/>
      <c r="AI201" s="44"/>
      <c r="AJ201" s="44"/>
    </row>
    <row r="202" spans="2:36">
      <c r="B202" t="s">
        <v>2063</v>
      </c>
      <c r="C202" s="3" t="s">
        <v>2064</v>
      </c>
      <c r="D202" s="3" t="s">
        <v>2065</v>
      </c>
      <c r="E202" s="109">
        <f>el_1_1 perm_tds_out</f>
        <v>10.425914830115907</v>
      </c>
      <c r="F202" s="109">
        <f>(el_1_1 c_perm_tds_out * el_1_1 c_perm_flow_out + el_1_2 perm_tds_out * el_1_2 perm_flow_out) / el_1_2 c_perm_flow_out</f>
        <v>11.262109278881688</v>
      </c>
      <c r="G202" s="109">
        <f>(el_1_2 c_perm_tds_out * el_1_2 c_perm_flow_out + el_1_3 perm_tds_out * el_1_3 perm_flow_out) / el_1_3 c_perm_flow_out</f>
        <v>12.236075569282095</v>
      </c>
      <c r="H202" s="109">
        <f>(el_1_3 c_perm_tds_out * el_1_3 c_perm_flow_out + el_1_4 perm_tds_out * el_1_4 perm_flow_out) / el_1_4 c_perm_flow_out</f>
        <v>13.390399908047931</v>
      </c>
      <c r="I202" s="109">
        <f>(el_1_4 c_perm_tds_out * el_1_4 c_perm_flow_out + el_1_5 perm_tds_out * el_1_5 perm_flow_out) / el_1_5 c_perm_flow_out</f>
        <v>14.78664586851029</v>
      </c>
      <c r="J202" s="109">
        <f>(el_1_5 c_perm_tds_out * el_1_5 c_perm_flow_out + el_1_6 perm_tds_out * el_1_6 perm_flow_out) / el_1_6 c_perm_flow_out</f>
        <v>16.515232648332098</v>
      </c>
      <c r="K202" s="109"/>
      <c r="L202" s="77"/>
      <c r="M202" s="77"/>
      <c r="N202" s="109">
        <f>el_2_1 perm_tds_out</f>
        <v>31.402155130173561</v>
      </c>
      <c r="O202" s="109">
        <f>(el_2_1 c_perm_tds_out * el_2_1 c_perm_flow_out + el_2_2 perm_tds_out * el_2_2 perm_flow_out) / el_2_2 c_perm_flow_out</f>
        <v>34.097846705974867</v>
      </c>
      <c r="P202" s="109">
        <f>(el_2_2 c_perm_tds_out * el_2_2 c_perm_flow_out + el_2_3 perm_tds_out * el_2_3 perm_flow_out) / el_2_3 c_perm_flow_out</f>
        <v>37.18957019152375</v>
      </c>
      <c r="Q202" s="109">
        <f>(el_2_3 c_perm_tds_out * el_2_3 c_perm_flow_out + el_2_4 perm_tds_out * el_2_4 perm_flow_out) / el_2_4 c_perm_flow_out</f>
        <v>40.75853127251608</v>
      </c>
      <c r="R202" s="109">
        <f>(el_2_4 c_perm_tds_out * el_2_4 c_perm_flow_out + el_2_5 perm_tds_out * el_2_5 perm_flow_out) / el_2_5 c_perm_flow_out</f>
        <v>44.900611273999331</v>
      </c>
      <c r="S202" s="109">
        <f>(el_2_5 c_perm_tds_out * el_2_5 c_perm_flow_out + el_2_6 perm_tds_out * el_2_6 perm_flow_out) / el_2_6 c_perm_flow_out</f>
        <v>49.724800941856799</v>
      </c>
      <c r="T202" s="109"/>
      <c r="U202" s="77"/>
      <c r="V202" s="77"/>
      <c r="W202" s="109"/>
      <c r="X202" s="109"/>
      <c r="Y202" s="109"/>
      <c r="Z202" s="109"/>
      <c r="AA202" s="109"/>
      <c r="AB202" s="109"/>
      <c r="AC202" s="109"/>
      <c r="AD202" s="44"/>
      <c r="AE202" s="44"/>
      <c r="AF202" s="44"/>
      <c r="AG202" s="44"/>
      <c r="AH202" s="44"/>
      <c r="AI202" s="44"/>
      <c r="AJ202" s="44"/>
    </row>
    <row r="203" spans="2:36">
      <c r="B203" t="s">
        <v>1947</v>
      </c>
      <c r="C203" s="3" t="s">
        <v>3634</v>
      </c>
      <c r="D203" s="3" t="s">
        <v>835</v>
      </c>
      <c r="E203" s="111">
        <f>1 - el_1_1 perm_tds_out / el_1_1 feed_tds_out</f>
        <v>0.99597176233624796</v>
      </c>
      <c r="F203" s="111">
        <f>1 - el_1_2 perm_tds_out / el_1_2 feed_tds_out</f>
        <v>0.99578484112542676</v>
      </c>
      <c r="G203" s="111">
        <f>1 - el_1_3 perm_tds_out / el_1_3 feed_tds_out</f>
        <v>0.9955696231488671</v>
      </c>
      <c r="H203" s="111">
        <f>1 - el_1_4 perm_tds_out / el_1_4 feed_tds_out</f>
        <v>0.99531221813830761</v>
      </c>
      <c r="I203" s="111">
        <f>1 - el_1_5 perm_tds_out / el_1_5 feed_tds_out</f>
        <v>0.99499019872416572</v>
      </c>
      <c r="J203" s="111">
        <f>1 - el_1_6 perm_tds_out / el_1_6 feed_tds_out</f>
        <v>0.99456769903088027</v>
      </c>
      <c r="K203" s="111"/>
      <c r="L203" s="77"/>
      <c r="M203" s="77"/>
      <c r="N203" s="111">
        <f>1 - el_2_1 perm_tds_out / el_2_1 feed_tds_out</f>
        <v>0.99453437418364499</v>
      </c>
      <c r="O203" s="111">
        <f>1 - el_2_2 perm_tds_out / el_2_2 feed_tds_out</f>
        <v>0.99414094157838584</v>
      </c>
      <c r="P203" s="111">
        <f>1 - el_2_3 perm_tds_out / el_2_3 feed_tds_out</f>
        <v>0.99367085926971566</v>
      </c>
      <c r="Q203" s="111">
        <f>1 - el_2_4 perm_tds_out / el_2_4 feed_tds_out</f>
        <v>0.99309672571697793</v>
      </c>
      <c r="R203" s="111">
        <f>1 - el_2_5 perm_tds_out / el_2_5 feed_tds_out</f>
        <v>0.99237972028648713</v>
      </c>
      <c r="S203" s="111">
        <f>1 - el_2_6 perm_tds_out / el_2_6 feed_tds_out</f>
        <v>0.99146434879417034</v>
      </c>
      <c r="T203" s="111"/>
      <c r="U203" s="77"/>
      <c r="V203" s="77"/>
      <c r="W203" s="111"/>
      <c r="X203" s="111"/>
      <c r="Y203" s="111"/>
      <c r="Z203" s="111"/>
      <c r="AA203" s="111"/>
      <c r="AB203" s="111"/>
      <c r="AC203" s="111"/>
      <c r="AD203" s="36"/>
      <c r="AE203" s="36"/>
      <c r="AF203" s="36"/>
      <c r="AG203" s="36"/>
      <c r="AH203" s="36"/>
      <c r="AI203" s="36"/>
      <c r="AJ203" s="36"/>
    </row>
    <row r="204" spans="2:36">
      <c r="B204" t="s">
        <v>836</v>
      </c>
      <c r="C204" s="3" t="s">
        <v>837</v>
      </c>
      <c r="D204" s="3" t="s">
        <v>838</v>
      </c>
      <c r="E204" s="111">
        <f>1 - el_1_1 c_perm_tds_out / el_1_1 feed_tds_out</f>
        <v>0.99597176233624796</v>
      </c>
      <c r="F204" s="111">
        <f>1 - el_1_2 c_perm_tds_out / el_1_1 feed_tds_out</f>
        <v>0.9956486837357007</v>
      </c>
      <c r="G204" s="111">
        <f>1 - el_1_3 c_perm_tds_out / el_1_1 feed_tds_out</f>
        <v>0.9952723745332811</v>
      </c>
      <c r="H204" s="111">
        <f>1 - el_1_4 c_perm_tds_out / el_1_1 feed_tds_out</f>
        <v>0.99482638079044228</v>
      </c>
      <c r="I204" s="111">
        <f>1 - el_1_5 c_perm_tds_out / el_1_1 feed_tds_out</f>
        <v>0.99428691632545829</v>
      </c>
      <c r="J204" s="111">
        <f>1 - el_1_6 c_perm_tds_out / el_1_1 feed_tds_out</f>
        <v>0.99361904607282314</v>
      </c>
      <c r="K204" s="111"/>
      <c r="L204" s="77"/>
      <c r="M204" s="77"/>
      <c r="N204" s="111">
        <f>1 - el_2_1 c_perm_tds_out / el_2_1 feed_tds_out</f>
        <v>0.99453437418364499</v>
      </c>
      <c r="O204" s="111">
        <f>1 - el_2_2 c_perm_tds_out / el_2_1 feed_tds_out</f>
        <v>0.99406518213588413</v>
      </c>
      <c r="P204" s="111">
        <f>1 - el_2_3 c_perm_tds_out / el_2_1 feed_tds_out</f>
        <v>0.9935270597162732</v>
      </c>
      <c r="Q204" s="111">
        <f>1 - el_2_4 c_perm_tds_out / el_2_1 feed_tds_out</f>
        <v>0.99290587286648613</v>
      </c>
      <c r="R204" s="111">
        <f>1 - el_2_5 c_perm_tds_out / el_2_1 feed_tds_out</f>
        <v>0.99218493319544543</v>
      </c>
      <c r="S204" s="111">
        <f>1 - el_2_6 c_perm_tds_out / el_2_1 feed_tds_out</f>
        <v>0.99134527058368094</v>
      </c>
      <c r="T204" s="111"/>
      <c r="U204" s="77"/>
      <c r="V204" s="77"/>
      <c r="W204" s="111"/>
      <c r="X204" s="111"/>
      <c r="Y204" s="111"/>
      <c r="Z204" s="111"/>
      <c r="AA204" s="111"/>
      <c r="AB204" s="111"/>
      <c r="AC204" s="111"/>
      <c r="AD204" s="36"/>
      <c r="AE204" s="36"/>
      <c r="AF204" s="36"/>
      <c r="AG204" s="36"/>
      <c r="AH204" s="36"/>
      <c r="AI204" s="36"/>
      <c r="AJ204" s="36"/>
    </row>
    <row r="205" spans="2:36" s="77" customFormat="1">
      <c r="C205" s="97"/>
      <c r="D205" s="97"/>
    </row>
    <row r="206" spans="2:36">
      <c r="B206" t="s">
        <v>640</v>
      </c>
      <c r="C206" s="3" t="s">
        <v>434</v>
      </c>
      <c r="D206" s="3" t="s">
        <v>862</v>
      </c>
      <c r="E206" s="100">
        <v>4.3400884713569816</v>
      </c>
      <c r="F206" s="100">
        <v>4.405159702110967</v>
      </c>
      <c r="G206" s="100">
        <v>4.4757438509617762</v>
      </c>
      <c r="H206" s="100">
        <v>4.5534663961924515</v>
      </c>
      <c r="I206" s="100">
        <v>4.64052418695056</v>
      </c>
      <c r="J206" s="100">
        <v>4.7397729075254231</v>
      </c>
      <c r="K206" s="100"/>
      <c r="L206" s="100"/>
      <c r="M206" s="100"/>
      <c r="N206" s="100">
        <v>4.8138668206213469</v>
      </c>
      <c r="O206" s="100">
        <v>4.8835693347377349</v>
      </c>
      <c r="P206" s="100">
        <v>4.9580072549470264</v>
      </c>
      <c r="Q206" s="100">
        <v>5.0379294876855401</v>
      </c>
      <c r="R206" s="100">
        <v>5.124098634017483</v>
      </c>
      <c r="S206" s="100">
        <v>5.2172243336731272</v>
      </c>
      <c r="T206" s="100"/>
      <c r="U206" s="100"/>
      <c r="V206" s="100"/>
      <c r="W206" s="100"/>
      <c r="X206" s="100"/>
      <c r="Y206" s="100"/>
      <c r="Z206" s="100"/>
      <c r="AA206" s="100"/>
      <c r="AB206" s="100"/>
      <c r="AC206" s="100"/>
    </row>
    <row r="207" spans="2:36">
      <c r="B207" t="s">
        <v>178</v>
      </c>
      <c r="C207" s="3" t="s">
        <v>435</v>
      </c>
      <c r="D207" s="3" t="s">
        <v>862</v>
      </c>
      <c r="E207" s="100">
        <v>6.5419887912028907</v>
      </c>
      <c r="F207" s="100">
        <v>6.5875229648551619</v>
      </c>
      <c r="G207" s="100">
        <v>6.6369388256329236</v>
      </c>
      <c r="H207" s="100">
        <v>6.6909551731837924</v>
      </c>
      <c r="I207" s="100">
        <v>6.7503968094277553</v>
      </c>
      <c r="J207" s="100">
        <v>6.8161566756307765</v>
      </c>
      <c r="K207" s="100"/>
      <c r="L207" s="100"/>
      <c r="M207" s="100"/>
      <c r="N207" s="100">
        <v>6.8528434232992055</v>
      </c>
      <c r="O207" s="100">
        <v>6.8908776196960071</v>
      </c>
      <c r="P207" s="100">
        <v>6.9301839624410535</v>
      </c>
      <c r="Q207" s="100">
        <v>6.9705761728437574</v>
      </c>
      <c r="R207" s="100">
        <v>7.0117127040708649</v>
      </c>
      <c r="S207" s="100">
        <v>7.0530516443696278</v>
      </c>
      <c r="T207" s="100"/>
      <c r="U207" s="100"/>
      <c r="V207" s="100"/>
      <c r="W207" s="100"/>
      <c r="X207" s="100"/>
      <c r="Y207" s="100"/>
      <c r="Z207" s="100"/>
      <c r="AA207" s="100"/>
      <c r="AB207" s="100"/>
      <c r="AC207" s="100"/>
    </row>
    <row r="208" spans="2:36">
      <c r="B208" t="s">
        <v>268</v>
      </c>
      <c r="C208" s="3" t="s">
        <v>269</v>
      </c>
      <c r="D208" s="3" t="s">
        <v>862</v>
      </c>
      <c r="E208" s="100">
        <v>6.3290576500523665E-2</v>
      </c>
      <c r="F208" s="100">
        <v>7.0952593845063069E-2</v>
      </c>
      <c r="G208" s="100">
        <v>8.0346078565242285E-2</v>
      </c>
      <c r="H208" s="100">
        <v>9.2076303029620957E-2</v>
      </c>
      <c r="I208" s="100">
        <v>0.10701976500585859</v>
      </c>
      <c r="J208" s="100">
        <v>0.12645794746281713</v>
      </c>
      <c r="K208" s="100"/>
      <c r="L208" s="100"/>
      <c r="M208" s="100"/>
      <c r="N208" s="100">
        <v>0.13882847334436052</v>
      </c>
      <c r="O208" s="100">
        <v>0.15295852427673426</v>
      </c>
      <c r="P208" s="100">
        <v>0.16910409475771848</v>
      </c>
      <c r="Q208" s="100">
        <v>0.18750750649247433</v>
      </c>
      <c r="R208" s="100">
        <v>0.20834939153393148</v>
      </c>
      <c r="S208" s="100">
        <v>0.23167265798639408</v>
      </c>
      <c r="T208" s="100"/>
      <c r="U208" s="100"/>
      <c r="V208" s="100"/>
      <c r="W208" s="100"/>
      <c r="X208" s="100"/>
      <c r="Y208" s="100"/>
      <c r="Z208" s="100"/>
      <c r="AA208" s="100"/>
      <c r="AB208" s="100"/>
      <c r="AC208" s="100"/>
    </row>
    <row r="209" spans="2:36">
      <c r="B209" t="s">
        <v>436</v>
      </c>
      <c r="C209" s="3" t="s">
        <v>437</v>
      </c>
      <c r="D209" s="3" t="s">
        <v>862</v>
      </c>
      <c r="E209" s="100">
        <v>-0.91747946084593845</v>
      </c>
      <c r="F209" s="100">
        <v>-0.79026971095718146</v>
      </c>
      <c r="G209" s="100">
        <v>-0.65209528714460507</v>
      </c>
      <c r="H209" s="100">
        <v>-0.50078950856227333</v>
      </c>
      <c r="I209" s="100">
        <v>-0.33376869086817873</v>
      </c>
      <c r="J209" s="100">
        <v>-0.1480473765791066</v>
      </c>
      <c r="K209" s="100"/>
      <c r="L209" s="100"/>
      <c r="M209" s="100"/>
      <c r="N209" s="100">
        <v>-4.3854657179251078E-2</v>
      </c>
      <c r="O209" s="100">
        <v>6.4727507022391606E-2</v>
      </c>
      <c r="P209" s="100">
        <v>0.17765970128909103</v>
      </c>
      <c r="Q209" s="100">
        <v>0.29461527713497571</v>
      </c>
      <c r="R209" s="100">
        <v>0.41483966465573729</v>
      </c>
      <c r="S209" s="100">
        <v>0.53698937626450949</v>
      </c>
      <c r="T209" s="100"/>
      <c r="U209" s="100"/>
      <c r="V209" s="100"/>
      <c r="W209" s="100"/>
      <c r="X209" s="100"/>
      <c r="Y209" s="100"/>
      <c r="Z209" s="100"/>
      <c r="AA209" s="100"/>
      <c r="AB209" s="100"/>
      <c r="AC209" s="100"/>
    </row>
    <row r="210" spans="2:36">
      <c r="B210" t="s">
        <v>1675</v>
      </c>
      <c r="C210" s="3" t="s">
        <v>1838</v>
      </c>
      <c r="D210" s="3" t="s">
        <v>862</v>
      </c>
      <c r="E210" s="150">
        <v>0.30391737183185219</v>
      </c>
      <c r="F210" s="150">
        <v>0.35427083608683813</v>
      </c>
      <c r="G210" s="150">
        <v>0.41740203721736424</v>
      </c>
      <c r="H210" s="150">
        <v>0.49803530417316999</v>
      </c>
      <c r="I210" s="150">
        <v>0.60314403748503531</v>
      </c>
      <c r="J210" s="150">
        <v>0.74317387543320768</v>
      </c>
      <c r="K210" s="150"/>
      <c r="L210" s="150"/>
      <c r="M210" s="150"/>
      <c r="N210" s="150">
        <v>0.83395482696230694</v>
      </c>
      <c r="O210" s="150">
        <v>0.93907917840170863</v>
      </c>
      <c r="P210" s="150">
        <v>1.0609302773577662</v>
      </c>
      <c r="Q210" s="150">
        <v>1.201932667315164</v>
      </c>
      <c r="R210" s="150">
        <v>1.3641960262256898</v>
      </c>
      <c r="S210" s="150">
        <v>1.548902366060775</v>
      </c>
      <c r="T210" s="150"/>
      <c r="U210" s="150"/>
      <c r="V210" s="150"/>
      <c r="W210" s="150"/>
      <c r="X210" s="150"/>
      <c r="Y210" s="150"/>
      <c r="Z210" s="150"/>
      <c r="AA210" s="150"/>
      <c r="AB210" s="150"/>
      <c r="AC210" s="150"/>
    </row>
    <row r="211" spans="2:36">
      <c r="B211" t="s">
        <v>4189</v>
      </c>
      <c r="C211" s="3" t="s">
        <v>4193</v>
      </c>
      <c r="D211" s="3" t="s">
        <v>862</v>
      </c>
      <c r="E211" s="150">
        <v>5.0555468154987739</v>
      </c>
      <c r="F211" s="150">
        <v>5.8001950133096285</v>
      </c>
      <c r="G211" s="150">
        <v>6.7208330172844928</v>
      </c>
      <c r="H211" s="150">
        <v>7.880024516527639</v>
      </c>
      <c r="I211" s="150">
        <v>9.3692013847404656</v>
      </c>
      <c r="J211" s="150">
        <v>11.323920105028428</v>
      </c>
      <c r="K211" s="150"/>
      <c r="L211" s="150"/>
      <c r="M211" s="150"/>
      <c r="N211" s="150">
        <v>12.577225086880144</v>
      </c>
      <c r="O211" s="150">
        <v>14.017582757870059</v>
      </c>
      <c r="P211" s="150">
        <v>15.674921789304744</v>
      </c>
      <c r="Q211" s="150">
        <v>17.579437452142031</v>
      </c>
      <c r="R211" s="150">
        <v>19.757065963667063</v>
      </c>
      <c r="S211" s="150">
        <v>22.221742129219081</v>
      </c>
      <c r="T211" s="150"/>
      <c r="U211" s="150"/>
      <c r="V211" s="150"/>
      <c r="W211" s="150"/>
      <c r="X211" s="150"/>
      <c r="Y211" s="150"/>
      <c r="Z211" s="150"/>
      <c r="AA211" s="150"/>
      <c r="AB211" s="150"/>
      <c r="AC211" s="150"/>
    </row>
    <row r="212" spans="2:36">
      <c r="B212" t="s">
        <v>4190</v>
      </c>
      <c r="C212" s="3" t="s">
        <v>4194</v>
      </c>
      <c r="D212" s="3" t="s">
        <v>862</v>
      </c>
      <c r="E212" s="150">
        <v>6.1469433376031432E-2</v>
      </c>
      <c r="F212" s="150">
        <v>7.0248824817937372E-2</v>
      </c>
      <c r="G212" s="150">
        <v>8.1221783006110548E-2</v>
      </c>
      <c r="H212" s="150">
        <v>9.5260391084328294E-2</v>
      </c>
      <c r="I212" s="150">
        <v>0.11367869341640149</v>
      </c>
      <c r="J212" s="150">
        <v>0.13840466609519347</v>
      </c>
      <c r="K212" s="150"/>
      <c r="L212" s="150"/>
      <c r="M212" s="150"/>
      <c r="N212" s="150">
        <v>0.15442608262129692</v>
      </c>
      <c r="O212" s="150">
        <v>0.17274894309547839</v>
      </c>
      <c r="P212" s="150">
        <v>0.19328297387788623</v>
      </c>
      <c r="Q212" s="150">
        <v>0.21535655032865803</v>
      </c>
      <c r="R212" s="150">
        <v>0.23727482319163448</v>
      </c>
      <c r="S212" s="150">
        <v>0.25598552211159958</v>
      </c>
      <c r="T212" s="150"/>
      <c r="U212" s="150"/>
      <c r="V212" s="150"/>
      <c r="W212" s="150"/>
      <c r="X212" s="150"/>
      <c r="Y212" s="150"/>
      <c r="Z212" s="150"/>
      <c r="AA212" s="150"/>
      <c r="AB212" s="150"/>
      <c r="AC212" s="150"/>
    </row>
    <row r="213" spans="2:36">
      <c r="B213" t="s">
        <v>1836</v>
      </c>
      <c r="C213" s="3" t="s">
        <v>2655</v>
      </c>
      <c r="D213" s="3" t="s">
        <v>862</v>
      </c>
      <c r="E213" s="150">
        <v>3.4589128671207094E-2</v>
      </c>
      <c r="F213" s="150">
        <v>4.6251689575601829E-2</v>
      </c>
      <c r="G213" s="150">
        <v>6.3375691011558891E-2</v>
      </c>
      <c r="H213" s="150">
        <v>8.9399120926786646E-2</v>
      </c>
      <c r="I213" s="150">
        <v>0.1305268681889962</v>
      </c>
      <c r="J213" s="150">
        <v>0.19844066922321621</v>
      </c>
      <c r="K213" s="150"/>
      <c r="L213" s="150"/>
      <c r="M213" s="150"/>
      <c r="N213" s="150">
        <v>0.25074787534291593</v>
      </c>
      <c r="O213" s="150">
        <v>0.31968999988550112</v>
      </c>
      <c r="P213" s="150">
        <v>0.41112374162867882</v>
      </c>
      <c r="Q213" s="150">
        <v>0.53277532620664281</v>
      </c>
      <c r="R213" s="150">
        <v>0.69438977250764533</v>
      </c>
      <c r="S213" s="150">
        <v>0.90731210350441549</v>
      </c>
      <c r="T213" s="150"/>
      <c r="U213" s="150"/>
      <c r="V213" s="150"/>
      <c r="W213" s="150"/>
      <c r="X213" s="150"/>
      <c r="Y213" s="150"/>
      <c r="Z213" s="150"/>
      <c r="AA213" s="150"/>
      <c r="AB213" s="150"/>
      <c r="AC213" s="150"/>
    </row>
    <row r="214" spans="2:36">
      <c r="B214" t="s">
        <v>1835</v>
      </c>
      <c r="C214" s="3" t="s">
        <v>2654</v>
      </c>
      <c r="D214" s="3" t="s">
        <v>862</v>
      </c>
      <c r="E214" s="150">
        <v>4.9932621141017125E-2</v>
      </c>
      <c r="F214" s="150">
        <v>5.5971902724261433E-2</v>
      </c>
      <c r="G214" s="150">
        <v>6.3374845434528732E-2</v>
      </c>
      <c r="H214" s="150">
        <v>7.2617767574421149E-2</v>
      </c>
      <c r="I214" s="150">
        <v>8.4390181630287789E-2</v>
      </c>
      <c r="J214" s="150">
        <v>9.9699700597534816E-2</v>
      </c>
      <c r="K214" s="150"/>
      <c r="L214" s="150"/>
      <c r="M214" s="150"/>
      <c r="N214" s="150">
        <v>0.10944084417566777</v>
      </c>
      <c r="O214" s="150">
        <v>0.12056533567922581</v>
      </c>
      <c r="P214" s="150">
        <v>0.13327375821471876</v>
      </c>
      <c r="Q214" s="150">
        <v>0.14775553869231817</v>
      </c>
      <c r="R214" s="150">
        <v>0.16415103799527644</v>
      </c>
      <c r="S214" s="150">
        <v>0.18249161562809987</v>
      </c>
      <c r="T214" s="150"/>
      <c r="U214" s="150"/>
      <c r="V214" s="150"/>
      <c r="W214" s="150"/>
      <c r="X214" s="150"/>
      <c r="Y214" s="150"/>
      <c r="Z214" s="150"/>
      <c r="AA214" s="150"/>
      <c r="AB214" s="150"/>
      <c r="AC214" s="150"/>
    </row>
    <row r="215" spans="2:36" s="77" customFormat="1">
      <c r="C215" s="97"/>
      <c r="D215" s="97"/>
    </row>
    <row r="216" spans="2:36">
      <c r="B216" t="s">
        <v>839</v>
      </c>
      <c r="E216" s="77"/>
      <c r="F216" s="77"/>
      <c r="G216" s="77"/>
      <c r="H216" s="77"/>
      <c r="I216" s="77"/>
      <c r="J216" s="77"/>
      <c r="K216" s="77"/>
      <c r="L216" s="77"/>
      <c r="M216" s="77"/>
      <c r="N216" s="77"/>
      <c r="O216" s="77"/>
      <c r="P216" s="77"/>
      <c r="Q216" s="77"/>
      <c r="R216" s="77"/>
      <c r="S216" s="77"/>
      <c r="T216" s="77"/>
      <c r="U216" s="77"/>
      <c r="V216" s="77"/>
      <c r="W216" s="77"/>
      <c r="X216" s="77"/>
      <c r="Y216" s="77"/>
      <c r="Z216" s="77"/>
      <c r="AA216" s="77"/>
      <c r="AB216" s="77"/>
      <c r="AC216" s="77"/>
    </row>
    <row r="217" spans="2:36">
      <c r="B217" s="8" t="s">
        <v>3814</v>
      </c>
      <c r="C217" s="3" t="s">
        <v>840</v>
      </c>
      <c r="D217" s="3" t="s">
        <v>862</v>
      </c>
      <c r="E217" s="458">
        <v>275.05361098139338</v>
      </c>
      <c r="F217" s="109">
        <v>305.80978945311068</v>
      </c>
      <c r="G217" s="109">
        <v>342.90772278836488</v>
      </c>
      <c r="H217" s="109">
        <v>388.4039749971576</v>
      </c>
      <c r="I217" s="109">
        <v>445.2394906289714</v>
      </c>
      <c r="J217" s="109">
        <v>517.6763896457378</v>
      </c>
      <c r="K217" s="109"/>
      <c r="L217" s="77"/>
      <c r="M217" s="77"/>
      <c r="N217" s="109">
        <v>611.95268670772964</v>
      </c>
      <c r="O217" s="109">
        <v>671.97588936562727</v>
      </c>
      <c r="P217" s="109">
        <v>740.56603242945448</v>
      </c>
      <c r="Q217" s="109">
        <v>818.97869562516632</v>
      </c>
      <c r="R217" s="109">
        <v>908.40835145179187</v>
      </c>
      <c r="S217" s="109">
        <v>1009.7567013536843</v>
      </c>
      <c r="T217" s="109"/>
      <c r="U217" s="77"/>
      <c r="V217" s="77"/>
      <c r="W217" s="109"/>
      <c r="X217" s="109"/>
      <c r="Y217" s="109"/>
      <c r="Z217" s="109"/>
      <c r="AA217" s="109"/>
      <c r="AB217" s="109"/>
      <c r="AC217" s="109"/>
      <c r="AD217" s="44"/>
      <c r="AE217" s="44"/>
      <c r="AF217" s="44"/>
      <c r="AG217" s="44"/>
      <c r="AH217" s="44"/>
      <c r="AI217" s="44"/>
      <c r="AJ217" s="44"/>
    </row>
    <row r="218" spans="2:36">
      <c r="B218" s="8" t="s">
        <v>3816</v>
      </c>
      <c r="E218" s="458">
        <v>25.00487372558122</v>
      </c>
      <c r="F218" s="109">
        <v>27.800889950282787</v>
      </c>
      <c r="G218" s="109">
        <v>31.173429344396805</v>
      </c>
      <c r="H218" s="109">
        <v>35.309452272468882</v>
      </c>
      <c r="I218" s="109">
        <v>40.476317329906507</v>
      </c>
      <c r="J218" s="109">
        <v>47.061489967794358</v>
      </c>
      <c r="K218" s="109"/>
      <c r="L218" s="77"/>
      <c r="M218" s="77"/>
      <c r="N218" s="109">
        <v>55.632062427975434</v>
      </c>
      <c r="O218" s="109">
        <v>61.088717215057045</v>
      </c>
      <c r="P218" s="109">
        <v>67.324184766314062</v>
      </c>
      <c r="Q218" s="109">
        <v>74.452608693196964</v>
      </c>
      <c r="R218" s="109">
        <v>82.582577404708374</v>
      </c>
      <c r="S218" s="109">
        <v>91.796063759425863</v>
      </c>
      <c r="T218" s="109"/>
      <c r="U218" s="77"/>
      <c r="V218" s="77"/>
      <c r="W218" s="109"/>
      <c r="X218" s="109"/>
      <c r="Y218" s="109"/>
      <c r="Z218" s="109"/>
      <c r="AA218" s="109"/>
      <c r="AB218" s="109"/>
      <c r="AC218" s="109"/>
      <c r="AD218" s="44"/>
      <c r="AE218" s="44"/>
      <c r="AF218" s="44"/>
      <c r="AG218" s="44"/>
      <c r="AH218" s="44"/>
      <c r="AI218" s="44"/>
      <c r="AJ218" s="44"/>
    </row>
    <row r="219" spans="2:36">
      <c r="B219" s="8" t="s">
        <v>72</v>
      </c>
      <c r="E219" s="458">
        <v>589.11482497469342</v>
      </c>
      <c r="F219" s="109">
        <v>654.70248659207903</v>
      </c>
      <c r="G219" s="109">
        <v>733.76326808976137</v>
      </c>
      <c r="H219" s="109">
        <v>830.65155385407809</v>
      </c>
      <c r="I219" s="109">
        <v>951.58602380194282</v>
      </c>
      <c r="J219" s="109">
        <v>1105.5633461085881</v>
      </c>
      <c r="K219" s="109"/>
      <c r="L219" s="77"/>
      <c r="M219" s="77"/>
      <c r="N219" s="109">
        <v>1305.7199953350876</v>
      </c>
      <c r="O219" s="109">
        <v>1433.0343061000403</v>
      </c>
      <c r="P219" s="109">
        <v>1578.3805432779807</v>
      </c>
      <c r="Q219" s="109">
        <v>1744.358374600846</v>
      </c>
      <c r="R219" s="109">
        <v>1933.4131585502089</v>
      </c>
      <c r="S219" s="109">
        <v>2147.338340741454</v>
      </c>
      <c r="T219" s="109"/>
      <c r="U219" s="77"/>
      <c r="V219" s="77"/>
      <c r="W219" s="109"/>
      <c r="X219" s="109"/>
      <c r="Y219" s="109"/>
      <c r="Z219" s="109"/>
      <c r="AA219" s="109"/>
      <c r="AB219" s="109"/>
      <c r="AC219" s="109"/>
      <c r="AD219" s="44"/>
      <c r="AE219" s="44"/>
      <c r="AF219" s="44"/>
      <c r="AG219" s="44"/>
      <c r="AH219" s="44"/>
      <c r="AI219" s="44"/>
      <c r="AJ219" s="44"/>
    </row>
    <row r="220" spans="2:36">
      <c r="B220" s="8" t="s">
        <v>3818</v>
      </c>
      <c r="E220" s="458">
        <v>3.0005848470697458</v>
      </c>
      <c r="F220" s="109">
        <v>3.3340639779496386</v>
      </c>
      <c r="G220" s="109">
        <v>3.7359436286837924</v>
      </c>
      <c r="H220" s="109">
        <v>4.2283000347520705</v>
      </c>
      <c r="I220" s="109">
        <v>4.8426444439878278</v>
      </c>
      <c r="J220" s="109">
        <v>5.6245327373567049</v>
      </c>
      <c r="K220" s="109"/>
      <c r="L220" s="77"/>
      <c r="M220" s="77"/>
      <c r="N220" s="109">
        <v>6.6404199629308929</v>
      </c>
      <c r="O220" s="109">
        <v>7.2863548888353638</v>
      </c>
      <c r="P220" s="109">
        <v>8.0234919857382909</v>
      </c>
      <c r="Q220" s="109">
        <v>8.8648917884704463</v>
      </c>
      <c r="R220" s="109">
        <v>9.8227819797013556</v>
      </c>
      <c r="S220" s="109">
        <v>10.906020328347504</v>
      </c>
      <c r="T220" s="109"/>
      <c r="U220" s="77"/>
      <c r="V220" s="77"/>
      <c r="W220" s="109"/>
      <c r="X220" s="109"/>
      <c r="Y220" s="109"/>
      <c r="Z220" s="109"/>
      <c r="AA220" s="109"/>
      <c r="AB220" s="109"/>
      <c r="AC220" s="109"/>
      <c r="AD220" s="44"/>
      <c r="AE220" s="44"/>
      <c r="AF220" s="44"/>
      <c r="AG220" s="44"/>
      <c r="AH220" s="44"/>
      <c r="AI220" s="44"/>
      <c r="AJ220" s="44"/>
    </row>
    <row r="221" spans="2:36">
      <c r="B221" s="8" t="s">
        <v>3253</v>
      </c>
      <c r="E221" s="458">
        <v>5.0009747451162434E-2</v>
      </c>
      <c r="F221" s="109">
        <v>5.5601779900565571E-2</v>
      </c>
      <c r="G221" s="109">
        <v>6.234685868879359E-2</v>
      </c>
      <c r="H221" s="109">
        <v>7.061890454493773E-2</v>
      </c>
      <c r="I221" s="109">
        <v>8.0952634659812964E-2</v>
      </c>
      <c r="J221" s="109">
        <v>9.4122979935588658E-2</v>
      </c>
      <c r="K221" s="109"/>
      <c r="L221" s="77"/>
      <c r="M221" s="77"/>
      <c r="N221" s="109">
        <v>0.11126412485595082</v>
      </c>
      <c r="O221" s="109">
        <v>0.12217743443011403</v>
      </c>
      <c r="P221" s="109">
        <v>0.13464836953262807</v>
      </c>
      <c r="Q221" s="109">
        <v>0.14890521738639387</v>
      </c>
      <c r="R221" s="109">
        <v>0.16516515480941665</v>
      </c>
      <c r="S221" s="109">
        <v>0.18359212751885162</v>
      </c>
      <c r="T221" s="109"/>
      <c r="U221" s="77"/>
      <c r="V221" s="77"/>
      <c r="W221" s="109"/>
      <c r="X221" s="109"/>
      <c r="Y221" s="109"/>
      <c r="Z221" s="109"/>
      <c r="AA221" s="109"/>
      <c r="AB221" s="109"/>
      <c r="AC221" s="109"/>
      <c r="AD221" s="44"/>
      <c r="AE221" s="44"/>
      <c r="AF221" s="44"/>
      <c r="AG221" s="44"/>
      <c r="AH221" s="44"/>
      <c r="AI221" s="44"/>
      <c r="AJ221" s="44"/>
    </row>
    <row r="222" spans="2:36">
      <c r="B222" s="8" t="s">
        <v>3254</v>
      </c>
      <c r="E222" s="458">
        <v>1.0001949490232487</v>
      </c>
      <c r="F222" s="109">
        <v>1.1120355980113115</v>
      </c>
      <c r="G222" s="109">
        <v>1.2469371737758719</v>
      </c>
      <c r="H222" s="109">
        <v>1.4123780908987547</v>
      </c>
      <c r="I222" s="109">
        <v>1.6190526931962594</v>
      </c>
      <c r="J222" s="109">
        <v>1.8824595987117734</v>
      </c>
      <c r="K222" s="109"/>
      <c r="L222" s="77"/>
      <c r="M222" s="77"/>
      <c r="N222" s="109">
        <v>2.2252824971190166</v>
      </c>
      <c r="O222" s="109">
        <v>2.4435486886022808</v>
      </c>
      <c r="P222" s="109">
        <v>2.6929673906525617</v>
      </c>
      <c r="Q222" s="109">
        <v>2.9781043477278777</v>
      </c>
      <c r="R222" s="109">
        <v>3.3033030961883338</v>
      </c>
      <c r="S222" s="109">
        <v>3.6718425503770331</v>
      </c>
      <c r="T222" s="109"/>
      <c r="U222" s="77"/>
      <c r="V222" s="77"/>
      <c r="W222" s="109"/>
      <c r="X222" s="109"/>
      <c r="Y222" s="109"/>
      <c r="Z222" s="109"/>
      <c r="AA222" s="109"/>
      <c r="AB222" s="109"/>
      <c r="AC222" s="109"/>
      <c r="AD222" s="44"/>
      <c r="AE222" s="44"/>
      <c r="AF222" s="44"/>
      <c r="AG222" s="44"/>
      <c r="AH222" s="44"/>
      <c r="AI222" s="44"/>
      <c r="AJ222" s="44"/>
    </row>
    <row r="223" spans="2:36">
      <c r="B223" s="8" t="s">
        <v>3817</v>
      </c>
      <c r="E223" s="458">
        <v>75.877192617390619</v>
      </c>
      <c r="F223" s="109">
        <v>84.325893117816165</v>
      </c>
      <c r="G223" s="109">
        <v>94.510333970025457</v>
      </c>
      <c r="H223" s="109">
        <v>106.99154713386237</v>
      </c>
      <c r="I223" s="109">
        <v>122.57079780929547</v>
      </c>
      <c r="J223" s="109">
        <v>142.40735047765813</v>
      </c>
      <c r="K223" s="109"/>
      <c r="L223" s="77"/>
      <c r="M223" s="77"/>
      <c r="N223" s="109">
        <v>168.19402420449728</v>
      </c>
      <c r="O223" s="109">
        <v>184.59670388574543</v>
      </c>
      <c r="P223" s="109">
        <v>203.32308513917118</v>
      </c>
      <c r="Q223" s="109">
        <v>224.70834449086476</v>
      </c>
      <c r="R223" s="109">
        <v>249.06787323444212</v>
      </c>
      <c r="S223" s="109">
        <v>276.63319211546417</v>
      </c>
      <c r="T223" s="109"/>
      <c r="U223" s="77"/>
      <c r="V223" s="77"/>
      <c r="W223" s="109"/>
      <c r="X223" s="109"/>
      <c r="Y223" s="109"/>
      <c r="Z223" s="109"/>
      <c r="AA223" s="109"/>
      <c r="AB223" s="109"/>
      <c r="AC223" s="109"/>
      <c r="AD223" s="44"/>
      <c r="AE223" s="44"/>
      <c r="AF223" s="44"/>
      <c r="AG223" s="44"/>
      <c r="AH223" s="44"/>
      <c r="AI223" s="44"/>
      <c r="AJ223" s="44"/>
    </row>
    <row r="224" spans="2:36">
      <c r="B224" s="8" t="s">
        <v>3815</v>
      </c>
      <c r="E224" s="458">
        <v>1.8702617065367824E-2</v>
      </c>
      <c r="F224" s="109">
        <v>2.0796915396846711E-2</v>
      </c>
      <c r="G224" s="109">
        <v>2.332357031228598E-2</v>
      </c>
      <c r="H224" s="109">
        <v>2.6422940354563128E-2</v>
      </c>
      <c r="I224" s="109">
        <v>3.0295823332411789E-2</v>
      </c>
      <c r="J224" s="109">
        <v>3.5233375014100225E-2</v>
      </c>
      <c r="K224" s="109"/>
      <c r="L224" s="77"/>
      <c r="M224" s="77"/>
      <c r="N224" s="109">
        <v>4.1662024865824446E-2</v>
      </c>
      <c r="O224" s="109">
        <v>4.575616618608188E-2</v>
      </c>
      <c r="P224" s="109">
        <v>5.0436011248603328E-2</v>
      </c>
      <c r="Q224" s="109">
        <v>5.578779062678537E-2</v>
      </c>
      <c r="R224" s="109">
        <v>6.1893769978045771E-2</v>
      </c>
      <c r="S224" s="109">
        <v>6.8816472949924698E-2</v>
      </c>
      <c r="T224" s="109"/>
      <c r="U224" s="77"/>
      <c r="V224" s="77"/>
      <c r="W224" s="109"/>
      <c r="X224" s="109"/>
      <c r="Y224" s="109"/>
      <c r="Z224" s="109"/>
      <c r="AA224" s="109"/>
      <c r="AB224" s="109"/>
      <c r="AC224" s="109"/>
      <c r="AD224" s="44"/>
      <c r="AE224" s="44"/>
      <c r="AF224" s="44"/>
      <c r="AG224" s="44"/>
      <c r="AH224" s="44"/>
      <c r="AI224" s="44"/>
      <c r="AJ224" s="44"/>
    </row>
    <row r="225" spans="2:36">
      <c r="B225" s="8" t="s">
        <v>1542</v>
      </c>
      <c r="E225" s="458">
        <v>899.82461426163309</v>
      </c>
      <c r="F225" s="109">
        <v>1000.017418298906</v>
      </c>
      <c r="G225" s="109">
        <v>1120.7942984132853</v>
      </c>
      <c r="H225" s="109">
        <v>1268.8085104506708</v>
      </c>
      <c r="I225" s="109">
        <v>1453.5622268058232</v>
      </c>
      <c r="J225" s="109">
        <v>1688.8031193280519</v>
      </c>
      <c r="K225" s="109"/>
      <c r="L225" s="77"/>
      <c r="M225" s="77"/>
      <c r="N225" s="109">
        <v>1994.6062629151293</v>
      </c>
      <c r="O225" s="109">
        <v>2189.1249929861124</v>
      </c>
      <c r="P225" s="109">
        <v>2411.2004090168034</v>
      </c>
      <c r="Q225" s="109">
        <v>2664.8073567502911</v>
      </c>
      <c r="R225" s="109">
        <v>2953.6860499825902</v>
      </c>
      <c r="S225" s="109">
        <v>3280.5820855279035</v>
      </c>
      <c r="T225" s="109"/>
      <c r="U225" s="77"/>
      <c r="V225" s="77"/>
      <c r="W225" s="109"/>
      <c r="X225" s="109"/>
      <c r="Y225" s="109"/>
      <c r="Z225" s="109"/>
      <c r="AA225" s="109"/>
      <c r="AB225" s="109"/>
      <c r="AC225" s="109"/>
      <c r="AD225" s="44"/>
      <c r="AE225" s="44"/>
      <c r="AF225" s="44"/>
      <c r="AG225" s="44"/>
      <c r="AH225" s="44"/>
      <c r="AI225" s="44"/>
      <c r="AJ225" s="44"/>
    </row>
    <row r="226" spans="2:36">
      <c r="B226" s="8" t="s">
        <v>3813</v>
      </c>
      <c r="E226" s="458">
        <v>713.96292417367795</v>
      </c>
      <c r="F226" s="109">
        <v>793.80002119574215</v>
      </c>
      <c r="G226" s="109">
        <v>890.09954836936413</v>
      </c>
      <c r="H226" s="109">
        <v>1008.200232570568</v>
      </c>
      <c r="I226" s="109">
        <v>1155.7366788758832</v>
      </c>
      <c r="J226" s="109">
        <v>1343.7733678958909</v>
      </c>
      <c r="K226" s="109"/>
      <c r="L226" s="77"/>
      <c r="M226" s="77"/>
      <c r="N226" s="109">
        <v>1588.5044947442966</v>
      </c>
      <c r="O226" s="109">
        <v>1744.3193726187344</v>
      </c>
      <c r="P226" s="109">
        <v>1922.3745360729297</v>
      </c>
      <c r="Q226" s="109">
        <v>2125.9299405733263</v>
      </c>
      <c r="R226" s="109">
        <v>2358.0871402606631</v>
      </c>
      <c r="S226" s="109">
        <v>2621.1879675372379</v>
      </c>
      <c r="T226" s="109"/>
      <c r="U226" s="77"/>
      <c r="V226" s="77"/>
      <c r="W226" s="109"/>
      <c r="X226" s="109"/>
      <c r="Y226" s="109"/>
      <c r="Z226" s="109"/>
      <c r="AA226" s="109"/>
      <c r="AB226" s="109"/>
      <c r="AC226" s="109"/>
      <c r="AD226" s="44"/>
      <c r="AE226" s="44"/>
      <c r="AF226" s="44"/>
      <c r="AG226" s="44"/>
      <c r="AH226" s="44"/>
      <c r="AI226" s="44"/>
      <c r="AJ226" s="44"/>
    </row>
    <row r="227" spans="2:36">
      <c r="B227" s="8" t="s">
        <v>2930</v>
      </c>
      <c r="E227" s="458">
        <v>0.29994153808721102</v>
      </c>
      <c r="F227" s="109">
        <v>0.3333961802436689</v>
      </c>
      <c r="G227" s="109">
        <v>0.37373401860089661</v>
      </c>
      <c r="H227" s="109">
        <v>0.42318282496426779</v>
      </c>
      <c r="I227" s="109">
        <v>0.48492594726272997</v>
      </c>
      <c r="J227" s="109">
        <v>0.56357217278443494</v>
      </c>
      <c r="K227" s="109"/>
      <c r="L227" s="77"/>
      <c r="M227" s="77"/>
      <c r="N227" s="109">
        <v>0.66585772518491937</v>
      </c>
      <c r="O227" s="109">
        <v>0.73094467677406239</v>
      </c>
      <c r="P227" s="109">
        <v>0.80528011449262116</v>
      </c>
      <c r="Q227" s="109">
        <v>0.89020674286182089</v>
      </c>
      <c r="R227" s="109">
        <v>0.98699368739707827</v>
      </c>
      <c r="S227" s="109">
        <v>1.0965834366628955</v>
      </c>
      <c r="T227" s="109"/>
      <c r="U227" s="77"/>
      <c r="V227" s="77"/>
      <c r="W227" s="109"/>
      <c r="X227" s="109"/>
      <c r="Y227" s="109"/>
      <c r="Z227" s="109"/>
      <c r="AA227" s="109"/>
      <c r="AB227" s="109"/>
      <c r="AC227" s="109"/>
      <c r="AD227" s="44"/>
      <c r="AE227" s="44"/>
      <c r="AF227" s="44"/>
      <c r="AG227" s="44"/>
      <c r="AH227" s="44"/>
      <c r="AI227" s="44"/>
      <c r="AJ227" s="44"/>
    </row>
    <row r="228" spans="2:36">
      <c r="B228" s="8" t="s">
        <v>1944</v>
      </c>
      <c r="E228" s="458">
        <v>5</v>
      </c>
      <c r="F228" s="109">
        <v>5.5575007329952069</v>
      </c>
      <c r="G228" s="109">
        <v>6.2296727732102983</v>
      </c>
      <c r="H228" s="109">
        <v>7.0536202968630493</v>
      </c>
      <c r="I228" s="109">
        <v>8.0823575310330753</v>
      </c>
      <c r="J228" s="109">
        <v>9.3926272154510322</v>
      </c>
      <c r="K228" s="109"/>
      <c r="L228" s="77"/>
      <c r="M228" s="77"/>
      <c r="N228" s="109">
        <v>11.096576676505626</v>
      </c>
      <c r="O228" s="109">
        <v>12.180765956751824</v>
      </c>
      <c r="P228" s="109">
        <v>13.418921861097834</v>
      </c>
      <c r="Q228" s="109">
        <v>14.833369289298199</v>
      </c>
      <c r="R228" s="109">
        <v>16.445191456455014</v>
      </c>
      <c r="S228" s="109">
        <v>18.27001052887427</v>
      </c>
      <c r="T228" s="109"/>
      <c r="U228" s="77"/>
      <c r="V228" s="77"/>
      <c r="W228" s="109"/>
      <c r="X228" s="109"/>
      <c r="Y228" s="109"/>
      <c r="Z228" s="109"/>
      <c r="AA228" s="109"/>
      <c r="AB228" s="109"/>
      <c r="AC228" s="109"/>
      <c r="AD228" s="44"/>
      <c r="AE228" s="44"/>
      <c r="AF228" s="44"/>
      <c r="AG228" s="44"/>
      <c r="AH228" s="44"/>
      <c r="AI228" s="44"/>
      <c r="AJ228" s="44"/>
    </row>
    <row r="229" spans="2:36">
      <c r="B229" s="8" t="s">
        <v>3243</v>
      </c>
      <c r="C229" s="3" t="s">
        <v>276</v>
      </c>
      <c r="E229" s="458">
        <v>37.821971047807097</v>
      </c>
      <c r="F229" s="109">
        <v>37.821968894452709</v>
      </c>
      <c r="G229" s="109">
        <v>37.821966185271144</v>
      </c>
      <c r="H229" s="109">
        <v>37.821962707571309</v>
      </c>
      <c r="I229" s="109">
        <v>37.821958135959107</v>
      </c>
      <c r="J229" s="109">
        <v>37.821951956436294</v>
      </c>
      <c r="K229" s="109"/>
      <c r="L229" s="77"/>
      <c r="M229" s="77"/>
      <c r="N229" s="109">
        <v>37.821943331004618</v>
      </c>
      <c r="O229" s="109">
        <v>37.821937861491641</v>
      </c>
      <c r="P229" s="109">
        <v>37.821931238468991</v>
      </c>
      <c r="Q229" s="109">
        <v>37.821923180045481</v>
      </c>
      <c r="R229" s="109">
        <v>37.821913348705095</v>
      </c>
      <c r="S229" s="109">
        <v>37.821901365692888</v>
      </c>
      <c r="T229" s="109"/>
      <c r="U229" s="77"/>
      <c r="V229" s="77"/>
      <c r="W229" s="109"/>
      <c r="X229" s="109"/>
      <c r="Y229" s="109"/>
      <c r="Z229" s="109"/>
      <c r="AA229" s="109"/>
      <c r="AB229" s="109"/>
      <c r="AC229" s="109"/>
      <c r="AD229" s="44"/>
      <c r="AE229" s="44"/>
      <c r="AF229" s="44"/>
      <c r="AG229" s="44"/>
      <c r="AH229" s="44"/>
      <c r="AI229" s="44"/>
      <c r="AJ229" s="44"/>
    </row>
    <row r="230" spans="2:36">
      <c r="E230" s="229"/>
      <c r="F230" s="77"/>
      <c r="G230" s="77"/>
      <c r="H230" s="77"/>
      <c r="I230" s="77"/>
      <c r="J230" s="77"/>
      <c r="K230" s="77"/>
      <c r="L230" s="77"/>
      <c r="M230" s="77"/>
      <c r="N230" s="77"/>
      <c r="O230" s="77"/>
      <c r="P230" s="77"/>
      <c r="Q230" s="77"/>
      <c r="R230" s="77"/>
      <c r="S230" s="77"/>
      <c r="T230" s="77"/>
      <c r="U230" s="77"/>
      <c r="V230" s="77"/>
      <c r="W230" s="77"/>
      <c r="X230" s="77"/>
      <c r="Y230" s="77"/>
      <c r="Z230" s="77"/>
      <c r="AA230" s="77"/>
      <c r="AB230" s="77"/>
      <c r="AC230" s="77"/>
    </row>
    <row r="231" spans="2:36">
      <c r="B231" t="s">
        <v>841</v>
      </c>
      <c r="E231" s="229"/>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row>
    <row r="232" spans="2:36">
      <c r="B232" s="8" t="s">
        <v>3814</v>
      </c>
      <c r="C232" s="3" t="s">
        <v>842</v>
      </c>
      <c r="D232" s="3" t="s">
        <v>862</v>
      </c>
      <c r="E232" s="458">
        <v>0.39815051583217892</v>
      </c>
      <c r="F232" s="109">
        <v>0.46326546182196843</v>
      </c>
      <c r="G232" s="109">
        <v>0.54605771014668303</v>
      </c>
      <c r="H232" s="109">
        <v>0.65453887703489289</v>
      </c>
      <c r="I232" s="109">
        <v>0.80199589632162938</v>
      </c>
      <c r="J232" s="109">
        <v>1.0113149044446175</v>
      </c>
      <c r="K232" s="109"/>
      <c r="L232" s="77"/>
      <c r="M232" s="77"/>
      <c r="N232" s="109">
        <v>1.2031091425411373</v>
      </c>
      <c r="O232" s="109">
        <v>1.4164098822054747</v>
      </c>
      <c r="P232" s="109">
        <v>1.6864864603320415</v>
      </c>
      <c r="Q232" s="109">
        <v>2.0345894775497664</v>
      </c>
      <c r="R232" s="109">
        <v>2.4916381775274954</v>
      </c>
      <c r="S232" s="109">
        <v>3.1029932901884338</v>
      </c>
      <c r="T232" s="109"/>
      <c r="U232" s="77"/>
      <c r="V232" s="77"/>
      <c r="W232" s="109"/>
      <c r="X232" s="109"/>
      <c r="Y232" s="109"/>
      <c r="Z232" s="109"/>
      <c r="AA232" s="109"/>
      <c r="AB232" s="109"/>
      <c r="AC232" s="109"/>
      <c r="AD232" s="44"/>
      <c r="AE232" s="44"/>
      <c r="AF232" s="44"/>
      <c r="AG232" s="44"/>
      <c r="AH232" s="44"/>
      <c r="AI232" s="44"/>
      <c r="AJ232" s="44"/>
    </row>
    <row r="233" spans="2:36">
      <c r="B233" s="8" t="s">
        <v>3816</v>
      </c>
      <c r="E233" s="458">
        <v>3.6195501439288999E-2</v>
      </c>
      <c r="F233" s="109">
        <v>4.2115041983815306E-2</v>
      </c>
      <c r="G233" s="109">
        <v>4.9641610013334822E-2</v>
      </c>
      <c r="H233" s="109">
        <v>5.950353427589937E-2</v>
      </c>
      <c r="I233" s="109">
        <v>7.2908717847420881E-2</v>
      </c>
      <c r="J233" s="109">
        <v>9.1937718585874351E-2</v>
      </c>
      <c r="K233" s="109"/>
      <c r="L233" s="77"/>
      <c r="M233" s="77"/>
      <c r="N233" s="109">
        <v>0.1093735584128307</v>
      </c>
      <c r="O233" s="109">
        <v>0.12876453474595226</v>
      </c>
      <c r="P233" s="109">
        <v>0.15331695093927655</v>
      </c>
      <c r="Q233" s="109">
        <v>0.18496267977725153</v>
      </c>
      <c r="R233" s="109">
        <v>0.22651256159340874</v>
      </c>
      <c r="S233" s="109">
        <v>0.28209029910803951</v>
      </c>
      <c r="T233" s="109"/>
      <c r="U233" s="77"/>
      <c r="V233" s="77"/>
      <c r="W233" s="109"/>
      <c r="X233" s="109"/>
      <c r="Y233" s="109"/>
      <c r="Z233" s="109"/>
      <c r="AA233" s="109"/>
      <c r="AB233" s="109"/>
      <c r="AC233" s="109"/>
      <c r="AD233" s="44"/>
      <c r="AE233" s="44"/>
      <c r="AF233" s="44"/>
      <c r="AG233" s="44"/>
      <c r="AH233" s="44"/>
      <c r="AI233" s="44"/>
      <c r="AJ233" s="44"/>
    </row>
    <row r="234" spans="2:36">
      <c r="B234" s="8" t="s">
        <v>72</v>
      </c>
      <c r="E234" s="458">
        <v>3.4110640556385947</v>
      </c>
      <c r="F234" s="109">
        <v>3.967185620178785</v>
      </c>
      <c r="G234" s="109">
        <v>4.6738765368679775</v>
      </c>
      <c r="H234" s="109">
        <v>5.5992602575286821</v>
      </c>
      <c r="I234" s="109">
        <v>6.8562479487888943</v>
      </c>
      <c r="J234" s="109">
        <v>8.6391630917717581</v>
      </c>
      <c r="K234" s="109"/>
      <c r="L234" s="77"/>
      <c r="M234" s="77"/>
      <c r="N234" s="109">
        <v>10.268268760697131</v>
      </c>
      <c r="O234" s="109">
        <v>12.082361791972875</v>
      </c>
      <c r="P234" s="109">
        <v>14.377745124265703</v>
      </c>
      <c r="Q234" s="109">
        <v>17.334044038005306</v>
      </c>
      <c r="R234" s="109">
        <v>21.212337077609408</v>
      </c>
      <c r="S234" s="109">
        <v>26.395176002902133</v>
      </c>
      <c r="T234" s="109"/>
      <c r="U234" s="77"/>
      <c r="V234" s="77"/>
      <c r="W234" s="109"/>
      <c r="X234" s="109"/>
      <c r="Y234" s="109"/>
      <c r="Z234" s="109"/>
      <c r="AA234" s="109"/>
      <c r="AB234" s="109"/>
      <c r="AC234" s="109"/>
      <c r="AD234" s="44"/>
      <c r="AE234" s="44"/>
      <c r="AF234" s="44"/>
      <c r="AG234" s="44"/>
      <c r="AH234" s="44"/>
      <c r="AI234" s="44"/>
      <c r="AJ234" s="44"/>
    </row>
    <row r="235" spans="2:36">
      <c r="B235" s="8" t="s">
        <v>3818</v>
      </c>
      <c r="E235" s="458">
        <v>2.2585992898116334E-2</v>
      </c>
      <c r="F235" s="109">
        <v>2.6263694156113328E-2</v>
      </c>
      <c r="G235" s="109">
        <v>3.0936055315240588E-2</v>
      </c>
      <c r="H235" s="109">
        <v>3.7052790548742602E-2</v>
      </c>
      <c r="I235" s="109">
        <v>4.535909656816358E-2</v>
      </c>
      <c r="J235" s="109">
        <v>5.713705374304244E-2</v>
      </c>
      <c r="K235" s="109"/>
      <c r="L235" s="77"/>
      <c r="M235" s="77"/>
      <c r="N235" s="109">
        <v>6.7886914682275895E-2</v>
      </c>
      <c r="O235" s="109">
        <v>7.9863607031550959E-2</v>
      </c>
      <c r="P235" s="109">
        <v>9.5013613953540618E-2</v>
      </c>
      <c r="Q235" s="109">
        <v>0.1145199031106546</v>
      </c>
      <c r="R235" s="109">
        <v>0.14010115215849561</v>
      </c>
      <c r="S235" s="109">
        <v>0.17427445725489754</v>
      </c>
      <c r="T235" s="109"/>
      <c r="U235" s="77"/>
      <c r="V235" s="77"/>
      <c r="W235" s="109"/>
      <c r="X235" s="109"/>
      <c r="Y235" s="109"/>
      <c r="Z235" s="109"/>
      <c r="AA235" s="109"/>
      <c r="AB235" s="109"/>
      <c r="AC235" s="109"/>
      <c r="AD235" s="44"/>
      <c r="AE235" s="44"/>
      <c r="AF235" s="44"/>
      <c r="AG235" s="44"/>
      <c r="AH235" s="44"/>
      <c r="AI235" s="44"/>
      <c r="AJ235" s="44"/>
    </row>
    <row r="236" spans="2:36">
      <c r="B236" s="8" t="s">
        <v>3253</v>
      </c>
      <c r="E236" s="458">
        <v>7.2391002878577997E-5</v>
      </c>
      <c r="F236" s="109">
        <v>8.4230083967630617E-5</v>
      </c>
      <c r="G236" s="109">
        <v>9.9283220026669618E-5</v>
      </c>
      <c r="H236" s="109">
        <v>1.1900706855179867E-4</v>
      </c>
      <c r="I236" s="109">
        <v>1.4581743569484169E-4</v>
      </c>
      <c r="J236" s="109">
        <v>1.838754371717486E-4</v>
      </c>
      <c r="K236" s="109"/>
      <c r="L236" s="77"/>
      <c r="M236" s="77"/>
      <c r="N236" s="109">
        <v>2.1874711682566127E-4</v>
      </c>
      <c r="O236" s="109">
        <v>2.5752906949190441E-4</v>
      </c>
      <c r="P236" s="109">
        <v>3.0663390187855302E-4</v>
      </c>
      <c r="Q236" s="109">
        <v>3.6992535955450293E-4</v>
      </c>
      <c r="R236" s="109">
        <v>4.5302512318681721E-4</v>
      </c>
      <c r="S236" s="109">
        <v>5.6418059821607862E-4</v>
      </c>
      <c r="T236" s="109"/>
      <c r="U236" s="77"/>
      <c r="V236" s="77"/>
      <c r="W236" s="109"/>
      <c r="X236" s="109"/>
      <c r="Y236" s="109"/>
      <c r="Z236" s="109"/>
      <c r="AA236" s="109"/>
      <c r="AB236" s="109"/>
      <c r="AC236" s="109"/>
      <c r="AD236" s="44"/>
      <c r="AE236" s="44"/>
      <c r="AF236" s="44"/>
      <c r="AG236" s="44"/>
      <c r="AH236" s="44"/>
      <c r="AI236" s="44"/>
      <c r="AJ236" s="44"/>
    </row>
    <row r="237" spans="2:36">
      <c r="B237" s="8" t="s">
        <v>3254</v>
      </c>
      <c r="E237" s="458">
        <v>1.4478200575715602E-3</v>
      </c>
      <c r="F237" s="109">
        <v>1.6846016793526126E-3</v>
      </c>
      <c r="G237" s="109">
        <v>1.9856644005333923E-3</v>
      </c>
      <c r="H237" s="109">
        <v>2.3801413710359738E-3</v>
      </c>
      <c r="I237" s="109">
        <v>2.9163487138968332E-3</v>
      </c>
      <c r="J237" s="109">
        <v>3.6775087434349723E-3</v>
      </c>
      <c r="K237" s="109"/>
      <c r="L237" s="77"/>
      <c r="M237" s="77"/>
      <c r="N237" s="109">
        <v>4.374942336513225E-3</v>
      </c>
      <c r="O237" s="109">
        <v>5.1505813898380893E-3</v>
      </c>
      <c r="P237" s="109">
        <v>6.132678037571059E-3</v>
      </c>
      <c r="Q237" s="109">
        <v>7.3985071910900591E-3</v>
      </c>
      <c r="R237" s="109">
        <v>9.060502463736346E-3</v>
      </c>
      <c r="S237" s="109">
        <v>1.1283611964321573E-2</v>
      </c>
      <c r="T237" s="109"/>
      <c r="U237" s="77"/>
      <c r="V237" s="77"/>
      <c r="W237" s="109"/>
      <c r="X237" s="109"/>
      <c r="Y237" s="109"/>
      <c r="Z237" s="109"/>
      <c r="AA237" s="109"/>
      <c r="AB237" s="109"/>
      <c r="AC237" s="109"/>
      <c r="AD237" s="44"/>
      <c r="AE237" s="44"/>
      <c r="AF237" s="44"/>
      <c r="AG237" s="44"/>
      <c r="AH237" s="44"/>
      <c r="AI237" s="44"/>
      <c r="AJ237" s="44"/>
    </row>
    <row r="238" spans="2:36">
      <c r="B238" s="8" t="s">
        <v>3817</v>
      </c>
      <c r="E238" s="458">
        <v>0.42953164046325265</v>
      </c>
      <c r="F238" s="109">
        <v>0.4995628229756251</v>
      </c>
      <c r="G238" s="109">
        <v>0.58855550446759985</v>
      </c>
      <c r="H238" s="109">
        <v>0.70508879139860747</v>
      </c>
      <c r="I238" s="109">
        <v>0.8633822279248683</v>
      </c>
      <c r="J238" s="109">
        <v>1.0879083314946048</v>
      </c>
      <c r="K238" s="109"/>
      <c r="L238" s="77"/>
      <c r="M238" s="77"/>
      <c r="N238" s="109">
        <v>1.2930718618404913</v>
      </c>
      <c r="O238" s="109">
        <v>1.521528576370516</v>
      </c>
      <c r="P238" s="109">
        <v>1.8105988106188478</v>
      </c>
      <c r="Q238" s="109">
        <v>2.1829053437074046</v>
      </c>
      <c r="R238" s="109">
        <v>2.6713299732458231</v>
      </c>
      <c r="S238" s="109">
        <v>3.3240543187242038</v>
      </c>
      <c r="T238" s="109"/>
      <c r="U238" s="77"/>
      <c r="V238" s="77"/>
      <c r="W238" s="109"/>
      <c r="X238" s="109"/>
      <c r="Y238" s="109"/>
      <c r="Z238" s="109"/>
      <c r="AA238" s="109"/>
      <c r="AB238" s="109"/>
      <c r="AC238" s="109"/>
      <c r="AD238" s="44"/>
      <c r="AE238" s="44"/>
      <c r="AF238" s="44"/>
      <c r="AG238" s="44"/>
      <c r="AH238" s="44"/>
      <c r="AI238" s="44"/>
      <c r="AJ238" s="44"/>
    </row>
    <row r="239" spans="2:36">
      <c r="B239" s="8" t="s">
        <v>3815</v>
      </c>
      <c r="E239" s="458">
        <v>3.4320798520981849E-7</v>
      </c>
      <c r="F239" s="109">
        <v>4.6593474896146811E-7</v>
      </c>
      <c r="G239" s="109">
        <v>6.4948140316318044E-7</v>
      </c>
      <c r="H239" s="109">
        <v>9.3689200539162779E-7</v>
      </c>
      <c r="I239" s="109">
        <v>1.4135867010356119E-6</v>
      </c>
      <c r="J239" s="109">
        <v>2.2622144253005792E-6</v>
      </c>
      <c r="K239" s="109"/>
      <c r="L239" s="77"/>
      <c r="M239" s="77"/>
      <c r="N239" s="109">
        <v>3.2167530519692474E-6</v>
      </c>
      <c r="O239" s="109">
        <v>4.4833784336216529E-6</v>
      </c>
      <c r="P239" s="109">
        <v>6.3975112356477298E-6</v>
      </c>
      <c r="Q239" s="109">
        <v>9.3824783541837574E-6</v>
      </c>
      <c r="R239" s="109">
        <v>1.4199868326137412E-5</v>
      </c>
      <c r="S239" s="109">
        <v>2.2264988294923931E-5</v>
      </c>
      <c r="T239" s="109"/>
      <c r="U239" s="77"/>
      <c r="V239" s="77"/>
      <c r="W239" s="109"/>
      <c r="X239" s="109"/>
      <c r="Y239" s="109"/>
      <c r="Z239" s="109"/>
      <c r="AA239" s="109"/>
      <c r="AB239" s="109"/>
      <c r="AC239" s="109"/>
      <c r="AD239" s="44"/>
      <c r="AE239" s="44"/>
      <c r="AF239" s="44"/>
      <c r="AG239" s="44"/>
      <c r="AH239" s="44"/>
      <c r="AI239" s="44"/>
      <c r="AJ239" s="44"/>
    </row>
    <row r="240" spans="2:36">
      <c r="B240" s="8" t="s">
        <v>1542</v>
      </c>
      <c r="E240" s="458">
        <v>5.0937960782766716</v>
      </c>
      <c r="F240" s="109">
        <v>5.924292189573916</v>
      </c>
      <c r="G240" s="109">
        <v>6.9796515319698411</v>
      </c>
      <c r="H240" s="109">
        <v>8.3616130936277973</v>
      </c>
      <c r="I240" s="109">
        <v>10.238805312413387</v>
      </c>
      <c r="J240" s="109">
        <v>12.901445616286489</v>
      </c>
      <c r="K240" s="109"/>
      <c r="L240" s="77"/>
      <c r="M240" s="77"/>
      <c r="N240" s="109">
        <v>15.334465365716694</v>
      </c>
      <c r="O240" s="109">
        <v>18.043716175968935</v>
      </c>
      <c r="P240" s="109">
        <v>21.47177643311084</v>
      </c>
      <c r="Q240" s="109">
        <v>25.886926537812752</v>
      </c>
      <c r="R240" s="109">
        <v>31.679106699660394</v>
      </c>
      <c r="S240" s="109">
        <v>39.419694623269315</v>
      </c>
      <c r="T240" s="109"/>
      <c r="U240" s="77"/>
      <c r="V240" s="77"/>
      <c r="W240" s="109"/>
      <c r="X240" s="109"/>
      <c r="Y240" s="109"/>
      <c r="Z240" s="109"/>
      <c r="AA240" s="109"/>
      <c r="AB240" s="109"/>
      <c r="AC240" s="109"/>
      <c r="AD240" s="44"/>
      <c r="AE240" s="44"/>
      <c r="AF240" s="44"/>
      <c r="AG240" s="44"/>
      <c r="AH240" s="44"/>
      <c r="AI240" s="44"/>
      <c r="AJ240" s="44"/>
    </row>
    <row r="241" spans="2:36">
      <c r="B241" s="8" t="s">
        <v>3813</v>
      </c>
      <c r="E241" s="458">
        <v>1.0104139977808482</v>
      </c>
      <c r="F241" s="109">
        <v>1.1756553384972899</v>
      </c>
      <c r="G241" s="109">
        <v>1.3857548805291673</v>
      </c>
      <c r="H241" s="109">
        <v>1.6610426625106569</v>
      </c>
      <c r="I241" s="109">
        <v>2.0352349953102795</v>
      </c>
      <c r="J241" s="109">
        <v>2.5664061766745405</v>
      </c>
      <c r="K241" s="109"/>
      <c r="L241" s="77"/>
      <c r="M241" s="77"/>
      <c r="N241" s="109">
        <v>3.053092183008224</v>
      </c>
      <c r="O241" s="109">
        <v>3.5943589083102108</v>
      </c>
      <c r="P241" s="109">
        <v>4.2796936439736086</v>
      </c>
      <c r="Q241" s="109">
        <v>5.1630178872734298</v>
      </c>
      <c r="R241" s="109">
        <v>6.3227855685487366</v>
      </c>
      <c r="S241" s="109">
        <v>7.8740926561725439</v>
      </c>
      <c r="T241" s="109"/>
      <c r="U241" s="77"/>
      <c r="V241" s="77"/>
      <c r="W241" s="109"/>
      <c r="X241" s="109"/>
      <c r="Y241" s="109"/>
      <c r="Z241" s="109"/>
      <c r="AA241" s="109"/>
      <c r="AB241" s="109"/>
      <c r="AC241" s="109"/>
      <c r="AD241" s="44"/>
      <c r="AE241" s="44"/>
      <c r="AF241" s="44"/>
      <c r="AG241" s="44"/>
      <c r="AH241" s="44"/>
      <c r="AI241" s="44"/>
      <c r="AJ241" s="44"/>
    </row>
    <row r="242" spans="2:36">
      <c r="B242" s="8" t="s">
        <v>2930</v>
      </c>
      <c r="E242" s="458">
        <v>1.1885524182645567E-3</v>
      </c>
      <c r="F242" s="109">
        <v>1.3825713886142358E-3</v>
      </c>
      <c r="G242" s="109">
        <v>1.6291778548650142E-3</v>
      </c>
      <c r="H242" s="109">
        <v>1.9521808962913909E-3</v>
      </c>
      <c r="I242" s="109">
        <v>2.3910525407019939E-3</v>
      </c>
      <c r="J242" s="109">
        <v>3.0137479960640067E-3</v>
      </c>
      <c r="K242" s="109"/>
      <c r="L242" s="77"/>
      <c r="M242" s="77"/>
      <c r="N242" s="109">
        <v>3.5833641408977448E-3</v>
      </c>
      <c r="O242" s="109">
        <v>4.2173337891680367E-3</v>
      </c>
      <c r="P242" s="109">
        <v>5.0197221947329519E-3</v>
      </c>
      <c r="Q242" s="109">
        <v>6.053458816934012E-3</v>
      </c>
      <c r="R242" s="109">
        <v>7.4100478060589127E-3</v>
      </c>
      <c r="S242" s="109">
        <v>9.2236341456035775E-3</v>
      </c>
      <c r="T242" s="109"/>
      <c r="U242" s="77"/>
      <c r="V242" s="77"/>
      <c r="W242" s="109"/>
      <c r="X242" s="109"/>
      <c r="Y242" s="109"/>
      <c r="Z242" s="109"/>
      <c r="AA242" s="109"/>
      <c r="AB242" s="109"/>
      <c r="AC242" s="109"/>
      <c r="AD242" s="44"/>
      <c r="AE242" s="44"/>
      <c r="AF242" s="44"/>
      <c r="AG242" s="44"/>
      <c r="AH242" s="44"/>
      <c r="AI242" s="44"/>
      <c r="AJ242" s="44"/>
    </row>
    <row r="243" spans="2:36">
      <c r="B243" s="8" t="s">
        <v>1944</v>
      </c>
      <c r="E243" s="458">
        <v>2.1467941100253143E-2</v>
      </c>
      <c r="F243" s="109">
        <v>2.49716255377152E-2</v>
      </c>
      <c r="G243" s="109">
        <v>2.9424787062711327E-2</v>
      </c>
      <c r="H243" s="109">
        <v>3.5257253422636914E-2</v>
      </c>
      <c r="I243" s="109">
        <v>4.3181587953709327E-2</v>
      </c>
      <c r="J243" s="109">
        <v>5.4424474286260703E-2</v>
      </c>
      <c r="K243" s="109"/>
      <c r="L243" s="77"/>
      <c r="M243" s="77"/>
      <c r="N243" s="109">
        <v>6.4707072927490061E-2</v>
      </c>
      <c r="O243" s="109">
        <v>7.6152354109505035E-2</v>
      </c>
      <c r="P243" s="109">
        <v>9.0637487725946569E-2</v>
      </c>
      <c r="Q243" s="109">
        <v>0.10929809115316126</v>
      </c>
      <c r="R243" s="109">
        <v>0.13378532101702045</v>
      </c>
      <c r="S243" s="109">
        <v>0.16651957157767219</v>
      </c>
      <c r="T243" s="109"/>
      <c r="U243" s="77"/>
      <c r="V243" s="77"/>
      <c r="W243" s="109"/>
      <c r="X243" s="109"/>
      <c r="Y243" s="109"/>
      <c r="Z243" s="109"/>
      <c r="AA243" s="109"/>
      <c r="AB243" s="109"/>
      <c r="AC243" s="109"/>
      <c r="AD243" s="44"/>
      <c r="AE243" s="44"/>
      <c r="AF243" s="44"/>
      <c r="AG243" s="44"/>
      <c r="AH243" s="44"/>
      <c r="AI243" s="44"/>
      <c r="AJ243" s="44"/>
    </row>
    <row r="244" spans="2:36">
      <c r="B244" s="8" t="s">
        <v>3243</v>
      </c>
      <c r="C244" s="3" t="s">
        <v>280</v>
      </c>
      <c r="E244" s="458">
        <v>37.821990277456855</v>
      </c>
      <c r="F244" s="109">
        <v>37.821991193246674</v>
      </c>
      <c r="G244" s="109">
        <v>37.821992355143372</v>
      </c>
      <c r="H244" s="109">
        <v>37.821993896521242</v>
      </c>
      <c r="I244" s="109">
        <v>37.821996050498164</v>
      </c>
      <c r="J244" s="109">
        <v>37.821999226635064</v>
      </c>
      <c r="K244" s="109"/>
      <c r="L244" s="77"/>
      <c r="M244" s="77"/>
      <c r="N244" s="109">
        <v>37.821998984528499</v>
      </c>
      <c r="O244" s="109">
        <v>37.822002610308637</v>
      </c>
      <c r="P244" s="109">
        <v>37.822007172687528</v>
      </c>
      <c r="Q244" s="109">
        <v>37.822012989801657</v>
      </c>
      <c r="R244" s="109">
        <v>37.822020460572688</v>
      </c>
      <c r="S244" s="109">
        <v>37.822030019710326</v>
      </c>
      <c r="T244" s="109"/>
      <c r="U244" s="77"/>
      <c r="V244" s="77"/>
      <c r="W244" s="109"/>
      <c r="X244" s="109"/>
      <c r="Y244" s="109"/>
      <c r="Z244" s="109"/>
      <c r="AA244" s="109"/>
      <c r="AB244" s="109"/>
      <c r="AC244" s="109"/>
      <c r="AD244" s="44"/>
      <c r="AE244" s="44"/>
      <c r="AF244" s="44"/>
      <c r="AG244" s="44"/>
      <c r="AH244" s="44"/>
      <c r="AI244" s="44"/>
      <c r="AJ244" s="44"/>
    </row>
    <row r="245" spans="2:36">
      <c r="E245" s="229"/>
      <c r="F245" s="77"/>
      <c r="G245" s="77"/>
      <c r="H245" s="77"/>
      <c r="I245" s="77"/>
      <c r="J245" s="77"/>
      <c r="K245" s="77"/>
      <c r="L245" s="77"/>
      <c r="M245" s="77"/>
      <c r="N245" s="77"/>
      <c r="O245" s="77"/>
      <c r="P245" s="77"/>
      <c r="Q245" s="77"/>
      <c r="R245" s="77"/>
      <c r="S245" s="77"/>
      <c r="T245" s="77"/>
      <c r="U245" s="77"/>
      <c r="V245" s="77"/>
      <c r="W245" s="77"/>
      <c r="X245" s="77"/>
      <c r="Y245" s="77"/>
      <c r="Z245" s="77"/>
      <c r="AA245" s="77"/>
      <c r="AB245" s="77"/>
      <c r="AC245" s="77"/>
    </row>
    <row r="246" spans="2:36">
      <c r="B246" t="s">
        <v>843</v>
      </c>
      <c r="E246" s="229"/>
      <c r="F246" s="77"/>
      <c r="G246" s="77"/>
      <c r="H246" s="77"/>
      <c r="I246" s="77"/>
      <c r="J246" s="77"/>
      <c r="K246" s="77"/>
      <c r="L246" s="77"/>
      <c r="M246" s="77"/>
      <c r="N246" s="77"/>
      <c r="O246" s="77"/>
      <c r="P246" s="77"/>
      <c r="Q246" s="77"/>
      <c r="R246" s="77"/>
      <c r="S246" s="77"/>
      <c r="T246" s="77"/>
      <c r="U246" s="77"/>
      <c r="V246" s="77"/>
      <c r="W246" s="77"/>
      <c r="X246" s="77"/>
      <c r="Y246" s="77"/>
      <c r="Z246" s="77"/>
      <c r="AA246" s="77"/>
      <c r="AB246" s="77"/>
      <c r="AC246" s="77"/>
    </row>
    <row r="247" spans="2:36">
      <c r="B247" s="8" t="s">
        <v>3814</v>
      </c>
      <c r="C247" s="3" t="s">
        <v>844</v>
      </c>
      <c r="D247" s="3" t="s">
        <v>862</v>
      </c>
      <c r="E247" s="458">
        <v>305.80978945311068</v>
      </c>
      <c r="F247" s="109">
        <v>342.90772278836488</v>
      </c>
      <c r="G247" s="109">
        <v>388.4039749971576</v>
      </c>
      <c r="H247" s="109">
        <v>445.2394906289714</v>
      </c>
      <c r="I247" s="109">
        <v>517.6763896457378</v>
      </c>
      <c r="J247" s="109">
        <v>611.95268670772964</v>
      </c>
      <c r="K247" s="109"/>
      <c r="L247" s="77"/>
      <c r="M247" s="77"/>
      <c r="N247" s="109">
        <v>671.97588936562727</v>
      </c>
      <c r="O247" s="109">
        <v>740.56603242945448</v>
      </c>
      <c r="P247" s="109">
        <v>818.97869562516632</v>
      </c>
      <c r="Q247" s="109">
        <v>908.40835145179187</v>
      </c>
      <c r="R247" s="109">
        <v>1009.7567013536843</v>
      </c>
      <c r="S247" s="109">
        <v>1123.2645629868803</v>
      </c>
      <c r="T247" s="109"/>
      <c r="U247" s="77"/>
      <c r="V247" s="77"/>
      <c r="W247" s="109"/>
      <c r="X247" s="109"/>
      <c r="Y247" s="109"/>
      <c r="Z247" s="109"/>
      <c r="AA247" s="109"/>
      <c r="AB247" s="109"/>
      <c r="AC247" s="109"/>
      <c r="AD247" s="9"/>
      <c r="AE247" s="44"/>
      <c r="AF247" s="44"/>
      <c r="AG247" s="44"/>
      <c r="AH247" s="44"/>
      <c r="AI247" s="44"/>
      <c r="AJ247" s="44"/>
    </row>
    <row r="248" spans="2:36">
      <c r="B248" s="8" t="s">
        <v>3816</v>
      </c>
      <c r="E248" s="458">
        <v>27.800889950282787</v>
      </c>
      <c r="F248" s="109">
        <v>31.173429344396805</v>
      </c>
      <c r="G248" s="109">
        <v>35.309452272468882</v>
      </c>
      <c r="H248" s="109">
        <v>40.476317329906507</v>
      </c>
      <c r="I248" s="109">
        <v>47.061489967794358</v>
      </c>
      <c r="J248" s="109">
        <v>55.632062427975434</v>
      </c>
      <c r="K248" s="109"/>
      <c r="L248" s="77"/>
      <c r="M248" s="77"/>
      <c r="N248" s="109">
        <v>61.088717215057045</v>
      </c>
      <c r="O248" s="109">
        <v>67.324184766314062</v>
      </c>
      <c r="P248" s="109">
        <v>74.452608693196964</v>
      </c>
      <c r="Q248" s="109">
        <v>82.582577404708374</v>
      </c>
      <c r="R248" s="109">
        <v>91.796063759425863</v>
      </c>
      <c r="S248" s="109">
        <v>102.11496027153457</v>
      </c>
      <c r="T248" s="109"/>
      <c r="U248" s="77"/>
      <c r="V248" s="77"/>
      <c r="W248" s="109"/>
      <c r="X248" s="109"/>
      <c r="Y248" s="109"/>
      <c r="Z248" s="109"/>
      <c r="AA248" s="109"/>
      <c r="AB248" s="109"/>
      <c r="AC248" s="109"/>
      <c r="AD248" s="9"/>
      <c r="AE248" s="44"/>
      <c r="AF248" s="44"/>
      <c r="AG248" s="44"/>
      <c r="AH248" s="44"/>
      <c r="AI248" s="44"/>
      <c r="AJ248" s="44"/>
    </row>
    <row r="249" spans="2:36">
      <c r="B249" s="8" t="s">
        <v>72</v>
      </c>
      <c r="E249" s="458">
        <v>654.70248659207903</v>
      </c>
      <c r="F249" s="109">
        <v>733.76326808976137</v>
      </c>
      <c r="G249" s="109">
        <v>830.65155385407809</v>
      </c>
      <c r="H249" s="109">
        <v>951.58602380194282</v>
      </c>
      <c r="I249" s="109">
        <v>1105.5633461085881</v>
      </c>
      <c r="J249" s="109">
        <v>1305.7199953350876</v>
      </c>
      <c r="K249" s="109"/>
      <c r="L249" s="77"/>
      <c r="M249" s="77"/>
      <c r="N249" s="109">
        <v>1433.0343061000403</v>
      </c>
      <c r="O249" s="109">
        <v>1578.3805432779807</v>
      </c>
      <c r="P249" s="109">
        <v>1744.358374600846</v>
      </c>
      <c r="Q249" s="109">
        <v>1933.4131585502089</v>
      </c>
      <c r="R249" s="109">
        <v>2147.338340741454</v>
      </c>
      <c r="S249" s="109">
        <v>2386.4908132815249</v>
      </c>
      <c r="T249" s="109"/>
      <c r="U249" s="77"/>
      <c r="V249" s="77"/>
      <c r="W249" s="109"/>
      <c r="X249" s="109"/>
      <c r="Y249" s="109"/>
      <c r="Z249" s="109"/>
      <c r="AA249" s="109"/>
      <c r="AB249" s="109"/>
      <c r="AC249" s="109"/>
      <c r="AD249" s="9"/>
      <c r="AE249" s="44"/>
      <c r="AF249" s="44"/>
      <c r="AG249" s="44"/>
      <c r="AH249" s="44"/>
      <c r="AI249" s="44"/>
      <c r="AJ249" s="44"/>
    </row>
    <row r="250" spans="2:36">
      <c r="B250" s="8" t="s">
        <v>3818</v>
      </c>
      <c r="E250" s="458">
        <v>3.3340639779496386</v>
      </c>
      <c r="F250" s="109">
        <v>3.7359436286837924</v>
      </c>
      <c r="G250" s="109">
        <v>4.2283000347520705</v>
      </c>
      <c r="H250" s="109">
        <v>4.8426444439878278</v>
      </c>
      <c r="I250" s="109">
        <v>5.6245327373567049</v>
      </c>
      <c r="J250" s="109">
        <v>6.6404199629308929</v>
      </c>
      <c r="K250" s="109"/>
      <c r="L250" s="77"/>
      <c r="M250" s="77"/>
      <c r="N250" s="109">
        <v>7.2863548888353638</v>
      </c>
      <c r="O250" s="109">
        <v>8.0234919857382909</v>
      </c>
      <c r="P250" s="109">
        <v>8.8648917884704463</v>
      </c>
      <c r="Q250" s="109">
        <v>9.8227819797013556</v>
      </c>
      <c r="R250" s="109">
        <v>10.906020328347504</v>
      </c>
      <c r="S250" s="109">
        <v>12.116106295012184</v>
      </c>
      <c r="T250" s="109"/>
      <c r="U250" s="77"/>
      <c r="V250" s="77"/>
      <c r="W250" s="109"/>
      <c r="X250" s="109"/>
      <c r="Y250" s="109"/>
      <c r="Z250" s="109"/>
      <c r="AA250" s="109"/>
      <c r="AB250" s="109"/>
      <c r="AC250" s="109"/>
      <c r="AD250" s="9"/>
      <c r="AE250" s="44"/>
      <c r="AF250" s="44"/>
      <c r="AG250" s="44"/>
      <c r="AH250" s="44"/>
      <c r="AI250" s="44"/>
      <c r="AJ250" s="44"/>
    </row>
    <row r="251" spans="2:36">
      <c r="B251" s="8" t="s">
        <v>3253</v>
      </c>
      <c r="E251" s="458">
        <v>5.5601779900565571E-2</v>
      </c>
      <c r="F251" s="109">
        <v>6.234685868879359E-2</v>
      </c>
      <c r="G251" s="109">
        <v>7.061890454493773E-2</v>
      </c>
      <c r="H251" s="109">
        <v>8.0952634659812964E-2</v>
      </c>
      <c r="I251" s="109">
        <v>9.4122979935588658E-2</v>
      </c>
      <c r="J251" s="109">
        <v>0.11126412485595082</v>
      </c>
      <c r="K251" s="109"/>
      <c r="L251" s="77"/>
      <c r="M251" s="77"/>
      <c r="N251" s="109">
        <v>0.12217743443011403</v>
      </c>
      <c r="O251" s="109">
        <v>0.13464836953262807</v>
      </c>
      <c r="P251" s="109">
        <v>0.14890521738639387</v>
      </c>
      <c r="Q251" s="109">
        <v>0.16516515480941665</v>
      </c>
      <c r="R251" s="109">
        <v>0.18359212751885162</v>
      </c>
      <c r="S251" s="109">
        <v>0.20422992054306904</v>
      </c>
      <c r="T251" s="109"/>
      <c r="U251" s="77"/>
      <c r="V251" s="77"/>
      <c r="W251" s="109"/>
      <c r="X251" s="109"/>
      <c r="Y251" s="109"/>
      <c r="Z251" s="109"/>
      <c r="AA251" s="109"/>
      <c r="AB251" s="109"/>
      <c r="AC251" s="109"/>
      <c r="AD251" s="9"/>
      <c r="AE251" s="44"/>
      <c r="AF251" s="44"/>
      <c r="AG251" s="44"/>
      <c r="AH251" s="44"/>
      <c r="AI251" s="44"/>
      <c r="AJ251" s="44"/>
    </row>
    <row r="252" spans="2:36">
      <c r="B252" s="8" t="s">
        <v>3254</v>
      </c>
      <c r="E252" s="458">
        <v>1.1120355980113115</v>
      </c>
      <c r="F252" s="109">
        <v>1.2469371737758719</v>
      </c>
      <c r="G252" s="109">
        <v>1.4123780908987547</v>
      </c>
      <c r="H252" s="109">
        <v>1.6190526931962594</v>
      </c>
      <c r="I252" s="109">
        <v>1.8824595987117734</v>
      </c>
      <c r="J252" s="109">
        <v>2.2252824971190166</v>
      </c>
      <c r="K252" s="109"/>
      <c r="L252" s="77"/>
      <c r="M252" s="77"/>
      <c r="N252" s="109">
        <v>2.4435486886022808</v>
      </c>
      <c r="O252" s="109">
        <v>2.6929673906525617</v>
      </c>
      <c r="P252" s="109">
        <v>2.9781043477278777</v>
      </c>
      <c r="Q252" s="109">
        <v>3.3033030961883338</v>
      </c>
      <c r="R252" s="109">
        <v>3.6718425503770331</v>
      </c>
      <c r="S252" s="109">
        <v>4.084598410861382</v>
      </c>
      <c r="T252" s="109"/>
      <c r="U252" s="77"/>
      <c r="V252" s="77"/>
      <c r="W252" s="109"/>
      <c r="X252" s="109"/>
      <c r="Y252" s="109"/>
      <c r="Z252" s="109"/>
      <c r="AA252" s="109"/>
      <c r="AB252" s="109"/>
      <c r="AC252" s="109"/>
      <c r="AD252" s="9"/>
      <c r="AE252" s="44"/>
      <c r="AF252" s="44"/>
      <c r="AG252" s="44"/>
      <c r="AH252" s="44"/>
      <c r="AI252" s="44"/>
      <c r="AJ252" s="44"/>
    </row>
    <row r="253" spans="2:36">
      <c r="B253" s="8" t="s">
        <v>3817</v>
      </c>
      <c r="E253" s="458">
        <v>84.325893117816165</v>
      </c>
      <c r="F253" s="109">
        <v>94.510333970025457</v>
      </c>
      <c r="G253" s="109">
        <v>106.99154713386237</v>
      </c>
      <c r="H253" s="109">
        <v>122.57079780929547</v>
      </c>
      <c r="I253" s="109">
        <v>142.40735047765813</v>
      </c>
      <c r="J253" s="109">
        <v>168.19402420449728</v>
      </c>
      <c r="K253" s="109"/>
      <c r="L253" s="77"/>
      <c r="M253" s="77"/>
      <c r="N253" s="109">
        <v>184.59670388574543</v>
      </c>
      <c r="O253" s="109">
        <v>203.32308513917118</v>
      </c>
      <c r="P253" s="109">
        <v>224.70834449086476</v>
      </c>
      <c r="Q253" s="109">
        <v>249.06787323444212</v>
      </c>
      <c r="R253" s="109">
        <v>276.63319211546417</v>
      </c>
      <c r="S253" s="109">
        <v>307.45087603956057</v>
      </c>
      <c r="T253" s="109"/>
      <c r="U253" s="77"/>
      <c r="V253" s="77"/>
      <c r="W253" s="109"/>
      <c r="X253" s="109"/>
      <c r="Y253" s="109"/>
      <c r="Z253" s="109"/>
      <c r="AA253" s="109"/>
      <c r="AB253" s="109"/>
      <c r="AC253" s="109"/>
      <c r="AD253" s="9"/>
      <c r="AE253" s="44"/>
      <c r="AF253" s="44"/>
      <c r="AG253" s="44"/>
      <c r="AH253" s="44"/>
      <c r="AI253" s="44"/>
      <c r="AJ253" s="44"/>
    </row>
    <row r="254" spans="2:36">
      <c r="B254" s="8" t="s">
        <v>3815</v>
      </c>
      <c r="E254" s="458">
        <v>2.0796915396846711E-2</v>
      </c>
      <c r="F254" s="109">
        <v>2.332357031228598E-2</v>
      </c>
      <c r="G254" s="109">
        <v>2.6422940354563128E-2</v>
      </c>
      <c r="H254" s="109">
        <v>3.0295823332411789E-2</v>
      </c>
      <c r="I254" s="109">
        <v>3.5233375014100225E-2</v>
      </c>
      <c r="J254" s="109">
        <v>4.1662024865824446E-2</v>
      </c>
      <c r="K254" s="109"/>
      <c r="L254" s="77"/>
      <c r="M254" s="77"/>
      <c r="N254" s="109">
        <v>4.575616618608188E-2</v>
      </c>
      <c r="O254" s="109">
        <v>5.0436011248603328E-2</v>
      </c>
      <c r="P254" s="109">
        <v>5.578779062678537E-2</v>
      </c>
      <c r="Q254" s="109">
        <v>6.1893769978045771E-2</v>
      </c>
      <c r="R254" s="109">
        <v>6.8816472949924698E-2</v>
      </c>
      <c r="S254" s="109">
        <v>7.6573543108137868E-2</v>
      </c>
      <c r="T254" s="109"/>
      <c r="U254" s="77"/>
      <c r="V254" s="77"/>
      <c r="W254" s="109"/>
      <c r="X254" s="109"/>
      <c r="Y254" s="109"/>
      <c r="Z254" s="109"/>
      <c r="AA254" s="109"/>
      <c r="AB254" s="109"/>
      <c r="AC254" s="109"/>
      <c r="AD254" s="9"/>
      <c r="AE254" s="44"/>
      <c r="AF254" s="44"/>
      <c r="AG254" s="44"/>
      <c r="AH254" s="44"/>
      <c r="AI254" s="44"/>
      <c r="AJ254" s="44"/>
    </row>
    <row r="255" spans="2:36">
      <c r="B255" s="8" t="s">
        <v>1542</v>
      </c>
      <c r="E255" s="458">
        <v>1000.017418298906</v>
      </c>
      <c r="F255" s="109">
        <v>1120.7942984132853</v>
      </c>
      <c r="G255" s="109">
        <v>1268.8085104506708</v>
      </c>
      <c r="H255" s="109">
        <v>1453.5622268058232</v>
      </c>
      <c r="I255" s="109">
        <v>1688.8031193280519</v>
      </c>
      <c r="J255" s="109">
        <v>1994.6062629151293</v>
      </c>
      <c r="K255" s="109"/>
      <c r="L255" s="77"/>
      <c r="M255" s="77"/>
      <c r="N255" s="109">
        <v>2189.1249929861124</v>
      </c>
      <c r="O255" s="109">
        <v>2411.2004090168034</v>
      </c>
      <c r="P255" s="109">
        <v>2664.8073567502911</v>
      </c>
      <c r="Q255" s="109">
        <v>2953.6860499825902</v>
      </c>
      <c r="R255" s="109">
        <v>3280.5820855279035</v>
      </c>
      <c r="S255" s="109">
        <v>3646.0477955834967</v>
      </c>
      <c r="T255" s="109"/>
      <c r="U255" s="77"/>
      <c r="V255" s="77"/>
      <c r="W255" s="109"/>
      <c r="X255" s="109"/>
      <c r="Y255" s="109"/>
      <c r="Z255" s="109"/>
      <c r="AA255" s="109"/>
      <c r="AB255" s="109"/>
      <c r="AC255" s="109"/>
      <c r="AD255" s="9"/>
      <c r="AE255" s="44"/>
      <c r="AF255" s="44"/>
      <c r="AG255" s="44"/>
      <c r="AH255" s="44"/>
      <c r="AI255" s="44"/>
      <c r="AJ255" s="44"/>
    </row>
    <row r="256" spans="2:36">
      <c r="B256" s="8" t="s">
        <v>3813</v>
      </c>
      <c r="E256" s="458">
        <v>793.80002119574215</v>
      </c>
      <c r="F256" s="109">
        <v>890.09954836936413</v>
      </c>
      <c r="G256" s="109">
        <v>1008.200232570568</v>
      </c>
      <c r="H256" s="109">
        <v>1155.7366788758832</v>
      </c>
      <c r="I256" s="109">
        <v>1343.7733678958909</v>
      </c>
      <c r="J256" s="109">
        <v>1588.5044947442966</v>
      </c>
      <c r="K256" s="109"/>
      <c r="L256" s="77"/>
      <c r="M256" s="77"/>
      <c r="N256" s="109">
        <v>1744.3193726187344</v>
      </c>
      <c r="O256" s="109">
        <v>1922.3745360729297</v>
      </c>
      <c r="P256" s="109">
        <v>2125.9299405733263</v>
      </c>
      <c r="Q256" s="109">
        <v>2358.0871402606631</v>
      </c>
      <c r="R256" s="109">
        <v>2621.1879675372379</v>
      </c>
      <c r="S256" s="109">
        <v>2915.8589823440502</v>
      </c>
      <c r="T256" s="109"/>
      <c r="U256" s="77"/>
      <c r="V256" s="77"/>
      <c r="W256" s="109"/>
      <c r="X256" s="109"/>
      <c r="Y256" s="109"/>
      <c r="Z256" s="109"/>
      <c r="AA256" s="109"/>
      <c r="AB256" s="109"/>
      <c r="AC256" s="109"/>
      <c r="AD256" s="9"/>
      <c r="AE256" s="44"/>
      <c r="AF256" s="44"/>
      <c r="AG256" s="44"/>
      <c r="AH256" s="44"/>
      <c r="AI256" s="44"/>
      <c r="AJ256" s="44"/>
    </row>
    <row r="257" spans="2:36">
      <c r="B257" s="8" t="s">
        <v>2930</v>
      </c>
      <c r="E257" s="458">
        <v>0.3333961802436689</v>
      </c>
      <c r="F257" s="109">
        <v>0.37373401860089661</v>
      </c>
      <c r="G257" s="109">
        <v>0.42318282496426779</v>
      </c>
      <c r="H257" s="109">
        <v>0.48492594726272997</v>
      </c>
      <c r="I257" s="109">
        <v>0.56357217278443494</v>
      </c>
      <c r="J257" s="109">
        <v>0.66585772518491937</v>
      </c>
      <c r="K257" s="109"/>
      <c r="L257" s="77"/>
      <c r="M257" s="77"/>
      <c r="N257" s="109">
        <v>0.73094467677406239</v>
      </c>
      <c r="O257" s="109">
        <v>0.80528011449262116</v>
      </c>
      <c r="P257" s="109">
        <v>0.89020674286182089</v>
      </c>
      <c r="Q257" s="109">
        <v>0.98699368739707827</v>
      </c>
      <c r="R257" s="109">
        <v>1.0965834366628955</v>
      </c>
      <c r="S257" s="109">
        <v>1.2191915242514895</v>
      </c>
      <c r="T257" s="109"/>
      <c r="U257" s="77"/>
      <c r="V257" s="77"/>
      <c r="W257" s="109"/>
      <c r="X257" s="109"/>
      <c r="Y257" s="109"/>
      <c r="Z257" s="109"/>
      <c r="AA257" s="109"/>
      <c r="AB257" s="109"/>
      <c r="AC257" s="109"/>
      <c r="AD257" s="9"/>
      <c r="AE257" s="44"/>
      <c r="AF257" s="44"/>
      <c r="AG257" s="44"/>
      <c r="AH257" s="44"/>
      <c r="AI257" s="44"/>
      <c r="AJ257" s="44"/>
    </row>
    <row r="258" spans="2:36">
      <c r="B258" s="8" t="s">
        <v>1944</v>
      </c>
      <c r="E258" s="458">
        <v>5.5575007329952069</v>
      </c>
      <c r="F258" s="109">
        <v>6.2296727732102983</v>
      </c>
      <c r="G258" s="109">
        <v>7.0536202968630493</v>
      </c>
      <c r="H258" s="109">
        <v>8.0823575310330753</v>
      </c>
      <c r="I258" s="109">
        <v>9.3926272154510322</v>
      </c>
      <c r="J258" s="109">
        <v>11.096576676505626</v>
      </c>
      <c r="K258" s="109"/>
      <c r="L258" s="77"/>
      <c r="M258" s="77"/>
      <c r="N258" s="109">
        <v>12.180765956751824</v>
      </c>
      <c r="O258" s="109">
        <v>13.418921861097834</v>
      </c>
      <c r="P258" s="109">
        <v>14.833369289298199</v>
      </c>
      <c r="Q258" s="109">
        <v>16.445191456455014</v>
      </c>
      <c r="R258" s="109">
        <v>18.27001052887427</v>
      </c>
      <c r="S258" s="109">
        <v>20.311316819407519</v>
      </c>
      <c r="T258" s="109"/>
      <c r="U258" s="77"/>
      <c r="V258" s="77"/>
      <c r="W258" s="109"/>
      <c r="X258" s="109"/>
      <c r="Y258" s="109"/>
      <c r="Z258" s="109"/>
      <c r="AA258" s="109"/>
      <c r="AB258" s="109"/>
      <c r="AC258" s="109"/>
      <c r="AD258" s="9"/>
      <c r="AE258" s="44"/>
      <c r="AF258" s="44"/>
      <c r="AG258" s="44"/>
      <c r="AH258" s="44"/>
      <c r="AI258" s="44"/>
      <c r="AJ258" s="44"/>
    </row>
    <row r="259" spans="2:36">
      <c r="B259" s="8" t="s">
        <v>3243</v>
      </c>
      <c r="C259" s="3" t="s">
        <v>281</v>
      </c>
      <c r="E259" s="458">
        <v>37.821968894452709</v>
      </c>
      <c r="F259" s="109">
        <v>37.821966185271144</v>
      </c>
      <c r="G259" s="109">
        <v>37.821962707571309</v>
      </c>
      <c r="H259" s="109">
        <v>37.821958135959107</v>
      </c>
      <c r="I259" s="109">
        <v>37.821951956436294</v>
      </c>
      <c r="J259" s="109">
        <v>37.821943331004618</v>
      </c>
      <c r="K259" s="109"/>
      <c r="L259" s="77"/>
      <c r="M259" s="77"/>
      <c r="N259" s="109">
        <v>37.821937861491641</v>
      </c>
      <c r="O259" s="109">
        <v>37.821931238468991</v>
      </c>
      <c r="P259" s="109">
        <v>37.821923180045481</v>
      </c>
      <c r="Q259" s="109">
        <v>37.821913348705095</v>
      </c>
      <c r="R259" s="109">
        <v>37.821901365692888</v>
      </c>
      <c r="S259" s="109">
        <v>37.821886858973954</v>
      </c>
      <c r="T259" s="109"/>
      <c r="U259" s="77"/>
      <c r="V259" s="77"/>
      <c r="W259" s="109"/>
      <c r="X259" s="109"/>
      <c r="Y259" s="109"/>
      <c r="Z259" s="109"/>
      <c r="AA259" s="109"/>
      <c r="AB259" s="109"/>
      <c r="AC259" s="109"/>
      <c r="AD259" s="9"/>
      <c r="AE259" s="44"/>
      <c r="AF259" s="44"/>
      <c r="AG259" s="44"/>
      <c r="AH259" s="44"/>
      <c r="AI259" s="44"/>
      <c r="AJ259" s="44"/>
    </row>
    <row r="260" spans="2:36">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row>
    <row r="261" spans="2:36">
      <c r="B261" t="s">
        <v>2691</v>
      </c>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row>
    <row r="262" spans="2:36">
      <c r="B262" s="8" t="s">
        <v>3814</v>
      </c>
      <c r="C262" s="3" t="s">
        <v>2692</v>
      </c>
      <c r="D262" s="3" t="s">
        <v>2693</v>
      </c>
      <c r="E262" s="109">
        <f t="array" ref="E262:E274">el_1_1 perm_conc_out</f>
        <v>0.39815051583217892</v>
      </c>
      <c r="F262" s="109">
        <f t="array" ref="F262:F274">(el_1_1 c_perm_conc_out * el_1_1 c_perm_flow_out + el_1_2 perm_conc_out * el_1_2 perm_flow_out) / el_1_2 c_perm_flow_out</f>
        <v>0.43016885913961911</v>
      </c>
      <c r="G262" s="109">
        <f t="array" ref="G262:G274">(el_1_2 c_perm_conc_out * el_1_2 c_perm_flow_out + el_1_3 perm_conc_out * el_1_3 perm_flow_out) / el_1_3 c_perm_flow_out</f>
        <v>0.46747564508968015</v>
      </c>
      <c r="H262" s="109">
        <f t="array" ref="H262:H274">(el_1_3 c_perm_conc_out * el_1_3 c_perm_flow_out + el_1_4 perm_conc_out * el_1_4 perm_flow_out) / el_1_4 c_perm_flow_out</f>
        <v>0.51170821560900115</v>
      </c>
      <c r="I262" s="109">
        <f t="array" ref="I262:I274">(el_1_4 c_perm_conc_out * el_1_4 c_perm_flow_out + el_1_5 perm_conc_out * el_1_5 perm_flow_out) / el_1_5 c_perm_flow_out</f>
        <v>0.56523487631654534</v>
      </c>
      <c r="J262" s="109">
        <f t="array" ref="J262:J274">(el_1_5 c_perm_conc_out * el_1_5 c_perm_flow_out + el_1_6 perm_conc_out * el_1_6 perm_flow_out) / el_1_6 c_perm_flow_out</f>
        <v>0.63153669074510321</v>
      </c>
      <c r="K262" s="109"/>
      <c r="L262" s="77"/>
      <c r="M262" s="77"/>
      <c r="N262" s="109">
        <f t="array" ref="N262:N274">el_2_1 perm_conc_out</f>
        <v>1.2031091425411373</v>
      </c>
      <c r="O262" s="109">
        <f t="array" ref="O262:O274">(el_2_1 c_perm_conc_out * el_2_1 c_perm_flow_out + el_2_2 perm_conc_out * el_2_2 perm_flow_out) / el_2_2 c_perm_flow_out</f>
        <v>1.3066997154946611</v>
      </c>
      <c r="P262" s="109">
        <f t="array" ref="P262:P274">(el_2_2 c_perm_conc_out * el_2_2 c_perm_flow_out + el_2_3 perm_conc_out * el_2_3 perm_flow_out) / el_2_3 c_perm_flow_out</f>
        <v>1.4255588105251988</v>
      </c>
      <c r="Q262" s="109">
        <f t="array" ref="Q262:Q274">(el_2_3 c_perm_conc_out * el_2_3 c_perm_flow_out + el_2_4 perm_conc_out * el_2_4 perm_flow_out) / el_2_4 c_perm_flow_out</f>
        <v>1.5628289049645934</v>
      </c>
      <c r="R262" s="109">
        <f t="array" ref="R262:R274">(el_2_4 c_perm_conc_out * el_2_4 c_perm_flow_out + el_2_5 perm_conc_out * el_2_5 perm_flow_out) / el_2_5 c_perm_flow_out</f>
        <v>1.722225732502219</v>
      </c>
      <c r="S262" s="109">
        <f t="array" ref="S262:S274">(el_2_5 c_perm_conc_out * el_2_5 c_perm_flow_out + el_2_6 perm_conc_out * el_2_6 perm_flow_out) / el_2_6 c_perm_flow_out</f>
        <v>1.9079814545605207</v>
      </c>
      <c r="T262" s="109"/>
      <c r="U262" s="77"/>
      <c r="V262" s="77"/>
      <c r="W262" s="109"/>
      <c r="X262" s="109"/>
      <c r="Y262" s="109"/>
      <c r="Z262" s="109"/>
      <c r="AA262" s="109"/>
      <c r="AB262" s="109"/>
      <c r="AC262" s="109"/>
      <c r="AE262" s="44"/>
      <c r="AF262" s="44"/>
      <c r="AG262" s="44"/>
      <c r="AH262" s="44"/>
      <c r="AI262" s="44"/>
      <c r="AJ262" s="44"/>
    </row>
    <row r="263" spans="2:36">
      <c r="B263" s="8" t="s">
        <v>3816</v>
      </c>
      <c r="E263" s="109">
        <v>3.6195501439288999E-2</v>
      </c>
      <c r="F263" s="109">
        <v>3.910625992178355E-2</v>
      </c>
      <c r="G263" s="109">
        <v>4.2497785917243652E-2</v>
      </c>
      <c r="H263" s="109">
        <v>4.6518928691727385E-2</v>
      </c>
      <c r="I263" s="109">
        <v>5.138498875604959E-2</v>
      </c>
      <c r="J263" s="109">
        <v>5.7412426431373037E-2</v>
      </c>
      <c r="K263" s="109"/>
      <c r="L263" s="77"/>
      <c r="M263" s="77"/>
      <c r="N263" s="109">
        <v>0.1093735584128307</v>
      </c>
      <c r="O263" s="109">
        <v>0.11879088322678741</v>
      </c>
      <c r="P263" s="109">
        <v>0.12959625550229081</v>
      </c>
      <c r="Q263" s="109">
        <v>0.14207535499678123</v>
      </c>
      <c r="R263" s="109">
        <v>0.15656597568201991</v>
      </c>
      <c r="S263" s="109">
        <v>0.17345285950550188</v>
      </c>
      <c r="T263" s="109"/>
      <c r="U263" s="77"/>
      <c r="V263" s="77"/>
      <c r="W263" s="109"/>
      <c r="X263" s="109"/>
      <c r="Y263" s="109"/>
      <c r="Z263" s="109"/>
      <c r="AA263" s="109"/>
      <c r="AB263" s="109"/>
      <c r="AC263" s="109"/>
      <c r="AE263" s="44"/>
      <c r="AF263" s="44"/>
      <c r="AG263" s="44"/>
      <c r="AH263" s="44"/>
      <c r="AI263" s="44"/>
      <c r="AJ263" s="44"/>
    </row>
    <row r="264" spans="2:36">
      <c r="B264" s="8" t="s">
        <v>72</v>
      </c>
      <c r="E264" s="109">
        <v>3.4110640556385947</v>
      </c>
      <c r="F264" s="109">
        <v>3.6845203398058373</v>
      </c>
      <c r="G264" s="109">
        <v>4.0030125808749455</v>
      </c>
      <c r="H264" s="109">
        <v>4.3804578820689706</v>
      </c>
      <c r="I264" s="109">
        <v>4.8369732070014653</v>
      </c>
      <c r="J264" s="109">
        <v>5.4021007004246924</v>
      </c>
      <c r="K264" s="109"/>
      <c r="L264" s="77"/>
      <c r="M264" s="77"/>
      <c r="N264" s="109">
        <v>10.268268760697131</v>
      </c>
      <c r="O264" s="109">
        <v>11.149292130782843</v>
      </c>
      <c r="P264" s="109">
        <v>12.159677580960446</v>
      </c>
      <c r="Q264" s="109">
        <v>13.325933749459644</v>
      </c>
      <c r="R264" s="109">
        <v>14.679352269626399</v>
      </c>
      <c r="S264" s="109">
        <v>16.255491051978201</v>
      </c>
      <c r="T264" s="109"/>
      <c r="U264" s="77"/>
      <c r="V264" s="77"/>
      <c r="W264" s="109"/>
      <c r="X264" s="109"/>
      <c r="Y264" s="109"/>
      <c r="Z264" s="109"/>
      <c r="AA264" s="109"/>
      <c r="AB264" s="109"/>
      <c r="AC264" s="109"/>
      <c r="AE264" s="44"/>
      <c r="AF264" s="44"/>
      <c r="AG264" s="44"/>
      <c r="AH264" s="44"/>
      <c r="AI264" s="44"/>
      <c r="AJ264" s="44"/>
    </row>
    <row r="265" spans="2:36">
      <c r="B265" s="8" t="s">
        <v>3818</v>
      </c>
      <c r="E265" s="109">
        <v>2.2585992898116334E-2</v>
      </c>
      <c r="F265" s="109">
        <v>2.4394393406952156E-2</v>
      </c>
      <c r="G265" s="109">
        <v>2.6500276573878274E-2</v>
      </c>
      <c r="H265" s="109">
        <v>2.8995501390083809E-2</v>
      </c>
      <c r="I265" s="109">
        <v>3.2012813750368824E-2</v>
      </c>
      <c r="J265" s="109">
        <v>3.5747082474846537E-2</v>
      </c>
      <c r="K265" s="109"/>
      <c r="L265" s="77"/>
      <c r="M265" s="77"/>
      <c r="N265" s="109">
        <v>6.7886914682275895E-2</v>
      </c>
      <c r="O265" s="109">
        <v>7.3703455330479395E-2</v>
      </c>
      <c r="P265" s="109">
        <v>8.0372740668436166E-2</v>
      </c>
      <c r="Q265" s="109">
        <v>8.806920731137384E-2</v>
      </c>
      <c r="R265" s="109">
        <v>9.6998626067453533E-2</v>
      </c>
      <c r="S265" s="109">
        <v>0.10739460310209153</v>
      </c>
      <c r="T265" s="109"/>
      <c r="U265" s="77"/>
      <c r="V265" s="77"/>
      <c r="W265" s="109"/>
      <c r="X265" s="109"/>
      <c r="Y265" s="109"/>
      <c r="Z265" s="109"/>
      <c r="AA265" s="109"/>
      <c r="AB265" s="109"/>
      <c r="AC265" s="109"/>
      <c r="AE265" s="44"/>
      <c r="AF265" s="44"/>
      <c r="AG265" s="44"/>
      <c r="AH265" s="44"/>
      <c r="AI265" s="44"/>
      <c r="AJ265" s="44"/>
    </row>
    <row r="266" spans="2:36">
      <c r="B266" s="8" t="s">
        <v>3253</v>
      </c>
      <c r="E266" s="109">
        <v>7.2391002878577997E-5</v>
      </c>
      <c r="F266" s="109">
        <v>7.8212519843567108E-5</v>
      </c>
      <c r="G266" s="109">
        <v>8.4995571834487295E-5</v>
      </c>
      <c r="H266" s="109">
        <v>9.3037857383454744E-5</v>
      </c>
      <c r="I266" s="109">
        <v>1.0276997751209916E-4</v>
      </c>
      <c r="J266" s="109">
        <v>1.1482485286274604E-4</v>
      </c>
      <c r="K266" s="109"/>
      <c r="L266" s="77"/>
      <c r="M266" s="77"/>
      <c r="N266" s="109">
        <v>2.1874711682566127E-4</v>
      </c>
      <c r="O266" s="109">
        <v>2.3758176645357468E-4</v>
      </c>
      <c r="P266" s="109">
        <v>2.5919251100458158E-4</v>
      </c>
      <c r="Q266" s="109">
        <v>2.8415070999356236E-4</v>
      </c>
      <c r="R266" s="109">
        <v>3.1313195136403971E-4</v>
      </c>
      <c r="S266" s="109">
        <v>3.4690571901100368E-4</v>
      </c>
      <c r="T266" s="109"/>
      <c r="U266" s="77"/>
      <c r="V266" s="77"/>
      <c r="W266" s="109"/>
      <c r="X266" s="109"/>
      <c r="Y266" s="109"/>
      <c r="Z266" s="109"/>
      <c r="AA266" s="109"/>
      <c r="AB266" s="109"/>
      <c r="AC266" s="109"/>
      <c r="AE266" s="44"/>
      <c r="AF266" s="44"/>
      <c r="AG266" s="44"/>
      <c r="AH266" s="44"/>
      <c r="AI266" s="44"/>
      <c r="AJ266" s="44"/>
    </row>
    <row r="267" spans="2:36">
      <c r="B267" s="8" t="s">
        <v>3254</v>
      </c>
      <c r="E267" s="109">
        <v>1.4478200575715602E-3</v>
      </c>
      <c r="F267" s="109">
        <v>1.5642503968713423E-3</v>
      </c>
      <c r="G267" s="109">
        <v>1.6999114366897461E-3</v>
      </c>
      <c r="H267" s="109">
        <v>1.860757147669095E-3</v>
      </c>
      <c r="I267" s="109">
        <v>2.0553995502419829E-3</v>
      </c>
      <c r="J267" s="109">
        <v>2.2964970572549206E-3</v>
      </c>
      <c r="K267" s="109"/>
      <c r="L267" s="77"/>
      <c r="M267" s="77"/>
      <c r="N267" s="109">
        <v>4.374942336513225E-3</v>
      </c>
      <c r="O267" s="109">
        <v>4.7516353290714946E-3</v>
      </c>
      <c r="P267" s="109">
        <v>5.1838502200916309E-3</v>
      </c>
      <c r="Q267" s="109">
        <v>5.6830141998712473E-3</v>
      </c>
      <c r="R267" s="109">
        <v>6.2626390272807943E-3</v>
      </c>
      <c r="S267" s="109">
        <v>6.9381143802200729E-3</v>
      </c>
      <c r="T267" s="109"/>
      <c r="U267" s="77"/>
      <c r="V267" s="77"/>
      <c r="W267" s="109"/>
      <c r="X267" s="109"/>
      <c r="Y267" s="109"/>
      <c r="Z267" s="109"/>
      <c r="AA267" s="109"/>
      <c r="AB267" s="109"/>
      <c r="AC267" s="109"/>
      <c r="AE267" s="44"/>
      <c r="AF267" s="44"/>
      <c r="AG267" s="44"/>
      <c r="AH267" s="44"/>
      <c r="AI267" s="44"/>
      <c r="AJ267" s="44"/>
    </row>
    <row r="268" spans="2:36">
      <c r="B268" s="8" t="s">
        <v>3817</v>
      </c>
      <c r="E268" s="109">
        <v>0.42953164046325265</v>
      </c>
      <c r="F268" s="109">
        <v>0.46396739725953018</v>
      </c>
      <c r="G268" s="109">
        <v>0.5040746362833376</v>
      </c>
      <c r="H268" s="109">
        <v>0.5516060121665578</v>
      </c>
      <c r="I268" s="109">
        <v>0.60909498199334799</v>
      </c>
      <c r="J268" s="109">
        <v>0.68026201894357441</v>
      </c>
      <c r="K268" s="109"/>
      <c r="L268" s="77"/>
      <c r="M268" s="77"/>
      <c r="N268" s="109">
        <v>1.2930718618404913</v>
      </c>
      <c r="O268" s="109">
        <v>1.4040230099259927</v>
      </c>
      <c r="P268" s="109">
        <v>1.5312660809087919</v>
      </c>
      <c r="Q268" s="109">
        <v>1.6781397737916082</v>
      </c>
      <c r="R268" s="109">
        <v>1.8485852803245351</v>
      </c>
      <c r="S268" s="109">
        <v>2.0470812654575261</v>
      </c>
      <c r="T268" s="109"/>
      <c r="U268" s="77"/>
      <c r="V268" s="77"/>
      <c r="W268" s="109"/>
      <c r="X268" s="109"/>
      <c r="Y268" s="109"/>
      <c r="Z268" s="109"/>
      <c r="AA268" s="109"/>
      <c r="AB268" s="109"/>
      <c r="AC268" s="109"/>
      <c r="AE268" s="44"/>
      <c r="AF268" s="44"/>
      <c r="AG268" s="44"/>
      <c r="AH268" s="44"/>
      <c r="AI268" s="44"/>
      <c r="AJ268" s="44"/>
    </row>
    <row r="269" spans="2:36">
      <c r="B269" s="8" t="s">
        <v>3815</v>
      </c>
      <c r="E269" s="109">
        <v>3.4320798520981849E-7</v>
      </c>
      <c r="F269" s="109">
        <v>4.0355523106989484E-7</v>
      </c>
      <c r="G269" s="109">
        <v>4.8272345978279188E-7</v>
      </c>
      <c r="H269" s="109">
        <v>5.9011517975042278E-7</v>
      </c>
      <c r="I269" s="109">
        <v>7.4195655522302696E-7</v>
      </c>
      <c r="J269" s="109">
        <v>9.6791568549033733E-7</v>
      </c>
      <c r="K269" s="109"/>
      <c r="L269" s="77"/>
      <c r="M269" s="77"/>
      <c r="N269" s="109">
        <v>3.2167530519692474E-6</v>
      </c>
      <c r="O269" s="109">
        <v>3.8318960149487902E-6</v>
      </c>
      <c r="P269" s="109">
        <v>4.6348379487422491E-6</v>
      </c>
      <c r="Q269" s="109">
        <v>5.7049138613447776E-6</v>
      </c>
      <c r="R269" s="109">
        <v>7.1627683765437857E-6</v>
      </c>
      <c r="S269" s="109">
        <v>9.1944816435638472E-6</v>
      </c>
      <c r="T269" s="109"/>
      <c r="U269" s="77"/>
      <c r="V269" s="77"/>
      <c r="W269" s="109"/>
      <c r="X269" s="109"/>
      <c r="Y269" s="109"/>
      <c r="Z269" s="109"/>
      <c r="AA269" s="109"/>
      <c r="AB269" s="109"/>
      <c r="AC269" s="109"/>
      <c r="AE269" s="44"/>
      <c r="AF269" s="44"/>
      <c r="AG269" s="44"/>
      <c r="AH269" s="44"/>
      <c r="AI269" s="44"/>
      <c r="AJ269" s="44"/>
    </row>
    <row r="270" spans="2:36">
      <c r="B270" s="8" t="s">
        <v>1542</v>
      </c>
      <c r="E270" s="109">
        <v>5.0937960782766716</v>
      </c>
      <c r="F270" s="109">
        <v>5.5021679075519181</v>
      </c>
      <c r="G270" s="109">
        <v>5.9777974857373124</v>
      </c>
      <c r="H270" s="109">
        <v>6.5414694103833906</v>
      </c>
      <c r="I270" s="109">
        <v>7.2232277401338694</v>
      </c>
      <c r="J270" s="109">
        <v>8.0671932265274968</v>
      </c>
      <c r="K270" s="109"/>
      <c r="L270" s="77"/>
      <c r="M270" s="77"/>
      <c r="N270" s="109">
        <v>15.334465365716694</v>
      </c>
      <c r="O270" s="109">
        <v>16.650226596317584</v>
      </c>
      <c r="P270" s="109">
        <v>18.159191977643019</v>
      </c>
      <c r="Q270" s="109">
        <v>19.900954601944957</v>
      </c>
      <c r="R270" s="109">
        <v>21.922252336679108</v>
      </c>
      <c r="S270" s="109">
        <v>24.276196712056489</v>
      </c>
      <c r="T270" s="109"/>
      <c r="U270" s="77"/>
      <c r="V270" s="77"/>
      <c r="W270" s="109"/>
      <c r="X270" s="109"/>
      <c r="Y270" s="109"/>
      <c r="Z270" s="109"/>
      <c r="AA270" s="109"/>
      <c r="AB270" s="109"/>
      <c r="AC270" s="109"/>
      <c r="AE270" s="44"/>
      <c r="AF270" s="44"/>
      <c r="AG270" s="44"/>
      <c r="AH270" s="44"/>
      <c r="AI270" s="44"/>
      <c r="AJ270" s="44"/>
    </row>
    <row r="271" spans="2:36">
      <c r="B271" s="8" t="s">
        <v>3813</v>
      </c>
      <c r="E271" s="109">
        <v>1.0104139977808482</v>
      </c>
      <c r="F271" s="109">
        <v>1.0916665258328617</v>
      </c>
      <c r="G271" s="109">
        <v>1.1863390607982136</v>
      </c>
      <c r="H271" s="109">
        <v>1.2985864560782812</v>
      </c>
      <c r="I271" s="109">
        <v>1.4344183877792118</v>
      </c>
      <c r="J271" s="109">
        <v>1.6026681178325455</v>
      </c>
      <c r="K271" s="109"/>
      <c r="L271" s="77"/>
      <c r="M271" s="77"/>
      <c r="N271" s="109">
        <v>3.053092183008224</v>
      </c>
      <c r="O271" s="109">
        <v>3.3159610801482229</v>
      </c>
      <c r="P271" s="109">
        <v>3.6175734506294344</v>
      </c>
      <c r="Q271" s="109">
        <v>3.9659028784485435</v>
      </c>
      <c r="R271" s="109">
        <v>4.370377332761092</v>
      </c>
      <c r="S271" s="109">
        <v>4.8417348513847553</v>
      </c>
      <c r="T271" s="109"/>
      <c r="U271" s="77"/>
      <c r="V271" s="77"/>
      <c r="W271" s="109"/>
      <c r="X271" s="109"/>
      <c r="Y271" s="109"/>
      <c r="Z271" s="109"/>
      <c r="AA271" s="109"/>
      <c r="AB271" s="109"/>
      <c r="AC271" s="109"/>
      <c r="AE271" s="44"/>
      <c r="AF271" s="44"/>
      <c r="AG271" s="44"/>
      <c r="AH271" s="44"/>
      <c r="AI271" s="44"/>
      <c r="AJ271" s="44"/>
    </row>
    <row r="272" spans="2:36">
      <c r="B272" s="8" t="s">
        <v>2930</v>
      </c>
      <c r="E272" s="109">
        <v>1.1885524182645567E-3</v>
      </c>
      <c r="F272" s="109">
        <v>1.2839554921116299E-3</v>
      </c>
      <c r="G272" s="109">
        <v>1.3950890194569809E-3</v>
      </c>
      <c r="H272" s="109">
        <v>1.5268177695249578E-3</v>
      </c>
      <c r="I272" s="109">
        <v>1.6861755529999319E-3</v>
      </c>
      <c r="J272" s="109">
        <v>1.8834954422804948E-3</v>
      </c>
      <c r="K272" s="109"/>
      <c r="L272" s="77"/>
      <c r="M272" s="77"/>
      <c r="N272" s="109">
        <v>3.5833641408977448E-3</v>
      </c>
      <c r="O272" s="109">
        <v>3.891254677061899E-3</v>
      </c>
      <c r="P272" s="109">
        <v>4.2444229477954414E-3</v>
      </c>
      <c r="Q272" s="109">
        <v>4.6521635396019395E-3</v>
      </c>
      <c r="R272" s="109">
        <v>5.1254555445107318E-3</v>
      </c>
      <c r="S272" s="109">
        <v>5.6767866653298976E-3</v>
      </c>
      <c r="T272" s="109"/>
      <c r="U272" s="77"/>
      <c r="V272" s="77"/>
      <c r="W272" s="109"/>
      <c r="X272" s="109"/>
      <c r="Y272" s="109"/>
      <c r="Z272" s="109"/>
      <c r="AA272" s="109"/>
      <c r="AB272" s="109"/>
      <c r="AC272" s="109"/>
      <c r="AE272" s="44"/>
      <c r="AF272" s="44"/>
      <c r="AG272" s="44"/>
      <c r="AH272" s="44"/>
      <c r="AI272" s="44"/>
      <c r="AJ272" s="44"/>
    </row>
    <row r="273" spans="1:36">
      <c r="B273" s="8" t="s">
        <v>1944</v>
      </c>
      <c r="E273" s="109">
        <v>2.1467941100253143E-2</v>
      </c>
      <c r="F273" s="109">
        <v>2.3190773999126876E-2</v>
      </c>
      <c r="G273" s="109">
        <v>2.5197619256043382E-2</v>
      </c>
      <c r="H273" s="109">
        <v>2.7576298770159446E-2</v>
      </c>
      <c r="I273" s="109">
        <v>3.0453785742119144E-2</v>
      </c>
      <c r="J273" s="109">
        <v>3.4016599684379152E-2</v>
      </c>
      <c r="K273" s="109"/>
      <c r="L273" s="77"/>
      <c r="M273" s="77"/>
      <c r="N273" s="109">
        <v>6.4707072927490061E-2</v>
      </c>
      <c r="O273" s="109">
        <v>7.0265531079697519E-2</v>
      </c>
      <c r="P273" s="109">
        <v>7.6641194169285651E-2</v>
      </c>
      <c r="Q273" s="109">
        <v>8.4001768235243732E-2</v>
      </c>
      <c r="R273" s="109">
        <v>9.2545331064963141E-2</v>
      </c>
      <c r="S273" s="109">
        <v>0.10249714256550209</v>
      </c>
      <c r="T273" s="109"/>
      <c r="U273" s="77"/>
      <c r="V273" s="77"/>
      <c r="W273" s="109"/>
      <c r="X273" s="109"/>
      <c r="Y273" s="109"/>
      <c r="Z273" s="109"/>
      <c r="AA273" s="109"/>
      <c r="AB273" s="109"/>
      <c r="AC273" s="109"/>
      <c r="AE273" s="44"/>
      <c r="AF273" s="44"/>
      <c r="AG273" s="44"/>
      <c r="AH273" s="44"/>
      <c r="AI273" s="44"/>
      <c r="AJ273" s="44"/>
    </row>
    <row r="274" spans="1:36">
      <c r="B274" s="8" t="s">
        <v>3243</v>
      </c>
      <c r="E274" s="109">
        <v>37.821990277456855</v>
      </c>
      <c r="F274" s="109">
        <v>37.821990727769332</v>
      </c>
      <c r="G274" s="109">
        <v>37.82199125165144</v>
      </c>
      <c r="H274" s="109">
        <v>37.82199187705168</v>
      </c>
      <c r="I274" s="109">
        <v>37.82199264660089</v>
      </c>
      <c r="J274" s="109">
        <v>37.821993624605234</v>
      </c>
      <c r="K274" s="109"/>
      <c r="L274" s="77"/>
      <c r="M274" s="77"/>
      <c r="N274" s="109">
        <v>37.821998984528499</v>
      </c>
      <c r="O274" s="109">
        <v>37.82200074540679</v>
      </c>
      <c r="P274" s="109">
        <v>37.822002756906095</v>
      </c>
      <c r="Q274" s="109">
        <v>37.822005063309724</v>
      </c>
      <c r="R274" s="109">
        <v>37.822007705698148</v>
      </c>
      <c r="S274" s="109">
        <v>37.822010707619377</v>
      </c>
      <c r="T274" s="109"/>
      <c r="U274" s="77"/>
      <c r="V274" s="77"/>
      <c r="W274" s="109"/>
      <c r="X274" s="109"/>
      <c r="Y274" s="109"/>
      <c r="Z274" s="109"/>
      <c r="AA274" s="109"/>
      <c r="AB274" s="109"/>
      <c r="AC274" s="109"/>
      <c r="AE274" s="44"/>
      <c r="AF274" s="44"/>
      <c r="AG274" s="44"/>
      <c r="AH274" s="44"/>
      <c r="AI274" s="44"/>
      <c r="AJ274" s="44"/>
    </row>
    <row r="275" spans="1:36">
      <c r="B275" s="8"/>
      <c r="E275" s="109"/>
      <c r="F275" s="109"/>
      <c r="G275" s="109"/>
      <c r="H275" s="109"/>
      <c r="I275" s="109"/>
      <c r="J275" s="109"/>
      <c r="K275" s="109"/>
      <c r="L275" s="77"/>
      <c r="M275" s="77"/>
      <c r="N275" s="109"/>
      <c r="O275" s="109"/>
      <c r="P275" s="109"/>
      <c r="Q275" s="109"/>
      <c r="R275" s="109"/>
      <c r="S275" s="109"/>
      <c r="T275" s="109"/>
      <c r="U275" s="77"/>
      <c r="V275" s="77"/>
      <c r="W275" s="109"/>
      <c r="X275" s="109"/>
      <c r="Y275" s="109"/>
      <c r="Z275" s="109"/>
      <c r="AA275" s="109"/>
      <c r="AB275" s="109"/>
      <c r="AC275" s="109"/>
      <c r="AD275" s="44"/>
      <c r="AE275" s="44"/>
      <c r="AF275" s="44"/>
      <c r="AG275" s="44"/>
      <c r="AH275" s="44"/>
      <c r="AI275" s="44"/>
      <c r="AJ275" s="44"/>
    </row>
    <row r="276" spans="1:36">
      <c r="B276" s="8" t="s">
        <v>2694</v>
      </c>
      <c r="C276" s="3" t="s">
        <v>2695</v>
      </c>
      <c r="D276" s="3" t="s">
        <v>862</v>
      </c>
      <c r="E276" s="117">
        <v>5</v>
      </c>
      <c r="F276" s="117">
        <v>5</v>
      </c>
      <c r="G276" s="117">
        <v>5</v>
      </c>
      <c r="H276" s="117">
        <v>5</v>
      </c>
      <c r="I276" s="117">
        <v>6</v>
      </c>
      <c r="J276" s="117">
        <v>6</v>
      </c>
      <c r="K276" s="117"/>
      <c r="L276" s="230"/>
      <c r="M276" s="230"/>
      <c r="N276" s="117">
        <v>6</v>
      </c>
      <c r="O276" s="117">
        <v>6</v>
      </c>
      <c r="P276" s="117">
        <v>6</v>
      </c>
      <c r="Q276" s="117">
        <v>6</v>
      </c>
      <c r="R276" s="117">
        <v>6</v>
      </c>
      <c r="S276" s="117">
        <v>6</v>
      </c>
      <c r="T276" s="117"/>
      <c r="U276" s="230"/>
      <c r="V276" s="230"/>
      <c r="W276" s="117"/>
      <c r="X276" s="117"/>
      <c r="Y276" s="117"/>
      <c r="Z276" s="117"/>
      <c r="AA276" s="117"/>
      <c r="AB276" s="117"/>
      <c r="AC276" s="117"/>
      <c r="AD276" s="27"/>
      <c r="AE276" s="27"/>
      <c r="AF276" s="27"/>
      <c r="AG276" s="27"/>
      <c r="AH276" s="27"/>
      <c r="AI276" s="27"/>
      <c r="AJ276" s="44"/>
    </row>
    <row r="278" spans="1:36">
      <c r="A278" s="46" t="s">
        <v>302</v>
      </c>
    </row>
    <row r="279" spans="1:36">
      <c r="B279" s="63" t="s">
        <v>2232</v>
      </c>
      <c r="F279" t="s">
        <v>589</v>
      </c>
      <c r="G279" s="69" t="s">
        <v>588</v>
      </c>
    </row>
    <row r="280" spans="1:36">
      <c r="B280" t="s">
        <v>2233</v>
      </c>
      <c r="C280" s="3" t="s">
        <v>2241</v>
      </c>
      <c r="E280">
        <v>6</v>
      </c>
      <c r="F280">
        <f>water_index</f>
        <v>6</v>
      </c>
      <c r="G280" s="69" t="b">
        <f>(E280=F280)</f>
        <v>1</v>
      </c>
    </row>
    <row r="281" spans="1:36">
      <c r="B281" t="s">
        <v>2234</v>
      </c>
      <c r="C281" s="3" t="s">
        <v>2242</v>
      </c>
      <c r="E281">
        <v>2.1520000000000001</v>
      </c>
      <c r="F281">
        <f>design_flow</f>
        <v>2.1520000000000001</v>
      </c>
      <c r="G281" s="69" t="b">
        <f t="shared" ref="G281:G288" si="2">(E281=F281)</f>
        <v>1</v>
      </c>
    </row>
    <row r="282" spans="1:36">
      <c r="B282" t="s">
        <v>3404</v>
      </c>
      <c r="C282" s="3" t="s">
        <v>586</v>
      </c>
      <c r="E282">
        <v>2.1520000000000001</v>
      </c>
      <c r="F282">
        <f>average_flow</f>
        <v>2.1520000000000001</v>
      </c>
      <c r="G282" s="69" t="b">
        <f t="shared" si="2"/>
        <v>1</v>
      </c>
    </row>
    <row r="283" spans="1:36">
      <c r="B283" t="s">
        <v>2235</v>
      </c>
      <c r="C283" s="3" t="s">
        <v>587</v>
      </c>
      <c r="E283">
        <v>8</v>
      </c>
      <c r="F283">
        <f ca="1">element_index</f>
        <v>8</v>
      </c>
      <c r="G283" s="69" t="b">
        <f t="shared" ca="1" si="2"/>
        <v>1</v>
      </c>
    </row>
    <row r="284" spans="1:36">
      <c r="B284" t="s">
        <v>3603</v>
      </c>
      <c r="C284" s="3" t="s">
        <v>303</v>
      </c>
      <c r="E284">
        <v>15</v>
      </c>
      <c r="F284">
        <f>T_feed</f>
        <v>15</v>
      </c>
      <c r="G284" s="69" t="b">
        <f t="shared" si="2"/>
        <v>1</v>
      </c>
    </row>
    <row r="285" spans="1:36">
      <c r="B285" t="s">
        <v>2236</v>
      </c>
      <c r="C285" s="3" t="s">
        <v>304</v>
      </c>
      <c r="E285">
        <v>0.75</v>
      </c>
      <c r="F285">
        <f>target_recovery</f>
        <v>0.75</v>
      </c>
      <c r="G285" s="69" t="b">
        <f t="shared" si="2"/>
        <v>1</v>
      </c>
    </row>
    <row r="286" spans="1:36">
      <c r="B286" t="s">
        <v>2093</v>
      </c>
      <c r="C286" s="3" t="s">
        <v>3821</v>
      </c>
      <c r="E286">
        <v>12</v>
      </c>
      <c r="F286">
        <f>design_flux</f>
        <v>12</v>
      </c>
      <c r="G286" s="69" t="b">
        <f t="shared" si="2"/>
        <v>1</v>
      </c>
    </row>
    <row r="287" spans="1:36">
      <c r="B287" t="s">
        <v>1790</v>
      </c>
      <c r="C287" s="3" t="s">
        <v>3822</v>
      </c>
      <c r="E287" t="s">
        <v>6513</v>
      </c>
      <c r="F287" t="str">
        <f>pretreat_acid_I</f>
        <v>H2SO4</v>
      </c>
      <c r="G287" s="69" t="b">
        <f t="shared" si="2"/>
        <v>1</v>
      </c>
    </row>
    <row r="288" spans="1:36">
      <c r="B288" t="s">
        <v>1793</v>
      </c>
      <c r="C288" s="3" t="s">
        <v>332</v>
      </c>
      <c r="E288">
        <v>6.5</v>
      </c>
      <c r="F288">
        <f>treated_feed_pH</f>
        <v>6.5</v>
      </c>
      <c r="G288" s="69" t="b">
        <f t="shared" si="2"/>
        <v>1</v>
      </c>
    </row>
    <row r="289" spans="2:6">
      <c r="B289" s="1" t="s">
        <v>1083</v>
      </c>
      <c r="C289" s="3" t="s">
        <v>1084</v>
      </c>
      <c r="E289" t="b">
        <f ca="1">AND(G280:G288)</f>
        <v>1</v>
      </c>
    </row>
    <row r="290" spans="2:6">
      <c r="B290" s="1" t="s">
        <v>4087</v>
      </c>
      <c r="C290" s="3" t="s">
        <v>4088</v>
      </c>
      <c r="E290" t="b">
        <f ca="1">AND(G280:G281,G283:G286)</f>
        <v>1</v>
      </c>
      <c r="F290" s="46" t="s">
        <v>4089</v>
      </c>
    </row>
  </sheetData>
  <mergeCells count="3">
    <mergeCell ref="E173:K173"/>
    <mergeCell ref="N173:T173"/>
    <mergeCell ref="W173:AC17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6562" r:id="rId4" name="cmdSolveSystem">
              <controlPr defaultSize="0" print="0" autoFill="0" autoPict="0" macro="[0]!Sheet21.cmdSolveSystem_Click">
                <anchor moveWithCells="1" sizeWithCells="1">
                  <from>
                    <xdr:col>4</xdr:col>
                    <xdr:colOff>38100</xdr:colOff>
                    <xdr:row>79</xdr:row>
                    <xdr:rowOff>38100</xdr:rowOff>
                  </from>
                  <to>
                    <xdr:col>6</xdr:col>
                    <xdr:colOff>279400</xdr:colOff>
                    <xdr:row>80</xdr:row>
                    <xdr:rowOff>139700</xdr:rowOff>
                  </to>
                </anchor>
              </controlPr>
            </control>
          </mc:Choice>
        </mc:AlternateContent>
        <mc:AlternateContent xmlns:mc="http://schemas.openxmlformats.org/markup-compatibility/2006">
          <mc:Choice Requires="x14">
            <control shapeId="66563" r:id="rId5" name="cmdLoadElement">
              <controlPr defaultSize="0" print="0" autoFill="0" autoPict="0" macro="[0]!Sheet21.cmdLoadElement_Click">
                <anchor moveWithCells="1" sizeWithCells="1">
                  <from>
                    <xdr:col>1</xdr:col>
                    <xdr:colOff>50800</xdr:colOff>
                    <xdr:row>172</xdr:row>
                    <xdr:rowOff>38100</xdr:rowOff>
                  </from>
                  <to>
                    <xdr:col>1</xdr:col>
                    <xdr:colOff>1422400</xdr:colOff>
                    <xdr:row>173</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72"/>
  <sheetViews>
    <sheetView zoomScaleNormal="100" workbookViewId="0">
      <pane ySplit="4" topLeftCell="A49" activePane="bottomLeft" state="frozenSplit"/>
      <selection activeCell="B46" sqref="B46"/>
      <selection pane="bottomLeft"/>
    </sheetView>
  </sheetViews>
  <sheetFormatPr baseColWidth="10" defaultColWidth="9.1640625" defaultRowHeight="13"/>
  <cols>
    <col min="1" max="1" width="51.83203125" style="77" customWidth="1"/>
    <col min="2" max="2" width="25.1640625" style="77" customWidth="1"/>
    <col min="3" max="3" width="9.1640625" style="77"/>
    <col min="4" max="4" width="20.5" style="151" bestFit="1" customWidth="1"/>
    <col min="5" max="16384" width="9.1640625" style="77"/>
  </cols>
  <sheetData>
    <row r="1" spans="1:5" s="14" customFormat="1">
      <c r="A1" s="20" t="s">
        <v>5463</v>
      </c>
      <c r="D1" s="238"/>
    </row>
    <row r="2" spans="1:5" s="14" customFormat="1">
      <c r="A2" s="976" t="s">
        <v>5465</v>
      </c>
      <c r="D2" s="238"/>
    </row>
    <row r="3" spans="1:5" s="14" customFormat="1">
      <c r="D3" s="238"/>
    </row>
    <row r="4" spans="1:5" s="14" customFormat="1">
      <c r="A4" s="235" t="s">
        <v>1988</v>
      </c>
      <c r="B4" s="236" t="s">
        <v>1989</v>
      </c>
      <c r="C4" s="237" t="s">
        <v>1990</v>
      </c>
      <c r="D4" s="236" t="s">
        <v>2961</v>
      </c>
      <c r="E4" s="236" t="s">
        <v>1991</v>
      </c>
    </row>
    <row r="5" spans="1:5">
      <c r="A5" s="101" t="s">
        <v>3055</v>
      </c>
    </row>
    <row r="6" spans="1:5">
      <c r="A6" s="92" t="s">
        <v>4531</v>
      </c>
      <c r="B6" s="232" t="s">
        <v>4530</v>
      </c>
      <c r="C6" s="95">
        <v>3</v>
      </c>
      <c r="D6" s="238" t="s">
        <v>4124</v>
      </c>
      <c r="E6" s="78" t="s">
        <v>4536</v>
      </c>
    </row>
    <row r="7" spans="1:5">
      <c r="A7" s="92" t="s">
        <v>4532</v>
      </c>
      <c r="B7" s="232" t="s">
        <v>4534</v>
      </c>
      <c r="C7" s="95">
        <v>7</v>
      </c>
      <c r="D7" s="238" t="s">
        <v>4124</v>
      </c>
      <c r="E7" s="78" t="s">
        <v>4537</v>
      </c>
    </row>
    <row r="8" spans="1:5">
      <c r="A8" s="92" t="s">
        <v>4533</v>
      </c>
      <c r="B8" s="232" t="s">
        <v>4535</v>
      </c>
      <c r="C8" s="95">
        <v>1.5</v>
      </c>
      <c r="D8" s="238"/>
      <c r="E8" s="78"/>
    </row>
    <row r="9" spans="1:5">
      <c r="A9" s="77" t="s">
        <v>2912</v>
      </c>
      <c r="B9" s="97" t="s">
        <v>2913</v>
      </c>
      <c r="C9" s="432">
        <v>0.01</v>
      </c>
      <c r="D9" s="238"/>
      <c r="E9" s="78" t="s">
        <v>2724</v>
      </c>
    </row>
    <row r="10" spans="1:5">
      <c r="A10" s="77" t="s">
        <v>2914</v>
      </c>
      <c r="B10" s="97" t="s">
        <v>2916</v>
      </c>
      <c r="C10" s="432">
        <v>0.01</v>
      </c>
      <c r="D10" s="238"/>
      <c r="E10" s="78" t="s">
        <v>2915</v>
      </c>
    </row>
    <row r="11" spans="1:5">
      <c r="A11" s="91" t="s">
        <v>2845</v>
      </c>
      <c r="B11" s="97" t="s">
        <v>2847</v>
      </c>
      <c r="C11" s="532"/>
      <c r="D11" s="238" t="s">
        <v>4152</v>
      </c>
      <c r="E11" s="233" t="s">
        <v>5070</v>
      </c>
    </row>
    <row r="12" spans="1:5">
      <c r="A12" s="91" t="s">
        <v>2846</v>
      </c>
      <c r="B12" s="97" t="s">
        <v>2848</v>
      </c>
      <c r="C12" s="532"/>
      <c r="D12" s="238" t="s">
        <v>4152</v>
      </c>
      <c r="E12" s="233" t="s">
        <v>5070</v>
      </c>
    </row>
    <row r="13" spans="1:5">
      <c r="D13" s="238"/>
      <c r="E13" s="78"/>
    </row>
    <row r="14" spans="1:5">
      <c r="A14" s="101" t="s">
        <v>3052</v>
      </c>
      <c r="D14" s="238"/>
      <c r="E14" s="78"/>
    </row>
    <row r="15" spans="1:5">
      <c r="A15" s="77" t="s">
        <v>1819</v>
      </c>
      <c r="B15" s="97" t="s">
        <v>4016</v>
      </c>
      <c r="C15" s="95">
        <v>12</v>
      </c>
      <c r="D15" s="238" t="s">
        <v>5072</v>
      </c>
      <c r="E15" s="78"/>
    </row>
    <row r="16" spans="1:5" s="14" customFormat="1">
      <c r="A16" s="14" t="s">
        <v>1820</v>
      </c>
      <c r="B16" s="31" t="s">
        <v>348</v>
      </c>
      <c r="C16" s="95">
        <v>0.5</v>
      </c>
      <c r="D16" s="238" t="s">
        <v>347</v>
      </c>
      <c r="E16" s="214" t="s">
        <v>346</v>
      </c>
    </row>
    <row r="17" spans="1:5" s="14" customFormat="1">
      <c r="A17" s="14" t="s">
        <v>887</v>
      </c>
      <c r="B17" s="31" t="s">
        <v>888</v>
      </c>
      <c r="C17" s="95">
        <v>1</v>
      </c>
      <c r="D17" s="238" t="s">
        <v>890</v>
      </c>
      <c r="E17" s="214" t="s">
        <v>889</v>
      </c>
    </row>
    <row r="18" spans="1:5" s="14" customFormat="1">
      <c r="A18" s="28" t="s">
        <v>2365</v>
      </c>
      <c r="B18" s="31" t="s">
        <v>2366</v>
      </c>
      <c r="C18" s="401">
        <v>5</v>
      </c>
      <c r="D18" s="238" t="s">
        <v>2367</v>
      </c>
      <c r="E18" s="214" t="s">
        <v>2368</v>
      </c>
    </row>
    <row r="19" spans="1:5" s="14" customFormat="1">
      <c r="A19" s="28" t="s">
        <v>3896</v>
      </c>
      <c r="B19" s="31" t="s">
        <v>3897</v>
      </c>
      <c r="C19" s="401">
        <v>5</v>
      </c>
      <c r="D19" s="238" t="s">
        <v>2367</v>
      </c>
      <c r="E19" s="214" t="s">
        <v>3898</v>
      </c>
    </row>
    <row r="20" spans="1:5" s="14" customFormat="1">
      <c r="A20" s="28" t="s">
        <v>2369</v>
      </c>
      <c r="B20" s="31" t="s">
        <v>2370</v>
      </c>
      <c r="C20" s="401">
        <v>5</v>
      </c>
      <c r="D20" s="238" t="s">
        <v>2367</v>
      </c>
      <c r="E20" s="214" t="s">
        <v>2371</v>
      </c>
    </row>
    <row r="21" spans="1:5" s="14" customFormat="1">
      <c r="A21" s="28" t="s">
        <v>2372</v>
      </c>
      <c r="B21" s="31" t="s">
        <v>2373</v>
      </c>
      <c r="C21" s="401">
        <v>5</v>
      </c>
      <c r="D21" s="238" t="s">
        <v>2374</v>
      </c>
      <c r="E21" s="214" t="s">
        <v>2371</v>
      </c>
    </row>
    <row r="22" spans="1:5">
      <c r="A22" s="77" t="s">
        <v>3553</v>
      </c>
      <c r="B22" s="97" t="s">
        <v>4141</v>
      </c>
      <c r="C22" s="95">
        <v>1</v>
      </c>
      <c r="D22" s="238" t="s">
        <v>3899</v>
      </c>
      <c r="E22" s="78"/>
    </row>
    <row r="23" spans="1:5" s="14" customFormat="1">
      <c r="A23" s="28" t="s">
        <v>3832</v>
      </c>
      <c r="B23" s="31" t="s">
        <v>3833</v>
      </c>
      <c r="C23" s="410">
        <f>2*8/(20*27)</f>
        <v>2.9629629629629631E-2</v>
      </c>
      <c r="D23" s="238" t="s">
        <v>3834</v>
      </c>
      <c r="E23" s="214" t="s">
        <v>3835</v>
      </c>
    </row>
    <row r="24" spans="1:5">
      <c r="A24" s="77" t="s">
        <v>292</v>
      </c>
      <c r="B24" s="97" t="s">
        <v>293</v>
      </c>
      <c r="C24" s="429">
        <v>0.1</v>
      </c>
      <c r="D24" s="238"/>
    </row>
    <row r="25" spans="1:5">
      <c r="A25" s="77" t="s">
        <v>3554</v>
      </c>
      <c r="B25" s="97" t="s">
        <v>2905</v>
      </c>
      <c r="C25" s="429">
        <v>0.1</v>
      </c>
      <c r="D25" s="238"/>
    </row>
    <row r="26" spans="1:5">
      <c r="D26" s="238"/>
    </row>
    <row r="27" spans="1:5" s="14" customFormat="1">
      <c r="A27" s="32" t="s">
        <v>3900</v>
      </c>
      <c r="B27" s="31"/>
      <c r="C27" s="220"/>
      <c r="D27" s="238"/>
    </row>
    <row r="28" spans="1:5" s="14" customFormat="1">
      <c r="A28" s="28" t="s">
        <v>3901</v>
      </c>
      <c r="B28" s="31" t="s">
        <v>3902</v>
      </c>
      <c r="C28" s="401">
        <v>10</v>
      </c>
      <c r="D28" s="238" t="s">
        <v>3903</v>
      </c>
    </row>
    <row r="29" spans="1:5" s="14" customFormat="1">
      <c r="A29" s="28" t="s">
        <v>3904</v>
      </c>
      <c r="B29" s="31" t="s">
        <v>3905</v>
      </c>
      <c r="C29" s="401">
        <v>30.25</v>
      </c>
      <c r="D29" s="238" t="s">
        <v>4098</v>
      </c>
      <c r="E29" s="214" t="s">
        <v>3906</v>
      </c>
    </row>
    <row r="30" spans="1:5" s="14" customFormat="1">
      <c r="A30" s="28" t="s">
        <v>3907</v>
      </c>
      <c r="B30" s="31" t="s">
        <v>3908</v>
      </c>
      <c r="C30" s="401">
        <v>5</v>
      </c>
      <c r="D30" s="238" t="s">
        <v>3909</v>
      </c>
      <c r="E30" s="214" t="s">
        <v>3910</v>
      </c>
    </row>
    <row r="31" spans="1:5" s="14" customFormat="1">
      <c r="A31" s="28" t="s">
        <v>3911</v>
      </c>
      <c r="B31" s="31" t="s">
        <v>3912</v>
      </c>
      <c r="C31" s="401">
        <v>120</v>
      </c>
      <c r="D31" s="238" t="s">
        <v>3903</v>
      </c>
      <c r="E31" s="214"/>
    </row>
    <row r="32" spans="1:5" s="14" customFormat="1">
      <c r="A32" s="28"/>
      <c r="B32" s="31"/>
      <c r="D32" s="238"/>
    </row>
    <row r="33" spans="1:5">
      <c r="A33" s="102" t="s">
        <v>2537</v>
      </c>
      <c r="D33" s="238"/>
    </row>
    <row r="34" spans="1:5">
      <c r="A34" s="77" t="s">
        <v>1147</v>
      </c>
      <c r="B34" s="97" t="s">
        <v>1148</v>
      </c>
      <c r="C34" s="95">
        <v>25</v>
      </c>
      <c r="D34" s="238" t="s">
        <v>3749</v>
      </c>
      <c r="E34" s="78"/>
    </row>
    <row r="35" spans="1:5">
      <c r="A35" s="77" t="s">
        <v>999</v>
      </c>
      <c r="B35" s="97" t="s">
        <v>1000</v>
      </c>
      <c r="C35" s="95">
        <v>40</v>
      </c>
      <c r="D35" s="238" t="s">
        <v>3749</v>
      </c>
      <c r="E35" s="78" t="s">
        <v>1001</v>
      </c>
    </row>
    <row r="36" spans="1:5">
      <c r="D36" s="238"/>
    </row>
    <row r="37" spans="1:5">
      <c r="A37" s="32" t="s">
        <v>2538</v>
      </c>
      <c r="D37" s="238"/>
    </row>
    <row r="38" spans="1:5" s="14" customFormat="1">
      <c r="A38" s="14" t="s">
        <v>3308</v>
      </c>
      <c r="B38" s="597" t="s">
        <v>3885</v>
      </c>
      <c r="C38" s="1122">
        <v>0.3</v>
      </c>
      <c r="D38" s="238" t="s">
        <v>3886</v>
      </c>
      <c r="E38" s="214" t="s">
        <v>5626</v>
      </c>
    </row>
    <row r="39" spans="1:5" s="14" customFormat="1">
      <c r="A39" s="14" t="s">
        <v>3887</v>
      </c>
      <c r="B39" s="597" t="s">
        <v>3888</v>
      </c>
      <c r="C39" s="1122">
        <v>0.6</v>
      </c>
      <c r="D39" s="238" t="s">
        <v>3886</v>
      </c>
    </row>
    <row r="40" spans="1:5" s="14" customFormat="1">
      <c r="A40" s="14" t="s">
        <v>3889</v>
      </c>
      <c r="B40" s="597" t="s">
        <v>3890</v>
      </c>
      <c r="C40" s="1122">
        <v>1.2</v>
      </c>
      <c r="D40" s="238" t="s">
        <v>3886</v>
      </c>
    </row>
    <row r="41" spans="1:5" s="14" customFormat="1">
      <c r="B41" s="597"/>
      <c r="C41" s="1093"/>
      <c r="D41" s="238"/>
    </row>
    <row r="42" spans="1:5">
      <c r="A42" s="77" t="s">
        <v>3020</v>
      </c>
      <c r="B42" s="97" t="s">
        <v>576</v>
      </c>
      <c r="C42" s="95">
        <v>3</v>
      </c>
      <c r="D42" s="238" t="s">
        <v>1632</v>
      </c>
    </row>
    <row r="43" spans="1:5">
      <c r="A43" s="77" t="s">
        <v>1633</v>
      </c>
      <c r="B43" s="97" t="s">
        <v>1634</v>
      </c>
      <c r="C43" s="95">
        <v>20</v>
      </c>
      <c r="D43" s="238" t="s">
        <v>1632</v>
      </c>
      <c r="E43" s="78" t="s">
        <v>1805</v>
      </c>
    </row>
    <row r="44" spans="1:5">
      <c r="A44" s="77" t="s">
        <v>3019</v>
      </c>
      <c r="B44" s="97" t="s">
        <v>2716</v>
      </c>
      <c r="C44" s="95">
        <v>2</v>
      </c>
      <c r="D44" s="238" t="s">
        <v>1632</v>
      </c>
    </row>
    <row r="45" spans="1:5">
      <c r="A45" s="77" t="s">
        <v>2225</v>
      </c>
      <c r="B45" s="97" t="s">
        <v>2226</v>
      </c>
      <c r="C45" s="95">
        <v>2</v>
      </c>
      <c r="D45" s="238" t="s">
        <v>1632</v>
      </c>
    </row>
    <row r="46" spans="1:5">
      <c r="A46" s="77" t="s">
        <v>2227</v>
      </c>
      <c r="B46" s="97" t="s">
        <v>2228</v>
      </c>
      <c r="C46" s="95">
        <v>0.25</v>
      </c>
      <c r="D46" s="238" t="s">
        <v>2229</v>
      </c>
    </row>
    <row r="47" spans="1:5">
      <c r="A47" s="77" t="s">
        <v>204</v>
      </c>
      <c r="B47" s="31" t="s">
        <v>205</v>
      </c>
      <c r="C47" s="95">
        <v>90</v>
      </c>
      <c r="D47" s="238" t="s">
        <v>772</v>
      </c>
      <c r="E47" s="78" t="s">
        <v>773</v>
      </c>
    </row>
    <row r="48" spans="1:5">
      <c r="A48" s="77" t="s">
        <v>4143</v>
      </c>
      <c r="B48" s="31" t="s">
        <v>4144</v>
      </c>
      <c r="C48" s="95">
        <v>90</v>
      </c>
      <c r="D48" s="238" t="s">
        <v>772</v>
      </c>
      <c r="E48" s="78" t="s">
        <v>4145</v>
      </c>
    </row>
    <row r="49" spans="1:5">
      <c r="A49" s="77" t="s">
        <v>4146</v>
      </c>
      <c r="B49" s="31" t="s">
        <v>4147</v>
      </c>
      <c r="C49" s="95">
        <v>90</v>
      </c>
      <c r="D49" s="238" t="s">
        <v>772</v>
      </c>
      <c r="E49" s="78"/>
    </row>
    <row r="50" spans="1:5">
      <c r="A50" s="77" t="s">
        <v>4148</v>
      </c>
      <c r="B50" s="31" t="s">
        <v>4149</v>
      </c>
      <c r="C50" s="95">
        <v>120</v>
      </c>
      <c r="D50" s="238" t="s">
        <v>772</v>
      </c>
      <c r="E50" s="78" t="s">
        <v>4150</v>
      </c>
    </row>
    <row r="51" spans="1:5">
      <c r="A51" s="77" t="s">
        <v>85</v>
      </c>
      <c r="B51" s="31" t="s">
        <v>86</v>
      </c>
      <c r="C51" s="95">
        <v>120</v>
      </c>
      <c r="D51" s="238" t="s">
        <v>772</v>
      </c>
      <c r="E51" s="78"/>
    </row>
    <row r="52" spans="1:5">
      <c r="A52" s="77" t="s">
        <v>87</v>
      </c>
      <c r="B52" s="31" t="s">
        <v>88</v>
      </c>
      <c r="C52" s="95">
        <v>120</v>
      </c>
      <c r="D52" s="238" t="s">
        <v>772</v>
      </c>
      <c r="E52" s="78"/>
    </row>
    <row r="53" spans="1:5">
      <c r="A53" s="77" t="s">
        <v>89</v>
      </c>
      <c r="B53" s="31" t="s">
        <v>90</v>
      </c>
      <c r="C53" s="95">
        <v>185</v>
      </c>
      <c r="D53" s="238" t="s">
        <v>772</v>
      </c>
      <c r="E53" s="78" t="s">
        <v>91</v>
      </c>
    </row>
    <row r="54" spans="1:5">
      <c r="A54" s="77" t="s">
        <v>92</v>
      </c>
      <c r="B54" s="31" t="s">
        <v>93</v>
      </c>
      <c r="C54" s="95">
        <v>185</v>
      </c>
      <c r="D54" s="238" t="s">
        <v>772</v>
      </c>
      <c r="E54" s="78"/>
    </row>
    <row r="55" spans="1:5">
      <c r="A55" s="77" t="s">
        <v>94</v>
      </c>
      <c r="B55" s="31" t="s">
        <v>95</v>
      </c>
      <c r="C55" s="95">
        <v>185</v>
      </c>
      <c r="D55" s="238" t="s">
        <v>772</v>
      </c>
      <c r="E55" s="78"/>
    </row>
    <row r="56" spans="1:5">
      <c r="B56" s="97"/>
      <c r="D56" s="238"/>
    </row>
    <row r="57" spans="1:5">
      <c r="A57" s="77" t="s">
        <v>1936</v>
      </c>
      <c r="B57" s="97" t="s">
        <v>2792</v>
      </c>
      <c r="C57" s="1118">
        <v>25</v>
      </c>
      <c r="D57" s="238" t="s">
        <v>3614</v>
      </c>
      <c r="E57" s="214" t="s">
        <v>5624</v>
      </c>
    </row>
    <row r="58" spans="1:5">
      <c r="A58" s="77" t="s">
        <v>3615</v>
      </c>
      <c r="B58" s="97" t="s">
        <v>3616</v>
      </c>
      <c r="C58" s="1118">
        <v>49</v>
      </c>
      <c r="D58" s="238" t="s">
        <v>3614</v>
      </c>
      <c r="E58" s="214" t="s">
        <v>5624</v>
      </c>
    </row>
    <row r="59" spans="1:5">
      <c r="A59" s="77" t="s">
        <v>3617</v>
      </c>
      <c r="B59" s="97" t="s">
        <v>3618</v>
      </c>
      <c r="C59" s="1119">
        <v>4260</v>
      </c>
      <c r="D59" s="238" t="s">
        <v>3619</v>
      </c>
      <c r="E59" s="214" t="s">
        <v>2037</v>
      </c>
    </row>
    <row r="60" spans="1:5">
      <c r="A60" s="77" t="s">
        <v>3620</v>
      </c>
      <c r="B60" s="97" t="s">
        <v>780</v>
      </c>
      <c r="C60" s="1119">
        <v>1415</v>
      </c>
      <c r="D60" s="238" t="s">
        <v>3619</v>
      </c>
      <c r="E60" s="214" t="s">
        <v>2037</v>
      </c>
    </row>
    <row r="61" spans="1:5">
      <c r="A61" s="77" t="s">
        <v>781</v>
      </c>
      <c r="B61" s="97" t="s">
        <v>782</v>
      </c>
      <c r="C61" s="1119">
        <v>168679</v>
      </c>
      <c r="D61" s="238" t="s">
        <v>783</v>
      </c>
      <c r="E61" s="214" t="s">
        <v>2037</v>
      </c>
    </row>
    <row r="62" spans="1:5">
      <c r="A62" s="77" t="s">
        <v>784</v>
      </c>
      <c r="B62" s="97" t="s">
        <v>785</v>
      </c>
      <c r="C62" s="1119">
        <v>51771</v>
      </c>
      <c r="D62" s="238" t="s">
        <v>783</v>
      </c>
      <c r="E62" s="214" t="s">
        <v>2037</v>
      </c>
    </row>
    <row r="63" spans="1:5">
      <c r="A63" s="77" t="s">
        <v>2332</v>
      </c>
      <c r="B63" s="97" t="s">
        <v>2333</v>
      </c>
      <c r="C63" s="1120">
        <v>0.98</v>
      </c>
      <c r="D63" s="238"/>
      <c r="E63" s="214" t="s">
        <v>2709</v>
      </c>
    </row>
    <row r="64" spans="1:5">
      <c r="A64" s="77" t="s">
        <v>2334</v>
      </c>
      <c r="B64" s="97" t="s">
        <v>2335</v>
      </c>
      <c r="C64" s="1121">
        <v>3.3</v>
      </c>
      <c r="D64" s="238"/>
      <c r="E64" s="214" t="s">
        <v>2709</v>
      </c>
    </row>
    <row r="65" spans="1:5">
      <c r="A65" s="77" t="s">
        <v>2652</v>
      </c>
      <c r="B65" s="97" t="s">
        <v>2653</v>
      </c>
      <c r="C65" s="1120">
        <v>0.85</v>
      </c>
      <c r="D65" s="238"/>
      <c r="E65" s="214" t="s">
        <v>2709</v>
      </c>
    </row>
    <row r="66" spans="1:5">
      <c r="A66" s="77" t="s">
        <v>4289</v>
      </c>
      <c r="B66" s="97" t="s">
        <v>4290</v>
      </c>
      <c r="C66" s="1120">
        <v>0.9</v>
      </c>
      <c r="D66" s="238"/>
      <c r="E66" s="214" t="s">
        <v>2709</v>
      </c>
    </row>
    <row r="67" spans="1:5">
      <c r="A67" s="14" t="s">
        <v>3475</v>
      </c>
      <c r="B67" s="97" t="s">
        <v>4291</v>
      </c>
      <c r="C67" s="1120">
        <v>0.82</v>
      </c>
      <c r="D67" s="238"/>
      <c r="E67" s="214" t="s">
        <v>2709</v>
      </c>
    </row>
    <row r="68" spans="1:5">
      <c r="A68" s="14" t="s">
        <v>3476</v>
      </c>
      <c r="B68" s="97" t="s">
        <v>4292</v>
      </c>
      <c r="C68" s="1120">
        <v>0.9</v>
      </c>
      <c r="D68" s="238"/>
      <c r="E68" s="214" t="s">
        <v>2709</v>
      </c>
    </row>
    <row r="69" spans="1:5">
      <c r="A69" s="77" t="s">
        <v>786</v>
      </c>
      <c r="B69" s="97" t="s">
        <v>787</v>
      </c>
      <c r="C69" s="1118">
        <v>11.8</v>
      </c>
      <c r="D69" s="238" t="s">
        <v>5625</v>
      </c>
      <c r="E69" s="214" t="s">
        <v>2709</v>
      </c>
    </row>
    <row r="70" spans="1:5">
      <c r="A70" s="77" t="s">
        <v>4293</v>
      </c>
      <c r="B70" s="97" t="s">
        <v>4294</v>
      </c>
      <c r="C70" s="1118">
        <v>11.8</v>
      </c>
      <c r="D70" s="238" t="s">
        <v>5625</v>
      </c>
      <c r="E70" s="214" t="s">
        <v>2709</v>
      </c>
    </row>
    <row r="71" spans="1:5">
      <c r="D71" s="238"/>
    </row>
    <row r="72" spans="1:5">
      <c r="A72" s="77" t="s">
        <v>2708</v>
      </c>
      <c r="B72" s="97" t="s">
        <v>299</v>
      </c>
      <c r="C72" s="96">
        <v>139000</v>
      </c>
      <c r="D72" s="238" t="s">
        <v>300</v>
      </c>
      <c r="E72" s="78" t="s">
        <v>2707</v>
      </c>
    </row>
  </sheetData>
  <phoneticPr fontId="0"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F125"/>
  <sheetViews>
    <sheetView zoomScaleNormal="100" workbookViewId="0">
      <pane ySplit="4" topLeftCell="A5" activePane="bottomLeft" state="frozenSplit"/>
      <selection pane="bottomLeft"/>
    </sheetView>
  </sheetViews>
  <sheetFormatPr baseColWidth="10" defaultColWidth="9.1640625" defaultRowHeight="13"/>
  <cols>
    <col min="1" max="1" width="60.5" style="77" customWidth="1"/>
    <col min="2" max="2" width="19.5" style="77" bestFit="1" customWidth="1"/>
    <col min="3" max="3" width="19.1640625" style="77" customWidth="1"/>
    <col min="4" max="4" width="25.83203125" style="238" bestFit="1" customWidth="1"/>
    <col min="5" max="5" width="16.5" style="151" customWidth="1"/>
    <col min="6" max="16384" width="9.1640625" style="77"/>
  </cols>
  <sheetData>
    <row r="1" spans="1:5" s="14" customFormat="1">
      <c r="A1" s="20" t="s">
        <v>5466</v>
      </c>
      <c r="D1" s="238"/>
      <c r="E1" s="214"/>
    </row>
    <row r="2" spans="1:5" s="14" customFormat="1">
      <c r="A2" s="976" t="s">
        <v>5464</v>
      </c>
      <c r="D2" s="238"/>
      <c r="E2" s="214"/>
    </row>
    <row r="3" spans="1:5" s="14" customFormat="1" ht="16">
      <c r="A3" s="234"/>
      <c r="D3" s="238"/>
      <c r="E3" s="214"/>
    </row>
    <row r="4" spans="1:5" s="14" customFormat="1">
      <c r="A4" s="235" t="s">
        <v>1988</v>
      </c>
      <c r="B4" s="236" t="s">
        <v>1989</v>
      </c>
      <c r="C4" s="237" t="s">
        <v>1990</v>
      </c>
      <c r="D4" s="236" t="s">
        <v>2961</v>
      </c>
      <c r="E4" s="236" t="s">
        <v>1991</v>
      </c>
    </row>
    <row r="5" spans="1:5">
      <c r="A5" s="101" t="s">
        <v>3232</v>
      </c>
      <c r="E5" s="78"/>
    </row>
    <row r="6" spans="1:5">
      <c r="A6" s="91" t="s">
        <v>1062</v>
      </c>
      <c r="B6" s="97" t="s">
        <v>1063</v>
      </c>
      <c r="C6" s="89">
        <v>1</v>
      </c>
      <c r="D6" s="238" t="s">
        <v>1064</v>
      </c>
      <c r="E6" s="78"/>
    </row>
    <row r="7" spans="1:5" ht="28">
      <c r="A7" s="238" t="s">
        <v>5532</v>
      </c>
      <c r="B7" s="31" t="s">
        <v>286</v>
      </c>
      <c r="C7" s="815">
        <v>1</v>
      </c>
      <c r="D7" s="839" t="s">
        <v>5533</v>
      </c>
      <c r="E7" s="214" t="s">
        <v>5534</v>
      </c>
    </row>
    <row r="8" spans="1:5" s="14" customFormat="1">
      <c r="A8" s="28" t="s">
        <v>3249</v>
      </c>
      <c r="B8" s="31" t="s">
        <v>3250</v>
      </c>
      <c r="C8" s="240">
        <v>0.37</v>
      </c>
      <c r="D8" s="238"/>
      <c r="E8" s="214" t="s">
        <v>4175</v>
      </c>
    </row>
    <row r="9" spans="1:5" s="14" customFormat="1">
      <c r="A9" s="28" t="s">
        <v>4176</v>
      </c>
      <c r="B9" s="31" t="s">
        <v>4177</v>
      </c>
      <c r="C9" s="239">
        <v>15000</v>
      </c>
      <c r="D9" s="238" t="s">
        <v>4312</v>
      </c>
      <c r="E9" s="214"/>
    </row>
    <row r="10" spans="1:5">
      <c r="A10" s="84"/>
      <c r="E10" s="78"/>
    </row>
    <row r="11" spans="1:5">
      <c r="A11" s="101" t="s">
        <v>3233</v>
      </c>
      <c r="E11" s="78"/>
    </row>
    <row r="12" spans="1:5">
      <c r="A12" s="91" t="s">
        <v>1065</v>
      </c>
      <c r="B12" s="97" t="s">
        <v>1066</v>
      </c>
      <c r="C12" s="89">
        <v>1</v>
      </c>
      <c r="D12" s="238" t="s">
        <v>1064</v>
      </c>
      <c r="E12" s="78"/>
    </row>
    <row r="13" spans="1:5">
      <c r="A13" s="275"/>
      <c r="E13" s="78"/>
    </row>
    <row r="14" spans="1:5">
      <c r="A14" s="276" t="s">
        <v>2762</v>
      </c>
      <c r="E14" s="78"/>
    </row>
    <row r="15" spans="1:5">
      <c r="A15" s="91" t="s">
        <v>672</v>
      </c>
      <c r="B15" s="97" t="s">
        <v>673</v>
      </c>
      <c r="C15" s="431">
        <v>0.05</v>
      </c>
      <c r="D15" s="238" t="s">
        <v>678</v>
      </c>
      <c r="E15" s="273" t="s">
        <v>679</v>
      </c>
    </row>
    <row r="16" spans="1:5">
      <c r="A16" s="91" t="s">
        <v>674</v>
      </c>
      <c r="B16" s="97" t="s">
        <v>675</v>
      </c>
      <c r="C16" s="431">
        <v>0.04</v>
      </c>
      <c r="D16" s="238" t="s">
        <v>678</v>
      </c>
      <c r="E16" s="78"/>
    </row>
    <row r="17" spans="1:5">
      <c r="A17" s="91" t="s">
        <v>676</v>
      </c>
      <c r="B17" s="97" t="s">
        <v>677</v>
      </c>
      <c r="C17" s="431">
        <v>0.02</v>
      </c>
      <c r="D17" s="238" t="s">
        <v>678</v>
      </c>
      <c r="E17" s="78"/>
    </row>
    <row r="18" spans="1:5">
      <c r="A18" s="91" t="s">
        <v>1020</v>
      </c>
      <c r="B18" s="97" t="s">
        <v>1021</v>
      </c>
      <c r="C18" s="431">
        <v>0.2</v>
      </c>
      <c r="D18" s="238" t="s">
        <v>678</v>
      </c>
      <c r="E18" s="78" t="s">
        <v>4007</v>
      </c>
    </row>
    <row r="19" spans="1:5">
      <c r="A19" s="91"/>
      <c r="E19" s="78"/>
    </row>
    <row r="20" spans="1:5">
      <c r="A20" s="271" t="s">
        <v>2763</v>
      </c>
      <c r="E20" s="78"/>
    </row>
    <row r="21" spans="1:5" s="14" customFormat="1">
      <c r="A21" s="28" t="s">
        <v>3879</v>
      </c>
      <c r="B21" s="31" t="s">
        <v>3880</v>
      </c>
      <c r="C21" s="590">
        <v>1</v>
      </c>
      <c r="D21" s="238" t="s">
        <v>2806</v>
      </c>
      <c r="E21" s="214" t="s">
        <v>3881</v>
      </c>
    </row>
    <row r="22" spans="1:5" s="14" customFormat="1">
      <c r="A22" s="28" t="s">
        <v>891</v>
      </c>
      <c r="B22" s="31" t="s">
        <v>892</v>
      </c>
      <c r="C22" s="590">
        <v>0</v>
      </c>
      <c r="D22" s="238" t="s">
        <v>2806</v>
      </c>
      <c r="E22" s="214"/>
    </row>
    <row r="23" spans="1:5">
      <c r="A23" s="84"/>
      <c r="E23" s="78"/>
    </row>
    <row r="24" spans="1:5">
      <c r="A24" s="271" t="s">
        <v>3846</v>
      </c>
      <c r="E24" s="78"/>
    </row>
    <row r="25" spans="1:5">
      <c r="A25" s="272" t="s">
        <v>3847</v>
      </c>
      <c r="B25" s="97" t="s">
        <v>3848</v>
      </c>
      <c r="C25" s="431">
        <v>0</v>
      </c>
      <c r="D25" s="238" t="s">
        <v>678</v>
      </c>
      <c r="E25" s="273" t="s">
        <v>541</v>
      </c>
    </row>
    <row r="26" spans="1:5">
      <c r="A26" s="91"/>
      <c r="E26" s="78"/>
    </row>
    <row r="27" spans="1:5">
      <c r="A27" s="101" t="s">
        <v>542</v>
      </c>
      <c r="E27" s="78"/>
    </row>
    <row r="28" spans="1:5">
      <c r="A28" s="91" t="s">
        <v>543</v>
      </c>
      <c r="B28" s="97" t="s">
        <v>544</v>
      </c>
      <c r="C28" s="246">
        <v>1</v>
      </c>
      <c r="D28" s="238" t="s">
        <v>2806</v>
      </c>
      <c r="E28" s="78"/>
    </row>
    <row r="29" spans="1:5">
      <c r="A29" s="91"/>
      <c r="E29" s="78"/>
    </row>
    <row r="30" spans="1:5">
      <c r="A30" s="101" t="s">
        <v>2764</v>
      </c>
      <c r="E30" s="78"/>
    </row>
    <row r="31" spans="1:5">
      <c r="A31" s="91" t="s">
        <v>546</v>
      </c>
      <c r="B31" s="97" t="s">
        <v>547</v>
      </c>
      <c r="C31" s="89">
        <v>1</v>
      </c>
      <c r="D31" s="238" t="s">
        <v>548</v>
      </c>
      <c r="E31" s="78"/>
    </row>
    <row r="32" spans="1:5">
      <c r="A32" s="77" t="s">
        <v>2154</v>
      </c>
      <c r="B32" s="97" t="s">
        <v>2155</v>
      </c>
      <c r="C32" s="89">
        <v>38</v>
      </c>
      <c r="D32" s="238" t="s">
        <v>2156</v>
      </c>
      <c r="E32" s="78" t="s">
        <v>3540</v>
      </c>
    </row>
    <row r="33" spans="1:5">
      <c r="A33" s="77" t="s">
        <v>1617</v>
      </c>
      <c r="B33" s="97" t="s">
        <v>1618</v>
      </c>
      <c r="C33" s="89">
        <v>36</v>
      </c>
      <c r="D33" s="238" t="s">
        <v>2156</v>
      </c>
      <c r="E33" s="78" t="s">
        <v>5141</v>
      </c>
    </row>
    <row r="34" spans="1:5">
      <c r="A34" s="77" t="s">
        <v>3309</v>
      </c>
      <c r="B34" s="97" t="s">
        <v>3310</v>
      </c>
      <c r="C34" s="89">
        <v>97</v>
      </c>
      <c r="D34" s="238" t="s">
        <v>3311</v>
      </c>
      <c r="E34" s="78" t="s">
        <v>3312</v>
      </c>
    </row>
    <row r="35" spans="1:5">
      <c r="A35" s="77" t="s">
        <v>3313</v>
      </c>
      <c r="B35" s="97" t="s">
        <v>3314</v>
      </c>
      <c r="C35" s="89">
        <v>3</v>
      </c>
      <c r="E35" s="78"/>
    </row>
    <row r="36" spans="1:5">
      <c r="A36" s="77" t="s">
        <v>3315</v>
      </c>
      <c r="B36" s="97" t="s">
        <v>3316</v>
      </c>
      <c r="C36" s="89">
        <v>0.46700000000000003</v>
      </c>
      <c r="E36" s="78"/>
    </row>
    <row r="37" spans="1:5">
      <c r="A37" s="77" t="s">
        <v>3317</v>
      </c>
      <c r="B37" s="97" t="s">
        <v>4019</v>
      </c>
      <c r="C37" s="89">
        <v>6</v>
      </c>
      <c r="D37" s="238" t="s">
        <v>2156</v>
      </c>
      <c r="E37" s="78"/>
    </row>
    <row r="38" spans="1:5">
      <c r="A38" s="77" t="s">
        <v>4020</v>
      </c>
      <c r="B38" s="97" t="s">
        <v>4021</v>
      </c>
      <c r="C38" s="89">
        <v>0.25</v>
      </c>
      <c r="D38" s="238" t="s">
        <v>4022</v>
      </c>
      <c r="E38" s="78"/>
    </row>
    <row r="39" spans="1:5">
      <c r="A39" s="274" t="s">
        <v>4023</v>
      </c>
      <c r="B39" s="97" t="s">
        <v>4024</v>
      </c>
      <c r="C39" s="89">
        <f>RADIANS(45)</f>
        <v>0.78539816339744828</v>
      </c>
      <c r="D39" s="238" t="s">
        <v>4025</v>
      </c>
      <c r="E39" s="78"/>
    </row>
    <row r="40" spans="1:5">
      <c r="A40" s="77" t="s">
        <v>4026</v>
      </c>
      <c r="B40" s="97" t="s">
        <v>4027</v>
      </c>
      <c r="C40" s="89">
        <v>0</v>
      </c>
      <c r="D40" s="238" t="s">
        <v>4111</v>
      </c>
      <c r="E40" s="78" t="s">
        <v>4028</v>
      </c>
    </row>
    <row r="41" spans="1:5">
      <c r="A41" s="77" t="s">
        <v>4029</v>
      </c>
      <c r="B41" s="97" t="s">
        <v>4030</v>
      </c>
      <c r="C41" s="89">
        <v>0</v>
      </c>
      <c r="D41" s="238" t="s">
        <v>4111</v>
      </c>
      <c r="E41" s="78" t="s">
        <v>820</v>
      </c>
    </row>
    <row r="43" spans="1:5">
      <c r="A43" s="101" t="s">
        <v>545</v>
      </c>
      <c r="E43" s="78"/>
    </row>
    <row r="44" spans="1:5">
      <c r="A44" s="91" t="s">
        <v>549</v>
      </c>
      <c r="B44" s="97" t="s">
        <v>550</v>
      </c>
      <c r="C44" s="246">
        <v>0</v>
      </c>
      <c r="D44" s="238" t="s">
        <v>2806</v>
      </c>
      <c r="E44" s="78" t="s">
        <v>551</v>
      </c>
    </row>
    <row r="45" spans="1:5">
      <c r="A45" s="91" t="s">
        <v>4273</v>
      </c>
      <c r="B45" s="97" t="s">
        <v>4274</v>
      </c>
      <c r="C45" s="246">
        <v>0</v>
      </c>
      <c r="D45" s="238" t="s">
        <v>2806</v>
      </c>
      <c r="E45" s="78"/>
    </row>
    <row r="46" spans="1:5">
      <c r="A46" s="91" t="s">
        <v>2207</v>
      </c>
      <c r="B46" s="97" t="s">
        <v>2208</v>
      </c>
      <c r="C46" s="246">
        <v>1</v>
      </c>
      <c r="D46" s="238" t="s">
        <v>2806</v>
      </c>
      <c r="E46" s="78"/>
    </row>
    <row r="47" spans="1:5">
      <c r="A47" s="77" t="s">
        <v>3805</v>
      </c>
      <c r="B47" s="97" t="s">
        <v>3806</v>
      </c>
      <c r="C47" s="89">
        <v>4</v>
      </c>
      <c r="D47" s="238" t="s">
        <v>4111</v>
      </c>
      <c r="E47" s="78"/>
    </row>
    <row r="48" spans="1:5">
      <c r="A48" s="77" t="s">
        <v>3807</v>
      </c>
      <c r="B48" s="97" t="s">
        <v>3808</v>
      </c>
      <c r="C48" s="89">
        <v>4</v>
      </c>
      <c r="D48" s="238" t="s">
        <v>4111</v>
      </c>
      <c r="E48" s="78"/>
    </row>
    <row r="49" spans="1:5">
      <c r="A49" s="77" t="s">
        <v>1619</v>
      </c>
      <c r="B49" s="97" t="s">
        <v>1620</v>
      </c>
      <c r="C49" s="89">
        <v>7</v>
      </c>
      <c r="D49" s="238" t="s">
        <v>4111</v>
      </c>
      <c r="E49" s="78"/>
    </row>
    <row r="50" spans="1:5">
      <c r="A50" s="77" t="s">
        <v>1621</v>
      </c>
      <c r="B50" s="97" t="s">
        <v>3824</v>
      </c>
      <c r="C50" s="89">
        <v>10</v>
      </c>
      <c r="D50" s="238" t="s">
        <v>4111</v>
      </c>
      <c r="E50" s="78"/>
    </row>
    <row r="51" spans="1:5" s="14" customFormat="1">
      <c r="A51" s="14" t="s">
        <v>3825</v>
      </c>
      <c r="B51" s="31" t="s">
        <v>3826</v>
      </c>
      <c r="C51" s="95">
        <v>25</v>
      </c>
      <c r="D51" s="238" t="s">
        <v>4111</v>
      </c>
      <c r="E51" s="214"/>
    </row>
    <row r="52" spans="1:5" s="14" customFormat="1">
      <c r="A52" s="14" t="s">
        <v>3827</v>
      </c>
      <c r="B52" s="31" t="s">
        <v>3828</v>
      </c>
      <c r="C52" s="95">
        <v>50</v>
      </c>
      <c r="D52" s="238" t="s">
        <v>4111</v>
      </c>
      <c r="E52" s="214"/>
    </row>
    <row r="53" spans="1:5">
      <c r="A53" s="77" t="s">
        <v>1623</v>
      </c>
      <c r="B53" s="97" t="s">
        <v>1624</v>
      </c>
      <c r="C53" s="89">
        <v>2000</v>
      </c>
      <c r="D53" s="238" t="s">
        <v>4310</v>
      </c>
      <c r="E53" s="78" t="s">
        <v>4275</v>
      </c>
    </row>
    <row r="54" spans="1:5">
      <c r="A54" s="77" t="s">
        <v>1625</v>
      </c>
      <c r="B54" s="97" t="s">
        <v>1626</v>
      </c>
      <c r="C54" s="89">
        <v>4</v>
      </c>
      <c r="E54" s="78"/>
    </row>
    <row r="55" spans="1:5">
      <c r="A55" s="77" t="s">
        <v>1627</v>
      </c>
      <c r="B55" s="97" t="s">
        <v>1628</v>
      </c>
      <c r="C55" s="89">
        <v>1000</v>
      </c>
      <c r="D55" s="238" t="s">
        <v>4310</v>
      </c>
      <c r="E55" s="78"/>
    </row>
    <row r="56" spans="1:5">
      <c r="A56" s="77" t="s">
        <v>3542</v>
      </c>
      <c r="B56" s="97" t="s">
        <v>3543</v>
      </c>
      <c r="C56" s="89">
        <v>24</v>
      </c>
      <c r="D56" s="238" t="s">
        <v>3544</v>
      </c>
      <c r="E56" s="78"/>
    </row>
    <row r="57" spans="1:5">
      <c r="A57" s="77" t="s">
        <v>3545</v>
      </c>
      <c r="B57" s="97" t="s">
        <v>3546</v>
      </c>
      <c r="C57" s="89">
        <v>55.5</v>
      </c>
      <c r="D57" s="238" t="s">
        <v>3547</v>
      </c>
      <c r="E57" s="78" t="s">
        <v>3548</v>
      </c>
    </row>
    <row r="58" spans="1:5">
      <c r="E58" s="78"/>
    </row>
    <row r="59" spans="1:5">
      <c r="A59" s="101" t="s">
        <v>3229</v>
      </c>
      <c r="E59" s="78"/>
    </row>
    <row r="60" spans="1:5">
      <c r="A60" s="91" t="s">
        <v>4276</v>
      </c>
      <c r="B60" s="97" t="s">
        <v>4277</v>
      </c>
      <c r="C60" s="89">
        <v>1</v>
      </c>
      <c r="D60" s="238" t="s">
        <v>548</v>
      </c>
      <c r="E60" s="78"/>
    </row>
    <row r="61" spans="1:5" s="14" customFormat="1">
      <c r="A61" s="14" t="s">
        <v>893</v>
      </c>
      <c r="B61" s="31" t="s">
        <v>894</v>
      </c>
      <c r="C61" s="654">
        <v>0</v>
      </c>
      <c r="D61" s="238" t="s">
        <v>2806</v>
      </c>
      <c r="E61" s="214"/>
    </row>
    <row r="62" spans="1:5">
      <c r="A62" s="77" t="s">
        <v>2830</v>
      </c>
      <c r="B62" s="97" t="s">
        <v>2831</v>
      </c>
      <c r="C62" s="89">
        <v>0</v>
      </c>
      <c r="E62" s="78" t="s">
        <v>100</v>
      </c>
    </row>
    <row r="63" spans="1:5">
      <c r="A63" s="77" t="s">
        <v>101</v>
      </c>
      <c r="B63" s="97" t="s">
        <v>102</v>
      </c>
      <c r="C63" s="89">
        <v>0</v>
      </c>
      <c r="D63" s="238" t="s">
        <v>2806</v>
      </c>
      <c r="E63" s="78" t="s">
        <v>1911</v>
      </c>
    </row>
    <row r="64" spans="1:5">
      <c r="A64" s="77" t="s">
        <v>1912</v>
      </c>
      <c r="B64" s="97" t="s">
        <v>1913</v>
      </c>
      <c r="C64" s="89">
        <v>0</v>
      </c>
      <c r="D64" s="238" t="s">
        <v>2806</v>
      </c>
      <c r="E64" s="78" t="s">
        <v>3538</v>
      </c>
    </row>
    <row r="65" spans="1:5" s="14" customFormat="1">
      <c r="A65" s="238" t="s">
        <v>743</v>
      </c>
      <c r="B65" s="640" t="s">
        <v>744</v>
      </c>
      <c r="C65" s="1079">
        <v>1.5</v>
      </c>
      <c r="D65" s="238" t="s">
        <v>821</v>
      </c>
      <c r="E65" s="214" t="s">
        <v>745</v>
      </c>
    </row>
    <row r="66" spans="1:5">
      <c r="E66" s="78"/>
    </row>
    <row r="67" spans="1:5">
      <c r="A67" s="271" t="s">
        <v>3230</v>
      </c>
      <c r="B67" s="97"/>
      <c r="C67" s="86"/>
      <c r="E67" s="78"/>
    </row>
    <row r="68" spans="1:5">
      <c r="A68" s="91" t="s">
        <v>4278</v>
      </c>
      <c r="B68" s="97" t="s">
        <v>4279</v>
      </c>
      <c r="C68" s="431">
        <v>0.1</v>
      </c>
      <c r="D68" s="238" t="s">
        <v>4280</v>
      </c>
      <c r="E68" s="273" t="s">
        <v>524</v>
      </c>
    </row>
    <row r="69" spans="1:5">
      <c r="B69" s="97"/>
      <c r="C69" s="86"/>
      <c r="E69" s="78"/>
    </row>
    <row r="70" spans="1:5">
      <c r="A70" s="271" t="s">
        <v>3231</v>
      </c>
      <c r="E70" s="78"/>
    </row>
    <row r="71" spans="1:5">
      <c r="A71" s="77" t="s">
        <v>4281</v>
      </c>
      <c r="B71" s="97" t="s">
        <v>4282</v>
      </c>
      <c r="C71" s="431">
        <v>0</v>
      </c>
      <c r="D71" s="238" t="s">
        <v>4280</v>
      </c>
      <c r="E71" s="273" t="s">
        <v>4283</v>
      </c>
    </row>
    <row r="72" spans="1:5">
      <c r="E72" s="78"/>
    </row>
    <row r="73" spans="1:5">
      <c r="A73" s="101" t="s">
        <v>3234</v>
      </c>
      <c r="E73" s="78"/>
    </row>
    <row r="74" spans="1:5" s="14" customFormat="1" ht="12" customHeight="1">
      <c r="A74" s="28" t="s">
        <v>895</v>
      </c>
      <c r="B74" s="31" t="s">
        <v>896</v>
      </c>
      <c r="C74" s="654">
        <v>0</v>
      </c>
      <c r="D74" s="238" t="s">
        <v>2806</v>
      </c>
      <c r="E74" s="214"/>
    </row>
    <row r="75" spans="1:5" s="14" customFormat="1">
      <c r="A75" s="28" t="s">
        <v>897</v>
      </c>
      <c r="B75" s="31" t="s">
        <v>898</v>
      </c>
      <c r="C75" s="654">
        <v>0</v>
      </c>
      <c r="D75" s="238" t="s">
        <v>2806</v>
      </c>
      <c r="E75" s="214"/>
    </row>
    <row r="76" spans="1:5" s="14" customFormat="1">
      <c r="A76" s="28" t="s">
        <v>899</v>
      </c>
      <c r="B76" s="31" t="s">
        <v>900</v>
      </c>
      <c r="C76" s="654">
        <v>1</v>
      </c>
      <c r="D76" s="238" t="s">
        <v>2806</v>
      </c>
      <c r="E76" s="214"/>
    </row>
    <row r="77" spans="1:5">
      <c r="A77" s="77" t="s">
        <v>607</v>
      </c>
      <c r="B77" s="97" t="s">
        <v>608</v>
      </c>
      <c r="C77" s="246">
        <v>1.5</v>
      </c>
      <c r="E77" s="78" t="s">
        <v>779</v>
      </c>
    </row>
    <row r="78" spans="1:5">
      <c r="E78" s="78"/>
    </row>
    <row r="79" spans="1:5">
      <c r="A79" s="101" t="s">
        <v>3235</v>
      </c>
      <c r="E79" s="78"/>
    </row>
    <row r="80" spans="1:5">
      <c r="A80" s="91" t="s">
        <v>4284</v>
      </c>
      <c r="B80" s="97" t="s">
        <v>4285</v>
      </c>
      <c r="C80" s="431">
        <v>0.2</v>
      </c>
      <c r="D80" s="238" t="s">
        <v>678</v>
      </c>
      <c r="E80" s="273" t="s">
        <v>4286</v>
      </c>
    </row>
    <row r="81" spans="1:5">
      <c r="A81" s="91" t="s">
        <v>4287</v>
      </c>
      <c r="B81" s="97" t="s">
        <v>4288</v>
      </c>
      <c r="C81" s="431">
        <v>0.12</v>
      </c>
      <c r="D81" s="238" t="s">
        <v>678</v>
      </c>
      <c r="E81" s="78"/>
    </row>
    <row r="82" spans="1:5">
      <c r="A82" s="91" t="s">
        <v>2215</v>
      </c>
      <c r="B82" s="97" t="s">
        <v>2216</v>
      </c>
      <c r="C82" s="431">
        <v>0.08</v>
      </c>
      <c r="D82" s="238" t="s">
        <v>678</v>
      </c>
      <c r="E82" s="78"/>
    </row>
    <row r="83" spans="1:5">
      <c r="E83" s="78"/>
    </row>
    <row r="84" spans="1:5">
      <c r="A84" s="271" t="s">
        <v>1587</v>
      </c>
      <c r="E84" s="78"/>
    </row>
    <row r="85" spans="1:5">
      <c r="A85" s="272" t="s">
        <v>1676</v>
      </c>
      <c r="B85" s="1062" t="s">
        <v>1677</v>
      </c>
      <c r="C85" s="433">
        <v>0.1</v>
      </c>
      <c r="D85" s="238" t="s">
        <v>742</v>
      </c>
      <c r="E85" s="273" t="s">
        <v>4286</v>
      </c>
    </row>
    <row r="86" spans="1:5">
      <c r="A86" s="272"/>
      <c r="B86" s="1063"/>
      <c r="C86" s="94"/>
      <c r="E86" s="273"/>
    </row>
    <row r="87" spans="1:5">
      <c r="A87" s="271" t="s">
        <v>3236</v>
      </c>
      <c r="B87" s="1063"/>
      <c r="C87" s="94"/>
      <c r="E87" s="273"/>
    </row>
    <row r="88" spans="1:5">
      <c r="A88" s="272" t="s">
        <v>1678</v>
      </c>
      <c r="B88" s="1062" t="s">
        <v>1679</v>
      </c>
      <c r="C88" s="433">
        <v>0.02</v>
      </c>
      <c r="D88" s="238" t="s">
        <v>678</v>
      </c>
      <c r="E88" s="1066" t="s">
        <v>2793</v>
      </c>
    </row>
    <row r="89" spans="1:5">
      <c r="A89" s="272"/>
      <c r="B89" s="1063"/>
      <c r="C89" s="94"/>
      <c r="E89" s="1066"/>
    </row>
    <row r="90" spans="1:5">
      <c r="A90" s="271" t="s">
        <v>3049</v>
      </c>
      <c r="B90" s="1063"/>
      <c r="C90" s="94"/>
      <c r="E90" s="1066"/>
    </row>
    <row r="91" spans="1:5">
      <c r="A91" s="272" t="s">
        <v>2794</v>
      </c>
      <c r="B91" s="1062" t="s">
        <v>2795</v>
      </c>
      <c r="C91" s="433">
        <v>0</v>
      </c>
      <c r="D91" s="238" t="s">
        <v>678</v>
      </c>
      <c r="E91" s="273" t="s">
        <v>3050</v>
      </c>
    </row>
    <row r="92" spans="1:5">
      <c r="A92" s="275"/>
      <c r="B92" s="1063"/>
      <c r="C92" s="94"/>
      <c r="E92" s="273"/>
    </row>
    <row r="93" spans="1:5">
      <c r="A93" s="276" t="s">
        <v>3051</v>
      </c>
      <c r="B93" s="1063"/>
      <c r="C93" s="94"/>
      <c r="E93" s="273"/>
    </row>
    <row r="94" spans="1:5">
      <c r="A94" s="275" t="s">
        <v>2796</v>
      </c>
      <c r="B94" s="1062" t="s">
        <v>2797</v>
      </c>
      <c r="C94" s="1065">
        <v>0.05</v>
      </c>
      <c r="D94" s="238" t="s">
        <v>678</v>
      </c>
      <c r="E94" s="273" t="s">
        <v>2798</v>
      </c>
    </row>
    <row r="95" spans="1:5" s="14" customFormat="1">
      <c r="A95" s="278" t="s">
        <v>901</v>
      </c>
      <c r="B95" s="1064" t="s">
        <v>902</v>
      </c>
      <c r="C95" s="668">
        <v>0</v>
      </c>
      <c r="D95" s="238" t="s">
        <v>678</v>
      </c>
      <c r="E95" s="1066" t="s">
        <v>903</v>
      </c>
    </row>
    <row r="96" spans="1:5">
      <c r="B96" s="230"/>
    </row>
    <row r="97" spans="1:6" s="14" customFormat="1">
      <c r="A97" s="49" t="s">
        <v>3882</v>
      </c>
      <c r="B97" s="1064"/>
      <c r="D97" s="238"/>
      <c r="E97" s="238"/>
    </row>
    <row r="98" spans="1:6" s="14" customFormat="1">
      <c r="A98" s="14" t="s">
        <v>3883</v>
      </c>
      <c r="B98" s="1064" t="s">
        <v>3884</v>
      </c>
      <c r="C98" s="592">
        <v>3.3999999999999998E-3</v>
      </c>
      <c r="D98" s="238"/>
      <c r="E98" s="1066" t="s">
        <v>3294</v>
      </c>
    </row>
    <row r="99" spans="1:6" s="14" customFormat="1">
      <c r="A99" s="14" t="s">
        <v>3295</v>
      </c>
      <c r="B99" s="1064" t="s">
        <v>3296</v>
      </c>
      <c r="C99" s="591">
        <v>1</v>
      </c>
      <c r="D99" s="238" t="s">
        <v>2806</v>
      </c>
      <c r="E99" s="1066"/>
    </row>
    <row r="100" spans="1:6" s="14" customFormat="1">
      <c r="A100" s="14" t="s">
        <v>3297</v>
      </c>
      <c r="B100" s="1064" t="s">
        <v>3298</v>
      </c>
      <c r="C100" s="591">
        <v>1</v>
      </c>
      <c r="D100" s="238" t="s">
        <v>2806</v>
      </c>
      <c r="E100" s="1066"/>
    </row>
    <row r="102" spans="1:6">
      <c r="A102" s="941" t="s">
        <v>3745</v>
      </c>
    </row>
    <row r="103" spans="1:6">
      <c r="A103" s="278" t="s">
        <v>753</v>
      </c>
      <c r="B103" s="245" t="s">
        <v>754</v>
      </c>
      <c r="C103" s="654">
        <v>1</v>
      </c>
      <c r="D103" s="238" t="s">
        <v>2806</v>
      </c>
      <c r="E103" s="583"/>
      <c r="F103" s="14"/>
    </row>
    <row r="104" spans="1:6">
      <c r="D104" s="151"/>
    </row>
    <row r="105" spans="1:6" ht="14" thickBot="1">
      <c r="A105" s="985" t="s">
        <v>746</v>
      </c>
      <c r="B105" s="238"/>
      <c r="C105" s="238"/>
      <c r="E105" s="214"/>
      <c r="F105" s="14"/>
    </row>
    <row r="106" spans="1:6">
      <c r="A106" s="1272" t="s">
        <v>3597</v>
      </c>
      <c r="B106" s="1274" t="s">
        <v>1989</v>
      </c>
      <c r="C106" s="1276" t="s">
        <v>2428</v>
      </c>
      <c r="D106" s="1276"/>
      <c r="E106" s="1277"/>
      <c r="F106" s="14"/>
    </row>
    <row r="107" spans="1:6">
      <c r="A107" s="1273"/>
      <c r="B107" s="1275"/>
      <c r="C107" s="986" t="s">
        <v>4315</v>
      </c>
      <c r="D107" s="986" t="s">
        <v>4316</v>
      </c>
      <c r="E107" s="987" t="s">
        <v>4317</v>
      </c>
      <c r="F107" s="14"/>
    </row>
    <row r="108" spans="1:6" ht="14">
      <c r="A108" s="642" t="s">
        <v>3599</v>
      </c>
      <c r="B108" s="643" t="s">
        <v>747</v>
      </c>
      <c r="C108" s="644">
        <v>0</v>
      </c>
      <c r="D108" s="644">
        <v>1</v>
      </c>
      <c r="E108" s="645">
        <v>1</v>
      </c>
      <c r="F108" s="31"/>
    </row>
    <row r="109" spans="1:6" ht="14">
      <c r="A109" s="642" t="s">
        <v>3600</v>
      </c>
      <c r="B109" s="646"/>
      <c r="C109" s="644">
        <v>1</v>
      </c>
      <c r="D109" s="644">
        <v>1</v>
      </c>
      <c r="E109" s="645">
        <v>1</v>
      </c>
      <c r="F109" s="14"/>
    </row>
    <row r="110" spans="1:6" ht="14">
      <c r="A110" s="642" t="s">
        <v>3601</v>
      </c>
      <c r="B110" s="646"/>
      <c r="C110" s="644">
        <v>1</v>
      </c>
      <c r="D110" s="644">
        <v>1</v>
      </c>
      <c r="E110" s="645">
        <v>1</v>
      </c>
      <c r="F110" s="14"/>
    </row>
    <row r="111" spans="1:6" ht="14">
      <c r="A111" s="641" t="s">
        <v>748</v>
      </c>
      <c r="B111" s="646"/>
      <c r="C111" s="647"/>
      <c r="D111" s="899"/>
      <c r="E111" s="1067"/>
      <c r="F111" s="14"/>
    </row>
    <row r="112" spans="1:6" ht="14">
      <c r="A112" s="642" t="s">
        <v>3599</v>
      </c>
      <c r="B112" s="643" t="s">
        <v>749</v>
      </c>
      <c r="C112" s="573">
        <v>0</v>
      </c>
      <c r="D112" s="644">
        <v>0</v>
      </c>
      <c r="E112" s="645">
        <v>1</v>
      </c>
      <c r="F112" s="31"/>
    </row>
    <row r="113" spans="1:6" ht="14">
      <c r="A113" s="642" t="s">
        <v>3600</v>
      </c>
      <c r="B113" s="231"/>
      <c r="C113" s="573">
        <v>0</v>
      </c>
      <c r="D113" s="644">
        <v>0</v>
      </c>
      <c r="E113" s="645">
        <v>1</v>
      </c>
      <c r="F113" s="14"/>
    </row>
    <row r="114" spans="1:6" ht="15" thickBot="1">
      <c r="A114" s="648" t="s">
        <v>3601</v>
      </c>
      <c r="B114" s="649"/>
      <c r="C114" s="650">
        <v>1</v>
      </c>
      <c r="D114" s="1068">
        <v>1</v>
      </c>
      <c r="E114" s="1069">
        <v>1</v>
      </c>
      <c r="F114" s="14"/>
    </row>
    <row r="115" spans="1:6">
      <c r="A115" s="651"/>
      <c r="B115" s="652"/>
      <c r="C115" s="14"/>
      <c r="E115" s="238"/>
      <c r="F115" s="14"/>
    </row>
    <row r="116" spans="1:6" ht="14" thickBot="1">
      <c r="A116" s="988" t="s">
        <v>750</v>
      </c>
      <c r="B116" s="989"/>
      <c r="C116" s="238"/>
      <c r="E116" s="238"/>
      <c r="F116" s="14"/>
    </row>
    <row r="117" spans="1:6">
      <c r="A117" s="1272" t="s">
        <v>3597</v>
      </c>
      <c r="B117" s="1274" t="s">
        <v>1989</v>
      </c>
      <c r="C117" s="1276" t="s">
        <v>2428</v>
      </c>
      <c r="D117" s="1276"/>
      <c r="E117" s="1277"/>
      <c r="F117" s="14"/>
    </row>
    <row r="118" spans="1:6">
      <c r="A118" s="1273"/>
      <c r="B118" s="1275"/>
      <c r="C118" s="986" t="s">
        <v>4315</v>
      </c>
      <c r="D118" s="986" t="s">
        <v>4316</v>
      </c>
      <c r="E118" s="987" t="s">
        <v>4317</v>
      </c>
      <c r="F118" s="14"/>
    </row>
    <row r="119" spans="1:6" ht="14">
      <c r="A119" s="642" t="s">
        <v>3599</v>
      </c>
      <c r="B119" s="643" t="s">
        <v>751</v>
      </c>
      <c r="C119" s="644">
        <v>0</v>
      </c>
      <c r="D119" s="644">
        <v>0</v>
      </c>
      <c r="E119" s="645">
        <v>1</v>
      </c>
      <c r="F119" s="31"/>
    </row>
    <row r="120" spans="1:6" ht="14">
      <c r="A120" s="642" t="s">
        <v>3600</v>
      </c>
      <c r="B120" s="646"/>
      <c r="C120" s="644">
        <v>0</v>
      </c>
      <c r="D120" s="644">
        <v>1</v>
      </c>
      <c r="E120" s="645">
        <v>1</v>
      </c>
      <c r="F120" s="14"/>
    </row>
    <row r="121" spans="1:6" ht="14">
      <c r="A121" s="642" t="s">
        <v>3601</v>
      </c>
      <c r="B121" s="646"/>
      <c r="C121" s="644">
        <v>1</v>
      </c>
      <c r="D121" s="644">
        <v>1</v>
      </c>
      <c r="E121" s="645">
        <v>1</v>
      </c>
      <c r="F121" s="14"/>
    </row>
    <row r="122" spans="1:6" ht="14">
      <c r="A122" s="641" t="s">
        <v>748</v>
      </c>
      <c r="B122" s="653"/>
      <c r="C122" s="647"/>
      <c r="D122" s="899"/>
      <c r="E122" s="1067"/>
      <c r="F122" s="214"/>
    </row>
    <row r="123" spans="1:6" ht="14">
      <c r="A123" s="642" t="s">
        <v>3599</v>
      </c>
      <c r="B123" s="643" t="s">
        <v>752</v>
      </c>
      <c r="C123" s="573">
        <v>0</v>
      </c>
      <c r="D123" s="644">
        <v>0</v>
      </c>
      <c r="E123" s="645">
        <v>0</v>
      </c>
      <c r="F123" s="31"/>
    </row>
    <row r="124" spans="1:6" ht="14">
      <c r="A124" s="642" t="s">
        <v>3600</v>
      </c>
      <c r="B124" s="231"/>
      <c r="C124" s="573">
        <v>0</v>
      </c>
      <c r="D124" s="644">
        <v>0</v>
      </c>
      <c r="E124" s="645">
        <v>0</v>
      </c>
      <c r="F124" s="14"/>
    </row>
    <row r="125" spans="1:6" ht="15" thickBot="1">
      <c r="A125" s="648" t="s">
        <v>3601</v>
      </c>
      <c r="B125" s="649"/>
      <c r="C125" s="650">
        <v>0</v>
      </c>
      <c r="D125" s="1068">
        <v>0</v>
      </c>
      <c r="E125" s="1069">
        <v>0</v>
      </c>
      <c r="F125" s="14"/>
    </row>
  </sheetData>
  <mergeCells count="6">
    <mergeCell ref="A106:A107"/>
    <mergeCell ref="B106:B107"/>
    <mergeCell ref="C106:E106"/>
    <mergeCell ref="A117:A118"/>
    <mergeCell ref="B117:B118"/>
    <mergeCell ref="C117:E117"/>
  </mergeCells>
  <phoneticPr fontId="0" type="noConversion"/>
  <pageMargins left="0.75" right="0.75" top="1" bottom="1" header="0.5" footer="0.5"/>
  <pageSetup orientation="portrait" horizontalDpi="1200" verticalDpi="120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G94"/>
  <sheetViews>
    <sheetView workbookViewId="0">
      <pane ySplit="3" topLeftCell="A4" activePane="bottomLeft" state="frozen"/>
      <selection activeCell="B46" sqref="B46"/>
      <selection pane="bottomLeft" activeCell="C26" sqref="C26"/>
    </sheetView>
  </sheetViews>
  <sheetFormatPr baseColWidth="10" defaultColWidth="9.1640625" defaultRowHeight="13"/>
  <cols>
    <col min="1" max="1" width="32" style="14" bestFit="1" customWidth="1"/>
    <col min="2" max="2" width="23.5" style="31" bestFit="1" customWidth="1"/>
    <col min="3" max="3" width="14" style="14" customWidth="1"/>
    <col min="4" max="4" width="15.1640625" style="238" customWidth="1"/>
    <col min="5" max="5" width="14.5" style="14" customWidth="1"/>
    <col min="6" max="16384" width="9.1640625" style="14"/>
  </cols>
  <sheetData>
    <row r="1" spans="1:5">
      <c r="A1" s="20" t="s">
        <v>5480</v>
      </c>
    </row>
    <row r="3" spans="1:5">
      <c r="A3" s="235" t="s">
        <v>5172</v>
      </c>
      <c r="B3" s="236" t="s">
        <v>1989</v>
      </c>
      <c r="C3" s="237" t="s">
        <v>1990</v>
      </c>
      <c r="D3" s="236" t="s">
        <v>2961</v>
      </c>
      <c r="E3" s="236" t="s">
        <v>1991</v>
      </c>
    </row>
    <row r="4" spans="1:5">
      <c r="A4" s="20" t="s">
        <v>2137</v>
      </c>
    </row>
    <row r="5" spans="1:5">
      <c r="A5" s="14" t="s">
        <v>2850</v>
      </c>
      <c r="B5" s="31" t="s">
        <v>2194</v>
      </c>
      <c r="C5" s="14">
        <f>(1-bp_pct)*IF(df_units="gpm",design_flow_I*24*60/1000000,design_flow_I)</f>
        <v>2.1520000000000001</v>
      </c>
      <c r="D5" s="238" t="s">
        <v>1093</v>
      </c>
      <c r="E5" s="813" t="s">
        <v>5486</v>
      </c>
    </row>
    <row r="6" spans="1:5">
      <c r="A6" s="14" t="s">
        <v>2134</v>
      </c>
      <c r="B6" s="31" t="s">
        <v>2195</v>
      </c>
      <c r="C6" s="14">
        <f>(1-bp_pct)*IF(af_units="gpm",average_flow_I*24*60/1000000,IF(af_units="fraction of design flow",average_flow_I*design_flow,average_flow_I))</f>
        <v>2.1520000000000001</v>
      </c>
      <c r="D6" s="238" t="s">
        <v>1093</v>
      </c>
      <c r="E6" s="813" t="s">
        <v>5486</v>
      </c>
    </row>
    <row r="7" spans="1:5">
      <c r="A7" s="14" t="s">
        <v>210</v>
      </c>
      <c r="B7" s="31" t="s">
        <v>2196</v>
      </c>
      <c r="C7" s="86">
        <f>design_flow*1000000/(24*60)</f>
        <v>1494.4444444444443</v>
      </c>
      <c r="D7" s="238" t="s">
        <v>2193</v>
      </c>
      <c r="E7" s="214" t="s">
        <v>4961</v>
      </c>
    </row>
    <row r="8" spans="1:5">
      <c r="A8" s="14" t="s">
        <v>211</v>
      </c>
      <c r="B8" s="31" t="s">
        <v>3063</v>
      </c>
      <c r="C8" s="86">
        <f>average_flow*1000000/(24*60)</f>
        <v>1494.4444444444443</v>
      </c>
      <c r="D8" s="238" t="s">
        <v>2193</v>
      </c>
      <c r="E8" s="214" t="s">
        <v>4962</v>
      </c>
    </row>
    <row r="9" spans="1:5">
      <c r="A9" s="14" t="s">
        <v>510</v>
      </c>
      <c r="B9" s="31" t="s">
        <v>511</v>
      </c>
      <c r="C9" s="86">
        <f>design_flow_rate*bp_pct/(1-bp_pct)</f>
        <v>0</v>
      </c>
      <c r="D9" s="238" t="s">
        <v>2193</v>
      </c>
    </row>
    <row r="10" spans="1:5">
      <c r="A10" s="14" t="s">
        <v>1739</v>
      </c>
      <c r="B10" s="31" t="s">
        <v>1740</v>
      </c>
      <c r="C10" s="86">
        <f>average_flow_rate*bp_pct/(1-bp_pct)</f>
        <v>0</v>
      </c>
      <c r="D10" s="238" t="s">
        <v>2193</v>
      </c>
    </row>
    <row r="11" spans="1:5">
      <c r="B11" s="213"/>
      <c r="C11" s="86"/>
    </row>
    <row r="12" spans="1:5">
      <c r="A12" s="14" t="s">
        <v>2135</v>
      </c>
      <c r="B12" s="31" t="s">
        <v>215</v>
      </c>
      <c r="C12" s="130">
        <f>design_flow/recovery_rate</f>
        <v>2.847360470571048</v>
      </c>
      <c r="D12" s="238" t="s">
        <v>1093</v>
      </c>
    </row>
    <row r="13" spans="1:5">
      <c r="A13" s="14" t="s">
        <v>2136</v>
      </c>
      <c r="B13" s="31" t="s">
        <v>212</v>
      </c>
      <c r="C13" s="130">
        <f>average_flow/recovery_rate</f>
        <v>2.847360470571048</v>
      </c>
      <c r="D13" s="238" t="s">
        <v>1093</v>
      </c>
    </row>
    <row r="14" spans="1:5">
      <c r="A14" s="14" t="s">
        <v>2138</v>
      </c>
      <c r="B14" s="31" t="s">
        <v>213</v>
      </c>
      <c r="C14" s="86">
        <f>design_flow_rate/recovery_rate</f>
        <v>1977.3336601187832</v>
      </c>
      <c r="D14" s="238" t="s">
        <v>2193</v>
      </c>
    </row>
    <row r="15" spans="1:5">
      <c r="A15" s="14" t="s">
        <v>2710</v>
      </c>
      <c r="B15" s="31" t="s">
        <v>214</v>
      </c>
      <c r="C15" s="86">
        <f>average_flow_rate/recovery_rate</f>
        <v>1977.3336601187832</v>
      </c>
      <c r="D15" s="238" t="s">
        <v>2193</v>
      </c>
    </row>
    <row r="17" spans="1:5">
      <c r="A17" s="20" t="s">
        <v>3081</v>
      </c>
    </row>
    <row r="18" spans="1:5">
      <c r="A18" s="28" t="s">
        <v>3673</v>
      </c>
      <c r="B18" s="669" t="s">
        <v>2834</v>
      </c>
      <c r="C18" s="742">
        <f>VLOOKUP(10^6,ro100_pump_cost_cl,1)-0.1</f>
        <v>500</v>
      </c>
      <c r="E18" s="214" t="s">
        <v>3676</v>
      </c>
    </row>
    <row r="19" spans="1:5">
      <c r="A19" s="28" t="s">
        <v>3674</v>
      </c>
      <c r="B19" s="669" t="s">
        <v>2833</v>
      </c>
      <c r="C19" s="742">
        <f>VLOOKUP(10^6,ro150_pump_cost_cl,1)-0.1</f>
        <v>2000</v>
      </c>
      <c r="E19" s="214"/>
    </row>
    <row r="20" spans="1:5">
      <c r="A20" s="14" t="s">
        <v>3675</v>
      </c>
      <c r="B20" s="669" t="s">
        <v>870</v>
      </c>
      <c r="C20" s="742">
        <f>VLOOKUP(10^6,ro200_pump_cost_cl,1)-0.1</f>
        <v>2000</v>
      </c>
      <c r="D20" s="238" t="s">
        <v>2193</v>
      </c>
    </row>
    <row r="21" spans="1:5">
      <c r="A21" s="14" t="s">
        <v>1323</v>
      </c>
      <c r="B21" s="669" t="s">
        <v>1324</v>
      </c>
      <c r="C21" s="742">
        <f>VLOOKUP(10^6,ro250_pump_cost_cl,1)-0.1</f>
        <v>2000</v>
      </c>
      <c r="D21" s="238" t="s">
        <v>2193</v>
      </c>
    </row>
    <row r="22" spans="1:5">
      <c r="A22" s="14" t="s">
        <v>818</v>
      </c>
      <c r="B22" s="669" t="s">
        <v>2835</v>
      </c>
      <c r="C22" s="742">
        <f>VLOOKUP(10^6,ro300_pump_cost_cl,1)-0.1</f>
        <v>250</v>
      </c>
      <c r="E22" s="214"/>
    </row>
    <row r="23" spans="1:5">
      <c r="A23" s="14" t="s">
        <v>1352</v>
      </c>
      <c r="B23" s="669" t="s">
        <v>819</v>
      </c>
      <c r="C23" s="742">
        <f>VLOOKUP(10^6,ro350_pump_cost_cl,1)-0.1</f>
        <v>225</v>
      </c>
      <c r="E23" s="214"/>
    </row>
    <row r="24" spans="1:5">
      <c r="A24" s="14" t="s">
        <v>1325</v>
      </c>
      <c r="B24" s="669" t="s">
        <v>1862</v>
      </c>
      <c r="C24" s="742">
        <f>VLOOKUP(10^6,ro500_pump_cost_cl,1)-0.1</f>
        <v>75</v>
      </c>
      <c r="D24" s="238" t="s">
        <v>2193</v>
      </c>
      <c r="E24" s="214" t="s">
        <v>425</v>
      </c>
    </row>
    <row r="25" spans="1:5">
      <c r="A25" s="14" t="s">
        <v>2</v>
      </c>
      <c r="B25" s="31" t="s">
        <v>3</v>
      </c>
      <c r="C25" s="209">
        <v>145.04</v>
      </c>
      <c r="D25" s="238" t="s">
        <v>3749</v>
      </c>
      <c r="E25" s="238" t="s">
        <v>6514</v>
      </c>
    </row>
    <row r="26" spans="1:5">
      <c r="A26" s="14" t="s">
        <v>1318</v>
      </c>
      <c r="B26" s="31" t="s">
        <v>1864</v>
      </c>
      <c r="C26" s="14" t="str">
        <f>IF(inf_pump_psi&lt;=100,"ro100",IF(inf_pump_psi&lt;=150,"ro150",IF(inf_pump_psi&lt;=200,"ro200",IF(inf_pump_psi&lt;=250,"ro250",IF(inf_pump_psi&lt;=300,"ro300",IF(inf_pump_psi&lt;=350,"ro350",IF(inf_pump_psi&lt;=500,"ro500","N/A")))))))</f>
        <v>ro150</v>
      </c>
      <c r="E26" s="214" t="s">
        <v>1319</v>
      </c>
    </row>
    <row r="27" spans="1:5">
      <c r="A27" s="14" t="s">
        <v>2963</v>
      </c>
      <c r="B27" s="31" t="s">
        <v>2964</v>
      </c>
      <c r="C27" s="14">
        <f>IF(inf_pump_psi&lt;=100,1,IF(inf_pump_psi&lt;=150,2,IF(inf_pump_psi&lt;=200,3,IF(inf_pump_psi&lt;=250,4,IF(inf_pump_psi&lt;=300,5,IF(inf_pump_psi&lt;=350,6,IF(inf_pump_psi&lt;=500,7,"N/A")))))))</f>
        <v>2</v>
      </c>
      <c r="E27" s="214"/>
    </row>
    <row r="28" spans="1:5">
      <c r="A28" s="14" t="s">
        <v>1867</v>
      </c>
      <c r="B28" s="31" t="s">
        <v>1868</v>
      </c>
      <c r="C28" s="14">
        <f ca="1">INDIRECT("max_pump_size_"&amp;inf_pump_class)</f>
        <v>2000</v>
      </c>
      <c r="D28" s="238" t="s">
        <v>2193</v>
      </c>
      <c r="E28" s="214"/>
    </row>
    <row r="29" spans="1:5">
      <c r="A29" s="14" t="s">
        <v>520</v>
      </c>
      <c r="B29" s="31" t="s">
        <v>522</v>
      </c>
      <c r="C29" s="209">
        <f ca="1">MIN(MAX(average_inflow_rate,design_inflow_rate/2)*(1+pump_safety_factor),inf_max_pump_size)</f>
        <v>2000</v>
      </c>
      <c r="D29" s="238" t="s">
        <v>2193</v>
      </c>
      <c r="E29" s="214" t="s">
        <v>521</v>
      </c>
    </row>
    <row r="30" spans="1:5">
      <c r="A30" s="14" t="s">
        <v>3074</v>
      </c>
      <c r="B30" s="31" t="s">
        <v>216</v>
      </c>
      <c r="C30" s="14">
        <f ca="1">ROUNDUP(design_inflow_rate*(1+pump_safety_factor)/inf_pump_gpm_sizing,0)</f>
        <v>2</v>
      </c>
      <c r="D30" s="238" t="s">
        <v>2192</v>
      </c>
    </row>
    <row r="31" spans="1:5">
      <c r="A31" s="14" t="s">
        <v>966</v>
      </c>
      <c r="B31" s="31" t="s">
        <v>967</v>
      </c>
      <c r="C31" s="209">
        <f ca="1">design_inflow_rate*(1+pump_safety_factor)/inf_pumps</f>
        <v>1235.8335375742395</v>
      </c>
      <c r="D31" s="238" t="s">
        <v>2193</v>
      </c>
    </row>
    <row r="32" spans="1:5">
      <c r="A32" s="14" t="s">
        <v>965</v>
      </c>
      <c r="B32" s="31" t="s">
        <v>217</v>
      </c>
      <c r="C32" s="209">
        <f ca="1">inf_pump_gpm*24*60/1000000</f>
        <v>1.7796002941069049</v>
      </c>
      <c r="D32" s="238" t="s">
        <v>1093</v>
      </c>
    </row>
    <row r="33" spans="1:5">
      <c r="A33" s="14" t="s">
        <v>427</v>
      </c>
      <c r="B33" s="31" t="s">
        <v>426</v>
      </c>
      <c r="C33" s="209">
        <f ca="1">design_inflow_rate*inf_pump_psi/inf_pumps/pump_effcy/14.7*33.9*8.34/550/60</f>
        <v>111.43226691694274</v>
      </c>
      <c r="D33" s="238" t="s">
        <v>80</v>
      </c>
    </row>
    <row r="34" spans="1:5">
      <c r="A34" s="14" t="s">
        <v>3075</v>
      </c>
      <c r="B34" s="31" t="s">
        <v>218</v>
      </c>
      <c r="C34" s="14">
        <f ca="1">inf_pumps+NRD_inf_pumps</f>
        <v>2</v>
      </c>
      <c r="D34" s="238" t="s">
        <v>2192</v>
      </c>
      <c r="E34" s="214" t="s">
        <v>523</v>
      </c>
    </row>
    <row r="36" spans="1:5">
      <c r="A36" s="63" t="s">
        <v>4264</v>
      </c>
    </row>
    <row r="37" spans="1:5">
      <c r="A37" s="32" t="s">
        <v>3506</v>
      </c>
    </row>
    <row r="38" spans="1:5">
      <c r="A38" s="14" t="s">
        <v>3515</v>
      </c>
      <c r="B38" s="31" t="s">
        <v>3516</v>
      </c>
      <c r="C38" s="209">
        <f>IF(P_boost_2_try&gt;0,P_boost_2_try+boost_headloss,0)</f>
        <v>0</v>
      </c>
      <c r="D38" s="238" t="s">
        <v>3749</v>
      </c>
      <c r="E38" s="214" t="s">
        <v>3518</v>
      </c>
    </row>
    <row r="39" spans="1:5">
      <c r="A39" s="14" t="s">
        <v>1320</v>
      </c>
      <c r="B39" s="31" t="s">
        <v>1865</v>
      </c>
      <c r="C39" s="14" t="str">
        <f>IF(boost_pump_2_psi&lt;=100,"ro100",IF(boost_pump_2_psi&lt;=150,"ro150",IF(boost_pump_2_psi&lt;=200,"ro200",IF(boost_pump_2_psi&lt;=250,"ro250",IF(boost_pump_2_psi&lt;=300,"ro300",IF(boost_pump_2_psi&lt;=350,"ro350",IF(boost_pump_2_psi&lt;=500,"ro500","N/A")))))))</f>
        <v>ro100</v>
      </c>
      <c r="E39" s="214" t="s">
        <v>1321</v>
      </c>
    </row>
    <row r="40" spans="1:5">
      <c r="A40" s="14" t="s">
        <v>2965</v>
      </c>
      <c r="B40" s="31" t="s">
        <v>3262</v>
      </c>
      <c r="C40" s="14">
        <f>IF(boost_pump_2_psi&lt;=100,1,IF(boost_pump_2_psi&lt;=150,2,IF(boost_pump_2_psi&lt;=200,3,IF(boost_pump_2_psi&lt;=250,4,IF(boost_pump_2_psi&lt;=300,5,IF(boost_pump_2_psi&lt;=350,6,IF(boost_pump_2_psi&lt;=500,7,"N/A")))))))</f>
        <v>1</v>
      </c>
      <c r="E40" s="214"/>
    </row>
    <row r="41" spans="1:5">
      <c r="A41" s="14" t="s">
        <v>1867</v>
      </c>
      <c r="B41" s="31" t="s">
        <v>1869</v>
      </c>
      <c r="C41" s="14">
        <f ca="1">INDIRECT("max_pump_size_"&amp;boost_2_class)</f>
        <v>500</v>
      </c>
      <c r="D41" s="238" t="s">
        <v>2193</v>
      </c>
      <c r="E41" s="214"/>
    </row>
    <row r="42" spans="1:5">
      <c r="A42" s="14" t="s">
        <v>3507</v>
      </c>
      <c r="B42" s="31" t="s">
        <v>3509</v>
      </c>
      <c r="C42" s="86">
        <f>IF(P_boost_2_try&gt;0,(stg_2 feed_flow_v)*num_vess_2_out,0)</f>
        <v>0</v>
      </c>
      <c r="D42" s="238" t="s">
        <v>2193</v>
      </c>
      <c r="E42" s="214" t="s">
        <v>2727</v>
      </c>
    </row>
    <row r="43" spans="1:5">
      <c r="A43" s="14" t="s">
        <v>3508</v>
      </c>
      <c r="B43" s="31" t="s">
        <v>3517</v>
      </c>
      <c r="C43" s="14">
        <f ca="1">ROUNDUP(boost_flow_2*(1+pump_safety_factor)/boost_2_max_pump_size,0)</f>
        <v>0</v>
      </c>
      <c r="D43" s="238" t="s">
        <v>2192</v>
      </c>
      <c r="E43" s="214" t="s">
        <v>3510</v>
      </c>
    </row>
    <row r="44" spans="1:5">
      <c r="A44" s="14" t="s">
        <v>3512</v>
      </c>
      <c r="B44" s="31" t="s">
        <v>3514</v>
      </c>
      <c r="C44" s="209">
        <f>IF(boost_flow_2&gt;0,boost_flow_2*(1+pump_safety_factor)/boost_pumps_2_op,0)</f>
        <v>0</v>
      </c>
      <c r="D44" s="238" t="s">
        <v>2193</v>
      </c>
      <c r="E44" s="214"/>
    </row>
    <row r="45" spans="1:5">
      <c r="A45" s="14" t="s">
        <v>3511</v>
      </c>
      <c r="B45" s="31" t="s">
        <v>3513</v>
      </c>
      <c r="C45" s="212">
        <f>boost_pump_2_gpm*24*60/1000000</f>
        <v>0</v>
      </c>
      <c r="D45" s="238" t="s">
        <v>1093</v>
      </c>
      <c r="E45" s="214"/>
    </row>
    <row r="46" spans="1:5">
      <c r="A46" s="14" t="s">
        <v>1797</v>
      </c>
      <c r="B46" s="31" t="s">
        <v>1798</v>
      </c>
      <c r="C46" s="209">
        <f>boost_pump_2_gpm*boost_pump_2_psi/pump_effcy/14.7*33.9*8.34/550/60</f>
        <v>0</v>
      </c>
      <c r="D46" s="238" t="s">
        <v>80</v>
      </c>
      <c r="E46" s="146"/>
    </row>
    <row r="47" spans="1:5">
      <c r="A47" s="14" t="s">
        <v>1799</v>
      </c>
      <c r="B47" s="31" t="s">
        <v>1800</v>
      </c>
      <c r="C47" s="14">
        <f>IF(boost_flow_2&gt;0,boost_pumps_2_op+NRD_inf_pumps,0)</f>
        <v>0</v>
      </c>
      <c r="D47" s="238" t="s">
        <v>2192</v>
      </c>
      <c r="E47" s="214" t="s">
        <v>1976</v>
      </c>
    </row>
    <row r="48" spans="1:5">
      <c r="E48" s="214"/>
    </row>
    <row r="49" spans="1:5">
      <c r="A49" s="32" t="s">
        <v>1801</v>
      </c>
    </row>
    <row r="50" spans="1:5">
      <c r="A50" s="14" t="s">
        <v>3515</v>
      </c>
      <c r="B50" s="31" t="s">
        <v>927</v>
      </c>
      <c r="C50" s="209">
        <f>IF(P_boost_3_try&gt;0,P_boost_3_try+boost_headloss,0)</f>
        <v>0</v>
      </c>
      <c r="D50" s="238" t="s">
        <v>3749</v>
      </c>
      <c r="E50" s="214" t="s">
        <v>3518</v>
      </c>
    </row>
    <row r="51" spans="1:5">
      <c r="A51" s="14" t="s">
        <v>1322</v>
      </c>
      <c r="B51" s="31" t="s">
        <v>1866</v>
      </c>
      <c r="C51" s="14" t="str">
        <f>IF(boost_pump_3_psi&lt;=100,"ro100",IF(boost_pump_3_psi&lt;=150,"ro150",IF(boost_pump_3_psi&lt;=200,"ro200",IF(boost_pump_3_psi&lt;=250,"ro250",IF(boost_pump_3_psi&lt;=300,"ro300",IF(boost_pump_3_psi&lt;=350,"ro350",IF(boost_pump_3_psi&lt;=500,"ro500","N/A")))))))</f>
        <v>ro100</v>
      </c>
      <c r="E51" s="214" t="s">
        <v>1321</v>
      </c>
    </row>
    <row r="52" spans="1:5">
      <c r="A52" s="14" t="s">
        <v>3263</v>
      </c>
      <c r="B52" s="31" t="s">
        <v>3264</v>
      </c>
      <c r="C52" s="14">
        <f>IF(boost_pump_3_psi&lt;=100,1,IF(boost_pump_3_psi&lt;=150,2,IF(boost_pump_3_psi&lt;=200,3,IF(boost_pump_3_psi&lt;=250,4,IF(boost_pump_3_psi&lt;=300,5,IF(boost_pump_3_psi&lt;=350,6,IF(boost_pump_3_psi&lt;=500,7,"N/A")))))))</f>
        <v>1</v>
      </c>
      <c r="E52" s="214"/>
    </row>
    <row r="53" spans="1:5">
      <c r="A53" s="14" t="s">
        <v>1867</v>
      </c>
      <c r="B53" s="31" t="s">
        <v>1870</v>
      </c>
      <c r="C53" s="14">
        <f ca="1">INDIRECT("max_pump_size_"&amp;boost_3_class)</f>
        <v>500</v>
      </c>
      <c r="D53" s="238" t="s">
        <v>2193</v>
      </c>
      <c r="E53" s="214"/>
    </row>
    <row r="54" spans="1:5">
      <c r="A54" s="14" t="s">
        <v>3507</v>
      </c>
      <c r="B54" s="31" t="s">
        <v>1755</v>
      </c>
      <c r="C54" s="86">
        <f>IF(P_boost_3_try&gt;0,(stg_3 feed_flow_v)*num_vess_3_out,0)</f>
        <v>0</v>
      </c>
      <c r="D54" s="238" t="s">
        <v>2193</v>
      </c>
      <c r="E54" s="214" t="s">
        <v>2726</v>
      </c>
    </row>
    <row r="55" spans="1:5">
      <c r="A55" s="14" t="s">
        <v>3508</v>
      </c>
      <c r="B55" s="31" t="s">
        <v>1802</v>
      </c>
      <c r="C55" s="14">
        <f ca="1">ROUNDUP(boost_flow_3*(1+pump_safety_factor)/boost_3_max_pump_size,0)</f>
        <v>0</v>
      </c>
      <c r="D55" s="238" t="s">
        <v>2192</v>
      </c>
      <c r="E55" s="214" t="s">
        <v>3510</v>
      </c>
    </row>
    <row r="56" spans="1:5">
      <c r="A56" s="14" t="s">
        <v>3512</v>
      </c>
      <c r="B56" s="31" t="s">
        <v>925</v>
      </c>
      <c r="C56" s="209">
        <f>IF(boost_flow_3&gt;0,boost_flow_3*(1+pump_safety_factor)/boost_pumps_3_op,0)</f>
        <v>0</v>
      </c>
      <c r="D56" s="238" t="s">
        <v>2193</v>
      </c>
      <c r="E56" s="214"/>
    </row>
    <row r="57" spans="1:5">
      <c r="A57" s="14" t="s">
        <v>3511</v>
      </c>
      <c r="B57" s="31" t="s">
        <v>926</v>
      </c>
      <c r="C57" s="212">
        <f>boost_pump_3_gpm*24*60/1000000</f>
        <v>0</v>
      </c>
      <c r="D57" s="238" t="s">
        <v>1093</v>
      </c>
      <c r="E57" s="214"/>
    </row>
    <row r="58" spans="1:5">
      <c r="A58" s="14" t="s">
        <v>1797</v>
      </c>
      <c r="B58" s="31" t="s">
        <v>928</v>
      </c>
      <c r="C58" s="209">
        <f>boost_pump_3_gpm*boost_pump_3_psi/pump_effcy/14.7*33.9*8.34/550/60</f>
        <v>0</v>
      </c>
      <c r="D58" s="238" t="s">
        <v>80</v>
      </c>
      <c r="E58" s="146"/>
    </row>
    <row r="59" spans="1:5">
      <c r="A59" s="14" t="s">
        <v>1756</v>
      </c>
      <c r="B59" s="31" t="s">
        <v>1754</v>
      </c>
      <c r="C59" s="14">
        <f>IF(boost_flow_3&gt;0,boost_pumps_3_op+NRD_inf_pumps,0)</f>
        <v>0</v>
      </c>
      <c r="D59" s="238" t="s">
        <v>2192</v>
      </c>
      <c r="E59" s="214" t="s">
        <v>1976</v>
      </c>
    </row>
    <row r="61" spans="1:5">
      <c r="A61" s="20" t="s">
        <v>2576</v>
      </c>
    </row>
    <row r="62" spans="1:5">
      <c r="A62" s="14" t="s">
        <v>2569</v>
      </c>
      <c r="B62" s="216" t="s">
        <v>2574</v>
      </c>
      <c r="C62" s="775">
        <f>VLOOKUP(10^6,pump_cost_cl,1)-1</f>
        <v>10000</v>
      </c>
      <c r="D62" s="238" t="s">
        <v>2193</v>
      </c>
      <c r="E62" s="214" t="s">
        <v>2575</v>
      </c>
    </row>
    <row r="63" spans="1:5">
      <c r="A63" s="28" t="s">
        <v>1736</v>
      </c>
      <c r="B63" s="31" t="s">
        <v>1737</v>
      </c>
      <c r="C63" s="209">
        <f>MIN(MAX(bp_flow_rate_avg,bp_flow_rate/2)*(1+pump_safety_factor),max_bp_pump_size)</f>
        <v>0</v>
      </c>
      <c r="D63" s="238" t="s">
        <v>2193</v>
      </c>
      <c r="E63" s="214" t="s">
        <v>1738</v>
      </c>
    </row>
    <row r="64" spans="1:5">
      <c r="A64" s="14" t="s">
        <v>4267</v>
      </c>
      <c r="B64" s="31" t="s">
        <v>2579</v>
      </c>
      <c r="C64" s="14">
        <f>IF(bp_flow_rate=0,0,ROUNDUP(bp_flow_rate*(1+pump_safety_factor)/bp_pump_rating_sizing,0))</f>
        <v>0</v>
      </c>
      <c r="D64" s="238" t="s">
        <v>2192</v>
      </c>
    </row>
    <row r="65" spans="1:7">
      <c r="A65" s="14" t="s">
        <v>4265</v>
      </c>
      <c r="B65" s="31" t="s">
        <v>4266</v>
      </c>
      <c r="C65" s="570">
        <f>IF(bp_flow_rate=0,0,bp_flow_rate/op_num_bp_pumps)</f>
        <v>0</v>
      </c>
      <c r="D65" s="238" t="s">
        <v>2193</v>
      </c>
    </row>
    <row r="66" spans="1:7">
      <c r="A66" s="14" t="s">
        <v>4268</v>
      </c>
      <c r="B66" s="31" t="s">
        <v>2578</v>
      </c>
      <c r="C66" s="14">
        <f>IF(bp_flow_rate=0,0,op_num_bp_pumps+NRD_bp_pumps)</f>
        <v>0</v>
      </c>
      <c r="D66" s="238" t="s">
        <v>2192</v>
      </c>
      <c r="E66" s="214" t="s">
        <v>2577</v>
      </c>
    </row>
    <row r="67" spans="1:7">
      <c r="E67" s="214"/>
    </row>
    <row r="68" spans="1:7" ht="14" thickBot="1">
      <c r="A68" s="20" t="s">
        <v>3689</v>
      </c>
      <c r="E68" s="214" t="s">
        <v>3679</v>
      </c>
    </row>
    <row r="69" spans="1:7">
      <c r="A69" s="243" t="s">
        <v>5482</v>
      </c>
      <c r="B69" s="88" t="s">
        <v>5483</v>
      </c>
      <c r="C69" s="88" t="s">
        <v>5481</v>
      </c>
      <c r="D69" s="88" t="s">
        <v>3688</v>
      </c>
      <c r="E69" s="88" t="s">
        <v>3686</v>
      </c>
      <c r="F69" s="88" t="s">
        <v>5594</v>
      </c>
      <c r="G69" s="253" t="s">
        <v>5595</v>
      </c>
    </row>
    <row r="70" spans="1:7">
      <c r="A70" s="244" t="s">
        <v>174</v>
      </c>
      <c r="B70" s="245" t="s">
        <v>3687</v>
      </c>
      <c r="C70" s="647" t="str">
        <f>"ro"&amp;LEFT(A70,3)</f>
        <v>ro100</v>
      </c>
      <c r="D70" s="1002" t="str">
        <f ca="1">VLOOKUP(inf_pump_gpm,ro100_pump_cost_cl,2)</f>
        <v>Contact Vendor</v>
      </c>
      <c r="E70" s="1109" t="str">
        <f ca="1">VLOOKUP(inf_pump_gpm,ro100_pump_cost_cl,3)</f>
        <v>contact vendor</v>
      </c>
      <c r="F70" s="1063">
        <f ca="1">VLOOKUP(inf_pump_gpm,ro100_pump_cost_cl,4)</f>
        <v>20</v>
      </c>
      <c r="G70" s="1112">
        <f ca="1">VLOOKUP(inf_pump_gpm,ro100_pump_cost_cl,5)</f>
        <v>17</v>
      </c>
    </row>
    <row r="71" spans="1:7">
      <c r="A71" s="244" t="s">
        <v>3680</v>
      </c>
      <c r="B71" s="245"/>
      <c r="C71" s="647" t="str">
        <f t="shared" ref="C71:C76" si="0">"ro"&amp;LEFT(A71,3)</f>
        <v>ro150</v>
      </c>
      <c r="D71" s="1002">
        <f ca="1">VLOOKUP(inf_pump_gpm,ro150_pump_cost_cl,2)</f>
        <v>2000</v>
      </c>
      <c r="E71" s="1109">
        <f ca="1">VLOOKUP(inf_pump_gpm,ro150_pump_cost_cl,3)</f>
        <v>34349.312001263977</v>
      </c>
      <c r="F71" s="1063">
        <f ca="1">VLOOKUP(inf_pump_gpm,ro150_pump_cost_cl,4)</f>
        <v>20</v>
      </c>
      <c r="G71" s="1112">
        <f ca="1">VLOOKUP(inf_pump_gpm,ro150_pump_cost_cl,5)</f>
        <v>17</v>
      </c>
    </row>
    <row r="72" spans="1:7">
      <c r="A72" s="244" t="s">
        <v>3681</v>
      </c>
      <c r="B72" s="245"/>
      <c r="C72" s="647" t="str">
        <f t="shared" si="0"/>
        <v>ro200</v>
      </c>
      <c r="D72" s="1002">
        <f ca="1">VLOOKUP(inf_pump_gpm,ro200_pump_cost_cl,2)</f>
        <v>2000</v>
      </c>
      <c r="E72" s="1109">
        <f ca="1">VLOOKUP(inf_pump_gpm,ro200_pump_cost_cl,3)</f>
        <v>161772.35560671645</v>
      </c>
      <c r="F72" s="1063">
        <f ca="1">VLOOKUP(inf_pump_gpm,ro200_pump_cost_cl,4)</f>
        <v>20</v>
      </c>
      <c r="G72" s="1112">
        <f ca="1">VLOOKUP(inf_pump_gpm,ro200_pump_cost_cl,5)</f>
        <v>17</v>
      </c>
    </row>
    <row r="73" spans="1:7">
      <c r="A73" s="244" t="s">
        <v>3682</v>
      </c>
      <c r="B73" s="245"/>
      <c r="C73" s="647" t="str">
        <f t="shared" si="0"/>
        <v>ro250</v>
      </c>
      <c r="D73" s="1002">
        <f ca="1">VLOOKUP(inf_pump_gpm,ro250_pump_cost_cl,2)</f>
        <v>2000</v>
      </c>
      <c r="E73" s="1109">
        <f ca="1">VLOOKUP(inf_pump_gpm,ro250_pump_cost_cl,3)</f>
        <v>167352.98939583654</v>
      </c>
      <c r="F73" s="1063">
        <f ca="1">VLOOKUP(inf_pump_gpm,ro250_pump_cost_cl,4)</f>
        <v>20</v>
      </c>
      <c r="G73" s="1112">
        <f ca="1">VLOOKUP(inf_pump_gpm,ro250_pump_cost_cl,5)</f>
        <v>17</v>
      </c>
    </row>
    <row r="74" spans="1:7">
      <c r="A74" s="244" t="s">
        <v>3683</v>
      </c>
      <c r="B74" s="245"/>
      <c r="C74" s="647" t="str">
        <f t="shared" si="0"/>
        <v>ro300</v>
      </c>
      <c r="D74" s="1002" t="str">
        <f ca="1">VLOOKUP(inf_pump_gpm,ro300_pump_cost_cl,2)</f>
        <v>Contact Vendor</v>
      </c>
      <c r="E74" s="1109" t="str">
        <f ca="1">VLOOKUP(inf_pump_gpm,ro300_pump_cost_cl,3)</f>
        <v>contact vendor</v>
      </c>
      <c r="F74" s="1063">
        <f ca="1">VLOOKUP(inf_pump_gpm,ro300_pump_cost_cl,4)</f>
        <v>20</v>
      </c>
      <c r="G74" s="1112">
        <f ca="1">VLOOKUP(inf_pump_gpm,ro300_pump_cost_cl,5)</f>
        <v>17</v>
      </c>
    </row>
    <row r="75" spans="1:7">
      <c r="A75" s="244" t="s">
        <v>3684</v>
      </c>
      <c r="B75" s="245"/>
      <c r="C75" s="647" t="str">
        <f t="shared" si="0"/>
        <v>ro350</v>
      </c>
      <c r="D75" s="1002" t="str">
        <f ca="1">VLOOKUP(inf_pump_gpm,ro350_pump_cost_cl,2)</f>
        <v>Contact Vendor</v>
      </c>
      <c r="E75" s="1109" t="str">
        <f ca="1">VLOOKUP(inf_pump_gpm,ro350_pump_cost_cl,3)</f>
        <v>contact vendor</v>
      </c>
      <c r="F75" s="1063">
        <f ca="1">VLOOKUP(inf_pump_gpm,ro350_pump_cost_cl,4)</f>
        <v>20</v>
      </c>
      <c r="G75" s="1112">
        <f ca="1">VLOOKUP(inf_pump_gpm,ro350_pump_cost_cl,5)</f>
        <v>17</v>
      </c>
    </row>
    <row r="76" spans="1:7" ht="14" thickBot="1">
      <c r="A76" s="255" t="s">
        <v>3685</v>
      </c>
      <c r="B76" s="1003"/>
      <c r="C76" s="247" t="str">
        <f t="shared" si="0"/>
        <v>ro500</v>
      </c>
      <c r="D76" s="1004" t="str">
        <f ca="1">VLOOKUP(inf_pump_gpm,ro500_pump_cost_cl,2)</f>
        <v>Contact Vendor</v>
      </c>
      <c r="E76" s="1110" t="str">
        <f ca="1">VLOOKUP(inf_pump_gpm,ro500_pump_cost_cl,3)</f>
        <v>contact vendor</v>
      </c>
      <c r="F76" s="1113">
        <f ca="1">VLOOKUP(inf_pump_gpm,ro500_pump_cost_cl,4)</f>
        <v>20</v>
      </c>
      <c r="G76" s="1114">
        <f ca="1">VLOOKUP(inf_pump_gpm,ro500_pump_cost_cl,5)</f>
        <v>17</v>
      </c>
    </row>
    <row r="77" spans="1:7" ht="14" thickBot="1">
      <c r="F77" s="412"/>
      <c r="G77" s="412"/>
    </row>
    <row r="78" spans="1:7">
      <c r="A78" s="243" t="s">
        <v>5484</v>
      </c>
      <c r="B78" s="88" t="s">
        <v>5483</v>
      </c>
      <c r="C78" s="88" t="s">
        <v>5481</v>
      </c>
      <c r="D78" s="88" t="s">
        <v>3688</v>
      </c>
      <c r="E78" s="88" t="s">
        <v>3686</v>
      </c>
      <c r="F78" s="1115" t="s">
        <v>5594</v>
      </c>
      <c r="G78" s="1116" t="s">
        <v>5595</v>
      </c>
    </row>
    <row r="79" spans="1:7">
      <c r="A79" s="244" t="s">
        <v>174</v>
      </c>
      <c r="B79" s="245" t="s">
        <v>3690</v>
      </c>
      <c r="C79" s="647" t="str">
        <f>"ro"&amp;LEFT(A79,3)</f>
        <v>ro100</v>
      </c>
      <c r="D79" s="1002">
        <f>VLOOKUP(boost_pump_2_gpm,ro100_pump_cost_cl,2)</f>
        <v>5</v>
      </c>
      <c r="E79" s="1109">
        <f>VLOOKUP(boost_pump_2_gpm,ro100_pump_cost_cl,3)</f>
        <v>3608.1332339902169</v>
      </c>
      <c r="F79" s="1063">
        <f>VLOOKUP(boost_pump_2_gpm,ro100_pump_cost_cl,4)</f>
        <v>20</v>
      </c>
      <c r="G79" s="1112">
        <f>VLOOKUP(boost_pump_2_gpm,ro100_pump_cost_cl,5)</f>
        <v>17</v>
      </c>
    </row>
    <row r="80" spans="1:7">
      <c r="A80" s="244" t="s">
        <v>3680</v>
      </c>
      <c r="B80" s="245"/>
      <c r="C80" s="647" t="str">
        <f t="shared" ref="C80:C85" si="1">"ro"&amp;LEFT(A80,3)</f>
        <v>ro150</v>
      </c>
      <c r="D80" s="1002">
        <f>VLOOKUP(boost_pump_2_gpm,ro150_pump_cost_cl,2)</f>
        <v>5</v>
      </c>
      <c r="E80" s="1109">
        <f>VLOOKUP(boost_pump_2_gpm,ro150_pump_cost_cl,3)</f>
        <v>4107.7838744247119</v>
      </c>
      <c r="F80" s="1063">
        <f>VLOOKUP(boost_pump_2_gpm,ro150_pump_cost_cl,4)</f>
        <v>20</v>
      </c>
      <c r="G80" s="1112">
        <f>VLOOKUP(boost_pump_2_gpm,ro150_pump_cost_cl,5)</f>
        <v>17</v>
      </c>
    </row>
    <row r="81" spans="1:7">
      <c r="A81" s="244" t="s">
        <v>3681</v>
      </c>
      <c r="B81" s="245"/>
      <c r="C81" s="647" t="str">
        <f t="shared" si="1"/>
        <v>ro200</v>
      </c>
      <c r="D81" s="1002">
        <f>VLOOKUP(boost_pump_2_gpm,ro200_pump_cost_cl,2)</f>
        <v>5</v>
      </c>
      <c r="E81" s="1109">
        <f>VLOOKUP(boost_pump_2_gpm,ro200_pump_cost_cl,3)</f>
        <v>4463.8258470658184</v>
      </c>
      <c r="F81" s="1063">
        <f>VLOOKUP(boost_pump_2_gpm,ro200_pump_cost_cl,4)</f>
        <v>20</v>
      </c>
      <c r="G81" s="1112">
        <f>VLOOKUP(boost_pump_2_gpm,ro200_pump_cost_cl,5)</f>
        <v>17</v>
      </c>
    </row>
    <row r="82" spans="1:7">
      <c r="A82" s="244" t="s">
        <v>3682</v>
      </c>
      <c r="B82" s="245"/>
      <c r="C82" s="647" t="str">
        <f t="shared" si="1"/>
        <v>ro250</v>
      </c>
      <c r="D82" s="1002">
        <f>VLOOKUP(boost_pump_2_gpm,ro250_pump_cost_cl,2)</f>
        <v>5</v>
      </c>
      <c r="E82" s="1109">
        <f>VLOOKUP(boost_pump_2_gpm,ro250_pump_cost_cl,3)</f>
        <v>4985.0841587509367</v>
      </c>
      <c r="F82" s="1063">
        <f>VLOOKUP(boost_pump_2_gpm,ro250_pump_cost_cl,4)</f>
        <v>20</v>
      </c>
      <c r="G82" s="1112">
        <f>VLOOKUP(boost_pump_2_gpm,ro250_pump_cost_cl,5)</f>
        <v>17</v>
      </c>
    </row>
    <row r="83" spans="1:7">
      <c r="A83" s="244" t="s">
        <v>3683</v>
      </c>
      <c r="B83" s="245"/>
      <c r="C83" s="647" t="str">
        <f t="shared" si="1"/>
        <v>ro300</v>
      </c>
      <c r="D83" s="1002">
        <f>VLOOKUP(boost_pump_2_gpm,ro300_pump_cost_cl,2)</f>
        <v>5</v>
      </c>
      <c r="E83" s="1109">
        <f>VLOOKUP(boost_pump_2_gpm,ro300_pump_cost_cl,3)</f>
        <v>5200.6544702091669</v>
      </c>
      <c r="F83" s="1063">
        <f>VLOOKUP(boost_pump_2_gpm,ro300_pump_cost_cl,4)</f>
        <v>20</v>
      </c>
      <c r="G83" s="1112">
        <f>VLOOKUP(boost_pump_2_gpm,ro300_pump_cost_cl,5)</f>
        <v>17</v>
      </c>
    </row>
    <row r="84" spans="1:7">
      <c r="A84" s="244" t="s">
        <v>3684</v>
      </c>
      <c r="B84" s="245"/>
      <c r="C84" s="647" t="str">
        <f t="shared" si="1"/>
        <v>ro350</v>
      </c>
      <c r="D84" s="1002">
        <f>VLOOKUP(boost_pump_2_gpm,ro350_pump_cost_cl,2)</f>
        <v>5</v>
      </c>
      <c r="E84" s="1109">
        <f>VLOOKUP(boost_pump_2_gpm,ro350_pump_cost_cl,3)</f>
        <v>5200.6544702091669</v>
      </c>
      <c r="F84" s="1063">
        <f>VLOOKUP(boost_pump_2_gpm,ro350_pump_cost_cl,4)</f>
        <v>20</v>
      </c>
      <c r="G84" s="1112">
        <f>VLOOKUP(boost_pump_2_gpm,ro350_pump_cost_cl,5)</f>
        <v>17</v>
      </c>
    </row>
    <row r="85" spans="1:7" ht="14" thickBot="1">
      <c r="A85" s="255" t="s">
        <v>3685</v>
      </c>
      <c r="B85" s="1003"/>
      <c r="C85" s="247" t="str">
        <f t="shared" si="1"/>
        <v>ro500</v>
      </c>
      <c r="D85" s="1004">
        <f>VLOOKUP(boost_pump_2_gpm,ro500_pump_cost_cl,2)</f>
        <v>5</v>
      </c>
      <c r="E85" s="1110">
        <f>VLOOKUP(boost_pump_2_gpm,ro500_pump_cost_cl,3)</f>
        <v>6603.2988529312988</v>
      </c>
      <c r="F85" s="1113">
        <f>VLOOKUP(boost_pump_2_gpm,ro500_pump_cost_cl,4)</f>
        <v>20</v>
      </c>
      <c r="G85" s="1114">
        <f>VLOOKUP(boost_pump_2_gpm,ro500_pump_cost_cl,5)</f>
        <v>17</v>
      </c>
    </row>
    <row r="86" spans="1:7" ht="14" thickBot="1">
      <c r="F86" s="412"/>
      <c r="G86" s="412"/>
    </row>
    <row r="87" spans="1:7">
      <c r="A87" s="243" t="s">
        <v>5485</v>
      </c>
      <c r="B87" s="88" t="s">
        <v>5483</v>
      </c>
      <c r="C87" s="88" t="s">
        <v>5481</v>
      </c>
      <c r="D87" s="88" t="s">
        <v>3688</v>
      </c>
      <c r="E87" s="88" t="s">
        <v>3686</v>
      </c>
      <c r="F87" s="1115" t="s">
        <v>5594</v>
      </c>
      <c r="G87" s="1116" t="s">
        <v>5595</v>
      </c>
    </row>
    <row r="88" spans="1:7">
      <c r="A88" s="244" t="s">
        <v>174</v>
      </c>
      <c r="B88" s="245" t="s">
        <v>3691</v>
      </c>
      <c r="C88" s="647" t="str">
        <f>"ro"&amp;LEFT(A88,3)</f>
        <v>ro100</v>
      </c>
      <c r="D88" s="1002">
        <f>VLOOKUP(boost_pump_3_gpm,ro100_pump_cost_cl,2)</f>
        <v>5</v>
      </c>
      <c r="E88" s="1109">
        <f>VLOOKUP(boost_pump_3_gpm,ro100_pump_cost_cl,3)</f>
        <v>3608.1332339902169</v>
      </c>
      <c r="F88" s="1063">
        <f>VLOOKUP(boost_pump_3_gpm,ro100_pump_cost_cl,4)</f>
        <v>20</v>
      </c>
      <c r="G88" s="1112">
        <f>VLOOKUP(boost_pump_3_gpm,ro100_pump_cost_cl,5)</f>
        <v>17</v>
      </c>
    </row>
    <row r="89" spans="1:7">
      <c r="A89" s="244" t="s">
        <v>3680</v>
      </c>
      <c r="B89" s="245"/>
      <c r="C89" s="647" t="str">
        <f t="shared" ref="C89:C94" si="2">"ro"&amp;LEFT(A89,3)</f>
        <v>ro150</v>
      </c>
      <c r="D89" s="1002">
        <f>VLOOKUP(boost_pump_3_gpm,ro150_pump_cost_cl,2)</f>
        <v>5</v>
      </c>
      <c r="E89" s="1109">
        <f>VLOOKUP(boost_pump_3_gpm,ro150_pump_cost_cl,3)</f>
        <v>4107.7838744247119</v>
      </c>
      <c r="F89" s="1063">
        <f>VLOOKUP(boost_pump_3_gpm,ro150_pump_cost_cl,4)</f>
        <v>20</v>
      </c>
      <c r="G89" s="1112">
        <f>VLOOKUP(boost_pump_3_gpm,ro150_pump_cost_cl,5)</f>
        <v>17</v>
      </c>
    </row>
    <row r="90" spans="1:7">
      <c r="A90" s="244" t="s">
        <v>3681</v>
      </c>
      <c r="B90" s="245"/>
      <c r="C90" s="647" t="str">
        <f t="shared" si="2"/>
        <v>ro200</v>
      </c>
      <c r="D90" s="1002">
        <f>VLOOKUP(boost_pump_3_gpm,ro200_pump_cost_cl,2)</f>
        <v>5</v>
      </c>
      <c r="E90" s="1109">
        <f>VLOOKUP(boost_pump_3_gpm,ro200_pump_cost_cl,3)</f>
        <v>4463.8258470658184</v>
      </c>
      <c r="F90" s="1063">
        <f>VLOOKUP(boost_pump_3_gpm,ro200_pump_cost_cl,4)</f>
        <v>20</v>
      </c>
      <c r="G90" s="1112">
        <f>VLOOKUP(boost_pump_3_gpm,ro200_pump_cost_cl,5)</f>
        <v>17</v>
      </c>
    </row>
    <row r="91" spans="1:7">
      <c r="A91" s="244" t="s">
        <v>3682</v>
      </c>
      <c r="B91" s="245"/>
      <c r="C91" s="647" t="str">
        <f t="shared" si="2"/>
        <v>ro250</v>
      </c>
      <c r="D91" s="1002">
        <f>VLOOKUP(boost_pump_3_gpm,ro250_pump_cost_cl,2)</f>
        <v>5</v>
      </c>
      <c r="E91" s="1109">
        <f>VLOOKUP(boost_pump_3_gpm,ro250_pump_cost_cl,3)</f>
        <v>4985.0841587509367</v>
      </c>
      <c r="F91" s="1063">
        <f>VLOOKUP(boost_pump_3_gpm,ro250_pump_cost_cl,4)</f>
        <v>20</v>
      </c>
      <c r="G91" s="1112">
        <f>VLOOKUP(boost_pump_3_gpm,ro250_pump_cost_cl,5)</f>
        <v>17</v>
      </c>
    </row>
    <row r="92" spans="1:7">
      <c r="A92" s="244" t="s">
        <v>3683</v>
      </c>
      <c r="B92" s="245"/>
      <c r="C92" s="647" t="str">
        <f t="shared" si="2"/>
        <v>ro300</v>
      </c>
      <c r="D92" s="1002">
        <f>VLOOKUP(boost_pump_3_gpm,ro300_pump_cost_cl,2)</f>
        <v>5</v>
      </c>
      <c r="E92" s="1109">
        <f>VLOOKUP(boost_pump_3_gpm,ro300_pump_cost_cl,3)</f>
        <v>5200.6544702091669</v>
      </c>
      <c r="F92" s="1063">
        <f>VLOOKUP(boost_pump_3_gpm,ro300_pump_cost_cl,4)</f>
        <v>20</v>
      </c>
      <c r="G92" s="1112">
        <f>VLOOKUP(boost_pump_3_gpm,ro300_pump_cost_cl,5)</f>
        <v>17</v>
      </c>
    </row>
    <row r="93" spans="1:7">
      <c r="A93" s="244" t="s">
        <v>3684</v>
      </c>
      <c r="B93" s="245"/>
      <c r="C93" s="647" t="str">
        <f t="shared" si="2"/>
        <v>ro350</v>
      </c>
      <c r="D93" s="1002">
        <f>VLOOKUP(boost_pump_3_gpm,ro350_pump_cost_cl,2)</f>
        <v>5</v>
      </c>
      <c r="E93" s="1109">
        <f>VLOOKUP(boost_pump_3_gpm,ro350_pump_cost_cl,3)</f>
        <v>5200.6544702091669</v>
      </c>
      <c r="F93" s="1063">
        <f>VLOOKUP(boost_pump_3_gpm,ro350_pump_cost_cl,4)</f>
        <v>20</v>
      </c>
      <c r="G93" s="1112">
        <f>VLOOKUP(boost_pump_3_gpm,ro350_pump_cost_cl,5)</f>
        <v>17</v>
      </c>
    </row>
    <row r="94" spans="1:7" ht="14" thickBot="1">
      <c r="A94" s="255" t="s">
        <v>3685</v>
      </c>
      <c r="B94" s="1003"/>
      <c r="C94" s="247" t="str">
        <f t="shared" si="2"/>
        <v>ro500</v>
      </c>
      <c r="D94" s="1004">
        <f>VLOOKUP(boost_pump_3_gpm,ro500_pump_cost_cl,2)</f>
        <v>5</v>
      </c>
      <c r="E94" s="1110">
        <f>VLOOKUP(boost_pump_3_gpm,ro500_pump_cost_cl,3)</f>
        <v>6603.2988529312988</v>
      </c>
      <c r="F94" s="1113">
        <f>VLOOKUP(boost_pump_3_gpm,ro500_pump_cost_cl,4)</f>
        <v>20</v>
      </c>
      <c r="G94" s="1114">
        <f>VLOOKUP(boost_pump_3_gpm,ro500_pump_cost_cl,5)</f>
        <v>17</v>
      </c>
    </row>
  </sheetData>
  <phoneticPr fontId="0"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E107"/>
  <sheetViews>
    <sheetView workbookViewId="0">
      <pane ySplit="3" topLeftCell="A4" activePane="bottomLeft" state="frozen"/>
      <selection activeCell="B46" sqref="B46"/>
      <selection pane="bottomLeft"/>
    </sheetView>
  </sheetViews>
  <sheetFormatPr baseColWidth="10" defaultColWidth="8.83203125" defaultRowHeight="13"/>
  <cols>
    <col min="1" max="1" width="57.83203125" customWidth="1"/>
    <col min="2" max="2" width="24.5" style="3" customWidth="1"/>
    <col min="3" max="3" width="12.83203125" style="77" customWidth="1"/>
    <col min="4" max="4" width="15.5" style="886" customWidth="1"/>
    <col min="5" max="5" width="9.1640625" style="7" customWidth="1"/>
  </cols>
  <sheetData>
    <row r="1" spans="1:5">
      <c r="A1" s="1" t="s">
        <v>5467</v>
      </c>
    </row>
    <row r="2" spans="1:5">
      <c r="A2" s="1"/>
    </row>
    <row r="3" spans="1:5">
      <c r="A3" s="235" t="s">
        <v>5172</v>
      </c>
      <c r="B3" s="236" t="s">
        <v>1989</v>
      </c>
      <c r="C3" s="237" t="s">
        <v>1990</v>
      </c>
      <c r="D3" s="236" t="s">
        <v>2961</v>
      </c>
      <c r="E3" s="236" t="s">
        <v>1991</v>
      </c>
    </row>
    <row r="4" spans="1:5">
      <c r="A4" s="28" t="s">
        <v>2116</v>
      </c>
      <c r="B4" s="669" t="s">
        <v>1971</v>
      </c>
      <c r="C4" s="745">
        <f>MAX(VLOOKUP(10^6,pl_cst_cost_cl,1)-1,VLOOKUP(10^6,fg_cst_cost_cl,1)-1,VLOOKUP(10^6,ss_cst_cost_cl,1)-1)</f>
        <v>30000</v>
      </c>
      <c r="D4" s="238" t="s">
        <v>1970</v>
      </c>
      <c r="E4" s="214" t="s">
        <v>2615</v>
      </c>
    </row>
    <row r="5" spans="1:5">
      <c r="A5" s="28" t="s">
        <v>5148</v>
      </c>
      <c r="B5" s="669" t="s">
        <v>5149</v>
      </c>
      <c r="C5" s="745">
        <f>MAX(VLOOKUP(10^6,pl_cst_cost_cl,1)-1,VLOOKUP(10^6,fg_cst_cost_cl,1)-1)</f>
        <v>30000</v>
      </c>
      <c r="D5" s="238" t="s">
        <v>1970</v>
      </c>
      <c r="E5" s="214" t="s">
        <v>5150</v>
      </c>
    </row>
    <row r="6" spans="1:5">
      <c r="A6" s="28" t="s">
        <v>591</v>
      </c>
      <c r="B6" s="669" t="s">
        <v>592</v>
      </c>
      <c r="C6" s="745">
        <f>MAX(VLOOKUP(10^6,ss_empump_cost_cl,1)-0.01,VLOOKUP(10^6,ss_mmpump_cost_cl,1)-0.01,VLOOKUP(10^6,pvc_empump_cost_cl,1)-0.01,VLOOKUP(10^6,pvc_mmpump_cost_cl,1)-0.01)</f>
        <v>132</v>
      </c>
      <c r="D6" s="238" t="s">
        <v>1040</v>
      </c>
      <c r="E6" s="214" t="s">
        <v>2615</v>
      </c>
    </row>
    <row r="7" spans="1:5">
      <c r="A7" s="238" t="s">
        <v>5267</v>
      </c>
      <c r="B7" s="669" t="s">
        <v>5268</v>
      </c>
      <c r="C7" s="745">
        <f>MAX(,VLOOKUP(10^6,pvc_empump_cost_cl,1)-0.01,VLOOKUP(10^6,pvc_mmpump_cost_cl,1)-0.01)</f>
        <v>132</v>
      </c>
      <c r="D7" s="238" t="s">
        <v>1040</v>
      </c>
      <c r="E7" s="214" t="s">
        <v>5150</v>
      </c>
    </row>
    <row r="8" spans="1:5">
      <c r="A8" t="s">
        <v>3271</v>
      </c>
      <c r="B8" s="3" t="s">
        <v>219</v>
      </c>
      <c r="C8" s="106">
        <f ca="1">IF(pretreat_acid=0,0,CHOOSE(pretreat_acid,HCl_feed_conc/acid_strength_HCl,H2SO4_feed_conc/acid_strength_H2SO4))</f>
        <v>55.248812476112747</v>
      </c>
      <c r="D8" s="886" t="s">
        <v>220</v>
      </c>
      <c r="E8" s="7" t="s">
        <v>3272</v>
      </c>
    </row>
    <row r="9" spans="1:5">
      <c r="A9" t="s">
        <v>3273</v>
      </c>
      <c r="B9" s="3" t="s">
        <v>224</v>
      </c>
      <c r="C9" s="106">
        <f>IF(pretreat_acid=0,0,CHOOSE(pretreat_acid,VLOOKUP(acid_strength_HCl,hcl_table_cl,2),VLOOKUP(acid_strength_H2SO4,h2so4_table_cl,2))*8)</f>
        <v>13.634399999999999</v>
      </c>
      <c r="D9" s="886" t="s">
        <v>3274</v>
      </c>
    </row>
    <row r="11" spans="1:5">
      <c r="A11" t="s">
        <v>3266</v>
      </c>
      <c r="B11" s="3" t="s">
        <v>2127</v>
      </c>
      <c r="C11" s="77">
        <f>IF(LEN(use_antiscalant_I)=0,0,VLOOKUP(use_antiscalant_I,use_antiscalant_table,2,FALSE))</f>
        <v>2</v>
      </c>
      <c r="D11" s="886" t="s">
        <v>4227</v>
      </c>
    </row>
    <row r="12" spans="1:5">
      <c r="A12" t="s">
        <v>1334</v>
      </c>
      <c r="B12" s="3" t="s">
        <v>222</v>
      </c>
      <c r="C12" s="77">
        <f>anti_dose_conc*(1-target_recovery)</f>
        <v>3.75</v>
      </c>
      <c r="D12" s="886" t="s">
        <v>220</v>
      </c>
      <c r="E12" s="7" t="s">
        <v>1336</v>
      </c>
    </row>
    <row r="14" spans="1:5">
      <c r="A14" t="s">
        <v>229</v>
      </c>
      <c r="B14" s="3" t="s">
        <v>227</v>
      </c>
      <c r="C14" s="86">
        <f ca="1">IF(pretreat_acid=0,0,acid_dose*8.34*design_inflow/acid_density)</f>
        <v>96.226661555959168</v>
      </c>
      <c r="D14" s="886" t="s">
        <v>4311</v>
      </c>
    </row>
    <row r="15" spans="1:5">
      <c r="A15" t="s">
        <v>230</v>
      </c>
      <c r="B15" s="3" t="s">
        <v>228</v>
      </c>
      <c r="C15" s="86">
        <f>IF(use_antiscalant&gt;1,anti_dose*8.34*design_inflow/anti_density,0)</f>
        <v>8.9051198717109532</v>
      </c>
      <c r="D15" s="886" t="s">
        <v>4311</v>
      </c>
    </row>
    <row r="17" spans="1:4">
      <c r="A17" s="885" t="s">
        <v>5210</v>
      </c>
      <c r="B17" s="3" t="s">
        <v>294</v>
      </c>
      <c r="C17" s="86">
        <f ca="1">acid_day*cstore_days*average_flow/design_flow</f>
        <v>2886.7998466787749</v>
      </c>
      <c r="D17" s="886" t="s">
        <v>4311</v>
      </c>
    </row>
    <row r="18" spans="1:4">
      <c r="A18" s="885" t="s">
        <v>5212</v>
      </c>
      <c r="B18" s="3" t="s">
        <v>5213</v>
      </c>
      <c r="C18" s="86">
        <f ca="1">acid_day*cstore_days*acid_density*average_flow/design_flow</f>
        <v>39359.783829557084</v>
      </c>
      <c r="D18" s="886" t="s">
        <v>4312</v>
      </c>
    </row>
    <row r="19" spans="1:4">
      <c r="A19" t="s">
        <v>1972</v>
      </c>
      <c r="B19" s="3" t="s">
        <v>1974</v>
      </c>
      <c r="C19" s="86">
        <f ca="1">ROUNDUP(init_acid/max_chem_tank_size_noSS,0)</f>
        <v>1</v>
      </c>
    </row>
    <row r="20" spans="1:4">
      <c r="A20" t="s">
        <v>231</v>
      </c>
      <c r="B20" s="3" t="s">
        <v>233</v>
      </c>
      <c r="C20" s="86">
        <f ca="1">IF(acid_day=0,0,ROUNDUP(init_acid/acid_tanks,0))</f>
        <v>2887</v>
      </c>
      <c r="D20" s="886" t="s">
        <v>4311</v>
      </c>
    </row>
    <row r="21" spans="1:4">
      <c r="A21" s="885" t="s">
        <v>5211</v>
      </c>
      <c r="B21" s="3" t="s">
        <v>295</v>
      </c>
      <c r="C21" s="86">
        <f>anti_day*cstore_days*average_flow/design_flow</f>
        <v>267.1535961513286</v>
      </c>
      <c r="D21" s="886" t="s">
        <v>4311</v>
      </c>
    </row>
    <row r="22" spans="1:4">
      <c r="A22" s="885" t="s">
        <v>5214</v>
      </c>
      <c r="B22" s="3" t="s">
        <v>5215</v>
      </c>
      <c r="C22" s="86">
        <f>anti_day*cstore_days*anti_density*average_flow/design_flow</f>
        <v>2671.5359615132861</v>
      </c>
      <c r="D22" s="886" t="s">
        <v>4312</v>
      </c>
    </row>
    <row r="23" spans="1:4">
      <c r="A23" t="s">
        <v>1973</v>
      </c>
      <c r="B23" s="3" t="s">
        <v>1975</v>
      </c>
      <c r="C23" s="86">
        <f>ROUNDUP(init_anti/max_chem_tank_size,0)</f>
        <v>1</v>
      </c>
    </row>
    <row r="24" spans="1:4">
      <c r="A24" t="s">
        <v>232</v>
      </c>
      <c r="B24" s="3" t="s">
        <v>1390</v>
      </c>
      <c r="C24" s="86">
        <f>IF(anti_day=0,0,ROUNDUP(init_anti/anti_tanks,0))</f>
        <v>268</v>
      </c>
      <c r="D24" s="886" t="s">
        <v>4311</v>
      </c>
    </row>
    <row r="26" spans="1:4">
      <c r="A26" s="4" t="s">
        <v>1041</v>
      </c>
      <c r="B26" s="3" t="s">
        <v>1043</v>
      </c>
      <c r="C26" s="86">
        <f ca="1">IF(acid_day=0,0,ROUNDUP(acid_day/24*(1+pump_safety_factor)/max_cm_pump_size_noSS,0)+NRD_acid_mpumps)</f>
        <v>2</v>
      </c>
    </row>
    <row r="27" spans="1:4">
      <c r="A27" t="s">
        <v>1393</v>
      </c>
      <c r="B27" s="3" t="s">
        <v>1038</v>
      </c>
      <c r="C27" s="427">
        <f ca="1">IF(acid_day=0,0,MAX(min_chem_flow,acid_day/24*(1+pump_safety_factor)/(acid_mpumps-NRD_acid_mpumps)))</f>
        <v>5.011805289372874</v>
      </c>
      <c r="D27" s="886" t="s">
        <v>1040</v>
      </c>
    </row>
    <row r="28" spans="1:4">
      <c r="A28" s="4" t="s">
        <v>1042</v>
      </c>
      <c r="B28" s="3" t="s">
        <v>1044</v>
      </c>
      <c r="C28" s="86">
        <f>IF(anti_day=0,0,ROUNDUP(anti_day/24*(1+pump_safety_factor)/max_cm_pump_size,0)+NRD_anti_mpumps)</f>
        <v>2</v>
      </c>
    </row>
    <row r="29" spans="1:4">
      <c r="A29" t="s">
        <v>1037</v>
      </c>
      <c r="B29" s="3" t="s">
        <v>1039</v>
      </c>
      <c r="C29" s="427">
        <f>IF(anti_day=0,0,MAX(min_chem_flow,anti_day/24*(1+pump_safety_factor)/(anti_mpumps-NRD_anti_mpumps)))</f>
        <v>0.46380832665161215</v>
      </c>
      <c r="D29" s="886" t="s">
        <v>1040</v>
      </c>
    </row>
    <row r="31" spans="1:4">
      <c r="A31" t="s">
        <v>1683</v>
      </c>
      <c r="B31" s="3" t="s">
        <v>5036</v>
      </c>
      <c r="C31" s="77">
        <f>VLOOKUP(10^6, cart_cost_cl,1)-0.001</f>
        <v>4.32</v>
      </c>
      <c r="D31" s="886" t="s">
        <v>1093</v>
      </c>
    </row>
    <row r="32" spans="1:4">
      <c r="A32" t="s">
        <v>4118</v>
      </c>
      <c r="B32" s="3" t="s">
        <v>4116</v>
      </c>
      <c r="C32" s="77">
        <f>MAX(ROUNDUP(design_inflow/flow_per_cart,0),IF(design_flow&gt;=1,min_cart,0))</f>
        <v>2</v>
      </c>
    </row>
    <row r="33" spans="1:5">
      <c r="A33" t="s">
        <v>4119</v>
      </c>
      <c r="B33" s="3" t="s">
        <v>4117</v>
      </c>
      <c r="C33" s="77">
        <f>init_NRD_cart+ROUNDDOWN(design_inflow/addl_redund_cart_per_flow,0)</f>
        <v>1</v>
      </c>
    </row>
    <row r="34" spans="1:5">
      <c r="A34" t="s">
        <v>4115</v>
      </c>
      <c r="B34" s="3" t="s">
        <v>4106</v>
      </c>
      <c r="C34" s="77">
        <f>active_filters+NRD_filters</f>
        <v>3</v>
      </c>
    </row>
    <row r="35" spans="1:5">
      <c r="A35" t="s">
        <v>4107</v>
      </c>
      <c r="B35" s="3" t="s">
        <v>4108</v>
      </c>
      <c r="C35" s="209">
        <f>design_inflow/active_filters</f>
        <v>1.423680235285524</v>
      </c>
      <c r="D35" s="886" t="s">
        <v>1093</v>
      </c>
    </row>
    <row r="36" spans="1:5">
      <c r="A36" t="s">
        <v>2410</v>
      </c>
      <c r="B36" s="3" t="s">
        <v>2413</v>
      </c>
      <c r="C36" s="100">
        <f>VLOOKUP(filter_size,cart_dim_table_cl,5)</f>
        <v>3.5</v>
      </c>
      <c r="D36" s="886" t="s">
        <v>3065</v>
      </c>
    </row>
    <row r="37" spans="1:5">
      <c r="A37" t="s">
        <v>2411</v>
      </c>
      <c r="B37" s="3" t="s">
        <v>2414</v>
      </c>
      <c r="C37" s="100">
        <f>VLOOKUP(filter_size,cart_dim_table_cl,6)</f>
        <v>3.5</v>
      </c>
      <c r="D37" s="886" t="s">
        <v>3065</v>
      </c>
    </row>
    <row r="38" spans="1:5">
      <c r="A38" t="s">
        <v>2412</v>
      </c>
      <c r="B38" s="3" t="s">
        <v>2415</v>
      </c>
      <c r="C38" s="230">
        <f>VLOOKUP(filter_size,cart_dim_table_cl,7)</f>
        <v>8</v>
      </c>
      <c r="D38" s="886" t="s">
        <v>2416</v>
      </c>
    </row>
    <row r="40" spans="1:5">
      <c r="A40" s="137" t="s">
        <v>4974</v>
      </c>
      <c r="B40" s="597" t="s">
        <v>4975</v>
      </c>
      <c r="C40" s="746">
        <f ca="1">IF(pretreat_acid=0,0,acid_dose*8.34*design_inflow/acid_density)</f>
        <v>96.226661555959168</v>
      </c>
      <c r="D40" s="238" t="s">
        <v>1970</v>
      </c>
    </row>
    <row r="41" spans="1:5">
      <c r="A41" s="14" t="s">
        <v>4976</v>
      </c>
      <c r="B41" s="31" t="s">
        <v>4977</v>
      </c>
      <c r="C41" s="746">
        <f ca="1">IF(acid_day_tank_vol_needed&lt;day_tank_needed,0,ROUNDUP(acid_day_tank_vol_needed/max_chem_tank_size_noSS,0))</f>
        <v>1</v>
      </c>
      <c r="D41" s="238" t="s">
        <v>2192</v>
      </c>
    </row>
    <row r="42" spans="1:5">
      <c r="A42" s="14" t="s">
        <v>4978</v>
      </c>
      <c r="B42" s="31" t="s">
        <v>4979</v>
      </c>
      <c r="C42" s="746">
        <f ca="1">IF(acid_day_tanks=0,0,ROUNDUP(acid_day_tank_vol_needed/acid_day_tanks,0))</f>
        <v>97</v>
      </c>
      <c r="D42" s="238" t="s">
        <v>1970</v>
      </c>
    </row>
    <row r="43" spans="1:5">
      <c r="A43" s="137" t="s">
        <v>4980</v>
      </c>
      <c r="B43" s="597" t="s">
        <v>4981</v>
      </c>
      <c r="C43" s="746">
        <f>IF(use_antiscalant&gt;1,anti_dose*8.34*design_inflow/anti_density,0)</f>
        <v>8.9051198717109532</v>
      </c>
      <c r="D43" s="238" t="s">
        <v>1970</v>
      </c>
    </row>
    <row r="44" spans="1:5">
      <c r="A44" s="14" t="s">
        <v>4982</v>
      </c>
      <c r="B44" s="31" t="s">
        <v>4983</v>
      </c>
      <c r="C44" s="746">
        <f>IF(anti_day_tank_vol_needed&lt;day_tank_needed,0,ROUNDUP(anti_day_tank_vol_needed/max_chem_tank_size,0))</f>
        <v>1</v>
      </c>
      <c r="D44" s="238" t="s">
        <v>2192</v>
      </c>
    </row>
    <row r="45" spans="1:5">
      <c r="A45" s="14" t="s">
        <v>4984</v>
      </c>
      <c r="B45" s="31" t="s">
        <v>4985</v>
      </c>
      <c r="C45" s="746">
        <f>IF(anti_day_tanks=0,0,ROUNDUP(anti_day_tank_vol_needed/anti_day_tanks,0))</f>
        <v>9</v>
      </c>
      <c r="D45" s="238" t="s">
        <v>1970</v>
      </c>
    </row>
    <row r="47" spans="1:5">
      <c r="A47" s="32" t="s">
        <v>5413</v>
      </c>
      <c r="B47" s="743"/>
      <c r="C47" s="747"/>
      <c r="D47" s="238"/>
      <c r="E47" s="7" t="s">
        <v>4990</v>
      </c>
    </row>
    <row r="48" spans="1:5">
      <c r="A48" s="14" t="s">
        <v>4986</v>
      </c>
      <c r="B48" s="743" t="s">
        <v>4987</v>
      </c>
      <c r="C48" s="747">
        <f>MAX(VLOOKUP(10^6,port_mix_cost_cl,1)-0.1,VLOOKUP(10^6,mount_mix_cost_cl,1)-0.1,VLOOKUP(10^6,imp_mix_cost_cl,1)-0.1)</f>
        <v>30</v>
      </c>
      <c r="D48" s="238" t="s">
        <v>80</v>
      </c>
    </row>
    <row r="49" spans="1:5">
      <c r="A49" s="14" t="s">
        <v>4988</v>
      </c>
      <c r="B49" s="31" t="s">
        <v>4989</v>
      </c>
      <c r="C49" s="586">
        <f>IF(AND(include_cmix=1,anti_tanks&lt;&gt;0),ROUNDUP(anti_tank_size/1000*cmix_hp_per/cmix_hp_max,0),0)</f>
        <v>0</v>
      </c>
      <c r="D49" s="238" t="s">
        <v>2192</v>
      </c>
    </row>
    <row r="50" spans="1:5">
      <c r="A50" s="14" t="s">
        <v>4991</v>
      </c>
      <c r="B50" s="31" t="s">
        <v>4992</v>
      </c>
      <c r="C50" s="586">
        <f>anti_tanks*cmix_per_tank</f>
        <v>0</v>
      </c>
      <c r="D50" s="238" t="s">
        <v>2192</v>
      </c>
    </row>
    <row r="51" spans="1:5">
      <c r="A51" s="14" t="s">
        <v>4993</v>
      </c>
      <c r="B51" s="31" t="s">
        <v>4994</v>
      </c>
      <c r="C51" s="748">
        <f>IF(cmixers&lt;&gt;0,MAX(min_cmix_hp,anti_tank_size/1000*cmix_hp_per/cmix_per_tank),0)</f>
        <v>0</v>
      </c>
      <c r="D51" s="238" t="s">
        <v>80</v>
      </c>
    </row>
    <row r="52" spans="1:5">
      <c r="A52" s="14" t="s">
        <v>4995</v>
      </c>
      <c r="B52" s="31" t="s">
        <v>4996</v>
      </c>
      <c r="C52" s="586">
        <f>IF(AND(include_cmix=1,anti_day_tanks&lt;&gt;0),ROUNDUP(anti_day_tank_vol/1000*cmix_hp_per/cmix_hp_max,0),0)</f>
        <v>0</v>
      </c>
      <c r="D52" s="238" t="s">
        <v>2192</v>
      </c>
    </row>
    <row r="53" spans="1:5">
      <c r="A53" s="14" t="s">
        <v>4997</v>
      </c>
      <c r="B53" s="31" t="s">
        <v>4998</v>
      </c>
      <c r="C53" s="586">
        <f>anti_day_tanks*dmix_per_tank</f>
        <v>0</v>
      </c>
      <c r="D53" s="238" t="s">
        <v>2192</v>
      </c>
    </row>
    <row r="54" spans="1:5">
      <c r="A54" s="14" t="s">
        <v>4999</v>
      </c>
      <c r="B54" s="31" t="s">
        <v>5000</v>
      </c>
      <c r="C54" s="749">
        <f>IF(dmixers&lt;&gt;0,MAX(min_cmix_hp,anti_day_tank_vol/1000*cmix_hp_per/dmix_per_tank),0)</f>
        <v>0</v>
      </c>
      <c r="D54" s="238" t="s">
        <v>80</v>
      </c>
    </row>
    <row r="56" spans="1:5">
      <c r="A56" s="881" t="s">
        <v>5208</v>
      </c>
      <c r="B56" s="882"/>
      <c r="C56" s="882"/>
      <c r="D56" s="882"/>
      <c r="E56" s="813" t="s">
        <v>5209</v>
      </c>
    </row>
    <row r="57" spans="1:5">
      <c r="A57" s="882" t="s">
        <v>5216</v>
      </c>
      <c r="B57" s="882"/>
      <c r="C57" s="887">
        <f ca="1">IF(pretreat_acid=2,init_acid_lbs,0)</f>
        <v>39359.783829557084</v>
      </c>
      <c r="D57" s="882" t="s">
        <v>4312</v>
      </c>
      <c r="E57" s="813"/>
    </row>
    <row r="58" spans="1:5">
      <c r="A58" s="882" t="s">
        <v>5202</v>
      </c>
      <c r="B58" s="882"/>
      <c r="C58" s="883">
        <f>VLOOKUP("Sulfuric Acid - Large Qty",chem_break_table_cl,2,FALSE)</f>
        <v>28427.723999999998</v>
      </c>
      <c r="D58" s="882" t="s">
        <v>4312</v>
      </c>
      <c r="E58" s="813" t="s">
        <v>5203</v>
      </c>
    </row>
    <row r="59" spans="1:5">
      <c r="A59" s="882" t="s">
        <v>5204</v>
      </c>
      <c r="B59" s="882"/>
      <c r="C59" s="883">
        <f>VLOOKUP("Sulfuric Acid - Mid Qty",chem_break_table_cl,2,FALSE)</f>
        <v>28427.723999999998</v>
      </c>
      <c r="D59" s="882" t="s">
        <v>4312</v>
      </c>
      <c r="E59" s="813" t="s">
        <v>5203</v>
      </c>
    </row>
    <row r="60" spans="1:5">
      <c r="A60" s="882" t="s">
        <v>5205</v>
      </c>
      <c r="B60" s="882"/>
      <c r="C60" s="883">
        <f>VLOOKUP("Sulfuric Acid - Small Qty",chem_break_table_cl,2,FALSE)</f>
        <v>0</v>
      </c>
      <c r="D60" s="882" t="s">
        <v>4312</v>
      </c>
      <c r="E60" s="813" t="s">
        <v>5203</v>
      </c>
    </row>
    <row r="61" spans="1:5">
      <c r="A61" s="882" t="s">
        <v>5206</v>
      </c>
      <c r="B61" s="884" t="s">
        <v>5218</v>
      </c>
      <c r="C61" s="882" t="str">
        <f ca="1">IF(AND(ISNA(C58),ISNA(C59),ISNA(C60)),"",IF(C57&gt;=C58," - Large Qty",IF(C57&gt;=C59," - Mid Qty"," - Small Qty")))</f>
        <v xml:space="preserve"> - Large Qty</v>
      </c>
      <c r="D61" s="882"/>
      <c r="E61" s="813" t="s">
        <v>5207</v>
      </c>
    </row>
    <row r="63" spans="1:5">
      <c r="A63" s="881" t="s">
        <v>5217</v>
      </c>
      <c r="B63" s="882"/>
      <c r="C63" s="882"/>
      <c r="D63" s="882"/>
      <c r="E63" s="882"/>
    </row>
    <row r="64" spans="1:5">
      <c r="A64" s="882" t="s">
        <v>5202</v>
      </c>
      <c r="B64" s="882"/>
      <c r="C64" s="883" t="e">
        <f>VLOOKUP(CHOOSE(use_antiscalant,"","Antiscalant - Basic","Antiscalant - Premium")&amp;" - Large Qty",chem_break_table_cl,2,FALSE)</f>
        <v>#N/A</v>
      </c>
      <c r="D64" s="882" t="s">
        <v>2192</v>
      </c>
      <c r="E64" s="813" t="s">
        <v>5203</v>
      </c>
    </row>
    <row r="65" spans="1:5">
      <c r="A65" s="882" t="s">
        <v>5204</v>
      </c>
      <c r="B65" s="882"/>
      <c r="C65" s="883" t="e">
        <f>VLOOKUP(CHOOSE(use_antiscalant,"","Antiscalant - Basic","Antiscalant - Premium")&amp;" - Mid Qty",chem_break_table_cl,2,FALSE)</f>
        <v>#N/A</v>
      </c>
      <c r="D65" s="882" t="s">
        <v>2192</v>
      </c>
      <c r="E65" s="813" t="s">
        <v>5203</v>
      </c>
    </row>
    <row r="66" spans="1:5">
      <c r="A66" s="882" t="s">
        <v>5205</v>
      </c>
      <c r="B66" s="882"/>
      <c r="C66" s="883" t="e">
        <f>VLOOKUP(CHOOSE(use_antiscalant,"","Antiscalant - Basic","Antiscalant - Premium")&amp;" - Small Qty",chem_break_table_cl,2,FALSE)</f>
        <v>#N/A</v>
      </c>
      <c r="D66" s="882" t="s">
        <v>2192</v>
      </c>
      <c r="E66" s="813" t="s">
        <v>5203</v>
      </c>
    </row>
    <row r="67" spans="1:5">
      <c r="A67" s="882" t="s">
        <v>5206</v>
      </c>
      <c r="B67" s="884" t="s">
        <v>5219</v>
      </c>
      <c r="C67" s="882" t="str">
        <f>IF(AND(ISNA(C64),ISNA(C65),ISNA(C66)),"",IF(init_anti_lbs&gt;=C64," - Large Qty",IF(init_anti_lbs&gt;=C65," - Mid Qty"," - Small Qty")))</f>
        <v/>
      </c>
      <c r="D67" s="882"/>
      <c r="E67" s="813" t="s">
        <v>5207</v>
      </c>
    </row>
    <row r="69" spans="1:5">
      <c r="A69" s="32" t="s">
        <v>5322</v>
      </c>
      <c r="B69" s="14"/>
    </row>
    <row r="70" spans="1:5">
      <c r="A70" s="238" t="s">
        <v>5314</v>
      </c>
      <c r="B70" s="31" t="s">
        <v>5324</v>
      </c>
      <c r="C70" s="77">
        <f ca="1">MAX(acid_tanks*acid_tank_size*sec_cont_pct_of_total,acid_tank_size*sec_cont_pct_of_largest)/7.48</f>
        <v>424.55882352941177</v>
      </c>
      <c r="D70" s="238" t="s">
        <v>5358</v>
      </c>
      <c r="E70" s="813" t="s">
        <v>5359</v>
      </c>
    </row>
    <row r="71" spans="1:5">
      <c r="A71" s="238" t="s">
        <v>5315</v>
      </c>
      <c r="B71" s="31" t="s">
        <v>5325</v>
      </c>
      <c r="C71" s="77">
        <f ca="1">IF(acid_tanks=0,0,acid_tank_fp-acid_tanks*PI()*(acid_tank_diam/2)^2)</f>
        <v>309.06692759645779</v>
      </c>
      <c r="D71" s="238" t="s">
        <v>4310</v>
      </c>
      <c r="E71" s="813" t="s">
        <v>5360</v>
      </c>
    </row>
    <row r="72" spans="1:5">
      <c r="A72" s="238" t="s">
        <v>5316</v>
      </c>
      <c r="B72" s="31" t="s">
        <v>5326</v>
      </c>
      <c r="C72" s="77">
        <f ca="1">IF(acid_tanks=0,0,acid_st_cont_volume/acid_st_cont_fp+sec_cont_freeboard/12)</f>
        <v>1.8736792442695431</v>
      </c>
      <c r="D72" s="238" t="s">
        <v>4111</v>
      </c>
      <c r="E72" s="14"/>
    </row>
    <row r="73" spans="1:5">
      <c r="A73" s="238" t="s">
        <v>5317</v>
      </c>
      <c r="B73" s="31" t="s">
        <v>5327</v>
      </c>
      <c r="C73" s="77">
        <f ca="1">IF(acid_tanks=0,0,MIN(sec_cont_max_thick,acid_st_curb_height))</f>
        <v>1</v>
      </c>
      <c r="D73" s="238" t="s">
        <v>4111</v>
      </c>
      <c r="E73" s="14"/>
    </row>
    <row r="74" spans="1:5">
      <c r="A74" s="238" t="s">
        <v>5318</v>
      </c>
      <c r="B74" s="31" t="s">
        <v>5328</v>
      </c>
      <c r="C74" s="77">
        <f ca="1">IF(acid_tanks=0,0,acid_tanks*acid_tank_diam+2*space_at+(acid_tanks-1)*space_at+2*acid_st_curb_thick)</f>
        <v>20.5</v>
      </c>
      <c r="D74" s="238" t="s">
        <v>4111</v>
      </c>
      <c r="E74" s="14"/>
    </row>
    <row r="75" spans="1:5">
      <c r="A75" s="238" t="s">
        <v>5319</v>
      </c>
      <c r="B75" s="31" t="s">
        <v>5329</v>
      </c>
      <c r="C75" s="77">
        <f ca="1">IF(acid_tanks=0,0,acid_tank_diam+2*space_at)</f>
        <v>18.5</v>
      </c>
      <c r="D75" s="238" t="s">
        <v>4111</v>
      </c>
      <c r="E75" s="14"/>
    </row>
    <row r="76" spans="1:5">
      <c r="A76" s="238" t="s">
        <v>5320</v>
      </c>
      <c r="B76" s="31" t="s">
        <v>5330</v>
      </c>
      <c r="C76" s="77">
        <f ca="1">IF(acid_tanks=0,0,ROUNDUP((acid_st_curb_len_long*2+acid_st_curb_len_short*2)*acid_st_curb_height*acid_st_curb_thick/27,0))</f>
        <v>6</v>
      </c>
      <c r="D76" s="238" t="s">
        <v>2349</v>
      </c>
      <c r="E76" s="813" t="s">
        <v>5361</v>
      </c>
    </row>
    <row r="77" spans="1:5">
      <c r="A77" s="238" t="s">
        <v>5321</v>
      </c>
      <c r="B77" s="31" t="s">
        <v>5331</v>
      </c>
      <c r="C77" s="77">
        <f ca="1">IF(acid_tanks=0,0,ROUNDUP((acid_tank_fp+2*(acid_st_curb_len_long-2*acid_st_curb_thick)*acid_st_curb_height+2*acid_st_curb_len_short*acid_st_curb_height)/sec_cont_coating_cvg,0))</f>
        <v>4</v>
      </c>
      <c r="D77" s="238" t="s">
        <v>1970</v>
      </c>
      <c r="E77" s="813" t="s">
        <v>5362</v>
      </c>
    </row>
    <row r="78" spans="1:5">
      <c r="A78" s="14"/>
      <c r="B78" s="14"/>
    </row>
    <row r="79" spans="1:5">
      <c r="A79" s="32" t="s">
        <v>5323</v>
      </c>
      <c r="B79" s="14"/>
    </row>
    <row r="80" spans="1:5">
      <c r="A80" s="238" t="s">
        <v>5314</v>
      </c>
      <c r="B80" s="31" t="s">
        <v>5332</v>
      </c>
      <c r="C80" s="77">
        <f ca="1">MAX(acid_day_tanks*acid_day_tank_vol*sec_cont_pct_of_total,acid_day_tank_vol*sec_cont_pct_of_largest)/7.48</f>
        <v>14.26470588235294</v>
      </c>
      <c r="D80" s="238" t="s">
        <v>5358</v>
      </c>
      <c r="E80" s="813" t="s">
        <v>5359</v>
      </c>
    </row>
    <row r="81" spans="1:5">
      <c r="A81" s="238" t="s">
        <v>5315</v>
      </c>
      <c r="B81" s="31" t="s">
        <v>5333</v>
      </c>
      <c r="C81" s="77">
        <f ca="1">IF(acid_day_tanks=0,0,acid_day_tank_fp-acid_day_tanks*PI()*(acid_dt_diam/2)^2)</f>
        <v>52.091261478765951</v>
      </c>
      <c r="D81" s="238" t="s">
        <v>4310</v>
      </c>
      <c r="E81" s="813" t="s">
        <v>5360</v>
      </c>
    </row>
    <row r="82" spans="1:5">
      <c r="A82" s="238" t="s">
        <v>5316</v>
      </c>
      <c r="B82" s="31" t="s">
        <v>5334</v>
      </c>
      <c r="C82" s="77">
        <f ca="1">IF(acid_day_tanks=0,0,acid_dt_cont_volume/acid_dt_cont_fp+sec_cont_freeboard/12)</f>
        <v>0.7738406688071412</v>
      </c>
      <c r="D82" s="238" t="s">
        <v>4111</v>
      </c>
      <c r="E82" s="14"/>
    </row>
    <row r="83" spans="1:5">
      <c r="A83" s="238" t="s">
        <v>5317</v>
      </c>
      <c r="B83" s="31" t="s">
        <v>5335</v>
      </c>
      <c r="C83" s="77">
        <f ca="1">IF(acid_day_tanks=0,0,MIN(sec_cont_max_thick,acid_dt_curb_height))</f>
        <v>0.7738406688071412</v>
      </c>
      <c r="D83" s="238" t="s">
        <v>4111</v>
      </c>
      <c r="E83" s="14"/>
    </row>
    <row r="84" spans="1:5">
      <c r="A84" s="238" t="s">
        <v>5318</v>
      </c>
      <c r="B84" s="31" t="s">
        <v>5336</v>
      </c>
      <c r="C84" s="77">
        <f ca="1">IF(acid_day_tanks=0,0,acid_day_tanks*acid_dt_diam+2*space_acid_dt+(acid_day_tanks-1)*space_acid_dt+2*acid_dt_curb_thick)</f>
        <v>9.0476813376142822</v>
      </c>
      <c r="D84" s="238" t="s">
        <v>4111</v>
      </c>
      <c r="E84" s="14"/>
    </row>
    <row r="85" spans="1:5">
      <c r="A85" s="238" t="s">
        <v>5319</v>
      </c>
      <c r="B85" s="31" t="s">
        <v>5337</v>
      </c>
      <c r="C85" s="77">
        <f ca="1">IF(acid_day_tanks=0,0,acid_dt_diam+2*space_acid_dt)</f>
        <v>7.5</v>
      </c>
      <c r="D85" s="238" t="s">
        <v>4111</v>
      </c>
      <c r="E85" s="14"/>
    </row>
    <row r="86" spans="1:5">
      <c r="A86" s="238" t="s">
        <v>5320</v>
      </c>
      <c r="B86" s="31" t="s">
        <v>5338</v>
      </c>
      <c r="C86" s="77">
        <f ca="1">IF(acid_day_tanks=0,0,ROUNDUP((acid_dt_curb_len_long*2+acid_dt_curb_len_short*2)*acid_dt_curb_height*acid_dt_curb_thick/27,0))</f>
        <v>1</v>
      </c>
      <c r="D86" s="238" t="s">
        <v>2349</v>
      </c>
      <c r="E86" s="813" t="s">
        <v>5361</v>
      </c>
    </row>
    <row r="87" spans="1:5">
      <c r="A87" s="238" t="s">
        <v>5321</v>
      </c>
      <c r="B87" s="31" t="s">
        <v>5339</v>
      </c>
      <c r="C87" s="77">
        <f ca="1">IF(acid_day_tanks=0,0,ROUNDUP((acid_day_tank_fp+2*(acid_dt_curb_len_long-2*acid_dt_curb_thick)*acid_dt_curb_height+2*acid_dt_curb_len_short*acid_dt_curb_height)/sec_cont_coating_cvg,0))</f>
        <v>1</v>
      </c>
      <c r="D87" s="238" t="s">
        <v>1970</v>
      </c>
      <c r="E87" s="813" t="s">
        <v>5362</v>
      </c>
    </row>
    <row r="89" spans="1:5">
      <c r="A89" s="32" t="s">
        <v>5340</v>
      </c>
      <c r="B89" s="14"/>
    </row>
    <row r="90" spans="1:5">
      <c r="A90" s="238" t="s">
        <v>5314</v>
      </c>
      <c r="B90" s="31" t="s">
        <v>5342</v>
      </c>
      <c r="C90" s="77">
        <f>MAX(anti_tanks*anti_tank_size*sec_cont_pct_of_total,anti_tank_size*sec_cont_pct_of_largest)/7.48</f>
        <v>39.411764705882355</v>
      </c>
      <c r="D90" s="238" t="s">
        <v>5358</v>
      </c>
      <c r="E90" s="813" t="s">
        <v>5359</v>
      </c>
    </row>
    <row r="91" spans="1:5">
      <c r="A91" s="238" t="s">
        <v>5315</v>
      </c>
      <c r="B91" s="31" t="s">
        <v>5343</v>
      </c>
      <c r="C91" s="77">
        <f>IF(anti_tanks=0,0,anti_tank_fp-anti_tanks*PI()*(anti_tank_diam/2)^2)</f>
        <v>73.931416529422961</v>
      </c>
      <c r="D91" s="238" t="s">
        <v>4310</v>
      </c>
      <c r="E91" s="813" t="s">
        <v>5360</v>
      </c>
    </row>
    <row r="92" spans="1:5">
      <c r="A92" s="238" t="s">
        <v>5316</v>
      </c>
      <c r="B92" s="31" t="s">
        <v>5344</v>
      </c>
      <c r="C92" s="77">
        <f>IF(anti_tanks=0,0,anti_st_cont_volume/anti_st_cont_fp+sec_cont_freeboard/12)</f>
        <v>1.0330854805168976</v>
      </c>
      <c r="D92" s="238" t="s">
        <v>4111</v>
      </c>
      <c r="E92" s="14"/>
    </row>
    <row r="93" spans="1:5">
      <c r="A93" s="238" t="s">
        <v>5317</v>
      </c>
      <c r="B93" s="31" t="s">
        <v>5345</v>
      </c>
      <c r="C93" s="77">
        <f>IF(anti_tanks=0,0,MIN(sec_cont_max_thick,anti_st_curb_height))</f>
        <v>1</v>
      </c>
      <c r="D93" s="238" t="s">
        <v>4111</v>
      </c>
      <c r="E93" s="14"/>
    </row>
    <row r="94" spans="1:5">
      <c r="A94" s="238" t="s">
        <v>5318</v>
      </c>
      <c r="B94" s="31" t="s">
        <v>5346</v>
      </c>
      <c r="C94" s="77">
        <f>IF(anti_tanks=0,0,anti_tanks*anti_tank_diam+2*space_anti+(anti_tanks-1)*space_anti+2*anti_st_curb_thick)</f>
        <v>11</v>
      </c>
      <c r="D94" s="238" t="s">
        <v>4111</v>
      </c>
      <c r="E94" s="14"/>
    </row>
    <row r="95" spans="1:5">
      <c r="A95" s="238" t="s">
        <v>5319</v>
      </c>
      <c r="B95" s="31" t="s">
        <v>5347</v>
      </c>
      <c r="C95" s="77">
        <f>IF(anti_tanks=0,0,anti_tank_diam+2*space_anti)</f>
        <v>9</v>
      </c>
      <c r="D95" s="238" t="s">
        <v>4111</v>
      </c>
      <c r="E95" s="14"/>
    </row>
    <row r="96" spans="1:5">
      <c r="A96" s="238" t="s">
        <v>5320</v>
      </c>
      <c r="B96" s="31" t="s">
        <v>5348</v>
      </c>
      <c r="C96" s="77">
        <f>IF(anti_tanks=0,0,ROUNDUP((anti_st_curb_len_long*2+anti_st_curb_len_short*2)*anti_st_curb_height*anti_st_curb_thick/27,0))</f>
        <v>2</v>
      </c>
      <c r="D96" s="238" t="s">
        <v>2349</v>
      </c>
      <c r="E96" s="813" t="s">
        <v>5361</v>
      </c>
    </row>
    <row r="97" spans="1:5">
      <c r="A97" s="238" t="s">
        <v>5321</v>
      </c>
      <c r="B97" s="31" t="s">
        <v>5349</v>
      </c>
      <c r="C97" s="77">
        <f>IF(anti_tanks=0,0,ROUNDUP((anti_tank_fp+2*(anti_st_curb_len_long-2*anti_st_curb_thick)*anti_st_curb_height+2*anti_st_curb_len_short*anti_st_curb_height)/sec_cont_coating_cvg,0))</f>
        <v>1</v>
      </c>
      <c r="D97" s="238" t="s">
        <v>1970</v>
      </c>
      <c r="E97" s="813" t="s">
        <v>5362</v>
      </c>
    </row>
    <row r="98" spans="1:5">
      <c r="A98" s="14"/>
      <c r="B98" s="14"/>
    </row>
    <row r="99" spans="1:5">
      <c r="A99" s="32" t="s">
        <v>5341</v>
      </c>
      <c r="B99" s="14"/>
    </row>
    <row r="100" spans="1:5">
      <c r="A100" s="238" t="s">
        <v>5314</v>
      </c>
      <c r="B100" s="31" t="s">
        <v>5350</v>
      </c>
      <c r="C100" s="77">
        <f>MAX(anti_day_tanks*anti_day_tank_vol*sec_cont_pct_of_total,anti_day_tank_vol*sec_cont_pct_of_largest)/7.48</f>
        <v>1.3235294117647058</v>
      </c>
      <c r="D100" s="238" t="s">
        <v>5358</v>
      </c>
      <c r="E100" s="813" t="s">
        <v>5359</v>
      </c>
    </row>
    <row r="101" spans="1:5">
      <c r="A101" s="238" t="s">
        <v>5315</v>
      </c>
      <c r="B101" s="31" t="s">
        <v>5351</v>
      </c>
      <c r="C101" s="77">
        <f>IF(anti_day_tanks=0,0,anti_day_tank_fp-anti_day_tanks*PI()*(anti_dt_diam/2)^2)</f>
        <v>8.2146018366025508</v>
      </c>
      <c r="D101" s="238" t="s">
        <v>4310</v>
      </c>
      <c r="E101" s="813" t="s">
        <v>5360</v>
      </c>
    </row>
    <row r="102" spans="1:5">
      <c r="A102" s="238" t="s">
        <v>5316</v>
      </c>
      <c r="B102" s="31" t="s">
        <v>5352</v>
      </c>
      <c r="C102" s="77">
        <f>IF(anti_day_tanks=0,0,anti_dt_cont_volume/anti_dt_cont_fp+sec_cont_freeboard/12)</f>
        <v>0.66111911911145049</v>
      </c>
      <c r="D102" s="238" t="s">
        <v>4111</v>
      </c>
      <c r="E102" s="14"/>
    </row>
    <row r="103" spans="1:5">
      <c r="A103" s="238" t="s">
        <v>5317</v>
      </c>
      <c r="B103" s="31" t="s">
        <v>5353</v>
      </c>
      <c r="C103" s="77">
        <f>IF(anti_day_tanks=0,0,MIN(sec_cont_max_thick,anti_dt_curb_height))</f>
        <v>0.66111911911145049</v>
      </c>
      <c r="D103" s="238" t="s">
        <v>4111</v>
      </c>
      <c r="E103" s="14"/>
    </row>
    <row r="104" spans="1:5">
      <c r="A104" s="238" t="s">
        <v>5318</v>
      </c>
      <c r="B104" s="31" t="s">
        <v>5354</v>
      </c>
      <c r="C104" s="77">
        <f>IF(anti_day_tanks=0,0,anti_day_tanks*anti_dt_diam+2*space_anti_dt+(anti_day_tanks-1)*space_anti_dt+2*anti_dt_curb_thick)</f>
        <v>4.3222382382229014</v>
      </c>
      <c r="D104" s="238" t="s">
        <v>4111</v>
      </c>
      <c r="E104" s="14"/>
    </row>
    <row r="105" spans="1:5">
      <c r="A105" s="238" t="s">
        <v>5319</v>
      </c>
      <c r="B105" s="31" t="s">
        <v>5355</v>
      </c>
      <c r="C105" s="77">
        <f>IF(anti_day_tanks=0,0,anti_dt_diam+2*space_anti_dt)</f>
        <v>3</v>
      </c>
      <c r="D105" s="238" t="s">
        <v>4111</v>
      </c>
      <c r="E105" s="14"/>
    </row>
    <row r="106" spans="1:5">
      <c r="A106" s="238" t="s">
        <v>5320</v>
      </c>
      <c r="B106" s="31" t="s">
        <v>5356</v>
      </c>
      <c r="C106" s="77">
        <f>IF(anti_day_tanks=0,0,ROUNDUP((anti_dt_curb_len_long*2+anti_dt_curb_len_short*2)*anti_dt_curb_height*anti_dt_curb_thick/27,0))</f>
        <v>1</v>
      </c>
      <c r="D106" s="238" t="s">
        <v>2349</v>
      </c>
      <c r="E106" s="813" t="s">
        <v>5361</v>
      </c>
    </row>
    <row r="107" spans="1:5">
      <c r="A107" s="238" t="s">
        <v>5321</v>
      </c>
      <c r="B107" s="31" t="s">
        <v>5357</v>
      </c>
      <c r="C107" s="77">
        <f>IF(anti_day_tanks=0,0,ROUNDUP((anti_day_tank_fp+2*(anti_dt_curb_len_long-2*anti_dt_curb_thick)*anti_dt_curb_height+2*anti_dt_curb_len_short*anti_dt_curb_height)/sec_cont_coating_cvg,0))</f>
        <v>1</v>
      </c>
      <c r="D107" s="238" t="s">
        <v>1970</v>
      </c>
      <c r="E107" s="813" t="s">
        <v>5362</v>
      </c>
    </row>
  </sheetData>
  <phoneticPr fontId="0" type="noConversion"/>
  <pageMargins left="0.75" right="0.75" top="1" bottom="1" header="0.5" footer="0.5"/>
  <pageSetup orientation="portrait" horizontalDpi="90" verticalDpi="9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E273"/>
  <sheetViews>
    <sheetView zoomScaleNormal="100" workbookViewId="0">
      <pane ySplit="3" topLeftCell="A181" activePane="bottomLeft" state="frozen"/>
      <selection pane="bottomLeft"/>
    </sheetView>
  </sheetViews>
  <sheetFormatPr baseColWidth="10" defaultColWidth="8.83203125" defaultRowHeight="13"/>
  <cols>
    <col min="1" max="1" width="40" bestFit="1" customWidth="1"/>
    <col min="2" max="2" width="22.5" style="3" bestFit="1" customWidth="1"/>
    <col min="3" max="3" width="12.5" style="77" bestFit="1" customWidth="1"/>
    <col min="5" max="5" width="9.1640625" style="70" customWidth="1"/>
  </cols>
  <sheetData>
    <row r="1" spans="1:5">
      <c r="A1" s="1" t="s">
        <v>5469</v>
      </c>
    </row>
    <row r="2" spans="1:5">
      <c r="A2" s="1"/>
    </row>
    <row r="3" spans="1:5">
      <c r="A3" s="235" t="s">
        <v>5172</v>
      </c>
      <c r="B3" s="236" t="s">
        <v>1989</v>
      </c>
      <c r="C3" s="237" t="s">
        <v>1990</v>
      </c>
      <c r="D3" s="236" t="s">
        <v>2961</v>
      </c>
      <c r="E3" s="236" t="s">
        <v>1991</v>
      </c>
    </row>
    <row r="4" spans="1:5">
      <c r="A4" s="4" t="s">
        <v>67</v>
      </c>
      <c r="B4" s="3" t="s">
        <v>3242</v>
      </c>
      <c r="C4" s="77">
        <f>T_feed+zeroC_in_K</f>
        <v>288.14999999999998</v>
      </c>
      <c r="D4" t="s">
        <v>920</v>
      </c>
    </row>
    <row r="5" spans="1:5">
      <c r="A5" s="4"/>
    </row>
    <row r="6" spans="1:5">
      <c r="A6" s="4" t="s">
        <v>4339</v>
      </c>
      <c r="B6" s="3" t="s">
        <v>1272</v>
      </c>
      <c r="C6" s="77">
        <v>6</v>
      </c>
      <c r="E6" s="70" t="s">
        <v>4142</v>
      </c>
    </row>
    <row r="7" spans="1:5">
      <c r="A7" s="4"/>
    </row>
    <row r="8" spans="1:5">
      <c r="A8" t="s">
        <v>3247</v>
      </c>
    </row>
    <row r="9" spans="1:5">
      <c r="A9" s="8" t="s">
        <v>3814</v>
      </c>
      <c r="B9" s="3" t="s">
        <v>3244</v>
      </c>
      <c r="C9" s="77">
        <f ca="1">OFFSET(water_table,water_index-1,1,1,1)</f>
        <v>275</v>
      </c>
      <c r="D9" t="s">
        <v>2263</v>
      </c>
      <c r="E9" s="70" t="s">
        <v>1599</v>
      </c>
    </row>
    <row r="10" spans="1:5">
      <c r="A10" s="8" t="s">
        <v>3816</v>
      </c>
      <c r="C10" s="77">
        <f ca="1">OFFSET(water_table,water_index-1,2,1,1)</f>
        <v>25</v>
      </c>
      <c r="D10" t="s">
        <v>2263</v>
      </c>
    </row>
    <row r="11" spans="1:5">
      <c r="A11" s="8" t="s">
        <v>72</v>
      </c>
      <c r="C11" s="77">
        <f ca="1">OFFSET(water_table,water_index-1,3,1,1)</f>
        <v>589</v>
      </c>
      <c r="D11" t="s">
        <v>2263</v>
      </c>
    </row>
    <row r="12" spans="1:5">
      <c r="A12" s="8" t="s">
        <v>3818</v>
      </c>
      <c r="C12" s="77">
        <f ca="1">OFFSET(water_table,water_index-1,4,1,1)</f>
        <v>3</v>
      </c>
      <c r="D12" t="s">
        <v>2263</v>
      </c>
    </row>
    <row r="13" spans="1:5">
      <c r="A13" s="8" t="s">
        <v>3253</v>
      </c>
      <c r="C13" s="77">
        <f ca="1">OFFSET(water_table,water_index-1,5,1,1)</f>
        <v>0.05</v>
      </c>
      <c r="D13" t="s">
        <v>2263</v>
      </c>
    </row>
    <row r="14" spans="1:5">
      <c r="A14" s="8" t="s">
        <v>3254</v>
      </c>
      <c r="C14" s="77">
        <f ca="1">OFFSET(water_table,water_index-1,6,1,1)</f>
        <v>1</v>
      </c>
      <c r="D14" t="s">
        <v>2263</v>
      </c>
    </row>
    <row r="15" spans="1:5">
      <c r="A15" s="8" t="s">
        <v>3817</v>
      </c>
      <c r="C15" s="77">
        <f ca="1">MAX(OFFSET(water_table,water_index-1,7,1,1),0.01)</f>
        <v>125</v>
      </c>
      <c r="D15" t="s">
        <v>2263</v>
      </c>
      <c r="E15" s="70" t="s">
        <v>1598</v>
      </c>
    </row>
    <row r="16" spans="1:5">
      <c r="A16" s="8" t="s">
        <v>3815</v>
      </c>
      <c r="C16" s="77">
        <v>0</v>
      </c>
      <c r="D16" t="s">
        <v>2263</v>
      </c>
      <c r="E16" s="70" t="s">
        <v>1600</v>
      </c>
    </row>
    <row r="17" spans="1:5">
      <c r="A17" s="8" t="s">
        <v>1542</v>
      </c>
      <c r="C17" s="77">
        <f ca="1">OFFSET(water_table,water_index-1,8,1,1)</f>
        <v>900</v>
      </c>
      <c r="D17" t="s">
        <v>2263</v>
      </c>
    </row>
    <row r="18" spans="1:5">
      <c r="A18" s="8" t="s">
        <v>3813</v>
      </c>
      <c r="C18" s="77">
        <f ca="1">OFFSET(water_table,water_index-1,9,1,1)</f>
        <v>673</v>
      </c>
      <c r="D18" t="s">
        <v>2263</v>
      </c>
    </row>
    <row r="19" spans="1:5">
      <c r="A19" s="8" t="s">
        <v>2930</v>
      </c>
      <c r="C19" s="77">
        <f ca="1">OFFSET(water_table,water_index-1,10,1,1)</f>
        <v>0.3</v>
      </c>
      <c r="D19" t="s">
        <v>2263</v>
      </c>
    </row>
    <row r="20" spans="1:5">
      <c r="A20" s="8" t="s">
        <v>1944</v>
      </c>
      <c r="C20" s="77">
        <f ca="1">OFFSET(water_table,water_index-1,11,1,1)</f>
        <v>5</v>
      </c>
      <c r="D20" t="s">
        <v>2263</v>
      </c>
    </row>
    <row r="21" spans="1:5">
      <c r="A21" s="8" t="s">
        <v>3243</v>
      </c>
      <c r="C21" s="77">
        <v>0</v>
      </c>
      <c r="D21" t="s">
        <v>2263</v>
      </c>
      <c r="E21" s="70" t="s">
        <v>1600</v>
      </c>
    </row>
    <row r="22" spans="1:5">
      <c r="A22" t="s">
        <v>2096</v>
      </c>
      <c r="B22" s="3" t="s">
        <v>3245</v>
      </c>
      <c r="C22" s="77">
        <f ca="1">OFFSET(water_table,water_index-1,12,1,1)</f>
        <v>8.1999999999999993</v>
      </c>
    </row>
    <row r="23" spans="1:5">
      <c r="A23" t="s">
        <v>125</v>
      </c>
      <c r="B23" s="3" t="s">
        <v>126</v>
      </c>
      <c r="C23" s="77">
        <f ca="1">IF(OFFSET(water_table,water_index-1,13,1,1)="GW",1,2)</f>
        <v>2</v>
      </c>
      <c r="E23" s="70" t="s">
        <v>127</v>
      </c>
    </row>
    <row r="24" spans="1:5">
      <c r="A24" t="s">
        <v>3812</v>
      </c>
      <c r="B24" s="3" t="s">
        <v>4337</v>
      </c>
      <c r="C24" s="77">
        <f ca="1">OFFSET(water_table,water_index-1,14,1,1)</f>
        <v>4.8</v>
      </c>
    </row>
    <row r="26" spans="1:5">
      <c r="A26" t="s">
        <v>3246</v>
      </c>
      <c r="C26" s="97"/>
    </row>
    <row r="27" spans="1:5">
      <c r="A27" s="8" t="s">
        <v>3814</v>
      </c>
      <c r="B27" s="3" t="s">
        <v>3248</v>
      </c>
      <c r="C27" s="100">
        <f t="array" ref="C27:C39" ca="1">feed_conc_I/ion_meq_weights</f>
        <v>13.722554890219561</v>
      </c>
      <c r="D27" t="s">
        <v>256</v>
      </c>
    </row>
    <row r="28" spans="1:5">
      <c r="A28" s="8" t="s">
        <v>3816</v>
      </c>
      <c r="C28" s="100">
        <f ca="1"/>
        <v>2.0571898786257972</v>
      </c>
      <c r="D28" t="s">
        <v>256</v>
      </c>
    </row>
    <row r="29" spans="1:5">
      <c r="A29" s="8" t="s">
        <v>72</v>
      </c>
      <c r="C29" s="100">
        <f ca="1"/>
        <v>25.619834710743802</v>
      </c>
      <c r="D29" t="s">
        <v>256</v>
      </c>
    </row>
    <row r="30" spans="1:5">
      <c r="A30" s="8" t="s">
        <v>3818</v>
      </c>
      <c r="C30" s="100">
        <f ca="1"/>
        <v>7.6730267532866131E-2</v>
      </c>
      <c r="D30" t="s">
        <v>256</v>
      </c>
    </row>
    <row r="31" spans="1:5">
      <c r="A31" s="8" t="s">
        <v>3253</v>
      </c>
      <c r="C31" s="100">
        <f ca="1"/>
        <v>7.2811999417504009E-4</v>
      </c>
      <c r="D31" t="s">
        <v>256</v>
      </c>
    </row>
    <row r="32" spans="1:5">
      <c r="A32" s="8" t="s">
        <v>3254</v>
      </c>
      <c r="C32" s="100">
        <f ca="1"/>
        <v>2.2825838849577722E-2</v>
      </c>
      <c r="D32" t="s">
        <v>256</v>
      </c>
    </row>
    <row r="33" spans="1:5">
      <c r="A33" s="8" t="s">
        <v>3817</v>
      </c>
      <c r="C33" s="100">
        <f ca="1"/>
        <v>2.0488444517292246</v>
      </c>
      <c r="D33" t="s">
        <v>256</v>
      </c>
    </row>
    <row r="34" spans="1:5">
      <c r="A34" s="8" t="s">
        <v>3815</v>
      </c>
      <c r="C34" s="100">
        <v>0</v>
      </c>
      <c r="D34" t="s">
        <v>256</v>
      </c>
    </row>
    <row r="35" spans="1:5">
      <c r="A35" s="8" t="s">
        <v>1542</v>
      </c>
      <c r="C35" s="100">
        <f ca="1"/>
        <v>25.38787023977433</v>
      </c>
      <c r="D35" t="s">
        <v>256</v>
      </c>
    </row>
    <row r="36" spans="1:5">
      <c r="A36" s="8" t="s">
        <v>3813</v>
      </c>
      <c r="C36" s="100">
        <f ca="1"/>
        <v>14.012075785967104</v>
      </c>
      <c r="D36" t="s">
        <v>256</v>
      </c>
    </row>
    <row r="37" spans="1:5">
      <c r="A37" s="8" t="s">
        <v>2930</v>
      </c>
      <c r="C37" s="100">
        <f ca="1"/>
        <v>1.5789473684210527E-2</v>
      </c>
      <c r="D37" t="s">
        <v>256</v>
      </c>
    </row>
    <row r="38" spans="1:5">
      <c r="A38" s="8" t="s">
        <v>1944</v>
      </c>
      <c r="C38" s="100">
        <f ca="1"/>
        <v>9.2592592592592587E-2</v>
      </c>
      <c r="D38" t="s">
        <v>256</v>
      </c>
    </row>
    <row r="39" spans="1:5">
      <c r="A39" s="8" t="s">
        <v>3243</v>
      </c>
      <c r="C39" s="100">
        <v>0</v>
      </c>
      <c r="D39" t="s">
        <v>256</v>
      </c>
    </row>
    <row r="41" spans="1:5">
      <c r="A41" s="32" t="s">
        <v>2785</v>
      </c>
      <c r="E41" s="70" t="s">
        <v>2498</v>
      </c>
    </row>
    <row r="42" spans="1:5">
      <c r="A42" s="14" t="s">
        <v>1109</v>
      </c>
      <c r="B42" s="3" t="s">
        <v>1110</v>
      </c>
      <c r="C42" s="103">
        <f ca="1">ionstrength(feed_conc_I_meq,ion_charge)</f>
        <v>5.648250167798103E-2</v>
      </c>
    </row>
    <row r="43" spans="1:5">
      <c r="A43" t="s">
        <v>3238</v>
      </c>
      <c r="B43" s="3" t="s">
        <v>313</v>
      </c>
      <c r="C43" s="100">
        <f>-0.007*(temp_K)+8.4454</f>
        <v>6.42835</v>
      </c>
    </row>
    <row r="44" spans="1:5">
      <c r="A44" t="s">
        <v>3239</v>
      </c>
      <c r="B44" s="3" t="s">
        <v>314</v>
      </c>
      <c r="C44" s="100">
        <f>-0.0101*(temp_K)+13.368</f>
        <v>10.457685000000001</v>
      </c>
    </row>
    <row r="45" spans="1:5">
      <c r="A45" t="s">
        <v>3240</v>
      </c>
      <c r="B45" s="3" t="s">
        <v>315</v>
      </c>
      <c r="C45" s="100">
        <f xml:space="preserve"> -(-171.9065 - 0.077993 * temp_K + 2839.319 / temp_K + 71.595 * LOG(temp_K) / LOG(10))</f>
        <v>8.4301731337103263</v>
      </c>
      <c r="E45" s="70" t="s">
        <v>2097</v>
      </c>
    </row>
    <row r="46" spans="1:5">
      <c r="A46" t="s">
        <v>3241</v>
      </c>
      <c r="B46" s="3" t="s">
        <v>316</v>
      </c>
      <c r="C46" s="100">
        <f>-0.0333*(temp_K)+23.955</f>
        <v>14.359604999999998</v>
      </c>
      <c r="E46" s="70" t="s">
        <v>2097</v>
      </c>
    </row>
    <row r="47" spans="1:5">
      <c r="A47" t="s">
        <v>1337</v>
      </c>
      <c r="B47" s="3" t="s">
        <v>1338</v>
      </c>
      <c r="C47" s="100">
        <f ca="1">SQRT(feed_ion_strength)/(1+1.4*SQRT(feed_ion_strength))</f>
        <v>0.17832676299629605</v>
      </c>
    </row>
    <row r="48" spans="1:5">
      <c r="A48" t="s">
        <v>305</v>
      </c>
      <c r="B48" s="3" t="s">
        <v>317</v>
      </c>
      <c r="C48" s="100">
        <f ca="1">pK1_uncorr_feed-0.5*feed_pK_corr</f>
        <v>6.3391866185018522</v>
      </c>
    </row>
    <row r="49" spans="1:4">
      <c r="A49" t="s">
        <v>2786</v>
      </c>
      <c r="B49" s="3" t="s">
        <v>318</v>
      </c>
      <c r="C49" s="100">
        <f ca="1">pK2_uncorr_feed-2*feed_pK_corr</f>
        <v>10.10103147400741</v>
      </c>
    </row>
    <row r="50" spans="1:4">
      <c r="A50" t="s">
        <v>306</v>
      </c>
      <c r="B50" s="3" t="s">
        <v>319</v>
      </c>
      <c r="C50" s="133">
        <f ca="1">10^(-pK1_feed)</f>
        <v>4.5794506315512295E-7</v>
      </c>
    </row>
    <row r="51" spans="1:4">
      <c r="A51" t="s">
        <v>307</v>
      </c>
      <c r="B51" s="3" t="s">
        <v>320</v>
      </c>
      <c r="C51" s="133">
        <f ca="1">10^(-pK2_feed)</f>
        <v>7.9244389873778601E-11</v>
      </c>
    </row>
    <row r="52" spans="1:4">
      <c r="A52" t="s">
        <v>308</v>
      </c>
      <c r="B52" s="3" t="s">
        <v>309</v>
      </c>
      <c r="C52" s="133">
        <f ca="1">10^-feed_pH</f>
        <v>6.3095734448019329E-9</v>
      </c>
    </row>
    <row r="54" spans="1:4">
      <c r="A54" t="s">
        <v>2142</v>
      </c>
      <c r="B54" s="3" t="s">
        <v>310</v>
      </c>
      <c r="C54" s="134">
        <f ca="1">1 / (H_feed / K1_feed + 1 + K2_feed / H_feed)</f>
        <v>0.97433845515258333</v>
      </c>
    </row>
    <row r="55" spans="1:4">
      <c r="A55" t="s">
        <v>2143</v>
      </c>
      <c r="B55" s="3" t="s">
        <v>312</v>
      </c>
      <c r="C55" s="134">
        <f ca="1">1 / (H_feed ^ 2 / (K1_feed * K2_feed) + H_feed / K2_feed + 1)</f>
        <v>1.2237096070691705E-2</v>
      </c>
    </row>
    <row r="56" spans="1:4">
      <c r="A56" t="s">
        <v>2144</v>
      </c>
      <c r="B56" s="3" t="s">
        <v>311</v>
      </c>
      <c r="C56" s="134">
        <f ca="1" xml:space="preserve"> 1 / (1 + K1_feed / H_feed + (K1_feed * K2_feed) / H_feed ^ 2)</f>
        <v>1.3424448776725079E-2</v>
      </c>
    </row>
    <row r="58" spans="1:4">
      <c r="A58" t="s">
        <v>321</v>
      </c>
      <c r="B58" s="3" t="s">
        <v>322</v>
      </c>
      <c r="C58" s="135">
        <f ca="1">C15/(ion_hco3 ion_mol_wt)/1000</f>
        <v>2.0488444517292245E-3</v>
      </c>
      <c r="D58" t="s">
        <v>1954</v>
      </c>
    </row>
    <row r="59" spans="1:4">
      <c r="A59" t="s">
        <v>324</v>
      </c>
      <c r="B59" s="3" t="s">
        <v>326</v>
      </c>
      <c r="C59" s="135">
        <f ca="1">HCO3_feed_mol/frac_HCO3_feed*frac_CO3_feed</f>
        <v>2.5732235299886512E-5</v>
      </c>
      <c r="D59" t="s">
        <v>1954</v>
      </c>
    </row>
    <row r="60" spans="1:4">
      <c r="A60" t="s">
        <v>323</v>
      </c>
      <c r="B60" s="3" t="s">
        <v>325</v>
      </c>
      <c r="C60" s="135">
        <f ca="1">HCO3_feed_mol/frac_HCO3_feed*frac_CO2_feed</f>
        <v>2.8229007331347789E-5</v>
      </c>
      <c r="D60" t="s">
        <v>1954</v>
      </c>
    </row>
    <row r="61" spans="1:4">
      <c r="C61" s="135"/>
    </row>
    <row r="62" spans="1:4">
      <c r="A62" t="s">
        <v>3659</v>
      </c>
      <c r="B62" s="3" t="s">
        <v>1288</v>
      </c>
      <c r="C62" s="135">
        <f ca="1">SUM(C58:C60)</f>
        <v>2.1028056943604586E-3</v>
      </c>
      <c r="D62" t="s">
        <v>1954</v>
      </c>
    </row>
    <row r="64" spans="1:4">
      <c r="A64" t="s">
        <v>327</v>
      </c>
    </row>
    <row r="65" spans="1:5">
      <c r="A65" s="8" t="s">
        <v>3814</v>
      </c>
      <c r="B65" s="3" t="s">
        <v>328</v>
      </c>
      <c r="C65" s="398">
        <f t="shared" ref="C65:C71" ca="1" si="0">C9</f>
        <v>275</v>
      </c>
      <c r="D65" t="s">
        <v>2263</v>
      </c>
      <c r="E65" s="70" t="s">
        <v>2356</v>
      </c>
    </row>
    <row r="66" spans="1:5">
      <c r="A66" s="8" t="s">
        <v>3816</v>
      </c>
      <c r="C66" s="398">
        <f t="shared" ca="1" si="0"/>
        <v>25</v>
      </c>
      <c r="D66" t="s">
        <v>2263</v>
      </c>
    </row>
    <row r="67" spans="1:5">
      <c r="A67" s="8" t="s">
        <v>72</v>
      </c>
      <c r="C67" s="398">
        <f t="shared" ca="1" si="0"/>
        <v>589</v>
      </c>
      <c r="D67" t="s">
        <v>2263</v>
      </c>
    </row>
    <row r="68" spans="1:5">
      <c r="A68" s="8" t="s">
        <v>3818</v>
      </c>
      <c r="C68" s="398">
        <f t="shared" ca="1" si="0"/>
        <v>3</v>
      </c>
      <c r="D68" t="s">
        <v>2263</v>
      </c>
    </row>
    <row r="69" spans="1:5">
      <c r="A69" s="8" t="s">
        <v>3253</v>
      </c>
      <c r="C69" s="398">
        <f t="shared" ca="1" si="0"/>
        <v>0.05</v>
      </c>
      <c r="D69" t="s">
        <v>2263</v>
      </c>
    </row>
    <row r="70" spans="1:5">
      <c r="A70" s="8" t="s">
        <v>3254</v>
      </c>
      <c r="C70" s="398">
        <f t="shared" ca="1" si="0"/>
        <v>1</v>
      </c>
      <c r="D70" t="s">
        <v>2263</v>
      </c>
    </row>
    <row r="71" spans="1:5">
      <c r="A71" s="8" t="s">
        <v>3817</v>
      </c>
      <c r="C71" s="398">
        <f t="shared" ca="1" si="0"/>
        <v>125</v>
      </c>
      <c r="D71" t="s">
        <v>2263</v>
      </c>
    </row>
    <row r="72" spans="1:5">
      <c r="A72" s="8" t="s">
        <v>3815</v>
      </c>
      <c r="C72" s="398">
        <f ca="1">CO3_feed_mol*(ion_co3 ion_mol_wt)*1000</f>
        <v>1.5441914403461896</v>
      </c>
      <c r="D72" t="s">
        <v>2263</v>
      </c>
      <c r="E72" s="70" t="s">
        <v>159</v>
      </c>
    </row>
    <row r="73" spans="1:5">
      <c r="A73" s="8" t="s">
        <v>1542</v>
      </c>
      <c r="C73" s="398">
        <f ca="1">C17</f>
        <v>900</v>
      </c>
      <c r="D73" t="s">
        <v>2263</v>
      </c>
    </row>
    <row r="74" spans="1:5">
      <c r="A74" s="8" t="s">
        <v>3813</v>
      </c>
      <c r="C74" s="398">
        <f ca="1">C18</f>
        <v>673</v>
      </c>
      <c r="D74" t="s">
        <v>2263</v>
      </c>
    </row>
    <row r="75" spans="1:5">
      <c r="A75" s="8" t="s">
        <v>2930</v>
      </c>
      <c r="C75" s="398">
        <f ca="1">C19</f>
        <v>0.3</v>
      </c>
      <c r="D75" t="s">
        <v>2263</v>
      </c>
    </row>
    <row r="76" spans="1:5">
      <c r="A76" s="8" t="s">
        <v>1944</v>
      </c>
      <c r="C76" s="398">
        <f ca="1">C20</f>
        <v>5</v>
      </c>
      <c r="D76" t="s">
        <v>2263</v>
      </c>
    </row>
    <row r="77" spans="1:5">
      <c r="A77" s="8" t="s">
        <v>3243</v>
      </c>
      <c r="C77" s="398">
        <f ca="1">CO2_feed_mol*(ion_co2 ion_mol_wt)*1000</f>
        <v>1.2432054828725567</v>
      </c>
      <c r="D77" t="s">
        <v>2263</v>
      </c>
      <c r="E77" s="70" t="s">
        <v>159</v>
      </c>
    </row>
    <row r="79" spans="1:5">
      <c r="A79" t="s">
        <v>329</v>
      </c>
    </row>
    <row r="80" spans="1:5">
      <c r="A80" s="8" t="s">
        <v>3814</v>
      </c>
      <c r="B80" s="3" t="s">
        <v>3046</v>
      </c>
      <c r="C80" s="103">
        <f t="array" aca="1" ref="C80:C92" ca="1">feed_ppm_unbal/ion_meq_weights</f>
        <v>13.722554890219561</v>
      </c>
      <c r="D80" t="s">
        <v>256</v>
      </c>
    </row>
    <row r="81" spans="1:4">
      <c r="A81" s="8" t="s">
        <v>3816</v>
      </c>
      <c r="C81" s="103">
        <f ca="1"/>
        <v>2.0571898786257972</v>
      </c>
      <c r="D81" t="s">
        <v>256</v>
      </c>
    </row>
    <row r="82" spans="1:4">
      <c r="A82" s="8" t="s">
        <v>72</v>
      </c>
      <c r="C82" s="103">
        <f ca="1"/>
        <v>25.619834710743802</v>
      </c>
      <c r="D82" t="s">
        <v>256</v>
      </c>
    </row>
    <row r="83" spans="1:4">
      <c r="A83" s="8" t="s">
        <v>3818</v>
      </c>
      <c r="C83" s="103">
        <f ca="1"/>
        <v>7.6730267532866131E-2</v>
      </c>
      <c r="D83" t="s">
        <v>256</v>
      </c>
    </row>
    <row r="84" spans="1:4">
      <c r="A84" s="8" t="s">
        <v>3253</v>
      </c>
      <c r="C84" s="103">
        <f ca="1"/>
        <v>7.2811999417504009E-4</v>
      </c>
      <c r="D84" t="s">
        <v>256</v>
      </c>
    </row>
    <row r="85" spans="1:4">
      <c r="A85" s="8" t="s">
        <v>3254</v>
      </c>
      <c r="C85" s="103">
        <f ca="1"/>
        <v>2.2825838849577722E-2</v>
      </c>
      <c r="D85" t="s">
        <v>256</v>
      </c>
    </row>
    <row r="86" spans="1:4">
      <c r="A86" s="8" t="s">
        <v>3817</v>
      </c>
      <c r="C86" s="103">
        <f ca="1"/>
        <v>2.0488444517292246</v>
      </c>
      <c r="D86" t="s">
        <v>256</v>
      </c>
    </row>
    <row r="87" spans="1:4">
      <c r="A87" s="8" t="s">
        <v>3815</v>
      </c>
      <c r="C87" s="103">
        <f ca="1"/>
        <v>5.1464470599773028E-2</v>
      </c>
      <c r="D87" t="s">
        <v>256</v>
      </c>
    </row>
    <row r="88" spans="1:4">
      <c r="A88" s="8" t="s">
        <v>1542</v>
      </c>
      <c r="C88" s="103">
        <f ca="1"/>
        <v>25.38787023977433</v>
      </c>
      <c r="D88" t="s">
        <v>256</v>
      </c>
    </row>
    <row r="89" spans="1:4">
      <c r="A89" s="8" t="s">
        <v>3813</v>
      </c>
      <c r="C89" s="103">
        <f ca="1"/>
        <v>14.012075785967104</v>
      </c>
      <c r="D89" t="s">
        <v>256</v>
      </c>
    </row>
    <row r="90" spans="1:4">
      <c r="A90" s="8" t="s">
        <v>2930</v>
      </c>
      <c r="C90" s="103">
        <f ca="1"/>
        <v>1.5789473684210527E-2</v>
      </c>
      <c r="D90" t="s">
        <v>256</v>
      </c>
    </row>
    <row r="91" spans="1:4">
      <c r="A91" s="8" t="s">
        <v>1944</v>
      </c>
      <c r="C91" s="103">
        <f ca="1"/>
        <v>9.2592592592592587E-2</v>
      </c>
      <c r="D91" t="s">
        <v>256</v>
      </c>
    </row>
    <row r="92" spans="1:4">
      <c r="A92" s="8" t="s">
        <v>3243</v>
      </c>
      <c r="C92" s="103">
        <f ca="1"/>
        <v>5.6458014662695587E-2</v>
      </c>
      <c r="D92" t="s">
        <v>256</v>
      </c>
    </row>
    <row r="94" spans="1:4">
      <c r="A94" s="14" t="s">
        <v>4165</v>
      </c>
      <c r="B94" s="31" t="s">
        <v>119</v>
      </c>
      <c r="C94" s="103">
        <f ca="1">SUM(C80:C85)</f>
        <v>41.49986370596578</v>
      </c>
    </row>
    <row r="95" spans="1:4">
      <c r="A95" s="14" t="s">
        <v>4167</v>
      </c>
      <c r="B95" s="31" t="s">
        <v>2801</v>
      </c>
      <c r="C95" s="103">
        <f ca="1">SUM(C86:C90)</f>
        <v>41.516044421754643</v>
      </c>
    </row>
    <row r="96" spans="1:4">
      <c r="A96" s="14" t="s">
        <v>4169</v>
      </c>
      <c r="B96" s="31" t="s">
        <v>2802</v>
      </c>
      <c r="C96" s="103">
        <f ca="1">feed_cations-feed_anions</f>
        <v>-1.6180715788863154E-2</v>
      </c>
    </row>
    <row r="97" spans="1:4">
      <c r="A97" s="14" t="s">
        <v>4171</v>
      </c>
      <c r="B97" s="31" t="s">
        <v>2803</v>
      </c>
      <c r="C97" s="136">
        <f ca="1">1-feed_difference/feed_cations/2</f>
        <v>1.0001949490232487</v>
      </c>
    </row>
    <row r="98" spans="1:4">
      <c r="A98" s="14" t="s">
        <v>2308</v>
      </c>
      <c r="B98" s="31" t="s">
        <v>2804</v>
      </c>
      <c r="C98" s="136">
        <f ca="1">1+feed_difference/feed_anions/2</f>
        <v>0.99980512695737001</v>
      </c>
    </row>
    <row r="100" spans="1:4">
      <c r="A100" t="s">
        <v>2145</v>
      </c>
    </row>
    <row r="101" spans="1:4">
      <c r="A101" s="8" t="s">
        <v>3814</v>
      </c>
      <c r="B101" s="3" t="s">
        <v>1953</v>
      </c>
      <c r="C101" s="457">
        <f t="array" aca="1" ref="C101:C106" ca="1">C80:C85*feed_cat_bal</f>
        <v>13.725230088891886</v>
      </c>
      <c r="D101" t="s">
        <v>256</v>
      </c>
    </row>
    <row r="102" spans="1:4">
      <c r="A102" s="8" t="s">
        <v>3816</v>
      </c>
      <c r="C102" s="457">
        <f ca="1"/>
        <v>2.0575909257832725</v>
      </c>
      <c r="D102" t="s">
        <v>256</v>
      </c>
    </row>
    <row r="103" spans="1:4">
      <c r="A103" s="8" t="s">
        <v>72</v>
      </c>
      <c r="C103" s="457">
        <f ca="1"/>
        <v>25.624829272496456</v>
      </c>
      <c r="D103" t="s">
        <v>256</v>
      </c>
    </row>
    <row r="104" spans="1:4">
      <c r="A104" s="8" t="s">
        <v>3818</v>
      </c>
      <c r="C104" s="457">
        <f ca="1"/>
        <v>7.6745226023575266E-2</v>
      </c>
      <c r="D104" t="s">
        <v>256</v>
      </c>
    </row>
    <row r="105" spans="1:4">
      <c r="A105" s="8" t="s">
        <v>3253</v>
      </c>
      <c r="C105" s="457">
        <f ca="1"/>
        <v>7.282619404567123E-4</v>
      </c>
      <c r="D105" t="s">
        <v>256</v>
      </c>
    </row>
    <row r="106" spans="1:4">
      <c r="A106" s="8" t="s">
        <v>3254</v>
      </c>
      <c r="C106" s="457">
        <f ca="1"/>
        <v>2.2830288724566279E-2</v>
      </c>
      <c r="D106" t="s">
        <v>256</v>
      </c>
    </row>
    <row r="107" spans="1:4">
      <c r="A107" s="8" t="s">
        <v>3817</v>
      </c>
      <c r="C107" s="457">
        <f t="array" aca="1" ref="C107:C111" ca="1">C86:C90*feed_an_bal</f>
        <v>2.0484451871770406</v>
      </c>
      <c r="D107" t="s">
        <v>256</v>
      </c>
    </row>
    <row r="108" spans="1:4">
      <c r="A108" s="8" t="s">
        <v>3815</v>
      </c>
      <c r="C108" s="457">
        <f ca="1"/>
        <v>5.1454441561799909E-2</v>
      </c>
      <c r="D108" t="s">
        <v>256</v>
      </c>
    </row>
    <row r="109" spans="1:4">
      <c r="A109" s="8" t="s">
        <v>1542</v>
      </c>
      <c r="C109" s="457">
        <f ca="1"/>
        <v>25.382922828254809</v>
      </c>
      <c r="D109" t="s">
        <v>256</v>
      </c>
    </row>
    <row r="110" spans="1:4">
      <c r="A110" s="8" t="s">
        <v>3813</v>
      </c>
      <c r="C110" s="457">
        <f ca="1"/>
        <v>14.009345210125131</v>
      </c>
      <c r="D110" t="s">
        <v>256</v>
      </c>
    </row>
    <row r="111" spans="1:4">
      <c r="A111" s="8" t="s">
        <v>2930</v>
      </c>
      <c r="C111" s="457">
        <f ca="1"/>
        <v>1.578639674143216E-2</v>
      </c>
      <c r="D111" t="s">
        <v>256</v>
      </c>
    </row>
    <row r="112" spans="1:4">
      <c r="A112" s="8" t="s">
        <v>1944</v>
      </c>
      <c r="C112" s="457">
        <f t="array" aca="1" ref="C112:C113" ca="1">C91:C92</f>
        <v>9.2592592592592587E-2</v>
      </c>
      <c r="D112" t="s">
        <v>256</v>
      </c>
    </row>
    <row r="113" spans="1:4">
      <c r="A113" s="8" t="s">
        <v>3243</v>
      </c>
      <c r="C113" s="457">
        <f ca="1"/>
        <v>5.6458014662695587E-2</v>
      </c>
      <c r="D113" t="s">
        <v>256</v>
      </c>
    </row>
    <row r="115" spans="1:4">
      <c r="A115" t="s">
        <v>1339</v>
      </c>
    </row>
    <row r="116" spans="1:4">
      <c r="A116" s="8" t="s">
        <v>3814</v>
      </c>
      <c r="B116" s="3" t="s">
        <v>1340</v>
      </c>
      <c r="C116" s="100">
        <f t="array" aca="1" ref="C116:C128" ca="1">feed_meq_bal*ion_meq_weights</f>
        <v>275.05361098139338</v>
      </c>
      <c r="D116" t="s">
        <v>2263</v>
      </c>
    </row>
    <row r="117" spans="1:4">
      <c r="A117" s="8" t="s">
        <v>3816</v>
      </c>
      <c r="C117" s="100">
        <f ca="1"/>
        <v>25.00487372558122</v>
      </c>
      <c r="D117" t="s">
        <v>2263</v>
      </c>
    </row>
    <row r="118" spans="1:4">
      <c r="A118" s="8" t="s">
        <v>72</v>
      </c>
      <c r="C118" s="100">
        <f ca="1"/>
        <v>589.11482497469342</v>
      </c>
      <c r="D118" t="s">
        <v>2263</v>
      </c>
    </row>
    <row r="119" spans="1:4">
      <c r="A119" s="8" t="s">
        <v>3818</v>
      </c>
      <c r="C119" s="100">
        <f ca="1"/>
        <v>3.0005848470697458</v>
      </c>
      <c r="D119" t="s">
        <v>2263</v>
      </c>
    </row>
    <row r="120" spans="1:4">
      <c r="A120" s="8" t="s">
        <v>3253</v>
      </c>
      <c r="C120" s="100">
        <f ca="1"/>
        <v>5.0009747451162434E-2</v>
      </c>
      <c r="D120" t="s">
        <v>2263</v>
      </c>
    </row>
    <row r="121" spans="1:4">
      <c r="A121" s="8" t="s">
        <v>3254</v>
      </c>
      <c r="C121" s="100">
        <f ca="1"/>
        <v>1.0001949490232487</v>
      </c>
      <c r="D121" t="s">
        <v>2263</v>
      </c>
    </row>
    <row r="122" spans="1:4">
      <c r="A122" s="8" t="s">
        <v>3817</v>
      </c>
      <c r="C122" s="100">
        <f ca="1"/>
        <v>124.97564086967124</v>
      </c>
      <c r="D122" t="s">
        <v>2263</v>
      </c>
    </row>
    <row r="123" spans="1:4">
      <c r="A123" s="8" t="s">
        <v>3815</v>
      </c>
      <c r="C123" s="100">
        <f ca="1"/>
        <v>1.5438905190618062</v>
      </c>
      <c r="D123" t="s">
        <v>2263</v>
      </c>
    </row>
    <row r="124" spans="1:4">
      <c r="A124" s="8" t="s">
        <v>1542</v>
      </c>
      <c r="C124" s="100">
        <f ca="1"/>
        <v>899.82461426163309</v>
      </c>
      <c r="D124" t="s">
        <v>2263</v>
      </c>
    </row>
    <row r="125" spans="1:4">
      <c r="A125" s="8" t="s">
        <v>3813</v>
      </c>
      <c r="C125" s="100">
        <f ca="1"/>
        <v>672.86885044231008</v>
      </c>
      <c r="D125" t="s">
        <v>2263</v>
      </c>
    </row>
    <row r="126" spans="1:4">
      <c r="A126" s="8" t="s">
        <v>2930</v>
      </c>
      <c r="C126" s="100">
        <f ca="1"/>
        <v>0.29994153808721102</v>
      </c>
      <c r="D126" t="s">
        <v>2263</v>
      </c>
    </row>
    <row r="127" spans="1:4">
      <c r="A127" s="8" t="s">
        <v>1944</v>
      </c>
      <c r="C127" s="100">
        <f ca="1"/>
        <v>5</v>
      </c>
      <c r="D127" t="s">
        <v>2263</v>
      </c>
    </row>
    <row r="128" spans="1:4">
      <c r="A128" s="8" t="s">
        <v>3243</v>
      </c>
      <c r="B128" s="3" t="s">
        <v>271</v>
      </c>
      <c r="C128" s="100">
        <f ca="1"/>
        <v>1.2432054828725567</v>
      </c>
      <c r="D128" t="s">
        <v>2263</v>
      </c>
    </row>
    <row r="130" spans="1:5">
      <c r="A130" t="s">
        <v>3658</v>
      </c>
      <c r="B130" s="3" t="s">
        <v>1921</v>
      </c>
      <c r="C130" s="100">
        <f ca="1">SUM(feed_ppm_bal)-SUM(feed_gas_bal)</f>
        <v>2597.7370368559759</v>
      </c>
      <c r="D130" t="s">
        <v>2263</v>
      </c>
    </row>
    <row r="132" spans="1:5">
      <c r="A132" s="20" t="s">
        <v>1341</v>
      </c>
    </row>
    <row r="133" spans="1:5">
      <c r="A133" s="49" t="s">
        <v>1342</v>
      </c>
    </row>
    <row r="134" spans="1:5">
      <c r="A134" s="14" t="s">
        <v>1343</v>
      </c>
      <c r="B134" s="3" t="s">
        <v>1344</v>
      </c>
      <c r="C134" s="133">
        <f ca="1">10^(feed_pH-pKWater_feed)</f>
        <v>6.9246049203071265E-7</v>
      </c>
      <c r="E134" s="70" t="s">
        <v>1635</v>
      </c>
    </row>
    <row r="135" spans="1:5">
      <c r="A135" s="14" t="s">
        <v>1345</v>
      </c>
      <c r="B135" s="3" t="s">
        <v>1346</v>
      </c>
      <c r="C135" s="147">
        <f ca="1">0.5*(SQRT(feed_ion_strength)/(1+SQRT(feed_ion_strength))-0.3*feed_ion_strength)</f>
        <v>8.7539608774552122E-2</v>
      </c>
    </row>
    <row r="136" spans="1:5">
      <c r="A136" s="14" t="s">
        <v>3098</v>
      </c>
      <c r="B136" s="3" t="s">
        <v>3099</v>
      </c>
      <c r="C136" s="147">
        <f ca="1">0.5*4*(SQRT(feed_ion_strength)/(1+SQRT(feed_ion_strength))-0.3*feed_ion_strength)</f>
        <v>0.35015843509820849</v>
      </c>
    </row>
    <row r="137" spans="1:5">
      <c r="A137" s="14" t="s">
        <v>3100</v>
      </c>
      <c r="B137" s="3" t="s">
        <v>3097</v>
      </c>
      <c r="C137" s="133">
        <f ca="1">C107*10^-feed_hco3_corr/1000+C108*10^-feed_co3_corr/1000+feed_OHminus-H_feed</f>
        <v>1.6981600294429643E-3</v>
      </c>
    </row>
    <row r="138" spans="1:5">
      <c r="A138" s="14" t="s">
        <v>2699</v>
      </c>
      <c r="B138" s="3" t="s">
        <v>1914</v>
      </c>
      <c r="C138" s="147">
        <f ca="1">-LOG10(feed_alkalinity)</f>
        <v>2.7700213855707534</v>
      </c>
    </row>
    <row r="139" spans="1:5">
      <c r="A139" s="14" t="s">
        <v>1915</v>
      </c>
      <c r="B139" s="3" t="s">
        <v>1916</v>
      </c>
      <c r="C139" s="133">
        <f ca="1">C101/2*10^-feed_co3_corr/1000</f>
        <v>3.0642994476825086E-3</v>
      </c>
    </row>
    <row r="140" spans="1:5">
      <c r="A140" s="14" t="s">
        <v>1917</v>
      </c>
      <c r="B140" s="3" t="s">
        <v>1918</v>
      </c>
      <c r="C140" s="147">
        <f ca="1">-LOG10(feed_Ca)</f>
        <v>2.5136687970937208</v>
      </c>
    </row>
    <row r="141" spans="1:5">
      <c r="A141" s="14" t="s">
        <v>1919</v>
      </c>
      <c r="B141" s="3" t="s">
        <v>144</v>
      </c>
      <c r="C141" s="147">
        <f ca="1">pK2_uncorr_feed-pKSo_feed+feed_pAlk+feed_pCa</f>
        <v>7.3112020489541498</v>
      </c>
    </row>
    <row r="142" spans="1:5">
      <c r="A142" s="14" t="s">
        <v>145</v>
      </c>
      <c r="B142" s="3" t="s">
        <v>146</v>
      </c>
      <c r="C142" s="147">
        <f ca="1">feed_pH-feed_pH_s</f>
        <v>0.88879795104584947</v>
      </c>
    </row>
    <row r="143" spans="1:5">
      <c r="A143" s="14"/>
      <c r="C143" s="103"/>
    </row>
    <row r="144" spans="1:5">
      <c r="A144" s="49" t="s">
        <v>147</v>
      </c>
      <c r="C144" s="103"/>
    </row>
    <row r="145" spans="1:5">
      <c r="A145" s="14" t="s">
        <v>148</v>
      </c>
      <c r="B145" s="3" t="s">
        <v>149</v>
      </c>
      <c r="C145" s="100">
        <f>2*T_feed+75</f>
        <v>105</v>
      </c>
      <c r="D145" t="s">
        <v>3261</v>
      </c>
      <c r="E145" s="70" t="s">
        <v>1636</v>
      </c>
    </row>
    <row r="146" spans="1:5">
      <c r="A146" s="14" t="s">
        <v>150</v>
      </c>
      <c r="B146" s="3" t="s">
        <v>151</v>
      </c>
      <c r="C146" s="103">
        <f ca="1">IF(feed_pH&lt;7,1.84-0.12*feed_pH,IF(feed_pH&gt;7.75,((0.3102*feed_pH-7.7173)*feed_pH+64.611)*feed_pH-180.63,1))</f>
        <v>1.3033016000000543</v>
      </c>
    </row>
    <row r="147" spans="1:5">
      <c r="A147" s="14" t="s">
        <v>152</v>
      </c>
      <c r="B147" s="3" t="s">
        <v>153</v>
      </c>
      <c r="C147" s="100">
        <f ca="1">sio2_sat_base*feed_sio2_sat_corr</f>
        <v>136.84666800000571</v>
      </c>
      <c r="D147" t="s">
        <v>3261</v>
      </c>
    </row>
    <row r="148" spans="1:5">
      <c r="A148" s="14" t="s">
        <v>154</v>
      </c>
      <c r="B148" s="3" t="s">
        <v>155</v>
      </c>
      <c r="C148" s="148">
        <f ca="1">C127/feed_sio2_sat</f>
        <v>3.6537243274346959E-2</v>
      </c>
    </row>
    <row r="149" spans="1:5">
      <c r="A149" s="14"/>
      <c r="C149" s="103"/>
    </row>
    <row r="150" spans="1:5">
      <c r="A150" s="49" t="s">
        <v>156</v>
      </c>
      <c r="C150" s="103"/>
    </row>
    <row r="151" spans="1:5">
      <c r="A151" s="14" t="s">
        <v>1111</v>
      </c>
      <c r="B151" s="3" t="s">
        <v>1112</v>
      </c>
      <c r="C151" s="133">
        <f ca="1">(((1.1802*feed_ion_strength-6.6149)*feed_ion_strength+22.163)*feed_ion_strength+0.6981)*0.0001</f>
        <v>1.9290310135158852E-4</v>
      </c>
      <c r="E151" s="70" t="s">
        <v>1637</v>
      </c>
    </row>
    <row r="152" spans="1:5">
      <c r="A152" s="14" t="s">
        <v>1113</v>
      </c>
      <c r="B152" s="3" t="s">
        <v>1114</v>
      </c>
      <c r="C152" s="133">
        <f ca="1">C116/(ion_ca ion_mol_wt)/1000*C125/(ion_so4 ion_mol_wt)/1000</f>
        <v>4.8070371600920708E-5</v>
      </c>
    </row>
    <row r="153" spans="1:5">
      <c r="A153" s="14" t="s">
        <v>1115</v>
      </c>
      <c r="B153" s="3" t="s">
        <v>1116</v>
      </c>
      <c r="C153" s="148">
        <f ca="1">feed_caso4_ip/feed_caso4_ksp</f>
        <v>0.24919439482368311</v>
      </c>
    </row>
    <row r="154" spans="1:5">
      <c r="A154" s="14"/>
      <c r="C154" s="103"/>
    </row>
    <row r="155" spans="1:5">
      <c r="A155" s="49" t="s">
        <v>1117</v>
      </c>
      <c r="C155" s="103"/>
    </row>
    <row r="156" spans="1:5">
      <c r="A156" s="14" t="s">
        <v>1118</v>
      </c>
      <c r="B156" s="3" t="s">
        <v>1119</v>
      </c>
      <c r="C156" s="147">
        <f>-4.69/0.00198719*(1/(T_feed+zeroC_in_K)-1/(25+zeroC_in_K))</f>
        <v>-0.27471350632157093</v>
      </c>
      <c r="E156" s="70" t="s">
        <v>1638</v>
      </c>
    </row>
    <row r="157" spans="1:5">
      <c r="A157" s="14" t="s">
        <v>1120</v>
      </c>
      <c r="B157" s="3" t="s">
        <v>1121</v>
      </c>
      <c r="C157" s="147">
        <v>10.6</v>
      </c>
      <c r="E157" s="70" t="s">
        <v>1639</v>
      </c>
    </row>
    <row r="158" spans="1:5">
      <c r="A158" s="14" t="s">
        <v>1122</v>
      </c>
      <c r="B158" s="3" t="s">
        <v>1123</v>
      </c>
      <c r="C158" s="133">
        <f>10^(-caf2_pksp_base)</f>
        <v>2.5118864315095759E-11</v>
      </c>
    </row>
    <row r="159" spans="1:5">
      <c r="A159" s="14" t="s">
        <v>1124</v>
      </c>
      <c r="B159" s="3" t="s">
        <v>1125</v>
      </c>
      <c r="C159" s="133">
        <f>caf2_ksp_base*EXP(caf2_vanthoff_corr)</f>
        <v>1.9085056065569616E-11</v>
      </c>
    </row>
    <row r="160" spans="1:5">
      <c r="A160" s="14" t="s">
        <v>1126</v>
      </c>
      <c r="B160" s="3" t="s">
        <v>1127</v>
      </c>
      <c r="C160" s="147">
        <f ca="1" xml:space="preserve"> 10 ^-(0.5*4*SQRT(feed_ion_strength) / (1+1.4*SQRT(feed_ion_strength)-0.2*feed_ion_strength))</f>
        <v>0.43681500464611139</v>
      </c>
    </row>
    <row r="161" spans="1:5">
      <c r="A161" s="14" t="s">
        <v>1128</v>
      </c>
      <c r="B161" s="3" t="s">
        <v>1129</v>
      </c>
      <c r="C161" s="147">
        <f ca="1" xml:space="preserve"> 10 ^ -(0.5*SQRT(feed_ion_strength) / (1+SQRT(feed_ion_strength))-0.2*feed_ion_strength)</f>
        <v>0.82278149651512711</v>
      </c>
    </row>
    <row r="162" spans="1:5">
      <c r="A162" s="14" t="s">
        <v>1130</v>
      </c>
      <c r="B162" s="3" t="s">
        <v>1131</v>
      </c>
      <c r="C162" s="133">
        <f ca="1">C116/(ion_ca ion_mol_wt)/1000*feed_ca_corr</f>
        <v>2.9976932225241281E-3</v>
      </c>
      <c r="D162" t="s">
        <v>194</v>
      </c>
    </row>
    <row r="163" spans="1:5">
      <c r="A163" s="14" t="s">
        <v>1132</v>
      </c>
      <c r="B163" s="3" t="s">
        <v>1133</v>
      </c>
      <c r="C163" s="133">
        <f ca="1">C126/(ion_f ion_mol_wt)/1000*feed_f_corr</f>
        <v>1.2988755135497079E-5</v>
      </c>
      <c r="D163" t="s">
        <v>194</v>
      </c>
    </row>
    <row r="164" spans="1:5">
      <c r="A164" s="14" t="s">
        <v>1134</v>
      </c>
      <c r="B164" s="3" t="s">
        <v>1135</v>
      </c>
      <c r="C164" s="133">
        <f ca="1">feed_ca_molL*feed_f_molL*feed_f_molL</f>
        <v>5.0573410864900185E-13</v>
      </c>
    </row>
    <row r="165" spans="1:5">
      <c r="A165" s="14" t="s">
        <v>1136</v>
      </c>
      <c r="B165" s="3" t="s">
        <v>1137</v>
      </c>
      <c r="C165" s="148">
        <f ca="1">feed_caf2_ip/caf2_ksp</f>
        <v>2.6498958499858491E-2</v>
      </c>
    </row>
    <row r="167" spans="1:5">
      <c r="A167" s="49" t="s">
        <v>3255</v>
      </c>
    </row>
    <row r="168" spans="1:5">
      <c r="A168" s="14" t="s">
        <v>1070</v>
      </c>
      <c r="B168" s="3" t="s">
        <v>3259</v>
      </c>
      <c r="C168" s="133">
        <f ca="1">((((3.872*feed_ion_strength-5.4453)*feed_ion_strength+0.6729)*feed_ion_strength+8.263)*feed_ion_strength+0.1374)*0.000000001</f>
        <v>6.0531984101293389E-10</v>
      </c>
      <c r="E168" s="70" t="s">
        <v>3256</v>
      </c>
    </row>
    <row r="169" spans="1:5">
      <c r="A169" s="14" t="s">
        <v>1068</v>
      </c>
      <c r="B169" s="3" t="s">
        <v>3257</v>
      </c>
      <c r="C169" s="133">
        <f ca="1">C120/(ion_ba ion_mol_wt)/1000*C125/(ion_so4 ion_mol_wt)/1000</f>
        <v>2.5506182318134192E-9</v>
      </c>
    </row>
    <row r="170" spans="1:5">
      <c r="A170" s="14" t="s">
        <v>1069</v>
      </c>
      <c r="B170" s="3" t="s">
        <v>3258</v>
      </c>
      <c r="C170" s="148">
        <f ca="1">feed_baso4_ip/feed_baso4_ksp</f>
        <v>4.2136702929566123</v>
      </c>
    </row>
    <row r="172" spans="1:5">
      <c r="A172" s="49" t="s">
        <v>1074</v>
      </c>
    </row>
    <row r="173" spans="1:5">
      <c r="A173" s="14" t="s">
        <v>1071</v>
      </c>
      <c r="B173" s="3" t="s">
        <v>1077</v>
      </c>
      <c r="C173" s="133">
        <f ca="1">IF(feed_ion_strength&lt;=0.3,((((152941*feed_ion_strength-51018)*feed_ion_strength+3871.8)*feed_ion_strength+2216.3)*feed_ion_strength + 25.318)*0.00000001,(((507.35*feed_ion_strength-2516.8)*feed_ion_strength+4396.6)*feed_ion_strength-177.1)*0.00000001)</f>
        <v>1.5521570866035115E-6</v>
      </c>
      <c r="E173" s="70" t="s">
        <v>1078</v>
      </c>
    </row>
    <row r="174" spans="1:5">
      <c r="A174" s="14" t="s">
        <v>1072</v>
      </c>
      <c r="B174" s="3" t="s">
        <v>1075</v>
      </c>
      <c r="C174" s="133">
        <f ca="1">C121/(ion_sr ion_mol_wt)/1000*C125/(ion_so4 ion_mol_wt)/1000</f>
        <v>7.9959348997319105E-8</v>
      </c>
    </row>
    <row r="175" spans="1:5">
      <c r="A175" s="14" t="s">
        <v>1073</v>
      </c>
      <c r="B175" s="3" t="s">
        <v>1076</v>
      </c>
      <c r="C175" s="148">
        <f ca="1">feed_srso4_ip/feed_srso4_ksp</f>
        <v>5.1514984976352589E-2</v>
      </c>
      <c r="E175" s="459"/>
    </row>
    <row r="177" spans="1:5">
      <c r="A177" s="1" t="s">
        <v>1138</v>
      </c>
    </row>
    <row r="178" spans="1:5">
      <c r="A178" s="14" t="s">
        <v>1790</v>
      </c>
      <c r="B178" s="3" t="s">
        <v>1791</v>
      </c>
      <c r="C178" s="77">
        <f>IF(LEN(pretreat_acid_I)=0,0,VLOOKUP(pretreat_acid_I,pretreat_acid_table,2,FALSE))</f>
        <v>2</v>
      </c>
      <c r="E178" s="70" t="s">
        <v>1795</v>
      </c>
    </row>
    <row r="179" spans="1:5">
      <c r="A179" s="14" t="s">
        <v>1796</v>
      </c>
      <c r="B179" s="3" t="s">
        <v>1295</v>
      </c>
      <c r="C179" s="133">
        <f>IF(pretreat_acid=0,H_feed,10^-(treated_feed_pH))</f>
        <v>3.1622776601683734E-7</v>
      </c>
      <c r="E179" s="72"/>
    </row>
    <row r="180" spans="1:5">
      <c r="A180" t="s">
        <v>2139</v>
      </c>
      <c r="B180" s="3" t="s">
        <v>1292</v>
      </c>
      <c r="C180" s="134">
        <f ca="1">IF(pretreat_acid=0,"n/a",1 / (H_tfeed / K1_feed + 1 + K2_feed / H_tfeed))</f>
        <v>0.59144053308914712</v>
      </c>
      <c r="E180" s="70" t="s">
        <v>2148</v>
      </c>
    </row>
    <row r="181" spans="1:5">
      <c r="A181" t="s">
        <v>2140</v>
      </c>
      <c r="B181" s="3" t="s">
        <v>1293</v>
      </c>
      <c r="C181" s="134">
        <f ca="1">IF(pretreat_acid=0,"n/a",1 / (H_tfeed ^ 2 / (K1_feed * K2_feed) + H_tfeed / K2_feed + 1))</f>
        <v>1.482107178051416E-4</v>
      </c>
    </row>
    <row r="182" spans="1:5">
      <c r="A182" t="s">
        <v>2141</v>
      </c>
      <c r="B182" s="3" t="s">
        <v>1294</v>
      </c>
      <c r="C182" s="134">
        <f ca="1">IF(pretreat_acid=0,"n/a", 1 / (1 + K1_feed / H_tfeed + (K1_feed * K2_feed) / H_tfeed ^ 2))</f>
        <v>0.40841125619304774</v>
      </c>
    </row>
    <row r="183" spans="1:5">
      <c r="A183" s="14" t="s">
        <v>1289</v>
      </c>
      <c r="B183" s="3" t="s">
        <v>1296</v>
      </c>
      <c r="C183" s="103">
        <f ca="1">IF(pretreat_acid=0,C107,carbon_feed_mol*frac_HCO3_tfeed*1000)</f>
        <v>1.2436845208554437</v>
      </c>
      <c r="D183" t="s">
        <v>256</v>
      </c>
    </row>
    <row r="184" spans="1:5">
      <c r="A184" s="14" t="s">
        <v>1290</v>
      </c>
      <c r="B184" s="3" t="s">
        <v>1297</v>
      </c>
      <c r="C184" s="103">
        <f ca="1">IF(pretreat_acid=0,C108,carbon_feed_mol*frac_CO3_tfeed*1000*2)</f>
        <v>6.233166827318055E-4</v>
      </c>
      <c r="D184" t="s">
        <v>256</v>
      </c>
    </row>
    <row r="185" spans="1:5">
      <c r="A185" s="14" t="s">
        <v>1291</v>
      </c>
      <c r="B185" s="3" t="s">
        <v>1298</v>
      </c>
      <c r="C185" s="103">
        <f ca="1">IF(pretreat_acid=0,C113,carbon_feed_mol*frac_CO2_tfeed*1000*2)</f>
        <v>1.7176190303272978</v>
      </c>
      <c r="D185" t="s">
        <v>256</v>
      </c>
    </row>
    <row r="186" spans="1:5">
      <c r="A186" s="14" t="s">
        <v>2146</v>
      </c>
      <c r="B186" s="3" t="s">
        <v>2147</v>
      </c>
      <c r="C186" s="103">
        <f ca="1">IF(pretreat_acid=0,0,HCO3_tfeed_meq+CO3_tfeed_meq-C107-C108)</f>
        <v>-0.85559179120066498</v>
      </c>
      <c r="D186" t="s">
        <v>256</v>
      </c>
    </row>
    <row r="187" spans="1:5">
      <c r="A187" s="14" t="s">
        <v>1301</v>
      </c>
      <c r="B187" s="3" t="s">
        <v>1299</v>
      </c>
      <c r="C187" s="103">
        <f>IF(pretreat_acid=1,-alk_delta_tfeed,0)</f>
        <v>0</v>
      </c>
      <c r="D187" t="s">
        <v>256</v>
      </c>
    </row>
    <row r="188" spans="1:5">
      <c r="A188" s="14" t="s">
        <v>1302</v>
      </c>
      <c r="B188" s="3" t="s">
        <v>1300</v>
      </c>
      <c r="C188" s="103">
        <f ca="1">IF(pretreat_acid=2,-alk_delta_tfeed,0)</f>
        <v>0.85559179120066498</v>
      </c>
      <c r="D188" t="s">
        <v>256</v>
      </c>
    </row>
    <row r="189" spans="1:5">
      <c r="A189" s="14" t="s">
        <v>1303</v>
      </c>
      <c r="B189" s="3" t="s">
        <v>1305</v>
      </c>
      <c r="C189" s="106">
        <f>Cl_delta_tfeed*(ion_cl ion_meq_weights)</f>
        <v>0</v>
      </c>
      <c r="D189" t="s">
        <v>3261</v>
      </c>
    </row>
    <row r="190" spans="1:5">
      <c r="A190" s="14" t="s">
        <v>1304</v>
      </c>
      <c r="B190" s="3" t="s">
        <v>3260</v>
      </c>
      <c r="C190" s="106">
        <f ca="1">SO4_delta_tfeed*(ion_so4 ion_meq_weights)</f>
        <v>41.094073731367942</v>
      </c>
      <c r="D190" t="s">
        <v>3261</v>
      </c>
    </row>
    <row r="191" spans="1:5">
      <c r="A191" s="14" t="s">
        <v>2159</v>
      </c>
      <c r="B191" s="3" t="s">
        <v>2157</v>
      </c>
      <c r="C191" s="106">
        <f>IF(pretreat_acid=1,(Cl_delta_tfeed_ppm+1),0)</f>
        <v>0</v>
      </c>
      <c r="D191" t="s">
        <v>3261</v>
      </c>
      <c r="E191" s="70" t="s">
        <v>1152</v>
      </c>
    </row>
    <row r="192" spans="1:5">
      <c r="A192" s="14" t="s">
        <v>2160</v>
      </c>
      <c r="B192" s="3" t="s">
        <v>2158</v>
      </c>
      <c r="C192" s="106">
        <f ca="1">IF(pretreat_acid=2,(SO4_delta_tfeed_ppm+2),0)</f>
        <v>43.094073731367942</v>
      </c>
      <c r="D192" t="s">
        <v>3261</v>
      </c>
      <c r="E192" s="70" t="s">
        <v>1153</v>
      </c>
    </row>
    <row r="193" spans="1:4">
      <c r="A193" s="14"/>
      <c r="C193" s="106"/>
    </row>
    <row r="194" spans="1:4">
      <c r="A194" t="s">
        <v>2149</v>
      </c>
      <c r="C194" s="106"/>
    </row>
    <row r="195" spans="1:4">
      <c r="A195" s="8" t="s">
        <v>3814</v>
      </c>
      <c r="B195" s="3" t="s">
        <v>1154</v>
      </c>
      <c r="C195" s="457">
        <f t="shared" ref="C195:C200" ca="1" si="1">C101</f>
        <v>13.725230088891886</v>
      </c>
      <c r="D195" t="s">
        <v>256</v>
      </c>
    </row>
    <row r="196" spans="1:4">
      <c r="A196" s="8" t="s">
        <v>3816</v>
      </c>
      <c r="C196" s="457">
        <f t="shared" ca="1" si="1"/>
        <v>2.0575909257832725</v>
      </c>
      <c r="D196" t="s">
        <v>256</v>
      </c>
    </row>
    <row r="197" spans="1:4">
      <c r="A197" s="8" t="s">
        <v>72</v>
      </c>
      <c r="C197" s="457">
        <f t="shared" ca="1" si="1"/>
        <v>25.624829272496456</v>
      </c>
      <c r="D197" t="s">
        <v>256</v>
      </c>
    </row>
    <row r="198" spans="1:4">
      <c r="A198" s="8" t="s">
        <v>3818</v>
      </c>
      <c r="C198" s="457">
        <f t="shared" ca="1" si="1"/>
        <v>7.6745226023575266E-2</v>
      </c>
      <c r="D198" t="s">
        <v>256</v>
      </c>
    </row>
    <row r="199" spans="1:4">
      <c r="A199" s="8" t="s">
        <v>3253</v>
      </c>
      <c r="C199" s="457">
        <f t="shared" ca="1" si="1"/>
        <v>7.282619404567123E-4</v>
      </c>
      <c r="D199" t="s">
        <v>256</v>
      </c>
    </row>
    <row r="200" spans="1:4">
      <c r="A200" s="8" t="s">
        <v>3254</v>
      </c>
      <c r="C200" s="457">
        <f t="shared" ca="1" si="1"/>
        <v>2.2830288724566279E-2</v>
      </c>
      <c r="D200" t="s">
        <v>256</v>
      </c>
    </row>
    <row r="201" spans="1:4">
      <c r="A201" s="8" t="s">
        <v>3817</v>
      </c>
      <c r="C201" s="457">
        <f ca="1">HCO3_tfeed_meq</f>
        <v>1.2436845208554437</v>
      </c>
      <c r="D201" t="s">
        <v>256</v>
      </c>
    </row>
    <row r="202" spans="1:4">
      <c r="A202" s="8" t="s">
        <v>3815</v>
      </c>
      <c r="C202" s="457">
        <f ca="1">CO3_tfeed_meq</f>
        <v>6.233166827318055E-4</v>
      </c>
      <c r="D202" t="s">
        <v>256</v>
      </c>
    </row>
    <row r="203" spans="1:4">
      <c r="A203" s="8" t="s">
        <v>1542</v>
      </c>
      <c r="C203" s="457">
        <f ca="1">C109+Cl_delta_tfeed</f>
        <v>25.382922828254809</v>
      </c>
      <c r="D203" t="s">
        <v>256</v>
      </c>
    </row>
    <row r="204" spans="1:4">
      <c r="A204" s="8" t="s">
        <v>3813</v>
      </c>
      <c r="C204" s="457">
        <f ca="1">C110+SO4_delta_tfeed</f>
        <v>14.864937001325796</v>
      </c>
      <c r="D204" t="s">
        <v>256</v>
      </c>
    </row>
    <row r="205" spans="1:4">
      <c r="A205" s="8" t="s">
        <v>2930</v>
      </c>
      <c r="C205" s="457">
        <f ca="1">C111</f>
        <v>1.578639674143216E-2</v>
      </c>
      <c r="D205" t="s">
        <v>256</v>
      </c>
    </row>
    <row r="206" spans="1:4">
      <c r="A206" s="8" t="s">
        <v>1944</v>
      </c>
      <c r="C206" s="457">
        <f ca="1">C112</f>
        <v>9.2592592592592587E-2</v>
      </c>
      <c r="D206" t="s">
        <v>256</v>
      </c>
    </row>
    <row r="207" spans="1:4">
      <c r="A207" s="8" t="s">
        <v>3243</v>
      </c>
      <c r="C207" s="457">
        <f ca="1">CO2_tfeed_meq</f>
        <v>1.7176190303272978</v>
      </c>
      <c r="D207" t="s">
        <v>256</v>
      </c>
    </row>
    <row r="208" spans="1:4">
      <c r="C208" s="106"/>
    </row>
    <row r="209" spans="1:4">
      <c r="A209" t="s">
        <v>2150</v>
      </c>
      <c r="C209" s="106"/>
    </row>
    <row r="210" spans="1:4">
      <c r="A210" s="8" t="s">
        <v>3814</v>
      </c>
      <c r="B210" s="3" t="s">
        <v>1155</v>
      </c>
      <c r="C210" s="100">
        <f t="array" aca="1" ref="C210:C222" ca="1">tfeed_meq_bal*ion_meq_weights</f>
        <v>275.05361098139338</v>
      </c>
      <c r="D210" t="s">
        <v>2263</v>
      </c>
    </row>
    <row r="211" spans="1:4">
      <c r="A211" s="8" t="s">
        <v>3816</v>
      </c>
      <c r="C211" s="100">
        <f ca="1"/>
        <v>25.00487372558122</v>
      </c>
      <c r="D211" t="s">
        <v>2263</v>
      </c>
    </row>
    <row r="212" spans="1:4">
      <c r="A212" s="8" t="s">
        <v>72</v>
      </c>
      <c r="C212" s="100">
        <f ca="1"/>
        <v>589.11482497469342</v>
      </c>
      <c r="D212" t="s">
        <v>2263</v>
      </c>
    </row>
    <row r="213" spans="1:4">
      <c r="A213" s="8" t="s">
        <v>3818</v>
      </c>
      <c r="C213" s="100">
        <f ca="1"/>
        <v>3.0005848470697458</v>
      </c>
      <c r="D213" t="s">
        <v>2263</v>
      </c>
    </row>
    <row r="214" spans="1:4">
      <c r="A214" s="8" t="s">
        <v>3253</v>
      </c>
      <c r="C214" s="100">
        <f ca="1"/>
        <v>5.0009747451162434E-2</v>
      </c>
      <c r="D214" t="s">
        <v>2263</v>
      </c>
    </row>
    <row r="215" spans="1:4">
      <c r="A215" s="8" t="s">
        <v>3254</v>
      </c>
      <c r="C215" s="100">
        <f ca="1"/>
        <v>1.0001949490232487</v>
      </c>
      <c r="D215" t="s">
        <v>2263</v>
      </c>
    </row>
    <row r="216" spans="1:4">
      <c r="A216" s="8" t="s">
        <v>3817</v>
      </c>
      <c r="C216" s="100">
        <f ca="1"/>
        <v>75.877192617390619</v>
      </c>
      <c r="D216" t="s">
        <v>2263</v>
      </c>
    </row>
    <row r="217" spans="1:4">
      <c r="A217" s="8" t="s">
        <v>3815</v>
      </c>
      <c r="C217" s="100">
        <f ca="1"/>
        <v>1.8702617065367824E-2</v>
      </c>
      <c r="D217" t="s">
        <v>2263</v>
      </c>
    </row>
    <row r="218" spans="1:4">
      <c r="A218" s="8" t="s">
        <v>1542</v>
      </c>
      <c r="C218" s="100">
        <f ca="1"/>
        <v>899.82461426163309</v>
      </c>
      <c r="D218" t="s">
        <v>2263</v>
      </c>
    </row>
    <row r="219" spans="1:4">
      <c r="A219" s="8" t="s">
        <v>3813</v>
      </c>
      <c r="C219" s="100">
        <f ca="1"/>
        <v>713.96292417367795</v>
      </c>
      <c r="D219" t="s">
        <v>2263</v>
      </c>
    </row>
    <row r="220" spans="1:4">
      <c r="A220" s="8" t="s">
        <v>2930</v>
      </c>
      <c r="C220" s="100">
        <f ca="1"/>
        <v>0.29994153808721102</v>
      </c>
      <c r="D220" t="s">
        <v>2263</v>
      </c>
    </row>
    <row r="221" spans="1:4">
      <c r="A221" s="8" t="s">
        <v>1944</v>
      </c>
      <c r="C221" s="100">
        <f ca="1"/>
        <v>5</v>
      </c>
      <c r="D221" t="s">
        <v>2263</v>
      </c>
    </row>
    <row r="222" spans="1:4">
      <c r="A222" s="8" t="s">
        <v>3243</v>
      </c>
      <c r="B222" s="3" t="s">
        <v>272</v>
      </c>
      <c r="C222" s="100">
        <f ca="1"/>
        <v>37.821971047807097</v>
      </c>
      <c r="D222" t="s">
        <v>2263</v>
      </c>
    </row>
    <row r="223" spans="1:4">
      <c r="A223" s="14"/>
    </row>
    <row r="224" spans="1:4">
      <c r="A224" s="14" t="s">
        <v>1920</v>
      </c>
      <c r="B224" s="3" t="s">
        <v>1955</v>
      </c>
      <c r="C224" s="100">
        <f ca="1">SUM(tfeed_ppm_bal)-SUM(tfeed_gas_bal)</f>
        <v>2588.2074744330666</v>
      </c>
      <c r="D224" t="s">
        <v>2263</v>
      </c>
    </row>
    <row r="226" spans="1:5">
      <c r="A226" t="s">
        <v>3338</v>
      </c>
      <c r="B226" s="3" t="s">
        <v>3339</v>
      </c>
      <c r="C226" s="115">
        <f>viscosity(element_ref_temp,element_ref_TDS)</f>
        <v>8.9606494757286752E-4</v>
      </c>
      <c r="D226" t="s">
        <v>3340</v>
      </c>
    </row>
    <row r="227" spans="1:5">
      <c r="A227" t="s">
        <v>2084</v>
      </c>
      <c r="B227" s="3" t="s">
        <v>2085</v>
      </c>
      <c r="C227" s="115">
        <f ca="1">viscosity(T_feed,treated_feed_tds)</f>
        <v>1.1445068751800669E-3</v>
      </c>
      <c r="D227" t="s">
        <v>3340</v>
      </c>
    </row>
    <row r="228" spans="1:5">
      <c r="A228" t="s">
        <v>2086</v>
      </c>
      <c r="B228" s="3" t="s">
        <v>2087</v>
      </c>
      <c r="C228" s="100">
        <f ca="1">visc_feed/visc_ref</f>
        <v>1.2772588396411926</v>
      </c>
    </row>
    <row r="230" spans="1:5">
      <c r="A230" s="20" t="s">
        <v>1640</v>
      </c>
    </row>
    <row r="231" spans="1:5">
      <c r="A231" s="14" t="s">
        <v>1641</v>
      </c>
      <c r="B231" s="3" t="s">
        <v>1642</v>
      </c>
      <c r="C231" s="103">
        <f ca="1">ionstrength(tfeed_meq_bal,ion_charge)</f>
        <v>5.6936516598127165E-2</v>
      </c>
    </row>
    <row r="232" spans="1:5">
      <c r="A232" s="14"/>
      <c r="C232" s="103"/>
    </row>
    <row r="233" spans="1:5">
      <c r="A233" s="49" t="s">
        <v>1342</v>
      </c>
      <c r="C233" s="103"/>
    </row>
    <row r="234" spans="1:5">
      <c r="A234" t="s">
        <v>1337</v>
      </c>
      <c r="B234" s="3" t="s">
        <v>1643</v>
      </c>
      <c r="C234" s="100">
        <f ca="1">SQRT(tfeed_ion_strength)/(1+1.4*SQRT(tfeed_ion_strength))</f>
        <v>0.17886292681794597</v>
      </c>
    </row>
    <row r="235" spans="1:5">
      <c r="A235" t="s">
        <v>305</v>
      </c>
      <c r="B235" s="3" t="s">
        <v>1644</v>
      </c>
      <c r="C235" s="100">
        <f ca="1">pK1_uncorr_feed-0.5*tfeed_pK_corr</f>
        <v>6.3389185365910272</v>
      </c>
    </row>
    <row r="236" spans="1:5">
      <c r="A236" t="s">
        <v>2786</v>
      </c>
      <c r="B236" s="3" t="s">
        <v>1645</v>
      </c>
      <c r="C236" s="100">
        <f ca="1">pK2_uncorr_feed-2*tfeed_pK_corr</f>
        <v>10.09995914636411</v>
      </c>
    </row>
    <row r="237" spans="1:5">
      <c r="A237" s="14" t="s">
        <v>1646</v>
      </c>
      <c r="B237" s="3" t="s">
        <v>1647</v>
      </c>
      <c r="C237" s="133">
        <f>10^(treated_feed_pH-pKWater_feed)</f>
        <v>1.3816403243536894E-8</v>
      </c>
      <c r="E237" s="70" t="s">
        <v>1635</v>
      </c>
    </row>
    <row r="238" spans="1:5">
      <c r="A238" s="14" t="s">
        <v>1345</v>
      </c>
      <c r="B238" s="3" t="s">
        <v>1648</v>
      </c>
      <c r="C238" s="147">
        <f ca="1">0.5*(SQRT(tfeed_ion_strength)/(1+SQRT(tfeed_ion_strength))-0.3*tfeed_ion_strength)</f>
        <v>8.7782424378341564E-2</v>
      </c>
    </row>
    <row r="239" spans="1:5">
      <c r="A239" s="14" t="s">
        <v>3098</v>
      </c>
      <c r="B239" s="3" t="s">
        <v>1649</v>
      </c>
      <c r="C239" s="147">
        <f ca="1">0.5*4*(SQRT(tfeed_ion_strength)/(1+SQRT(tfeed_ion_strength))-0.3*tfeed_ion_strength)</f>
        <v>0.35112969751336626</v>
      </c>
    </row>
    <row r="240" spans="1:5">
      <c r="A240" s="14" t="s">
        <v>1650</v>
      </c>
      <c r="B240" s="3" t="s">
        <v>1651</v>
      </c>
      <c r="C240" s="133">
        <f ca="1">C201*10^-tfeed_hco3_corr/1000+C202*10^-tfeed_co3_corr/1000+tfeed_OHminus-H_tfeed</f>
        <v>1.0160550605670285E-3</v>
      </c>
    </row>
    <row r="241" spans="1:5">
      <c r="A241" s="14" t="s">
        <v>1652</v>
      </c>
      <c r="B241" s="3" t="s">
        <v>1653</v>
      </c>
      <c r="C241" s="147">
        <f ca="1">-LOG10(tfeed_alkalinity)</f>
        <v>2.9930827567642022</v>
      </c>
    </row>
    <row r="242" spans="1:5">
      <c r="A242" s="14" t="s">
        <v>1654</v>
      </c>
      <c r="B242" s="3" t="s">
        <v>1655</v>
      </c>
      <c r="C242" s="133">
        <f ca="1">C195/2*10^-tfeed_co3_corr/1000</f>
        <v>3.0574540618116364E-3</v>
      </c>
    </row>
    <row r="243" spans="1:5">
      <c r="A243" s="14" t="s">
        <v>1656</v>
      </c>
      <c r="B243" s="3" t="s">
        <v>1657</v>
      </c>
      <c r="C243" s="147">
        <f ca="1">-LOG10(tfeed_Ca)</f>
        <v>2.5146400595088783</v>
      </c>
    </row>
    <row r="244" spans="1:5">
      <c r="A244" s="14" t="s">
        <v>1658</v>
      </c>
      <c r="B244" s="3" t="s">
        <v>1659</v>
      </c>
      <c r="C244" s="147">
        <f ca="1">pK2_uncorr_feed-pKSo_feed+tfeed_pAlk+tfeed_pCa</f>
        <v>7.5352346825627556</v>
      </c>
    </row>
    <row r="245" spans="1:5">
      <c r="A245" s="14" t="s">
        <v>1660</v>
      </c>
      <c r="B245" s="3" t="s">
        <v>1661</v>
      </c>
      <c r="C245" s="147">
        <f ca="1">treated_feed_pH-tfeed_pH_s</f>
        <v>-1.0352346825627556</v>
      </c>
    </row>
    <row r="246" spans="1:5">
      <c r="A246" s="14"/>
      <c r="C246" s="103"/>
    </row>
    <row r="247" spans="1:5">
      <c r="A247" s="49" t="s">
        <v>147</v>
      </c>
      <c r="C247" s="103"/>
    </row>
    <row r="248" spans="1:5">
      <c r="A248" s="14" t="s">
        <v>150</v>
      </c>
      <c r="B248" s="3" t="s">
        <v>1662</v>
      </c>
      <c r="C248" s="103">
        <f>IF(treated_feed_pH&lt;7,1.84-0.12*treated_feed_pH,IF(treated_feed_pH&gt;7.75,((0.3102*treated_feed_pH-7.7173)*treated_feed_pH+64.611)*treated_feed_pH-180.63,1))</f>
        <v>1.06</v>
      </c>
      <c r="E248" s="70" t="s">
        <v>1636</v>
      </c>
    </row>
    <row r="249" spans="1:5">
      <c r="A249" s="14" t="s">
        <v>152</v>
      </c>
      <c r="B249" s="3" t="s">
        <v>1663</v>
      </c>
      <c r="C249" s="100">
        <f>sio2_sat_base*tfeed_sio2_sat_corr</f>
        <v>111.30000000000001</v>
      </c>
      <c r="D249" t="s">
        <v>3261</v>
      </c>
    </row>
    <row r="250" spans="1:5">
      <c r="A250" s="14" t="s">
        <v>154</v>
      </c>
      <c r="B250" s="3" t="s">
        <v>1664</v>
      </c>
      <c r="C250" s="148">
        <f ca="1">C221/tfeed_sio2_sat</f>
        <v>4.4923629829290199E-2</v>
      </c>
    </row>
    <row r="251" spans="1:5">
      <c r="A251" s="14"/>
      <c r="C251" s="103"/>
    </row>
    <row r="252" spans="1:5">
      <c r="A252" s="49" t="s">
        <v>156</v>
      </c>
      <c r="C252" s="103"/>
    </row>
    <row r="253" spans="1:5">
      <c r="A253" s="14" t="s">
        <v>1111</v>
      </c>
      <c r="B253" s="3" t="s">
        <v>1665</v>
      </c>
      <c r="C253" s="133">
        <f ca="1">(((1.1802*tfeed_ion_strength-6.6149)*tfeed_ion_strength+22.163)*tfeed_ion_strength+0.6981)*0.0001</f>
        <v>1.9387578886658559E-4</v>
      </c>
      <c r="E253" s="70" t="s">
        <v>1637</v>
      </c>
    </row>
    <row r="254" spans="1:5">
      <c r="A254" s="14" t="s">
        <v>1113</v>
      </c>
      <c r="B254" s="3" t="s">
        <v>1666</v>
      </c>
      <c r="C254" s="133">
        <f ca="1">C210/(ion_ca ion_mol_wt)/1000*C219/(ion_so4 ion_mol_wt)/1000</f>
        <v>5.1006170150019778E-5</v>
      </c>
    </row>
    <row r="255" spans="1:5">
      <c r="A255" s="14" t="s">
        <v>1115</v>
      </c>
      <c r="B255" s="3" t="s">
        <v>1667</v>
      </c>
      <c r="C255" s="148">
        <f ca="1">tfeed_caso4_ip/tfeed_caso4_ksp</f>
        <v>0.26308684776065233</v>
      </c>
    </row>
    <row r="256" spans="1:5">
      <c r="A256" s="14"/>
      <c r="C256" s="103"/>
    </row>
    <row r="257" spans="1:5">
      <c r="A257" s="49" t="s">
        <v>1117</v>
      </c>
      <c r="C257" s="103"/>
    </row>
    <row r="258" spans="1:5">
      <c r="A258" s="14" t="s">
        <v>1126</v>
      </c>
      <c r="B258" s="3" t="s">
        <v>1668</v>
      </c>
      <c r="C258" s="147">
        <f ca="1" xml:space="preserve"> 10 ^-(0.5*4*SQRT(tfeed_ion_strength) / (1+1.4*SQRT(tfeed_ion_strength)-0.2*tfeed_ion_strength))</f>
        <v>0.43570683287966822</v>
      </c>
      <c r="E258" s="70" t="s">
        <v>1674</v>
      </c>
    </row>
    <row r="259" spans="1:5">
      <c r="A259" s="14" t="s">
        <v>1128</v>
      </c>
      <c r="B259" s="3" t="s">
        <v>1669</v>
      </c>
      <c r="C259" s="147">
        <f ca="1" xml:space="preserve"> 10 ^ -(0.5*SQRT(tfeed_ion_strength) / (1+SQRT(tfeed_ion_strength))-0.2*tfeed_ion_strength)</f>
        <v>0.82236458920450428</v>
      </c>
    </row>
    <row r="260" spans="1:5">
      <c r="A260" s="14" t="s">
        <v>1130</v>
      </c>
      <c r="B260" s="3" t="s">
        <v>1670</v>
      </c>
      <c r="C260" s="133">
        <f ca="1">C210/(ion_ca ion_mol_wt)/1000*tfeed_ca_corr</f>
        <v>2.990088266287905E-3</v>
      </c>
      <c r="D260" t="s">
        <v>194</v>
      </c>
    </row>
    <row r="261" spans="1:5">
      <c r="A261" s="14" t="s">
        <v>1132</v>
      </c>
      <c r="B261" s="3" t="s">
        <v>1671</v>
      </c>
      <c r="C261" s="133">
        <f ca="1">C220/(ion_f ion_mol_wt)/1000*tfeed_f_corr</f>
        <v>1.2982173671287184E-5</v>
      </c>
      <c r="D261" t="s">
        <v>194</v>
      </c>
    </row>
    <row r="262" spans="1:5">
      <c r="A262" s="14" t="s">
        <v>1134</v>
      </c>
      <c r="B262" s="3" t="s">
        <v>1672</v>
      </c>
      <c r="C262" s="133">
        <f ca="1">tfeed_ca_molL*tfeed_f_molL*tfeed_f_molL</f>
        <v>5.0394000748271648E-13</v>
      </c>
    </row>
    <row r="263" spans="1:5">
      <c r="A263" s="14" t="s">
        <v>1136</v>
      </c>
      <c r="B263" s="3" t="s">
        <v>1673</v>
      </c>
      <c r="C263" s="148">
        <f ca="1">tfeed_caf2_ip/caf2_ksp</f>
        <v>2.6404952951217635E-2</v>
      </c>
    </row>
    <row r="265" spans="1:5">
      <c r="A265" s="49" t="s">
        <v>3255</v>
      </c>
    </row>
    <row r="266" spans="1:5">
      <c r="A266" s="14" t="s">
        <v>1070</v>
      </c>
      <c r="B266" s="3" t="s">
        <v>3163</v>
      </c>
      <c r="C266" s="133">
        <f ca="1">((((3.872*tfeed_ion_strength-5.4453)*tfeed_ion_strength+0.6729)*tfeed_ion_strength+8.263)*tfeed_ion_strength+0.1374)*0.000000001</f>
        <v>6.0908344687364171E-10</v>
      </c>
      <c r="E266" s="70" t="s">
        <v>3256</v>
      </c>
    </row>
    <row r="267" spans="1:5">
      <c r="A267" s="14" t="s">
        <v>1068</v>
      </c>
      <c r="B267" s="3" t="s">
        <v>3164</v>
      </c>
      <c r="C267" s="133">
        <f ca="1">C214/(ion_ba ion_mol_wt)/1000*C219/(ion_so4 ion_mol_wt)/1000</f>
        <v>2.7063919663380765E-9</v>
      </c>
    </row>
    <row r="268" spans="1:5">
      <c r="A268" s="14" t="s">
        <v>1069</v>
      </c>
      <c r="B268" s="3" t="s">
        <v>3165</v>
      </c>
      <c r="C268" s="148">
        <f ca="1">tfeed_baso4_ip/tfeed_baso4_ksp</f>
        <v>4.443384531675731</v>
      </c>
    </row>
    <row r="270" spans="1:5">
      <c r="A270" s="49" t="s">
        <v>1074</v>
      </c>
    </row>
    <row r="271" spans="1:5">
      <c r="A271" s="14" t="s">
        <v>1071</v>
      </c>
      <c r="B271" s="3" t="s">
        <v>3166</v>
      </c>
      <c r="C271" s="133">
        <f ca="1">IF(tfeed_ion_strength&lt;=0.3,((((152941*tfeed_ion_strength-51018)*tfeed_ion_strength+3871.8)*tfeed_ion_strength+2216.3)*tfeed_ion_strength + 25.318)*0.00000001,(((507.35*tfeed_ion_strength-2516.8)*tfeed_ion_strength+4396.6)*tfeed_ion_strength-177.1)*0.00000001)</f>
        <v>1.5624849687363653E-6</v>
      </c>
      <c r="E271" s="70" t="s">
        <v>1078</v>
      </c>
    </row>
    <row r="272" spans="1:5">
      <c r="A272" s="14" t="s">
        <v>1072</v>
      </c>
      <c r="B272" s="3" t="s">
        <v>3167</v>
      </c>
      <c r="C272" s="133">
        <f ca="1">C215/(ion_sr ion_mol_wt)/1000*C219/(ion_so4 ion_mol_wt)/1000</f>
        <v>8.4842700903189099E-8</v>
      </c>
    </row>
    <row r="273" spans="1:5">
      <c r="A273" s="14" t="s">
        <v>1073</v>
      </c>
      <c r="B273" s="3" t="s">
        <v>3168</v>
      </c>
      <c r="C273" s="148">
        <f ca="1">tfeed_srso4_ip/tfeed_srso4_ksp</f>
        <v>5.429985094308093E-2</v>
      </c>
      <c r="E273" s="459"/>
    </row>
  </sheetData>
  <phoneticPr fontId="0" type="noConversion"/>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E120"/>
  <sheetViews>
    <sheetView zoomScaleNormal="100" workbookViewId="0">
      <pane ySplit="3" topLeftCell="A8" activePane="bottomLeft" state="frozen"/>
      <selection activeCell="B46" sqref="B46"/>
      <selection pane="bottomLeft" activeCell="B33" sqref="B33"/>
    </sheetView>
  </sheetViews>
  <sheetFormatPr baseColWidth="10" defaultColWidth="9.1640625" defaultRowHeight="13"/>
  <cols>
    <col min="1" max="1" width="49.5" style="77" bestFit="1" customWidth="1"/>
    <col min="2" max="2" width="21.83203125" style="77" bestFit="1" customWidth="1"/>
    <col min="3" max="3" width="10.5" style="77" bestFit="1" customWidth="1"/>
    <col min="4" max="4" width="13.5" style="77" customWidth="1"/>
    <col min="5" max="5" width="9.1640625" style="78"/>
    <col min="6" max="16384" width="9.1640625" style="77"/>
  </cols>
  <sheetData>
    <row r="1" spans="1:5">
      <c r="A1" s="1" t="s">
        <v>5470</v>
      </c>
    </row>
    <row r="3" spans="1:5">
      <c r="A3" s="235" t="s">
        <v>5172</v>
      </c>
      <c r="B3" s="236" t="s">
        <v>1989</v>
      </c>
      <c r="C3" s="237" t="s">
        <v>1990</v>
      </c>
      <c r="D3" s="236" t="s">
        <v>2961</v>
      </c>
      <c r="E3" s="236" t="s">
        <v>1991</v>
      </c>
    </row>
    <row r="4" spans="1:5">
      <c r="A4" s="84" t="s">
        <v>1685</v>
      </c>
      <c r="E4" s="78" t="s">
        <v>1686</v>
      </c>
    </row>
    <row r="5" spans="1:5">
      <c r="A5" s="77" t="s">
        <v>1687</v>
      </c>
      <c r="B5" s="97" t="s">
        <v>1689</v>
      </c>
      <c r="C5" s="77">
        <f ca="1">CHOOSE(feed_water_type,IF(feed_sdi&lt;1,flux_min_SDI1_GW,IF(feed_sdi&lt;3,flux_min_SDI3_GW,flux_min_SDI5_GW)),IF(feed_sdi&lt;1,flux_min_SDI1_SW,IF(feed_sdi&lt;3,flux_min_SDI3_SW,flux_min_SDI5_SW)))</f>
        <v>10</v>
      </c>
      <c r="D5" s="77" t="s">
        <v>1950</v>
      </c>
    </row>
    <row r="6" spans="1:5">
      <c r="A6" s="77" t="s">
        <v>1688</v>
      </c>
      <c r="B6" s="97" t="s">
        <v>1690</v>
      </c>
      <c r="C6" s="77">
        <f ca="1">CHOOSE(feed_water_type,IF(feed_sdi&lt;1,flux_max_SDI1_GW,IF(feed_sdi&lt;3,flux_max_SDI3_GW,flux_max_SDI5_GW)),IF(feed_sdi&lt;1,flux_max_SDI1_SW,IF(feed_sdi&lt;3,flux_max_SDI3_SW,flux_max_SDI5_SW)))</f>
        <v>16</v>
      </c>
      <c r="D6" s="77" t="s">
        <v>1950</v>
      </c>
    </row>
    <row r="8" spans="1:5">
      <c r="A8" s="84" t="s">
        <v>4363</v>
      </c>
    </row>
    <row r="9" spans="1:5">
      <c r="A9" s="77" t="s">
        <v>512</v>
      </c>
      <c r="B9" s="97" t="s">
        <v>4364</v>
      </c>
      <c r="C9" s="98">
        <f>design_flow_rate/target_recovery</f>
        <v>1992.5925925925924</v>
      </c>
      <c r="D9" s="77" t="s">
        <v>2193</v>
      </c>
      <c r="E9" s="78" t="s">
        <v>2095</v>
      </c>
    </row>
    <row r="10" spans="1:5">
      <c r="A10" s="77" t="s">
        <v>514</v>
      </c>
      <c r="B10" s="97" t="s">
        <v>4365</v>
      </c>
      <c r="C10" s="98">
        <f>design_flow_rate</f>
        <v>1494.4444444444443</v>
      </c>
      <c r="D10" s="77" t="s">
        <v>2193</v>
      </c>
    </row>
    <row r="11" spans="1:5">
      <c r="A11" s="77" t="s">
        <v>517</v>
      </c>
      <c r="B11" s="97" t="s">
        <v>518</v>
      </c>
      <c r="C11" s="98">
        <f>design_flow*1000000/design_flux</f>
        <v>179333.33333333334</v>
      </c>
      <c r="D11" s="77" t="s">
        <v>3331</v>
      </c>
      <c r="E11" s="78" t="s">
        <v>2094</v>
      </c>
    </row>
    <row r="12" spans="1:5">
      <c r="A12" s="77" t="s">
        <v>4244</v>
      </c>
      <c r="B12" s="97"/>
      <c r="C12" s="77">
        <f ca="1">sys_element_area_I</f>
        <v>400</v>
      </c>
      <c r="D12" s="77" t="s">
        <v>3331</v>
      </c>
      <c r="E12" s="78" t="s">
        <v>2082</v>
      </c>
    </row>
    <row r="13" spans="1:5">
      <c r="A13" s="77" t="s">
        <v>4245</v>
      </c>
      <c r="B13" s="97" t="s">
        <v>4246</v>
      </c>
      <c r="C13" s="77">
        <f ca="1">ROUNDUP(total_area_req/sys_element_area_I,0)</f>
        <v>449</v>
      </c>
      <c r="D13" s="77" t="s">
        <v>2081</v>
      </c>
    </row>
    <row r="14" spans="1:5">
      <c r="B14" s="97"/>
    </row>
    <row r="15" spans="1:5">
      <c r="A15" s="77" t="s">
        <v>4478</v>
      </c>
      <c r="B15" s="97" t="s">
        <v>4479</v>
      </c>
      <c r="C15" s="77">
        <f ca="1">IF(sys_element_diam&lt;5, 1, IF(sys_element_diam&lt;9,2,3))</f>
        <v>2</v>
      </c>
      <c r="E15" s="78" t="s">
        <v>4480</v>
      </c>
    </row>
    <row r="17" spans="1:5">
      <c r="A17" s="84" t="s">
        <v>4324</v>
      </c>
    </row>
    <row r="18" spans="1:5">
      <c r="A18" s="77" t="s">
        <v>2583</v>
      </c>
      <c r="B18" s="97" t="s">
        <v>2584</v>
      </c>
      <c r="C18" s="90">
        <f ca="1">max_recovery</f>
        <v>0.17</v>
      </c>
    </row>
    <row r="19" spans="1:5">
      <c r="A19" s="77" t="s">
        <v>2585</v>
      </c>
      <c r="B19" s="97" t="s">
        <v>2586</v>
      </c>
      <c r="C19" s="99">
        <f ca="1">avg_Y_el_targ_frac*max_Y_el</f>
        <v>0.11899999999999999</v>
      </c>
    </row>
    <row r="20" spans="1:5">
      <c r="A20" s="77" t="s">
        <v>2295</v>
      </c>
      <c r="B20" s="97" t="s">
        <v>2296</v>
      </c>
      <c r="C20" s="100">
        <f ca="1">LN(1-target_recovery)/LN(1-avg_Y_el_targ)</f>
        <v>10.941752493371244</v>
      </c>
    </row>
    <row r="21" spans="1:5">
      <c r="A21" s="77" t="s">
        <v>2298</v>
      </c>
      <c r="B21" s="97" t="s">
        <v>2299</v>
      </c>
      <c r="C21" s="77">
        <f ca="1">CHOOSE(element_class,el_per_vess_max_8,el_per_vess_max_8,el_per_vess_max_16)</f>
        <v>8</v>
      </c>
      <c r="E21" s="78" t="s">
        <v>2673</v>
      </c>
    </row>
    <row r="22" spans="1:5">
      <c r="A22" s="77" t="s">
        <v>2672</v>
      </c>
      <c r="B22" s="97" t="s">
        <v>2297</v>
      </c>
      <c r="C22" s="77">
        <f ca="1">CHOOSE(element_class,el_per_vess_std_8,el_per_vess_std_8,el_per_vess_std_16)</f>
        <v>6</v>
      </c>
    </row>
    <row r="23" spans="1:5">
      <c r="A23" s="77" t="s">
        <v>3979</v>
      </c>
      <c r="B23" s="97" t="s">
        <v>2300</v>
      </c>
      <c r="C23" s="77">
        <f ca="1">ROUNDUP(n_el_series/el_per_vess_max,0)</f>
        <v>2</v>
      </c>
    </row>
    <row r="24" spans="1:5">
      <c r="A24" s="77" t="s">
        <v>2301</v>
      </c>
      <c r="B24" s="97" t="s">
        <v>2729</v>
      </c>
      <c r="C24" s="77">
        <f ca="1">IF(n_stages&gt;1,MAX(el_per_vess_std,ROUNDUP(n_el_series/n_stages,0)),ROUNDUP(n_el_series,0))</f>
        <v>6</v>
      </c>
    </row>
    <row r="25" spans="1:5">
      <c r="A25" s="77" t="s">
        <v>2730</v>
      </c>
      <c r="B25" s="97" t="s">
        <v>2731</v>
      </c>
      <c r="C25" s="98">
        <f ca="1">el_per_vess*sys_element_area_I</f>
        <v>2400</v>
      </c>
      <c r="D25" s="77" t="s">
        <v>3331</v>
      </c>
    </row>
    <row r="26" spans="1:5">
      <c r="A26" s="77" t="s">
        <v>2732</v>
      </c>
      <c r="B26" s="97" t="s">
        <v>2733</v>
      </c>
      <c r="C26" s="77">
        <f ca="1">n_stages*el_per_vess</f>
        <v>12</v>
      </c>
    </row>
    <row r="27" spans="1:5">
      <c r="A27" s="77" t="s">
        <v>2734</v>
      </c>
      <c r="B27" s="97" t="s">
        <v>2735</v>
      </c>
      <c r="C27" s="99">
        <f ca="1">1-(1-target_recovery)^(1/el_series)</f>
        <v>0.10910128185966073</v>
      </c>
    </row>
    <row r="28" spans="1:5">
      <c r="A28" s="77" t="s">
        <v>4351</v>
      </c>
      <c r="B28" s="97" t="s">
        <v>2737</v>
      </c>
      <c r="C28" s="77">
        <f ca="1">ROUNDUP(total_elements_req/el_per_vess,0)</f>
        <v>75</v>
      </c>
    </row>
    <row r="29" spans="1:5">
      <c r="A29" s="77" t="s">
        <v>4352</v>
      </c>
      <c r="B29" s="97" t="s">
        <v>2739</v>
      </c>
      <c r="C29" s="77">
        <f ca="1">n_vessels*el_per_vess</f>
        <v>450</v>
      </c>
    </row>
    <row r="30" spans="1:5">
      <c r="B30" s="97"/>
    </row>
    <row r="31" spans="1:5">
      <c r="A31" s="84" t="s">
        <v>2114</v>
      </c>
      <c r="B31" s="97"/>
    </row>
    <row r="32" spans="1:5">
      <c r="A32" s="77" t="s">
        <v>4672</v>
      </c>
      <c r="B32" s="97" t="s">
        <v>4630</v>
      </c>
      <c r="C32" s="77">
        <f ca="1">CHOOSE(element_class, max_flow_rack_4,  max_flow_rack_8, max_flow_rack_16)</f>
        <v>3</v>
      </c>
      <c r="D32" s="77" t="s">
        <v>1093</v>
      </c>
    </row>
    <row r="33" spans="1:5">
      <c r="A33" s="77" t="s">
        <v>4359</v>
      </c>
      <c r="B33" s="31" t="s">
        <v>4346</v>
      </c>
      <c r="C33" s="14">
        <f ca="1">ROUNDUP(IF(op_trains_I&gt;0,op_trains_I,MAX(min_op_trains,design_flow/max_flow_rack)),0)</f>
        <v>2</v>
      </c>
      <c r="D33" s="77" t="s">
        <v>4355</v>
      </c>
      <c r="E33" s="78" t="s">
        <v>4671</v>
      </c>
    </row>
    <row r="34" spans="1:5">
      <c r="A34" s="77" t="s">
        <v>4360</v>
      </c>
      <c r="B34" s="31" t="s">
        <v>4361</v>
      </c>
      <c r="C34" s="14">
        <f ca="1">ROUNDUP(n_vessels/op_trains,0)</f>
        <v>38</v>
      </c>
      <c r="D34" s="77" t="s">
        <v>4362</v>
      </c>
    </row>
    <row r="35" spans="1:5">
      <c r="A35" s="77" t="s">
        <v>4368</v>
      </c>
      <c r="B35" s="31" t="s">
        <v>4369</v>
      </c>
      <c r="C35" s="14">
        <f ca="1">PVs_per_train_prelim*el_per_vess</f>
        <v>228</v>
      </c>
      <c r="D35" s="77" t="s">
        <v>4370</v>
      </c>
    </row>
    <row r="36" spans="1:5">
      <c r="B36" s="97"/>
    </row>
    <row r="37" spans="1:5">
      <c r="A37" s="77" t="s">
        <v>4366</v>
      </c>
      <c r="B37" s="97" t="s">
        <v>513</v>
      </c>
      <c r="C37" s="98">
        <f ca="1">design_Qfeed_full/op_trains</f>
        <v>996.29629629629619</v>
      </c>
      <c r="D37" s="77" t="s">
        <v>2193</v>
      </c>
    </row>
    <row r="38" spans="1:5">
      <c r="A38" s="77" t="s">
        <v>4367</v>
      </c>
      <c r="B38" s="97" t="s">
        <v>515</v>
      </c>
      <c r="C38" s="98">
        <f ca="1">design_Qperm_full/op_trains</f>
        <v>747.22222222222217</v>
      </c>
      <c r="D38" s="77" t="s">
        <v>2193</v>
      </c>
    </row>
    <row r="39" spans="1:5">
      <c r="B39" s="97"/>
    </row>
    <row r="40" spans="1:5">
      <c r="A40" s="77" t="s">
        <v>2740</v>
      </c>
      <c r="B40" s="97" t="s">
        <v>2741</v>
      </c>
      <c r="C40" s="100">
        <f ca="1">(1-target_recovery)^(-1/n_stages)</f>
        <v>2</v>
      </c>
    </row>
    <row r="41" spans="1:5">
      <c r="A41" s="77" t="s">
        <v>2742</v>
      </c>
      <c r="B41" s="97" t="s">
        <v>2743</v>
      </c>
      <c r="C41" s="99">
        <f ca="1">1-1/target_staging_ratio</f>
        <v>0.5</v>
      </c>
    </row>
    <row r="43" spans="1:5">
      <c r="A43" s="84" t="s">
        <v>2744</v>
      </c>
    </row>
    <row r="44" spans="1:5">
      <c r="A44" s="101" t="s">
        <v>2745</v>
      </c>
    </row>
    <row r="45" spans="1:5">
      <c r="A45" s="77" t="s">
        <v>1927</v>
      </c>
      <c r="B45" s="97" t="s">
        <v>1928</v>
      </c>
      <c r="C45" s="77">
        <f ca="1">max_feed_flow_I</f>
        <v>75</v>
      </c>
      <c r="D45" s="77" t="s">
        <v>2193</v>
      </c>
    </row>
    <row r="47" spans="1:5">
      <c r="A47" s="102" t="s">
        <v>1929</v>
      </c>
    </row>
    <row r="48" spans="1:5">
      <c r="A48" s="77" t="s">
        <v>1930</v>
      </c>
      <c r="B48" s="97" t="s">
        <v>1931</v>
      </c>
      <c r="C48" s="100">
        <f ca="1">max_deltaP_el_I</f>
        <v>10</v>
      </c>
      <c r="D48" s="77" t="s">
        <v>3749</v>
      </c>
    </row>
    <row r="49" spans="1:5">
      <c r="A49" s="77" t="s">
        <v>1932</v>
      </c>
      <c r="B49" s="97" t="s">
        <v>1933</v>
      </c>
      <c r="C49" s="100">
        <f ca="1">(max_deltaP_el_I/(sys_element_dp_coeff_I*SQRT(visc_ratio_feed)))^(1/sys_element_dp_exp)</f>
        <v>87.155342592327628</v>
      </c>
      <c r="D49" s="77" t="s">
        <v>2193</v>
      </c>
    </row>
    <row r="50" spans="1:5">
      <c r="A50" s="77" t="s">
        <v>1934</v>
      </c>
      <c r="B50" s="97" t="s">
        <v>1935</v>
      </c>
      <c r="C50" s="100">
        <f ca="1">design_Qperm/el_per_train_prelim</f>
        <v>3.2772904483430798</v>
      </c>
      <c r="D50" s="77" t="s">
        <v>2193</v>
      </c>
      <c r="E50" s="78" t="s">
        <v>4371</v>
      </c>
    </row>
    <row r="51" spans="1:5">
      <c r="A51" s="77" t="s">
        <v>1556</v>
      </c>
      <c r="B51" s="97" t="s">
        <v>1557</v>
      </c>
      <c r="C51" s="100">
        <f ca="1">max_element_Qavg+avg_perm_flow/2</f>
        <v>88.793987816499168</v>
      </c>
      <c r="D51" s="77" t="s">
        <v>2193</v>
      </c>
    </row>
    <row r="53" spans="1:5">
      <c r="A53" s="102" t="s">
        <v>1558</v>
      </c>
    </row>
    <row r="54" spans="1:5">
      <c r="A54" s="77" t="s">
        <v>1559</v>
      </c>
      <c r="B54" s="97" t="s">
        <v>1560</v>
      </c>
      <c r="C54" s="77">
        <f ca="1">max_deltaP_ves_I</f>
        <v>50</v>
      </c>
      <c r="D54" s="77" t="s">
        <v>3749</v>
      </c>
    </row>
    <row r="55" spans="1:5">
      <c r="A55" s="77" t="s">
        <v>1561</v>
      </c>
      <c r="B55" s="97" t="s">
        <v>1562</v>
      </c>
      <c r="C55" s="100">
        <f ca="1">IF(max_vessel_dP=0,"n/a",(max_vessel_dP/(sys_element_dp_coeff_I*el_per_vess*SQRT(visc_ratio_feed)))^(1/sys_element_dp_exp))</f>
        <v>76.513132294053776</v>
      </c>
      <c r="D55" s="77" t="s">
        <v>2193</v>
      </c>
    </row>
    <row r="56" spans="1:5">
      <c r="A56" s="77" t="s">
        <v>1563</v>
      </c>
      <c r="B56" s="97" t="s">
        <v>1564</v>
      </c>
      <c r="C56" s="100">
        <f ca="1">IF(max_vessel_Qavg="n/a","n/a",-max_vessel_Qavg*LN(1-avg_Y_vess)/avg_Y_vess)</f>
        <v>106.06972385086695</v>
      </c>
      <c r="D56" s="77" t="s">
        <v>2193</v>
      </c>
      <c r="E56" s="78" t="s">
        <v>2083</v>
      </c>
    </row>
    <row r="58" spans="1:5">
      <c r="A58" s="102" t="s">
        <v>1565</v>
      </c>
    </row>
    <row r="59" spans="1:5">
      <c r="A59" s="77" t="s">
        <v>1566</v>
      </c>
      <c r="B59" s="97" t="s">
        <v>1567</v>
      </c>
      <c r="C59" s="77">
        <f ca="1">min_conc_flow_I</f>
        <v>12</v>
      </c>
      <c r="D59" s="77" t="s">
        <v>2193</v>
      </c>
    </row>
    <row r="60" spans="1:5">
      <c r="A60" s="77" t="s">
        <v>1568</v>
      </c>
      <c r="B60" s="97" t="s">
        <v>1569</v>
      </c>
      <c r="C60" s="100">
        <f ca="1">min_conc_flow_spec/(1-avg_Y_vess)</f>
        <v>24</v>
      </c>
      <c r="D60" s="77" t="s">
        <v>2193</v>
      </c>
    </row>
    <row r="62" spans="1:5">
      <c r="A62" s="102" t="s">
        <v>1570</v>
      </c>
    </row>
    <row r="63" spans="1:5">
      <c r="A63" s="77" t="s">
        <v>1571</v>
      </c>
      <c r="B63" s="97" t="s">
        <v>1572</v>
      </c>
      <c r="C63" s="100">
        <f ca="1">MIN(max_feed_flow_spec,max_feed_flow_dP_el,max_feed_flow_dP_ves)</f>
        <v>75</v>
      </c>
      <c r="D63" s="77" t="s">
        <v>2193</v>
      </c>
      <c r="E63" s="78" t="s">
        <v>2088</v>
      </c>
    </row>
    <row r="64" spans="1:5">
      <c r="A64" s="77" t="s">
        <v>1573</v>
      </c>
      <c r="B64" s="97" t="s">
        <v>1574</v>
      </c>
      <c r="C64" s="100">
        <f ca="1">min_feed_flow_conc</f>
        <v>24</v>
      </c>
      <c r="D64" s="77" t="s">
        <v>2193</v>
      </c>
    </row>
    <row r="66" spans="1:4">
      <c r="A66" s="84" t="s">
        <v>1575</v>
      </c>
    </row>
    <row r="67" spans="1:4">
      <c r="A67" s="77" t="s">
        <v>1576</v>
      </c>
      <c r="B67" s="97" t="s">
        <v>1577</v>
      </c>
      <c r="C67" s="100">
        <f ca="1">CHOOSE(n_stages,PVs_per_train_prelim,PVs_per_train_prelim/(1+1/target_staging_ratio),PVs_per_train_prelim/(1+1/target_staging_ratio+1/target_staging_ratio/target_staging_ratio))</f>
        <v>25.333333333333332</v>
      </c>
      <c r="D67" s="77" t="s">
        <v>4068</v>
      </c>
    </row>
    <row r="68" spans="1:4">
      <c r="A68" s="77" t="s">
        <v>1578</v>
      </c>
      <c r="B68" s="97" t="s">
        <v>1579</v>
      </c>
      <c r="C68" s="77">
        <f ca="1">IF(max_feed_flow=0,"n/a",ROUNDUP(design_Qfeed/max_feed_flow,0))</f>
        <v>14</v>
      </c>
      <c r="D68" s="77" t="s">
        <v>4068</v>
      </c>
    </row>
    <row r="69" spans="1:4">
      <c r="A69" s="77" t="s">
        <v>1580</v>
      </c>
      <c r="B69" s="97" t="s">
        <v>1581</v>
      </c>
      <c r="C69" s="77">
        <f ca="1">IF(min_feed_flow=0,"n/a",ROUNDDOWN(design_Qfeed/min_feed_flow,0))</f>
        <v>41</v>
      </c>
      <c r="D69" s="77" t="s">
        <v>4068</v>
      </c>
    </row>
    <row r="70" spans="1:4">
      <c r="A70" s="77" t="s">
        <v>4589</v>
      </c>
      <c r="B70" s="97" t="s">
        <v>1582</v>
      </c>
      <c r="C70" s="98">
        <f ca="1">MAX(nves_1_min,MIN(nves_1_max,ROUND(nves_1_targ,0)))</f>
        <v>25</v>
      </c>
      <c r="D70" s="77" t="s">
        <v>4068</v>
      </c>
    </row>
    <row r="71" spans="1:4">
      <c r="A71" s="77" t="s">
        <v>2940</v>
      </c>
      <c r="B71" s="97" t="s">
        <v>2941</v>
      </c>
      <c r="C71" s="100">
        <f ca="1">design_Qfeed/nves_1</f>
        <v>39.851851851851848</v>
      </c>
      <c r="D71" s="77" t="s">
        <v>2193</v>
      </c>
    </row>
    <row r="72" spans="1:4">
      <c r="A72" s="77" t="s">
        <v>2942</v>
      </c>
      <c r="B72" s="97" t="s">
        <v>2943</v>
      </c>
      <c r="C72" s="100">
        <f ca="1">Qfeed_1_guess*(1-avg_Y_vess)</f>
        <v>19.925925925925924</v>
      </c>
      <c r="D72" s="77" t="s">
        <v>2193</v>
      </c>
    </row>
    <row r="73" spans="1:4">
      <c r="A73" s="77" t="s">
        <v>1372</v>
      </c>
      <c r="B73" s="97" t="s">
        <v>1373</v>
      </c>
      <c r="C73" s="100">
        <f ca="1">(Qfeed_1_guess-Qconc_1_guess)/LN(Qfeed_1_guess/Qconc_1_guess)</f>
        <v>28.747034518454157</v>
      </c>
      <c r="D73" s="77" t="s">
        <v>2193</v>
      </c>
    </row>
    <row r="74" spans="1:4">
      <c r="A74" s="77" t="s">
        <v>1374</v>
      </c>
      <c r="B74" s="97" t="s">
        <v>1375</v>
      </c>
      <c r="C74" s="100">
        <f ca="1">Qfeed_1_guess-Qconc_1_guess</f>
        <v>19.925925925925924</v>
      </c>
      <c r="D74" s="77" t="s">
        <v>2193</v>
      </c>
    </row>
    <row r="75" spans="1:4">
      <c r="A75" s="77" t="s">
        <v>1376</v>
      </c>
      <c r="B75" s="97" t="s">
        <v>1377</v>
      </c>
      <c r="C75" s="98">
        <f ca="1">Qconc_1_guess*nves_1</f>
        <v>498.1481481481481</v>
      </c>
      <c r="D75" s="77" t="s">
        <v>2193</v>
      </c>
    </row>
    <row r="77" spans="1:4">
      <c r="A77" s="77" t="s">
        <v>1378</v>
      </c>
      <c r="B77" s="97" t="s">
        <v>1379</v>
      </c>
      <c r="C77" s="100">
        <f ca="1">IF(n_stages&gt;=2,nves_1_targ/target_staging_ratio,0)</f>
        <v>12.666666666666666</v>
      </c>
      <c r="D77" s="77" t="s">
        <v>4068</v>
      </c>
    </row>
    <row r="78" spans="1:4">
      <c r="A78" s="77" t="s">
        <v>1380</v>
      </c>
      <c r="B78" s="97" t="s">
        <v>1381</v>
      </c>
      <c r="C78" s="77">
        <f ca="1">IF(n_stages&gt;=2,IF(max_feed_flow=0,"n/a",ROUNDUP(Qconc_1_total_guess/max_feed_flow,0)),0)</f>
        <v>7</v>
      </c>
      <c r="D78" s="77" t="s">
        <v>4068</v>
      </c>
    </row>
    <row r="79" spans="1:4">
      <c r="A79" s="77" t="s">
        <v>1382</v>
      </c>
      <c r="B79" s="97" t="s">
        <v>1383</v>
      </c>
      <c r="C79" s="77">
        <f ca="1">IF(n_stages&gt;=2,IF(min_feed_flow=0,"n/a",ROUNDDOWN(Qconc_1_total_guess/min_feed_flow,0)),0)</f>
        <v>20</v>
      </c>
      <c r="D79" s="77" t="s">
        <v>4068</v>
      </c>
    </row>
    <row r="80" spans="1:4">
      <c r="A80" s="77" t="s">
        <v>1384</v>
      </c>
      <c r="B80" s="97" t="s">
        <v>1385</v>
      </c>
      <c r="C80" s="98">
        <f ca="1">IF(n_stages&gt;=2,MAX(nves_2_min,MIN(nves_2_max,ROUND(nves_2_targ,0))),0)</f>
        <v>13</v>
      </c>
      <c r="D80" s="77" t="s">
        <v>4068</v>
      </c>
    </row>
    <row r="81" spans="1:4">
      <c r="A81" s="77" t="s">
        <v>1386</v>
      </c>
      <c r="B81" s="97" t="s">
        <v>1387</v>
      </c>
      <c r="C81" s="100">
        <f ca="1">IF(n_stages&gt;=2,Qconc_1_total_guess/nves_2,0)</f>
        <v>38.319088319088316</v>
      </c>
      <c r="D81" s="77" t="s">
        <v>2193</v>
      </c>
    </row>
    <row r="82" spans="1:4">
      <c r="A82" s="77" t="s">
        <v>3095</v>
      </c>
      <c r="B82" s="97" t="s">
        <v>3096</v>
      </c>
      <c r="C82" s="100">
        <f ca="1">IF(n_stages&gt;=2,Qfeed_2_guess*(1-avg_Y_vess),0)</f>
        <v>19.159544159544158</v>
      </c>
      <c r="D82" s="77" t="s">
        <v>2193</v>
      </c>
    </row>
    <row r="83" spans="1:4">
      <c r="A83" s="77" t="s">
        <v>2327</v>
      </c>
      <c r="B83" s="97" t="s">
        <v>2328</v>
      </c>
      <c r="C83" s="100">
        <f ca="1">IF(n_stages&gt;=2,(Qfeed_2_guess-Qconc_2_guess)/LN(Qfeed_2_guess/Qconc_2_guess),0)</f>
        <v>27.64137934466746</v>
      </c>
      <c r="D83" s="77" t="s">
        <v>2193</v>
      </c>
    </row>
    <row r="84" spans="1:4">
      <c r="A84" s="77" t="s">
        <v>2329</v>
      </c>
      <c r="B84" s="97" t="s">
        <v>2330</v>
      </c>
      <c r="C84" s="100">
        <f ca="1">Qfeed_2_guess-Qconc_2_guess</f>
        <v>19.159544159544158</v>
      </c>
      <c r="D84" s="77" t="s">
        <v>2193</v>
      </c>
    </row>
    <row r="85" spans="1:4">
      <c r="A85" s="77" t="s">
        <v>2331</v>
      </c>
      <c r="B85" s="97" t="s">
        <v>1977</v>
      </c>
      <c r="C85" s="98">
        <f ca="1">Qconc_2_guess*nves_2</f>
        <v>249.07407407407405</v>
      </c>
      <c r="D85" s="77" t="s">
        <v>2193</v>
      </c>
    </row>
    <row r="87" spans="1:4">
      <c r="A87" s="77" t="s">
        <v>1978</v>
      </c>
      <c r="B87" s="97" t="s">
        <v>1979</v>
      </c>
      <c r="C87" s="100">
        <f ca="1">IF(n_stages&gt;=3,nves_2_targ/target_staging_ratio,0)</f>
        <v>0</v>
      </c>
      <c r="D87" s="77" t="s">
        <v>4068</v>
      </c>
    </row>
    <row r="88" spans="1:4">
      <c r="A88" s="77" t="s">
        <v>1980</v>
      </c>
      <c r="B88" s="97" t="s">
        <v>1981</v>
      </c>
      <c r="C88" s="77">
        <f ca="1">IF(n_stages&gt;=3,IF(max_feed_flow=0,"n/a",ROUNDUP(Qconc_2_total_guess/max_feed_flow,0)),0)</f>
        <v>0</v>
      </c>
      <c r="D88" s="77" t="s">
        <v>4068</v>
      </c>
    </row>
    <row r="89" spans="1:4">
      <c r="A89" s="77" t="s">
        <v>1982</v>
      </c>
      <c r="B89" s="97" t="s">
        <v>1983</v>
      </c>
      <c r="C89" s="77">
        <f ca="1">IF(n_stages&gt;=3,IF(min_feed_flow=0,"n/a",ROUNDDOWN(Qconc_2_total_guess/min_feed_flow,0)),0)</f>
        <v>0</v>
      </c>
      <c r="D89" s="77" t="s">
        <v>4068</v>
      </c>
    </row>
    <row r="90" spans="1:4">
      <c r="A90" s="77" t="s">
        <v>1984</v>
      </c>
      <c r="B90" s="97" t="s">
        <v>1985</v>
      </c>
      <c r="C90" s="98">
        <f ca="1">IF(n_stages&gt;=3,MAX(nves_3_min,MIN(nves_3_max,ROUND(nves_3_targ,0))),0)</f>
        <v>0</v>
      </c>
      <c r="D90" s="77" t="s">
        <v>4068</v>
      </c>
    </row>
    <row r="91" spans="1:4">
      <c r="A91" s="77" t="s">
        <v>1986</v>
      </c>
      <c r="B91" s="97" t="s">
        <v>1987</v>
      </c>
      <c r="C91" s="100">
        <f ca="1">IF(n_stages&gt;=3,Qconc_2_total_guess/nves_3,0)</f>
        <v>0</v>
      </c>
      <c r="D91" s="77" t="s">
        <v>2193</v>
      </c>
    </row>
    <row r="92" spans="1:4">
      <c r="A92" s="77" t="s">
        <v>4322</v>
      </c>
      <c r="B92" s="97" t="s">
        <v>4323</v>
      </c>
      <c r="C92" s="100">
        <f ca="1">IF(n_stages&gt;=3,Qfeed_3_guess*(1-avg_Y_vess),0)</f>
        <v>0</v>
      </c>
      <c r="D92" s="77" t="s">
        <v>2193</v>
      </c>
    </row>
    <row r="93" spans="1:4">
      <c r="A93" s="77" t="s">
        <v>3087</v>
      </c>
      <c r="B93" s="97" t="s">
        <v>3088</v>
      </c>
      <c r="C93" s="100">
        <f ca="1">IF(n_stages&gt;=3,(Qfeed_3_guess-Qconc_3_guess)/LN(Qfeed_3_guess/Qconc_3_guess),0)</f>
        <v>0</v>
      </c>
      <c r="D93" s="77" t="s">
        <v>2193</v>
      </c>
    </row>
    <row r="94" spans="1:4">
      <c r="A94" s="77" t="s">
        <v>3089</v>
      </c>
      <c r="B94" s="97" t="s">
        <v>3090</v>
      </c>
      <c r="C94" s="100">
        <f ca="1">Qfeed_3_guess-Qconc_3_guess</f>
        <v>0</v>
      </c>
      <c r="D94" s="77" t="s">
        <v>2193</v>
      </c>
    </row>
    <row r="95" spans="1:4">
      <c r="A95" s="77" t="s">
        <v>3091</v>
      </c>
      <c r="B95" s="97" t="s">
        <v>3092</v>
      </c>
      <c r="C95" s="98">
        <f ca="1">Qconc_3_guess*nves_3</f>
        <v>0</v>
      </c>
      <c r="D95" s="77" t="s">
        <v>2193</v>
      </c>
    </row>
    <row r="97" spans="1:4">
      <c r="A97" s="77" t="s">
        <v>4372</v>
      </c>
      <c r="B97" s="97" t="s">
        <v>3335</v>
      </c>
      <c r="C97" s="77">
        <f ca="1">nves_1+nves_2+nves_3</f>
        <v>38</v>
      </c>
      <c r="D97" s="77" t="s">
        <v>4068</v>
      </c>
    </row>
    <row r="98" spans="1:4">
      <c r="A98" s="77" t="s">
        <v>4373</v>
      </c>
      <c r="B98" s="97" t="s">
        <v>4374</v>
      </c>
      <c r="C98" s="77">
        <f ca="1">PVs_per_train*el_per_vess*sys_element_area_I</f>
        <v>91200</v>
      </c>
      <c r="D98" s="77" t="s">
        <v>3331</v>
      </c>
    </row>
    <row r="99" spans="1:4">
      <c r="A99" s="77" t="s">
        <v>2677</v>
      </c>
      <c r="B99" s="97" t="s">
        <v>2678</v>
      </c>
      <c r="C99" s="77">
        <f ca="1">area_train*op_trains</f>
        <v>182400</v>
      </c>
      <c r="D99" s="77" t="s">
        <v>3331</v>
      </c>
    </row>
    <row r="100" spans="1:4">
      <c r="A100" s="77" t="s">
        <v>3023</v>
      </c>
      <c r="B100" s="97" t="s">
        <v>3024</v>
      </c>
      <c r="C100" s="100">
        <f ca="1">design_flow*1000000/total_area_op</f>
        <v>11.798245614035087</v>
      </c>
      <c r="D100" s="77" t="s">
        <v>1950</v>
      </c>
    </row>
    <row r="102" spans="1:4">
      <c r="A102" s="77" t="s">
        <v>0</v>
      </c>
      <c r="B102" s="97" t="s">
        <v>1156</v>
      </c>
      <c r="C102" s="77" t="str">
        <f ca="1">CHOOSE(n_stages,nves_1 &amp; " vessels",nves_1 &amp; ":" &amp; nves_2, nves_1 &amp; ":" &amp; nves_2 &amp; ":" &amp; nves_3)</f>
        <v>25:13</v>
      </c>
    </row>
    <row r="104" spans="1:4">
      <c r="A104" s="84" t="s">
        <v>3025</v>
      </c>
    </row>
    <row r="105" spans="1:4">
      <c r="A105" s="77" t="s">
        <v>260</v>
      </c>
      <c r="B105" s="97" t="s">
        <v>3026</v>
      </c>
      <c r="C105" s="100">
        <f ca="1">osmpres(tfeed_meq_bal,T_feed,ion_charge)*psi_per_atm</f>
        <v>22.340856012264496</v>
      </c>
      <c r="D105" s="77" t="s">
        <v>3749</v>
      </c>
    </row>
    <row r="106" spans="1:4">
      <c r="A106" s="77" t="s">
        <v>3027</v>
      </c>
      <c r="B106" s="97" t="s">
        <v>3028</v>
      </c>
      <c r="C106" s="100">
        <f ca="1">pi_feed_sys/(1-target_recovery)</f>
        <v>89.363424049057983</v>
      </c>
      <c r="D106" s="77" t="s">
        <v>3749</v>
      </c>
    </row>
    <row r="107" spans="1:4">
      <c r="A107" s="77" t="s">
        <v>3029</v>
      </c>
      <c r="B107" s="97" t="s">
        <v>3030</v>
      </c>
      <c r="C107" s="100">
        <f ca="1">(pi_conc_guess-pi_feed_sys)/LN(pi_conc_guess/pi_feed_sys)</f>
        <v>48.346563267162558</v>
      </c>
      <c r="D107" s="77" t="s">
        <v>3749</v>
      </c>
    </row>
    <row r="108" spans="1:4">
      <c r="A108" s="77" t="s">
        <v>3031</v>
      </c>
      <c r="B108" s="97" t="s">
        <v>3032</v>
      </c>
      <c r="C108" s="100">
        <f ca="1">el_per_vess*sys_element_dp_coeff_I*Qavg_1_guess^sys_element_dp_exp*SQRT(visc_ratio_feed)</f>
        <v>12.699011044982294</v>
      </c>
      <c r="D108" s="77" t="s">
        <v>3749</v>
      </c>
    </row>
    <row r="109" spans="1:4">
      <c r="A109" s="77" t="s">
        <v>3430</v>
      </c>
      <c r="B109" s="97" t="s">
        <v>3431</v>
      </c>
      <c r="C109" s="100">
        <f ca="1">IF(n_stages&gt;=2,el_per_vess*sys_element_dp_coeff_I*Qavg_2_guess^sys_element_dp_exp)*SQRT(visc_ratio_feed)</f>
        <v>12.020519184304975</v>
      </c>
      <c r="D109" s="77" t="s">
        <v>3749</v>
      </c>
    </row>
    <row r="110" spans="1:4">
      <c r="A110" s="77" t="s">
        <v>3432</v>
      </c>
      <c r="B110" s="97" t="s">
        <v>3433</v>
      </c>
      <c r="C110" s="100">
        <f ca="1">IF(n_stages&gt;=3,el_per_vess*sys_element_dp_coeff_I*Qavg_3_guess^sys_element_dp_exp,0)*SQRT(visc_ratio_feed)</f>
        <v>0</v>
      </c>
      <c r="D110" s="77" t="s">
        <v>3749</v>
      </c>
    </row>
    <row r="111" spans="1:4">
      <c r="A111" s="77" t="s">
        <v>3434</v>
      </c>
      <c r="B111" s="97" t="s">
        <v>3435</v>
      </c>
      <c r="C111" s="100">
        <f ca="1">dP_1_guess+dP_2_guess+dP_3_guess</f>
        <v>24.719530229287269</v>
      </c>
      <c r="D111" s="77" t="s">
        <v>3749</v>
      </c>
    </row>
    <row r="112" spans="1:4">
      <c r="A112" s="77" t="s">
        <v>3344</v>
      </c>
      <c r="B112" s="97" t="s">
        <v>2089</v>
      </c>
      <c r="C112" s="77">
        <f ca="1">IF(T_feed&lt;sys_element_ref_temp,sys_element_A_T_coeff_lo,sys_element_A_T_coeff_hi)</f>
        <v>2900</v>
      </c>
      <c r="D112" s="77" t="s">
        <v>920</v>
      </c>
    </row>
    <row r="113" spans="1:5">
      <c r="A113" s="77" t="s">
        <v>3436</v>
      </c>
      <c r="B113" s="97" t="s">
        <v>2090</v>
      </c>
      <c r="C113" s="90">
        <f ca="1">EXP(A_temp_coeff_pguess*(1/(sys_element_ref_temp+zeroC_in_K)-1/(temp_K)))</f>
        <v>0.71351272211769934</v>
      </c>
    </row>
    <row r="114" spans="1:5">
      <c r="A114" s="77" t="s">
        <v>697</v>
      </c>
      <c r="B114" s="97" t="s">
        <v>698</v>
      </c>
      <c r="C114" s="103">
        <f ca="1">sys_element_A_I*A_temp_corr_pguess*fouling_factor</f>
        <v>8.4908013932006227E-2</v>
      </c>
      <c r="D114" s="77" t="s">
        <v>3334</v>
      </c>
    </row>
    <row r="115" spans="1:5">
      <c r="A115" s="77" t="s">
        <v>699</v>
      </c>
      <c r="B115" s="97" t="s">
        <v>700</v>
      </c>
      <c r="C115" s="100">
        <f ca="1">target_flux/A_firstguess</f>
        <v>138.95326327480754</v>
      </c>
      <c r="D115" s="77" t="s">
        <v>3749</v>
      </c>
    </row>
    <row r="116" spans="1:5">
      <c r="A116" s="77" t="s">
        <v>701</v>
      </c>
      <c r="B116" s="97" t="s">
        <v>702</v>
      </c>
      <c r="C116" s="100">
        <f ca="1">ndp_req_firstguess+pi_avg_guess+dP_tot_guess/2</f>
        <v>199.65959165661374</v>
      </c>
      <c r="D116" s="77" t="s">
        <v>3749</v>
      </c>
      <c r="E116" s="78" t="s">
        <v>2091</v>
      </c>
    </row>
    <row r="117" spans="1:5">
      <c r="A117" s="77" t="s">
        <v>2074</v>
      </c>
      <c r="B117" s="97" t="s">
        <v>2075</v>
      </c>
      <c r="C117" s="90">
        <f ca="1">1-(Pfeed_firstguess/psi_per_atm)*sys_element_A_P_coeff</f>
        <v>0.99932070089937186</v>
      </c>
    </row>
    <row r="118" spans="1:5">
      <c r="A118" s="77" t="s">
        <v>2076</v>
      </c>
      <c r="B118" s="97" t="s">
        <v>2077</v>
      </c>
      <c r="C118" s="103">
        <f ca="1">A_firstguess*A_pres_corr_guess</f>
        <v>8.4850335994506088E-2</v>
      </c>
      <c r="D118" s="77" t="s">
        <v>3334</v>
      </c>
    </row>
    <row r="119" spans="1:5">
      <c r="A119" s="77" t="s">
        <v>2078</v>
      </c>
      <c r="B119" s="97" t="s">
        <v>2079</v>
      </c>
      <c r="C119" s="100">
        <f ca="1">target_flux/A_guess</f>
        <v>139.0477182647692</v>
      </c>
      <c r="D119" s="77" t="s">
        <v>3749</v>
      </c>
    </row>
    <row r="120" spans="1:5">
      <c r="A120" s="77" t="s">
        <v>701</v>
      </c>
      <c r="B120" s="97" t="s">
        <v>2080</v>
      </c>
      <c r="C120" s="100">
        <f ca="1">Pnet_guess+pi_avg_guess+dP_tot_guess/2</f>
        <v>199.7540466465754</v>
      </c>
      <c r="D120" s="77" t="s">
        <v>3749</v>
      </c>
      <c r="E120" s="78" t="s">
        <v>2092</v>
      </c>
    </row>
  </sheetData>
  <phoneticPr fontId="27" type="noConversion"/>
  <pageMargins left="0.75" right="0.75" top="1" bottom="1" header="0.5" footer="0.5"/>
  <pageSetup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9">
    <pageSetUpPr fitToPage="1"/>
  </sheetPr>
  <dimension ref="A1:CH154"/>
  <sheetViews>
    <sheetView zoomScaleNormal="100" workbookViewId="0">
      <pane ySplit="4" topLeftCell="A5" activePane="bottomLeft" state="frozen"/>
      <selection activeCell="B46" sqref="B46"/>
      <selection pane="bottomLeft"/>
    </sheetView>
  </sheetViews>
  <sheetFormatPr baseColWidth="10" defaultColWidth="8.83203125" defaultRowHeight="13"/>
  <cols>
    <col min="1" max="1" width="44.1640625" bestFit="1" customWidth="1"/>
    <col min="2" max="2" width="22.5" bestFit="1" customWidth="1"/>
    <col min="3" max="3" width="9.5" style="674" bestFit="1" customWidth="1"/>
    <col min="5" max="5" width="9.1640625" style="7" customWidth="1"/>
  </cols>
  <sheetData>
    <row r="1" spans="1:5">
      <c r="A1" s="1" t="s">
        <v>5450</v>
      </c>
    </row>
    <row r="2" spans="1:5">
      <c r="A2" s="968" t="s">
        <v>5454</v>
      </c>
    </row>
    <row r="3" spans="1:5">
      <c r="A3" s="1"/>
    </row>
    <row r="4" spans="1:5">
      <c r="A4" s="235" t="s">
        <v>5172</v>
      </c>
      <c r="B4" s="236" t="s">
        <v>1989</v>
      </c>
      <c r="C4" s="971" t="s">
        <v>1990</v>
      </c>
      <c r="D4" s="236" t="s">
        <v>2961</v>
      </c>
      <c r="E4" s="236" t="s">
        <v>1991</v>
      </c>
    </row>
    <row r="5" spans="1:5">
      <c r="A5" t="s">
        <v>885</v>
      </c>
      <c r="B5" s="3" t="s">
        <v>886</v>
      </c>
      <c r="C5" s="969" t="b">
        <v>0</v>
      </c>
    </row>
    <row r="7" spans="1:5">
      <c r="A7" t="s">
        <v>438</v>
      </c>
      <c r="B7" s="3" t="s">
        <v>439</v>
      </c>
      <c r="C7" s="675">
        <f ca="1">Qfeed_1_guess</f>
        <v>39.851851851851848</v>
      </c>
      <c r="D7" t="s">
        <v>2193</v>
      </c>
    </row>
    <row r="8" spans="1:5">
      <c r="A8" t="s">
        <v>2264</v>
      </c>
      <c r="B8" s="3" t="s">
        <v>2265</v>
      </c>
      <c r="C8" s="970">
        <v>195.37119757241183</v>
      </c>
      <c r="D8" t="s">
        <v>3749</v>
      </c>
    </row>
    <row r="9" spans="1:5">
      <c r="A9" t="s">
        <v>2266</v>
      </c>
      <c r="B9" s="3" t="s">
        <v>2267</v>
      </c>
      <c r="C9" s="970">
        <v>0</v>
      </c>
      <c r="D9" t="s">
        <v>3749</v>
      </c>
      <c r="E9" s="7" t="s">
        <v>4232</v>
      </c>
    </row>
    <row r="10" spans="1:5">
      <c r="A10" t="s">
        <v>2268</v>
      </c>
      <c r="B10" s="3" t="s">
        <v>2269</v>
      </c>
      <c r="C10" s="970">
        <v>0</v>
      </c>
      <c r="D10" t="s">
        <v>3749</v>
      </c>
      <c r="E10" s="7" t="s">
        <v>4233</v>
      </c>
    </row>
    <row r="11" spans="1:5">
      <c r="B11" s="3"/>
    </row>
    <row r="12" spans="1:5">
      <c r="A12" t="s">
        <v>2274</v>
      </c>
      <c r="B12" s="3" t="s">
        <v>2275</v>
      </c>
      <c r="C12" s="675">
        <f>P_stg1_try+IF(P_adj_method_12=0,P_adjust_2_try,0)+IF(P_adj_method_23=0,P_adjust_3_try,0)</f>
        <v>195.37119757241183</v>
      </c>
      <c r="D12" t="s">
        <v>3749</v>
      </c>
      <c r="E12" s="7" t="s">
        <v>262</v>
      </c>
    </row>
    <row r="13" spans="1:5">
      <c r="A13" t="s">
        <v>3978</v>
      </c>
      <c r="B13" s="3" t="s">
        <v>2276</v>
      </c>
      <c r="C13" s="675">
        <f>IF(P_adj_method_12=0,P_adjust_2_try,0)+IF(P_adj_method_23=0,P_adjust_3_try,0)</f>
        <v>0</v>
      </c>
      <c r="D13" t="s">
        <v>3749</v>
      </c>
    </row>
    <row r="14" spans="1:5">
      <c r="A14" t="s">
        <v>2237</v>
      </c>
      <c r="B14" s="3" t="s">
        <v>2277</v>
      </c>
      <c r="C14" s="675">
        <f>IF(P_adj_method_23=0,P_adjust_3_try,0)</f>
        <v>0</v>
      </c>
      <c r="D14" t="s">
        <v>3749</v>
      </c>
    </row>
    <row r="15" spans="1:5">
      <c r="A15" t="s">
        <v>2238</v>
      </c>
      <c r="B15" s="3" t="s">
        <v>333</v>
      </c>
      <c r="C15" s="675">
        <v>0</v>
      </c>
      <c r="D15" t="s">
        <v>3749</v>
      </c>
      <c r="E15" s="7" t="s">
        <v>334</v>
      </c>
    </row>
    <row r="16" spans="1:5">
      <c r="A16" t="s">
        <v>2239</v>
      </c>
      <c r="B16" s="3" t="s">
        <v>2278</v>
      </c>
      <c r="C16" s="675">
        <f>IF(P_adj_method_12=1,P_adjust_2_try,0)</f>
        <v>0</v>
      </c>
      <c r="D16" t="s">
        <v>3749</v>
      </c>
    </row>
    <row r="17" spans="1:6">
      <c r="A17" t="s">
        <v>2240</v>
      </c>
      <c r="B17" s="3" t="s">
        <v>2279</v>
      </c>
      <c r="C17" s="675">
        <f>IF(P_adj_method_23=1,P_adjust_3_try,0)</f>
        <v>0</v>
      </c>
      <c r="D17" t="s">
        <v>3749</v>
      </c>
    </row>
    <row r="18" spans="1:6">
      <c r="B18" s="3"/>
      <c r="C18" s="676"/>
    </row>
    <row r="19" spans="1:6">
      <c r="A19" t="s">
        <v>2282</v>
      </c>
      <c r="B19" s="3" t="s">
        <v>2283</v>
      </c>
      <c r="C19" s="677">
        <f ca="1">target_flux</f>
        <v>11.798245614035087</v>
      </c>
      <c r="D19" t="s">
        <v>1950</v>
      </c>
      <c r="E19" s="7" t="s">
        <v>2531</v>
      </c>
    </row>
    <row r="20" spans="1:6">
      <c r="A20" t="s">
        <v>2284</v>
      </c>
      <c r="B20" s="3" t="s">
        <v>2285</v>
      </c>
      <c r="C20" s="677">
        <f ca="1">stg_1 perm_flux_v</f>
        <v>13.177412940316623</v>
      </c>
      <c r="D20" t="s">
        <v>1950</v>
      </c>
    </row>
    <row r="21" spans="1:6">
      <c r="A21" t="s">
        <v>1960</v>
      </c>
      <c r="B21" s="3" t="s">
        <v>2286</v>
      </c>
      <c r="C21" s="677">
        <f ca="1">flux_result_1-flux_targ_1</f>
        <v>1.3791673262815358</v>
      </c>
      <c r="D21" t="s">
        <v>1950</v>
      </c>
    </row>
    <row r="22" spans="1:6">
      <c r="A22" t="s">
        <v>4269</v>
      </c>
      <c r="B22" s="3" t="s">
        <v>2287</v>
      </c>
      <c r="C22" s="678">
        <f ca="1">flux_diff_1/flux_targ_1</f>
        <v>0.11689596668854653</v>
      </c>
    </row>
    <row r="23" spans="1:6">
      <c r="A23" t="s">
        <v>2288</v>
      </c>
      <c r="B23" s="3" t="s">
        <v>2289</v>
      </c>
      <c r="C23" s="677">
        <f>AVERAGE(P_net_out (el_1_1,el_1_2,el_1_3,el_1_4,el_1_5,el_1_6,el_1_7))</f>
        <v>155.44637285248211</v>
      </c>
      <c r="D23" t="s">
        <v>3749</v>
      </c>
    </row>
    <row r="24" spans="1:6">
      <c r="B24" s="3"/>
    </row>
    <row r="25" spans="1:6">
      <c r="A25" t="s">
        <v>2290</v>
      </c>
      <c r="B25" s="3" t="s">
        <v>2291</v>
      </c>
      <c r="C25" s="679">
        <f ca="1">(perm_flow_v stg_1)*nves_1*24*60</f>
        <v>790644.77641899732</v>
      </c>
      <c r="D25" t="s">
        <v>2532</v>
      </c>
    </row>
    <row r="26" spans="1:6">
      <c r="A26" t="s">
        <v>2292</v>
      </c>
      <c r="B26" s="3" t="s">
        <v>2293</v>
      </c>
      <c r="C26" s="679">
        <f ca="1">IF(nves_2=0,"n/a",design_Qperm*24*60-Qperm_1)</f>
        <v>285355.22358100268</v>
      </c>
      <c r="D26" t="s">
        <v>2532</v>
      </c>
    </row>
    <row r="27" spans="1:6">
      <c r="A27" t="s">
        <v>2294</v>
      </c>
      <c r="B27" s="3" t="s">
        <v>2375</v>
      </c>
      <c r="C27" s="679">
        <f ca="1">IF(nves_2=0,"n/a",(nves_2+nves_3)*area_per_vess)</f>
        <v>31200</v>
      </c>
      <c r="D27" t="s">
        <v>3331</v>
      </c>
    </row>
    <row r="28" spans="1:6">
      <c r="A28" t="s">
        <v>2376</v>
      </c>
      <c r="B28" s="3" t="s">
        <v>2377</v>
      </c>
      <c r="C28" s="680">
        <f ca="1">target_flux</f>
        <v>11.798245614035087</v>
      </c>
      <c r="D28" t="s">
        <v>1950</v>
      </c>
      <c r="F28" s="451"/>
    </row>
    <row r="29" spans="1:6">
      <c r="A29" t="s">
        <v>2378</v>
      </c>
      <c r="B29" s="3" t="s">
        <v>2379</v>
      </c>
      <c r="C29" s="680">
        <f ca="1">IF(OR(Qperm_need_23&lt;0,nves_2=0),"n/a",stg_2 perm_flux_v)</f>
        <v>9.4121356796237006</v>
      </c>
      <c r="D29" t="s">
        <v>1950</v>
      </c>
      <c r="F29" s="7"/>
    </row>
    <row r="30" spans="1:6">
      <c r="A30" t="s">
        <v>1960</v>
      </c>
      <c r="B30" s="3" t="s">
        <v>2380</v>
      </c>
      <c r="C30" s="680">
        <f ca="1">IF(OR(Qperm_need_23&lt;0,nves_2=0),"n/a",flux_result_2-flux_targ_23)</f>
        <v>-2.3861099344113867</v>
      </c>
      <c r="D30" t="s">
        <v>1950</v>
      </c>
      <c r="F30" s="7"/>
    </row>
    <row r="31" spans="1:6">
      <c r="A31" t="s">
        <v>4269</v>
      </c>
      <c r="B31" s="3" t="s">
        <v>2381</v>
      </c>
      <c r="C31" s="681">
        <f ca="1">IF(OR(Qperm_need_23&lt;0,nves_2=0),"n/a",flux_diff_2/flux_targ_23)</f>
        <v>-0.20224277510996141</v>
      </c>
      <c r="F31" s="7"/>
    </row>
    <row r="32" spans="1:6">
      <c r="A32" t="s">
        <v>4587</v>
      </c>
      <c r="B32" s="3" t="s">
        <v>2382</v>
      </c>
      <c r="C32" s="680">
        <f ca="1">IF(nves_2=0,"n/a",AVERAGE(P_net_out (el_2_1,el_2_2,el_2_3,el_2_4,el_2_5,el_2_6,el_2_7)))</f>
        <v>111.13264115278623</v>
      </c>
      <c r="D32" t="s">
        <v>3749</v>
      </c>
      <c r="F32" s="7"/>
    </row>
    <row r="33" spans="1:6">
      <c r="B33" s="3"/>
      <c r="F33" s="7"/>
    </row>
    <row r="34" spans="1:6">
      <c r="A34" t="s">
        <v>2383</v>
      </c>
      <c r="B34" s="3" t="s">
        <v>2384</v>
      </c>
      <c r="C34" s="682">
        <f ca="1">((perm_flow_v stg_1)*nves_1+(perm_flow_v stg_2)*nves_2)*24*60</f>
        <v>1084303.4096232569</v>
      </c>
      <c r="D34" t="s">
        <v>2532</v>
      </c>
      <c r="F34" s="7"/>
    </row>
    <row r="35" spans="1:6" ht="14">
      <c r="A35" t="s">
        <v>2385</v>
      </c>
      <c r="B35" s="3" t="s">
        <v>2386</v>
      </c>
      <c r="C35" s="682" t="str">
        <f ca="1">IF(nves_3=0,"n/a",design_Qperm*24*60-Qperm_12)</f>
        <v>n/a</v>
      </c>
      <c r="D35" t="s">
        <v>2532</v>
      </c>
      <c r="F35" s="7"/>
    </row>
    <row r="36" spans="1:6" ht="14">
      <c r="A36" t="s">
        <v>2387</v>
      </c>
      <c r="B36" s="3" t="s">
        <v>2388</v>
      </c>
      <c r="C36" s="682" t="str">
        <f ca="1">IF(nves_3=0,"n/a",nves_3*area_per_vess)</f>
        <v>n/a</v>
      </c>
      <c r="D36" t="s">
        <v>3331</v>
      </c>
      <c r="F36" s="7"/>
    </row>
    <row r="37" spans="1:6">
      <c r="A37" t="s">
        <v>2389</v>
      </c>
      <c r="B37" s="3" t="s">
        <v>2390</v>
      </c>
      <c r="C37" s="683">
        <f ca="1">target_flux</f>
        <v>11.798245614035087</v>
      </c>
      <c r="D37" t="s">
        <v>1950</v>
      </c>
      <c r="F37" s="452"/>
    </row>
    <row r="38" spans="1:6" ht="14">
      <c r="A38" t="s">
        <v>2391</v>
      </c>
      <c r="B38" s="3" t="s">
        <v>2392</v>
      </c>
      <c r="C38" s="683" t="str">
        <f ca="1">IF(OR(Qperm_need_3&lt;0,nves_3=0),"n/a",stg_3 perm_flux_v)</f>
        <v>n/a</v>
      </c>
      <c r="D38" t="s">
        <v>1950</v>
      </c>
    </row>
    <row r="39" spans="1:6" ht="14">
      <c r="A39" t="s">
        <v>1960</v>
      </c>
      <c r="B39" s="3" t="s">
        <v>2393</v>
      </c>
      <c r="C39" s="683" t="str">
        <f ca="1">IF(OR(Qperm_need_3&lt;0,nves_3=0),"n/a",flux_result_3-flux_targ_3)</f>
        <v>n/a</v>
      </c>
      <c r="D39" t="s">
        <v>1950</v>
      </c>
    </row>
    <row r="40" spans="1:6" ht="14">
      <c r="A40" t="s">
        <v>4269</v>
      </c>
      <c r="B40" s="3" t="s">
        <v>2394</v>
      </c>
      <c r="C40" s="678" t="str">
        <f ca="1">IF(OR(Qperm_need_3&lt;0,nves_3=0),"n/a",flux_diff_3/flux_targ_3)</f>
        <v>n/a</v>
      </c>
    </row>
    <row r="41" spans="1:6" ht="14">
      <c r="A41" t="s">
        <v>4588</v>
      </c>
      <c r="B41" s="3" t="s">
        <v>2395</v>
      </c>
      <c r="C41" s="683" t="str">
        <f ca="1">IF(nves_3=0,"n/a",AVERAGE(P_net_out (el_3_1,el_3_2,el_3_3,el_3_4,el_3_5,el_3_6,el_3_7)))</f>
        <v>n/a</v>
      </c>
      <c r="D41" t="s">
        <v>3749</v>
      </c>
    </row>
    <row r="42" spans="1:6">
      <c r="B42" s="3"/>
    </row>
    <row r="43" spans="1:6">
      <c r="A43" s="1" t="s">
        <v>2396</v>
      </c>
      <c r="B43" s="3"/>
    </row>
    <row r="44" spans="1:6">
      <c r="B44" s="3"/>
    </row>
    <row r="45" spans="1:6">
      <c r="A45" s="2" t="s">
        <v>1872</v>
      </c>
      <c r="B45" s="3"/>
    </row>
    <row r="46" spans="1:6">
      <c r="A46" t="s">
        <v>1873</v>
      </c>
      <c r="B46" s="3" t="s">
        <v>1874</v>
      </c>
      <c r="C46" s="678" t="b">
        <f ca="1">IF(soln_success,FALSE,(current_element_stage=1))</f>
        <v>0</v>
      </c>
    </row>
    <row r="47" spans="1:6">
      <c r="A47" t="s">
        <v>1875</v>
      </c>
      <c r="B47" s="3" t="s">
        <v>1876</v>
      </c>
      <c r="C47" s="66" t="b">
        <f ca="1">AND(NOT(error_stg1),flux_result_1&gt;=flux_targ_1*(1-perm_flow_tol),flux_result_1&lt;=flux_targ_1*(1+flux_tol_hi))</f>
        <v>1</v>
      </c>
    </row>
    <row r="48" spans="1:6">
      <c r="A48" t="s">
        <v>1877</v>
      </c>
      <c r="B48" s="3" t="s">
        <v>1878</v>
      </c>
      <c r="C48" s="970"/>
      <c r="D48" t="s">
        <v>3749</v>
      </c>
      <c r="E48" s="7" t="s">
        <v>2533</v>
      </c>
    </row>
    <row r="49" spans="1:5">
      <c r="A49" t="s">
        <v>1879</v>
      </c>
      <c r="B49" s="3" t="s">
        <v>1880</v>
      </c>
      <c r="C49" s="970"/>
      <c r="D49" t="s">
        <v>3749</v>
      </c>
      <c r="E49" s="7" t="s">
        <v>2534</v>
      </c>
    </row>
    <row r="50" spans="1:5">
      <c r="B50" s="3"/>
    </row>
    <row r="51" spans="1:5">
      <c r="B51" s="3"/>
    </row>
    <row r="52" spans="1:5" ht="14">
      <c r="A52" t="s">
        <v>1881</v>
      </c>
      <c r="B52" s="3" t="s">
        <v>1882</v>
      </c>
      <c r="C52" s="684" t="str">
        <f ca="1">IF(error_stg1,P_change_required,"n/a")</f>
        <v>n/a</v>
      </c>
      <c r="D52" t="s">
        <v>3749</v>
      </c>
    </row>
    <row r="53" spans="1:5">
      <c r="A53" t="s">
        <v>1883</v>
      </c>
      <c r="B53" s="3" t="s">
        <v>1884</v>
      </c>
      <c r="C53" s="685">
        <f ca="1">IF(stg1_in_spec,0,IF(error_stg1,"n/a",-flux_diff_1/flux_result_1))</f>
        <v>0</v>
      </c>
    </row>
    <row r="54" spans="1:5">
      <c r="A54" t="s">
        <v>1885</v>
      </c>
      <c r="B54" s="3" t="s">
        <v>1886</v>
      </c>
      <c r="C54" s="684">
        <f ca="1">IF(error_stg1,"n/a",stg1_Pchange_spec_pct*ndp_avg_1)</f>
        <v>0</v>
      </c>
      <c r="D54" t="s">
        <v>3749</v>
      </c>
    </row>
    <row r="55" spans="1:5" ht="14">
      <c r="A55" t="s">
        <v>1887</v>
      </c>
      <c r="B55" s="3" t="s">
        <v>1888</v>
      </c>
      <c r="C55" s="684" t="str">
        <f ca="1">IF(error_stg1,stg1_Pchange_err,IF(NOT(stg1_in_spec),stg1_Pchange_spec,"n/a"))</f>
        <v>n/a</v>
      </c>
      <c r="D55" t="s">
        <v>3749</v>
      </c>
    </row>
    <row r="56" spans="1:5">
      <c r="B56" s="3"/>
      <c r="C56" s="66"/>
    </row>
    <row r="57" spans="1:5">
      <c r="A57" t="s">
        <v>1889</v>
      </c>
      <c r="B57" s="3" t="s">
        <v>1890</v>
      </c>
      <c r="C57" s="686">
        <f ca="1">IF(AND(error_stg1,P_change_required&gt;0),P_stg1_try,stg1_min_pres)</f>
        <v>0</v>
      </c>
      <c r="D57" t="s">
        <v>3749</v>
      </c>
      <c r="E57" s="7" t="s">
        <v>2535</v>
      </c>
    </row>
    <row r="58" spans="1:5">
      <c r="A58" t="s">
        <v>1891</v>
      </c>
      <c r="B58" s="3" t="s">
        <v>1892</v>
      </c>
      <c r="C58" s="686">
        <f ca="1">IF(AND(error_stg1,P_change_required&lt;0),P_stg1_try,stg1_max_pres)</f>
        <v>0</v>
      </c>
      <c r="D58" t="s">
        <v>3749</v>
      </c>
      <c r="E58" s="7" t="s">
        <v>475</v>
      </c>
    </row>
    <row r="59" spans="1:5">
      <c r="B59" s="3"/>
      <c r="C59" s="686"/>
    </row>
    <row r="60" spans="1:5">
      <c r="A60" t="s">
        <v>1893</v>
      </c>
      <c r="B60" s="3" t="s">
        <v>1894</v>
      </c>
      <c r="C60" s="686">
        <f ca="1">P_stg1_try+IF(stg1_Pchange="n/a",0,stg1_Pchange)</f>
        <v>195.37119757241183</v>
      </c>
      <c r="D60" t="s">
        <v>3749</v>
      </c>
    </row>
    <row r="61" spans="1:5">
      <c r="A61" t="s">
        <v>1895</v>
      </c>
      <c r="B61" s="3" t="s">
        <v>1896</v>
      </c>
      <c r="C61" s="66" t="b">
        <f ca="1">AND(OR(stg1_min_pres=0,stg1_newP_fix1&gt;stg1_min_pres),OR(stg1_max_pres=0,stg1_newP_fix1&lt;stg1_max_pres))</f>
        <v>1</v>
      </c>
    </row>
    <row r="62" spans="1:5">
      <c r="A62" t="s">
        <v>1897</v>
      </c>
      <c r="B62" s="3" t="s">
        <v>1898</v>
      </c>
      <c r="C62" s="66" t="b">
        <f ca="1">OR(error_stg1,NOT(stg1_in_spec))</f>
        <v>0</v>
      </c>
    </row>
    <row r="63" spans="1:5">
      <c r="B63" s="3"/>
      <c r="C63" s="66"/>
    </row>
    <row r="64" spans="1:5">
      <c r="A64" t="s">
        <v>1899</v>
      </c>
      <c r="B64" s="3" t="s">
        <v>1900</v>
      </c>
      <c r="C64" s="66" t="b">
        <f ca="1">IF(OR(error_stg1,NOT(stg1_in_spec)),NOT(stg1_newP_fix1_OK),FALSE)</f>
        <v>0</v>
      </c>
      <c r="E64" s="7" t="s">
        <v>476</v>
      </c>
    </row>
    <row r="65" spans="1:5">
      <c r="B65" s="3"/>
      <c r="C65" s="677"/>
    </row>
    <row r="66" spans="1:5">
      <c r="A66" s="2" t="s">
        <v>1901</v>
      </c>
      <c r="B66" s="3"/>
      <c r="C66" s="677"/>
    </row>
    <row r="67" spans="1:5">
      <c r="A67" t="s">
        <v>1902</v>
      </c>
      <c r="B67" s="3" t="s">
        <v>1903</v>
      </c>
      <c r="C67" s="678" t="b">
        <f ca="1">IF(soln_success,FALSE,(current_element_stage=2))</f>
        <v>0</v>
      </c>
    </row>
    <row r="68" spans="1:5">
      <c r="A68" t="s">
        <v>1904</v>
      </c>
      <c r="B68" s="3" t="s">
        <v>1905</v>
      </c>
      <c r="C68" s="66" t="b">
        <f ca="1">IF(nves_2=0,TRUE,AND(NOT(error_stg2),flux_result_2&gt;=flux_targ_23*(1-flux_tol_lo),flux_result_2&lt;=flux_targ_23*(1+flux_tol_hi)))</f>
        <v>1</v>
      </c>
    </row>
    <row r="69" spans="1:5">
      <c r="A69" t="s">
        <v>1906</v>
      </c>
      <c r="B69" s="3" t="s">
        <v>1907</v>
      </c>
      <c r="C69" s="686">
        <f ca="1">IF(error_stg1,"n/a",el_2_1 P_feed_out-el_2_1 P_throttle_out)</f>
        <v>182.7075544080426</v>
      </c>
      <c r="D69" t="s">
        <v>3749</v>
      </c>
    </row>
    <row r="70" spans="1:5">
      <c r="A70" t="s">
        <v>1908</v>
      </c>
      <c r="B70" s="3" t="s">
        <v>1909</v>
      </c>
      <c r="C70" s="972"/>
      <c r="D70" t="s">
        <v>3749</v>
      </c>
      <c r="E70" s="7" t="s">
        <v>477</v>
      </c>
    </row>
    <row r="71" spans="1:5">
      <c r="A71" t="s">
        <v>1910</v>
      </c>
      <c r="B71" s="3" t="s">
        <v>577</v>
      </c>
      <c r="C71" s="972"/>
      <c r="D71" t="s">
        <v>3749</v>
      </c>
      <c r="E71" s="7" t="s">
        <v>477</v>
      </c>
    </row>
    <row r="72" spans="1:5">
      <c r="B72" s="3"/>
    </row>
    <row r="73" spans="1:5" ht="14">
      <c r="A73" t="s">
        <v>1881</v>
      </c>
      <c r="B73" s="3" t="s">
        <v>578</v>
      </c>
      <c r="C73" s="684" t="str">
        <f ca="1">IF(error_stg2,P_change_required,"n/a")</f>
        <v>n/a</v>
      </c>
      <c r="D73" t="s">
        <v>3749</v>
      </c>
    </row>
    <row r="74" spans="1:5">
      <c r="A74" t="s">
        <v>579</v>
      </c>
      <c r="B74" s="3" t="s">
        <v>580</v>
      </c>
      <c r="C74" s="685">
        <f ca="1">IF(stg2_in_spec,0,IF(error_stg2,"n/a",-flux_diff_2/flux_result_2))</f>
        <v>0</v>
      </c>
    </row>
    <row r="75" spans="1:5">
      <c r="A75" t="s">
        <v>1885</v>
      </c>
      <c r="B75" s="3" t="s">
        <v>581</v>
      </c>
      <c r="C75" s="684">
        <f ca="1">IF(nves_2=0,0,IF(error_stg2,"n/a",stg2_Pchange_spec_pct*ndp_avg_2))</f>
        <v>0</v>
      </c>
      <c r="D75" t="s">
        <v>3749</v>
      </c>
    </row>
    <row r="76" spans="1:5" ht="14">
      <c r="A76" t="s">
        <v>582</v>
      </c>
      <c r="B76" s="3" t="s">
        <v>583</v>
      </c>
      <c r="C76" s="684" t="str">
        <f ca="1">IF(error_stg2,stg2_Pchange_err,IF(NOT(stg2_in_spec),stg2_Pchange_spec,"n/a"))</f>
        <v>n/a</v>
      </c>
      <c r="D76" t="s">
        <v>3749</v>
      </c>
    </row>
    <row r="77" spans="1:5">
      <c r="B77" s="3"/>
      <c r="C77" s="687"/>
    </row>
    <row r="78" spans="1:5">
      <c r="A78" t="s">
        <v>1036</v>
      </c>
      <c r="B78" s="3" t="s">
        <v>17</v>
      </c>
      <c r="C78" s="686">
        <f ca="1">IF(AND(error_stg2,P_change_required&gt;0),stg2_Pstart,stg2_min_pres)</f>
        <v>0</v>
      </c>
      <c r="D78" t="s">
        <v>3749</v>
      </c>
      <c r="E78" s="7" t="s">
        <v>2535</v>
      </c>
    </row>
    <row r="79" spans="1:5">
      <c r="A79" t="s">
        <v>18</v>
      </c>
      <c r="B79" s="3" t="s">
        <v>19</v>
      </c>
      <c r="C79" s="686">
        <f ca="1">IF(AND(error_stg2,P_change_required&lt;0),stg2_Pstart,stg2_max_pres)</f>
        <v>0</v>
      </c>
      <c r="D79" t="s">
        <v>3749</v>
      </c>
      <c r="E79" s="7" t="s">
        <v>475</v>
      </c>
    </row>
    <row r="80" spans="1:5">
      <c r="B80" s="3"/>
      <c r="C80" s="687"/>
    </row>
    <row r="81" spans="1:7">
      <c r="A81" t="s">
        <v>1893</v>
      </c>
      <c r="B81" s="3" t="s">
        <v>20</v>
      </c>
      <c r="C81" s="686">
        <f ca="1">P_stg1_try+IF(stg2_Pchange="n/a",0,stg2_Pchange)</f>
        <v>195.37119757241183</v>
      </c>
      <c r="D81" t="s">
        <v>3749</v>
      </c>
    </row>
    <row r="82" spans="1:7">
      <c r="A82" t="s">
        <v>1895</v>
      </c>
      <c r="B82" s="3" t="s">
        <v>21</v>
      </c>
      <c r="C82" s="66" t="b">
        <f ca="1">AND(OR(stg1_min_pres=0,stg1_newP_fix2&gt;stg1_min_pres),OR(stg1_max_pres=0,stg1_newP_fix2&lt;stg1_max_pres))</f>
        <v>1</v>
      </c>
    </row>
    <row r="83" spans="1:7">
      <c r="A83" t="s">
        <v>22</v>
      </c>
      <c r="B83" s="3" t="s">
        <v>23</v>
      </c>
      <c r="C83" s="14" t="b">
        <f ca="1">IF(stg1_adjust_1,FALSE,AND(OR(error_stg2,NOT(stg2_in_spec)),stg1_newP_fix2_OK))</f>
        <v>0</v>
      </c>
      <c r="F83" s="14"/>
      <c r="G83" s="66"/>
    </row>
    <row r="84" spans="1:7">
      <c r="B84" s="3"/>
      <c r="C84" s="66"/>
    </row>
    <row r="85" spans="1:7">
      <c r="A85" t="s">
        <v>24</v>
      </c>
      <c r="B85" s="3" t="s">
        <v>25</v>
      </c>
      <c r="C85" s="686">
        <f ca="1">stg2_Pstart+IF(stg2_Pchange="n/a",0,stg2_Pchange)</f>
        <v>182.7075544080426</v>
      </c>
      <c r="D85" t="s">
        <v>3749</v>
      </c>
    </row>
    <row r="86" spans="1:7">
      <c r="A86" t="s">
        <v>26</v>
      </c>
      <c r="B86" s="3" t="s">
        <v>27</v>
      </c>
      <c r="C86" s="66" t="b">
        <f ca="1">AND(OR(stg2_min_pres=0,stg2_newP_fix2&gt;stg2_min_pres),OR(stg2_max_pres=0,stg2_newP_fix2&lt;stg2_max_pres))</f>
        <v>1</v>
      </c>
    </row>
    <row r="87" spans="1:7">
      <c r="A87" t="s">
        <v>28</v>
      </c>
      <c r="B87" s="3" t="s">
        <v>29</v>
      </c>
      <c r="C87" s="66" t="b">
        <f ca="1">IF(OR(stg1_adjust_1,stg1_adjust_2),FALSE,AND(OR(error_stg2,NOT(stg2_in_spec)),stg2_newP_fix2_OK))</f>
        <v>0</v>
      </c>
    </row>
    <row r="88" spans="1:7">
      <c r="B88" s="3"/>
      <c r="C88" s="66"/>
    </row>
    <row r="89" spans="1:7">
      <c r="A89" t="s">
        <v>1899</v>
      </c>
      <c r="B89" s="3" t="s">
        <v>30</v>
      </c>
      <c r="C89" s="66" t="b">
        <f ca="1">IF(OR(error_stg2,NOT(stg2_in_spec)),NOT(OR(stg1_newP_fix2_OK,stg2_newP_fix2_OK)),FALSE)</f>
        <v>0</v>
      </c>
      <c r="E89" s="7" t="s">
        <v>4174</v>
      </c>
    </row>
    <row r="90" spans="1:7">
      <c r="B90" s="3"/>
    </row>
    <row r="91" spans="1:7">
      <c r="A91" s="2" t="s">
        <v>3770</v>
      </c>
      <c r="B91" s="3"/>
    </row>
    <row r="92" spans="1:7">
      <c r="A92" t="s">
        <v>3771</v>
      </c>
      <c r="B92" s="3" t="s">
        <v>646</v>
      </c>
      <c r="C92" s="678" t="b">
        <f ca="1">IF(soln_success,FALSE,(current_element_stage=3))</f>
        <v>0</v>
      </c>
    </row>
    <row r="93" spans="1:7">
      <c r="A93" t="s">
        <v>647</v>
      </c>
      <c r="B93" s="3" t="s">
        <v>648</v>
      </c>
      <c r="C93" s="66" t="b">
        <f ca="1">IF(nves_3=0,TRUE,AND(NOT(error_stg3),flux_result_3&gt;=flux_targ_3*(1-flux_tol_lo),flux_result_3&lt;=flux_targ_3*(1+flux_tol_hi)))</f>
        <v>1</v>
      </c>
    </row>
    <row r="94" spans="1:7">
      <c r="A94" t="s">
        <v>649</v>
      </c>
      <c r="B94" s="3" t="s">
        <v>650</v>
      </c>
      <c r="C94" s="686">
        <f ca="1">IF(error_stg2,"n/a",el_3_1 P_feed_out-el_3_1 P_throttle_out)</f>
        <v>0</v>
      </c>
      <c r="D94" t="s">
        <v>3749</v>
      </c>
    </row>
    <row r="95" spans="1:7">
      <c r="A95" t="s">
        <v>651</v>
      </c>
      <c r="B95" s="3" t="s">
        <v>652</v>
      </c>
      <c r="C95" s="961"/>
      <c r="D95" t="s">
        <v>3749</v>
      </c>
      <c r="E95" s="7" t="s">
        <v>2679</v>
      </c>
    </row>
    <row r="96" spans="1:7">
      <c r="A96" t="s">
        <v>653</v>
      </c>
      <c r="B96" s="3" t="s">
        <v>654</v>
      </c>
      <c r="C96" s="961"/>
      <c r="D96" t="s">
        <v>3749</v>
      </c>
      <c r="E96" s="7" t="s">
        <v>2679</v>
      </c>
    </row>
    <row r="97" spans="1:5">
      <c r="B97" s="3"/>
    </row>
    <row r="98" spans="1:5" ht="14">
      <c r="A98" t="s">
        <v>1881</v>
      </c>
      <c r="B98" s="3" t="s">
        <v>655</v>
      </c>
      <c r="C98" s="684" t="str">
        <f ca="1">IF(error_stg3,P_change_required,"n/a")</f>
        <v>n/a</v>
      </c>
      <c r="D98" t="s">
        <v>3749</v>
      </c>
    </row>
    <row r="99" spans="1:5">
      <c r="A99" t="s">
        <v>656</v>
      </c>
      <c r="B99" s="3" t="s">
        <v>657</v>
      </c>
      <c r="C99" s="685">
        <f ca="1">IF(stg3_in_spec,0,IF(error_stg3,"n/a",-flux_diff_3/flux_result_3))</f>
        <v>0</v>
      </c>
    </row>
    <row r="100" spans="1:5">
      <c r="A100" t="s">
        <v>1885</v>
      </c>
      <c r="B100" s="3" t="s">
        <v>658</v>
      </c>
      <c r="C100" s="684">
        <f ca="1">IF(nves_3=0,0,IF(error_stg3,"n/a",stg3_Pchange_spec_pct*ndp_avg_3))</f>
        <v>0</v>
      </c>
      <c r="D100" t="s">
        <v>3749</v>
      </c>
    </row>
    <row r="101" spans="1:5" ht="14">
      <c r="A101" t="s">
        <v>659</v>
      </c>
      <c r="B101" s="3" t="s">
        <v>660</v>
      </c>
      <c r="C101" s="684" t="str">
        <f ca="1">IF(error_stg3,stg3_Pchange_err,IF(NOT(stg3_in_spec),stg3_Pchange_spec,"n/a"))</f>
        <v>n/a</v>
      </c>
      <c r="D101" t="s">
        <v>3749</v>
      </c>
    </row>
    <row r="102" spans="1:5">
      <c r="B102" s="3"/>
      <c r="C102" s="66"/>
    </row>
    <row r="103" spans="1:5">
      <c r="A103" t="s">
        <v>661</v>
      </c>
      <c r="B103" s="3" t="s">
        <v>662</v>
      </c>
      <c r="C103" s="686">
        <f ca="1">IF(AND(error_stg3,P_change_required&gt;0),stg3_Pstart,stg3_min_pres)</f>
        <v>0</v>
      </c>
      <c r="D103" t="s">
        <v>3749</v>
      </c>
      <c r="E103" s="7" t="s">
        <v>2535</v>
      </c>
    </row>
    <row r="104" spans="1:5">
      <c r="A104" t="s">
        <v>663</v>
      </c>
      <c r="B104" s="3" t="s">
        <v>664</v>
      </c>
      <c r="C104" s="686">
        <f ca="1">IF(AND(error_stg3,P_change_required&lt;0),stg3_Pstart,stg3_max_pres)</f>
        <v>0</v>
      </c>
      <c r="D104" t="s">
        <v>3749</v>
      </c>
      <c r="E104" s="7" t="s">
        <v>475</v>
      </c>
    </row>
    <row r="105" spans="1:5">
      <c r="B105" s="3"/>
      <c r="C105" s="687"/>
    </row>
    <row r="106" spans="1:5">
      <c r="A106" t="s">
        <v>1893</v>
      </c>
      <c r="B106" s="3" t="s">
        <v>665</v>
      </c>
      <c r="C106" s="686">
        <f ca="1">P_stg1_try+IF(stg3_Pchange="n/a",0,stg3_Pchange)</f>
        <v>195.37119757241183</v>
      </c>
      <c r="D106" t="s">
        <v>3749</v>
      </c>
    </row>
    <row r="107" spans="1:5">
      <c r="A107" t="s">
        <v>1895</v>
      </c>
      <c r="B107" s="3" t="s">
        <v>666</v>
      </c>
      <c r="C107" s="66" t="b">
        <f ca="1">AND(OR(stg1_min_pres=0,stg1_newP_fix3&gt;stg1_min_pres),OR(stg1_max_pres=0,stg1_newP_fix3&lt;stg1_max_pres))</f>
        <v>1</v>
      </c>
    </row>
    <row r="108" spans="1:5">
      <c r="A108" t="s">
        <v>22</v>
      </c>
      <c r="B108" s="3" t="s">
        <v>667</v>
      </c>
      <c r="C108" s="66" t="b">
        <f ca="1">IF(OR(stg1_adjust_1,stg1_adjust_2,stg2_adjust_2),FALSE,AND(OR(error_stg3,NOT(stg3_in_spec)),stg1_newP_fix3_OK))</f>
        <v>0</v>
      </c>
    </row>
    <row r="109" spans="1:5">
      <c r="B109" s="3"/>
      <c r="C109" s="66"/>
    </row>
    <row r="110" spans="1:5">
      <c r="A110" t="s">
        <v>668</v>
      </c>
      <c r="B110" s="3" t="s">
        <v>669</v>
      </c>
      <c r="C110" s="686">
        <f ca="1">stg3_Pstart+IF(stg3_Pchange="n/a",0,stg3_Pchange)</f>
        <v>0</v>
      </c>
      <c r="D110" t="s">
        <v>3749</v>
      </c>
    </row>
    <row r="111" spans="1:5">
      <c r="A111" t="s">
        <v>670</v>
      </c>
      <c r="B111" s="3" t="s">
        <v>671</v>
      </c>
      <c r="C111" s="66" t="b">
        <f ca="1">AND(OR(stg3_min_pres=0,stg3_newP_fix3&gt;stg3_min_pres),OR(stg3_max_pres=0,stg3_newP_fix3&lt;stg3_max_pres))</f>
        <v>1</v>
      </c>
    </row>
    <row r="112" spans="1:5">
      <c r="A112" t="s">
        <v>1355</v>
      </c>
      <c r="B112" s="3" t="s">
        <v>1356</v>
      </c>
      <c r="C112" s="66" t="b">
        <f ca="1">IF(OR(stg1_adjust_1,stg1_adjust_2,stg2_adjust_2,stg1_adjust_3),FALSE,AND(OR(error_stg3,NOT(stg3_in_spec)),stg3_newP_fix3_OK))</f>
        <v>0</v>
      </c>
    </row>
    <row r="113" spans="1:5">
      <c r="B113" s="3"/>
      <c r="C113" s="66"/>
    </row>
    <row r="114" spans="1:5">
      <c r="A114" t="s">
        <v>24</v>
      </c>
      <c r="B114" s="3" t="s">
        <v>1357</v>
      </c>
      <c r="C114" s="686">
        <f ca="1">stg2_Pstart+IF(stg3_Pchange="n/a",0,stg3_Pchange)</f>
        <v>182.7075544080426</v>
      </c>
      <c r="D114" t="s">
        <v>3749</v>
      </c>
    </row>
    <row r="115" spans="1:5">
      <c r="A115" t="s">
        <v>26</v>
      </c>
      <c r="B115" s="3" t="s">
        <v>1358</v>
      </c>
      <c r="C115" s="66" t="b">
        <f ca="1">AND(OR(stg3_min_pres=0,stg2_newP_fix3&gt;stg3_min_pres),OR(stg3_max_pres=0,stg2_newP_fix3&lt;stg3_max_pres))</f>
        <v>1</v>
      </c>
    </row>
    <row r="116" spans="1:5">
      <c r="A116" t="s">
        <v>28</v>
      </c>
      <c r="B116" s="3" t="s">
        <v>1359</v>
      </c>
      <c r="C116" s="66" t="b">
        <f ca="1">IF(OR(stg1_adjust_1,stg1_adjust_2,stg2_adjust_2,stg1_adjust_3,stg3_adjust_3),FALSE,AND(OR(error_stg3,NOT(stg3_in_spec)),stg2_newP_fix3_OK))</f>
        <v>0</v>
      </c>
    </row>
    <row r="117" spans="1:5">
      <c r="B117" s="3"/>
      <c r="C117" s="66"/>
    </row>
    <row r="118" spans="1:5">
      <c r="A118" t="s">
        <v>1899</v>
      </c>
      <c r="B118" s="3" t="s">
        <v>1360</v>
      </c>
      <c r="C118" s="66" t="b">
        <f ca="1">IF(OR(error_stg3,NOT(stg3_in_spec)),NOT(OR(stg1_newP_fix3_OK,stg3_newP_fix3_OK,stg2_newP_fix3_OK)),FALSE)</f>
        <v>0</v>
      </c>
      <c r="E118" s="7" t="s">
        <v>2680</v>
      </c>
    </row>
    <row r="119" spans="1:5">
      <c r="B119" s="3"/>
    </row>
    <row r="120" spans="1:5">
      <c r="A120" s="2" t="s">
        <v>1361</v>
      </c>
      <c r="B120" s="3"/>
    </row>
    <row r="121" spans="1:5">
      <c r="A121" t="s">
        <v>1364</v>
      </c>
      <c r="B121" s="3" t="s">
        <v>1365</v>
      </c>
      <c r="C121" s="682">
        <f>perm_flow_sys*24*60</f>
        <v>1084303.409623255</v>
      </c>
      <c r="D121" t="s">
        <v>2532</v>
      </c>
    </row>
    <row r="122" spans="1:5">
      <c r="A122" t="s">
        <v>1366</v>
      </c>
      <c r="B122" s="3" t="s">
        <v>1367</v>
      </c>
      <c r="C122" s="682">
        <f ca="1">Qperm_result-design_Qperm*24*60</f>
        <v>8303.4096232550219</v>
      </c>
      <c r="D122" t="s">
        <v>2532</v>
      </c>
    </row>
    <row r="123" spans="1:5">
      <c r="A123" t="s">
        <v>1368</v>
      </c>
      <c r="B123" s="3" t="s">
        <v>1369</v>
      </c>
      <c r="C123" s="678">
        <f ca="1">Qperm_diff/(design_Qperm*24*60)</f>
        <v>7.7169234416868231E-3</v>
      </c>
    </row>
    <row r="124" spans="1:5">
      <c r="A124" t="s">
        <v>1370</v>
      </c>
      <c r="B124" s="3" t="s">
        <v>1371</v>
      </c>
      <c r="C124" s="66" t="b">
        <f ca="1">OR(ABS(Qperm_diff)&lt;=perm_flow_abs_tol,ABS(Qperm_pctdiff)&lt;=perm_flow_tol)</f>
        <v>1</v>
      </c>
      <c r="E124" s="7" t="s">
        <v>338</v>
      </c>
    </row>
    <row r="125" spans="1:5">
      <c r="B125" s="3"/>
      <c r="C125" s="66"/>
    </row>
    <row r="126" spans="1:5">
      <c r="A126" t="s">
        <v>2539</v>
      </c>
      <c r="B126" s="3" t="s">
        <v>2540</v>
      </c>
      <c r="C126" s="678">
        <f ca="1">-Qperm_pctdiff</f>
        <v>-7.7169234416868231E-3</v>
      </c>
    </row>
    <row r="127" spans="1:5">
      <c r="A127" t="s">
        <v>2541</v>
      </c>
      <c r="B127" s="3" t="s">
        <v>2542</v>
      </c>
      <c r="C127" s="686">
        <f ca="1">AVERAGE(ndp_avg_1,ndp_avg_2,ndp_avg_3)</f>
        <v>133.28950700263417</v>
      </c>
      <c r="D127" t="s">
        <v>3749</v>
      </c>
    </row>
    <row r="128" spans="1:5" ht="14">
      <c r="A128" t="s">
        <v>2543</v>
      </c>
      <c r="B128" s="3" t="s">
        <v>2544</v>
      </c>
      <c r="C128" s="686" t="str">
        <f ca="1">IF(perm_flow_ok,"n/a",Pchange_flow_pct*ndp_avg)</f>
        <v>n/a</v>
      </c>
      <c r="D128" t="s">
        <v>3749</v>
      </c>
    </row>
    <row r="129" spans="1:5">
      <c r="B129" s="3"/>
      <c r="C129" s="66"/>
    </row>
    <row r="130" spans="1:5">
      <c r="A130" t="s">
        <v>1893</v>
      </c>
      <c r="B130" s="3" t="s">
        <v>2545</v>
      </c>
      <c r="C130" s="686">
        <f ca="1">P_stg1_try+IF(Pchange_flow="n/a",0,Pchange_flow)</f>
        <v>195.37119757241183</v>
      </c>
      <c r="D130" t="s">
        <v>3749</v>
      </c>
    </row>
    <row r="131" spans="1:5">
      <c r="A131" t="s">
        <v>1895</v>
      </c>
      <c r="B131" s="3" t="s">
        <v>2546</v>
      </c>
      <c r="C131" s="66" t="b">
        <f ca="1">AND(OR(stg1_min_pres=0,stg1_newP_flow&gt;stg1_min_pres),OR(stg1_max_pres=0,stg1_newP_flow&lt;stg1_max_pres))</f>
        <v>1</v>
      </c>
    </row>
    <row r="132" spans="1:5">
      <c r="A132" t="s">
        <v>22</v>
      </c>
      <c r="B132" s="3" t="s">
        <v>2547</v>
      </c>
      <c r="C132" s="66" t="b">
        <f ca="1">IF(OR(stg1_adjust_1,stg1_adjust_2,stg2_adjust_2,stg1_adjust_3,stg3_adjust_3,stg2_adjust_3,perm_flow_ok),FALSE,stg1_newP_flow_OK)</f>
        <v>0</v>
      </c>
    </row>
    <row r="133" spans="1:5">
      <c r="B133" s="3"/>
      <c r="C133" s="66"/>
    </row>
    <row r="134" spans="1:5">
      <c r="A134" t="s">
        <v>24</v>
      </c>
      <c r="B134" s="3" t="s">
        <v>2551</v>
      </c>
      <c r="C134" s="686">
        <f ca="1">stg2_Pstart+IF(Pchange_flow="n/a",0,Pchange_flow)</f>
        <v>182.7075544080426</v>
      </c>
      <c r="D134" t="s">
        <v>3749</v>
      </c>
    </row>
    <row r="135" spans="1:5">
      <c r="A135" t="s">
        <v>26</v>
      </c>
      <c r="B135" s="3" t="s">
        <v>2552</v>
      </c>
      <c r="C135" s="66" t="b">
        <f ca="1">AND(OR(stg3_min_pres=0,stg2_newP_flow&gt;stg3_min_pres),OR(stg3_max_pres=0,stg2_newP_flow&lt;stg3_max_pres))</f>
        <v>1</v>
      </c>
    </row>
    <row r="136" spans="1:5">
      <c r="A136" t="s">
        <v>28</v>
      </c>
      <c r="B136" s="3" t="s">
        <v>2553</v>
      </c>
      <c r="C136" s="66" t="b">
        <f ca="1">IF(OR(stg1_adjust_1,stg1_adjust_2,stg2_adjust_2,stg1_adjust_3,stg3_adjust_3,stg2_adjust_3,perm_flow_ok,stg1_adjust_flow),FALSE,stg2_newP_flow_OK)</f>
        <v>0</v>
      </c>
    </row>
    <row r="137" spans="1:5">
      <c r="B137" s="3"/>
      <c r="C137" s="66"/>
    </row>
    <row r="138" spans="1:5">
      <c r="A138" t="s">
        <v>668</v>
      </c>
      <c r="B138" s="3" t="s">
        <v>2548</v>
      </c>
      <c r="C138" s="686">
        <f ca="1">stg3_Pstart+IF(Pchange_flow="n/a",0,Pchange_flow)</f>
        <v>0</v>
      </c>
      <c r="D138" t="s">
        <v>3749</v>
      </c>
    </row>
    <row r="139" spans="1:5">
      <c r="A139" t="s">
        <v>670</v>
      </c>
      <c r="B139" s="3" t="s">
        <v>2549</v>
      </c>
      <c r="C139" s="66" t="b">
        <f ca="1">AND(OR(stg3_min_pres=0,stg3_newP_flow&gt;stg3_min_pres),OR(stg3_max_pres=0,stg3_newP_flow&lt;stg3_max_pres))</f>
        <v>1</v>
      </c>
    </row>
    <row r="140" spans="1:5">
      <c r="A140" t="s">
        <v>1355</v>
      </c>
      <c r="B140" s="3" t="s">
        <v>2550</v>
      </c>
      <c r="C140" s="66" t="b">
        <f ca="1">IF(OR(stg1_adjust_1,stg1_adjust_2,stg2_adjust_2,stg1_adjust_3,stg3_adjust_3,stg2_adjust_3,perm_flow_ok,stg1_adjust_flow,stg2_adjust_flow),FALSE,stg3_newP_flow_OK)</f>
        <v>0</v>
      </c>
    </row>
    <row r="141" spans="1:5">
      <c r="B141" s="3"/>
      <c r="C141" s="66"/>
    </row>
    <row r="142" spans="1:5">
      <c r="A142" t="s">
        <v>1899</v>
      </c>
      <c r="B142" s="3" t="s">
        <v>2554</v>
      </c>
      <c r="C142" s="66" t="b">
        <f ca="1">IF(NOT(perm_flow_ok),NOT(OR(stg1_newP_flow_OK,stg3_newP_flow_OK,stg2_newP_flow_OK)),FALSE)</f>
        <v>0</v>
      </c>
      <c r="E142" s="7" t="s">
        <v>2681</v>
      </c>
    </row>
    <row r="143" spans="1:5">
      <c r="B143" s="3"/>
      <c r="C143" s="66"/>
    </row>
    <row r="144" spans="1:5" s="555" customFormat="1">
      <c r="A144" s="2" t="s">
        <v>2555</v>
      </c>
      <c r="B144" s="3"/>
      <c r="C144" s="66"/>
      <c r="D144"/>
      <c r="E144" s="7"/>
    </row>
    <row r="145" spans="1:86" s="555" customFormat="1" ht="14">
      <c r="A145" t="s">
        <v>2556</v>
      </c>
      <c r="B145" s="3" t="s">
        <v>2557</v>
      </c>
      <c r="C145" s="687" t="str">
        <f ca="1">IF(OR(stg1_adjust_1,stg1_adjust_2,stg1_adjust_3,stg1_adjust_flow),1,IF(OR(stg2_adjust_2,stg2_adjust_3,stg2_adjust_flow),2,IF(OR(stg3_adjust_3,stg3_adjust_flow),3,"none")))</f>
        <v>none</v>
      </c>
      <c r="D145"/>
      <c r="E145" s="7"/>
      <c r="F145" s="973" t="s">
        <v>5449</v>
      </c>
    </row>
    <row r="146" spans="1:86" s="974" customFormat="1">
      <c r="A146" t="s">
        <v>2558</v>
      </c>
      <c r="B146" s="3" t="s">
        <v>2559</v>
      </c>
      <c r="C146" s="686">
        <f ca="1">IF(stg1_adjust_1,stg1_newP_fix1,IF(stg1_adjust_2,stg1_newP_fix2,IF(stg1_adjust_3,stg1_newP_fix3,IF(stg1_adjust_flow,stg1_newP_flow,P_stg1_try))))</f>
        <v>195.37119757241183</v>
      </c>
      <c r="D146" t="s">
        <v>3749</v>
      </c>
      <c r="E146" s="7"/>
      <c r="G146" s="974">
        <v>195.37119757241183</v>
      </c>
      <c r="H146" s="974">
        <v>195.37119757241183</v>
      </c>
      <c r="I146" s="974">
        <v>267.75762475751509</v>
      </c>
      <c r="J146" s="974">
        <v>109.76403159349249</v>
      </c>
      <c r="K146" s="974">
        <v>107.02861714316037</v>
      </c>
      <c r="L146" s="974">
        <v>121.11354174216551</v>
      </c>
      <c r="M146" s="974">
        <v>137.94329590643929</v>
      </c>
      <c r="N146" s="974">
        <v>140.66602650931273</v>
      </c>
      <c r="O146" s="974">
        <v>134.100632165261</v>
      </c>
      <c r="P146" s="974">
        <v>122.29038792113685</v>
      </c>
      <c r="Q146" s="974">
        <v>103.00003662876834</v>
      </c>
      <c r="R146" s="974">
        <v>104.54707247022485</v>
      </c>
      <c r="S146" s="974">
        <v>125.42201913772971</v>
      </c>
      <c r="T146" s="974">
        <v>144.74260905608196</v>
      </c>
      <c r="U146" s="974">
        <v>123.00495743571248</v>
      </c>
      <c r="V146" s="974">
        <v>123.00495743571248</v>
      </c>
      <c r="W146" s="974">
        <v>126.489278423298</v>
      </c>
      <c r="X146" s="974">
        <v>123.90867308524524</v>
      </c>
      <c r="Y146" s="974">
        <v>123.90867308524524</v>
      </c>
      <c r="Z146" s="974">
        <v>125.92799057259887</v>
      </c>
      <c r="AA146" s="974">
        <v>124.42019804807846</v>
      </c>
      <c r="AB146" s="974">
        <v>124.42019804807846</v>
      </c>
      <c r="AC146" s="974">
        <v>125.57460700583523</v>
      </c>
      <c r="AD146" s="974">
        <v>106.09792762678488</v>
      </c>
      <c r="AE146" s="974">
        <v>107.09337832257481</v>
      </c>
      <c r="AF146" s="974">
        <v>106.16468972988848</v>
      </c>
      <c r="AG146" s="974">
        <v>107.08860180922866</v>
      </c>
      <c r="AH146" s="974">
        <v>106.17099878895706</v>
      </c>
      <c r="AI146" s="974">
        <v>107.08814520002976</v>
      </c>
      <c r="AJ146" s="974">
        <v>106.17160174365176</v>
      </c>
      <c r="AK146" s="974">
        <v>107.08810151491602</v>
      </c>
      <c r="AL146" s="974">
        <v>106.17165942862002</v>
      </c>
      <c r="AM146" s="974">
        <v>107.08809733510871</v>
      </c>
      <c r="AN146" s="974">
        <v>106.1716649479217</v>
      </c>
      <c r="AO146" s="974">
        <v>107.08809693517946</v>
      </c>
      <c r="AP146" s="974">
        <v>106.17166547600952</v>
      </c>
      <c r="AQ146" s="974">
        <v>107.088096896916</v>
      </c>
      <c r="AR146" s="974">
        <v>106.17166552654142</v>
      </c>
      <c r="AS146" s="974">
        <v>107.08809689325653</v>
      </c>
      <c r="AT146" s="974">
        <v>106.17166553137595</v>
      </c>
      <c r="AU146" s="974">
        <v>107.08809689290571</v>
      </c>
      <c r="AV146" s="974">
        <v>106.17166553183328</v>
      </c>
      <c r="AW146" s="974">
        <v>107.08809689287446</v>
      </c>
      <c r="AX146" s="974">
        <v>106.17166553187126</v>
      </c>
      <c r="AY146" s="974">
        <v>107.08809689287079</v>
      </c>
      <c r="AZ146" s="974">
        <v>106.17166553187823</v>
      </c>
      <c r="BA146" s="974">
        <v>107.08809689287038</v>
      </c>
      <c r="BB146" s="974">
        <v>106.17166553187779</v>
      </c>
      <c r="BC146" s="974">
        <v>106.17166553187779</v>
      </c>
      <c r="BD146" s="974">
        <v>106.17166553187779</v>
      </c>
      <c r="BE146" s="974">
        <v>20.062719016541834</v>
      </c>
      <c r="BF146" s="974">
        <v>0</v>
      </c>
      <c r="BG146" s="974">
        <v>15.894600236664576</v>
      </c>
      <c r="BH146" s="974">
        <v>20.062719016541834</v>
      </c>
      <c r="BI146" s="974">
        <v>0</v>
      </c>
      <c r="BJ146" s="974">
        <v>15.894600236664576</v>
      </c>
      <c r="BK146" s="974">
        <v>20.062719016541834</v>
      </c>
      <c r="BL146" s="974">
        <v>0</v>
      </c>
      <c r="BM146" s="974">
        <v>15.894600236664576</v>
      </c>
      <c r="BN146" s="974">
        <v>20.062719016541834</v>
      </c>
      <c r="BO146" s="974">
        <v>0</v>
      </c>
      <c r="BP146" s="974">
        <v>15.894600236664576</v>
      </c>
      <c r="BQ146" s="974">
        <v>20.062719016541834</v>
      </c>
      <c r="BR146" s="974">
        <v>0</v>
      </c>
      <c r="BS146" s="974">
        <v>15.894600236664576</v>
      </c>
      <c r="BT146" s="974">
        <v>20.062719016541834</v>
      </c>
      <c r="BU146" s="974">
        <v>0</v>
      </c>
      <c r="BV146" s="974">
        <v>15.894600236664576</v>
      </c>
      <c r="BW146" s="974">
        <v>20.062719016541834</v>
      </c>
      <c r="BX146" s="974">
        <v>0</v>
      </c>
      <c r="BY146" s="974">
        <v>15.894600236664576</v>
      </c>
      <c r="BZ146" s="974">
        <v>20.062719016541834</v>
      </c>
      <c r="CA146" s="974">
        <v>0</v>
      </c>
      <c r="CB146" s="974">
        <v>15.894600236664576</v>
      </c>
      <c r="CC146" s="974">
        <v>20.062719016541834</v>
      </c>
      <c r="CD146" s="974">
        <v>0</v>
      </c>
      <c r="CE146" s="974">
        <v>15.894600236664576</v>
      </c>
      <c r="CF146" s="974">
        <v>20.062719016541834</v>
      </c>
      <c r="CG146" s="974">
        <v>0</v>
      </c>
      <c r="CH146" s="974">
        <v>15.894600236664576</v>
      </c>
    </row>
    <row r="147" spans="1:86" s="974" customFormat="1">
      <c r="A147" t="s">
        <v>2560</v>
      </c>
      <c r="B147" s="3" t="s">
        <v>2561</v>
      </c>
      <c r="C147" s="686">
        <f ca="1">IF(stg2_adjust_2,stg2_Pchange,IF(stg2_adjust_3,stg3_Pchange,IF(stg2_adjust_flow,Pchange_flow,0)))+P_adjust_2_try</f>
        <v>0</v>
      </c>
      <c r="D147" t="s">
        <v>3749</v>
      </c>
      <c r="E147" s="7"/>
      <c r="G147" s="974">
        <v>0</v>
      </c>
      <c r="H147" s="974">
        <v>0</v>
      </c>
      <c r="I147" s="974">
        <v>0</v>
      </c>
      <c r="J147" s="974">
        <v>5.7605422593846223</v>
      </c>
      <c r="K147" s="974">
        <v>5.7605422593846223</v>
      </c>
      <c r="L147" s="974">
        <v>5.7605422593846223</v>
      </c>
      <c r="M147" s="974">
        <v>5.7605422593846223</v>
      </c>
      <c r="N147" s="974">
        <v>5.7605422593846223</v>
      </c>
      <c r="O147" s="974">
        <v>5.7605422593846223</v>
      </c>
      <c r="P147" s="974">
        <v>5.7605422593846223</v>
      </c>
      <c r="Q147" s="974">
        <v>5.7605422593846223</v>
      </c>
      <c r="R147" s="974">
        <v>5.7605422593846223</v>
      </c>
      <c r="S147" s="974">
        <v>5.7605422593846223</v>
      </c>
      <c r="T147" s="974">
        <v>5.7605422593846223</v>
      </c>
      <c r="U147" s="974">
        <v>10.382207364833423</v>
      </c>
      <c r="V147" s="974">
        <v>14.811715685380758</v>
      </c>
      <c r="W147" s="974">
        <v>14.811715685380758</v>
      </c>
      <c r="X147" s="974">
        <v>14.811715685380758</v>
      </c>
      <c r="Y147" s="974">
        <v>17.425738020025033</v>
      </c>
      <c r="Z147" s="974">
        <v>17.425738020025033</v>
      </c>
      <c r="AA147" s="974">
        <v>17.425738020025033</v>
      </c>
      <c r="AB147" s="974">
        <v>18.936200387319936</v>
      </c>
      <c r="AC147" s="974">
        <v>18.936200387319936</v>
      </c>
      <c r="AD147" s="974">
        <v>7.7921007160447537</v>
      </c>
      <c r="AE147" s="974">
        <v>7.7921007160447537</v>
      </c>
      <c r="AF147" s="974">
        <v>7.7921007160447537</v>
      </c>
      <c r="AG147" s="974">
        <v>7.7921007160447537</v>
      </c>
      <c r="AH147" s="974">
        <v>7.7921007160447537</v>
      </c>
      <c r="AI147" s="974">
        <v>7.7921007160447537</v>
      </c>
      <c r="AJ147" s="974">
        <v>7.7921007160447537</v>
      </c>
      <c r="AK147" s="974">
        <v>7.7921007160447537</v>
      </c>
      <c r="AL147" s="974">
        <v>7.7921007160447537</v>
      </c>
      <c r="AM147" s="974">
        <v>7.7921007160447537</v>
      </c>
      <c r="AN147" s="974">
        <v>7.7921007160447537</v>
      </c>
      <c r="AO147" s="974">
        <v>7.7921007160447537</v>
      </c>
      <c r="AP147" s="974">
        <v>7.7921007160447537</v>
      </c>
      <c r="AQ147" s="974">
        <v>7.7921007160447537</v>
      </c>
      <c r="AR147" s="974">
        <v>7.7921007160447537</v>
      </c>
      <c r="AS147" s="974">
        <v>7.7921007160447537</v>
      </c>
      <c r="AT147" s="974">
        <v>7.7921007160447537</v>
      </c>
      <c r="AU147" s="974">
        <v>7.7921007160447537</v>
      </c>
      <c r="AV147" s="974">
        <v>7.7921007160447537</v>
      </c>
      <c r="AW147" s="974">
        <v>7.7921007160447537</v>
      </c>
      <c r="AX147" s="974">
        <v>7.7921007160447537</v>
      </c>
      <c r="AY147" s="974">
        <v>7.7921007160447537</v>
      </c>
      <c r="AZ147" s="974">
        <v>7.7921007160447537</v>
      </c>
      <c r="BA147" s="974">
        <v>7.7921007160447537</v>
      </c>
      <c r="BB147" s="974">
        <v>7.7921007160447537</v>
      </c>
      <c r="BC147" s="974">
        <v>8.7085320770372974</v>
      </c>
      <c r="BD147" s="974">
        <v>8.7085320770372974</v>
      </c>
      <c r="BE147" s="974">
        <v>0</v>
      </c>
      <c r="BF147" s="974">
        <v>0</v>
      </c>
      <c r="BG147" s="974">
        <v>0</v>
      </c>
      <c r="BH147" s="974">
        <v>0</v>
      </c>
      <c r="BI147" s="974">
        <v>0</v>
      </c>
      <c r="BJ147" s="974">
        <v>0</v>
      </c>
      <c r="BK147" s="974">
        <v>0</v>
      </c>
      <c r="BL147" s="974">
        <v>0</v>
      </c>
      <c r="BM147" s="974">
        <v>0</v>
      </c>
      <c r="BN147" s="974">
        <v>0</v>
      </c>
      <c r="BO147" s="974">
        <v>0</v>
      </c>
      <c r="BP147" s="974">
        <v>0</v>
      </c>
      <c r="BQ147" s="974">
        <v>0</v>
      </c>
      <c r="BR147" s="974">
        <v>0</v>
      </c>
      <c r="BS147" s="974">
        <v>0</v>
      </c>
      <c r="BT147" s="974">
        <v>0</v>
      </c>
      <c r="BU147" s="974">
        <v>0</v>
      </c>
      <c r="BV147" s="974">
        <v>0</v>
      </c>
      <c r="BW147" s="974">
        <v>0</v>
      </c>
      <c r="BX147" s="974">
        <v>0</v>
      </c>
      <c r="BY147" s="974">
        <v>0</v>
      </c>
      <c r="BZ147" s="974">
        <v>0</v>
      </c>
      <c r="CA147" s="974">
        <v>0</v>
      </c>
      <c r="CB147" s="974">
        <v>0</v>
      </c>
      <c r="CC147" s="974">
        <v>0</v>
      </c>
      <c r="CD147" s="974">
        <v>0</v>
      </c>
      <c r="CE147" s="974">
        <v>0</v>
      </c>
      <c r="CF147" s="974">
        <v>0</v>
      </c>
      <c r="CG147" s="974">
        <v>0</v>
      </c>
      <c r="CH147" s="974">
        <v>0</v>
      </c>
    </row>
    <row r="148" spans="1:86" s="974" customFormat="1">
      <c r="A148" t="s">
        <v>2562</v>
      </c>
      <c r="B148" s="3" t="s">
        <v>2563</v>
      </c>
      <c r="C148" s="686">
        <f ca="1">IF(stg3_adjust_3,stg3_Pchange,IF(stg3_adjust_flow,Pchange_flow,0))+P_adjust_3_try</f>
        <v>0</v>
      </c>
      <c r="D148" t="s">
        <v>3749</v>
      </c>
      <c r="E148" s="7"/>
      <c r="G148" s="974">
        <v>0</v>
      </c>
      <c r="H148" s="974">
        <v>0</v>
      </c>
      <c r="I148" s="974">
        <v>0</v>
      </c>
      <c r="J148" s="974">
        <v>0</v>
      </c>
      <c r="K148" s="974">
        <v>0</v>
      </c>
      <c r="L148" s="974">
        <v>0</v>
      </c>
      <c r="M148" s="974">
        <v>0</v>
      </c>
      <c r="N148" s="974">
        <v>0</v>
      </c>
      <c r="O148" s="974">
        <v>0</v>
      </c>
      <c r="P148" s="974">
        <v>0</v>
      </c>
      <c r="Q148" s="974">
        <v>0</v>
      </c>
      <c r="R148" s="974">
        <v>0</v>
      </c>
      <c r="S148" s="974">
        <v>0</v>
      </c>
      <c r="T148" s="974">
        <v>0</v>
      </c>
      <c r="U148" s="974">
        <v>0</v>
      </c>
      <c r="V148" s="974">
        <v>0</v>
      </c>
      <c r="W148" s="974">
        <v>0</v>
      </c>
      <c r="X148" s="974">
        <v>0</v>
      </c>
      <c r="Y148" s="974">
        <v>0</v>
      </c>
      <c r="Z148" s="974">
        <v>0</v>
      </c>
      <c r="AA148" s="974">
        <v>0</v>
      </c>
      <c r="AB148" s="974">
        <v>0</v>
      </c>
      <c r="AC148" s="974">
        <v>0</v>
      </c>
      <c r="AD148" s="974">
        <v>0</v>
      </c>
      <c r="AE148" s="974">
        <v>0</v>
      </c>
      <c r="AF148" s="974">
        <v>0</v>
      </c>
      <c r="AG148" s="974">
        <v>0</v>
      </c>
      <c r="AH148" s="974">
        <v>0</v>
      </c>
      <c r="AI148" s="974">
        <v>0</v>
      </c>
      <c r="AJ148" s="974">
        <v>0</v>
      </c>
      <c r="AK148" s="974">
        <v>0</v>
      </c>
      <c r="AL148" s="974">
        <v>0</v>
      </c>
      <c r="AM148" s="974">
        <v>0</v>
      </c>
      <c r="AN148" s="974">
        <v>0</v>
      </c>
      <c r="AO148" s="974">
        <v>0</v>
      </c>
      <c r="AP148" s="974">
        <v>0</v>
      </c>
      <c r="AQ148" s="974">
        <v>0</v>
      </c>
      <c r="AR148" s="974">
        <v>0</v>
      </c>
      <c r="AS148" s="974">
        <v>0</v>
      </c>
      <c r="AT148" s="974">
        <v>0</v>
      </c>
      <c r="AU148" s="974">
        <v>0</v>
      </c>
      <c r="AV148" s="974">
        <v>0</v>
      </c>
      <c r="AW148" s="974">
        <v>0</v>
      </c>
      <c r="AX148" s="974">
        <v>0</v>
      </c>
      <c r="AY148" s="974">
        <v>0</v>
      </c>
      <c r="AZ148" s="974">
        <v>0</v>
      </c>
      <c r="BA148" s="974">
        <v>0</v>
      </c>
      <c r="BB148" s="974">
        <v>0</v>
      </c>
      <c r="BC148" s="974">
        <v>0</v>
      </c>
      <c r="BD148" s="974">
        <v>0</v>
      </c>
      <c r="BE148" s="974">
        <v>0</v>
      </c>
      <c r="BF148" s="974">
        <v>0</v>
      </c>
      <c r="BG148" s="974">
        <v>0</v>
      </c>
      <c r="BH148" s="974">
        <v>0</v>
      </c>
      <c r="BI148" s="974">
        <v>0</v>
      </c>
      <c r="BJ148" s="974">
        <v>0</v>
      </c>
      <c r="BK148" s="974">
        <v>0</v>
      </c>
      <c r="BL148" s="974">
        <v>0</v>
      </c>
      <c r="BM148" s="974">
        <v>0</v>
      </c>
      <c r="BN148" s="974">
        <v>0</v>
      </c>
      <c r="BO148" s="974">
        <v>0</v>
      </c>
      <c r="BP148" s="974">
        <v>0</v>
      </c>
      <c r="BQ148" s="974">
        <v>0</v>
      </c>
      <c r="BR148" s="974">
        <v>0</v>
      </c>
      <c r="BS148" s="974">
        <v>0</v>
      </c>
      <c r="BT148" s="974">
        <v>0</v>
      </c>
      <c r="BU148" s="974">
        <v>0</v>
      </c>
      <c r="BV148" s="974">
        <v>0</v>
      </c>
      <c r="BW148" s="974">
        <v>0</v>
      </c>
      <c r="BX148" s="974">
        <v>0</v>
      </c>
      <c r="BY148" s="974">
        <v>0</v>
      </c>
      <c r="BZ148" s="974">
        <v>0</v>
      </c>
      <c r="CA148" s="974">
        <v>0</v>
      </c>
      <c r="CB148" s="974">
        <v>0</v>
      </c>
      <c r="CC148" s="974">
        <v>0</v>
      </c>
      <c r="CD148" s="974">
        <v>0</v>
      </c>
      <c r="CE148" s="974">
        <v>0</v>
      </c>
      <c r="CF148" s="974">
        <v>0</v>
      </c>
      <c r="CG148" s="974">
        <v>0</v>
      </c>
      <c r="CH148" s="974">
        <v>0</v>
      </c>
    </row>
    <row r="149" spans="1:86" s="974" customFormat="1">
      <c r="A149"/>
      <c r="B149" s="3"/>
      <c r="C149" s="686"/>
      <c r="D149"/>
      <c r="E149" s="7"/>
      <c r="F149" s="974" t="s">
        <v>6508</v>
      </c>
      <c r="G149" s="974" t="s">
        <v>6508</v>
      </c>
      <c r="H149" s="974" t="s">
        <v>6508</v>
      </c>
      <c r="I149" s="974" t="s">
        <v>5592</v>
      </c>
      <c r="J149" s="974" t="s">
        <v>5592</v>
      </c>
      <c r="K149" s="974" t="s">
        <v>5200</v>
      </c>
      <c r="L149" s="974" t="s">
        <v>5200</v>
      </c>
      <c r="M149" s="974" t="s">
        <v>5200</v>
      </c>
      <c r="N149" s="974" t="s">
        <v>5593</v>
      </c>
      <c r="O149" s="974" t="s">
        <v>5593</v>
      </c>
      <c r="P149" s="974" t="s">
        <v>5592</v>
      </c>
      <c r="Q149" s="974" t="s">
        <v>5200</v>
      </c>
      <c r="R149" s="974" t="s">
        <v>5200</v>
      </c>
      <c r="S149" s="974" t="s">
        <v>5200</v>
      </c>
      <c r="T149" s="974" t="s">
        <v>5592</v>
      </c>
      <c r="U149" s="974" t="s">
        <v>5200</v>
      </c>
      <c r="V149" s="974" t="s">
        <v>5200</v>
      </c>
      <c r="W149" s="974" t="s">
        <v>5592</v>
      </c>
      <c r="X149" s="974" t="s">
        <v>5200</v>
      </c>
      <c r="Y149" s="974" t="s">
        <v>5200</v>
      </c>
      <c r="Z149" s="974" t="s">
        <v>5592</v>
      </c>
      <c r="AA149" s="974" t="s">
        <v>5200</v>
      </c>
      <c r="AB149" s="974" t="s">
        <v>5200</v>
      </c>
      <c r="AC149" s="974" t="s">
        <v>5199</v>
      </c>
      <c r="AD149" s="974" t="s">
        <v>5200</v>
      </c>
      <c r="AE149" s="974" t="s">
        <v>5199</v>
      </c>
      <c r="AF149" s="974" t="s">
        <v>5200</v>
      </c>
      <c r="AG149" s="974" t="s">
        <v>5199</v>
      </c>
      <c r="AH149" s="974" t="s">
        <v>5200</v>
      </c>
      <c r="AI149" s="974" t="s">
        <v>5199</v>
      </c>
      <c r="AJ149" s="974" t="s">
        <v>5200</v>
      </c>
      <c r="AK149" s="974" t="s">
        <v>5199</v>
      </c>
      <c r="AL149" s="974" t="s">
        <v>5200</v>
      </c>
      <c r="AM149" s="974" t="s">
        <v>5199</v>
      </c>
      <c r="AN149" s="974" t="s">
        <v>5200</v>
      </c>
      <c r="AO149" s="974" t="s">
        <v>5199</v>
      </c>
      <c r="AP149" s="974" t="s">
        <v>5200</v>
      </c>
      <c r="AQ149" s="974" t="s">
        <v>5199</v>
      </c>
      <c r="AR149" s="974" t="s">
        <v>5200</v>
      </c>
      <c r="AS149" s="974" t="s">
        <v>5199</v>
      </c>
      <c r="AT149" s="974" t="s">
        <v>5200</v>
      </c>
      <c r="AU149" s="974" t="s">
        <v>5199</v>
      </c>
      <c r="AV149" s="974" t="s">
        <v>5200</v>
      </c>
      <c r="AW149" s="974" t="s">
        <v>5199</v>
      </c>
      <c r="AX149" s="974" t="s">
        <v>5200</v>
      </c>
      <c r="AY149" s="974" t="s">
        <v>5199</v>
      </c>
      <c r="AZ149" s="974" t="s">
        <v>5200</v>
      </c>
      <c r="BA149" s="974" t="s">
        <v>5199</v>
      </c>
      <c r="BB149" s="974" t="s">
        <v>5200</v>
      </c>
      <c r="BC149" s="974" t="s">
        <v>5039</v>
      </c>
      <c r="BD149" s="974" t="s">
        <v>5188</v>
      </c>
      <c r="BE149" s="974" t="s">
        <v>5186</v>
      </c>
      <c r="BF149" s="974" t="s">
        <v>5187</v>
      </c>
      <c r="BG149" s="974" t="s">
        <v>5188</v>
      </c>
      <c r="BH149" s="974" t="s">
        <v>5186</v>
      </c>
      <c r="BI149" s="974" t="s">
        <v>5187</v>
      </c>
      <c r="BJ149" s="974" t="s">
        <v>5188</v>
      </c>
      <c r="BK149" s="974" t="s">
        <v>5186</v>
      </c>
      <c r="BL149" s="974" t="s">
        <v>5187</v>
      </c>
      <c r="BM149" s="974" t="s">
        <v>5188</v>
      </c>
      <c r="BN149" s="974" t="s">
        <v>5186</v>
      </c>
      <c r="BO149" s="974" t="s">
        <v>5187</v>
      </c>
      <c r="BP149" s="974" t="s">
        <v>5188</v>
      </c>
      <c r="BQ149" s="974" t="s">
        <v>5186</v>
      </c>
      <c r="BR149" s="974" t="s">
        <v>5187</v>
      </c>
      <c r="BS149" s="974" t="s">
        <v>5188</v>
      </c>
      <c r="BT149" s="974" t="s">
        <v>5186</v>
      </c>
      <c r="BU149" s="974" t="s">
        <v>5187</v>
      </c>
      <c r="BV149" s="974" t="s">
        <v>5188</v>
      </c>
      <c r="BW149" s="974" t="s">
        <v>5186</v>
      </c>
      <c r="BX149" s="974" t="s">
        <v>5187</v>
      </c>
      <c r="BY149" s="974" t="s">
        <v>5188</v>
      </c>
      <c r="BZ149" s="974" t="s">
        <v>5186</v>
      </c>
      <c r="CA149" s="974" t="s">
        <v>5187</v>
      </c>
      <c r="CB149" s="974" t="s">
        <v>5188</v>
      </c>
      <c r="CC149" s="974" t="s">
        <v>5186</v>
      </c>
      <c r="CD149" s="974" t="s">
        <v>5187</v>
      </c>
      <c r="CE149" s="974" t="s">
        <v>5188</v>
      </c>
      <c r="CF149" s="974" t="s">
        <v>5186</v>
      </c>
      <c r="CG149" s="974" t="s">
        <v>5187</v>
      </c>
    </row>
    <row r="150" spans="1:86">
      <c r="A150" t="s">
        <v>1899</v>
      </c>
      <c r="B150" s="3" t="s">
        <v>2564</v>
      </c>
      <c r="C150" s="686" t="b">
        <f ca="1">OR(pressure_error_stg1,pressure_error_stg2,pressure_error_stg3,pressure_error_flow)</f>
        <v>0</v>
      </c>
    </row>
    <row r="151" spans="1:86" ht="14">
      <c r="A151" t="s">
        <v>883</v>
      </c>
      <c r="B151" s="3" t="s">
        <v>884</v>
      </c>
      <c r="C151" s="686" t="str">
        <f ca="1">IF(pressure_error,IF(pressure_error_stg1,"Can't find suitable pressure in Stage 1.",IF(pressure_error_stg2,"Can't find suitable pressure in Stage 2",IF(pressure_error_stg3,"Can't find suitable pressure in Stage 3","Can't find suitable pressures for the requested product flow"))),"")</f>
        <v/>
      </c>
    </row>
    <row r="152" spans="1:86">
      <c r="A152" t="s">
        <v>2565</v>
      </c>
      <c r="B152" s="3" t="s">
        <v>2566</v>
      </c>
      <c r="C152" s="686" t="b">
        <f ca="1">AND(NOT(pressure_error),stage_adjust="none")</f>
        <v>1</v>
      </c>
    </row>
    <row r="153" spans="1:86">
      <c r="B153" s="3"/>
    </row>
    <row r="154" spans="1:86">
      <c r="A154" t="s">
        <v>2567</v>
      </c>
      <c r="B154" s="3" t="s">
        <v>4231</v>
      </c>
      <c r="C154" s="975">
        <v>1</v>
      </c>
      <c r="E154" s="7" t="s">
        <v>170</v>
      </c>
    </row>
  </sheetData>
  <phoneticPr fontId="27" type="noConversion"/>
  <pageMargins left="0.75" right="0.75" top="1" bottom="1" header="0.5" footer="0.5"/>
  <pageSetup scale="76" fitToHeight="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dimension ref="A1:H479"/>
  <sheetViews>
    <sheetView workbookViewId="0">
      <pane ySplit="4" topLeftCell="A5" activePane="bottomLeft" state="frozen"/>
      <selection activeCell="B46" sqref="B46"/>
      <selection pane="bottomLeft" activeCell="F36" sqref="F36"/>
    </sheetView>
  </sheetViews>
  <sheetFormatPr baseColWidth="10" defaultColWidth="8.83203125" defaultRowHeight="13"/>
  <cols>
    <col min="1" max="1" width="48" customWidth="1"/>
    <col min="2" max="2" width="22.5" style="3" bestFit="1" customWidth="1"/>
    <col min="3" max="3" width="12.5" style="77" bestFit="1" customWidth="1"/>
    <col min="4" max="4" width="13.1640625" bestFit="1" customWidth="1"/>
    <col min="5" max="5" width="9.1640625" style="70" customWidth="1"/>
  </cols>
  <sheetData>
    <row r="1" spans="1:5">
      <c r="A1" s="1" t="s">
        <v>5472</v>
      </c>
    </row>
    <row r="2" spans="1:5">
      <c r="A2" s="968" t="s">
        <v>5454</v>
      </c>
    </row>
    <row r="3" spans="1:5">
      <c r="A3" s="1"/>
    </row>
    <row r="4" spans="1:5">
      <c r="A4" s="235" t="s">
        <v>5172</v>
      </c>
      <c r="B4" s="236" t="s">
        <v>1989</v>
      </c>
      <c r="C4" s="971" t="s">
        <v>1990</v>
      </c>
      <c r="D4" s="236" t="s">
        <v>2961</v>
      </c>
      <c r="E4" s="236" t="s">
        <v>1991</v>
      </c>
    </row>
    <row r="5" spans="1:5">
      <c r="A5" s="2" t="s">
        <v>4325</v>
      </c>
      <c r="E5" s="7"/>
    </row>
    <row r="6" spans="1:5">
      <c r="A6" t="s">
        <v>4326</v>
      </c>
      <c r="B6" s="3" t="s">
        <v>4327</v>
      </c>
      <c r="C6" s="990">
        <v>2</v>
      </c>
      <c r="E6" s="7"/>
    </row>
    <row r="7" spans="1:5">
      <c r="A7" t="s">
        <v>691</v>
      </c>
      <c r="B7" s="3" t="s">
        <v>621</v>
      </c>
      <c r="C7" s="990">
        <v>6</v>
      </c>
      <c r="E7" s="7"/>
    </row>
    <row r="8" spans="1:5">
      <c r="A8" s="1"/>
      <c r="E8" s="7"/>
    </row>
    <row r="9" spans="1:5">
      <c r="A9" s="2" t="s">
        <v>3326</v>
      </c>
    </row>
    <row r="10" spans="1:5">
      <c r="A10" t="s">
        <v>1948</v>
      </c>
      <c r="B10" s="3" t="s">
        <v>3328</v>
      </c>
      <c r="C10" s="990">
        <v>40</v>
      </c>
      <c r="D10" t="s">
        <v>1951</v>
      </c>
    </row>
    <row r="11" spans="1:5">
      <c r="A11" t="s">
        <v>1949</v>
      </c>
      <c r="B11" s="3" t="s">
        <v>3329</v>
      </c>
      <c r="C11" s="990">
        <v>8</v>
      </c>
      <c r="D11" t="s">
        <v>1951</v>
      </c>
    </row>
    <row r="12" spans="1:5">
      <c r="A12" t="s">
        <v>1946</v>
      </c>
      <c r="B12" s="3" t="s">
        <v>3330</v>
      </c>
      <c r="C12" s="990">
        <v>400</v>
      </c>
      <c r="D12" t="s">
        <v>3331</v>
      </c>
    </row>
    <row r="13" spans="1:5">
      <c r="A13" t="s">
        <v>3332</v>
      </c>
      <c r="B13" s="3" t="s">
        <v>3333</v>
      </c>
      <c r="C13" s="991">
        <v>0.14000000000000001</v>
      </c>
      <c r="D13" t="s">
        <v>3334</v>
      </c>
      <c r="E13" s="70" t="s">
        <v>2640</v>
      </c>
    </row>
    <row r="14" spans="1:5">
      <c r="A14" t="s">
        <v>2641</v>
      </c>
      <c r="B14" s="3" t="s">
        <v>907</v>
      </c>
      <c r="C14" s="992">
        <v>0.1</v>
      </c>
      <c r="D14" t="s">
        <v>1950</v>
      </c>
      <c r="E14" s="70" t="s">
        <v>908</v>
      </c>
    </row>
    <row r="15" spans="1:5">
      <c r="A15" t="s">
        <v>909</v>
      </c>
      <c r="B15" s="3" t="s">
        <v>910</v>
      </c>
      <c r="C15" s="991">
        <v>0.18</v>
      </c>
      <c r="D15" t="s">
        <v>1950</v>
      </c>
      <c r="E15" s="70" t="s">
        <v>911</v>
      </c>
    </row>
    <row r="16" spans="1:5">
      <c r="A16" t="s">
        <v>912</v>
      </c>
      <c r="B16" s="3" t="s">
        <v>913</v>
      </c>
      <c r="C16" s="990">
        <v>1.7000000000000001E-2</v>
      </c>
      <c r="D16" t="s">
        <v>914</v>
      </c>
      <c r="E16" s="70" t="s">
        <v>915</v>
      </c>
    </row>
    <row r="17" spans="1:5">
      <c r="A17" t="s">
        <v>916</v>
      </c>
      <c r="B17" s="3" t="s">
        <v>917</v>
      </c>
      <c r="C17" s="990">
        <v>1.4</v>
      </c>
    </row>
    <row r="18" spans="1:5">
      <c r="A18" t="s">
        <v>918</v>
      </c>
      <c r="B18" s="3" t="s">
        <v>919</v>
      </c>
      <c r="C18" s="990">
        <v>2900</v>
      </c>
      <c r="D18" t="s">
        <v>920</v>
      </c>
      <c r="E18" s="70" t="s">
        <v>921</v>
      </c>
    </row>
    <row r="19" spans="1:5">
      <c r="A19" t="s">
        <v>922</v>
      </c>
      <c r="B19" s="3" t="s">
        <v>923</v>
      </c>
      <c r="C19" s="990">
        <v>2900</v>
      </c>
      <c r="D19" t="s">
        <v>920</v>
      </c>
    </row>
    <row r="20" spans="1:5">
      <c r="A20" t="s">
        <v>924</v>
      </c>
      <c r="B20" s="3" t="s">
        <v>1937</v>
      </c>
      <c r="C20" s="990">
        <v>5.0000000000000002E-5</v>
      </c>
      <c r="D20" s="6" t="s">
        <v>1938</v>
      </c>
      <c r="E20" s="70" t="s">
        <v>1939</v>
      </c>
    </row>
    <row r="21" spans="1:5">
      <c r="A21" t="s">
        <v>1940</v>
      </c>
      <c r="B21" s="3" t="s">
        <v>1941</v>
      </c>
      <c r="C21" s="993">
        <v>3.0000000000000001E-5</v>
      </c>
      <c r="D21" t="s">
        <v>1942</v>
      </c>
      <c r="E21" s="70" t="s">
        <v>1943</v>
      </c>
    </row>
    <row r="22" spans="1:5">
      <c r="A22" t="s">
        <v>1613</v>
      </c>
      <c r="B22" s="3" t="s">
        <v>1614</v>
      </c>
      <c r="C22" s="990">
        <v>2700</v>
      </c>
      <c r="D22" t="s">
        <v>920</v>
      </c>
      <c r="E22" s="70" t="s">
        <v>921</v>
      </c>
    </row>
    <row r="23" spans="1:5">
      <c r="A23" t="s">
        <v>1615</v>
      </c>
      <c r="B23" s="3" t="s">
        <v>1616</v>
      </c>
      <c r="C23" s="990">
        <v>500</v>
      </c>
      <c r="D23" t="s">
        <v>2263</v>
      </c>
      <c r="E23" s="70" t="s">
        <v>31</v>
      </c>
    </row>
    <row r="24" spans="1:5">
      <c r="A24" t="s">
        <v>32</v>
      </c>
      <c r="B24" s="3" t="s">
        <v>33</v>
      </c>
      <c r="C24" s="993">
        <v>7.9999999999999982E-4</v>
      </c>
      <c r="D24" t="s">
        <v>34</v>
      </c>
      <c r="E24" s="70" t="s">
        <v>35</v>
      </c>
    </row>
    <row r="25" spans="1:5">
      <c r="A25" t="s">
        <v>36</v>
      </c>
      <c r="B25" s="3" t="s">
        <v>37</v>
      </c>
      <c r="C25" s="993">
        <v>1.5999999999999996E-5</v>
      </c>
      <c r="D25" t="s">
        <v>34</v>
      </c>
      <c r="E25" s="70" t="s">
        <v>38</v>
      </c>
    </row>
    <row r="26" spans="1:5">
      <c r="A26" t="s">
        <v>39</v>
      </c>
      <c r="B26" s="3" t="s">
        <v>40</v>
      </c>
      <c r="C26" s="990">
        <v>25</v>
      </c>
      <c r="D26" t="s">
        <v>41</v>
      </c>
      <c r="E26" s="70" t="s">
        <v>42</v>
      </c>
    </row>
    <row r="27" spans="1:5">
      <c r="A27" t="s">
        <v>43</v>
      </c>
      <c r="B27" s="3" t="s">
        <v>44</v>
      </c>
      <c r="C27" s="990">
        <v>2000</v>
      </c>
      <c r="D27" t="s">
        <v>2263</v>
      </c>
      <c r="E27" s="70" t="s">
        <v>45</v>
      </c>
    </row>
    <row r="28" spans="1:5">
      <c r="A28" t="s">
        <v>46</v>
      </c>
      <c r="B28" s="3" t="s">
        <v>47</v>
      </c>
      <c r="C28" s="990">
        <v>0.9</v>
      </c>
      <c r="E28" s="70" t="s">
        <v>31</v>
      </c>
    </row>
    <row r="29" spans="1:5">
      <c r="A29" t="s">
        <v>48</v>
      </c>
      <c r="B29" s="3" t="s">
        <v>49</v>
      </c>
      <c r="C29" s="990" t="s">
        <v>6506</v>
      </c>
      <c r="E29" s="70" t="s">
        <v>64</v>
      </c>
    </row>
    <row r="31" spans="1:5">
      <c r="A31" s="2" t="s">
        <v>3077</v>
      </c>
    </row>
    <row r="32" spans="1:5">
      <c r="A32" t="s">
        <v>69</v>
      </c>
    </row>
    <row r="33" spans="1:4">
      <c r="A33" s="8" t="s">
        <v>3814</v>
      </c>
      <c r="B33" s="3" t="s">
        <v>71</v>
      </c>
      <c r="C33" s="994">
        <v>1009.7567013536843</v>
      </c>
      <c r="D33" t="s">
        <v>2263</v>
      </c>
    </row>
    <row r="34" spans="1:4">
      <c r="A34" s="8" t="s">
        <v>3816</v>
      </c>
      <c r="C34" s="994">
        <v>91.796063759425863</v>
      </c>
      <c r="D34" t="s">
        <v>2263</v>
      </c>
    </row>
    <row r="35" spans="1:4">
      <c r="A35" s="8" t="s">
        <v>72</v>
      </c>
      <c r="C35" s="994">
        <v>2147.338340741454</v>
      </c>
      <c r="D35" t="s">
        <v>2263</v>
      </c>
    </row>
    <row r="36" spans="1:4">
      <c r="A36" s="8" t="s">
        <v>3818</v>
      </c>
      <c r="C36" s="994">
        <v>10.906020328347504</v>
      </c>
      <c r="D36" t="s">
        <v>2263</v>
      </c>
    </row>
    <row r="37" spans="1:4">
      <c r="A37" s="8" t="s">
        <v>3253</v>
      </c>
      <c r="C37" s="994">
        <v>0.18359212751885162</v>
      </c>
      <c r="D37" t="s">
        <v>2263</v>
      </c>
    </row>
    <row r="38" spans="1:4">
      <c r="A38" s="8" t="s">
        <v>3254</v>
      </c>
      <c r="C38" s="994">
        <v>3.6718425503770331</v>
      </c>
      <c r="D38" t="s">
        <v>2263</v>
      </c>
    </row>
    <row r="39" spans="1:4">
      <c r="A39" s="8" t="s">
        <v>3817</v>
      </c>
      <c r="C39" s="994">
        <v>276.63319211546417</v>
      </c>
      <c r="D39" t="s">
        <v>2263</v>
      </c>
    </row>
    <row r="40" spans="1:4">
      <c r="A40" s="8" t="s">
        <v>3815</v>
      </c>
      <c r="C40" s="994">
        <v>6.8816472949924698E-2</v>
      </c>
      <c r="D40" t="s">
        <v>2263</v>
      </c>
    </row>
    <row r="41" spans="1:4">
      <c r="A41" s="8" t="s">
        <v>1542</v>
      </c>
      <c r="C41" s="994">
        <v>3280.5820855279035</v>
      </c>
      <c r="D41" t="s">
        <v>2263</v>
      </c>
    </row>
    <row r="42" spans="1:4">
      <c r="A42" s="8" t="s">
        <v>3813</v>
      </c>
      <c r="C42" s="994">
        <v>2621.1879675372379</v>
      </c>
      <c r="D42" t="s">
        <v>2263</v>
      </c>
    </row>
    <row r="43" spans="1:4">
      <c r="A43" s="8" t="s">
        <v>2930</v>
      </c>
      <c r="C43" s="994">
        <v>1.0965834366628955</v>
      </c>
      <c r="D43" t="s">
        <v>2263</v>
      </c>
    </row>
    <row r="44" spans="1:4">
      <c r="A44" s="8" t="s">
        <v>1944</v>
      </c>
      <c r="C44" s="994">
        <v>18.27001052887427</v>
      </c>
      <c r="D44" t="s">
        <v>2263</v>
      </c>
    </row>
    <row r="45" spans="1:4">
      <c r="A45" s="8" t="s">
        <v>3243</v>
      </c>
      <c r="B45" s="3" t="s">
        <v>282</v>
      </c>
      <c r="C45" s="994">
        <v>37.821901365692888</v>
      </c>
      <c r="D45" t="s">
        <v>2263</v>
      </c>
    </row>
    <row r="47" spans="1:4">
      <c r="A47" s="2" t="s">
        <v>73</v>
      </c>
    </row>
    <row r="48" spans="1:4">
      <c r="A48" s="14" t="s">
        <v>3541</v>
      </c>
      <c r="B48" s="3" t="s">
        <v>74</v>
      </c>
      <c r="C48" s="994">
        <f>11.7593425980232*psi_per_atm</f>
        <v>172.81529882054892</v>
      </c>
      <c r="D48" t="s">
        <v>3749</v>
      </c>
    </row>
    <row r="49" spans="1:8">
      <c r="A49" s="14" t="s">
        <v>75</v>
      </c>
      <c r="B49" s="3" t="s">
        <v>76</v>
      </c>
      <c r="C49" s="994">
        <v>0</v>
      </c>
      <c r="D49" t="s">
        <v>3749</v>
      </c>
    </row>
    <row r="50" spans="1:8">
      <c r="A50" s="14" t="s">
        <v>624</v>
      </c>
      <c r="B50" s="3" t="s">
        <v>78</v>
      </c>
      <c r="C50" s="994">
        <f>0.00131394908031374*gpm_per_m3s</f>
        <v>20.826355712788843</v>
      </c>
      <c r="D50" t="s">
        <v>2193</v>
      </c>
    </row>
    <row r="51" spans="1:8">
      <c r="A51" s="14" t="s">
        <v>622</v>
      </c>
      <c r="B51" s="3" t="s">
        <v>623</v>
      </c>
      <c r="C51" s="994">
        <v>34.402878752546485</v>
      </c>
      <c r="D51" t="s">
        <v>2193</v>
      </c>
      <c r="E51" s="7"/>
    </row>
    <row r="52" spans="1:8">
      <c r="A52" s="14" t="s">
        <v>2700</v>
      </c>
      <c r="B52" s="3" t="s">
        <v>2701</v>
      </c>
      <c r="C52" s="994">
        <f>0.673125720433689*psi_per_atm</f>
        <v>9.8922555874934943</v>
      </c>
      <c r="D52" t="s">
        <v>3749</v>
      </c>
    </row>
    <row r="53" spans="1:8">
      <c r="A53" s="14"/>
    </row>
    <row r="54" spans="1:8">
      <c r="A54" s="20" t="s">
        <v>79</v>
      </c>
    </row>
    <row r="55" spans="1:8">
      <c r="A55" s="21" t="s">
        <v>758</v>
      </c>
      <c r="B55" s="3" t="s">
        <v>759</v>
      </c>
      <c r="C55" s="113">
        <f>P_feed_I/psi_per_atm</f>
        <v>11.759342598023197</v>
      </c>
      <c r="D55" t="s">
        <v>834</v>
      </c>
      <c r="H55" s="22"/>
    </row>
    <row r="56" spans="1:8">
      <c r="A56" s="21" t="s">
        <v>760</v>
      </c>
      <c r="B56" s="3" t="s">
        <v>761</v>
      </c>
      <c r="C56" s="113">
        <f>P_throttle_I/psi_per_atm</f>
        <v>0</v>
      </c>
      <c r="D56" t="s">
        <v>834</v>
      </c>
      <c r="H56" s="22"/>
    </row>
    <row r="57" spans="1:8">
      <c r="A57" s="21" t="s">
        <v>1174</v>
      </c>
      <c r="B57" s="3" t="s">
        <v>1175</v>
      </c>
      <c r="C57" s="113">
        <f>P_feed-P_throttle</f>
        <v>11.759342598023197</v>
      </c>
      <c r="D57" t="s">
        <v>834</v>
      </c>
      <c r="H57" s="22"/>
    </row>
    <row r="58" spans="1:8">
      <c r="A58" s="21" t="s">
        <v>1176</v>
      </c>
      <c r="B58" s="3" t="s">
        <v>1177</v>
      </c>
      <c r="C58" s="114">
        <f>flow_feed_I/gpm_per_m3s</f>
        <v>1.3139490803137401E-3</v>
      </c>
      <c r="D58" t="s">
        <v>1178</v>
      </c>
      <c r="H58" s="23"/>
    </row>
    <row r="59" spans="1:8">
      <c r="A59" t="s">
        <v>1179</v>
      </c>
      <c r="B59" s="3" t="s">
        <v>1180</v>
      </c>
      <c r="C59" s="115">
        <f>element_A_I/gfdpsi_per_msatm</f>
        <v>9.7028655823810371E-7</v>
      </c>
      <c r="D59" t="s">
        <v>1181</v>
      </c>
      <c r="H59" s="24"/>
    </row>
    <row r="60" spans="1:8">
      <c r="A60" t="s">
        <v>1182</v>
      </c>
      <c r="B60" s="3" t="s">
        <v>1183</v>
      </c>
      <c r="C60" s="115">
        <f>element_B_min_I/gfd_per_mps</f>
        <v>4.7159895707194554E-8</v>
      </c>
      <c r="D60" t="s">
        <v>1184</v>
      </c>
      <c r="H60" s="24"/>
    </row>
    <row r="61" spans="1:8">
      <c r="A61" t="s">
        <v>1185</v>
      </c>
      <c r="B61" s="3" t="s">
        <v>1186</v>
      </c>
      <c r="C61" s="115">
        <f>element_B_max_I/gfd_per_mps</f>
        <v>8.4887812272950192E-8</v>
      </c>
      <c r="D61" t="s">
        <v>1184</v>
      </c>
      <c r="H61" s="24"/>
    </row>
    <row r="62" spans="1:8">
      <c r="A62" t="s">
        <v>1187</v>
      </c>
      <c r="B62" s="3" t="s">
        <v>3337</v>
      </c>
      <c r="C62" s="115">
        <f>element_A_S_coeff_I*psi_per_atm</f>
        <v>4.4087999999999999E-4</v>
      </c>
      <c r="D62" t="s">
        <v>1938</v>
      </c>
      <c r="H62" s="24"/>
    </row>
    <row r="63" spans="1:8">
      <c r="A63" s="25" t="s">
        <v>3341</v>
      </c>
      <c r="B63" s="3" t="s">
        <v>3342</v>
      </c>
      <c r="C63" s="116">
        <f>element_dp_coeff_I/psi_per_atm*(gpm_per_m3s^element_dp_exp)</f>
        <v>877.60365497599071</v>
      </c>
      <c r="D63" t="s">
        <v>3343</v>
      </c>
      <c r="H63" s="26"/>
    </row>
    <row r="64" spans="1:8">
      <c r="A64" t="s">
        <v>3344</v>
      </c>
      <c r="B64" s="3" t="s">
        <v>3345</v>
      </c>
      <c r="C64" s="117">
        <f>IF(T_feed&lt;element_ref_temp,element_A_T_coeff_lo,element_A_T_coeff_hi)</f>
        <v>2900</v>
      </c>
      <c r="D64" t="s">
        <v>920</v>
      </c>
      <c r="H64" s="27"/>
    </row>
    <row r="65" spans="1:8">
      <c r="A65" t="s">
        <v>3346</v>
      </c>
      <c r="B65" s="3" t="s">
        <v>3347</v>
      </c>
      <c r="C65" s="116">
        <f>SUM(feed_ppm)-SUM(feed_gas_ppm)</f>
        <v>9461.4912164799007</v>
      </c>
      <c r="D65" t="s">
        <v>2263</v>
      </c>
      <c r="H65" s="26"/>
    </row>
    <row r="66" spans="1:8">
      <c r="A66" s="28"/>
    </row>
    <row r="67" spans="1:8">
      <c r="A67" s="20" t="s">
        <v>3348</v>
      </c>
    </row>
    <row r="68" spans="1:8">
      <c r="A68" t="s">
        <v>1231</v>
      </c>
      <c r="B68" s="3" t="s">
        <v>1232</v>
      </c>
      <c r="C68" s="113">
        <f>EXP(element_A_T_coeff*(1/(element_ref_temp+zeroC_in_K)-1/(temp_K)))</f>
        <v>0.71351272211769934</v>
      </c>
      <c r="H68" s="22"/>
    </row>
    <row r="69" spans="1:8">
      <c r="A69" t="s">
        <v>1233</v>
      </c>
      <c r="B69" s="3" t="s">
        <v>1234</v>
      </c>
      <c r="C69" s="113">
        <f>1-P_applied*element_A_P_coeff</f>
        <v>0.99941203287009883</v>
      </c>
      <c r="H69" s="22"/>
    </row>
    <row r="70" spans="1:8">
      <c r="A70" t="s">
        <v>1839</v>
      </c>
      <c r="B70" s="3" t="s">
        <v>1840</v>
      </c>
      <c r="C70" s="115">
        <f>element_A_ref*A_temp_corr*A_press_corr*fouling_factor</f>
        <v>5.8811903479584361E-7</v>
      </c>
      <c r="D70" t="s">
        <v>1181</v>
      </c>
      <c r="E70" s="70" t="s">
        <v>1841</v>
      </c>
      <c r="H70" s="24"/>
    </row>
    <row r="71" spans="1:8">
      <c r="A71" t="s">
        <v>1842</v>
      </c>
      <c r="B71" s="3" t="s">
        <v>1843</v>
      </c>
      <c r="C71" s="113">
        <f>EXP(element_B_T_coeff*(1/(element_ref_temp+zeroC_in_K)-1/(temp_K)))</f>
        <v>0.73031790329452329</v>
      </c>
      <c r="H71" s="22"/>
    </row>
    <row r="72" spans="1:8">
      <c r="A72" t="s">
        <v>246</v>
      </c>
      <c r="B72" s="3" t="s">
        <v>247</v>
      </c>
      <c r="C72" s="115">
        <f>element_B_ref*B_temp_corr</f>
        <v>3.4441716152466718E-8</v>
      </c>
      <c r="D72" t="s">
        <v>1184</v>
      </c>
      <c r="H72" s="24"/>
    </row>
    <row r="73" spans="1:8">
      <c r="A73" t="s">
        <v>248</v>
      </c>
      <c r="B73" s="3" t="s">
        <v>249</v>
      </c>
      <c r="C73" s="115">
        <f>element_B_max_ref*B_temp_corr</f>
        <v>6.1995089074440087E-8</v>
      </c>
      <c r="D73" t="s">
        <v>1184</v>
      </c>
      <c r="H73" s="24"/>
    </row>
    <row r="74" spans="1:8">
      <c r="A74" t="s">
        <v>250</v>
      </c>
      <c r="B74" s="3" t="s">
        <v>251</v>
      </c>
      <c r="C74" s="118">
        <f>element_area_I*m2_per_ft2</f>
        <v>37.161216000000003</v>
      </c>
      <c r="D74" t="s">
        <v>252</v>
      </c>
      <c r="H74" s="29"/>
    </row>
    <row r="76" spans="1:8">
      <c r="A76" s="1" t="s">
        <v>253</v>
      </c>
    </row>
    <row r="77" spans="1:8">
      <c r="A77" t="s">
        <v>254</v>
      </c>
    </row>
    <row r="78" spans="1:8">
      <c r="A78" s="8" t="s">
        <v>3814</v>
      </c>
      <c r="B78" s="3" t="s">
        <v>255</v>
      </c>
      <c r="C78" s="113">
        <f t="array" ref="C78:C90">feed_ppm/ion_meq_weights</f>
        <v>50.387060945792634</v>
      </c>
      <c r="D78" t="s">
        <v>256</v>
      </c>
      <c r="H78" s="22"/>
    </row>
    <row r="79" spans="1:8">
      <c r="A79" s="8" t="s">
        <v>3816</v>
      </c>
      <c r="C79" s="113">
        <v>7.5536773305431693</v>
      </c>
      <c r="D79" t="s">
        <v>256</v>
      </c>
      <c r="H79" s="22"/>
    </row>
    <row r="80" spans="1:8">
      <c r="A80" s="8" t="s">
        <v>72</v>
      </c>
      <c r="C80" s="113">
        <v>93.403146617723095</v>
      </c>
      <c r="D80" t="s">
        <v>256</v>
      </c>
      <c r="H80" s="22"/>
    </row>
    <row r="81" spans="1:8">
      <c r="A81" s="8" t="s">
        <v>3818</v>
      </c>
      <c r="C81" s="113">
        <v>0.2789406191709935</v>
      </c>
      <c r="D81" t="s">
        <v>256</v>
      </c>
      <c r="H81" s="22"/>
    </row>
    <row r="82" spans="1:8">
      <c r="A82" s="8" t="s">
        <v>3253</v>
      </c>
      <c r="C82" s="113">
        <v>2.6735419763921891E-3</v>
      </c>
      <c r="D82" t="s">
        <v>256</v>
      </c>
      <c r="H82" s="22"/>
    </row>
    <row r="83" spans="1:8">
      <c r="A83" s="8" t="s">
        <v>3254</v>
      </c>
      <c r="C83" s="113">
        <v>8.3812886335928621E-2</v>
      </c>
      <c r="D83" t="s">
        <v>256</v>
      </c>
      <c r="H83" s="22"/>
    </row>
    <row r="84" spans="1:8">
      <c r="A84" s="8" t="s">
        <v>3817</v>
      </c>
      <c r="C84" s="113">
        <v>4.534227046639308</v>
      </c>
      <c r="D84" t="s">
        <v>256</v>
      </c>
      <c r="H84" s="22"/>
    </row>
    <row r="85" spans="1:8">
      <c r="A85" s="8" t="s">
        <v>3815</v>
      </c>
      <c r="C85" s="113">
        <v>2.2935001816338845E-3</v>
      </c>
      <c r="D85" t="s">
        <v>256</v>
      </c>
      <c r="H85" s="22"/>
    </row>
    <row r="86" spans="1:8">
      <c r="A86" s="8" t="s">
        <v>1542</v>
      </c>
      <c r="C86" s="113">
        <v>92.541102553678513</v>
      </c>
      <c r="D86" t="s">
        <v>256</v>
      </c>
      <c r="H86" s="22"/>
    </row>
    <row r="87" spans="1:8">
      <c r="A87" s="8" t="s">
        <v>3813</v>
      </c>
      <c r="C87" s="113">
        <v>54.573973923323713</v>
      </c>
      <c r="D87" t="s">
        <v>256</v>
      </c>
      <c r="H87" s="22"/>
    </row>
    <row r="88" spans="1:8">
      <c r="A88" s="8" t="s">
        <v>2930</v>
      </c>
      <c r="C88" s="113">
        <v>5.7714917719099763E-2</v>
      </c>
      <c r="D88" t="s">
        <v>256</v>
      </c>
      <c r="H88" s="22"/>
    </row>
    <row r="89" spans="1:8">
      <c r="A89" s="8" t="s">
        <v>1944</v>
      </c>
      <c r="C89" s="113">
        <v>0.33833352831248648</v>
      </c>
      <c r="D89" t="s">
        <v>256</v>
      </c>
      <c r="H89" s="22"/>
    </row>
    <row r="90" spans="1:8">
      <c r="A90" s="8" t="s">
        <v>3243</v>
      </c>
      <c r="C90" s="113">
        <v>1.7176158658352811</v>
      </c>
      <c r="D90" t="s">
        <v>256</v>
      </c>
      <c r="H90" s="22"/>
    </row>
    <row r="91" spans="1:8">
      <c r="A91" s="14"/>
    </row>
    <row r="92" spans="1:8">
      <c r="A92" s="14" t="s">
        <v>2210</v>
      </c>
      <c r="B92" s="3" t="s">
        <v>258</v>
      </c>
      <c r="C92" s="119">
        <f>viscosity(T_feed,feed_tds)/visc_ref</f>
        <v>1.2907413752851205</v>
      </c>
      <c r="E92" s="70" t="s">
        <v>259</v>
      </c>
      <c r="H92" s="30"/>
    </row>
    <row r="93" spans="1:8">
      <c r="A93" s="14" t="s">
        <v>260</v>
      </c>
      <c r="B93" s="3" t="s">
        <v>261</v>
      </c>
      <c r="C93" s="113">
        <f>osmpres(feed_meq,T_feed,ion_charge)</f>
        <v>5.3774811461397061</v>
      </c>
      <c r="D93" t="s">
        <v>834</v>
      </c>
      <c r="E93" s="70" t="s">
        <v>4084</v>
      </c>
      <c r="H93" s="22"/>
    </row>
    <row r="94" spans="1:8">
      <c r="A94" s="14"/>
      <c r="C94" s="113"/>
      <c r="H94" s="22"/>
    </row>
    <row r="95" spans="1:8">
      <c r="A95" s="32" t="s">
        <v>4085</v>
      </c>
      <c r="C95" s="113"/>
      <c r="H95" s="22"/>
    </row>
    <row r="96" spans="1:8">
      <c r="A96" t="s">
        <v>4086</v>
      </c>
      <c r="B96" s="3" t="s">
        <v>3425</v>
      </c>
      <c r="C96" s="113">
        <f>1-element_A_S_coeff*pi_feed</f>
        <v>0.99762917611228996</v>
      </c>
      <c r="H96" s="22"/>
    </row>
    <row r="97" spans="1:8">
      <c r="A97" t="s">
        <v>3426</v>
      </c>
      <c r="B97" s="3" t="s">
        <v>3427</v>
      </c>
      <c r="C97" s="115">
        <f>element_A_base*A_sal_corr_firstguess</f>
        <v>5.8672470813933267E-7</v>
      </c>
      <c r="D97" t="s">
        <v>1181</v>
      </c>
      <c r="H97" s="24"/>
    </row>
    <row r="98" spans="1:8">
      <c r="A98" t="s">
        <v>3428</v>
      </c>
      <c r="B98" s="3" t="s">
        <v>3429</v>
      </c>
      <c r="C98" s="113">
        <f>1+IF(feed_tds&lt;element_sal_min_B,element_B_S_coeff_lo*(element_sal_min_B-feed_tds),element_B_S_coeff_hi*(feed_tds-element_sal_min_B))</f>
        <v>1.1433838594636785</v>
      </c>
      <c r="H98" s="22"/>
    </row>
    <row r="99" spans="1:8">
      <c r="A99" t="s">
        <v>4057</v>
      </c>
      <c r="B99" s="3" t="s">
        <v>4058</v>
      </c>
      <c r="C99" s="115">
        <f>MIN(element_B_base*B_sal_corr_firstguess,element_B_max)</f>
        <v>3.938010234095991E-8</v>
      </c>
      <c r="D99" t="s">
        <v>1184</v>
      </c>
      <c r="H99" s="24"/>
    </row>
    <row r="100" spans="1:8">
      <c r="C100" s="115"/>
      <c r="E100" s="70" t="s">
        <v>2231</v>
      </c>
      <c r="H100" s="24"/>
    </row>
    <row r="101" spans="1:8">
      <c r="A101" s="14" t="s">
        <v>4059</v>
      </c>
      <c r="B101" s="3" t="s">
        <v>4060</v>
      </c>
      <c r="C101" s="113">
        <f>element_dp_coeff*flow_feed^element_dp_exp*SQRT(feed_visc)</f>
        <v>9.2199377435551025E-2</v>
      </c>
      <c r="D101" t="s">
        <v>834</v>
      </c>
      <c r="E101" s="70" t="s">
        <v>1553</v>
      </c>
      <c r="H101" s="22"/>
    </row>
    <row r="102" spans="1:8">
      <c r="A102" t="s">
        <v>1554</v>
      </c>
      <c r="B102" s="3" t="s">
        <v>1555</v>
      </c>
      <c r="C102" s="113">
        <f>IF(deltaP_firstguess&lt;P_feed,deltaP_firstguess/LN(P_feed/(P_feed-deltaP_firstguess)),P_feed-deltaP_firstguess/2)-P_throttle</f>
        <v>11.713182431033355</v>
      </c>
      <c r="D102" t="s">
        <v>834</v>
      </c>
      <c r="E102" s="70" t="s">
        <v>1539</v>
      </c>
      <c r="H102" s="22"/>
    </row>
    <row r="103" spans="1:8">
      <c r="A103" t="s">
        <v>1540</v>
      </c>
      <c r="B103" s="3" t="s">
        <v>1541</v>
      </c>
      <c r="C103" s="113">
        <f>P_avg_applied_guess-P_throttle-pi_feed</f>
        <v>6.3357012848936485</v>
      </c>
      <c r="D103" t="s">
        <v>834</v>
      </c>
      <c r="E103" s="70" t="s">
        <v>1242</v>
      </c>
      <c r="H103" s="22"/>
    </row>
    <row r="104" spans="1:8">
      <c r="A104" t="s">
        <v>1243</v>
      </c>
      <c r="B104" s="3" t="s">
        <v>1244</v>
      </c>
      <c r="C104" s="113">
        <f>element_B_firstguess/element_A_firstguess</f>
        <v>6.7118534117721368E-2</v>
      </c>
      <c r="D104" t="s">
        <v>834</v>
      </c>
      <c r="E104" s="1278" t="s">
        <v>1245</v>
      </c>
      <c r="F104" s="1279"/>
      <c r="G104" s="1279"/>
      <c r="H104" s="22"/>
    </row>
    <row r="105" spans="1:8">
      <c r="A105" t="s">
        <v>1246</v>
      </c>
      <c r="B105" s="3" t="s">
        <v>1247</v>
      </c>
      <c r="C105" s="113">
        <f>P_net_feed_guess*P_net_feed_guess+B_over_A_guess*B_over_A_guess-2*B_over_A_guess*P_net_feed_guess+4*B_over_A_guess*P_avg_applied_guess</f>
        <v>42.43981624182311</v>
      </c>
      <c r="D105" t="s">
        <v>1248</v>
      </c>
      <c r="E105" s="1279"/>
      <c r="F105" s="1279"/>
      <c r="G105" s="1279"/>
      <c r="H105" s="22"/>
    </row>
    <row r="106" spans="1:8">
      <c r="A106" t="s">
        <v>1249</v>
      </c>
      <c r="B106" s="3" t="s">
        <v>1250</v>
      </c>
      <c r="C106" s="113">
        <f>P_net_feed_guess-B_over_A_guess</f>
        <v>6.2685827507759271</v>
      </c>
      <c r="D106" t="s">
        <v>834</v>
      </c>
      <c r="E106" s="1279"/>
      <c r="F106" s="1279"/>
      <c r="G106" s="1279"/>
      <c r="H106" s="22"/>
    </row>
    <row r="107" spans="1:8">
      <c r="A107" t="s">
        <v>1251</v>
      </c>
      <c r="B107" s="3" t="s">
        <v>1252</v>
      </c>
      <c r="C107" s="113">
        <f>0.5*(P_net_guess_fixed+SQRT(P_net_guess_det))</f>
        <v>6.3915838185769047</v>
      </c>
      <c r="D107" t="s">
        <v>834</v>
      </c>
      <c r="E107" s="70" t="s">
        <v>3391</v>
      </c>
      <c r="H107" s="22"/>
    </row>
    <row r="108" spans="1:8">
      <c r="C108" s="113"/>
      <c r="H108" s="22"/>
    </row>
    <row r="110" spans="1:8">
      <c r="A110" s="33" t="s">
        <v>3392</v>
      </c>
    </row>
    <row r="111" spans="1:8">
      <c r="A111" t="s">
        <v>3332</v>
      </c>
      <c r="B111" s="3" t="s">
        <v>3393</v>
      </c>
      <c r="C111" s="115">
        <v>5.8665049998775205E-7</v>
      </c>
      <c r="D111" t="s">
        <v>1181</v>
      </c>
      <c r="H111" s="24"/>
    </row>
    <row r="112" spans="1:8">
      <c r="A112" t="s">
        <v>3394</v>
      </c>
      <c r="B112" s="3" t="s">
        <v>3395</v>
      </c>
      <c r="C112" s="115">
        <v>4.0191735021303585E-8</v>
      </c>
      <c r="D112" t="s">
        <v>1184</v>
      </c>
      <c r="H112" s="24"/>
    </row>
    <row r="113" spans="1:8">
      <c r="A113" t="s">
        <v>3396</v>
      </c>
      <c r="B113" s="3" t="s">
        <v>3397</v>
      </c>
      <c r="C113" s="113">
        <v>6.1073730265111248</v>
      </c>
      <c r="D113" t="s">
        <v>834</v>
      </c>
      <c r="H113" s="22"/>
    </row>
    <row r="115" spans="1:8">
      <c r="A115" t="s">
        <v>3070</v>
      </c>
      <c r="B115" s="3" t="s">
        <v>3398</v>
      </c>
      <c r="C115" s="115">
        <f>P_net*element_A</f>
        <v>3.5828934396144619E-6</v>
      </c>
      <c r="D115" t="s">
        <v>3399</v>
      </c>
      <c r="H115" s="24"/>
    </row>
    <row r="116" spans="1:8">
      <c r="C116" s="120">
        <f>perm_flux*gfd_per_mps</f>
        <v>7.5973311346145911</v>
      </c>
      <c r="D116" s="35" t="s">
        <v>1950</v>
      </c>
      <c r="H116" s="34"/>
    </row>
    <row r="117" spans="1:8">
      <c r="A117" t="s">
        <v>1945</v>
      </c>
      <c r="B117" s="3" t="s">
        <v>3400</v>
      </c>
      <c r="C117" s="114">
        <f>perm_flux*element_area</f>
        <v>1.3314467701449598E-4</v>
      </c>
      <c r="D117" t="s">
        <v>1178</v>
      </c>
      <c r="H117" s="23"/>
    </row>
    <row r="118" spans="1:8">
      <c r="C118" s="120">
        <f>perm_flow*gpm_per_m3s</f>
        <v>2.110369759615164</v>
      </c>
      <c r="D118" s="35" t="s">
        <v>2193</v>
      </c>
      <c r="H118" s="34"/>
    </row>
    <row r="119" spans="1:8">
      <c r="A119" t="s">
        <v>3401</v>
      </c>
      <c r="B119" s="3" t="s">
        <v>3402</v>
      </c>
      <c r="C119" s="114">
        <f>flow_feed-perm_flow</f>
        <v>1.180804403299244E-3</v>
      </c>
      <c r="D119" t="s">
        <v>1178</v>
      </c>
      <c r="H119" s="23"/>
    </row>
    <row r="120" spans="1:8">
      <c r="C120" s="120">
        <f>conc_flow*gpm_per_m3s</f>
        <v>18.715985953173679</v>
      </c>
      <c r="D120" s="35" t="s">
        <v>2193</v>
      </c>
      <c r="H120" s="34"/>
    </row>
    <row r="121" spans="1:8">
      <c r="A121" t="s">
        <v>1586</v>
      </c>
      <c r="B121" s="3" t="s">
        <v>3403</v>
      </c>
      <c r="C121" s="111">
        <f>perm_flow/flow_feed</f>
        <v>0.10133168705647572</v>
      </c>
      <c r="H121" s="36"/>
    </row>
    <row r="122" spans="1:8">
      <c r="A122" t="s">
        <v>3404</v>
      </c>
      <c r="B122" s="3" t="s">
        <v>3405</v>
      </c>
      <c r="C122" s="114">
        <f>IF(AND(flow_feed&gt;0,conc_flow&gt;0,flow_feed&gt;conc_flow),(flow_feed-conc_flow)/LN(flow_feed/conc_flow),AVERAGE(flow_feed,conc_flow))</f>
        <v>1.2461915218149454E-3</v>
      </c>
      <c r="D122" t="s">
        <v>1178</v>
      </c>
      <c r="H122" s="23"/>
    </row>
    <row r="123" spans="1:8">
      <c r="C123" s="120">
        <f>avg_flow*gpm_per_m3s</f>
        <v>19.752384859071249</v>
      </c>
      <c r="D123" s="35" t="s">
        <v>2193</v>
      </c>
      <c r="H123" s="23"/>
    </row>
    <row r="124" spans="1:8">
      <c r="A124" t="s">
        <v>4157</v>
      </c>
      <c r="B124" s="3" t="s">
        <v>4158</v>
      </c>
      <c r="C124" s="121">
        <f>element_B/(element_A*P_net+element_B)</f>
        <v>1.1093234932116693E-2</v>
      </c>
      <c r="E124" s="70" t="s">
        <v>4159</v>
      </c>
      <c r="H124" s="37"/>
    </row>
    <row r="125" spans="1:8">
      <c r="A125" t="s">
        <v>4160</v>
      </c>
      <c r="B125" s="3" t="s">
        <v>4161</v>
      </c>
      <c r="C125" s="114">
        <f>EXP(recovery*element_beta_coeff)</f>
        <v>1.0954864578385521</v>
      </c>
      <c r="E125" s="70" t="s">
        <v>4162</v>
      </c>
      <c r="H125" s="23"/>
    </row>
    <row r="127" spans="1:8">
      <c r="A127" t="s">
        <v>4163</v>
      </c>
    </row>
    <row r="128" spans="1:8">
      <c r="A128" s="8" t="s">
        <v>3814</v>
      </c>
      <c r="B128" s="3" t="s">
        <v>4164</v>
      </c>
      <c r="C128" s="113">
        <f t="array" aca="1" ref="C128:C140" ca="1">feed_meq*IF(ion_passage_coeffs=0,1,conc_pol*base_salt_passage*ion_passage_coeffs)</f>
        <v>0.15308204645879561</v>
      </c>
      <c r="D128" t="s">
        <v>256</v>
      </c>
      <c r="E128" s="70" t="s">
        <v>3083</v>
      </c>
      <c r="H128" s="22"/>
    </row>
    <row r="129" spans="1:8">
      <c r="A129" s="8" t="s">
        <v>3816</v>
      </c>
      <c r="C129" s="113">
        <f ca="1"/>
        <v>2.2948994490727792E-2</v>
      </c>
      <c r="D129" t="s">
        <v>256</v>
      </c>
      <c r="H129" s="22"/>
    </row>
    <row r="130" spans="1:8">
      <c r="A130" s="8" t="s">
        <v>72</v>
      </c>
      <c r="C130" s="113">
        <f ca="1"/>
        <v>1.1350806783760949</v>
      </c>
      <c r="D130" t="s">
        <v>256</v>
      </c>
      <c r="H130" s="22"/>
    </row>
    <row r="131" spans="1:8">
      <c r="A131" s="8" t="s">
        <v>3818</v>
      </c>
      <c r="C131" s="113">
        <f ca="1"/>
        <v>4.4067695180596347E-3</v>
      </c>
      <c r="D131" t="s">
        <v>256</v>
      </c>
      <c r="H131" s="22"/>
    </row>
    <row r="132" spans="1:8">
      <c r="A132" s="8" t="s">
        <v>3253</v>
      </c>
      <c r="C132" s="113">
        <f ca="1"/>
        <v>8.1225471253405957E-6</v>
      </c>
      <c r="D132" t="s">
        <v>256</v>
      </c>
      <c r="H132" s="22"/>
    </row>
    <row r="133" spans="1:8">
      <c r="A133" s="8" t="s">
        <v>3254</v>
      </c>
      <c r="C133" s="113">
        <f ca="1"/>
        <v>2.5463378730752737E-4</v>
      </c>
      <c r="D133" t="s">
        <v>256</v>
      </c>
      <c r="H133" s="22"/>
    </row>
    <row r="134" spans="1:8">
      <c r="A134" s="8" t="s">
        <v>3817</v>
      </c>
      <c r="C134" s="113">
        <f ca="1"/>
        <v>5.5102142683424352E-2</v>
      </c>
      <c r="D134" t="s">
        <v>256</v>
      </c>
      <c r="H134" s="22"/>
    </row>
    <row r="135" spans="1:8">
      <c r="A135" s="8" t="s">
        <v>3815</v>
      </c>
      <c r="C135" s="113">
        <f ca="1"/>
        <v>6.9679337267924361E-6</v>
      </c>
      <c r="D135" t="s">
        <v>256</v>
      </c>
      <c r="H135" s="22"/>
    </row>
    <row r="136" spans="1:8">
      <c r="A136" s="8" t="s">
        <v>1542</v>
      </c>
      <c r="C136" s="113">
        <f ca="1"/>
        <v>1.1246046976791004</v>
      </c>
      <c r="D136" t="s">
        <v>256</v>
      </c>
      <c r="H136" s="22"/>
    </row>
    <row r="137" spans="1:8">
      <c r="A137" s="8" t="s">
        <v>3813</v>
      </c>
      <c r="C137" s="113">
        <f ca="1"/>
        <v>0.16580239955966181</v>
      </c>
      <c r="D137" t="s">
        <v>256</v>
      </c>
      <c r="H137" s="22"/>
    </row>
    <row r="138" spans="1:8">
      <c r="A138" s="8" t="s">
        <v>2930</v>
      </c>
      <c r="C138" s="113">
        <f ca="1"/>
        <v>4.9096591742884535E-4</v>
      </c>
      <c r="D138" t="s">
        <v>256</v>
      </c>
      <c r="H138" s="22"/>
    </row>
    <row r="139" spans="1:8">
      <c r="A139" s="8" t="s">
        <v>1944</v>
      </c>
      <c r="C139" s="113">
        <f ca="1"/>
        <v>3.0836957699568925E-3</v>
      </c>
      <c r="D139" t="s">
        <v>256</v>
      </c>
      <c r="H139" s="22"/>
    </row>
    <row r="140" spans="1:8">
      <c r="A140" s="8" t="s">
        <v>3243</v>
      </c>
      <c r="C140" s="113">
        <f ca="1"/>
        <v>1.7176158658352811</v>
      </c>
      <c r="D140" t="s">
        <v>256</v>
      </c>
      <c r="H140" s="22"/>
    </row>
    <row r="141" spans="1:8">
      <c r="A141" s="8"/>
      <c r="C141" s="113"/>
      <c r="H141" s="22"/>
    </row>
    <row r="142" spans="1:8">
      <c r="A142" s="14" t="s">
        <v>626</v>
      </c>
      <c r="B142" s="3" t="s">
        <v>627</v>
      </c>
      <c r="C142" s="124">
        <f ca="1">ionstrength(perm_meq_unbal,ion_charge)</f>
        <v>1.5050294876343558E-3</v>
      </c>
      <c r="E142" s="70" t="s">
        <v>2044</v>
      </c>
      <c r="H142" s="22"/>
    </row>
    <row r="143" spans="1:8">
      <c r="A143" s="14" t="s">
        <v>628</v>
      </c>
      <c r="B143" s="3" t="s">
        <v>629</v>
      </c>
      <c r="C143" s="124">
        <f ca="1">SQRT(perm_ionstrength)/(1+1.4*SQRT(perm_ionstrength))</f>
        <v>3.6796211841177741E-2</v>
      </c>
      <c r="H143" s="22"/>
    </row>
    <row r="144" spans="1:8">
      <c r="A144" s="14" t="s">
        <v>630</v>
      </c>
      <c r="B144" s="3" t="s">
        <v>631</v>
      </c>
      <c r="C144" s="125">
        <f ca="1">pK1_uncorr_feed-0.5*perm_pK_corr</f>
        <v>6.4099518940794109</v>
      </c>
      <c r="H144" s="22"/>
    </row>
    <row r="145" spans="1:8">
      <c r="A145" s="14" t="s">
        <v>632</v>
      </c>
      <c r="B145" s="3" t="s">
        <v>633</v>
      </c>
      <c r="C145" s="125">
        <f ca="1">pK2_uncorr_feed-2*perm_pK_corr</f>
        <v>10.384092576317647</v>
      </c>
      <c r="H145" s="22"/>
    </row>
    <row r="146" spans="1:8">
      <c r="A146" s="14" t="s">
        <v>634</v>
      </c>
      <c r="B146" s="3" t="s">
        <v>635</v>
      </c>
      <c r="C146" s="126">
        <f ca="1">10^-perm_pK1</f>
        <v>3.8908824112421248E-7</v>
      </c>
      <c r="H146" s="22"/>
    </row>
    <row r="147" spans="1:8">
      <c r="A147" s="14" t="s">
        <v>636</v>
      </c>
      <c r="B147" s="3" t="s">
        <v>637</v>
      </c>
      <c r="C147" s="126">
        <f ca="1">10^-perm_pK2</f>
        <v>4.1295946416539672E-11</v>
      </c>
      <c r="H147" s="22"/>
    </row>
    <row r="148" spans="1:8">
      <c r="A148" s="14" t="s">
        <v>638</v>
      </c>
      <c r="B148" s="3" t="s">
        <v>639</v>
      </c>
      <c r="C148" s="126">
        <f ca="1">IF(C135/2&gt;C134,perm_K2*C134/(C135/2),perm_K1*(C140/2)/C134)</f>
        <v>6.0642300246332155E-6</v>
      </c>
      <c r="H148" s="22"/>
    </row>
    <row r="149" spans="1:8">
      <c r="A149" s="14" t="s">
        <v>640</v>
      </c>
      <c r="B149" s="3" t="s">
        <v>641</v>
      </c>
      <c r="C149" s="125">
        <f ca="1">-LOG10(perm_Hplus)</f>
        <v>5.2172243336731272</v>
      </c>
      <c r="H149" s="22"/>
    </row>
    <row r="150" spans="1:8">
      <c r="A150" s="14" t="s">
        <v>642</v>
      </c>
      <c r="B150" s="3" t="s">
        <v>643</v>
      </c>
      <c r="C150" s="125">
        <f ca="1">C134+C135/2+C140/2</f>
        <v>0.9139135595679283</v>
      </c>
      <c r="D150" t="s">
        <v>1954</v>
      </c>
      <c r="H150" s="22"/>
    </row>
    <row r="151" spans="1:8">
      <c r="A151" s="14" t="s">
        <v>644</v>
      </c>
      <c r="B151" s="3" t="s">
        <v>645</v>
      </c>
      <c r="C151" s="124">
        <f ca="1">1/(perm_Hplus/perm_K1+1+perm_K2/perm_Hplus)</f>
        <v>6.0292715367437827E-2</v>
      </c>
      <c r="H151" s="22"/>
    </row>
    <row r="152" spans="1:8">
      <c r="A152" s="14" t="s">
        <v>2038</v>
      </c>
      <c r="B152" s="3" t="s">
        <v>2039</v>
      </c>
      <c r="C152" s="124">
        <f ca="1">1/(perm_Hplus*perm_Hplus/perm_K1/perm_K2+perm_Hplus/perm_K2+1)</f>
        <v>4.1057887530774926E-7</v>
      </c>
      <c r="H152" s="22"/>
    </row>
    <row r="153" spans="1:8">
      <c r="A153" s="14" t="s">
        <v>2040</v>
      </c>
      <c r="B153" s="3" t="s">
        <v>2041</v>
      </c>
      <c r="C153" s="124">
        <f ca="1">1/(1+perm_K1/perm_Hplus+perm_K1*perm_K2/perm_Hplus/perm_Hplus)</f>
        <v>0.9397068740536868</v>
      </c>
      <c r="H153" s="22"/>
    </row>
    <row r="154" spans="1:8">
      <c r="C154" s="113"/>
      <c r="H154" s="22"/>
    </row>
    <row r="155" spans="1:8">
      <c r="A155" t="s">
        <v>2042</v>
      </c>
      <c r="C155" s="113"/>
      <c r="H155" s="22"/>
    </row>
    <row r="156" spans="1:8">
      <c r="A156" s="8" t="s">
        <v>3814</v>
      </c>
      <c r="B156" s="3" t="s">
        <v>2043</v>
      </c>
      <c r="C156" s="30">
        <f t="shared" ref="C156:C161" ca="1" si="0">C128</f>
        <v>0.15308204645879561</v>
      </c>
      <c r="D156" t="s">
        <v>256</v>
      </c>
      <c r="H156" s="22"/>
    </row>
    <row r="157" spans="1:8">
      <c r="A157" s="8" t="s">
        <v>3816</v>
      </c>
      <c r="C157" s="30">
        <f t="shared" ca="1" si="0"/>
        <v>2.2948994490727792E-2</v>
      </c>
      <c r="D157" t="s">
        <v>256</v>
      </c>
      <c r="H157" s="22"/>
    </row>
    <row r="158" spans="1:8">
      <c r="A158" s="8" t="s">
        <v>72</v>
      </c>
      <c r="C158" s="30">
        <f t="shared" ca="1" si="0"/>
        <v>1.1350806783760949</v>
      </c>
      <c r="D158" t="s">
        <v>256</v>
      </c>
      <c r="H158" s="22"/>
    </row>
    <row r="159" spans="1:8">
      <c r="A159" s="8" t="s">
        <v>3818</v>
      </c>
      <c r="C159" s="30">
        <f t="shared" ca="1" si="0"/>
        <v>4.4067695180596347E-3</v>
      </c>
      <c r="D159" t="s">
        <v>256</v>
      </c>
      <c r="H159" s="22"/>
    </row>
    <row r="160" spans="1:8">
      <c r="A160" s="8" t="s">
        <v>3253</v>
      </c>
      <c r="C160" s="30">
        <f t="shared" ca="1" si="0"/>
        <v>8.1225471253405957E-6</v>
      </c>
      <c r="D160" t="s">
        <v>256</v>
      </c>
      <c r="H160" s="22"/>
    </row>
    <row r="161" spans="1:8">
      <c r="A161" s="8" t="s">
        <v>3254</v>
      </c>
      <c r="C161" s="30">
        <f t="shared" ca="1" si="0"/>
        <v>2.5463378730752737E-4</v>
      </c>
      <c r="D161" t="s">
        <v>256</v>
      </c>
      <c r="H161" s="22"/>
    </row>
    <row r="162" spans="1:8">
      <c r="A162" s="8" t="s">
        <v>3817</v>
      </c>
      <c r="C162" s="30">
        <f ca="1">perm_carbon*perm_frac_hco3</f>
        <v>5.5102330117471038E-2</v>
      </c>
      <c r="D162" t="s">
        <v>256</v>
      </c>
      <c r="H162" s="22"/>
    </row>
    <row r="163" spans="1:8">
      <c r="A163" s="8" t="s">
        <v>3815</v>
      </c>
      <c r="C163" s="30">
        <f ca="1">perm_carbon*perm_frac_co3*2</f>
        <v>7.5046720283180339E-7</v>
      </c>
      <c r="D163" t="s">
        <v>256</v>
      </c>
      <c r="H163" s="22"/>
    </row>
    <row r="164" spans="1:8">
      <c r="A164" s="8" t="s">
        <v>1542</v>
      </c>
      <c r="C164" s="30">
        <f ca="1">C136</f>
        <v>1.1246046976791004</v>
      </c>
      <c r="D164" t="s">
        <v>256</v>
      </c>
      <c r="H164" s="22"/>
    </row>
    <row r="165" spans="1:8">
      <c r="A165" s="8" t="s">
        <v>3813</v>
      </c>
      <c r="C165" s="30">
        <f ca="1">C137</f>
        <v>0.16580239955966181</v>
      </c>
      <c r="D165" t="s">
        <v>256</v>
      </c>
      <c r="H165" s="22"/>
    </row>
    <row r="166" spans="1:8">
      <c r="A166" s="8" t="s">
        <v>2930</v>
      </c>
      <c r="C166" s="30">
        <f ca="1">C138</f>
        <v>4.9096591742884535E-4</v>
      </c>
      <c r="D166" t="s">
        <v>256</v>
      </c>
      <c r="H166" s="22"/>
    </row>
    <row r="167" spans="1:8">
      <c r="A167" s="8" t="s">
        <v>1944</v>
      </c>
      <c r="C167" s="30">
        <f ca="1">C139</f>
        <v>3.0836957699568925E-3</v>
      </c>
      <c r="D167" t="s">
        <v>256</v>
      </c>
      <c r="H167" s="22"/>
    </row>
    <row r="168" spans="1:8">
      <c r="A168" s="8" t="s">
        <v>3243</v>
      </c>
      <c r="C168" s="30">
        <f ca="1">perm_carbon*perm_frac_co2*2</f>
        <v>1.7176217084337115</v>
      </c>
      <c r="D168" t="s">
        <v>256</v>
      </c>
      <c r="H168" s="22"/>
    </row>
    <row r="170" spans="1:8">
      <c r="A170" s="8" t="s">
        <v>4165</v>
      </c>
      <c r="B170" s="3" t="s">
        <v>4166</v>
      </c>
      <c r="C170" s="38">
        <f ca="1">SUM(C156:C161)</f>
        <v>1.3157812451781108</v>
      </c>
      <c r="D170" t="s">
        <v>256</v>
      </c>
      <c r="H170" s="38"/>
    </row>
    <row r="171" spans="1:8">
      <c r="A171" s="8" t="s">
        <v>4167</v>
      </c>
      <c r="B171" s="3" t="s">
        <v>4168</v>
      </c>
      <c r="C171" s="38">
        <f ca="1">SUM(C162:C166)</f>
        <v>1.346001143740865</v>
      </c>
      <c r="D171" t="s">
        <v>256</v>
      </c>
      <c r="H171" s="38"/>
    </row>
    <row r="172" spans="1:8">
      <c r="A172" s="8" t="s">
        <v>4169</v>
      </c>
      <c r="B172" s="3" t="s">
        <v>4170</v>
      </c>
      <c r="C172" s="114">
        <f ca="1">perm_cations-perm_anions</f>
        <v>-3.0219898562754199E-2</v>
      </c>
      <c r="D172" t="s">
        <v>256</v>
      </c>
      <c r="H172" s="23"/>
    </row>
    <row r="173" spans="1:8">
      <c r="A173" s="8" t="s">
        <v>4171</v>
      </c>
      <c r="B173" s="3" t="s">
        <v>4172</v>
      </c>
      <c r="C173" s="114">
        <f ca="1">IF(element_type="NF",1-perm_difference/perm_cations,1-perm_difference/perm_cations/2)</f>
        <v>1.0114836332686379</v>
      </c>
      <c r="D173" s="23"/>
      <c r="E173" s="70" t="s">
        <v>2307</v>
      </c>
      <c r="H173" s="23"/>
    </row>
    <row r="174" spans="1:8">
      <c r="A174" s="8" t="s">
        <v>2308</v>
      </c>
      <c r="B174" s="3" t="s">
        <v>2309</v>
      </c>
      <c r="C174" s="114">
        <f ca="1">IF(element_type="NF",1,1+perm_difference/perm_anions/2)</f>
        <v>0.98877419283658041</v>
      </c>
      <c r="D174" s="23"/>
      <c r="H174" s="23"/>
    </row>
    <row r="176" spans="1:8">
      <c r="A176" t="s">
        <v>625</v>
      </c>
    </row>
    <row r="177" spans="1:8">
      <c r="A177" s="8" t="s">
        <v>3814</v>
      </c>
      <c r="B177" s="3" t="s">
        <v>2310</v>
      </c>
      <c r="C177" s="30">
        <f t="array" aca="1" ref="C177:C182" ca="1">C156:C161*cation_balance</f>
        <v>0.15483998454034101</v>
      </c>
      <c r="D177" t="s">
        <v>256</v>
      </c>
      <c r="E177" s="73"/>
      <c r="H177" s="22"/>
    </row>
    <row r="178" spans="1:8">
      <c r="A178" s="8" t="s">
        <v>3816</v>
      </c>
      <c r="C178" s="30">
        <f ca="1"/>
        <v>2.3212532327343303E-2</v>
      </c>
      <c r="D178" t="s">
        <v>256</v>
      </c>
      <c r="E178" s="73"/>
      <c r="H178" s="22"/>
    </row>
    <row r="179" spans="1:8">
      <c r="A179" s="8" t="s">
        <v>72</v>
      </c>
      <c r="C179" s="30">
        <f ca="1"/>
        <v>1.1481155286168827</v>
      </c>
      <c r="D179" t="s">
        <v>256</v>
      </c>
      <c r="E179" s="73"/>
      <c r="H179" s="22"/>
    </row>
    <row r="180" spans="1:8">
      <c r="A180" s="8" t="s">
        <v>3818</v>
      </c>
      <c r="C180" s="30">
        <f ca="1"/>
        <v>4.4573752431044441E-3</v>
      </c>
      <c r="D180" t="s">
        <v>256</v>
      </c>
      <c r="E180" s="73"/>
      <c r="H180" s="22"/>
    </row>
    <row r="181" spans="1:8">
      <c r="A181" s="8" t="s">
        <v>3253</v>
      </c>
      <c r="C181" s="30">
        <f ca="1"/>
        <v>8.2158234777352353E-6</v>
      </c>
      <c r="D181" t="s">
        <v>256</v>
      </c>
      <c r="E181" s="73"/>
      <c r="H181" s="22"/>
    </row>
    <row r="182" spans="1:8">
      <c r="A182" s="8" t="s">
        <v>3254</v>
      </c>
      <c r="C182" s="30">
        <f ca="1"/>
        <v>2.5755790833877133E-4</v>
      </c>
      <c r="D182" t="s">
        <v>256</v>
      </c>
      <c r="E182" s="73"/>
      <c r="H182" s="22"/>
    </row>
    <row r="183" spans="1:8">
      <c r="A183" s="8" t="s">
        <v>3817</v>
      </c>
      <c r="C183" s="30">
        <f t="array" aca="1" ref="C183:C187" ca="1">C162:C166*anion_balance</f>
        <v>5.4483761985317222E-2</v>
      </c>
      <c r="D183" t="s">
        <v>256</v>
      </c>
      <c r="E183" s="73"/>
      <c r="F183" s="38"/>
      <c r="H183" s="22"/>
    </row>
    <row r="184" spans="1:8">
      <c r="A184" s="8" t="s">
        <v>3815</v>
      </c>
      <c r="C184" s="30">
        <f ca="1"/>
        <v>7.4204260273034263E-7</v>
      </c>
      <c r="D184" t="s">
        <v>256</v>
      </c>
      <c r="E184" s="73"/>
      <c r="F184" s="38"/>
      <c r="H184" s="22"/>
    </row>
    <row r="185" spans="1:8">
      <c r="A185" s="8" t="s">
        <v>1542</v>
      </c>
      <c r="C185" s="30">
        <f ca="1"/>
        <v>1.111980102207879</v>
      </c>
      <c r="D185" t="s">
        <v>256</v>
      </c>
      <c r="E185" s="73"/>
      <c r="H185" s="22"/>
    </row>
    <row r="186" spans="1:8">
      <c r="A186" s="8" t="s">
        <v>3813</v>
      </c>
      <c r="C186" s="30">
        <f ca="1"/>
        <v>0.1639411337949728</v>
      </c>
      <c r="D186" t="s">
        <v>256</v>
      </c>
      <c r="E186" s="73"/>
      <c r="H186" s="22"/>
    </row>
    <row r="187" spans="1:8">
      <c r="A187" s="8" t="s">
        <v>2930</v>
      </c>
      <c r="C187" s="30">
        <f ca="1"/>
        <v>4.8545442871597772E-4</v>
      </c>
      <c r="D187" t="s">
        <v>256</v>
      </c>
      <c r="E187" s="73"/>
      <c r="H187" s="22"/>
    </row>
    <row r="188" spans="1:8">
      <c r="A188" s="8" t="s">
        <v>1944</v>
      </c>
      <c r="C188" s="30">
        <f t="array" aca="1" ref="C188:C189" ca="1">C167:C168</f>
        <v>3.0836957699568925E-3</v>
      </c>
      <c r="D188" t="s">
        <v>256</v>
      </c>
      <c r="E188" s="73"/>
      <c r="F188" s="39"/>
      <c r="H188" s="22"/>
    </row>
    <row r="189" spans="1:8">
      <c r="A189" s="8" t="s">
        <v>3243</v>
      </c>
      <c r="C189" s="30">
        <f ca="1"/>
        <v>1.7176217084337115</v>
      </c>
      <c r="D189" t="s">
        <v>256</v>
      </c>
      <c r="F189" s="39"/>
      <c r="H189" s="22"/>
    </row>
    <row r="190" spans="1:8">
      <c r="C190" s="115"/>
    </row>
    <row r="191" spans="1:8">
      <c r="A191" t="s">
        <v>2311</v>
      </c>
    </row>
    <row r="192" spans="1:8">
      <c r="A192" s="8" t="s">
        <v>3814</v>
      </c>
      <c r="B192" s="3" t="s">
        <v>2312</v>
      </c>
      <c r="C192" s="118">
        <f t="array" aca="1" ref="C192:C204" ca="1">perm_meq*ion_meq_weights</f>
        <v>3.1029932901884338</v>
      </c>
      <c r="D192" t="s">
        <v>2263</v>
      </c>
      <c r="E192" s="70" t="s">
        <v>415</v>
      </c>
      <c r="H192" s="22"/>
    </row>
    <row r="193" spans="1:8">
      <c r="A193" s="8" t="s">
        <v>3816</v>
      </c>
      <c r="C193" s="118">
        <f ca="1"/>
        <v>0.28209029910803951</v>
      </c>
      <c r="D193" t="s">
        <v>2263</v>
      </c>
      <c r="H193" s="22"/>
    </row>
    <row r="194" spans="1:8">
      <c r="A194" s="8" t="s">
        <v>72</v>
      </c>
      <c r="C194" s="118">
        <f ca="1"/>
        <v>26.395176002902133</v>
      </c>
      <c r="D194" t="s">
        <v>2263</v>
      </c>
      <c r="H194" s="22"/>
    </row>
    <row r="195" spans="1:8">
      <c r="A195" s="8" t="s">
        <v>3818</v>
      </c>
      <c r="C195" s="118">
        <f ca="1"/>
        <v>0.17427445725489754</v>
      </c>
      <c r="D195" t="s">
        <v>2263</v>
      </c>
      <c r="H195" s="22"/>
    </row>
    <row r="196" spans="1:8">
      <c r="A196" s="8" t="s">
        <v>3253</v>
      </c>
      <c r="C196" s="118">
        <f ca="1"/>
        <v>5.6418059821607862E-4</v>
      </c>
      <c r="D196" t="s">
        <v>2263</v>
      </c>
      <c r="H196" s="22"/>
    </row>
    <row r="197" spans="1:8">
      <c r="A197" s="8" t="s">
        <v>3254</v>
      </c>
      <c r="C197" s="118">
        <f ca="1"/>
        <v>1.1283611964321573E-2</v>
      </c>
      <c r="D197" t="s">
        <v>2263</v>
      </c>
      <c r="H197" s="22"/>
    </row>
    <row r="198" spans="1:8">
      <c r="A198" s="8" t="s">
        <v>3817</v>
      </c>
      <c r="C198" s="118">
        <f ca="1"/>
        <v>3.3240543187242038</v>
      </c>
      <c r="D198" t="s">
        <v>2263</v>
      </c>
      <c r="H198" s="22"/>
    </row>
    <row r="199" spans="1:8">
      <c r="A199" s="8" t="s">
        <v>3815</v>
      </c>
      <c r="C199" s="118">
        <f ca="1"/>
        <v>2.2264988294923931E-5</v>
      </c>
      <c r="D199" t="s">
        <v>2263</v>
      </c>
      <c r="H199" s="22"/>
    </row>
    <row r="200" spans="1:8">
      <c r="A200" s="8" t="s">
        <v>1542</v>
      </c>
      <c r="C200" s="118">
        <f ca="1"/>
        <v>39.419694623269315</v>
      </c>
      <c r="D200" t="s">
        <v>2263</v>
      </c>
      <c r="H200" s="22"/>
    </row>
    <row r="201" spans="1:8">
      <c r="A201" s="8" t="s">
        <v>3813</v>
      </c>
      <c r="C201" s="118">
        <f ca="1"/>
        <v>7.8740926561725439</v>
      </c>
      <c r="D201" t="s">
        <v>2263</v>
      </c>
      <c r="H201" s="22"/>
    </row>
    <row r="202" spans="1:8">
      <c r="A202" s="8" t="s">
        <v>2930</v>
      </c>
      <c r="C202" s="118">
        <f ca="1"/>
        <v>9.2236341456035775E-3</v>
      </c>
      <c r="D202" t="s">
        <v>2263</v>
      </c>
      <c r="H202" s="22"/>
    </row>
    <row r="203" spans="1:8">
      <c r="A203" s="8" t="s">
        <v>1944</v>
      </c>
      <c r="C203" s="118">
        <f ca="1"/>
        <v>0.16651957157767219</v>
      </c>
      <c r="D203" t="s">
        <v>2263</v>
      </c>
      <c r="H203" s="22"/>
    </row>
    <row r="204" spans="1:8">
      <c r="A204" s="8" t="s">
        <v>3243</v>
      </c>
      <c r="B204" s="3" t="s">
        <v>283</v>
      </c>
      <c r="C204" s="118">
        <f ca="1"/>
        <v>37.822030019710326</v>
      </c>
      <c r="D204" t="s">
        <v>2263</v>
      </c>
      <c r="H204" s="22"/>
    </row>
    <row r="206" spans="1:8">
      <c r="A206" t="s">
        <v>2313</v>
      </c>
    </row>
    <row r="207" spans="1:8">
      <c r="A207" s="8" t="s">
        <v>3814</v>
      </c>
      <c r="B207" s="3" t="s">
        <v>2314</v>
      </c>
      <c r="C207" s="113">
        <f t="array" aca="1" ref="C207:C219" ca="1">(flow_feed*feed_meq-perm_flow*perm_meq)/conc_flow</f>
        <v>56.051125897548914</v>
      </c>
      <c r="D207" t="s">
        <v>256</v>
      </c>
      <c r="H207" s="22"/>
    </row>
    <row r="208" spans="1:8">
      <c r="A208" s="8" t="s">
        <v>3816</v>
      </c>
      <c r="C208" s="113">
        <f ca="1"/>
        <v>8.4027945090750524</v>
      </c>
      <c r="D208" t="s">
        <v>256</v>
      </c>
      <c r="H208" s="22"/>
    </row>
    <row r="209" spans="1:8">
      <c r="A209" s="8" t="s">
        <v>72</v>
      </c>
      <c r="C209" s="113">
        <f ca="1"/>
        <v>103.80560301355045</v>
      </c>
      <c r="D209" t="s">
        <v>256</v>
      </c>
      <c r="H209" s="22"/>
    </row>
    <row r="210" spans="1:8">
      <c r="A210" s="8" t="s">
        <v>3818</v>
      </c>
      <c r="C210" s="113">
        <f ca="1"/>
        <v>0.30989069249097612</v>
      </c>
      <c r="D210" t="s">
        <v>256</v>
      </c>
      <c r="H210" s="22"/>
    </row>
    <row r="211" spans="1:8">
      <c r="A211" s="8" t="s">
        <v>3253</v>
      </c>
      <c r="C211" s="113">
        <f ca="1"/>
        <v>2.9740777711237663E-3</v>
      </c>
      <c r="D211" t="s">
        <v>256</v>
      </c>
      <c r="H211" s="22"/>
    </row>
    <row r="212" spans="1:8">
      <c r="A212" s="8" t="s">
        <v>3254</v>
      </c>
      <c r="C212" s="113">
        <f ca="1"/>
        <v>9.3234385091563149E-2</v>
      </c>
      <c r="D212" t="s">
        <v>256</v>
      </c>
      <c r="H212" s="22"/>
    </row>
    <row r="213" spans="1:8">
      <c r="A213" s="8" t="s">
        <v>3817</v>
      </c>
      <c r="C213" s="113">
        <f ca="1"/>
        <v>5.0393521724235466</v>
      </c>
      <c r="D213" t="s">
        <v>256</v>
      </c>
      <c r="H213" s="22"/>
    </row>
    <row r="214" spans="1:8">
      <c r="A214" s="8" t="s">
        <v>3815</v>
      </c>
      <c r="C214" s="113">
        <f ca="1"/>
        <v>2.5520260992547201E-3</v>
      </c>
      <c r="D214" t="s">
        <v>256</v>
      </c>
      <c r="H214" s="22"/>
    </row>
    <row r="215" spans="1:8">
      <c r="A215" s="8" t="s">
        <v>1542</v>
      </c>
      <c r="C215" s="113">
        <f ca="1"/>
        <v>102.85043146921005</v>
      </c>
      <c r="D215" t="s">
        <v>256</v>
      </c>
      <c r="H215" s="22"/>
    </row>
    <row r="216" spans="1:8">
      <c r="A216" s="8" t="s">
        <v>3813</v>
      </c>
      <c r="C216" s="113">
        <f ca="1"/>
        <v>60.709118932834691</v>
      </c>
      <c r="D216" t="s">
        <v>256</v>
      </c>
      <c r="H216" s="22"/>
    </row>
    <row r="217" spans="1:8">
      <c r="A217" s="8" t="s">
        <v>2930</v>
      </c>
      <c r="C217" s="113">
        <f ca="1"/>
        <v>6.416797496060471E-2</v>
      </c>
      <c r="D217" t="s">
        <v>256</v>
      </c>
      <c r="H217" s="22"/>
    </row>
    <row r="218" spans="1:8">
      <c r="A218" s="8" t="s">
        <v>1944</v>
      </c>
      <c r="C218" s="113">
        <f ca="1"/>
        <v>0.37613549665569479</v>
      </c>
      <c r="D218" t="s">
        <v>256</v>
      </c>
      <c r="H218" s="22"/>
    </row>
    <row r="219" spans="1:8">
      <c r="A219" s="8" t="s">
        <v>3243</v>
      </c>
      <c r="C219" s="113">
        <f ca="1"/>
        <v>1.7176152070378727</v>
      </c>
      <c r="D219" t="s">
        <v>256</v>
      </c>
      <c r="H219" s="22"/>
    </row>
    <row r="221" spans="1:8">
      <c r="A221" t="s">
        <v>2315</v>
      </c>
    </row>
    <row r="222" spans="1:8">
      <c r="A222" s="8" t="s">
        <v>3814</v>
      </c>
      <c r="B222" s="3" t="s">
        <v>2316</v>
      </c>
      <c r="C222" s="122">
        <f t="array" aca="1" ref="C222:C234" ca="1">conc_meq*ion_meq_weights</f>
        <v>1123.2645629868803</v>
      </c>
      <c r="D222" t="s">
        <v>2263</v>
      </c>
      <c r="F222" s="53"/>
      <c r="H222" s="26"/>
    </row>
    <row r="223" spans="1:8">
      <c r="A223" s="8" t="s">
        <v>3816</v>
      </c>
      <c r="C223" s="116">
        <f ca="1"/>
        <v>102.11496027153457</v>
      </c>
      <c r="D223" t="s">
        <v>2263</v>
      </c>
      <c r="F223" s="53"/>
      <c r="H223" s="26"/>
    </row>
    <row r="224" spans="1:8">
      <c r="A224" s="8" t="s">
        <v>72</v>
      </c>
      <c r="C224" s="116">
        <f ca="1"/>
        <v>2386.4908132815249</v>
      </c>
      <c r="D224" t="s">
        <v>2263</v>
      </c>
      <c r="F224" s="53"/>
      <c r="H224" s="26"/>
    </row>
    <row r="225" spans="1:8">
      <c r="A225" s="8" t="s">
        <v>3818</v>
      </c>
      <c r="C225" s="116">
        <f ca="1"/>
        <v>12.116106295012184</v>
      </c>
      <c r="D225" t="s">
        <v>2263</v>
      </c>
      <c r="F225" s="53"/>
      <c r="H225" s="26"/>
    </row>
    <row r="226" spans="1:8">
      <c r="A226" s="8" t="s">
        <v>3253</v>
      </c>
      <c r="C226" s="116">
        <f ca="1"/>
        <v>0.20422992054306904</v>
      </c>
      <c r="D226" t="s">
        <v>2263</v>
      </c>
      <c r="F226" s="53"/>
      <c r="H226" s="26"/>
    </row>
    <row r="227" spans="1:8">
      <c r="A227" s="8" t="s">
        <v>3254</v>
      </c>
      <c r="C227" s="116">
        <f ca="1"/>
        <v>4.084598410861382</v>
      </c>
      <c r="D227" t="s">
        <v>2263</v>
      </c>
      <c r="F227" s="53"/>
      <c r="H227" s="26"/>
    </row>
    <row r="228" spans="1:8">
      <c r="A228" s="8" t="s">
        <v>3817</v>
      </c>
      <c r="C228" s="116">
        <f ca="1"/>
        <v>307.45087603956057</v>
      </c>
      <c r="D228" t="s">
        <v>2263</v>
      </c>
      <c r="F228" s="53"/>
      <c r="H228" s="26"/>
    </row>
    <row r="229" spans="1:8">
      <c r="A229" s="8" t="s">
        <v>3815</v>
      </c>
      <c r="C229" s="116">
        <f ca="1"/>
        <v>7.6573543108137868E-2</v>
      </c>
      <c r="D229" t="s">
        <v>2263</v>
      </c>
      <c r="F229" s="53"/>
      <c r="H229" s="26"/>
    </row>
    <row r="230" spans="1:8">
      <c r="A230" s="8" t="s">
        <v>1542</v>
      </c>
      <c r="C230" s="116">
        <f ca="1"/>
        <v>3646.0477955834967</v>
      </c>
      <c r="D230" t="s">
        <v>2263</v>
      </c>
      <c r="F230" s="53"/>
      <c r="H230" s="26"/>
    </row>
    <row r="231" spans="1:8">
      <c r="A231" s="8" t="s">
        <v>3813</v>
      </c>
      <c r="C231" s="116">
        <f ca="1"/>
        <v>2915.8589823440502</v>
      </c>
      <c r="D231" t="s">
        <v>2263</v>
      </c>
      <c r="F231" s="53"/>
      <c r="H231" s="26"/>
    </row>
    <row r="232" spans="1:8">
      <c r="A232" s="8" t="s">
        <v>2930</v>
      </c>
      <c r="C232" s="116">
        <f ca="1"/>
        <v>1.2191915242514895</v>
      </c>
      <c r="D232" t="s">
        <v>2263</v>
      </c>
      <c r="F232" s="53"/>
      <c r="H232" s="26"/>
    </row>
    <row r="233" spans="1:8">
      <c r="A233" s="8" t="s">
        <v>1944</v>
      </c>
      <c r="C233" s="116">
        <f ca="1"/>
        <v>20.311316819407519</v>
      </c>
      <c r="D233" t="s">
        <v>2263</v>
      </c>
      <c r="F233" s="53"/>
      <c r="H233" s="26"/>
    </row>
    <row r="234" spans="1:8">
      <c r="A234" s="8" t="s">
        <v>3243</v>
      </c>
      <c r="B234" s="3" t="s">
        <v>284</v>
      </c>
      <c r="C234" s="116">
        <f ca="1"/>
        <v>37.821886858973954</v>
      </c>
      <c r="D234" t="s">
        <v>2263</v>
      </c>
      <c r="F234" s="53"/>
      <c r="H234" s="26"/>
    </row>
    <row r="236" spans="1:8">
      <c r="A236" t="s">
        <v>2317</v>
      </c>
    </row>
    <row r="237" spans="1:8">
      <c r="A237" s="8" t="s">
        <v>3814</v>
      </c>
      <c r="B237" s="3" t="s">
        <v>2318</v>
      </c>
      <c r="C237" s="113">
        <f t="array" aca="1" ref="C237:C249" ca="1">IF(conc_meq&lt;=feed_meq,conc_meq,(conc_meq-feed_meq)/LN(conc_meq/feed_meq))-perm_meq</f>
        <v>53.013980292673978</v>
      </c>
      <c r="D237" t="s">
        <v>256</v>
      </c>
      <c r="E237" s="70" t="s">
        <v>2319</v>
      </c>
      <c r="H237" s="22"/>
    </row>
    <row r="238" spans="1:8">
      <c r="A238" s="8" t="s">
        <v>3816</v>
      </c>
      <c r="C238" s="113">
        <f ca="1"/>
        <v>7.9474867877180975</v>
      </c>
      <c r="D238" t="s">
        <v>256</v>
      </c>
      <c r="E238" s="70" t="s">
        <v>416</v>
      </c>
      <c r="H238" s="22"/>
    </row>
    <row r="239" spans="1:8">
      <c r="A239" s="8" t="s">
        <v>72</v>
      </c>
      <c r="C239" s="113">
        <f ca="1"/>
        <v>97.364739086363159</v>
      </c>
      <c r="D239" t="s">
        <v>256</v>
      </c>
      <c r="H239" s="22"/>
    </row>
    <row r="240" spans="1:8">
      <c r="A240" s="8" t="s">
        <v>3818</v>
      </c>
      <c r="C240" s="113">
        <f ca="1"/>
        <v>0.28968694827117392</v>
      </c>
      <c r="D240" t="s">
        <v>256</v>
      </c>
      <c r="H240" s="22"/>
    </row>
    <row r="241" spans="1:8">
      <c r="A241" s="8" t="s">
        <v>3253</v>
      </c>
      <c r="C241" s="113">
        <f ca="1"/>
        <v>2.812926552722997E-3</v>
      </c>
      <c r="D241" t="s">
        <v>256</v>
      </c>
      <c r="H241" s="22"/>
    </row>
    <row r="242" spans="1:8">
      <c r="A242" s="8" t="s">
        <v>3254</v>
      </c>
      <c r="C242" s="113">
        <f ca="1"/>
        <v>8.81824544056099E-2</v>
      </c>
      <c r="D242" t="s">
        <v>256</v>
      </c>
      <c r="H242" s="22"/>
    </row>
    <row r="243" spans="1:8">
      <c r="A243" s="8" t="s">
        <v>3817</v>
      </c>
      <c r="C243" s="113">
        <f ca="1"/>
        <v>4.7278606085667993</v>
      </c>
      <c r="D243" t="s">
        <v>256</v>
      </c>
      <c r="H243" s="22"/>
    </row>
    <row r="244" spans="1:8">
      <c r="A244" s="8" t="s">
        <v>3815</v>
      </c>
      <c r="C244" s="113">
        <f ca="1"/>
        <v>2.4197204719147158E-3</v>
      </c>
      <c r="D244" t="s">
        <v>256</v>
      </c>
      <c r="H244" s="22"/>
    </row>
    <row r="245" spans="1:8">
      <c r="A245" s="8" t="s">
        <v>1542</v>
      </c>
      <c r="C245" s="113">
        <f ca="1"/>
        <v>96.49306199731825</v>
      </c>
      <c r="D245" t="s">
        <v>256</v>
      </c>
      <c r="H245" s="22"/>
    </row>
    <row r="246" spans="1:8">
      <c r="A246" s="8" t="s">
        <v>3813</v>
      </c>
      <c r="C246" s="113">
        <f ca="1"/>
        <v>57.423147360942771</v>
      </c>
      <c r="D246" t="s">
        <v>256</v>
      </c>
      <c r="H246" s="22"/>
    </row>
    <row r="247" spans="1:8">
      <c r="A247" s="8" t="s">
        <v>2930</v>
      </c>
      <c r="C247" s="113">
        <f ca="1"/>
        <v>6.0399006717931816E-2</v>
      </c>
      <c r="D247" t="s">
        <v>256</v>
      </c>
      <c r="H247" s="22"/>
    </row>
    <row r="248" spans="1:8">
      <c r="A248" s="8" t="s">
        <v>1944</v>
      </c>
      <c r="C248" s="113">
        <f ca="1"/>
        <v>0.35381722233141705</v>
      </c>
      <c r="D248" t="s">
        <v>256</v>
      </c>
      <c r="H248" s="22"/>
    </row>
    <row r="249" spans="1:8">
      <c r="A249" s="8" t="s">
        <v>3243</v>
      </c>
      <c r="C249" s="113">
        <f ca="1"/>
        <v>-6.501395838798274E-6</v>
      </c>
      <c r="D249" t="s">
        <v>256</v>
      </c>
      <c r="H249" s="22"/>
    </row>
    <row r="251" spans="1:8">
      <c r="A251" t="s">
        <v>2855</v>
      </c>
      <c r="B251" s="3" t="s">
        <v>2856</v>
      </c>
      <c r="C251" s="113">
        <f ca="1">SUM(conc_ppm)-SUM(conc_gas_ppm)</f>
        <v>10519.240007020231</v>
      </c>
      <c r="D251" t="s">
        <v>2263</v>
      </c>
      <c r="H251" s="22"/>
    </row>
    <row r="252" spans="1:8">
      <c r="A252" t="s">
        <v>1188</v>
      </c>
      <c r="B252" s="3" t="s">
        <v>1189</v>
      </c>
      <c r="C252" s="113">
        <f ca="1">IF(conc_tds&gt;feed_tds,(conc_tds-feed_tds)/LN(conc_tds/feed_tds),AVERAGE(conc_tds,feed_tds))</f>
        <v>9981.0260314023453</v>
      </c>
      <c r="D252" t="s">
        <v>2263</v>
      </c>
      <c r="H252" s="22"/>
    </row>
    <row r="253" spans="1:8">
      <c r="A253" t="s">
        <v>3605</v>
      </c>
      <c r="B253" s="3" t="s">
        <v>3606</v>
      </c>
      <c r="C253" s="113">
        <f ca="1">avg_tds*conc_pol</f>
        <v>10934.078852735336</v>
      </c>
      <c r="D253" t="s">
        <v>2263</v>
      </c>
      <c r="H253" s="22"/>
    </row>
    <row r="254" spans="1:8">
      <c r="A254" t="s">
        <v>1190</v>
      </c>
      <c r="B254" s="3" t="s">
        <v>1191</v>
      </c>
      <c r="C254" s="113">
        <f ca="1">SUM(perm_ppm)-SUM(perm_gas_ppm)</f>
        <v>80.759988910893668</v>
      </c>
      <c r="D254" t="s">
        <v>2263</v>
      </c>
      <c r="H254" s="22"/>
    </row>
    <row r="255" spans="1:8">
      <c r="A255" t="s">
        <v>1192</v>
      </c>
      <c r="B255" s="3" t="s">
        <v>1193</v>
      </c>
      <c r="C255" s="113">
        <f ca="1">osmpres(conc_meq,T_feed,ion_charge)</f>
        <v>5.9597549126350522</v>
      </c>
      <c r="D255" t="s">
        <v>834</v>
      </c>
      <c r="H255" s="22"/>
    </row>
    <row r="256" spans="1:8">
      <c r="A256" t="s">
        <v>1194</v>
      </c>
      <c r="B256" s="3" t="s">
        <v>1195</v>
      </c>
      <c r="C256" s="113">
        <f ca="1">osmpres(perm_meq,T_feed,ion_charge)</f>
        <v>5.8468371059081405E-2</v>
      </c>
      <c r="D256" t="s">
        <v>834</v>
      </c>
      <c r="H256" s="22"/>
    </row>
    <row r="257" spans="1:8">
      <c r="A257" t="s">
        <v>1196</v>
      </c>
      <c r="B257" s="3" t="s">
        <v>1197</v>
      </c>
      <c r="C257" s="113">
        <f ca="1">IF(pi_conc&gt;pi_feed,(pi_conc-pi_feed)/LN(pi_conc/pi_feed),AVERAGE(pi_conc,pi_feed))</f>
        <v>5.6636303123096479</v>
      </c>
      <c r="D257" t="s">
        <v>834</v>
      </c>
      <c r="H257" s="22"/>
    </row>
    <row r="258" spans="1:8">
      <c r="A258" t="s">
        <v>1198</v>
      </c>
      <c r="B258" s="3" t="s">
        <v>1199</v>
      </c>
      <c r="C258" s="113">
        <f ca="1">osmpres(diff_meq,T_feed,ion_charge)</f>
        <v>5.6094408203530044</v>
      </c>
      <c r="D258" t="s">
        <v>834</v>
      </c>
      <c r="E258" s="70" t="s">
        <v>103</v>
      </c>
      <c r="H258" s="22"/>
    </row>
    <row r="259" spans="1:8">
      <c r="A259" s="885" t="s">
        <v>5473</v>
      </c>
      <c r="C259" s="998">
        <f ca="1">pi_avg_diff*psi_per_atm</f>
        <v>82.43634229590775</v>
      </c>
      <c r="D259" s="885" t="s">
        <v>3749</v>
      </c>
      <c r="H259" s="40"/>
    </row>
    <row r="260" spans="1:8">
      <c r="A260" s="8"/>
      <c r="C260" s="113"/>
      <c r="H260" s="22"/>
    </row>
    <row r="261" spans="1:8">
      <c r="A261" t="s">
        <v>104</v>
      </c>
      <c r="B261" s="3" t="s">
        <v>105</v>
      </c>
      <c r="C261" s="123">
        <f ca="1">1-element_A_S_coeff*pi_avg</f>
        <v>0.99750301866790891</v>
      </c>
      <c r="H261" s="30"/>
    </row>
    <row r="262" spans="1:8">
      <c r="A262" t="s">
        <v>106</v>
      </c>
      <c r="B262" s="3" t="s">
        <v>107</v>
      </c>
      <c r="C262" s="123">
        <f ca="1">1+IF(surf_tds&lt;element_sal_min_B,element_B_S_coeff_lo*(element_sal_min_B-surf_tds),element_B_S_coeff_hi*(surf_tds-element_sal_min_B))</f>
        <v>1.1669452616437654</v>
      </c>
      <c r="E262" s="70" t="s">
        <v>3607</v>
      </c>
      <c r="H262" s="30"/>
    </row>
    <row r="264" spans="1:8">
      <c r="A264" t="s">
        <v>108</v>
      </c>
      <c r="B264" s="3" t="s">
        <v>109</v>
      </c>
      <c r="C264" s="119">
        <f ca="1">viscosity(T_feed,conc_tds)/visc_ref</f>
        <v>1.2929415700959537</v>
      </c>
      <c r="E264" s="70" t="s">
        <v>259</v>
      </c>
      <c r="H264" s="30"/>
    </row>
    <row r="265" spans="1:8">
      <c r="A265" t="s">
        <v>110</v>
      </c>
      <c r="B265" s="3" t="s">
        <v>111</v>
      </c>
      <c r="C265" s="119">
        <f ca="1">IF(conc_visc&lt;&gt;feed_visc,(feed_visc-conc_visc)/LN(feed_visc/conc_visc),conc_visc)</f>
        <v>1.2918411604193831</v>
      </c>
      <c r="E265" s="70" t="s">
        <v>112</v>
      </c>
      <c r="H265" s="30"/>
    </row>
    <row r="267" spans="1:8">
      <c r="A267" t="s">
        <v>113</v>
      </c>
      <c r="B267" s="3" t="s">
        <v>114</v>
      </c>
      <c r="C267" s="113">
        <f ca="1">element_dp_coeff*avg_flow^element_dp_exp*SQRT(avg_visc)</f>
        <v>8.5648880632893318E-2</v>
      </c>
      <c r="D267" t="s">
        <v>834</v>
      </c>
      <c r="E267" s="70" t="s">
        <v>115</v>
      </c>
      <c r="H267" s="22"/>
    </row>
    <row r="268" spans="1:8">
      <c r="A268" s="885" t="s">
        <v>5474</v>
      </c>
      <c r="C268" s="998">
        <f ca="1">deltaP*psi_per_atm</f>
        <v>1.2586959497810002</v>
      </c>
      <c r="D268" s="885" t="s">
        <v>3749</v>
      </c>
      <c r="H268" s="40"/>
    </row>
    <row r="269" spans="1:8">
      <c r="A269" t="s">
        <v>2703</v>
      </c>
      <c r="B269" s="3" t="s">
        <v>2702</v>
      </c>
      <c r="C269" s="998">
        <f ca="1">deltaP+prev_deltaP_I/psi_per_atm</f>
        <v>0.75877460106658234</v>
      </c>
      <c r="D269" s="885" t="s">
        <v>834</v>
      </c>
      <c r="E269" s="70" t="s">
        <v>2704</v>
      </c>
      <c r="H269" s="40"/>
    </row>
    <row r="270" spans="1:8">
      <c r="A270" s="885" t="s">
        <v>5475</v>
      </c>
      <c r="C270" s="998">
        <f ca="1">deltaP_vessel*psi_per_atm</f>
        <v>11.150951537274494</v>
      </c>
      <c r="D270" s="885" t="s">
        <v>3749</v>
      </c>
      <c r="H270" s="40"/>
    </row>
    <row r="272" spans="1:8">
      <c r="A272" t="s">
        <v>116</v>
      </c>
      <c r="B272" s="3" t="s">
        <v>117</v>
      </c>
      <c r="C272" s="113">
        <f ca="1">P_feed-deltaP</f>
        <v>11.673693717390304</v>
      </c>
      <c r="D272" t="s">
        <v>834</v>
      </c>
      <c r="E272" s="70" t="s">
        <v>118</v>
      </c>
      <c r="H272" s="22"/>
    </row>
    <row r="273" spans="1:8">
      <c r="C273" s="113"/>
      <c r="H273" s="22"/>
    </row>
    <row r="274" spans="1:8">
      <c r="A274" s="1" t="s">
        <v>2656</v>
      </c>
      <c r="C274" s="113"/>
      <c r="H274" s="22"/>
    </row>
    <row r="275" spans="1:8">
      <c r="A275" s="14" t="s">
        <v>2045</v>
      </c>
      <c r="B275" s="3" t="s">
        <v>2046</v>
      </c>
      <c r="C275" s="124">
        <f ca="1">ionstrength(conc_meq,ion_charge)</f>
        <v>0.23167265798639408</v>
      </c>
      <c r="E275" s="70" t="s">
        <v>196</v>
      </c>
      <c r="H275" s="22"/>
    </row>
    <row r="276" spans="1:8">
      <c r="C276" s="113"/>
      <c r="H276" s="22"/>
    </row>
    <row r="277" spans="1:8">
      <c r="A277" s="33" t="s">
        <v>2657</v>
      </c>
      <c r="C277" s="113"/>
      <c r="H277" s="22"/>
    </row>
    <row r="278" spans="1:8">
      <c r="A278" s="14" t="s">
        <v>628</v>
      </c>
      <c r="B278" s="3" t="s">
        <v>2047</v>
      </c>
      <c r="C278" s="124">
        <f ca="1">SQRT(conc_ionstrength)/(1+1.4*SQRT(conc_ionstrength))</f>
        <v>0.28755436928582201</v>
      </c>
      <c r="H278" s="22"/>
    </row>
    <row r="279" spans="1:8">
      <c r="A279" s="14" t="s">
        <v>2048</v>
      </c>
      <c r="B279" s="3" t="s">
        <v>2049</v>
      </c>
      <c r="C279" s="124">
        <f ca="1">0.5*(SQRT(conc_ionstrength)/(1+SQRT(conc_ionstrength))-0.3*conc_ionstrength)</f>
        <v>0.12771318928563993</v>
      </c>
      <c r="D279" s="56"/>
      <c r="H279" s="22"/>
    </row>
    <row r="280" spans="1:8">
      <c r="A280" s="14" t="s">
        <v>2050</v>
      </c>
      <c r="B280" s="3" t="s">
        <v>2051</v>
      </c>
      <c r="C280" s="124">
        <f ca="1">0.5*4*(SQRT(conc_ionstrength)/(1+SQRT(conc_ionstrength))-0.3*conc_ionstrength)</f>
        <v>0.51085275714255973</v>
      </c>
      <c r="D280" s="56"/>
      <c r="H280" s="22"/>
    </row>
    <row r="281" spans="1:8">
      <c r="A281" s="14" t="s">
        <v>2052</v>
      </c>
      <c r="B281" s="3" t="s">
        <v>2053</v>
      </c>
      <c r="C281" s="125">
        <f ca="1">pK1_uncorr_feed-0.5*conc_pK_corr</f>
        <v>6.2845728153570892</v>
      </c>
      <c r="H281" s="22"/>
    </row>
    <row r="282" spans="1:8">
      <c r="A282" s="14" t="s">
        <v>2054</v>
      </c>
      <c r="B282" s="3" t="s">
        <v>2055</v>
      </c>
      <c r="C282" s="125">
        <f ca="1">pK2_uncorr_feed-2*conc_pK_corr</f>
        <v>9.8825762614283583</v>
      </c>
      <c r="H282" s="22"/>
    </row>
    <row r="283" spans="1:8">
      <c r="A283" s="14" t="s">
        <v>2056</v>
      </c>
      <c r="B283" s="3" t="s">
        <v>2057</v>
      </c>
      <c r="C283" s="126">
        <f ca="1">10^-conc_pK1</f>
        <v>5.1931059674620887E-7</v>
      </c>
      <c r="H283" s="22"/>
    </row>
    <row r="284" spans="1:8">
      <c r="A284" s="14" t="s">
        <v>2058</v>
      </c>
      <c r="B284" s="3" t="s">
        <v>175</v>
      </c>
      <c r="C284" s="126">
        <f ca="1">10^-conc_pK2</f>
        <v>1.3104599074611541E-10</v>
      </c>
      <c r="H284" s="22"/>
    </row>
    <row r="285" spans="1:8">
      <c r="A285" s="14" t="s">
        <v>176</v>
      </c>
      <c r="B285" s="3" t="s">
        <v>177</v>
      </c>
      <c r="C285" s="468">
        <f ca="1">IF(C214/2&gt;C213,conc_K2*C213/(C214/2),conc_K1*(C219/2)/C213)</f>
        <v>8.8501036207420691E-8</v>
      </c>
      <c r="H285" s="22"/>
    </row>
    <row r="286" spans="1:8">
      <c r="A286" s="14" t="s">
        <v>178</v>
      </c>
      <c r="B286" s="3" t="s">
        <v>179</v>
      </c>
      <c r="C286" s="125">
        <f ca="1">-LOG10(conc_Hplus)</f>
        <v>7.0530516443696278</v>
      </c>
      <c r="H286" s="22"/>
    </row>
    <row r="287" spans="1:8">
      <c r="C287" s="113"/>
      <c r="H287" s="22"/>
    </row>
    <row r="288" spans="1:8">
      <c r="A288" s="33" t="s">
        <v>2658</v>
      </c>
    </row>
    <row r="289" spans="1:8">
      <c r="A289" s="14" t="s">
        <v>180</v>
      </c>
      <c r="B289" s="3" t="s">
        <v>181</v>
      </c>
      <c r="C289" s="126">
        <f ca="1">10^(conc_pH-pKWater_feed)</f>
        <v>4.9368126287826728E-8</v>
      </c>
      <c r="D289" t="s">
        <v>194</v>
      </c>
      <c r="H289" s="22"/>
    </row>
    <row r="290" spans="1:8">
      <c r="A290" s="14" t="s">
        <v>182</v>
      </c>
      <c r="B290" s="3" t="s">
        <v>183</v>
      </c>
      <c r="C290" s="124">
        <f ca="1">C213*10^-conc_hco3_corr/1000+C214*10^-conc_co3_corr/1000+conc_OHminus-conc_Hplus</f>
        <v>3.7561939626780181E-3</v>
      </c>
      <c r="D290" t="s">
        <v>194</v>
      </c>
      <c r="H290" s="22"/>
    </row>
    <row r="291" spans="1:8">
      <c r="A291" s="14" t="s">
        <v>184</v>
      </c>
      <c r="B291" s="3" t="s">
        <v>185</v>
      </c>
      <c r="C291" s="125">
        <f ca="1">-LOG10(conc_alkalinity)</f>
        <v>2.4252519896897913</v>
      </c>
      <c r="H291" s="22"/>
    </row>
    <row r="292" spans="1:8">
      <c r="A292" s="14" t="s">
        <v>186</v>
      </c>
      <c r="B292" s="3" t="s">
        <v>187</v>
      </c>
      <c r="C292" s="124">
        <f ca="1">C207/2*10^-conc_co3_corr/1000</f>
        <v>8.6437378675752567E-3</v>
      </c>
      <c r="D292" t="s">
        <v>194</v>
      </c>
      <c r="H292" s="22"/>
    </row>
    <row r="293" spans="1:8">
      <c r="A293" s="14" t="s">
        <v>188</v>
      </c>
      <c r="B293" s="3" t="s">
        <v>189</v>
      </c>
      <c r="C293" s="125">
        <f ca="1">-LOG10(conc_Ca)</f>
        <v>2.0632984121256528</v>
      </c>
      <c r="H293" s="22"/>
    </row>
    <row r="294" spans="1:8">
      <c r="A294" s="14" t="s">
        <v>190</v>
      </c>
      <c r="B294" s="3" t="s">
        <v>191</v>
      </c>
      <c r="C294" s="125">
        <f ca="1">pK2_uncorr_feed-pKSo_feed+conc_pAlk+conc_pCa</f>
        <v>6.5160622681051183</v>
      </c>
      <c r="H294" s="22"/>
    </row>
    <row r="295" spans="1:8">
      <c r="A295" s="14" t="s">
        <v>192</v>
      </c>
      <c r="B295" s="3" t="s">
        <v>193</v>
      </c>
      <c r="C295" s="125">
        <f ca="1">conc_pH-conc_pH_s</f>
        <v>0.53698937626450949</v>
      </c>
      <c r="E295" s="70" t="s">
        <v>195</v>
      </c>
      <c r="H295" s="22"/>
    </row>
    <row r="296" spans="1:8">
      <c r="C296" s="113"/>
    </row>
    <row r="297" spans="1:8">
      <c r="A297" s="33" t="s">
        <v>156</v>
      </c>
      <c r="C297" s="113"/>
    </row>
    <row r="298" spans="1:8">
      <c r="A298" t="s">
        <v>1111</v>
      </c>
      <c r="B298" s="3" t="s">
        <v>2663</v>
      </c>
      <c r="C298" s="126">
        <f ca="1">(((1.1802*conc_ionstrength-6.6149)*conc_ionstrength+22.163)*conc_ionstrength+0.6981)*0.0001</f>
        <v>5.492299810167748E-4</v>
      </c>
      <c r="E298" s="70" t="s">
        <v>1637</v>
      </c>
    </row>
    <row r="299" spans="1:8">
      <c r="A299" t="s">
        <v>1113</v>
      </c>
      <c r="B299" s="3" t="s">
        <v>2875</v>
      </c>
      <c r="C299" s="126">
        <f ca="1">C222/(ion_ca ion_mol_wt)/1000*C231/(ion_so4 ion_mol_wt)/1000</f>
        <v>8.5070361710839701E-4</v>
      </c>
    </row>
    <row r="300" spans="1:8">
      <c r="A300" t="s">
        <v>1115</v>
      </c>
      <c r="B300" s="3" t="s">
        <v>3566</v>
      </c>
      <c r="C300" s="149">
        <f ca="1">conc_caso4_ip/conc_caso4_ksp</f>
        <v>1.548902366060775</v>
      </c>
      <c r="H300" s="22"/>
    </row>
    <row r="302" spans="1:8">
      <c r="A302" s="49" t="s">
        <v>3255</v>
      </c>
    </row>
    <row r="303" spans="1:8">
      <c r="A303" s="14" t="s">
        <v>1070</v>
      </c>
      <c r="B303" s="3" t="s">
        <v>3169</v>
      </c>
      <c r="C303" s="133">
        <f ca="1">((((3.872*conc_ionstrength-5.4453)*conc_ionstrength+0.6729)*conc_ionstrength+8.263)*conc_ionstrength+0.1374)*0.000000001</f>
        <v>2.031272346613691E-9</v>
      </c>
      <c r="E303" s="70" t="s">
        <v>3256</v>
      </c>
    </row>
    <row r="304" spans="1:8">
      <c r="A304" s="14" t="s">
        <v>1068</v>
      </c>
      <c r="B304" s="3" t="s">
        <v>4184</v>
      </c>
      <c r="C304" s="133">
        <f ca="1">C226/(ion_ba ion_mol_wt)/1000*C231/(ion_so4 ion_mol_wt)/1000</f>
        <v>4.5138410280663158E-8</v>
      </c>
    </row>
    <row r="305" spans="1:8">
      <c r="A305" s="14" t="s">
        <v>1069</v>
      </c>
      <c r="B305" s="3" t="s">
        <v>4185</v>
      </c>
      <c r="C305" s="148">
        <f ca="1">conc_baso4_ip/conc_baso4_ksp</f>
        <v>22.221742129219081</v>
      </c>
    </row>
    <row r="307" spans="1:8">
      <c r="A307" s="49" t="s">
        <v>1074</v>
      </c>
    </row>
    <row r="308" spans="1:8">
      <c r="A308" s="14" t="s">
        <v>1071</v>
      </c>
      <c r="B308" s="3" t="s">
        <v>4186</v>
      </c>
      <c r="C308" s="133">
        <f ca="1">IF(conc_ionstrength&lt;=0.3,((((152941*conc_ionstrength-51018)*conc_ionstrength+3871.8)*conc_ionstrength+2216.3)*conc_ionstrength + 25.318)*0.00000001,(((507.35*conc_ionstrength-2516.8)*conc_ionstrength+4396.6)*conc_ionstrength-177.1)*0.00000001)</f>
        <v>5.5278295882352702E-6</v>
      </c>
      <c r="E308" s="70" t="s">
        <v>1078</v>
      </c>
    </row>
    <row r="309" spans="1:8">
      <c r="A309" s="14" t="s">
        <v>1072</v>
      </c>
      <c r="B309" s="3" t="s">
        <v>4187</v>
      </c>
      <c r="C309" s="133">
        <f ca="1">C227/(ion_sr ion_mol_wt)/1000*C231/(ion_so4 ion_mol_wt)/1000</f>
        <v>1.4150443432883542E-6</v>
      </c>
    </row>
    <row r="310" spans="1:8">
      <c r="A310" s="14" t="s">
        <v>1073</v>
      </c>
      <c r="B310" s="3" t="s">
        <v>4188</v>
      </c>
      <c r="C310" s="148">
        <f ca="1">conc_srso4_ip/conc_srso4_ksp</f>
        <v>0.25598552211159958</v>
      </c>
      <c r="E310" s="459"/>
    </row>
    <row r="311" spans="1:8">
      <c r="C311" s="113"/>
      <c r="H311" s="22"/>
    </row>
    <row r="312" spans="1:8">
      <c r="A312" s="49" t="s">
        <v>1117</v>
      </c>
      <c r="C312" s="113"/>
      <c r="H312" s="22"/>
    </row>
    <row r="313" spans="1:8">
      <c r="A313" s="14" t="s">
        <v>1126</v>
      </c>
      <c r="B313" s="3" t="s">
        <v>3567</v>
      </c>
      <c r="C313" s="147">
        <f ca="1" xml:space="preserve"> 10 ^-(0.5*4*SQRT(conc_ionstrength) / (1+1.4*SQRT(conc_ionstrength)-0.2*conc_ionstrength))</f>
        <v>0.2561640875204389</v>
      </c>
      <c r="E313" s="70" t="s">
        <v>1674</v>
      </c>
      <c r="H313" s="22"/>
    </row>
    <row r="314" spans="1:8">
      <c r="A314" s="14" t="s">
        <v>1128</v>
      </c>
      <c r="B314" s="3" t="s">
        <v>3568</v>
      </c>
      <c r="C314" s="147">
        <f ca="1" xml:space="preserve"> 10 ^ -(0.5*SQRT(conc_ionstrength) / (1+SQRT(conc_ionstrength))-0.2*conc_ionstrength)</f>
        <v>0.76536825232520933</v>
      </c>
      <c r="H314" s="22"/>
    </row>
    <row r="315" spans="1:8">
      <c r="A315" s="14" t="s">
        <v>1130</v>
      </c>
      <c r="B315" s="3" t="s">
        <v>3569</v>
      </c>
      <c r="C315" s="133">
        <f ca="1">C222/(ion_ca ion_mol_wt)/1000*conc_ca_corr</f>
        <v>7.1791427600194314E-3</v>
      </c>
      <c r="D315" t="s">
        <v>194</v>
      </c>
      <c r="H315" s="22"/>
    </row>
    <row r="316" spans="1:8">
      <c r="A316" s="14" t="s">
        <v>1132</v>
      </c>
      <c r="B316" s="3" t="s">
        <v>3570</v>
      </c>
      <c r="C316" s="133">
        <f ca="1">C232/(ion_f ion_mol_wt)/1000*conc_f_corr</f>
        <v>4.9112130850845818E-5</v>
      </c>
      <c r="D316" t="s">
        <v>194</v>
      </c>
      <c r="H316" s="22"/>
    </row>
    <row r="317" spans="1:8">
      <c r="A317" s="14" t="s">
        <v>1134</v>
      </c>
      <c r="B317" s="3" t="s">
        <v>3571</v>
      </c>
      <c r="C317" s="133">
        <f ca="1">conc_ca_molL*conc_f_molL*conc_f_molL</f>
        <v>1.7316102364351673E-11</v>
      </c>
      <c r="H317" s="22"/>
    </row>
    <row r="318" spans="1:8">
      <c r="A318" s="14" t="s">
        <v>1136</v>
      </c>
      <c r="B318" s="3" t="s">
        <v>3572</v>
      </c>
      <c r="C318" s="148">
        <f ca="1">conc_caf2_ip/caf2_ksp</f>
        <v>0.90731210350441549</v>
      </c>
      <c r="H318" s="22"/>
    </row>
    <row r="320" spans="1:8">
      <c r="A320" s="33" t="s">
        <v>147</v>
      </c>
    </row>
    <row r="321" spans="1:8">
      <c r="A321" s="14" t="s">
        <v>2659</v>
      </c>
      <c r="B321" s="3" t="s">
        <v>2660</v>
      </c>
      <c r="C321" s="103">
        <f ca="1">IF(conc_pH&lt;7,1.84-0.12*conc_pH,IF(conc_pH&gt;7.75,((0.3102*conc_pH-7.7173)*conc_pH+64.611)*conc_pH-180.63,1))</f>
        <v>1</v>
      </c>
      <c r="E321" s="70" t="s">
        <v>1636</v>
      </c>
    </row>
    <row r="322" spans="1:8">
      <c r="A322" s="14" t="s">
        <v>152</v>
      </c>
      <c r="B322" s="3" t="s">
        <v>2661</v>
      </c>
      <c r="C322" s="100">
        <f ca="1">sio2_sat_base*conc_sio2_sat_corr</f>
        <v>105</v>
      </c>
      <c r="D322" t="s">
        <v>3261</v>
      </c>
    </row>
    <row r="323" spans="1:8">
      <c r="A323" s="14" t="s">
        <v>154</v>
      </c>
      <c r="B323" s="3" t="s">
        <v>2662</v>
      </c>
      <c r="C323" s="148">
        <f ca="1">C233/tfeed_sio2_sat</f>
        <v>0.18249161562809987</v>
      </c>
    </row>
    <row r="324" spans="1:8">
      <c r="C324" s="113"/>
      <c r="H324" s="22"/>
    </row>
    <row r="325" spans="1:8">
      <c r="A325" s="1" t="s">
        <v>1956</v>
      </c>
      <c r="C325" s="113"/>
      <c r="H325" s="22"/>
    </row>
    <row r="326" spans="1:8">
      <c r="A326" t="s">
        <v>1957</v>
      </c>
      <c r="B326" s="3" t="s">
        <v>1958</v>
      </c>
      <c r="C326" s="998">
        <f ca="1">IF(AND(P_conc&gt;0,P_feed&gt;0,deltaP&gt;0),deltaP/LN(P_feed/P_conc),AVERAGE(P_feed,P_conc))-P_throttle-pi_avg_diff</f>
        <v>6.107025162034601</v>
      </c>
      <c r="D326" s="885" t="s">
        <v>834</v>
      </c>
      <c r="E326" s="70" t="s">
        <v>1959</v>
      </c>
      <c r="H326" s="22"/>
    </row>
    <row r="327" spans="1:8">
      <c r="A327" s="885" t="s">
        <v>5476</v>
      </c>
      <c r="C327" s="998">
        <f ca="1">P_net_new*psi_per_atm</f>
        <v>89.748841781260495</v>
      </c>
      <c r="D327" s="885" t="s">
        <v>3749</v>
      </c>
      <c r="H327" s="40"/>
    </row>
    <row r="328" spans="1:8">
      <c r="A328" t="s">
        <v>1960</v>
      </c>
      <c r="B328" s="3" t="s">
        <v>1961</v>
      </c>
      <c r="C328" s="998">
        <f ca="1">P_net_new-P_net</f>
        <v>-3.4786447652379593E-4</v>
      </c>
      <c r="D328" s="885" t="s">
        <v>834</v>
      </c>
      <c r="H328" s="22"/>
    </row>
    <row r="329" spans="1:8">
      <c r="A329" t="s">
        <v>4269</v>
      </c>
      <c r="B329" s="3" t="s">
        <v>4270</v>
      </c>
      <c r="C329" s="999">
        <f ca="1">ABS(P_net_diff/P_net_new)</f>
        <v>5.6961362904865168E-5</v>
      </c>
      <c r="D329" s="885"/>
      <c r="H329" s="41"/>
    </row>
    <row r="330" spans="1:8">
      <c r="A330" t="s">
        <v>4271</v>
      </c>
      <c r="B330" s="3" t="s">
        <v>4272</v>
      </c>
      <c r="C330" s="998">
        <f ca="1">P_net+sys_step_factor*P_net_diff</f>
        <v>6.1071295213775585</v>
      </c>
      <c r="D330" s="885" t="s">
        <v>834</v>
      </c>
      <c r="E330" s="70" t="s">
        <v>712</v>
      </c>
      <c r="H330" s="22"/>
    </row>
    <row r="331" spans="1:8">
      <c r="C331" s="151"/>
      <c r="D331" s="885"/>
    </row>
    <row r="332" spans="1:8">
      <c r="A332" t="s">
        <v>713</v>
      </c>
      <c r="B332" s="3" t="s">
        <v>714</v>
      </c>
      <c r="C332" s="1000">
        <f ca="1">element_A_base*A_sal_corr</f>
        <v>5.8665051254491099E-7</v>
      </c>
      <c r="D332" s="885" t="s">
        <v>1181</v>
      </c>
      <c r="E332" s="70" t="s">
        <v>715</v>
      </c>
      <c r="H332" s="24"/>
    </row>
    <row r="333" spans="1:8">
      <c r="A333" s="885" t="s">
        <v>5477</v>
      </c>
      <c r="C333" s="1001">
        <f ca="1">element_A_new*gfdpsi_per_msatm</f>
        <v>8.4646201742117691E-2</v>
      </c>
      <c r="D333" s="885" t="s">
        <v>3334</v>
      </c>
      <c r="H333" s="42"/>
    </row>
    <row r="334" spans="1:8">
      <c r="A334" t="s">
        <v>1960</v>
      </c>
      <c r="B334" s="3" t="s">
        <v>716</v>
      </c>
      <c r="C334" s="1000">
        <f ca="1">element_A_new-element_A</f>
        <v>1.2557158940355135E-14</v>
      </c>
      <c r="D334" s="885" t="s">
        <v>1181</v>
      </c>
      <c r="H334" s="24"/>
    </row>
    <row r="335" spans="1:8">
      <c r="A335" t="s">
        <v>4269</v>
      </c>
      <c r="B335" s="3" t="s">
        <v>717</v>
      </c>
      <c r="C335" s="999">
        <f ca="1">ABS(A_diff/element_A_new)</f>
        <v>2.1404837585297129E-8</v>
      </c>
      <c r="D335" s="885"/>
      <c r="H335" s="41"/>
    </row>
    <row r="336" spans="1:8">
      <c r="A336" t="s">
        <v>4271</v>
      </c>
      <c r="B336" s="3" t="s">
        <v>718</v>
      </c>
      <c r="C336" s="1000">
        <f ca="1">element_A_new</f>
        <v>5.8665051254491099E-7</v>
      </c>
      <c r="D336" s="885" t="s">
        <v>1181</v>
      </c>
      <c r="E336" s="70" t="s">
        <v>719</v>
      </c>
      <c r="H336" s="24"/>
    </row>
    <row r="337" spans="1:8">
      <c r="C337" s="151"/>
      <c r="D337" s="885"/>
    </row>
    <row r="338" spans="1:8">
      <c r="A338" t="s">
        <v>720</v>
      </c>
      <c r="B338" s="3" t="s">
        <v>721</v>
      </c>
      <c r="C338" s="1000">
        <f ca="1">MIN(element_B_base*B_sal_corr,element_B_max)</f>
        <v>4.0191597467000578E-8</v>
      </c>
      <c r="D338" s="885" t="s">
        <v>1184</v>
      </c>
      <c r="E338" s="70" t="s">
        <v>715</v>
      </c>
      <c r="H338" s="24"/>
    </row>
    <row r="339" spans="1:8">
      <c r="A339" s="885" t="s">
        <v>5478</v>
      </c>
      <c r="C339" s="1001">
        <f ca="1">element_B_new*gfd_per_mps</f>
        <v>8.5224101674315378E-2</v>
      </c>
      <c r="D339" s="885" t="s">
        <v>1950</v>
      </c>
      <c r="H339" s="42"/>
    </row>
    <row r="340" spans="1:8">
      <c r="A340" t="s">
        <v>1960</v>
      </c>
      <c r="B340" s="3" t="s">
        <v>1727</v>
      </c>
      <c r="C340" s="1000">
        <f ca="1">element_B_new-element_B</f>
        <v>-1.3755430300678781E-13</v>
      </c>
      <c r="D340" s="885" t="s">
        <v>1184</v>
      </c>
      <c r="H340" s="24"/>
    </row>
    <row r="341" spans="1:8">
      <c r="A341" t="s">
        <v>4269</v>
      </c>
      <c r="B341" s="3" t="s">
        <v>1728</v>
      </c>
      <c r="C341" s="999">
        <f ca="1">ABS(B_diff/element_B_new)</f>
        <v>3.4224641884345888E-6</v>
      </c>
      <c r="D341" s="885"/>
      <c r="H341" s="41"/>
    </row>
    <row r="342" spans="1:8">
      <c r="A342" t="s">
        <v>4271</v>
      </c>
      <c r="B342" s="3" t="s">
        <v>1729</v>
      </c>
      <c r="C342" s="1000">
        <f ca="1">element_B_new</f>
        <v>4.0191597467000578E-8</v>
      </c>
      <c r="D342" s="885" t="s">
        <v>1184</v>
      </c>
      <c r="E342" s="70" t="s">
        <v>1730</v>
      </c>
      <c r="H342" s="24"/>
    </row>
    <row r="344" spans="1:8" ht="14" thickBot="1">
      <c r="A344" s="2" t="s">
        <v>1963</v>
      </c>
    </row>
    <row r="345" spans="1:8">
      <c r="A345" s="885" t="s">
        <v>5479</v>
      </c>
      <c r="B345" s="3" t="s">
        <v>1964</v>
      </c>
      <c r="C345" s="995" t="str">
        <f>IF(P_net&lt;=0,"Warning: Driving pressure is zero or negative.  Try increasing feed pressure or using a booster pump. ","")</f>
        <v/>
      </c>
      <c r="E345" s="70" t="s">
        <v>1966</v>
      </c>
    </row>
    <row r="346" spans="1:8">
      <c r="A346" s="885" t="s">
        <v>5479</v>
      </c>
      <c r="C346" s="996" t="str">
        <f ca="1">IF(recovery&gt;max_recovery,"Warning: Recovery is too large in this element. Try decreasing feed pressure or applying throttle pressure to the vessel. ","")</f>
        <v/>
      </c>
    </row>
    <row r="347" spans="1:8">
      <c r="A347" s="885" t="s">
        <v>5479</v>
      </c>
      <c r="C347" s="996" t="str">
        <f ca="1">IF(conc_flow*gpm_per_m3s&lt;min_conc_flow_I,"Warning: Concentrate flow is too small in this element. Try decreasing feed pressure or increasing flow to this vessel. ","")</f>
        <v/>
      </c>
    </row>
    <row r="348" spans="1:8">
      <c r="A348" s="885" t="s">
        <v>5479</v>
      </c>
      <c r="C348" s="996" t="str">
        <f ca="1">IF(AND(max_deltaP_el_I&gt;0,deltaP*psi_per_atm&gt;max_deltaP_el_I),"Warning: Pressure drop is too large in this element. Try decreasing flow to this vessel. ","")</f>
        <v/>
      </c>
    </row>
    <row r="349" spans="1:8">
      <c r="A349" s="885" t="s">
        <v>5479</v>
      </c>
      <c r="C349" s="996" t="str">
        <f ca="1">IF(AND(deltaP_vessel*psi_per_atm&gt;max_deltaP_ves_I,max_deltaP_ves_I&gt;0),"Warning: Pressure drop is too large in this vessel. Try decreasing flow to the vessel. ","")</f>
        <v/>
      </c>
    </row>
    <row r="350" spans="1:8" ht="14" thickBot="1">
      <c r="A350" s="885" t="s">
        <v>5479</v>
      </c>
      <c r="C350" s="997" t="str">
        <f>IF(NOT(ISNUMBER(num_iterations)),"Warning: Calculation did not converge. ","")</f>
        <v/>
      </c>
    </row>
    <row r="352" spans="1:8">
      <c r="A352" t="s">
        <v>2211</v>
      </c>
      <c r="B352" s="3" t="s">
        <v>2212</v>
      </c>
      <c r="C352" s="77" t="b">
        <f t="array" aca="1" ref="C352" ca="1">AND(warnings="")</f>
        <v>1</v>
      </c>
      <c r="E352" s="70" t="s">
        <v>1965</v>
      </c>
    </row>
    <row r="353" spans="1:5">
      <c r="A353" t="s">
        <v>2213</v>
      </c>
      <c r="B353" s="3" t="s">
        <v>2214</v>
      </c>
      <c r="C353" s="77" t="str">
        <f ca="1">CONCATENATE(C345,C346,C347,C348,C349,C350)</f>
        <v/>
      </c>
      <c r="E353" s="70" t="s">
        <v>4002</v>
      </c>
    </row>
    <row r="355" spans="1:5">
      <c r="A355" s="1" t="s">
        <v>3573</v>
      </c>
    </row>
    <row r="356" spans="1:5">
      <c r="A356" s="14" t="s">
        <v>197</v>
      </c>
      <c r="B356" s="3" t="s">
        <v>198</v>
      </c>
      <c r="C356" s="106">
        <f>IF(P_net&lt;=0,-P_net*psi_per_atm,0)</f>
        <v>0</v>
      </c>
      <c r="D356" s="77" t="s">
        <v>3749</v>
      </c>
      <c r="E356" s="78" t="s">
        <v>378</v>
      </c>
    </row>
    <row r="357" spans="1:5">
      <c r="A357" s="14"/>
      <c r="D357" s="77"/>
      <c r="E357" s="78"/>
    </row>
    <row r="358" spans="1:5">
      <c r="A358" s="14" t="s">
        <v>199</v>
      </c>
      <c r="D358" s="77"/>
      <c r="E358" s="78" t="s">
        <v>379</v>
      </c>
    </row>
    <row r="359" spans="1:5">
      <c r="A359" s="14" t="s">
        <v>200</v>
      </c>
      <c r="B359" s="3" t="s">
        <v>201</v>
      </c>
      <c r="C359" s="127">
        <f ca="1">1-recovery/max_recovery</f>
        <v>0.40393125260896645</v>
      </c>
      <c r="D359" s="77"/>
      <c r="E359" s="78"/>
    </row>
    <row r="360" spans="1:5">
      <c r="A360" s="14" t="s">
        <v>2944</v>
      </c>
      <c r="B360" s="3" t="s">
        <v>2945</v>
      </c>
      <c r="C360" s="106">
        <f ca="1">IF(recovery&gt;max_recovery,psi_per_atm*largeY_pctchange*P_net_next,0)</f>
        <v>0</v>
      </c>
      <c r="D360" s="77" t="s">
        <v>3749</v>
      </c>
      <c r="E360" s="78"/>
    </row>
    <row r="361" spans="1:5">
      <c r="A361" s="14"/>
      <c r="D361" s="77"/>
      <c r="E361" s="78"/>
    </row>
    <row r="362" spans="1:5">
      <c r="A362" s="14" t="s">
        <v>2946</v>
      </c>
      <c r="D362" s="77"/>
      <c r="E362" s="78" t="s">
        <v>380</v>
      </c>
    </row>
    <row r="363" spans="1:5">
      <c r="A363" s="14" t="s">
        <v>2947</v>
      </c>
      <c r="B363" s="3" t="s">
        <v>2948</v>
      </c>
      <c r="C363" s="106">
        <f ca="1">MAX(0,min_conc_flow_I-conc_flow*gpm_per_m3s)</f>
        <v>0</v>
      </c>
      <c r="D363" s="77" t="s">
        <v>2193</v>
      </c>
      <c r="E363" s="78" t="s">
        <v>381</v>
      </c>
    </row>
    <row r="364" spans="1:5">
      <c r="A364" s="14" t="s">
        <v>2949</v>
      </c>
      <c r="B364" s="3" t="s">
        <v>2950</v>
      </c>
      <c r="C364" s="127">
        <f ca="1">-smallQconc_change/gpm_per_m3s/perm_flow</f>
        <v>0</v>
      </c>
      <c r="D364" s="77"/>
      <c r="E364" s="78"/>
    </row>
    <row r="365" spans="1:5">
      <c r="A365" s="14" t="s">
        <v>2944</v>
      </c>
      <c r="B365" s="3" t="s">
        <v>2951</v>
      </c>
      <c r="C365" s="106">
        <f ca="1">Qperm_pctchange_Qconc*P_net_next*psi_per_atm</f>
        <v>0</v>
      </c>
      <c r="D365" s="77" t="s">
        <v>3749</v>
      </c>
      <c r="E365" s="78"/>
    </row>
    <row r="366" spans="1:5">
      <c r="A366" s="14"/>
      <c r="D366" s="77"/>
      <c r="E366" s="78"/>
    </row>
    <row r="367" spans="1:5">
      <c r="A367" t="s">
        <v>2952</v>
      </c>
      <c r="D367" s="77"/>
      <c r="E367" s="78" t="s">
        <v>382</v>
      </c>
    </row>
    <row r="368" spans="1:5">
      <c r="A368" t="s">
        <v>2953</v>
      </c>
      <c r="B368" s="3" t="s">
        <v>2954</v>
      </c>
      <c r="C368" s="106">
        <f ca="1">(max_deltaP_el_I/element_dp_coeff_I/SQRT(avg_visc))^(1/element_dp_exp)</f>
        <v>86.802698846887537</v>
      </c>
      <c r="D368" s="77" t="s">
        <v>2193</v>
      </c>
      <c r="E368" s="77"/>
    </row>
    <row r="369" spans="1:5">
      <c r="A369" t="s">
        <v>2955</v>
      </c>
      <c r="B369" s="3" t="s">
        <v>2956</v>
      </c>
      <c r="C369" s="106">
        <f ca="1">IF(Qavg_max_dPel&gt;avg_flow*gpm_per_m3s,0,2*(flow_feed_I-Qavg_max_dPel))</f>
        <v>0</v>
      </c>
      <c r="D369" s="77" t="s">
        <v>2193</v>
      </c>
      <c r="E369" s="78" t="s">
        <v>383</v>
      </c>
    </row>
    <row r="370" spans="1:5">
      <c r="A370" s="14" t="s">
        <v>2949</v>
      </c>
      <c r="B370" s="3" t="s">
        <v>2957</v>
      </c>
      <c r="C370" s="127">
        <f ca="1">IF(Qperm_min_dPel=0,0,Qperm_min_dPel/gpm_per_m3s/perm_flow-1)</f>
        <v>0</v>
      </c>
      <c r="D370" s="77"/>
      <c r="E370" s="78"/>
    </row>
    <row r="371" spans="1:5">
      <c r="A371" t="s">
        <v>2958</v>
      </c>
      <c r="B371" s="3" t="s">
        <v>858</v>
      </c>
      <c r="C371" s="106">
        <f ca="1">Qperm_pctchange_dPel*P_net_next*psi_per_atm</f>
        <v>0</v>
      </c>
      <c r="D371" s="77" t="s">
        <v>3749</v>
      </c>
      <c r="E371" s="77"/>
    </row>
    <row r="372" spans="1:5">
      <c r="D372" s="77"/>
      <c r="E372" s="78"/>
    </row>
    <row r="373" spans="1:5">
      <c r="A373" t="s">
        <v>859</v>
      </c>
      <c r="D373" s="77"/>
      <c r="E373" s="78" t="s">
        <v>382</v>
      </c>
    </row>
    <row r="374" spans="1:5">
      <c r="A374" t="s">
        <v>860</v>
      </c>
      <c r="B374" s="3" t="s">
        <v>861</v>
      </c>
      <c r="C374" s="127">
        <f ca="1">IF(max_deltaP_ves_I=0,0,MAX(0,deltaP_vessel*psi_per_atm/max_deltaP_ves_I-1))</f>
        <v>0</v>
      </c>
      <c r="D374" s="77"/>
      <c r="E374" s="78" t="s">
        <v>384</v>
      </c>
    </row>
    <row r="375" spans="1:5">
      <c r="A375" t="s">
        <v>358</v>
      </c>
      <c r="B375" s="3" t="s">
        <v>359</v>
      </c>
      <c r="C375" s="127">
        <f ca="1">(1+dPves_pctchange)^(1/element_dp_exp)-1</f>
        <v>0</v>
      </c>
      <c r="D375" s="77"/>
      <c r="E375" s="77"/>
    </row>
    <row r="376" spans="1:5">
      <c r="A376" t="s">
        <v>360</v>
      </c>
      <c r="B376" s="3" t="s">
        <v>361</v>
      </c>
      <c r="C376" s="106">
        <f>flow_feed_ves_I-conc_flow*gpm_per_m3s</f>
        <v>15.686892799372806</v>
      </c>
      <c r="D376" s="77" t="s">
        <v>2193</v>
      </c>
      <c r="E376" s="77"/>
    </row>
    <row r="377" spans="1:5">
      <c r="A377" t="s">
        <v>362</v>
      </c>
      <c r="B377" s="3" t="s">
        <v>363</v>
      </c>
      <c r="C377" s="106">
        <f>Qperm_vessel_cur/LN(flow_feed_ves_I/conc_flow/gpm_per_m3s)</f>
        <v>25.768505674279591</v>
      </c>
      <c r="D377" s="77" t="s">
        <v>2193</v>
      </c>
      <c r="E377" s="77"/>
    </row>
    <row r="378" spans="1:5">
      <c r="A378" s="14" t="s">
        <v>364</v>
      </c>
      <c r="B378" s="3" t="s">
        <v>365</v>
      </c>
      <c r="C378" s="106">
        <f ca="1">Qavg_vessel_cur*Qavg_pctchange_dPves</f>
        <v>0</v>
      </c>
      <c r="D378" s="77" t="s">
        <v>2193</v>
      </c>
      <c r="E378" s="78"/>
    </row>
    <row r="379" spans="1:5">
      <c r="A379" s="14" t="s">
        <v>366</v>
      </c>
      <c r="B379" s="3" t="s">
        <v>367</v>
      </c>
      <c r="C379" s="106">
        <f ca="1">Qperm_incr_dPves*60*24/element_area_I/current_element_position</f>
        <v>0</v>
      </c>
      <c r="D379" s="77" t="s">
        <v>1950</v>
      </c>
      <c r="E379" s="77"/>
    </row>
    <row r="380" spans="1:5">
      <c r="A380" s="14" t="s">
        <v>368</v>
      </c>
      <c r="B380" s="3" t="s">
        <v>369</v>
      </c>
      <c r="C380" s="106">
        <f ca="1">flux_incr_dPves/(element_A_next*gfdpsi_per_msatm)</f>
        <v>0</v>
      </c>
      <c r="D380" s="77" t="s">
        <v>3749</v>
      </c>
      <c r="E380" s="78"/>
    </row>
    <row r="381" spans="1:5">
      <c r="A381" s="14"/>
      <c r="C381" s="106"/>
      <c r="D381" s="77"/>
      <c r="E381" s="78"/>
    </row>
    <row r="382" spans="1:5">
      <c r="A382" s="14" t="s">
        <v>370</v>
      </c>
      <c r="C382" s="106"/>
      <c r="D382" s="77"/>
      <c r="E382" s="78" t="s">
        <v>385</v>
      </c>
    </row>
    <row r="383" spans="1:5">
      <c r="A383" s="14" t="s">
        <v>371</v>
      </c>
      <c r="B383" s="3" t="s">
        <v>372</v>
      </c>
      <c r="C383" s="106">
        <f ca="1">element_dp_coeff*flow_feed^element_dp_exp*SQRT(avg_visc)*psi_per_atm</f>
        <v>1.3555391802851926</v>
      </c>
      <c r="D383" s="77" t="s">
        <v>3749</v>
      </c>
      <c r="E383" s="78" t="s">
        <v>430</v>
      </c>
    </row>
    <row r="384" spans="1:5">
      <c r="A384" s="14" t="s">
        <v>368</v>
      </c>
      <c r="B384" s="3" t="s">
        <v>373</v>
      </c>
      <c r="C384" s="106">
        <f>IF(NOT(ISNUMBER(num_iterations)),deltaP_remaining,0)</f>
        <v>0</v>
      </c>
      <c r="D384" s="77" t="s">
        <v>3749</v>
      </c>
      <c r="E384" s="78"/>
    </row>
    <row r="385" spans="1:5">
      <c r="A385" s="14"/>
      <c r="C385" s="106"/>
      <c r="D385" s="77"/>
      <c r="E385" s="78"/>
    </row>
    <row r="386" spans="1:5">
      <c r="A386" s="14" t="s">
        <v>2958</v>
      </c>
      <c r="B386" s="3" t="s">
        <v>374</v>
      </c>
      <c r="C386" s="106">
        <f ca="1">IF(AND(Pchange_negPnet=0,Pchange_large_dPel=0,Pchange_dPves=0,Pchange_conv=0),0,MIN(IF(Pchange_negPnet=0,99999,Pchange_negPnet),IF(Pchange_large_dPel=0,99999,Pchange_large_dPel),IF(Pchange_dPves=0,99999,Pchange_dPves),IF(Pchange_conv=0,99999,Pchange_conv)))</f>
        <v>0</v>
      </c>
      <c r="D386" s="77" t="s">
        <v>3749</v>
      </c>
      <c r="E386" s="78" t="s">
        <v>431</v>
      </c>
    </row>
    <row r="387" spans="1:5">
      <c r="A387" s="14" t="s">
        <v>2944</v>
      </c>
      <c r="B387" s="3" t="s">
        <v>375</v>
      </c>
      <c r="C387" s="106">
        <f ca="1">IF(AND(Pchange_largeY=0,Pchange_smallQconc=0),0,MAX(IF(Pchange_largeY=0,-99999,Pchange_largeY),IF(Pchange_smallQconc=0,-99999,Pchange_smallQconc)))</f>
        <v>0</v>
      </c>
      <c r="D387" s="77" t="s">
        <v>3749</v>
      </c>
      <c r="E387" s="78" t="s">
        <v>432</v>
      </c>
    </row>
    <row r="388" spans="1:5">
      <c r="A388" s="14" t="s">
        <v>376</v>
      </c>
      <c r="B388" s="3" t="s">
        <v>377</v>
      </c>
      <c r="C388" s="106">
        <f ca="1">IF(AND(P_incr_required&lt;&gt;0,P_decr_required&lt;&gt;0),"Can't find a fix",IF(P_incr_required&gt;0,P_incr_required,P_decr_required))</f>
        <v>0</v>
      </c>
      <c r="D388" s="77" t="s">
        <v>3749</v>
      </c>
      <c r="E388" s="78"/>
    </row>
    <row r="389" spans="1:5">
      <c r="A389" s="14"/>
    </row>
    <row r="390" spans="1:5">
      <c r="A390" t="s">
        <v>4003</v>
      </c>
      <c r="B390" s="3" t="s">
        <v>4004</v>
      </c>
      <c r="C390" s="77">
        <v>6</v>
      </c>
    </row>
    <row r="392" spans="1:5">
      <c r="E392" s="69"/>
    </row>
    <row r="393" spans="1:5">
      <c r="E393" s="69"/>
    </row>
    <row r="394" spans="1:5">
      <c r="E394" s="69"/>
    </row>
    <row r="395" spans="1:5">
      <c r="E395" s="69"/>
    </row>
    <row r="396" spans="1:5">
      <c r="E396" s="69"/>
    </row>
    <row r="397" spans="1:5">
      <c r="E397" s="69"/>
    </row>
    <row r="398" spans="1:5">
      <c r="E398" s="69"/>
    </row>
    <row r="399" spans="1:5">
      <c r="E399" s="69"/>
    </row>
    <row r="400" spans="1:5">
      <c r="E400" s="69"/>
    </row>
    <row r="401" spans="4:5">
      <c r="E401" s="69"/>
    </row>
    <row r="402" spans="4:5">
      <c r="E402" s="69"/>
    </row>
    <row r="403" spans="4:5">
      <c r="E403" s="69"/>
    </row>
    <row r="404" spans="4:5">
      <c r="D404" s="43"/>
      <c r="E404" s="74"/>
    </row>
    <row r="405" spans="4:5">
      <c r="D405" s="43"/>
      <c r="E405" s="74"/>
    </row>
    <row r="406" spans="4:5">
      <c r="D406" s="43"/>
      <c r="E406" s="74"/>
    </row>
    <row r="407" spans="4:5">
      <c r="D407" s="43"/>
      <c r="E407" s="74"/>
    </row>
    <row r="408" spans="4:5">
      <c r="D408" s="43"/>
      <c r="E408" s="74"/>
    </row>
    <row r="409" spans="4:5">
      <c r="D409" s="43"/>
      <c r="E409" s="74"/>
    </row>
    <row r="410" spans="4:5">
      <c r="D410" s="43"/>
      <c r="E410" s="74"/>
    </row>
    <row r="411" spans="4:5">
      <c r="D411" s="43"/>
      <c r="E411" s="74"/>
    </row>
    <row r="412" spans="4:5">
      <c r="D412" s="43"/>
      <c r="E412" s="74"/>
    </row>
    <row r="413" spans="4:5">
      <c r="D413" s="43"/>
      <c r="E413" s="74"/>
    </row>
    <row r="414" spans="4:5">
      <c r="D414" s="43"/>
      <c r="E414" s="74"/>
    </row>
    <row r="415" spans="4:5">
      <c r="D415" s="43"/>
      <c r="E415" s="74"/>
    </row>
    <row r="416" spans="4:5">
      <c r="D416" s="43"/>
      <c r="E416" s="74"/>
    </row>
    <row r="417" spans="4:5">
      <c r="D417" s="43"/>
      <c r="E417" s="74"/>
    </row>
    <row r="418" spans="4:5">
      <c r="D418" s="43"/>
      <c r="E418" s="74"/>
    </row>
    <row r="419" spans="4:5">
      <c r="D419" s="43"/>
      <c r="E419" s="74"/>
    </row>
    <row r="420" spans="4:5">
      <c r="D420" s="43"/>
      <c r="E420" s="74"/>
    </row>
    <row r="421" spans="4:5">
      <c r="D421" s="43"/>
      <c r="E421" s="74"/>
    </row>
    <row r="422" spans="4:5">
      <c r="D422" s="43"/>
      <c r="E422" s="74"/>
    </row>
    <row r="423" spans="4:5">
      <c r="D423" s="43"/>
      <c r="E423" s="74"/>
    </row>
    <row r="424" spans="4:5">
      <c r="D424" s="43"/>
      <c r="E424" s="74"/>
    </row>
    <row r="425" spans="4:5">
      <c r="D425" s="43"/>
      <c r="E425" s="74"/>
    </row>
    <row r="426" spans="4:5">
      <c r="D426" s="43"/>
      <c r="E426" s="74"/>
    </row>
    <row r="427" spans="4:5">
      <c r="D427" s="43"/>
      <c r="E427" s="74"/>
    </row>
    <row r="428" spans="4:5">
      <c r="D428" s="43"/>
      <c r="E428" s="74"/>
    </row>
    <row r="429" spans="4:5">
      <c r="D429" s="43"/>
      <c r="E429" s="74"/>
    </row>
    <row r="430" spans="4:5">
      <c r="D430" s="43"/>
      <c r="E430" s="74"/>
    </row>
    <row r="431" spans="4:5">
      <c r="D431" s="43"/>
      <c r="E431" s="74"/>
    </row>
    <row r="432" spans="4:5">
      <c r="D432" s="43"/>
      <c r="E432" s="74"/>
    </row>
    <row r="433" spans="4:5">
      <c r="D433" s="43"/>
      <c r="E433" s="74"/>
    </row>
    <row r="434" spans="4:5">
      <c r="D434" s="43"/>
      <c r="E434" s="74"/>
    </row>
    <row r="435" spans="4:5">
      <c r="D435" s="43"/>
      <c r="E435" s="74"/>
    </row>
    <row r="436" spans="4:5">
      <c r="D436" s="43"/>
      <c r="E436" s="74"/>
    </row>
    <row r="437" spans="4:5">
      <c r="D437" s="43"/>
      <c r="E437" s="74"/>
    </row>
    <row r="438" spans="4:5">
      <c r="D438" s="43"/>
      <c r="E438" s="74"/>
    </row>
    <row r="439" spans="4:5">
      <c r="D439" s="43"/>
      <c r="E439" s="74"/>
    </row>
    <row r="440" spans="4:5">
      <c r="D440" s="43"/>
      <c r="E440" s="74"/>
    </row>
    <row r="441" spans="4:5">
      <c r="D441" s="43"/>
      <c r="E441" s="74"/>
    </row>
    <row r="442" spans="4:5">
      <c r="D442" s="43"/>
      <c r="E442" s="74"/>
    </row>
    <row r="443" spans="4:5">
      <c r="D443" s="43"/>
      <c r="E443" s="74"/>
    </row>
    <row r="444" spans="4:5">
      <c r="D444" s="43"/>
      <c r="E444" s="74"/>
    </row>
    <row r="445" spans="4:5">
      <c r="D445" s="43"/>
      <c r="E445" s="74"/>
    </row>
    <row r="446" spans="4:5">
      <c r="D446" s="43"/>
      <c r="E446" s="74"/>
    </row>
    <row r="447" spans="4:5">
      <c r="D447" s="43"/>
      <c r="E447" s="74"/>
    </row>
    <row r="448" spans="4:5">
      <c r="D448" s="43"/>
      <c r="E448" s="74"/>
    </row>
    <row r="449" spans="4:5">
      <c r="D449" s="43"/>
      <c r="E449" s="74"/>
    </row>
    <row r="450" spans="4:5">
      <c r="D450" s="43"/>
      <c r="E450" s="74"/>
    </row>
    <row r="451" spans="4:5">
      <c r="D451" s="43"/>
      <c r="E451" s="74"/>
    </row>
    <row r="452" spans="4:5">
      <c r="D452" s="43"/>
      <c r="E452" s="74"/>
    </row>
    <row r="453" spans="4:5">
      <c r="D453" s="43"/>
      <c r="E453" s="74"/>
    </row>
    <row r="454" spans="4:5">
      <c r="D454" s="43"/>
      <c r="E454" s="74"/>
    </row>
    <row r="455" spans="4:5">
      <c r="D455" s="43"/>
      <c r="E455" s="74"/>
    </row>
    <row r="456" spans="4:5">
      <c r="D456" s="43"/>
      <c r="E456" s="74"/>
    </row>
    <row r="457" spans="4:5">
      <c r="D457" s="43"/>
      <c r="E457" s="74"/>
    </row>
    <row r="458" spans="4:5">
      <c r="D458" s="43"/>
      <c r="E458" s="74"/>
    </row>
    <row r="459" spans="4:5">
      <c r="D459" s="43"/>
      <c r="E459" s="74"/>
    </row>
    <row r="460" spans="4:5">
      <c r="D460" s="43"/>
      <c r="E460" s="74"/>
    </row>
    <row r="461" spans="4:5">
      <c r="D461" s="43"/>
      <c r="E461" s="74"/>
    </row>
    <row r="462" spans="4:5">
      <c r="D462" s="43"/>
      <c r="E462" s="74"/>
    </row>
    <row r="463" spans="4:5">
      <c r="D463" s="43"/>
      <c r="E463" s="74"/>
    </row>
    <row r="464" spans="4:5">
      <c r="D464" s="43"/>
      <c r="E464" s="74"/>
    </row>
    <row r="465" spans="4:5">
      <c r="D465" s="43"/>
      <c r="E465" s="74"/>
    </row>
    <row r="466" spans="4:5">
      <c r="D466" s="43"/>
      <c r="E466" s="74"/>
    </row>
    <row r="467" spans="4:5">
      <c r="D467" s="43"/>
      <c r="E467" s="74"/>
    </row>
    <row r="468" spans="4:5">
      <c r="D468" s="43"/>
      <c r="E468" s="74"/>
    </row>
    <row r="469" spans="4:5">
      <c r="D469" s="43"/>
      <c r="E469" s="74"/>
    </row>
    <row r="470" spans="4:5">
      <c r="D470" s="43"/>
      <c r="E470" s="74"/>
    </row>
    <row r="471" spans="4:5">
      <c r="D471" s="43"/>
      <c r="E471" s="74"/>
    </row>
    <row r="472" spans="4:5">
      <c r="D472" s="43"/>
      <c r="E472" s="74"/>
    </row>
    <row r="473" spans="4:5">
      <c r="D473" s="43"/>
      <c r="E473" s="74"/>
    </row>
    <row r="474" spans="4:5">
      <c r="D474" s="43"/>
      <c r="E474" s="74"/>
    </row>
    <row r="475" spans="4:5">
      <c r="D475" s="43"/>
      <c r="E475" s="74"/>
    </row>
    <row r="476" spans="4:5">
      <c r="D476" s="43"/>
      <c r="E476" s="74"/>
    </row>
    <row r="477" spans="4:5">
      <c r="D477" s="43"/>
      <c r="E477" s="74"/>
    </row>
    <row r="478" spans="4:5">
      <c r="D478" s="43"/>
      <c r="E478" s="74"/>
    </row>
    <row r="479" spans="4:5">
      <c r="D479" s="43"/>
      <c r="E479" s="74"/>
    </row>
  </sheetData>
  <mergeCells count="1">
    <mergeCell ref="E104:G106"/>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930" r:id="rId4" name="cmdSolveElement">
              <controlPr defaultSize="0" print="0" autoFill="0" autoPict="0" macro="[0]!Sheet18.cmdSolveElement_Click">
                <anchor moveWithCells="1" sizeWithCells="1">
                  <from>
                    <xdr:col>3</xdr:col>
                    <xdr:colOff>101600</xdr:colOff>
                    <xdr:row>52</xdr:row>
                    <xdr:rowOff>25400</xdr:rowOff>
                  </from>
                  <to>
                    <xdr:col>4</xdr:col>
                    <xdr:colOff>203200</xdr:colOff>
                    <xdr:row>53</xdr:row>
                    <xdr:rowOff>127000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E73"/>
  <sheetViews>
    <sheetView workbookViewId="0">
      <pane ySplit="3" topLeftCell="A31" activePane="bottomLeft" state="frozen"/>
      <selection activeCell="D45" sqref="D45"/>
      <selection pane="bottomLeft" activeCell="C73" sqref="C73"/>
    </sheetView>
  </sheetViews>
  <sheetFormatPr baseColWidth="10" defaultColWidth="9.1640625" defaultRowHeight="13"/>
  <cols>
    <col min="1" max="1" width="45" style="14" bestFit="1" customWidth="1"/>
    <col min="2" max="2" width="17.1640625" style="31" bestFit="1" customWidth="1"/>
    <col min="3" max="3" width="11.5" style="14" bestFit="1" customWidth="1"/>
    <col min="4" max="4" width="19.5" style="238" customWidth="1"/>
    <col min="5" max="5" width="9.1640625" style="214"/>
    <col min="6" max="16384" width="9.1640625" style="137"/>
  </cols>
  <sheetData>
    <row r="1" spans="1:5">
      <c r="A1" s="20" t="s">
        <v>5487</v>
      </c>
    </row>
    <row r="3" spans="1:5">
      <c r="A3" s="235" t="s">
        <v>5172</v>
      </c>
      <c r="B3" s="236" t="s">
        <v>1989</v>
      </c>
      <c r="C3" s="237" t="s">
        <v>1990</v>
      </c>
      <c r="D3" s="236" t="s">
        <v>2961</v>
      </c>
      <c r="E3" s="236" t="s">
        <v>1991</v>
      </c>
    </row>
    <row r="4" spans="1:5">
      <c r="A4" s="14" t="s">
        <v>4359</v>
      </c>
      <c r="C4" s="14">
        <f ca="1">op_trains</f>
        <v>2</v>
      </c>
      <c r="D4" s="238" t="s">
        <v>4355</v>
      </c>
      <c r="E4" s="214" t="s">
        <v>4345</v>
      </c>
    </row>
    <row r="5" spans="1:5">
      <c r="A5" s="14" t="s">
        <v>4381</v>
      </c>
      <c r="C5" s="14">
        <f>PVs_per_train_calc</f>
        <v>38</v>
      </c>
      <c r="D5" s="238" t="s">
        <v>2192</v>
      </c>
      <c r="E5" s="214" t="s">
        <v>4345</v>
      </c>
    </row>
    <row r="6" spans="1:5">
      <c r="A6" s="14" t="s">
        <v>4631</v>
      </c>
      <c r="B6" s="31" t="s">
        <v>4632</v>
      </c>
      <c r="C6" s="14">
        <f ca="1">op_trains</f>
        <v>2</v>
      </c>
      <c r="D6" s="238" t="s">
        <v>5488</v>
      </c>
      <c r="E6" s="214" t="s">
        <v>4633</v>
      </c>
    </row>
    <row r="7" spans="1:5">
      <c r="A7" s="14" t="s">
        <v>4385</v>
      </c>
      <c r="B7" s="31" t="s">
        <v>4393</v>
      </c>
      <c r="C7" s="14">
        <f ca="1">PVs_per_train_calc*op_trains</f>
        <v>76</v>
      </c>
      <c r="D7" s="238" t="s">
        <v>2192</v>
      </c>
    </row>
    <row r="8" spans="1:5">
      <c r="A8" s="14" t="s">
        <v>4634</v>
      </c>
      <c r="B8" s="31" t="s">
        <v>4635</v>
      </c>
      <c r="C8" s="14">
        <f ca="1">ROUNDUP(op_PVs/op_racks,0)</f>
        <v>38</v>
      </c>
      <c r="D8" s="238" t="s">
        <v>2192</v>
      </c>
      <c r="E8" s="214" t="s">
        <v>4636</v>
      </c>
    </row>
    <row r="9" spans="1:5">
      <c r="A9" s="14" t="s">
        <v>4392</v>
      </c>
      <c r="B9" s="31" t="s">
        <v>4390</v>
      </c>
      <c r="C9" s="14">
        <f ca="1">elements_per_train_calc*op_trains</f>
        <v>456</v>
      </c>
      <c r="D9" s="238" t="s">
        <v>2081</v>
      </c>
    </row>
    <row r="10" spans="1:5">
      <c r="A10" s="14" t="s">
        <v>4389</v>
      </c>
      <c r="B10" s="31" t="s">
        <v>4391</v>
      </c>
      <c r="C10" s="129">
        <f ca="1">area_per_train_calc*op_trains</f>
        <v>182400</v>
      </c>
      <c r="D10" s="238" t="s">
        <v>3331</v>
      </c>
    </row>
    <row r="12" spans="1:5">
      <c r="A12" s="14" t="s">
        <v>4386</v>
      </c>
      <c r="B12" s="31" t="s">
        <v>1871</v>
      </c>
      <c r="C12" s="14">
        <f>IF(redundancy_I="",0,VLOOKUP(redundancy_I,redundancy_table,2,FALSE))</f>
        <v>0</v>
      </c>
      <c r="D12" s="238" t="s">
        <v>4387</v>
      </c>
    </row>
    <row r="13" spans="1:5">
      <c r="A13" s="14" t="s">
        <v>4356</v>
      </c>
      <c r="B13" s="31" t="s">
        <v>4388</v>
      </c>
      <c r="C13" s="14">
        <f>IF(redundancy=1,NRD_trains,0)</f>
        <v>0</v>
      </c>
      <c r="D13" s="238" t="s">
        <v>4355</v>
      </c>
    </row>
    <row r="14" spans="1:5">
      <c r="A14" s="14" t="s">
        <v>4348</v>
      </c>
      <c r="B14" s="31" t="s">
        <v>4349</v>
      </c>
      <c r="C14" s="14">
        <f ca="1">op_trains+NRD_trains_used</f>
        <v>2</v>
      </c>
      <c r="D14" s="238" t="s">
        <v>4355</v>
      </c>
    </row>
    <row r="15" spans="1:5">
      <c r="A15" s="14" t="s">
        <v>4637</v>
      </c>
      <c r="B15" s="31" t="s">
        <v>4638</v>
      </c>
      <c r="C15" s="14">
        <f ca="1">total_trains</f>
        <v>2</v>
      </c>
      <c r="D15" s="238" t="s">
        <v>5488</v>
      </c>
      <c r="E15" s="214" t="s">
        <v>4633</v>
      </c>
    </row>
    <row r="16" spans="1:5">
      <c r="A16" s="14" t="s">
        <v>2736</v>
      </c>
      <c r="B16" s="31" t="s">
        <v>4344</v>
      </c>
      <c r="C16" s="14">
        <f ca="1">PVs_per_train_calc*total_trains</f>
        <v>76</v>
      </c>
      <c r="D16" s="238" t="s">
        <v>2192</v>
      </c>
    </row>
    <row r="17" spans="1:5">
      <c r="A17" s="14" t="s">
        <v>2738</v>
      </c>
      <c r="B17" s="31" t="s">
        <v>4153</v>
      </c>
      <c r="C17" s="14">
        <f ca="1">elements_per_train_calc*total_trains</f>
        <v>456</v>
      </c>
      <c r="D17" s="238" t="s">
        <v>2081</v>
      </c>
    </row>
    <row r="18" spans="1:5">
      <c r="A18" s="221" t="s">
        <v>2676</v>
      </c>
      <c r="B18" s="31" t="s">
        <v>3022</v>
      </c>
      <c r="C18" s="129">
        <f ca="1">total_elements*sys_element_area_I</f>
        <v>182400</v>
      </c>
      <c r="D18" s="238" t="s">
        <v>3331</v>
      </c>
    </row>
    <row r="20" spans="1:5">
      <c r="A20" s="32" t="s">
        <v>4639</v>
      </c>
    </row>
    <row r="21" spans="1:5">
      <c r="A21" s="14" t="s">
        <v>4410</v>
      </c>
      <c r="B21" s="31" t="s">
        <v>4409</v>
      </c>
      <c r="C21" s="14">
        <f ca="1">MIN(ROUND(SQRT(pv_per_rack*pv_arrangement_ratio),0),pv_rows_max)</f>
        <v>7</v>
      </c>
      <c r="D21" s="238" t="s">
        <v>5461</v>
      </c>
    </row>
    <row r="22" spans="1:5">
      <c r="A22" s="14" t="s">
        <v>4411</v>
      </c>
      <c r="B22" s="31" t="s">
        <v>4412</v>
      </c>
      <c r="C22" s="14">
        <f ca="1">ROUNDUP(pv_per_rack/PV_rows,0)</f>
        <v>6</v>
      </c>
      <c r="D22" s="238" t="s">
        <v>5462</v>
      </c>
    </row>
    <row r="23" spans="1:5">
      <c r="A23" s="14" t="s">
        <v>4413</v>
      </c>
      <c r="B23" s="31" t="s">
        <v>4414</v>
      </c>
      <c r="C23" s="14">
        <f ca="1">el_per_vess*sys_element_length/12</f>
        <v>20</v>
      </c>
      <c r="D23" s="238" t="s">
        <v>3065</v>
      </c>
    </row>
    <row r="24" spans="1:5">
      <c r="A24" s="14" t="s">
        <v>4640</v>
      </c>
      <c r="B24" s="31" t="s">
        <v>4415</v>
      </c>
      <c r="C24" s="14">
        <f ca="1">MIN(extra_rack_length,el_length_stg*short_PV_extra_length_max)</f>
        <v>0</v>
      </c>
      <c r="D24" s="238" t="s">
        <v>3065</v>
      </c>
      <c r="E24" s="214" t="s">
        <v>4709</v>
      </c>
    </row>
    <row r="25" spans="1:5" s="14" customFormat="1">
      <c r="A25" s="221" t="s">
        <v>4641</v>
      </c>
      <c r="B25" s="216" t="s">
        <v>4649</v>
      </c>
      <c r="C25" s="14">
        <f ca="1">el_length_stg+addl_length</f>
        <v>20</v>
      </c>
      <c r="D25" s="238" t="s">
        <v>3065</v>
      </c>
      <c r="E25" s="214"/>
    </row>
    <row r="26" spans="1:5" s="14" customFormat="1">
      <c r="A26" s="221" t="s">
        <v>4420</v>
      </c>
      <c r="B26" s="216" t="s">
        <v>4421</v>
      </c>
      <c r="C26" s="14">
        <f ca="1">CHOOSE(element_class,PV_spacing_4,PV_spacing_8,PV_spacing_16)</f>
        <v>1</v>
      </c>
      <c r="D26" s="238" t="s">
        <v>3065</v>
      </c>
      <c r="E26" s="214"/>
    </row>
    <row r="27" spans="1:5" s="14" customFormat="1">
      <c r="A27" s="221" t="s">
        <v>4642</v>
      </c>
      <c r="B27" s="216" t="s">
        <v>4422</v>
      </c>
      <c r="C27" s="14">
        <f>extra_rack_width</f>
        <v>0</v>
      </c>
      <c r="D27" s="238" t="s">
        <v>3065</v>
      </c>
      <c r="E27" s="214"/>
    </row>
    <row r="28" spans="1:5" s="14" customFormat="1">
      <c r="A28" s="221" t="s">
        <v>4643</v>
      </c>
      <c r="B28" s="216" t="s">
        <v>4650</v>
      </c>
      <c r="C28" s="466">
        <f ca="1">(sys_element_diam/12+sp_horiz)*PV_cols+C27</f>
        <v>10</v>
      </c>
      <c r="D28" s="238" t="s">
        <v>3065</v>
      </c>
      <c r="E28" s="214"/>
    </row>
    <row r="29" spans="1:5" s="14" customFormat="1">
      <c r="A29" s="221" t="s">
        <v>4423</v>
      </c>
      <c r="B29" s="216" t="s">
        <v>4424</v>
      </c>
      <c r="C29" s="14">
        <f ca="1">CHOOSE(element_class,PV_spacing_4,PV_spacing_8,PV_spacing_16)</f>
        <v>1</v>
      </c>
      <c r="D29" s="238" t="s">
        <v>3065</v>
      </c>
      <c r="E29" s="214"/>
    </row>
    <row r="30" spans="1:5" s="14" customFormat="1">
      <c r="A30" s="221" t="s">
        <v>4651</v>
      </c>
      <c r="B30" s="216" t="s">
        <v>4425</v>
      </c>
      <c r="C30" s="14">
        <f>extra_rack_height</f>
        <v>1</v>
      </c>
      <c r="D30" s="238" t="s">
        <v>3065</v>
      </c>
      <c r="E30" s="214"/>
    </row>
    <row r="31" spans="1:5" s="14" customFormat="1">
      <c r="A31" s="221" t="s">
        <v>4644</v>
      </c>
      <c r="B31" s="216" t="s">
        <v>4652</v>
      </c>
      <c r="C31" s="466">
        <f ca="1">(sys_element_diam/12+C29)*PV_rows+addl_height</f>
        <v>12.666666666666666</v>
      </c>
      <c r="D31" s="238" t="s">
        <v>3065</v>
      </c>
      <c r="E31" s="214"/>
    </row>
    <row r="32" spans="1:5" s="14" customFormat="1">
      <c r="A32" s="221"/>
      <c r="B32" s="216"/>
      <c r="C32" s="466"/>
      <c r="D32" s="238"/>
      <c r="E32" s="214"/>
    </row>
    <row r="33" spans="1:5" s="14" customFormat="1">
      <c r="A33" s="221" t="s">
        <v>4545</v>
      </c>
      <c r="B33" s="216" t="s">
        <v>4546</v>
      </c>
      <c r="C33" s="14">
        <f ca="1">IF(el_per_vess&gt;CHOOSE(element_class,short_max_el_4,short_max_el_8,short_max_el_16),2,1)</f>
        <v>2</v>
      </c>
      <c r="D33" s="238" t="s">
        <v>4548</v>
      </c>
      <c r="E33" s="214" t="s">
        <v>4547</v>
      </c>
    </row>
    <row r="34" spans="1:5" s="14" customFormat="1">
      <c r="A34" s="221" t="s">
        <v>4543</v>
      </c>
      <c r="B34" s="216" t="s">
        <v>4544</v>
      </c>
      <c r="C34" s="14">
        <f ca="1">IF(is_PV_long=1,CHOOSE(element_class,supports_short_4,supports_short_8,supports_short_16),CHOOSE(element_class,supports_long_4,supports_long_8,supports_long_16))</f>
        <v>3</v>
      </c>
      <c r="D34" s="238" t="s">
        <v>2192</v>
      </c>
      <c r="E34" s="214"/>
    </row>
    <row r="35" spans="1:5" s="14" customFormat="1">
      <c r="A35" s="221" t="s">
        <v>4710</v>
      </c>
      <c r="B35" s="216" t="s">
        <v>4711</v>
      </c>
      <c r="C35" s="14">
        <f ca="1">pv_supports*2</f>
        <v>6</v>
      </c>
      <c r="D35" s="238" t="s">
        <v>2192</v>
      </c>
      <c r="E35" s="214" t="s">
        <v>4712</v>
      </c>
    </row>
    <row r="36" spans="1:5" s="14" customFormat="1">
      <c r="A36" s="221" t="s">
        <v>4721</v>
      </c>
      <c r="B36" s="216" t="s">
        <v>4713</v>
      </c>
      <c r="C36" s="14">
        <f ca="1">vert_members-2</f>
        <v>4</v>
      </c>
      <c r="D36" s="238" t="s">
        <v>2192</v>
      </c>
      <c r="E36" s="214" t="s">
        <v>4714</v>
      </c>
    </row>
    <row r="37" spans="1:5" s="14" customFormat="1">
      <c r="A37" s="221" t="s">
        <v>4722</v>
      </c>
      <c r="B37" s="216" t="s">
        <v>4716</v>
      </c>
      <c r="C37" s="14">
        <f ca="1">rack_length/(vert_members/2-1)</f>
        <v>10</v>
      </c>
      <c r="D37" s="238" t="s">
        <v>3065</v>
      </c>
      <c r="E37" s="214"/>
    </row>
    <row r="38" spans="1:5" s="14" customFormat="1">
      <c r="A38" s="221" t="s">
        <v>4723</v>
      </c>
      <c r="B38" s="216" t="s">
        <v>4715</v>
      </c>
      <c r="C38" s="131">
        <f ca="1">SQRT(diag_horiz_length*diag_horiz_length+rack_height*rack_height)</f>
        <v>16.138291249213605</v>
      </c>
      <c r="D38" s="238" t="s">
        <v>3065</v>
      </c>
      <c r="E38" s="214"/>
    </row>
    <row r="39" spans="1:5" s="14" customFormat="1">
      <c r="A39" s="221" t="s">
        <v>4717</v>
      </c>
      <c r="B39" s="669" t="s">
        <v>4719</v>
      </c>
      <c r="C39" s="129">
        <f ca="1">4*rack_length+4*rack_width+vert_members*rack_height+diag_members*diag_length+pv_supports*PV_rows*rack_width</f>
        <v>470.55316499685443</v>
      </c>
      <c r="D39" s="238" t="s">
        <v>1169</v>
      </c>
      <c r="E39" s="214" t="s">
        <v>4720</v>
      </c>
    </row>
    <row r="40" spans="1:5" s="14" customFormat="1">
      <c r="A40" s="221" t="s">
        <v>4718</v>
      </c>
      <c r="B40" s="669" t="s">
        <v>4549</v>
      </c>
      <c r="C40" s="129">
        <f ca="1">rack_beam_length*total_racks</f>
        <v>941.10632999370887</v>
      </c>
      <c r="D40" s="238" t="s">
        <v>1169</v>
      </c>
      <c r="E40" s="214"/>
    </row>
    <row r="42" spans="1:5">
      <c r="A42" s="32" t="s">
        <v>4469</v>
      </c>
    </row>
    <row r="43" spans="1:5">
      <c r="A43" s="137" t="s">
        <v>4472</v>
      </c>
      <c r="B43" s="597" t="s">
        <v>4473</v>
      </c>
      <c r="C43" s="129">
        <f>MAX(P_feed_v)*(1+PV_rating_sf)</f>
        <v>244.21399696551566</v>
      </c>
      <c r="D43" s="238" t="s">
        <v>3749</v>
      </c>
      <c r="E43" s="214" t="s">
        <v>4476</v>
      </c>
    </row>
    <row r="44" spans="1:5">
      <c r="A44" s="14" t="s">
        <v>4470</v>
      </c>
      <c r="B44" s="31" t="s">
        <v>4471</v>
      </c>
      <c r="C44" s="14">
        <f>VLOOKUP(PV_rating_req,pv_rating_table_cl,2)</f>
        <v>300</v>
      </c>
      <c r="D44" s="238" t="s">
        <v>3749</v>
      </c>
      <c r="E44" s="214" t="s">
        <v>4542</v>
      </c>
    </row>
    <row r="45" spans="1:5">
      <c r="A45" s="14" t="s">
        <v>4465</v>
      </c>
      <c r="B45" s="31" t="s">
        <v>4459</v>
      </c>
      <c r="C45" s="14">
        <f ca="1">total_PVs*conn_feed_PV</f>
        <v>152</v>
      </c>
      <c r="D45" s="238" t="s">
        <v>2192</v>
      </c>
    </row>
    <row r="46" spans="1:5">
      <c r="A46" s="14" t="s">
        <v>4462</v>
      </c>
      <c r="B46" s="31" t="s">
        <v>4463</v>
      </c>
      <c r="C46" s="14">
        <f ca="1">total_PVs*conn_perm_PV</f>
        <v>0</v>
      </c>
      <c r="D46" s="238" t="s">
        <v>2192</v>
      </c>
    </row>
    <row r="47" spans="1:5">
      <c r="A47" s="14" t="s">
        <v>4464</v>
      </c>
      <c r="B47" s="31" t="s">
        <v>4466</v>
      </c>
      <c r="C47" s="14">
        <f ca="1">CHOOSE(element_class, feed_port_diam_4, feed_port_diam_8, feed_port_diam_16)</f>
        <v>1.5</v>
      </c>
      <c r="D47" s="238" t="s">
        <v>1951</v>
      </c>
    </row>
    <row r="48" spans="1:5">
      <c r="A48" s="14" t="s">
        <v>4468</v>
      </c>
      <c r="B48" s="31" t="s">
        <v>4467</v>
      </c>
      <c r="C48" s="14">
        <f ca="1">CHOOSE(element_class, perm_port_diam_4, perm_port_diam_8, perm_port_diam_16)</f>
        <v>1</v>
      </c>
      <c r="D48" s="238" t="s">
        <v>1951</v>
      </c>
    </row>
    <row r="50" spans="1:5">
      <c r="A50" s="14" t="s">
        <v>4497</v>
      </c>
      <c r="B50" s="31" t="s">
        <v>4498</v>
      </c>
      <c r="C50" s="428">
        <f ca="1">VLOOKUP(PV_rating, CHOOSE(element_class, pv4_base_cost_cl, pv8_base_cost_cl, pv1618_base_cost_cl), 3)</f>
        <v>633.19205106949892</v>
      </c>
      <c r="E50" s="214" t="s">
        <v>4499</v>
      </c>
    </row>
    <row r="51" spans="1:5">
      <c r="A51" s="14" t="s">
        <v>4500</v>
      </c>
      <c r="B51" s="31" t="s">
        <v>4501</v>
      </c>
      <c r="C51" s="428">
        <f ca="1">VLOOKUP(PV_rating, CHOOSE(element_class, pv4_element_cost_cl, pv8_element_cost_cl, pv1618_element_cost_cl), 3)</f>
        <v>115.6628002922469</v>
      </c>
      <c r="D51" s="1005" t="s">
        <v>2497</v>
      </c>
    </row>
    <row r="52" spans="1:5">
      <c r="A52" s="14" t="s">
        <v>4502</v>
      </c>
      <c r="B52" s="31" t="s">
        <v>4503</v>
      </c>
      <c r="C52" s="428">
        <f ca="1">IF(AND(ISNUMBER(pv_base_cost),ISNUMBER(pv_element_cost)), pv_base_cost+pv_element_cost*el_per_vess, "contact vendor")</f>
        <v>1327.1688528229802</v>
      </c>
    </row>
    <row r="54" spans="1:5">
      <c r="A54" s="32" t="s">
        <v>4645</v>
      </c>
    </row>
    <row r="55" spans="1:5">
      <c r="A55" s="14" t="s">
        <v>4698</v>
      </c>
      <c r="B55" s="31" t="s">
        <v>4699</v>
      </c>
      <c r="C55" s="129">
        <f ca="1">((stg_1 feed_flow_v)*nves_1+(stg_2 feed_flow_v)*nves_2+(stg_3 feed_flow_v)*nves_3)/(nves_1+nves_2+nves_3)</f>
        <v>37.987729475773676</v>
      </c>
      <c r="D55" s="238" t="s">
        <v>2193</v>
      </c>
    </row>
    <row r="56" spans="1:5">
      <c r="A56" s="14" t="s">
        <v>4555</v>
      </c>
      <c r="B56" s="31" t="s">
        <v>4556</v>
      </c>
      <c r="C56" s="129">
        <f ca="1">cols_per_feed_hdr*Qfeed_PV_avg*PV_rows</f>
        <v>531.82821266083147</v>
      </c>
      <c r="D56" s="238" t="s">
        <v>2193</v>
      </c>
      <c r="E56" s="214" t="s">
        <v>4704</v>
      </c>
    </row>
    <row r="57" spans="1:5">
      <c r="A57" s="14" t="s">
        <v>4562</v>
      </c>
      <c r="B57" s="31" t="s">
        <v>4557</v>
      </c>
      <c r="C57" s="14">
        <f ca="1">VLOOKUP(Qfeed_hdr,pipe_size_table_cl,2)</f>
        <v>6</v>
      </c>
      <c r="D57" s="238" t="s">
        <v>1951</v>
      </c>
    </row>
    <row r="58" spans="1:5">
      <c r="A58" s="14" t="s">
        <v>4646</v>
      </c>
      <c r="B58" s="31" t="s">
        <v>4558</v>
      </c>
      <c r="C58" s="466">
        <f ca="1">pv_per_rack*4</f>
        <v>152</v>
      </c>
      <c r="D58" s="238" t="s">
        <v>1777</v>
      </c>
      <c r="E58" s="214" t="s">
        <v>5075</v>
      </c>
    </row>
    <row r="59" spans="1:5">
      <c r="A59" s="14" t="s">
        <v>4700</v>
      </c>
      <c r="B59" s="31" t="s">
        <v>4701</v>
      </c>
      <c r="C59" s="129">
        <f ca="1">((stg_1 perm_flow_v)*nves_1+(stg_2 perm_flow_v)*nves_2+(stg_3 perm_flow_v)*nves_3)/(nves_1+nves_2+nves_3)</f>
        <v>19.815486286974721</v>
      </c>
      <c r="D59" s="238" t="s">
        <v>2193</v>
      </c>
    </row>
    <row r="60" spans="1:5">
      <c r="A60" s="14" t="s">
        <v>4550</v>
      </c>
      <c r="B60" s="31" t="s">
        <v>4553</v>
      </c>
      <c r="C60" s="129">
        <f ca="1">cols_per_perm_hdr*Qperm_PV_avg*PV_rows</f>
        <v>277.41680801764608</v>
      </c>
      <c r="D60" s="238" t="s">
        <v>2193</v>
      </c>
      <c r="E60" s="137"/>
    </row>
    <row r="61" spans="1:5">
      <c r="A61" s="14" t="s">
        <v>4551</v>
      </c>
      <c r="B61" s="31" t="s">
        <v>4552</v>
      </c>
      <c r="C61" s="14">
        <f ca="1">VLOOKUP(Qperm_hdr,pipe_size_table_cl,2)</f>
        <v>6</v>
      </c>
      <c r="D61" s="238" t="s">
        <v>1951</v>
      </c>
    </row>
    <row r="62" spans="1:5">
      <c r="A62" s="14" t="s">
        <v>4647</v>
      </c>
      <c r="B62" s="31" t="s">
        <v>4554</v>
      </c>
      <c r="C62" s="466">
        <f ca="1">pv_per_rack*4</f>
        <v>152</v>
      </c>
      <c r="D62" s="238" t="s">
        <v>1777</v>
      </c>
      <c r="E62" s="214" t="s">
        <v>5075</v>
      </c>
    </row>
    <row r="63" spans="1:5">
      <c r="A63" s="14" t="s">
        <v>4702</v>
      </c>
      <c r="B63" s="31" t="s">
        <v>4703</v>
      </c>
      <c r="C63" s="129">
        <f ca="1">((stg_1 conc_flow_v)*nves_1+(stg_2 conc_flow_v)*nves_2+(stg_3 conc_flow_v)*nves_3)/(nves_1+nves_2+nves_3)</f>
        <v>18.172243188799001</v>
      </c>
      <c r="D63" s="238" t="s">
        <v>2193</v>
      </c>
    </row>
    <row r="64" spans="1:5">
      <c r="A64" s="14" t="s">
        <v>4563</v>
      </c>
      <c r="B64" s="31" t="s">
        <v>4559</v>
      </c>
      <c r="C64" s="129">
        <f ca="1">cols_per_conc_hdr*Qconc_PV_avg*PV_rows</f>
        <v>254.41140464318602</v>
      </c>
      <c r="D64" s="238" t="s">
        <v>2193</v>
      </c>
    </row>
    <row r="65" spans="1:5">
      <c r="A65" s="14" t="s">
        <v>4564</v>
      </c>
      <c r="B65" s="31" t="s">
        <v>4560</v>
      </c>
      <c r="C65" s="14">
        <f ca="1">VLOOKUP(Qconc_hdr,pipe_size_table_cl,2)</f>
        <v>6</v>
      </c>
      <c r="D65" s="238" t="s">
        <v>1951</v>
      </c>
    </row>
    <row r="66" spans="1:5">
      <c r="A66" s="14" t="s">
        <v>4648</v>
      </c>
      <c r="B66" s="31" t="s">
        <v>4561</v>
      </c>
      <c r="C66" s="466">
        <f ca="1">pv_per_rack*4</f>
        <v>152</v>
      </c>
      <c r="D66" s="238" t="s">
        <v>1777</v>
      </c>
      <c r="E66" s="214" t="s">
        <v>5075</v>
      </c>
    </row>
    <row r="67" spans="1:5">
      <c r="C67" s="466"/>
    </row>
    <row r="68" spans="1:5">
      <c r="A68" s="14" t="s">
        <v>4572</v>
      </c>
      <c r="B68" s="31" t="s">
        <v>4574</v>
      </c>
      <c r="C68" s="466">
        <f ca="1">feed_hdr_length*total_racks</f>
        <v>304</v>
      </c>
      <c r="D68" s="238" t="s">
        <v>1777</v>
      </c>
    </row>
    <row r="69" spans="1:5">
      <c r="A69" s="14" t="s">
        <v>4571</v>
      </c>
      <c r="B69" s="31" t="s">
        <v>4575</v>
      </c>
      <c r="C69" s="466">
        <f ca="1">perm_hdr_length*total_racks</f>
        <v>304</v>
      </c>
      <c r="D69" s="238" t="s">
        <v>1777</v>
      </c>
    </row>
    <row r="70" spans="1:5">
      <c r="A70" s="14" t="s">
        <v>4573</v>
      </c>
      <c r="B70" s="31" t="s">
        <v>4576</v>
      </c>
      <c r="C70" s="466">
        <f ca="1">conc_hdr_length*total_racks</f>
        <v>304</v>
      </c>
      <c r="D70" s="238" t="s">
        <v>1777</v>
      </c>
    </row>
    <row r="72" spans="1:5">
      <c r="A72" s="32" t="s">
        <v>2967</v>
      </c>
    </row>
    <row r="73" spans="1:5" s="886" customFormat="1">
      <c r="A73" s="238" t="s">
        <v>3861</v>
      </c>
      <c r="B73" s="31" t="s">
        <v>2966</v>
      </c>
      <c r="C73" s="1092">
        <f ca="1">VLOOKUP(sys_element_name,nfro_element_cost_cl,3,FALSE)*sys_element_area_I</f>
        <v>480</v>
      </c>
      <c r="D73" s="238" t="s">
        <v>2497</v>
      </c>
      <c r="E73" s="20"/>
    </row>
  </sheetData>
  <phoneticPr fontId="0" type="noConversion"/>
  <pageMargins left="0.75" right="0.75" top="1" bottom="1" header="0.5" footer="0.5"/>
  <pageSetup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135"/>
  <sheetViews>
    <sheetView workbookViewId="0">
      <pane ySplit="3" topLeftCell="A4" activePane="bottomLeft" state="frozen"/>
      <selection activeCell="B46" sqref="B46"/>
      <selection pane="bottomLeft"/>
    </sheetView>
  </sheetViews>
  <sheetFormatPr baseColWidth="10" defaultColWidth="9.1640625" defaultRowHeight="13"/>
  <cols>
    <col min="1" max="1" width="52.5" style="77" customWidth="1"/>
    <col min="2" max="2" width="23.5" style="67" customWidth="1"/>
    <col min="3" max="3" width="15.5" style="77" customWidth="1"/>
    <col min="4" max="4" width="16.5" style="238" customWidth="1"/>
    <col min="5" max="5" width="9.1640625" style="78"/>
    <col min="6" max="9" width="9.1640625" style="77"/>
    <col min="10" max="10" width="10.5" style="77" customWidth="1"/>
    <col min="11" max="11" width="9.1640625" style="77"/>
    <col min="12" max="12" width="10.5" style="77" customWidth="1"/>
    <col min="13" max="15" width="9.1640625" style="77"/>
    <col min="16" max="16" width="30" style="77" customWidth="1"/>
    <col min="17" max="17" width="18.5" style="77" bestFit="1" customWidth="1"/>
    <col min="18" max="18" width="13.5" style="77" bestFit="1" customWidth="1"/>
    <col min="19" max="19" width="9.1640625" style="77"/>
    <col min="20" max="20" width="9.1640625" style="151"/>
    <col min="21" max="16384" width="9.1640625" style="77"/>
  </cols>
  <sheetData>
    <row r="1" spans="1:20">
      <c r="A1" s="20" t="s">
        <v>5468</v>
      </c>
    </row>
    <row r="2" spans="1:20">
      <c r="A2" s="20"/>
    </row>
    <row r="3" spans="1:20">
      <c r="A3" s="235" t="s">
        <v>5172</v>
      </c>
      <c r="B3" s="236" t="s">
        <v>1989</v>
      </c>
      <c r="C3" s="237" t="s">
        <v>1990</v>
      </c>
      <c r="D3" s="236" t="s">
        <v>2961</v>
      </c>
      <c r="E3" s="236" t="s">
        <v>1991</v>
      </c>
    </row>
    <row r="4" spans="1:20">
      <c r="A4" s="101" t="s">
        <v>52</v>
      </c>
      <c r="E4" s="78" t="s">
        <v>4673</v>
      </c>
      <c r="Q4" s="97"/>
      <c r="S4" s="79"/>
    </row>
    <row r="5" spans="1:20">
      <c r="A5" s="77" t="s">
        <v>51</v>
      </c>
      <c r="B5" s="67" t="s">
        <v>4067</v>
      </c>
      <c r="C5" s="230">
        <f ca="1">MIN(num_vess_1_out,pv_per_rack)</f>
        <v>25</v>
      </c>
      <c r="D5" s="238" t="s">
        <v>4068</v>
      </c>
      <c r="E5" s="78" t="s">
        <v>4674</v>
      </c>
      <c r="Q5" s="97"/>
      <c r="S5" s="79"/>
      <c r="T5" s="84"/>
    </row>
    <row r="6" spans="1:20">
      <c r="A6" s="77" t="s">
        <v>2502</v>
      </c>
      <c r="B6" s="67" t="s">
        <v>2501</v>
      </c>
      <c r="C6" s="77">
        <f ca="1">MAX(MIN(cleaning_freq_SDI2-cleaning_freq_change*(feed_sdi-2),cleaning_freq_max),cleaning_freq_min)</f>
        <v>3</v>
      </c>
      <c r="D6" s="238" t="s">
        <v>4124</v>
      </c>
      <c r="E6" s="78" t="s">
        <v>2035</v>
      </c>
      <c r="Q6" s="97"/>
      <c r="S6" s="79"/>
      <c r="T6" s="84"/>
    </row>
    <row r="7" spans="1:20">
      <c r="A7" s="77" t="s">
        <v>2503</v>
      </c>
      <c r="B7" s="67" t="s">
        <v>2504</v>
      </c>
      <c r="C7" s="77">
        <f ca="1">IF(clean_interval_override&gt;0,clean_interval_override,default_cleaning_interval)</f>
        <v>3</v>
      </c>
      <c r="D7" s="238" t="s">
        <v>4124</v>
      </c>
      <c r="Q7" s="97"/>
      <c r="S7" s="79"/>
      <c r="T7" s="84"/>
    </row>
    <row r="8" spans="1:20">
      <c r="A8" s="77" t="s">
        <v>1053</v>
      </c>
      <c r="B8" s="67" t="s">
        <v>1054</v>
      </c>
      <c r="C8" s="293">
        <f ca="1">cleaning_cycle/(cleaning_interval*30)</f>
        <v>2.2222222222222223E-2</v>
      </c>
      <c r="Q8" s="97"/>
      <c r="S8" s="79"/>
      <c r="T8" s="84"/>
    </row>
    <row r="9" spans="1:20">
      <c r="A9" s="77" t="s">
        <v>1055</v>
      </c>
      <c r="B9" s="67" t="s">
        <v>4066</v>
      </c>
      <c r="C9" s="230">
        <f ca="1">ROUNDUP(clean_offline_frac*total_racks,0)</f>
        <v>1</v>
      </c>
      <c r="D9" s="238" t="s">
        <v>5491</v>
      </c>
      <c r="E9" s="78" t="s">
        <v>4675</v>
      </c>
      <c r="Q9" s="97"/>
      <c r="S9" s="79"/>
      <c r="T9" s="84"/>
    </row>
    <row r="10" spans="1:20">
      <c r="A10" s="77" t="s">
        <v>2509</v>
      </c>
      <c r="B10" s="67" t="s">
        <v>2120</v>
      </c>
      <c r="C10" s="230">
        <f>IF(clean_acid&gt;0,1,0)+IF(clean_high_pH&gt;0,1,0)</f>
        <v>2</v>
      </c>
      <c r="D10" s="238" t="s">
        <v>5492</v>
      </c>
      <c r="E10" s="78" t="s">
        <v>2513</v>
      </c>
      <c r="Q10" s="97"/>
      <c r="S10" s="79"/>
      <c r="T10" s="84"/>
    </row>
    <row r="11" spans="1:20">
      <c r="C11" s="230"/>
      <c r="Q11" s="97"/>
      <c r="S11" s="79"/>
      <c r="T11" s="84"/>
    </row>
    <row r="12" spans="1:20">
      <c r="A12" s="101" t="s">
        <v>53</v>
      </c>
      <c r="C12" s="230"/>
      <c r="Q12" s="97"/>
      <c r="S12" s="79"/>
      <c r="T12" s="84"/>
    </row>
    <row r="13" spans="1:20">
      <c r="A13" s="77" t="s">
        <v>4477</v>
      </c>
      <c r="B13" s="67" t="s">
        <v>2787</v>
      </c>
      <c r="C13" s="100">
        <f ca="1">sys_element_diam</f>
        <v>8</v>
      </c>
      <c r="D13" s="238" t="s">
        <v>2156</v>
      </c>
      <c r="Q13" s="97"/>
      <c r="S13" s="79"/>
      <c r="T13" s="84"/>
    </row>
    <row r="14" spans="1:20">
      <c r="A14" s="77" t="s">
        <v>54</v>
      </c>
      <c r="B14" s="67" t="s">
        <v>2788</v>
      </c>
      <c r="C14" s="100">
        <f ca="1">sys_element_length*el_per_vess</f>
        <v>240</v>
      </c>
      <c r="D14" s="238" t="s">
        <v>2156</v>
      </c>
      <c r="Q14" s="97"/>
      <c r="R14" s="86"/>
      <c r="S14" s="79"/>
    </row>
    <row r="15" spans="1:20">
      <c r="A15" s="77" t="s">
        <v>55</v>
      </c>
      <c r="B15" s="67" t="s">
        <v>2789</v>
      </c>
      <c r="C15" s="100">
        <f ca="1">PI()/4*vessel_diameter*vessel_diameter*vessel_length*0.004329</f>
        <v>52.223825653978423</v>
      </c>
      <c r="D15" s="238" t="s">
        <v>1970</v>
      </c>
      <c r="E15" s="78" t="s">
        <v>1854</v>
      </c>
      <c r="Q15" s="97"/>
      <c r="R15" s="127"/>
      <c r="S15" s="78"/>
    </row>
    <row r="16" spans="1:20">
      <c r="A16" s="151" t="s">
        <v>56</v>
      </c>
      <c r="B16" s="67" t="s">
        <v>2790</v>
      </c>
      <c r="C16" s="98">
        <f ca="1">vol_vessel*pv_clean_sys</f>
        <v>1305.5956413494605</v>
      </c>
      <c r="D16" s="238" t="s">
        <v>1970</v>
      </c>
      <c r="Q16" s="97"/>
      <c r="R16" s="127"/>
      <c r="S16" s="78"/>
    </row>
    <row r="17" spans="1:20">
      <c r="A17" s="77" t="s">
        <v>57</v>
      </c>
      <c r="B17" s="67" t="s">
        <v>2791</v>
      </c>
      <c r="C17" s="98">
        <f ca="1">tot_vessel_vol*pipe_vol_frac</f>
        <v>65.279782067473022</v>
      </c>
      <c r="D17" s="238" t="s">
        <v>1970</v>
      </c>
      <c r="Q17" s="97"/>
      <c r="R17" s="127"/>
      <c r="S17" s="79"/>
      <c r="T17" s="84"/>
    </row>
    <row r="18" spans="1:20">
      <c r="A18" s="77" t="s">
        <v>3499</v>
      </c>
      <c r="B18" s="75" t="s">
        <v>4069</v>
      </c>
      <c r="C18" s="98">
        <f ca="1">ROUNDUP(tot_vessel_vol+vol_clean_pipes,0)</f>
        <v>1371</v>
      </c>
      <c r="D18" s="238" t="s">
        <v>1970</v>
      </c>
      <c r="Q18" s="97"/>
      <c r="R18" s="127"/>
      <c r="S18" s="79"/>
      <c r="T18" s="84"/>
    </row>
    <row r="19" spans="1:20">
      <c r="A19" s="77" t="s">
        <v>1732</v>
      </c>
      <c r="B19" s="67" t="s">
        <v>4074</v>
      </c>
      <c r="C19" s="77">
        <f ca="1">chem_per_sys*num_clean_sys</f>
        <v>2</v>
      </c>
      <c r="D19" s="238" t="s">
        <v>2192</v>
      </c>
    </row>
    <row r="20" spans="1:20">
      <c r="C20" s="226"/>
      <c r="Q20" s="97"/>
      <c r="R20" s="127"/>
      <c r="S20" s="79"/>
      <c r="T20" s="84"/>
    </row>
    <row r="21" spans="1:20">
      <c r="A21" s="77" t="s">
        <v>2067</v>
      </c>
      <c r="B21" s="67" t="s">
        <v>2068</v>
      </c>
      <c r="C21" s="77">
        <f ca="1">CHOOSE(element_class, high_circ_flow_PV_4, high_circ_flow_PV_8, high_circ_flow_PV_16)</f>
        <v>35</v>
      </c>
      <c r="D21" s="238" t="s">
        <v>2069</v>
      </c>
      <c r="Q21" s="97"/>
      <c r="R21" s="127"/>
      <c r="S21" s="79"/>
      <c r="T21" s="84"/>
    </row>
    <row r="22" spans="1:20">
      <c r="A22" s="77" t="s">
        <v>401</v>
      </c>
      <c r="B22" s="67" t="s">
        <v>402</v>
      </c>
      <c r="C22" s="226">
        <f ca="1">high_circ_flow_PV*pv_clean_sys</f>
        <v>875</v>
      </c>
      <c r="D22" s="238" t="s">
        <v>2193</v>
      </c>
      <c r="Q22" s="97"/>
      <c r="R22" s="127"/>
      <c r="S22" s="79"/>
      <c r="T22" s="84"/>
    </row>
    <row r="23" spans="1:20">
      <c r="C23" s="226"/>
      <c r="Q23" s="97"/>
      <c r="R23" s="127"/>
      <c r="S23" s="79"/>
      <c r="T23" s="84"/>
    </row>
    <row r="24" spans="1:20" s="14" customFormat="1">
      <c r="A24" s="14" t="s">
        <v>120</v>
      </c>
      <c r="B24" s="669" t="s">
        <v>121</v>
      </c>
      <c r="C24" s="750">
        <f>VLOOKUP(10^6,chem_pump_cost_cl,1)-0.01</f>
        <v>12180</v>
      </c>
      <c r="D24" s="238" t="s">
        <v>1040</v>
      </c>
      <c r="E24" s="214" t="s">
        <v>2115</v>
      </c>
      <c r="T24" s="238"/>
    </row>
    <row r="25" spans="1:20" s="14" customFormat="1">
      <c r="A25" s="221" t="s">
        <v>4240</v>
      </c>
      <c r="B25" s="751" t="s">
        <v>4241</v>
      </c>
      <c r="C25" s="745">
        <f>VLOOKUP(10^6,ptfe_imm_htr_cost_cl,1)-0.1</f>
        <v>24</v>
      </c>
      <c r="D25" s="238" t="s">
        <v>821</v>
      </c>
      <c r="E25" s="46" t="s">
        <v>4242</v>
      </c>
      <c r="T25" s="238"/>
    </row>
    <row r="26" spans="1:20" s="14" customFormat="1">
      <c r="A26" s="221" t="s">
        <v>395</v>
      </c>
      <c r="B26" s="751" t="s">
        <v>396</v>
      </c>
      <c r="C26" s="745">
        <f>VLOOKUP(10^6,simplex_prescreen_cost_cl,1)-1</f>
        <v>6000</v>
      </c>
      <c r="D26" s="238" t="s">
        <v>2193</v>
      </c>
      <c r="E26" s="46" t="s">
        <v>397</v>
      </c>
      <c r="T26" s="238"/>
    </row>
    <row r="27" spans="1:20">
      <c r="A27" s="229" t="s">
        <v>2070</v>
      </c>
      <c r="B27" s="75" t="s">
        <v>2123</v>
      </c>
      <c r="C27" s="229">
        <f ca="1">high_circ_flow*60</f>
        <v>52500</v>
      </c>
      <c r="D27" s="633" t="s">
        <v>1040</v>
      </c>
    </row>
    <row r="28" spans="1:20">
      <c r="A28" s="229" t="s">
        <v>2121</v>
      </c>
      <c r="B28" s="75" t="s">
        <v>2122</v>
      </c>
      <c r="C28" s="229">
        <f ca="1">ROUNDUP(total_chem_pump_gph/max_chem_pump_size,0)</f>
        <v>5</v>
      </c>
      <c r="D28" s="633" t="s">
        <v>2119</v>
      </c>
    </row>
    <row r="29" spans="1:20">
      <c r="A29" s="229" t="s">
        <v>2118</v>
      </c>
      <c r="B29" s="75" t="s">
        <v>2117</v>
      </c>
      <c r="C29" s="229">
        <f ca="1">pumps_per_chem*chem_per_sys</f>
        <v>10</v>
      </c>
      <c r="D29" s="633" t="s">
        <v>2119</v>
      </c>
    </row>
    <row r="30" spans="1:20">
      <c r="A30" s="229" t="s">
        <v>4070</v>
      </c>
      <c r="B30" s="75" t="s">
        <v>4071</v>
      </c>
      <c r="C30" s="229">
        <f ca="1">high_circ_flow/pumps_per_chem</f>
        <v>175</v>
      </c>
      <c r="D30" s="633" t="s">
        <v>2193</v>
      </c>
    </row>
    <row r="31" spans="1:20">
      <c r="A31" s="229" t="s">
        <v>2124</v>
      </c>
      <c r="B31" s="75" t="s">
        <v>58</v>
      </c>
      <c r="C31" s="229">
        <f ca="1">MAX(min_chem_flow,chem_pump_rating*60)</f>
        <v>10500</v>
      </c>
      <c r="D31" s="633" t="s">
        <v>1040</v>
      </c>
    </row>
    <row r="32" spans="1:20">
      <c r="A32" s="77" t="s">
        <v>2125</v>
      </c>
      <c r="B32" s="67" t="s">
        <v>4073</v>
      </c>
      <c r="C32" s="77">
        <f ca="1">chem_pumps_per_sys*num_clean_sys+NRD_chem_pump</f>
        <v>11</v>
      </c>
      <c r="D32" s="238" t="s">
        <v>2192</v>
      </c>
    </row>
    <row r="34" spans="1:5">
      <c r="A34" s="77" t="s">
        <v>4234</v>
      </c>
      <c r="B34" s="67" t="s">
        <v>4235</v>
      </c>
      <c r="C34" s="77">
        <f>cleaning_temp-(((9/5)*T_feed)+32)</f>
        <v>36</v>
      </c>
      <c r="D34" s="238" t="s">
        <v>4236</v>
      </c>
    </row>
    <row r="35" spans="1:5">
      <c r="A35" s="229" t="s">
        <v>3437</v>
      </c>
      <c r="B35" s="75" t="s">
        <v>3439</v>
      </c>
      <c r="C35" s="294">
        <f ca="1">chem_tank_vol*temp_rise/(325*cleaning_heat_time)</f>
        <v>30.372923076923076</v>
      </c>
      <c r="D35" s="633" t="s">
        <v>821</v>
      </c>
      <c r="E35" s="78" t="s">
        <v>1731</v>
      </c>
    </row>
    <row r="36" spans="1:5">
      <c r="A36" s="229" t="s">
        <v>4238</v>
      </c>
      <c r="B36" s="75" t="s">
        <v>4239</v>
      </c>
      <c r="C36" s="294">
        <f ca="1">ROUNDUP(total_heater_power/max_heater_power,0)</f>
        <v>2</v>
      </c>
      <c r="D36" s="633" t="s">
        <v>2995</v>
      </c>
      <c r="E36" s="78" t="s">
        <v>4243</v>
      </c>
    </row>
    <row r="37" spans="1:5">
      <c r="A37" s="77" t="s">
        <v>3483</v>
      </c>
      <c r="B37" s="67" t="s">
        <v>3802</v>
      </c>
      <c r="C37" s="77">
        <f ca="1">total_chem_tanks*heaters_per_tank+NRD_immersion_heaters</f>
        <v>4</v>
      </c>
      <c r="D37" s="238" t="s">
        <v>2192</v>
      </c>
    </row>
    <row r="38" spans="1:5">
      <c r="A38" s="77" t="s">
        <v>3438</v>
      </c>
      <c r="B38" s="67" t="s">
        <v>398</v>
      </c>
      <c r="C38" s="294">
        <f ca="1">total_heater_power/heaters_per_tank</f>
        <v>15.186461538461538</v>
      </c>
      <c r="D38" s="238" t="s">
        <v>821</v>
      </c>
    </row>
    <row r="39" spans="1:5">
      <c r="A39" s="229"/>
      <c r="B39" s="75"/>
      <c r="C39" s="294"/>
      <c r="D39" s="633"/>
    </row>
    <row r="40" spans="1:5">
      <c r="A40" s="229" t="s">
        <v>2071</v>
      </c>
      <c r="B40" s="75" t="s">
        <v>1347</v>
      </c>
      <c r="C40" s="294" t="b">
        <f ca="1">(high_circ_flow&lt;=max_simplex_screen_flow)</f>
        <v>1</v>
      </c>
      <c r="D40" s="633"/>
      <c r="E40" s="78" t="s">
        <v>1491</v>
      </c>
    </row>
    <row r="41" spans="1:5">
      <c r="A41" s="229" t="s">
        <v>399</v>
      </c>
      <c r="B41" s="75" t="s">
        <v>400</v>
      </c>
      <c r="C41" s="283">
        <f>chem_per_sys*sec_screen_per_chem</f>
        <v>2</v>
      </c>
      <c r="D41" s="633" t="s">
        <v>5493</v>
      </c>
    </row>
    <row r="42" spans="1:5">
      <c r="A42" s="229" t="s">
        <v>1492</v>
      </c>
      <c r="B42" s="75" t="s">
        <v>1493</v>
      </c>
      <c r="C42" s="283">
        <f ca="1">IF(op_sec_screens=0,0,op_sec_screens*num_clean_sys+NRD_sec_screen)</f>
        <v>3</v>
      </c>
      <c r="D42" s="633" t="s">
        <v>2192</v>
      </c>
    </row>
    <row r="43" spans="1:5">
      <c r="A43" s="229" t="s">
        <v>1498</v>
      </c>
      <c r="B43" s="75" t="s">
        <v>1499</v>
      </c>
      <c r="C43" s="294">
        <f ca="1">high_circ_flow</f>
        <v>875</v>
      </c>
      <c r="D43" s="633" t="s">
        <v>2193</v>
      </c>
    </row>
    <row r="44" spans="1:5">
      <c r="A44" s="229" t="s">
        <v>2420</v>
      </c>
      <c r="B44" s="75" t="s">
        <v>2422</v>
      </c>
      <c r="C44" s="100">
        <f ca="1">VLOOKUP(sec_screen_flow,prescreen_dim_table_cl,5)</f>
        <v>2</v>
      </c>
      <c r="D44" s="633" t="s">
        <v>3065</v>
      </c>
    </row>
    <row r="45" spans="1:5">
      <c r="A45" s="229" t="s">
        <v>2421</v>
      </c>
      <c r="B45" s="75" t="s">
        <v>2423</v>
      </c>
      <c r="C45" s="100">
        <f ca="1">VLOOKUP(sec_screen_flow,prescreen_dim_table_cl,6)</f>
        <v>2</v>
      </c>
      <c r="D45" s="633" t="s">
        <v>3065</v>
      </c>
    </row>
    <row r="46" spans="1:5">
      <c r="A46" s="229"/>
      <c r="B46" s="75"/>
      <c r="C46" s="294"/>
      <c r="D46" s="633"/>
    </row>
    <row r="47" spans="1:5">
      <c r="A47" s="229" t="s">
        <v>5037</v>
      </c>
      <c r="B47" s="75" t="s">
        <v>5038</v>
      </c>
      <c r="C47" s="295">
        <f ca="1">high_circ_flow*24*60/1000000</f>
        <v>1.26</v>
      </c>
      <c r="D47" s="633" t="s">
        <v>1501</v>
      </c>
    </row>
    <row r="48" spans="1:5">
      <c r="A48" s="229" t="s">
        <v>1495</v>
      </c>
      <c r="B48" s="75" t="s">
        <v>1496</v>
      </c>
      <c r="C48" s="283">
        <f ca="1">IF(cart_filter_per_chem=0,0,chem_per_sys*cart_filter_per_chem*ROUNDUP(max_clean_flow/flow_per_cart,0))</f>
        <v>2</v>
      </c>
      <c r="D48" s="633" t="s">
        <v>2192</v>
      </c>
    </row>
    <row r="49" spans="1:6">
      <c r="A49" s="229" t="s">
        <v>2832</v>
      </c>
      <c r="B49" s="75" t="s">
        <v>1494</v>
      </c>
      <c r="C49" s="283">
        <f ca="1">IF(op_cart_filters=0,0,op_cart_filters*num_clean_sys+NRD_cart_filter)</f>
        <v>3</v>
      </c>
      <c r="D49" s="633" t="s">
        <v>2192</v>
      </c>
    </row>
    <row r="50" spans="1:6">
      <c r="A50" s="229" t="s">
        <v>1497</v>
      </c>
      <c r="B50" s="75" t="s">
        <v>1500</v>
      </c>
      <c r="C50" s="295">
        <f ca="1">max_clean_flow/(op_cart_filters/chem_per_sys/cart_filter_per_chem)</f>
        <v>1.26</v>
      </c>
      <c r="D50" s="633" t="s">
        <v>1501</v>
      </c>
    </row>
    <row r="51" spans="1:6">
      <c r="A51" t="s">
        <v>2410</v>
      </c>
      <c r="B51" s="3" t="s">
        <v>2417</v>
      </c>
      <c r="C51" s="100">
        <f ca="1">VLOOKUP(clean_cart_filter_flow,cart_dim_table_cl,5)</f>
        <v>3.5</v>
      </c>
      <c r="D51" s="886" t="s">
        <v>3065</v>
      </c>
    </row>
    <row r="52" spans="1:6">
      <c r="A52" t="s">
        <v>2411</v>
      </c>
      <c r="B52" s="3" t="s">
        <v>2418</v>
      </c>
      <c r="C52" s="100">
        <f ca="1">VLOOKUP(clean_cart_filter_flow,cart_dim_table_cl,6)</f>
        <v>3.5</v>
      </c>
      <c r="D52" s="886" t="s">
        <v>3065</v>
      </c>
    </row>
    <row r="53" spans="1:6">
      <c r="A53" t="s">
        <v>2412</v>
      </c>
      <c r="B53" s="3" t="s">
        <v>2419</v>
      </c>
      <c r="C53" s="230">
        <f ca="1">VLOOKUP(clean_cart_filter_flow,cart_dim_table_cl,7)</f>
        <v>8</v>
      </c>
      <c r="D53" s="886" t="s">
        <v>2416</v>
      </c>
    </row>
    <row r="55" spans="1:6">
      <c r="A55" s="77" t="s">
        <v>4075</v>
      </c>
      <c r="B55" s="67" t="s">
        <v>4076</v>
      </c>
      <c r="C55" s="398">
        <f ca="1">total_PVs/pv_clean_sys*(12/cleaning_interval)</f>
        <v>12.16</v>
      </c>
      <c r="D55" s="238" t="s">
        <v>4077</v>
      </c>
      <c r="E55" s="78" t="s">
        <v>349</v>
      </c>
    </row>
    <row r="56" spans="1:6">
      <c r="C56" s="398"/>
    </row>
    <row r="57" spans="1:6">
      <c r="A57" s="77" t="s">
        <v>2514</v>
      </c>
      <c r="B57" s="67" t="s">
        <v>2674</v>
      </c>
      <c r="C57" s="86">
        <f>IF(clean_acid=2,chem_tank_vol*8*(HCl_need/acid_strength_HCl),0)</f>
        <v>0</v>
      </c>
      <c r="D57" s="238" t="s">
        <v>4312</v>
      </c>
      <c r="E57" s="78" t="s">
        <v>165</v>
      </c>
    </row>
    <row r="58" spans="1:6">
      <c r="A58" s="77" t="s">
        <v>2515</v>
      </c>
      <c r="B58" s="67" t="s">
        <v>4078</v>
      </c>
      <c r="C58" s="86">
        <f ca="1">cycles_yr*HCl_per_cycle</f>
        <v>0</v>
      </c>
      <c r="D58" s="238" t="s">
        <v>3057</v>
      </c>
      <c r="F58" s="269"/>
    </row>
    <row r="59" spans="1:6">
      <c r="A59" s="77" t="s">
        <v>2517</v>
      </c>
      <c r="B59" s="67" t="s">
        <v>2839</v>
      </c>
      <c r="C59" s="86">
        <f ca="1">MAX(HCl_per_cycle,HCl_yr*cstore_days/365)</f>
        <v>0</v>
      </c>
      <c r="D59" s="238" t="s">
        <v>4312</v>
      </c>
      <c r="E59" s="78" t="s">
        <v>3790</v>
      </c>
    </row>
    <row r="60" spans="1:6">
      <c r="A60" s="77" t="s">
        <v>2516</v>
      </c>
      <c r="B60" s="67" t="s">
        <v>168</v>
      </c>
      <c r="C60" s="100">
        <f ca="1">HCl_store/VLOOKUP(acid_strength_HCl,hcl_table_cl,2)/8</f>
        <v>0</v>
      </c>
      <c r="D60" s="238" t="s">
        <v>4311</v>
      </c>
    </row>
    <row r="61" spans="1:6">
      <c r="C61" s="100"/>
    </row>
    <row r="62" spans="1:6">
      <c r="A62" s="77" t="s">
        <v>2518</v>
      </c>
      <c r="B62" s="67" t="s">
        <v>2520</v>
      </c>
      <c r="C62" s="86">
        <f>IF(clean_acid=1,chem_tank_vol*8*citric_need,0)</f>
        <v>0</v>
      </c>
      <c r="D62" s="238" t="s">
        <v>4312</v>
      </c>
      <c r="E62" s="78" t="s">
        <v>2523</v>
      </c>
    </row>
    <row r="63" spans="1:6">
      <c r="A63" s="77" t="s">
        <v>2519</v>
      </c>
      <c r="B63" s="67" t="s">
        <v>2521</v>
      </c>
      <c r="C63" s="86">
        <f ca="1">cycles_yr*citric_per_cycle</f>
        <v>0</v>
      </c>
      <c r="D63" s="238" t="s">
        <v>3057</v>
      </c>
    </row>
    <row r="64" spans="1:6">
      <c r="A64" s="77" t="s">
        <v>5220</v>
      </c>
      <c r="B64" s="67" t="s">
        <v>2522</v>
      </c>
      <c r="C64" s="86">
        <f ca="1">MAX(citric_per_cycle,citric_yr*cstore_days/365)</f>
        <v>0</v>
      </c>
      <c r="D64" s="238" t="s">
        <v>4312</v>
      </c>
      <c r="E64" s="78" t="s">
        <v>3790</v>
      </c>
    </row>
    <row r="65" spans="1:5">
      <c r="A65" s="77" t="s">
        <v>2525</v>
      </c>
      <c r="B65" s="67" t="s">
        <v>2526</v>
      </c>
      <c r="C65" s="100">
        <f ca="1">citric_store/citric_density</f>
        <v>0</v>
      </c>
      <c r="D65" s="238" t="s">
        <v>2530</v>
      </c>
    </row>
    <row r="66" spans="1:5">
      <c r="C66" s="100"/>
    </row>
    <row r="67" spans="1:5">
      <c r="A67" s="77" t="s">
        <v>3785</v>
      </c>
      <c r="B67" s="67" t="s">
        <v>3786</v>
      </c>
      <c r="C67" s="100">
        <f ca="1">IF(clean_acid=3,chem_tank_vol/proprietary_dilution_lowpH,0)</f>
        <v>34.274999999999999</v>
      </c>
      <c r="D67" s="238" t="s">
        <v>4311</v>
      </c>
    </row>
    <row r="68" spans="1:5">
      <c r="A68" s="77" t="s">
        <v>3787</v>
      </c>
      <c r="B68" s="67" t="s">
        <v>3788</v>
      </c>
      <c r="C68" s="100">
        <f ca="1">cycles_yr*prop_acid_per_cycle</f>
        <v>416.78399999999999</v>
      </c>
      <c r="D68" s="238" t="s">
        <v>4083</v>
      </c>
    </row>
    <row r="69" spans="1:5">
      <c r="A69" s="77" t="s">
        <v>5221</v>
      </c>
      <c r="B69" s="67" t="s">
        <v>3789</v>
      </c>
      <c r="C69" s="100">
        <f ca="1">MAX(prop_acid_yr*cstore_days/365,prop_acid_per_cycle)</f>
        <v>34.274999999999999</v>
      </c>
      <c r="D69" s="238" t="s">
        <v>4311</v>
      </c>
      <c r="E69" s="78" t="s">
        <v>3790</v>
      </c>
    </row>
    <row r="70" spans="1:5">
      <c r="C70" s="100"/>
    </row>
    <row r="71" spans="1:5">
      <c r="A71" t="s">
        <v>1972</v>
      </c>
      <c r="B71" s="3" t="s">
        <v>166</v>
      </c>
      <c r="C71" s="230">
        <f ca="1">CHOOSE(clean_acid+1,0,0,IF(HCl_store_gal&lt;=min_chem_tank_vol,0,ROUNDUP(HCl_store_gal/max_chem_tank_size_noSS,0)),IF(prop_acid_store_gal&lt;=min_chem_tank_vol,0,ROUNDUP(prop_acid_store_gal/max_chem_tank_size_noSS,0)))</f>
        <v>1</v>
      </c>
      <c r="D71" s="886" t="s">
        <v>5494</v>
      </c>
    </row>
    <row r="72" spans="1:5">
      <c r="A72" t="s">
        <v>231</v>
      </c>
      <c r="B72" s="3" t="s">
        <v>167</v>
      </c>
      <c r="C72" s="450">
        <f ca="1">IF(clean_acid_store_tanks=0,0,ROUNDUP(CHOOSE(clean_acid+1,0,0,HCl_store_gal,prop_acid_store_gal)/clean_acid_store_tanks,0))</f>
        <v>35</v>
      </c>
      <c r="D72" s="886" t="s">
        <v>4311</v>
      </c>
    </row>
    <row r="74" spans="1:5">
      <c r="A74" s="77" t="s">
        <v>3793</v>
      </c>
      <c r="B74" s="67" t="s">
        <v>2675</v>
      </c>
      <c r="C74" s="86">
        <f>IF(clean_high_pH=1,chem_tank_vol*8*(caustic_need/caustic_strength),0)</f>
        <v>0</v>
      </c>
      <c r="D74" s="238" t="s">
        <v>4312</v>
      </c>
      <c r="E74" s="78" t="s">
        <v>165</v>
      </c>
    </row>
    <row r="75" spans="1:5">
      <c r="A75" s="77" t="s">
        <v>3791</v>
      </c>
      <c r="B75" s="67" t="s">
        <v>4079</v>
      </c>
      <c r="C75" s="86">
        <f ca="1">cycles_yr*NaOH_per_cycle</f>
        <v>0</v>
      </c>
      <c r="D75" s="238" t="s">
        <v>3057</v>
      </c>
    </row>
    <row r="76" spans="1:5">
      <c r="A76" s="77" t="s">
        <v>5222</v>
      </c>
      <c r="B76" s="67" t="s">
        <v>2840</v>
      </c>
      <c r="C76" s="86">
        <f ca="1">MAX(NaOH_per_cycle,NaOH_yr*cstore_days/365)</f>
        <v>0</v>
      </c>
      <c r="D76" s="238" t="s">
        <v>4312</v>
      </c>
      <c r="E76" s="78" t="s">
        <v>3790</v>
      </c>
    </row>
    <row r="77" spans="1:5">
      <c r="A77" s="77" t="s">
        <v>3792</v>
      </c>
      <c r="B77" s="67" t="s">
        <v>1510</v>
      </c>
      <c r="C77" s="100">
        <f ca="1">NaOH_store/VLOOKUP(caustic_strength,NaOH_table_cl,4)/8</f>
        <v>0</v>
      </c>
      <c r="D77" s="238" t="s">
        <v>4311</v>
      </c>
    </row>
    <row r="78" spans="1:5">
      <c r="C78" s="100"/>
    </row>
    <row r="79" spans="1:5">
      <c r="A79" s="77" t="s">
        <v>3795</v>
      </c>
      <c r="B79" s="67" t="s">
        <v>3798</v>
      </c>
      <c r="C79" s="100">
        <f ca="1">IF(clean_high_pH=2,chem_tank_vol/proprietary_dilution_highpH,0)</f>
        <v>34.274999999999999</v>
      </c>
      <c r="D79" s="238" t="s">
        <v>4311</v>
      </c>
    </row>
    <row r="80" spans="1:5">
      <c r="A80" s="77" t="s">
        <v>3794</v>
      </c>
      <c r="B80" s="67" t="s">
        <v>3796</v>
      </c>
      <c r="C80" s="100">
        <f ca="1">cycles_yr*prop_deterg_per_cycle</f>
        <v>416.78399999999999</v>
      </c>
      <c r="D80" s="238" t="s">
        <v>4083</v>
      </c>
    </row>
    <row r="81" spans="1:5">
      <c r="A81" s="77" t="s">
        <v>5223</v>
      </c>
      <c r="B81" s="67" t="s">
        <v>3797</v>
      </c>
      <c r="C81" s="100">
        <f ca="1">MAX(prop_deterg_yr*cstore_days/365,prop_deterg_per_cycle)</f>
        <v>34.274999999999999</v>
      </c>
      <c r="D81" s="238" t="s">
        <v>4311</v>
      </c>
      <c r="E81" s="78" t="s">
        <v>3790</v>
      </c>
    </row>
    <row r="82" spans="1:5">
      <c r="C82" s="100"/>
    </row>
    <row r="83" spans="1:5">
      <c r="A83" t="s">
        <v>169</v>
      </c>
      <c r="B83" s="3" t="s">
        <v>1507</v>
      </c>
      <c r="C83" s="230">
        <f ca="1">CHOOSE(clean_high_pH+1,0,IF(NaOH_store_gal&lt;=min_chem_tank_vol,0,ROUNDUP(NaOH_store_gal/max_chem_tank_size,0)),IF(prop_deterg_store_gal&lt;=min_chem_tank_vol,0,ROUNDUP(prop_deterg_store_gal/max_chem_tank_size,0)))</f>
        <v>1</v>
      </c>
      <c r="D83" s="886" t="s">
        <v>5494</v>
      </c>
    </row>
    <row r="84" spans="1:5">
      <c r="A84" t="s">
        <v>1509</v>
      </c>
      <c r="B84" s="3" t="s">
        <v>1508</v>
      </c>
      <c r="C84" s="450">
        <f ca="1">IF(clean_caustic_store_tanks=0,0,ROUNDUP(CHOOSE(clean_high_pH+1,0,NaOH_store_gal,prop_deterg_store_gal)/clean_caustic_store_tanks,0))</f>
        <v>35</v>
      </c>
      <c r="D84" s="886" t="s">
        <v>4311</v>
      </c>
    </row>
    <row r="86" spans="1:5">
      <c r="A86" s="881" t="s">
        <v>5224</v>
      </c>
      <c r="B86" s="882"/>
      <c r="C86" s="882"/>
      <c r="D86" s="882"/>
      <c r="E86" s="77"/>
    </row>
    <row r="87" spans="1:5">
      <c r="A87" s="882" t="s">
        <v>5226</v>
      </c>
      <c r="B87" s="884" t="s">
        <v>5227</v>
      </c>
      <c r="C87" s="882">
        <f ca="1">HCl_store+IF(pretreat_acid=1,init_acid_lbs,0)</f>
        <v>0</v>
      </c>
      <c r="D87" s="882" t="s">
        <v>4312</v>
      </c>
      <c r="E87" s="813" t="s">
        <v>5225</v>
      </c>
    </row>
    <row r="88" spans="1:5">
      <c r="A88" s="882" t="s">
        <v>5202</v>
      </c>
      <c r="B88" s="882"/>
      <c r="C88" s="883">
        <f>VLOOKUP("Hydrochloric Acid - Large Qty",chem_break_table_cl,2,FALSE)</f>
        <v>17710</v>
      </c>
      <c r="D88" s="882" t="s">
        <v>4312</v>
      </c>
      <c r="E88" s="813" t="s">
        <v>5203</v>
      </c>
    </row>
    <row r="89" spans="1:5">
      <c r="A89" s="882" t="s">
        <v>5204</v>
      </c>
      <c r="B89" s="882"/>
      <c r="C89" s="883">
        <f>VLOOKUP("Hydrochloric Acid - Mid Qty",chem_break_table_cl,2,FALSE)</f>
        <v>1771</v>
      </c>
      <c r="D89" s="882" t="s">
        <v>4312</v>
      </c>
      <c r="E89" s="813" t="s">
        <v>5203</v>
      </c>
    </row>
    <row r="90" spans="1:5">
      <c r="A90" s="882" t="s">
        <v>5205</v>
      </c>
      <c r="B90" s="882"/>
      <c r="C90" s="883">
        <f>VLOOKUP("Hydrochloric Acid - Small Qty",chem_break_table_cl,2,FALSE)</f>
        <v>0</v>
      </c>
      <c r="D90" s="882" t="s">
        <v>4312</v>
      </c>
      <c r="E90" s="813" t="s">
        <v>5203</v>
      </c>
    </row>
    <row r="91" spans="1:5">
      <c r="A91" s="882" t="s">
        <v>5206</v>
      </c>
      <c r="B91" s="884" t="s">
        <v>5228</v>
      </c>
      <c r="C91" s="882" t="str">
        <f ca="1">IF(AND(ISNA(C88),ISNA(C89),ISNA(C90)),"",IF(total_HCl_store&gt;=C88," - Large Qty",IF(total_HCl_store&gt;=C89," - Mid Qty"," - Small Qty")))</f>
        <v xml:space="preserve"> - Small Qty</v>
      </c>
      <c r="D91" s="882"/>
      <c r="E91" s="813" t="s">
        <v>5207</v>
      </c>
    </row>
    <row r="93" spans="1:5">
      <c r="A93" s="881" t="s">
        <v>5229</v>
      </c>
      <c r="B93" s="882"/>
      <c r="C93" s="882"/>
      <c r="D93" s="882"/>
      <c r="E93" s="882"/>
    </row>
    <row r="94" spans="1:5">
      <c r="A94" s="882" t="s">
        <v>5202</v>
      </c>
      <c r="B94" s="882"/>
      <c r="C94" s="883" t="e">
        <f>VLOOKUP("Citric Acid (food grade) - Large Qty",chem_break_table_cl,2,FALSE)</f>
        <v>#N/A</v>
      </c>
      <c r="D94" s="882" t="s">
        <v>4312</v>
      </c>
      <c r="E94" s="813" t="s">
        <v>5203</v>
      </c>
    </row>
    <row r="95" spans="1:5">
      <c r="A95" s="882" t="s">
        <v>5204</v>
      </c>
      <c r="B95" s="882"/>
      <c r="C95" s="883" t="e">
        <f>VLOOKUP("Citric Acid (food grade) - Mid Qty",chem_break_table_cl,2,FALSE)</f>
        <v>#N/A</v>
      </c>
      <c r="D95" s="882" t="s">
        <v>4312</v>
      </c>
      <c r="E95" s="813" t="s">
        <v>5203</v>
      </c>
    </row>
    <row r="96" spans="1:5">
      <c r="A96" s="882" t="s">
        <v>5205</v>
      </c>
      <c r="B96" s="882"/>
      <c r="C96" s="883" t="e">
        <f>VLOOKUP("Citric Acid (food grade) - Small Qty",chem_break_table_cl,2,FALSE)</f>
        <v>#N/A</v>
      </c>
      <c r="D96" s="882" t="s">
        <v>4312</v>
      </c>
      <c r="E96" s="813" t="s">
        <v>5203</v>
      </c>
    </row>
    <row r="97" spans="1:5">
      <c r="A97" s="882" t="s">
        <v>5206</v>
      </c>
      <c r="B97" s="884" t="s">
        <v>5230</v>
      </c>
      <c r="C97" s="882" t="str">
        <f>IF(AND(ISNA(C94),ISNA(C95),ISNA(C96)),"",IF(citric_store&gt;=C94," - Large Qty",IF(citric_store&gt;=C95," - Mid Qty"," - Small Qty")))</f>
        <v/>
      </c>
      <c r="D97" s="882"/>
      <c r="E97" s="813" t="s">
        <v>5207</v>
      </c>
    </row>
    <row r="99" spans="1:5">
      <c r="A99" s="881" t="s">
        <v>5231</v>
      </c>
      <c r="B99" s="882"/>
      <c r="C99" s="882"/>
      <c r="D99" s="882"/>
      <c r="E99" s="882"/>
    </row>
    <row r="100" spans="1:5">
      <c r="A100" s="882" t="s">
        <v>5202</v>
      </c>
      <c r="B100" s="882"/>
      <c r="C100" s="883" t="e">
        <f>VLOOKUP("Membrane Cleaner - Low pH Sulfate Control - Large Qty",chem_break_table_cl,2,FALSE)</f>
        <v>#N/A</v>
      </c>
      <c r="D100" s="882" t="s">
        <v>4311</v>
      </c>
      <c r="E100" s="813" t="s">
        <v>5203</v>
      </c>
    </row>
    <row r="101" spans="1:5">
      <c r="A101" s="882" t="s">
        <v>5204</v>
      </c>
      <c r="B101" s="882"/>
      <c r="C101" s="883" t="e">
        <f>VLOOKUP("Membrane Cleaner - Low pH Sulfate Control - Mid Qty",chem_break_table_cl,2,FALSE)</f>
        <v>#N/A</v>
      </c>
      <c r="D101" s="882" t="s">
        <v>4311</v>
      </c>
      <c r="E101" s="813" t="s">
        <v>5203</v>
      </c>
    </row>
    <row r="102" spans="1:5">
      <c r="A102" s="882" t="s">
        <v>5205</v>
      </c>
      <c r="B102" s="882"/>
      <c r="C102" s="883" t="e">
        <f>VLOOKUP("Membrane Cleaner - Low pH Sulfate Control - Small Qty",chem_break_table_cl,2,FALSE)</f>
        <v>#N/A</v>
      </c>
      <c r="D102" s="882" t="s">
        <v>4311</v>
      </c>
      <c r="E102" s="813" t="s">
        <v>5203</v>
      </c>
    </row>
    <row r="103" spans="1:5">
      <c r="A103" s="882" t="s">
        <v>5206</v>
      </c>
      <c r="B103" s="884" t="s">
        <v>5232</v>
      </c>
      <c r="C103" s="882" t="str">
        <f>IF(AND(ISNA(C100),ISNA(C101),ISNA(C102)),"",IF(prop_acid_store_gal&gt;=C100," - Large Qty",IF(prop_acid_store_gal&gt;=C101," - Mid Qty"," - Small Qty")))</f>
        <v/>
      </c>
      <c r="D103" s="882"/>
      <c r="E103" s="813" t="s">
        <v>5207</v>
      </c>
    </row>
    <row r="105" spans="1:5">
      <c r="A105" s="881" t="s">
        <v>5233</v>
      </c>
      <c r="B105" s="882"/>
      <c r="C105" s="882"/>
      <c r="D105" s="882"/>
      <c r="E105" s="882"/>
    </row>
    <row r="106" spans="1:5">
      <c r="A106" s="882" t="s">
        <v>5202</v>
      </c>
      <c r="B106" s="882"/>
      <c r="C106" s="883">
        <f>VLOOKUP("Sodium Hydroxide "&amp;TEXT(caustic_strength,"00%")&amp;" - Large Qty",chem_break_table_cl,2,FALSE)</f>
        <v>25436.999999999996</v>
      </c>
      <c r="D106" s="882" t="s">
        <v>4312</v>
      </c>
      <c r="E106" s="813" t="s">
        <v>5203</v>
      </c>
    </row>
    <row r="107" spans="1:5">
      <c r="A107" s="882" t="s">
        <v>5204</v>
      </c>
      <c r="B107" s="882"/>
      <c r="C107" s="883">
        <f>VLOOKUP("Sodium Hydroxide "&amp;TEXT(caustic_strength,"00%")&amp;" - Mid Qty",chem_break_table_cl,2,FALSE)</f>
        <v>5000</v>
      </c>
      <c r="D107" s="882" t="s">
        <v>4312</v>
      </c>
      <c r="E107" s="813" t="s">
        <v>5203</v>
      </c>
    </row>
    <row r="108" spans="1:5">
      <c r="A108" s="882" t="s">
        <v>5205</v>
      </c>
      <c r="B108" s="882"/>
      <c r="C108" s="883">
        <f>VLOOKUP("Sodium Hydroxide "&amp;TEXT(caustic_strength,"00%")&amp;" - Small Qty",chem_break_table_cl,2,FALSE)</f>
        <v>0</v>
      </c>
      <c r="D108" s="882" t="s">
        <v>4312</v>
      </c>
      <c r="E108" s="813" t="s">
        <v>5203</v>
      </c>
    </row>
    <row r="109" spans="1:5">
      <c r="A109" s="882" t="s">
        <v>5206</v>
      </c>
      <c r="B109" s="884" t="s">
        <v>5234</v>
      </c>
      <c r="C109" s="882" t="str">
        <f ca="1">IF(AND(ISNA(C106),ISNA(C107),ISNA(C108)),"",IF(NaOH_store&gt;=C106," - Large Qty",IF(NaOH_store&gt;=C107," - Mid Qty"," - Small Qty")))</f>
        <v xml:space="preserve"> - Small Qty</v>
      </c>
      <c r="D109" s="882"/>
      <c r="E109" s="813" t="s">
        <v>5207</v>
      </c>
    </row>
    <row r="111" spans="1:5">
      <c r="A111" s="881" t="s">
        <v>5235</v>
      </c>
      <c r="B111" s="882"/>
      <c r="C111" s="882"/>
      <c r="D111" s="882"/>
      <c r="E111" s="882"/>
    </row>
    <row r="112" spans="1:5">
      <c r="A112" s="882" t="s">
        <v>5202</v>
      </c>
      <c r="B112" s="882"/>
      <c r="C112" s="883" t="e">
        <f>VLOOKUP("Membrane Cleaner - High pH Detergent - Large Qty",chem_break_table_cl,2,FALSE)</f>
        <v>#N/A</v>
      </c>
      <c r="D112" s="882" t="s">
        <v>4311</v>
      </c>
      <c r="E112" s="813" t="s">
        <v>5203</v>
      </c>
    </row>
    <row r="113" spans="1:20">
      <c r="A113" s="882" t="s">
        <v>5204</v>
      </c>
      <c r="B113" s="882"/>
      <c r="C113" s="883" t="e">
        <f>VLOOKUP("Membrane Cleaner - High pH Detergent - Mid Qty",chem_break_table_cl,2,FALSE)</f>
        <v>#N/A</v>
      </c>
      <c r="D113" s="882" t="s">
        <v>4311</v>
      </c>
      <c r="E113" s="813" t="s">
        <v>5203</v>
      </c>
    </row>
    <row r="114" spans="1:20">
      <c r="A114" s="882" t="s">
        <v>5205</v>
      </c>
      <c r="B114" s="882"/>
      <c r="C114" s="883" t="e">
        <f>VLOOKUP("Membrane Cleaner - High pH Detergent - Small Qty",chem_break_table_cl,2,FALSE)</f>
        <v>#N/A</v>
      </c>
      <c r="D114" s="882" t="s">
        <v>4311</v>
      </c>
      <c r="E114" s="813" t="s">
        <v>5203</v>
      </c>
    </row>
    <row r="115" spans="1:20">
      <c r="A115" s="882" t="s">
        <v>5206</v>
      </c>
      <c r="B115" s="884" t="s">
        <v>5236</v>
      </c>
      <c r="C115" s="882" t="str">
        <f>IF(AND(ISNA(C112),ISNA(C113),ISNA(C114)),"",IF(prop_deterg_store_gal&gt;=C112," - Large Qty",IF(prop_deterg_store_gal&gt;=C113," - Mid Qty"," - Small Qty")))</f>
        <v/>
      </c>
      <c r="D115" s="882"/>
      <c r="E115" s="813" t="s">
        <v>5207</v>
      </c>
    </row>
    <row r="117" spans="1:20" customFormat="1">
      <c r="A117" s="32" t="s">
        <v>5363</v>
      </c>
      <c r="B117" s="14"/>
      <c r="C117" s="77"/>
      <c r="D117" s="886"/>
      <c r="E117" s="7"/>
      <c r="T117" s="885"/>
    </row>
    <row r="118" spans="1:20" customFormat="1">
      <c r="A118" s="238" t="s">
        <v>5314</v>
      </c>
      <c r="B118" s="31" t="s">
        <v>5365</v>
      </c>
      <c r="C118" s="77">
        <f ca="1">MAX(clean_acid_store_tanks*clean_acid_store_tank_size*sec_cont_pct_of_total,clean_acid_store_tank_size*sec_cont_pct_of_largest)/7.48</f>
        <v>5.1470588235294112</v>
      </c>
      <c r="D118" s="238" t="s">
        <v>5358</v>
      </c>
      <c r="E118" s="813" t="s">
        <v>5359</v>
      </c>
      <c r="T118" s="885"/>
    </row>
    <row r="119" spans="1:20" customFormat="1">
      <c r="A119" s="238" t="s">
        <v>5315</v>
      </c>
      <c r="B119" s="31" t="s">
        <v>5366</v>
      </c>
      <c r="C119" s="77">
        <f ca="1">IF(clean_acid_store_tanks=0,0,acid_clncst_fp-clean_acid_store_tanks*PI()*(acid_clncst_diam/2)^2)</f>
        <v>18.48285413235574</v>
      </c>
      <c r="D119" s="238" t="s">
        <v>4310</v>
      </c>
      <c r="E119" s="813" t="s">
        <v>5360</v>
      </c>
      <c r="T119" s="885"/>
    </row>
    <row r="120" spans="1:20" customFormat="1">
      <c r="A120" s="238" t="s">
        <v>5316</v>
      </c>
      <c r="B120" s="31" t="s">
        <v>5367</v>
      </c>
      <c r="C120" s="77">
        <f ca="1">IF(clean_acid_store_tanks=0,0,acid_tank_cont_volume/acid_tank_cont_fp+sec_cont_freeboard/12)</f>
        <v>0.77847748982225995</v>
      </c>
      <c r="D120" s="238" t="s">
        <v>4111</v>
      </c>
      <c r="E120" s="14"/>
      <c r="T120" s="885"/>
    </row>
    <row r="121" spans="1:20" customFormat="1">
      <c r="A121" s="238" t="s">
        <v>5317</v>
      </c>
      <c r="B121" s="31" t="s">
        <v>5368</v>
      </c>
      <c r="C121" s="77">
        <f ca="1">IF(clean_acid_store_tanks=0,0,MIN(sec_cont_max_thick,acid_tank_curb_height))</f>
        <v>0.77847748982225995</v>
      </c>
      <c r="D121" s="238" t="s">
        <v>4111</v>
      </c>
      <c r="E121" s="14"/>
      <c r="T121" s="885"/>
    </row>
    <row r="122" spans="1:20" customFormat="1">
      <c r="A122" s="238" t="s">
        <v>5318</v>
      </c>
      <c r="B122" s="31" t="s">
        <v>5369</v>
      </c>
      <c r="C122" s="77">
        <f ca="1">IF(clean_acid_store_tanks=0,0,clean_acid_store_tanks*acid_clncst_diam+2*space_clncst_acid+(clean_acid_store_tanks-1)*space_clncst_acid+2*acid_tank_curb_thick)</f>
        <v>6.0569549796445195</v>
      </c>
      <c r="D122" s="238" t="s">
        <v>4111</v>
      </c>
      <c r="E122" s="14"/>
      <c r="T122" s="885"/>
    </row>
    <row r="123" spans="1:20" customFormat="1">
      <c r="A123" s="238" t="s">
        <v>5319</v>
      </c>
      <c r="B123" s="31" t="s">
        <v>5370</v>
      </c>
      <c r="C123" s="77">
        <f ca="1">IF(clean_acid_store_tanks=0,0,acid_clncst_diam+2*space_clncst_acid)</f>
        <v>4.5</v>
      </c>
      <c r="D123" s="238" t="s">
        <v>4111</v>
      </c>
      <c r="E123" s="14"/>
      <c r="T123" s="885"/>
    </row>
    <row r="124" spans="1:20" customFormat="1">
      <c r="A124" s="238" t="s">
        <v>5320</v>
      </c>
      <c r="B124" s="31" t="s">
        <v>5371</v>
      </c>
      <c r="C124" s="77">
        <f ca="1">IF(clean_acid_store_tanks=0,0,ROUNDUP((acid_tank_curb_len_long*2+acid_tank_curb_len_short*2)*acid_tank_curb_height*acid_tank_curb_thick/27,0))</f>
        <v>1</v>
      </c>
      <c r="D124" s="238" t="s">
        <v>2349</v>
      </c>
      <c r="E124" s="813" t="s">
        <v>5361</v>
      </c>
      <c r="T124" s="885"/>
    </row>
    <row r="125" spans="1:20" customFormat="1">
      <c r="A125" s="238" t="s">
        <v>5321</v>
      </c>
      <c r="B125" s="31" t="s">
        <v>5372</v>
      </c>
      <c r="C125" s="77">
        <f ca="1">IF(clean_acid_store_tanks=0,0,ROUNDUP((acid_clncst_fp+2*(acid_tank_curb_len_long-2*acid_tank_curb_thick)*acid_tank_curb_height+2*acid_tank_curb_len_short*acid_tank_curb_height)/sec_cont_coating_cvg,0))</f>
        <v>1</v>
      </c>
      <c r="D125" s="238" t="s">
        <v>1970</v>
      </c>
      <c r="E125" s="813" t="s">
        <v>5362</v>
      </c>
      <c r="T125" s="885"/>
    </row>
    <row r="126" spans="1:20" customFormat="1">
      <c r="A126" s="14"/>
      <c r="B126" s="14"/>
      <c r="C126" s="77"/>
      <c r="D126" s="886"/>
      <c r="E126" s="7"/>
      <c r="T126" s="885"/>
    </row>
    <row r="127" spans="1:20" customFormat="1">
      <c r="A127" s="32" t="s">
        <v>5364</v>
      </c>
      <c r="B127" s="14"/>
      <c r="C127" s="77"/>
      <c r="D127" s="886"/>
      <c r="E127" s="7"/>
      <c r="T127" s="885"/>
    </row>
    <row r="128" spans="1:20" customFormat="1">
      <c r="A128" s="238" t="s">
        <v>5314</v>
      </c>
      <c r="B128" s="31" t="s">
        <v>5373</v>
      </c>
      <c r="C128" s="77">
        <f ca="1">MAX(clean_caustic_store_tanks*clean_caustic_store_tank_size*sec_cont_pct_of_total,clean_caustic_store_tank_size*sec_cont_pct_of_largest)/7.48</f>
        <v>5.1470588235294112</v>
      </c>
      <c r="D128" s="238" t="s">
        <v>5358</v>
      </c>
      <c r="E128" s="813" t="s">
        <v>5359</v>
      </c>
      <c r="T128" s="885"/>
    </row>
    <row r="129" spans="1:20" customFormat="1">
      <c r="A129" s="238" t="s">
        <v>5315</v>
      </c>
      <c r="B129" s="31" t="s">
        <v>5374</v>
      </c>
      <c r="C129" s="77">
        <f ca="1">IF(clean_caustic_store_tanks=0,0,caustic_clncst_fp-clean_caustic_store_tanks*PI()*(caustic_clncst_diam/2)^2)</f>
        <v>18.48285413235574</v>
      </c>
      <c r="D129" s="238" t="s">
        <v>4310</v>
      </c>
      <c r="E129" s="813" t="s">
        <v>5360</v>
      </c>
      <c r="T129" s="885"/>
    </row>
    <row r="130" spans="1:20" customFormat="1">
      <c r="A130" s="238" t="s">
        <v>5316</v>
      </c>
      <c r="B130" s="31" t="s">
        <v>5375</v>
      </c>
      <c r="C130" s="77">
        <f ca="1">IF(clean_caustic_store_tanks=0,0,clean_caustic_store_tank_size/caustic_cont_fp+sec_cont_freeboard/12)</f>
        <v>2.3936469307913679</v>
      </c>
      <c r="D130" s="238" t="s">
        <v>4111</v>
      </c>
      <c r="E130" s="14"/>
      <c r="T130" s="885"/>
    </row>
    <row r="131" spans="1:20" customFormat="1">
      <c r="A131" s="238" t="s">
        <v>5317</v>
      </c>
      <c r="B131" s="31" t="s">
        <v>5376</v>
      </c>
      <c r="C131" s="77">
        <f ca="1">IF(clean_caustic_store_tanks=0,0,MIN(sec_cont_max_thick,caustic_curb_height))</f>
        <v>1</v>
      </c>
      <c r="D131" s="238" t="s">
        <v>4111</v>
      </c>
      <c r="E131" s="14"/>
      <c r="T131" s="885"/>
    </row>
    <row r="132" spans="1:20" customFormat="1">
      <c r="A132" s="238" t="s">
        <v>5318</v>
      </c>
      <c r="B132" s="31" t="s">
        <v>5377</v>
      </c>
      <c r="C132" s="77">
        <f ca="1">IF(clean_caustic_store_tanks=0,0,clean_caustic_store_tanks*caustic_clncst_diam+2*space_clncst_caustic+(clean_caustic_store_tanks-1)*space_clncst_caustic+2*caustic_curb_thick)</f>
        <v>6.5</v>
      </c>
      <c r="D132" s="238" t="s">
        <v>4111</v>
      </c>
      <c r="E132" s="14"/>
      <c r="T132" s="885"/>
    </row>
    <row r="133" spans="1:20" customFormat="1">
      <c r="A133" s="238" t="s">
        <v>5319</v>
      </c>
      <c r="B133" s="31" t="s">
        <v>5378</v>
      </c>
      <c r="C133" s="77">
        <f ca="1">IF(clean_caustic_store_tanks=0,0,caustic_clncst_diam+2*space_clncst_caustic)</f>
        <v>4.5</v>
      </c>
      <c r="D133" s="238" t="s">
        <v>4111</v>
      </c>
      <c r="E133" s="14"/>
      <c r="T133" s="885"/>
    </row>
    <row r="134" spans="1:20" customFormat="1">
      <c r="A134" s="238" t="s">
        <v>5320</v>
      </c>
      <c r="B134" s="31" t="s">
        <v>5379</v>
      </c>
      <c r="C134" s="77">
        <f ca="1">IF(clean_caustic_store_tanks=0,0,ROUNDUP((caustic_curb_len_long*2+caustic_curb_len_short*2)*caustic_curb_height*caustic_curb_thick/27,0))</f>
        <v>2</v>
      </c>
      <c r="D134" s="238" t="s">
        <v>2349</v>
      </c>
      <c r="E134" s="813" t="s">
        <v>5361</v>
      </c>
      <c r="T134" s="885"/>
    </row>
    <row r="135" spans="1:20" customFormat="1">
      <c r="A135" s="238" t="s">
        <v>5321</v>
      </c>
      <c r="B135" s="31" t="s">
        <v>5380</v>
      </c>
      <c r="C135" s="77">
        <f ca="1">IF(clean_caustic_store_tanks=0,0,ROUNDUP((caustic_clncst_fp+2*(caustic_curb_len_long-2*caustic_curb_thick)*caustic_curb_height+2*caustic_curb_len_short*caustic_curb_height)/sec_cont_coating_cvg,0))</f>
        <v>1</v>
      </c>
      <c r="D135" s="238" t="s">
        <v>1970</v>
      </c>
      <c r="E135" s="813" t="s">
        <v>5362</v>
      </c>
      <c r="T135" s="885"/>
    </row>
  </sheetData>
  <phoneticPr fontId="0" type="noConversion"/>
  <pageMargins left="0.75" right="0.75" top="1" bottom="1" header="0.5" footer="0.5"/>
  <pageSetup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F95"/>
  <sheetViews>
    <sheetView zoomScaleNormal="100" workbookViewId="0">
      <pane ySplit="3" topLeftCell="A4" activePane="bottomLeft" state="frozen"/>
      <selection pane="bottomLeft"/>
    </sheetView>
  </sheetViews>
  <sheetFormatPr baseColWidth="10" defaultColWidth="9.1640625" defaultRowHeight="13"/>
  <cols>
    <col min="1" max="1" width="44.5" style="14" bestFit="1" customWidth="1"/>
    <col min="2" max="2" width="20.5" style="216" bestFit="1" customWidth="1"/>
    <col min="3" max="3" width="9.1640625" style="14"/>
    <col min="4" max="4" width="11.5" style="238" customWidth="1"/>
    <col min="5" max="16384" width="9.1640625" style="14"/>
  </cols>
  <sheetData>
    <row r="1" spans="1:5">
      <c r="A1" s="20" t="s">
        <v>5495</v>
      </c>
    </row>
    <row r="3" spans="1:5">
      <c r="A3" s="235" t="s">
        <v>5172</v>
      </c>
      <c r="B3" s="236" t="s">
        <v>1989</v>
      </c>
      <c r="C3" s="237" t="s">
        <v>1990</v>
      </c>
      <c r="D3" s="236" t="s">
        <v>2961</v>
      </c>
      <c r="E3" s="236" t="s">
        <v>1991</v>
      </c>
    </row>
    <row r="4" spans="1:5">
      <c r="A4" s="20" t="s">
        <v>1160</v>
      </c>
    </row>
    <row r="5" spans="1:5">
      <c r="A5" s="238" t="s">
        <v>5541</v>
      </c>
      <c r="B5" s="216" t="s">
        <v>1161</v>
      </c>
      <c r="C5" s="14">
        <f ca="1">in_out_pipe_mult*facil_length</f>
        <v>240</v>
      </c>
      <c r="D5" s="238" t="s">
        <v>1169</v>
      </c>
    </row>
    <row r="6" spans="1:5">
      <c r="A6" s="238" t="s">
        <v>5542</v>
      </c>
      <c r="B6" s="216" t="s">
        <v>1162</v>
      </c>
      <c r="C6" s="224">
        <f>design_inflow_rate</f>
        <v>1977.3336601187832</v>
      </c>
      <c r="D6" s="238" t="s">
        <v>2193</v>
      </c>
    </row>
    <row r="7" spans="1:5">
      <c r="A7" s="238" t="s">
        <v>5543</v>
      </c>
      <c r="B7" s="216" t="s">
        <v>1163</v>
      </c>
      <c r="C7" s="14">
        <f>VLOOKUP(in_out_pipe_flow,pipe_size_table_cl,2)</f>
        <v>10</v>
      </c>
      <c r="D7" s="238" t="s">
        <v>2156</v>
      </c>
    </row>
    <row r="8" spans="1:5">
      <c r="A8" s="14" t="s">
        <v>4676</v>
      </c>
      <c r="B8" s="216" t="s">
        <v>3477</v>
      </c>
      <c r="C8" s="224">
        <f ca="1">design_inflow_rate/total_racks</f>
        <v>988.6668300593916</v>
      </c>
      <c r="D8" s="238" t="s">
        <v>2193</v>
      </c>
    </row>
    <row r="9" spans="1:5">
      <c r="A9" s="14" t="s">
        <v>4677</v>
      </c>
      <c r="B9" s="216" t="s">
        <v>3478</v>
      </c>
      <c r="C9" s="224">
        <f ca="1">design_flow_rate/total_racks</f>
        <v>747.22222222222217</v>
      </c>
      <c r="D9" s="238" t="s">
        <v>2193</v>
      </c>
    </row>
    <row r="10" spans="1:5">
      <c r="A10" s="14" t="s">
        <v>4678</v>
      </c>
      <c r="B10" s="216" t="s">
        <v>4514</v>
      </c>
      <c r="C10" s="224">
        <f ca="1">feed_pipe_flow-perm_pipe_flow</f>
        <v>241.44460783716943</v>
      </c>
      <c r="D10" s="238" t="s">
        <v>2193</v>
      </c>
    </row>
    <row r="11" spans="1:5">
      <c r="A11" s="14" t="s">
        <v>4513</v>
      </c>
      <c r="B11" s="216" t="s">
        <v>4515</v>
      </c>
      <c r="C11" s="14">
        <f ca="1">VLOOKUP(conc_pipe_flow,pipe_size_table_cl,2)</f>
        <v>6</v>
      </c>
      <c r="D11" s="238" t="s">
        <v>2156</v>
      </c>
    </row>
    <row r="12" spans="1:5">
      <c r="A12" s="14" t="s">
        <v>3491</v>
      </c>
      <c r="B12" s="216" t="s">
        <v>3484</v>
      </c>
      <c r="C12" s="220">
        <f ca="1">facil_length*chem_pipe_mult</f>
        <v>120</v>
      </c>
      <c r="D12" s="238" t="s">
        <v>1169</v>
      </c>
    </row>
    <row r="13" spans="1:5">
      <c r="A13" s="14" t="s">
        <v>3481</v>
      </c>
      <c r="B13" s="216" t="s">
        <v>3482</v>
      </c>
      <c r="C13" s="14">
        <f ca="1">chem_pump_rating</f>
        <v>175</v>
      </c>
      <c r="D13" s="238" t="s">
        <v>2193</v>
      </c>
    </row>
    <row r="14" spans="1:5">
      <c r="A14" s="14" t="s">
        <v>3479</v>
      </c>
      <c r="B14" s="216" t="s">
        <v>3480</v>
      </c>
      <c r="C14" s="14">
        <f ca="1">VLOOKUP(clean_pipe_flow,pipe_size_table_cl,2)</f>
        <v>4</v>
      </c>
      <c r="D14" s="238" t="s">
        <v>2156</v>
      </c>
    </row>
    <row r="15" spans="1:5">
      <c r="A15" s="14" t="s">
        <v>1164</v>
      </c>
      <c r="B15" s="216" t="s">
        <v>1165</v>
      </c>
      <c r="C15" s="14">
        <f>IF(bp_pct&gt;0,bp_pipe_mult*facil_length,0)</f>
        <v>0</v>
      </c>
      <c r="D15" s="238" t="s">
        <v>1169</v>
      </c>
    </row>
    <row r="16" spans="1:5">
      <c r="A16" s="14" t="s">
        <v>1166</v>
      </c>
      <c r="B16" s="216" t="s">
        <v>1167</v>
      </c>
      <c r="C16" s="14">
        <f>IF(bp_pct&gt;0,VLOOKUP(bp_flow_rate,pipe_size_table_cl,2),0)</f>
        <v>0</v>
      </c>
      <c r="D16" s="238" t="s">
        <v>2156</v>
      </c>
    </row>
    <row r="18" spans="1:6">
      <c r="A18" s="20" t="s">
        <v>1168</v>
      </c>
    </row>
    <row r="19" spans="1:6">
      <c r="A19" s="32" t="s">
        <v>5583</v>
      </c>
    </row>
    <row r="20" spans="1:6">
      <c r="A20" s="238" t="s">
        <v>5585</v>
      </c>
      <c r="B20" s="216" t="s">
        <v>567</v>
      </c>
      <c r="C20" s="220">
        <f ca="1">(VLOOKUP(inf_pump_rating,inf_dim_table_cl,3)+VLOOKUP(inf_pump_hp,elect_area_table_cl,2))*total_inf_pumps</f>
        <v>376</v>
      </c>
      <c r="D20" s="238" t="s">
        <v>4310</v>
      </c>
      <c r="E20" s="214" t="s">
        <v>4180</v>
      </c>
    </row>
    <row r="21" spans="1:6">
      <c r="A21" s="28"/>
      <c r="C21" s="220"/>
      <c r="E21" s="214"/>
    </row>
    <row r="22" spans="1:6">
      <c r="A22" s="32" t="s">
        <v>5584</v>
      </c>
      <c r="C22" s="220"/>
      <c r="E22" s="214"/>
    </row>
    <row r="23" spans="1:6">
      <c r="A23" s="238" t="s">
        <v>5586</v>
      </c>
      <c r="B23" s="216" t="s">
        <v>1759</v>
      </c>
      <c r="C23" s="14">
        <f>(VLOOKUP(boost_pump_2_mgd,inf_dim_table_cl,3)+VLOOKUP(boost_pump_2_hp,elect_area_table_cl,2))*boost_pumps_2_tot</f>
        <v>0</v>
      </c>
      <c r="D23" s="238" t="s">
        <v>4310</v>
      </c>
      <c r="E23" s="146"/>
    </row>
    <row r="24" spans="1:6">
      <c r="A24" s="238" t="s">
        <v>5587</v>
      </c>
      <c r="B24" s="216" t="s">
        <v>1760</v>
      </c>
      <c r="C24" s="14">
        <f>(VLOOKUP(boost_pump_3_mgd,inf_dim_table_cl,3)+VLOOKUP(boost_pump_3_hp,elect_area_table_cl,2))*boost_pumps_3_tot</f>
        <v>0</v>
      </c>
      <c r="D24" s="238" t="s">
        <v>4310</v>
      </c>
      <c r="E24" s="146"/>
    </row>
    <row r="25" spans="1:6">
      <c r="A25" s="28" t="s">
        <v>1281</v>
      </c>
      <c r="B25" s="216" t="s">
        <v>1282</v>
      </c>
      <c r="C25" s="14">
        <f>boost_2_fp+boost_3_fp</f>
        <v>0</v>
      </c>
      <c r="D25" s="238" t="s">
        <v>4310</v>
      </c>
      <c r="E25" s="146"/>
    </row>
    <row r="26" spans="1:6">
      <c r="A26" s="28"/>
      <c r="E26" s="146"/>
    </row>
    <row r="27" spans="1:6">
      <c r="A27" s="32" t="s">
        <v>3457</v>
      </c>
      <c r="E27" s="146"/>
    </row>
    <row r="28" spans="1:6">
      <c r="A28" s="28" t="s">
        <v>3457</v>
      </c>
      <c r="B28" s="216" t="s">
        <v>3458</v>
      </c>
      <c r="C28" s="14">
        <f>IF(tot_num_bp_pumps=0,0,ROUNDUP((VLOOKUP(bp_pump_rating,pump_dim_table_cl,3)+2*space_pumps)*(VLOOKUP(bp_pump_rating,pump_dim_table_cl,4)+2*space_pumps)+(tot_num_bp_pumps-1)*(VLOOKUP(bp_pump_rating,pump_dim_table_cl,3)+2*space_pumps)*(VLOOKUP(bp_pump_rating,pump_dim_table_cl,4)+space_pumps),0))</f>
        <v>0</v>
      </c>
      <c r="D28" s="238" t="s">
        <v>4310</v>
      </c>
      <c r="E28" s="146"/>
    </row>
    <row r="29" spans="1:6">
      <c r="A29" s="28"/>
      <c r="E29" s="146"/>
    </row>
    <row r="30" spans="1:6">
      <c r="A30" s="32" t="s">
        <v>5588</v>
      </c>
      <c r="E30" s="783"/>
    </row>
    <row r="31" spans="1:6">
      <c r="A31" s="14" t="s">
        <v>1589</v>
      </c>
      <c r="B31" s="216" t="s">
        <v>1588</v>
      </c>
      <c r="C31" s="277">
        <f>IF(ss_cat2=1,max_space_tanks_small,max_space_tanks_large)</f>
        <v>6</v>
      </c>
      <c r="D31" s="238" t="s">
        <v>4111</v>
      </c>
      <c r="E31" s="214"/>
      <c r="F31" s="214"/>
    </row>
    <row r="32" spans="1:6">
      <c r="A32" s="28" t="s">
        <v>4114</v>
      </c>
      <c r="B32" s="216" t="s">
        <v>569</v>
      </c>
      <c r="C32" s="277">
        <f>(filter_len+2*space_other_equip)*(filter_wid+2*space_other_equip)+(num_filters-1)*(filter_len+2*space_other_equip)*(filter_wid+space_other_equip)</f>
        <v>213.75</v>
      </c>
      <c r="D32" s="238" t="s">
        <v>4310</v>
      </c>
      <c r="E32" s="214"/>
    </row>
    <row r="33" spans="1:5">
      <c r="A33" s="28" t="s">
        <v>488</v>
      </c>
      <c r="B33" s="216" t="s">
        <v>489</v>
      </c>
      <c r="C33" s="412">
        <f ca="1">ROUNDUP(2*(MAX((2*acid_tank_size/7.48/PI())^(1/3),SQRT((4*acid_tank_size/7.48/PI()/(Building_height-ceiling_clearance))))),0)/2</f>
        <v>6.5</v>
      </c>
      <c r="D33" s="238" t="s">
        <v>4111</v>
      </c>
      <c r="E33" s="214" t="s">
        <v>1525</v>
      </c>
    </row>
    <row r="34" spans="1:5">
      <c r="A34" s="14" t="s">
        <v>1590</v>
      </c>
      <c r="B34" s="216" t="s">
        <v>1591</v>
      </c>
      <c r="C34" s="412">
        <f ca="1">MIN(max_space_vessels,acid_tank_diam)</f>
        <v>6</v>
      </c>
      <c r="D34" s="238" t="s">
        <v>4111</v>
      </c>
    </row>
    <row r="35" spans="1:5">
      <c r="A35" s="14" t="s">
        <v>495</v>
      </c>
      <c r="B35" s="216" t="s">
        <v>496</v>
      </c>
      <c r="C35" s="412">
        <f ca="1">((acid_tank_diam+2*space_at)*(acid_tank_diam+2*space_at)+(acid_tanks-1)*(acid_tank_diam+2*space_at)*(acid_tank_diam+space_at))</f>
        <v>342.25</v>
      </c>
      <c r="D35" s="238" t="s">
        <v>4310</v>
      </c>
    </row>
    <row r="36" spans="1:5">
      <c r="A36" s="14" t="s">
        <v>493</v>
      </c>
      <c r="B36" s="216" t="s">
        <v>494</v>
      </c>
      <c r="C36" s="412">
        <f>ROUNDUP(2*(MAX((2*anti_tank_size/7.48/PI())^(1/3),SQRT((4*anti_tank_size/7.48/PI()/(Building_height-ceiling_clearance))))),0)/2</f>
        <v>3</v>
      </c>
      <c r="D36" s="238" t="s">
        <v>4111</v>
      </c>
      <c r="E36" s="214" t="s">
        <v>1525</v>
      </c>
    </row>
    <row r="37" spans="1:5">
      <c r="A37" s="14" t="s">
        <v>1593</v>
      </c>
      <c r="B37" s="216" t="s">
        <v>1592</v>
      </c>
      <c r="C37" s="412">
        <f>MIN(max_space_vessels,anti_tank_diam)</f>
        <v>3</v>
      </c>
      <c r="D37" s="238" t="s">
        <v>4111</v>
      </c>
    </row>
    <row r="38" spans="1:5">
      <c r="A38" s="14" t="s">
        <v>497</v>
      </c>
      <c r="B38" s="216" t="s">
        <v>498</v>
      </c>
      <c r="C38" s="412">
        <f>((anti_tank_diam+2*space_anti)*(anti_tank_diam+2*space_anti)+(anti_tanks-1)*(anti_tank_diam+2*space_anti)*(anti_tank_diam+space_anti))</f>
        <v>81</v>
      </c>
      <c r="D38" s="238" t="s">
        <v>4310</v>
      </c>
    </row>
    <row r="39" spans="1:5">
      <c r="A39" s="28" t="s">
        <v>501</v>
      </c>
      <c r="B39" s="216" t="s">
        <v>568</v>
      </c>
      <c r="C39" s="220">
        <f ca="1">acid_tank_fp+anti_tank_fp</f>
        <v>423.25</v>
      </c>
      <c r="D39" s="238" t="s">
        <v>4310</v>
      </c>
      <c r="E39" s="214"/>
    </row>
    <row r="40" spans="1:5">
      <c r="A40" s="14" t="s">
        <v>5001</v>
      </c>
      <c r="B40" s="31" t="s">
        <v>5002</v>
      </c>
      <c r="C40" s="586">
        <f ca="1">ROUNDUP(2*(MAX((2*acid_day_tank_vol/7.48/PI())^(1/3),SQRT((4*acid_day_tank_vol/7.48/PI()/(Building_height-ceiling_clearance))))),0)/2</f>
        <v>2.5</v>
      </c>
      <c r="D40" s="238" t="s">
        <v>4111</v>
      </c>
      <c r="E40" s="214" t="s">
        <v>1525</v>
      </c>
    </row>
    <row r="41" spans="1:5">
      <c r="A41" s="14" t="s">
        <v>5003</v>
      </c>
      <c r="B41" s="31" t="s">
        <v>5004</v>
      </c>
      <c r="C41" s="586">
        <f ca="1">IF(acid_dt_diam&gt;max_space_vessels,max_space_vessels,acid_dt_diam)</f>
        <v>2.5</v>
      </c>
      <c r="D41" s="238" t="s">
        <v>4111</v>
      </c>
      <c r="E41" s="214"/>
    </row>
    <row r="42" spans="1:5">
      <c r="A42" s="14" t="s">
        <v>5005</v>
      </c>
      <c r="B42" s="31" t="s">
        <v>5006</v>
      </c>
      <c r="C42" s="586">
        <f ca="1">ROUNDUP((acid_dt_diam+2*space_acid_dt)^2+(acid_day_tanks-1)*(acid_dt_diam+2*space_acid_dt)*(acid_dt_diam+space_acid_dt),0)</f>
        <v>57</v>
      </c>
      <c r="D42" s="238" t="s">
        <v>4310</v>
      </c>
      <c r="E42" s="214"/>
    </row>
    <row r="43" spans="1:5">
      <c r="A43" s="14" t="s">
        <v>5007</v>
      </c>
      <c r="B43" s="31" t="s">
        <v>5008</v>
      </c>
      <c r="C43" s="586">
        <f>ROUNDUP(2*(MAX((2*anti_day_tank_vol/7.48/PI())^(1/3),SQRT((4*anti_day_tank_vol/7.48/PI()/(Building_height-ceiling_clearance))))),0)/2</f>
        <v>1</v>
      </c>
      <c r="D43" s="238" t="s">
        <v>4111</v>
      </c>
      <c r="E43" s="214" t="s">
        <v>1525</v>
      </c>
    </row>
    <row r="44" spans="1:5">
      <c r="A44" s="14" t="s">
        <v>5009</v>
      </c>
      <c r="B44" s="31" t="s">
        <v>5010</v>
      </c>
      <c r="C44" s="586">
        <f>IF(anti_dt_diam&gt;max_space_vessels,max_space_vessels,anti_dt_diam)</f>
        <v>1</v>
      </c>
      <c r="D44" s="238" t="s">
        <v>4111</v>
      </c>
      <c r="E44" s="214"/>
    </row>
    <row r="45" spans="1:5">
      <c r="A45" s="14" t="s">
        <v>5011</v>
      </c>
      <c r="B45" s="31" t="s">
        <v>5012</v>
      </c>
      <c r="C45" s="586">
        <f>ROUNDUP((anti_dt_diam+2*space_anti_dt)^2+(anti_day_tanks-1)*(anti_dt_diam+2*space_anti_dt)*(anti_dt_diam+space_anti_dt),0)</f>
        <v>9</v>
      </c>
      <c r="D45" s="238" t="s">
        <v>4310</v>
      </c>
      <c r="E45" s="214"/>
    </row>
    <row r="46" spans="1:5" s="220" customFormat="1">
      <c r="A46" s="221" t="s">
        <v>1277</v>
      </c>
      <c r="B46" s="219" t="s">
        <v>1278</v>
      </c>
      <c r="C46" s="277">
        <f ca="1">cartridge_fp+pre_chem_fp+acid_day_tank_fp+anti_day_tank_fp</f>
        <v>703</v>
      </c>
      <c r="D46" s="238" t="s">
        <v>4310</v>
      </c>
    </row>
    <row r="47" spans="1:5">
      <c r="A47" s="28"/>
      <c r="C47" s="220"/>
    </row>
    <row r="48" spans="1:5">
      <c r="A48" s="32" t="s">
        <v>5589</v>
      </c>
      <c r="C48" s="220"/>
    </row>
    <row r="49" spans="1:5">
      <c r="A49" s="14" t="s">
        <v>499</v>
      </c>
      <c r="B49" s="216" t="s">
        <v>500</v>
      </c>
      <c r="C49" s="412">
        <f ca="1">ROUNDUP(2*(MAX((2*chem_tank_vol/7.48/PI())^(1/3),SQRT((4*chem_tank_vol/7.48/PI()/(Building_height-ceiling_clearance))))),0)/2</f>
        <v>5</v>
      </c>
      <c r="D49" s="238" t="s">
        <v>4111</v>
      </c>
      <c r="E49" s="214" t="s">
        <v>1525</v>
      </c>
    </row>
    <row r="50" spans="1:5">
      <c r="A50" s="14" t="s">
        <v>1287</v>
      </c>
      <c r="B50" s="216" t="s">
        <v>1594</v>
      </c>
      <c r="C50" s="412">
        <f ca="1">MIN(max_space_vessels,clean_tank_diam)</f>
        <v>5</v>
      </c>
      <c r="D50" s="238" t="s">
        <v>4111</v>
      </c>
    </row>
    <row r="51" spans="1:5">
      <c r="A51" s="28" t="s">
        <v>4181</v>
      </c>
      <c r="B51" s="216" t="s">
        <v>4182</v>
      </c>
      <c r="C51" s="131">
        <f ca="1">((clean_tank_diam+2*space_ct)*(clean_tank_diam+2*space_ct)+(anti_tanks-1)*(clean_tank_diam+2*space_ct)*(clean_tank_diam+space_ct))</f>
        <v>225</v>
      </c>
      <c r="D51" s="238" t="s">
        <v>4310</v>
      </c>
    </row>
    <row r="52" spans="1:5">
      <c r="A52" s="28" t="s">
        <v>1517</v>
      </c>
      <c r="B52" s="669" t="s">
        <v>1520</v>
      </c>
      <c r="C52" s="412">
        <f ca="1">ROUNDUP(2*(MAX((2*clean_acid_store_tank_size/7.48/PI())^(1/3),SQRT((4*clean_acid_store_tank_size/7.48/PI()/(Building_height-ceiling_clearance))))),0)/2</f>
        <v>1.5</v>
      </c>
      <c r="D52" s="238" t="s">
        <v>4111</v>
      </c>
      <c r="E52" s="214" t="s">
        <v>1525</v>
      </c>
    </row>
    <row r="53" spans="1:5">
      <c r="A53" s="28" t="s">
        <v>1518</v>
      </c>
      <c r="B53" s="669" t="s">
        <v>1519</v>
      </c>
      <c r="C53" s="412">
        <f ca="1">MIN(max_space_vessels,acid_clncst_diam)</f>
        <v>1.5</v>
      </c>
      <c r="D53" s="238" t="s">
        <v>4111</v>
      </c>
      <c r="E53" s="214"/>
    </row>
    <row r="54" spans="1:5">
      <c r="A54" s="28" t="s">
        <v>1524</v>
      </c>
      <c r="B54" s="216" t="s">
        <v>1522</v>
      </c>
      <c r="C54" s="412">
        <f ca="1">ROUNDUP(2*(MAX((2*clean_caustic_store_tank_size/7.48/PI())^(1/3),SQRT((4*clean_caustic_store_tank_size/7.48/PI()/(Building_height-ceiling_clearance))))),0)/2</f>
        <v>1.5</v>
      </c>
      <c r="D54" s="238" t="s">
        <v>4111</v>
      </c>
      <c r="E54" s="214" t="s">
        <v>1525</v>
      </c>
    </row>
    <row r="55" spans="1:5">
      <c r="A55" s="28" t="s">
        <v>1521</v>
      </c>
      <c r="B55" s="216" t="s">
        <v>1523</v>
      </c>
      <c r="C55" s="412">
        <f ca="1">MIN(max_space_vessels,caustic_clncst_diam)</f>
        <v>1.5</v>
      </c>
      <c r="D55" s="238" t="s">
        <v>4111</v>
      </c>
      <c r="E55" s="214"/>
    </row>
    <row r="56" spans="1:5">
      <c r="A56" s="238" t="s">
        <v>5383</v>
      </c>
      <c r="B56" s="669" t="s">
        <v>5381</v>
      </c>
      <c r="C56" s="412">
        <f ca="1">((acid_clncst_diam+2*space_clncst_acid)*(acid_clncst_diam+2*space_clncst_acid)+(clean_acid_store_tanks-1)*(acid_clncst_diam+2*space_clncst_acid)*(acid_clncst_diam+space_clncst_acid))</f>
        <v>20.25</v>
      </c>
      <c r="D56" s="238" t="s">
        <v>4310</v>
      </c>
      <c r="E56" s="214"/>
    </row>
    <row r="57" spans="1:5">
      <c r="A57" s="238" t="s">
        <v>5384</v>
      </c>
      <c r="B57" s="669" t="s">
        <v>5382</v>
      </c>
      <c r="C57" s="412">
        <f ca="1">((caustic_clncst_diam+2*space_clncst_caustic)*(caustic_clncst_diam+2*space_clncst_caustic)+(clean_caustic_store_tanks-1)*(caustic_clncst_diam+2*space_clncst_caustic)*(caustic_clncst_diam+space_clncst_caustic))+citric_store_cuft/storage_height</f>
        <v>20.25</v>
      </c>
      <c r="D57" s="238" t="s">
        <v>4310</v>
      </c>
      <c r="E57" s="214"/>
    </row>
    <row r="58" spans="1:5">
      <c r="A58" s="28" t="s">
        <v>3772</v>
      </c>
      <c r="B58" s="216" t="s">
        <v>571</v>
      </c>
      <c r="C58" s="466">
        <f ca="1">acid_clncst_fp+caustic_clncst_fp</f>
        <v>40.5</v>
      </c>
      <c r="D58" s="238" t="s">
        <v>4310</v>
      </c>
      <c r="E58" s="214"/>
    </row>
    <row r="59" spans="1:5">
      <c r="A59" s="28" t="s">
        <v>4178</v>
      </c>
      <c r="B59" s="216" t="s">
        <v>572</v>
      </c>
      <c r="C59" s="466">
        <f ca="1">ROUNDUP((VLOOKUP(chem_pump_rating,pump_dim_table_cl,3)+2*space_pumps)*(VLOOKUP(chem_pump_rating,pump_dim_table_cl,4)+2*space_pumps)+(total_chem_pumps-1)*(VLOOKUP(chem_pump_rating,pump_dim_table_cl,3)+2*space_pumps)*(VLOOKUP(chem_pump_rating,pump_dim_table_cl,4)+space_pumps),0)</f>
        <v>793</v>
      </c>
      <c r="D59" s="238" t="s">
        <v>4310</v>
      </c>
    </row>
    <row r="60" spans="1:5">
      <c r="A60" s="28" t="s">
        <v>2364</v>
      </c>
      <c r="B60" s="216" t="s">
        <v>4179</v>
      </c>
      <c r="C60" s="466">
        <f ca="1">(clean_filter_len+2*space_other_equip)*(clean_filter_wid+2*space_other_equip)+(total_clean_cart_filters-1)*(clean_filter_len+2*space_other_equip)*(clean_filter_wid+space_other_equip)</f>
        <v>213.75</v>
      </c>
      <c r="D60" s="238" t="s">
        <v>4310</v>
      </c>
    </row>
    <row r="61" spans="1:5">
      <c r="A61" s="28" t="s">
        <v>352</v>
      </c>
      <c r="B61" s="216" t="s">
        <v>503</v>
      </c>
      <c r="C61" s="466">
        <f ca="1">(sec_screen_len+2*space_other_equip)*(sec_screen_wid+2*space_other_equip)+(total_sec_screens-1)*(sec_screen_len+2*space_other_equip)*(sec_screen_wid+space_other_equip)</f>
        <v>144</v>
      </c>
      <c r="D61" s="238" t="s">
        <v>4310</v>
      </c>
    </row>
    <row r="62" spans="1:5">
      <c r="A62" s="28" t="s">
        <v>1273</v>
      </c>
      <c r="B62" s="216" t="s">
        <v>1274</v>
      </c>
      <c r="C62" s="277">
        <f ca="1">clean_feed_fp+clean_filt_fp+clean_screen_fp+clean_tank_fp+clean_chem_fp</f>
        <v>1416.25</v>
      </c>
      <c r="D62" s="238" t="s">
        <v>4310</v>
      </c>
    </row>
    <row r="63" spans="1:5">
      <c r="A63" s="28"/>
      <c r="C63" s="220"/>
      <c r="E63" s="214"/>
    </row>
    <row r="64" spans="1:5">
      <c r="A64" s="554" t="s">
        <v>5590</v>
      </c>
      <c r="E64" s="214"/>
    </row>
    <row r="65" spans="1:5">
      <c r="A65" s="221" t="s">
        <v>828</v>
      </c>
      <c r="B65" s="216" t="s">
        <v>829</v>
      </c>
      <c r="C65" s="131">
        <f ca="1">sys_element_length/12+element_extra_space</f>
        <v>5.3333333333333339</v>
      </c>
      <c r="D65" s="238" t="s">
        <v>4111</v>
      </c>
      <c r="E65" s="214" t="s">
        <v>4458</v>
      </c>
    </row>
    <row r="66" spans="1:5">
      <c r="A66" s="221" t="s">
        <v>4061</v>
      </c>
      <c r="B66" s="216" t="s">
        <v>570</v>
      </c>
      <c r="C66" s="277">
        <f ca="1">(rack_length+MAX(2*replacement_access,space_other_equip))*(total_racks*(rack_width+space_other_equip)+space_other_equip)</f>
        <v>889.33333333333337</v>
      </c>
      <c r="D66" s="238" t="s">
        <v>4310</v>
      </c>
      <c r="E66" s="146"/>
    </row>
    <row r="67" spans="1:5">
      <c r="A67" s="28"/>
    </row>
    <row r="68" spans="1:5">
      <c r="A68" s="32" t="s">
        <v>5591</v>
      </c>
    </row>
    <row r="69" spans="1:5">
      <c r="A69" s="14" t="s">
        <v>1734</v>
      </c>
      <c r="B69" s="216" t="s">
        <v>1735</v>
      </c>
      <c r="C69" s="412">
        <f ca="1">ROUNDUP(2*(MAX((2*htank_vol/7.48/PI())^(1/3),SQRT((4*htank_vol/7.48/PI()/(Building_height-ceiling_clearance))))),0)/2</f>
        <v>49</v>
      </c>
      <c r="D69" s="238" t="s">
        <v>4111</v>
      </c>
      <c r="E69" s="214" t="s">
        <v>1525</v>
      </c>
    </row>
    <row r="70" spans="1:5">
      <c r="A70" s="14" t="s">
        <v>2866</v>
      </c>
      <c r="B70" s="216" t="s">
        <v>2867</v>
      </c>
      <c r="C70" s="412">
        <f ca="1">MIN(max_space_vessels,ht_diam)</f>
        <v>6</v>
      </c>
      <c r="D70" s="238" t="s">
        <v>4111</v>
      </c>
    </row>
    <row r="71" spans="1:5">
      <c r="A71" s="93" t="s">
        <v>2870</v>
      </c>
      <c r="B71" s="216" t="s">
        <v>2871</v>
      </c>
      <c r="C71" s="14">
        <f ca="1">IF(htanks=0,0,ROUNDUP((ht_diam+2*space_ht)^2+(htanks-1)*(ht_diam+2*space_ht)*(ht_diam+space_ht),0))</f>
        <v>10431</v>
      </c>
      <c r="D71" s="238" t="s">
        <v>4310</v>
      </c>
      <c r="E71" s="214"/>
    </row>
    <row r="72" spans="1:5">
      <c r="A72" s="28" t="s">
        <v>2868</v>
      </c>
      <c r="B72" s="216" t="s">
        <v>2869</v>
      </c>
      <c r="C72" s="14">
        <f ca="1">IF(res_pumps=0,0,ROUNDUP((VLOOKUP(res_pump_rating,pump_dim_table_cl,3)+2*space_pumps)*(VLOOKUP(res_pump_rating,pump_dim_table_cl,4)+2*space_pumps)+(res_pumps-1)*(VLOOKUP(res_pump_rating,pump_dim_table_cl,3)+2*space_pumps)*(VLOOKUP(res_pump_rating,pump_dim_table_cl,4)+space_pumps),0))</f>
        <v>230</v>
      </c>
      <c r="D72" s="238" t="s">
        <v>4310</v>
      </c>
      <c r="E72" s="214"/>
    </row>
    <row r="73" spans="1:5">
      <c r="A73" s="28" t="s">
        <v>1415</v>
      </c>
      <c r="B73" s="216" t="s">
        <v>3823</v>
      </c>
      <c r="C73" s="14">
        <f>IF(res_transfer_method=1,ROUNDUP(IF(res_transfer_rate&lt;40000,99.152*res_transfer_rate^0.0434,0.8761*res_transfer_rate^0.49),0),0)</f>
        <v>0</v>
      </c>
      <c r="D73" s="238" t="s">
        <v>4310</v>
      </c>
      <c r="E73" s="214" t="s">
        <v>1416</v>
      </c>
    </row>
    <row r="74" spans="1:5">
      <c r="A74" s="28" t="s">
        <v>1275</v>
      </c>
      <c r="B74" s="216" t="s">
        <v>1276</v>
      </c>
      <c r="C74" s="220">
        <f ca="1">htank_fp+res_pump_fp+res_solids_xfer_fp</f>
        <v>10661</v>
      </c>
      <c r="D74" s="238" t="s">
        <v>4310</v>
      </c>
      <c r="E74" s="146"/>
    </row>
    <row r="75" spans="1:5">
      <c r="A75" s="28"/>
    </row>
    <row r="76" spans="1:5">
      <c r="A76" s="32" t="s">
        <v>827</v>
      </c>
    </row>
    <row r="77" spans="1:5">
      <c r="A77" s="14" t="s">
        <v>764</v>
      </c>
      <c r="B77" s="216" t="s">
        <v>765</v>
      </c>
      <c r="C77" s="14">
        <f>VLOOKUP(design_flow,labor_table_cl,3)*space_office</f>
        <v>160</v>
      </c>
      <c r="D77" s="238" t="s">
        <v>4310</v>
      </c>
    </row>
    <row r="79" spans="1:5">
      <c r="A79" s="93" t="s">
        <v>2872</v>
      </c>
      <c r="B79" s="216" t="s">
        <v>2873</v>
      </c>
      <c r="C79" s="277">
        <f ca="1">influent_fp+boost_pump_fp+pretreat_fp+clean_fp+membrane_fp+res_fp+office_fp+bypass_pump_fp</f>
        <v>14205.583333333334</v>
      </c>
      <c r="D79" s="238" t="s">
        <v>4310</v>
      </c>
    </row>
    <row r="80" spans="1:5">
      <c r="A80" s="93" t="s">
        <v>1279</v>
      </c>
      <c r="B80" s="216" t="s">
        <v>1280</v>
      </c>
      <c r="C80" s="277">
        <f ca="1">IF(fp_required&lt;=add_2nd_building,1,IF(fp_required&lt;=add_3rd_building,2,3))</f>
        <v>2</v>
      </c>
    </row>
    <row r="81" spans="1:5">
      <c r="A81" s="28" t="s">
        <v>2860</v>
      </c>
      <c r="B81" s="216" t="s">
        <v>2863</v>
      </c>
      <c r="C81" s="21">
        <f ca="1">ROUNDUP(CHOOSE(num_buildings,influent_fp+bypass_pump_fp+boost_pump_fp+pretreat_fp+clean_fp+membrane_fp+res_fp+office_fp,influent_fp+bypass_pump_fp+pretreat_fp,influent_fp+bypass_pump_fp),-1)</f>
        <v>1080</v>
      </c>
      <c r="D81" s="238" t="s">
        <v>4310</v>
      </c>
      <c r="E81" s="214" t="s">
        <v>2642</v>
      </c>
    </row>
    <row r="82" spans="1:5">
      <c r="A82" s="28" t="s">
        <v>2862</v>
      </c>
      <c r="B82" s="216" t="s">
        <v>2864</v>
      </c>
      <c r="C82" s="21">
        <f ca="1">ROUNDUP(CHOOSE(num_buildings,0,boost_pump_fp+clean_fp+membrane_fp+res_fp+office_fp,pretreat_fp),-1)</f>
        <v>13130</v>
      </c>
      <c r="D82" s="238" t="s">
        <v>4310</v>
      </c>
      <c r="E82" s="214" t="s">
        <v>1283</v>
      </c>
    </row>
    <row r="83" spans="1:5">
      <c r="A83" s="28" t="s">
        <v>2861</v>
      </c>
      <c r="B83" s="216" t="s">
        <v>2844</v>
      </c>
      <c r="C83" s="21">
        <f ca="1">ROUNDUP(CHOOSE(num_buildings,0,0,clean_fp+membrane_fp+boost_pump_fp+res_fp+office_fp),-1)</f>
        <v>0</v>
      </c>
      <c r="D83" s="238" t="s">
        <v>4310</v>
      </c>
      <c r="E83" s="214" t="s">
        <v>1284</v>
      </c>
    </row>
    <row r="84" spans="1:5">
      <c r="A84" s="14" t="s">
        <v>3072</v>
      </c>
      <c r="B84" s="216" t="s">
        <v>4313</v>
      </c>
      <c r="C84" s="14">
        <f ca="1">build1_fp+build2_fp+build3_fp</f>
        <v>14210</v>
      </c>
      <c r="D84" s="238" t="s">
        <v>4310</v>
      </c>
      <c r="E84" s="214"/>
    </row>
    <row r="85" spans="1:5">
      <c r="E85" s="214"/>
    </row>
    <row r="86" spans="1:5">
      <c r="A86" s="14" t="s">
        <v>1285</v>
      </c>
      <c r="B86" s="216" t="s">
        <v>1286</v>
      </c>
      <c r="C86" s="224">
        <f ca="1">(influent_fp*VLOOKUP(inf_pump_rating,inf_dim_table_cl,4)+boost_2_fp*VLOOKUP(boost_pump_2_mgd,inf_dim_table_cl,4)+boost_3_fp*VLOOKUP(boost_pump_3_mgd,inf_dim_table_cl,4))/27</f>
        <v>18.567901234567902</v>
      </c>
      <c r="D86" s="238" t="s">
        <v>2349</v>
      </c>
      <c r="E86" s="214"/>
    </row>
    <row r="87" spans="1:5">
      <c r="A87" s="21" t="s">
        <v>5053</v>
      </c>
      <c r="B87" s="669" t="s">
        <v>5054</v>
      </c>
      <c r="C87" s="224">
        <f ca="1">membrane_fp*pad_vessels/27</f>
        <v>16.469135802469136</v>
      </c>
      <c r="D87" s="238" t="s">
        <v>2349</v>
      </c>
      <c r="E87" s="214"/>
    </row>
    <row r="88" spans="1:5">
      <c r="A88" s="14" t="s">
        <v>3073</v>
      </c>
      <c r="B88" s="216" t="s">
        <v>2348</v>
      </c>
      <c r="C88" s="14">
        <f ca="1">ROUNDUP((fp_required-office_fp-influent_fp-boost_pump_fp-membrane_fp)*IF(ss_cat2=1,pad_thick_small,pad_thick)/27+concrete_pumps+concrete_racks,0)</f>
        <v>272</v>
      </c>
      <c r="D88" s="238" t="s">
        <v>2349</v>
      </c>
    </row>
    <row r="89" spans="1:5">
      <c r="A89" s="93" t="s">
        <v>2205</v>
      </c>
      <c r="B89" s="216" t="s">
        <v>2206</v>
      </c>
      <c r="C89" s="14">
        <f ca="1">ROUNDUP(total_fp^0.5,-1)</f>
        <v>120</v>
      </c>
      <c r="D89" s="898" t="s">
        <v>4111</v>
      </c>
      <c r="E89" s="214"/>
    </row>
    <row r="90" spans="1:5">
      <c r="A90" s="14" t="s">
        <v>448</v>
      </c>
      <c r="B90" s="216" t="s">
        <v>450</v>
      </c>
      <c r="C90" s="14">
        <f>ROUNDUP(hbasins*hbasin_length*hbasin_width*2,0)</f>
        <v>0</v>
      </c>
      <c r="D90" s="238" t="s">
        <v>4310</v>
      </c>
      <c r="E90" s="28"/>
    </row>
    <row r="91" spans="1:5">
      <c r="A91" s="14" t="s">
        <v>449</v>
      </c>
      <c r="B91" s="216" t="s">
        <v>451</v>
      </c>
      <c r="C91" s="14">
        <f>IF(hlagoons=0,0,ROUNDUP((hl_side+2*non_fire_buffer)^2+(hlagoons-1)*(hl_side+2*non_fire_buffer)*(hl_side+non_fire_buffer),0))</f>
        <v>0</v>
      </c>
      <c r="D91" s="238" t="s">
        <v>4310</v>
      </c>
      <c r="E91" s="214"/>
    </row>
    <row r="92" spans="1:5">
      <c r="A92" s="93" t="s">
        <v>2874</v>
      </c>
      <c r="B92" s="216" t="s">
        <v>447</v>
      </c>
      <c r="C92" s="14">
        <f>IF(ep_cells=0,0,ROUNDUP((ep_cell_side+2*non_fire_buffer)^2+(ep_cells-1)*(ep_cell_side+2*non_fire_buffer)*(ep_cell_side+non_fire_buffer),0))</f>
        <v>0</v>
      </c>
      <c r="D92" s="238" t="s">
        <v>4310</v>
      </c>
    </row>
    <row r="93" spans="1:5">
      <c r="A93" s="93" t="s">
        <v>1858</v>
      </c>
      <c r="B93" s="216" t="s">
        <v>2858</v>
      </c>
      <c r="C93" s="130">
        <f ca="1">ROUNDUP(((build1_fp)^0.5+(2*non_fire_buffer))*((build1_fp)^0.5+(non_fire_buffer+fire_buffer))+IF(build2_fp=0,0,((build2_fp)^0.5+(2*non_fire_buffer))*((build2_fp)^0.5+(non_fire_buffer+fire_buffer)))+IF(build3_fp=0,0,((build3_fp)^0.5+(2*non_fire_buffer))*((build3_fp)^0.5+(non_fire_buffer+fire_buffer)))+hbasin_fp+hlagoon_fp+ep_fp+solids_pad_area,-2)/43560</f>
        <v>0.61065197428833795</v>
      </c>
      <c r="D93" s="898" t="s">
        <v>2859</v>
      </c>
      <c r="E93" s="214" t="s">
        <v>775</v>
      </c>
    </row>
    <row r="95" spans="1:5">
      <c r="A95" s="28" t="s">
        <v>2259</v>
      </c>
      <c r="B95" s="216" t="s">
        <v>2260</v>
      </c>
      <c r="C95" s="14">
        <f>VLOOKUP(design_flow,land_cost_cl,3)</f>
        <v>31219.845835377939</v>
      </c>
      <c r="D95" s="1005" t="s">
        <v>2261</v>
      </c>
    </row>
  </sheetData>
  <phoneticPr fontId="27" type="noConversion"/>
  <pageMargins left="0.75" right="0.75" top="1" bottom="1" header="0.5" footer="0.5"/>
  <pageSetup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A1:E95"/>
  <sheetViews>
    <sheetView zoomScaleNormal="100" workbookViewId="0">
      <pane ySplit="3" topLeftCell="A4" activePane="bottomLeft" state="frozen"/>
      <selection pane="bottomLeft"/>
    </sheetView>
  </sheetViews>
  <sheetFormatPr baseColWidth="10" defaultColWidth="9.1640625" defaultRowHeight="13"/>
  <cols>
    <col min="1" max="1" width="50.5" style="77" bestFit="1" customWidth="1"/>
    <col min="2" max="2" width="24" style="67" customWidth="1"/>
    <col min="3" max="3" width="9.1640625" style="77"/>
    <col min="4" max="4" width="25.5" style="77" customWidth="1"/>
    <col min="5" max="16384" width="9.1640625" style="77"/>
  </cols>
  <sheetData>
    <row r="1" spans="1:5">
      <c r="A1" s="20" t="s">
        <v>5496</v>
      </c>
    </row>
    <row r="3" spans="1:5">
      <c r="A3" s="235" t="s">
        <v>5172</v>
      </c>
      <c r="B3" s="236" t="s">
        <v>1989</v>
      </c>
      <c r="C3" s="237" t="s">
        <v>1990</v>
      </c>
      <c r="D3" s="236" t="s">
        <v>2961</v>
      </c>
      <c r="E3" s="236" t="s">
        <v>1991</v>
      </c>
    </row>
    <row r="4" spans="1:5">
      <c r="A4" s="101" t="s">
        <v>3064</v>
      </c>
    </row>
    <row r="5" spans="1:5" ht="28">
      <c r="A5" s="91" t="s">
        <v>3819</v>
      </c>
      <c r="B5" s="67" t="s">
        <v>3820</v>
      </c>
      <c r="C5" s="77" t="str">
        <f>IF(LEN(component_level_I)=0,"",VLOOKUP(component_level_I,component_level_table,2,FALSE))</f>
        <v/>
      </c>
      <c r="D5" s="674" t="s">
        <v>1696</v>
      </c>
    </row>
    <row r="6" spans="1:5" ht="42">
      <c r="A6" s="77" t="s">
        <v>3594</v>
      </c>
      <c r="B6" s="67" t="s">
        <v>3590</v>
      </c>
      <c r="C6" s="77">
        <f>IF(LEN(manual_I)=0,3,VLOOKUP(manual_I,auto_table,2,FALSE))</f>
        <v>3</v>
      </c>
      <c r="D6" s="674" t="s">
        <v>559</v>
      </c>
      <c r="E6" s="78" t="s">
        <v>560</v>
      </c>
    </row>
    <row r="7" spans="1:5">
      <c r="E7" s="78"/>
    </row>
    <row r="8" spans="1:5">
      <c r="A8" s="101" t="s">
        <v>441</v>
      </c>
      <c r="B8" s="77"/>
    </row>
    <row r="9" spans="1:5">
      <c r="A9" s="151" t="s">
        <v>5574</v>
      </c>
      <c r="B9" s="67" t="s">
        <v>2817</v>
      </c>
      <c r="C9" s="77">
        <f>in_out_pipe_diam</f>
        <v>10</v>
      </c>
      <c r="D9" s="77" t="s">
        <v>2156</v>
      </c>
    </row>
    <row r="10" spans="1:5">
      <c r="A10" s="77" t="s">
        <v>531</v>
      </c>
      <c r="B10" s="67" t="s">
        <v>530</v>
      </c>
      <c r="C10" s="77">
        <f ca="1">VLOOKUP(acid_mpump_rating/60,pipe_size_table_cl,2)</f>
        <v>0.5</v>
      </c>
      <c r="D10" s="77" t="s">
        <v>2156</v>
      </c>
    </row>
    <row r="11" spans="1:5">
      <c r="A11" s="77" t="s">
        <v>532</v>
      </c>
      <c r="B11" s="67" t="s">
        <v>533</v>
      </c>
      <c r="C11" s="77">
        <f>VLOOKUP(anti_mpump_rating/60,pipe_size_table_cl,2)</f>
        <v>0.5</v>
      </c>
      <c r="D11" s="77" t="s">
        <v>2156</v>
      </c>
    </row>
    <row r="12" spans="1:5">
      <c r="A12" s="77" t="s">
        <v>534</v>
      </c>
      <c r="B12" s="67" t="s">
        <v>535</v>
      </c>
      <c r="C12" s="77">
        <f ca="1">feed_hdr_diam</f>
        <v>6</v>
      </c>
      <c r="D12" s="77" t="s">
        <v>2156</v>
      </c>
    </row>
    <row r="13" spans="1:5">
      <c r="A13" s="77" t="s">
        <v>4695</v>
      </c>
      <c r="B13" s="67" t="s">
        <v>4696</v>
      </c>
      <c r="C13" s="77">
        <f ca="1">conc_pipe_diam</f>
        <v>6</v>
      </c>
      <c r="D13" s="77" t="s">
        <v>2156</v>
      </c>
    </row>
    <row r="14" spans="1:5">
      <c r="A14" s="77" t="s">
        <v>539</v>
      </c>
      <c r="B14" s="67" t="s">
        <v>2746</v>
      </c>
      <c r="C14" s="77">
        <f>VLOOKUP(boost_pump_2_gpm,pipe_size_table_cl,2)</f>
        <v>0.5</v>
      </c>
      <c r="D14" s="77" t="s">
        <v>2156</v>
      </c>
    </row>
    <row r="15" spans="1:5">
      <c r="A15" s="77" t="s">
        <v>540</v>
      </c>
      <c r="B15" s="67" t="s">
        <v>2747</v>
      </c>
      <c r="C15" s="77">
        <f>VLOOKUP(boost_pump_3_gpm,pipe_size_table_cl,2)</f>
        <v>0.5</v>
      </c>
      <c r="D15" s="77" t="s">
        <v>2156</v>
      </c>
    </row>
    <row r="16" spans="1:5">
      <c r="A16" s="77" t="s">
        <v>4653</v>
      </c>
      <c r="B16" s="67" t="s">
        <v>4654</v>
      </c>
      <c r="C16" s="106">
        <f>(stg_1 perm_flow_v)*num_vess_1_out</f>
        <v>549.05887251319257</v>
      </c>
      <c r="D16" s="77" t="s">
        <v>2193</v>
      </c>
    </row>
    <row r="17" spans="1:5" s="137" customFormat="1">
      <c r="A17" s="14" t="s">
        <v>536</v>
      </c>
      <c r="B17" s="31" t="s">
        <v>3291</v>
      </c>
      <c r="C17" s="220">
        <f>VLOOKUP(perm_flow_rack_1,pipe_size_table_cl,2)</f>
        <v>6</v>
      </c>
      <c r="D17" s="77" t="s">
        <v>2156</v>
      </c>
      <c r="E17" s="146"/>
    </row>
    <row r="18" spans="1:5" s="137" customFormat="1">
      <c r="A18" s="77" t="s">
        <v>4655</v>
      </c>
      <c r="B18" s="67" t="s">
        <v>4656</v>
      </c>
      <c r="C18" s="106">
        <f>(stg_2 perm_flow_v)*num_vess_2_out</f>
        <v>203.92960639184685</v>
      </c>
      <c r="D18" s="77" t="s">
        <v>2193</v>
      </c>
      <c r="E18" s="146"/>
    </row>
    <row r="19" spans="1:5" s="137" customFormat="1">
      <c r="A19" s="14" t="s">
        <v>537</v>
      </c>
      <c r="B19" s="31" t="s">
        <v>2968</v>
      </c>
      <c r="C19" s="220">
        <f>IF(num_vess_2_out=0,0,VLOOKUP(perm_flow_rack_2,pipe_size_table_cl,2))</f>
        <v>4</v>
      </c>
      <c r="D19" s="77" t="s">
        <v>2156</v>
      </c>
      <c r="E19" s="214"/>
    </row>
    <row r="20" spans="1:5" s="137" customFormat="1">
      <c r="A20" s="77" t="s">
        <v>4657</v>
      </c>
      <c r="B20" s="67" t="s">
        <v>4658</v>
      </c>
      <c r="C20" s="106">
        <f>(stg_3 perm_flow_v)*num_vess_3_out</f>
        <v>0</v>
      </c>
      <c r="D20" s="77" t="s">
        <v>2193</v>
      </c>
      <c r="E20" s="214"/>
    </row>
    <row r="21" spans="1:5" s="137" customFormat="1">
      <c r="A21" s="14" t="s">
        <v>538</v>
      </c>
      <c r="B21" s="31" t="s">
        <v>2969</v>
      </c>
      <c r="C21" s="220">
        <f>IF(num_vess_3_out=0,0,VLOOKUP(perm_flow_rack_3,pipe_size_table_cl,2))</f>
        <v>0</v>
      </c>
      <c r="D21" s="77" t="s">
        <v>2156</v>
      </c>
      <c r="E21" s="214"/>
    </row>
    <row r="22" spans="1:5">
      <c r="A22" s="229" t="s">
        <v>2748</v>
      </c>
      <c r="B22" s="75" t="s">
        <v>2749</v>
      </c>
      <c r="C22" s="229">
        <f ca="1">clean_pipe_diam</f>
        <v>4</v>
      </c>
      <c r="D22" s="77" t="s">
        <v>2156</v>
      </c>
    </row>
    <row r="23" spans="1:5">
      <c r="A23" s="77" t="s">
        <v>2818</v>
      </c>
      <c r="B23" s="67" t="s">
        <v>2819</v>
      </c>
      <c r="C23" s="229">
        <f>bp_pipe_diam</f>
        <v>0</v>
      </c>
      <c r="D23" s="77" t="s">
        <v>2156</v>
      </c>
    </row>
    <row r="25" spans="1:5">
      <c r="A25" s="229" t="s">
        <v>2751</v>
      </c>
      <c r="B25" s="75" t="s">
        <v>2755</v>
      </c>
      <c r="C25" s="229">
        <f ca="1">acid_mpumps*VLOOKUP("pre_MOV_acid",valve_table,manual+1,FALSE)</f>
        <v>4</v>
      </c>
      <c r="D25" s="229" t="s">
        <v>2192</v>
      </c>
    </row>
    <row r="26" spans="1:5">
      <c r="A26" s="229" t="s">
        <v>2750</v>
      </c>
      <c r="B26" s="75" t="s">
        <v>3411</v>
      </c>
      <c r="C26" s="229">
        <f>anti_mpumps*VLOOKUP("pre_MOV_anti",valve_table,manual+1,FALSE)</f>
        <v>4</v>
      </c>
      <c r="D26" s="229" t="s">
        <v>2192</v>
      </c>
    </row>
    <row r="27" spans="1:5">
      <c r="A27" s="229" t="s">
        <v>2752</v>
      </c>
      <c r="B27" s="75" t="s">
        <v>2756</v>
      </c>
      <c r="C27" s="229">
        <f ca="1">num_filters*VLOOKUP("feed_MOV_filter",valve_table,manual+1,FALSE)+total_inf_pumps*VLOOKUP("feed_MOV_fpump",valve_table,manual+1,FALSE)</f>
        <v>5</v>
      </c>
      <c r="D27" s="229" t="s">
        <v>2192</v>
      </c>
    </row>
    <row r="28" spans="1:5">
      <c r="A28" s="229" t="s">
        <v>4691</v>
      </c>
      <c r="B28" s="75" t="s">
        <v>4692</v>
      </c>
      <c r="C28" s="229">
        <f ca="1">total_racks*VLOOKUP("conc_MOV_rack",valve_table,manual+1, FALSE)</f>
        <v>2</v>
      </c>
      <c r="D28" s="229" t="s">
        <v>2192</v>
      </c>
    </row>
    <row r="29" spans="1:5">
      <c r="A29" s="229" t="s">
        <v>2753</v>
      </c>
      <c r="B29" s="75" t="s">
        <v>2757</v>
      </c>
      <c r="C29" s="229">
        <f>boost_pumps_2_tot*VLOOKUP("feed_MOV_bpump",valve_table,manual+1,FALSE)</f>
        <v>0</v>
      </c>
      <c r="D29" s="229" t="s">
        <v>2192</v>
      </c>
    </row>
    <row r="30" spans="1:5">
      <c r="A30" s="229" t="s">
        <v>2754</v>
      </c>
      <c r="B30" s="75" t="s">
        <v>2758</v>
      </c>
      <c r="C30" s="229">
        <f>boost_pumps_3_tot*VLOOKUP("feed_MOV_bpump",valve_table,manual+1,FALSE)</f>
        <v>0</v>
      </c>
      <c r="D30" s="229" t="s">
        <v>2192</v>
      </c>
    </row>
    <row r="31" spans="1:5" s="137" customFormat="1">
      <c r="A31" s="14" t="s">
        <v>4050</v>
      </c>
      <c r="B31" s="31" t="s">
        <v>2759</v>
      </c>
      <c r="C31" s="14">
        <f>IF(P_throttle_1_try&gt;0,total_racks*VLOOKUP("perm_MOV_throt",valve_table,manual+1,FALSE),0)</f>
        <v>0</v>
      </c>
      <c r="D31" s="229" t="s">
        <v>2192</v>
      </c>
      <c r="E31" s="214"/>
    </row>
    <row r="32" spans="1:5" s="137" customFormat="1">
      <c r="A32" s="14" t="s">
        <v>4051</v>
      </c>
      <c r="B32" s="31" t="s">
        <v>2760</v>
      </c>
      <c r="C32" s="14">
        <f>IF(P_throttle_2_try&gt;0,total_racks*VLOOKUP("perm_MOV_throt",valve_table,manual+1,FALSE),0)</f>
        <v>0</v>
      </c>
      <c r="D32" s="229" t="s">
        <v>2192</v>
      </c>
      <c r="E32" s="214"/>
    </row>
    <row r="33" spans="1:5" s="137" customFormat="1">
      <c r="A33" s="14" t="s">
        <v>4052</v>
      </c>
      <c r="B33" s="31" t="s">
        <v>2761</v>
      </c>
      <c r="C33" s="14">
        <f>IF(P_throttle_3_try&gt;0,total_racks*VLOOKUP("perm_MOV_throt",valve_table,manual+1,FALSE),0)</f>
        <v>0</v>
      </c>
      <c r="D33" s="229" t="s">
        <v>2192</v>
      </c>
      <c r="E33" s="214"/>
    </row>
    <row r="34" spans="1:5">
      <c r="A34" s="229" t="s">
        <v>4043</v>
      </c>
      <c r="B34" s="75" t="s">
        <v>3768</v>
      </c>
      <c r="C34" s="229">
        <f ca="1">total_chem_tanks*VLOOKUP("clean_MOV_tank",valve_table,manual+1,FALSE)+total_chem_pumps*VLOOKUP("clean_MOV_pump",valve_table,manual+1,FALSE)+total_racks*n_stages*VLOOKUP("clean_MOV_rack",valve_table,manual+1,FALSE)+total_racks*n_stages*VLOOKUP("res_cln_MOV_rack",valve_table,manual+1,FALSE)</f>
        <v>40</v>
      </c>
      <c r="D34" s="229" t="s">
        <v>2192</v>
      </c>
      <c r="E34" s="78" t="s">
        <v>5110</v>
      </c>
    </row>
    <row r="35" spans="1:5">
      <c r="A35" s="229" t="s">
        <v>4044</v>
      </c>
      <c r="B35" s="75" t="s">
        <v>3531</v>
      </c>
      <c r="C35" s="229">
        <f>IF(bp_pct=0,0,VLOOKUP("tot_bp_MOVs",valve_table,manual+1,FALSE))</f>
        <v>0</v>
      </c>
      <c r="D35" s="229" t="s">
        <v>2192</v>
      </c>
    </row>
    <row r="36" spans="1:5">
      <c r="A36" s="77" t="s">
        <v>2820</v>
      </c>
      <c r="B36" s="67" t="s">
        <v>2821</v>
      </c>
      <c r="C36" s="77">
        <f ca="1">tot_pretreat_acid_MOVs+tot_antiscalant_MOVs+tot_feed_MOVs+tot_conc_MOVs+tot_boost_2_MOVs+tot_boost_3_MOVs+tot_perm_1_MOVs+tot_perm_2_MOVs+tot_perm_3_MOVs+tot_clean_MOVs+tot_bp_MOVs+total_res_MOVs</f>
        <v>60</v>
      </c>
      <c r="D36" s="77" t="s">
        <v>2627</v>
      </c>
    </row>
    <row r="38" spans="1:5">
      <c r="A38" s="229" t="s">
        <v>4045</v>
      </c>
      <c r="B38" s="75" t="s">
        <v>4036</v>
      </c>
      <c r="C38" s="229">
        <f ca="1">acid_mpumps*VLOOKUP("pre_man_acid",valve_table,manual+1,FALSE)</f>
        <v>0</v>
      </c>
      <c r="D38" s="229" t="s">
        <v>2192</v>
      </c>
    </row>
    <row r="39" spans="1:5">
      <c r="A39" s="229" t="s">
        <v>4046</v>
      </c>
      <c r="B39" s="75" t="s">
        <v>3412</v>
      </c>
      <c r="C39" s="229">
        <f>anti_mpumps*VLOOKUP("pre_man_anti",valve_table,manual+1,FALSE)</f>
        <v>0</v>
      </c>
      <c r="D39" s="229" t="s">
        <v>2192</v>
      </c>
    </row>
    <row r="40" spans="1:5">
      <c r="A40" s="229" t="s">
        <v>4047</v>
      </c>
      <c r="B40" s="75" t="s">
        <v>4037</v>
      </c>
      <c r="C40" s="229">
        <f ca="1">num_filters*VLOOKUP("feed_man_filter",valve_table,manual+1,FALSE)+total_inf_pumps*VLOOKUP("feed_man_fpump",valve_table,manual+1,FALSE)</f>
        <v>0</v>
      </c>
      <c r="D40" s="229" t="s">
        <v>2192</v>
      </c>
    </row>
    <row r="41" spans="1:5">
      <c r="A41" s="229" t="s">
        <v>4693</v>
      </c>
      <c r="B41" s="75" t="s">
        <v>4694</v>
      </c>
      <c r="C41" s="229">
        <f ca="1">total_racks*VLOOKUP("conc_man_rack",valve_table,manual+1, FALSE)</f>
        <v>0</v>
      </c>
      <c r="D41" s="229" t="s">
        <v>2192</v>
      </c>
    </row>
    <row r="42" spans="1:5">
      <c r="A42" s="229" t="s">
        <v>4048</v>
      </c>
      <c r="B42" s="75" t="s">
        <v>4038</v>
      </c>
      <c r="C42" s="229">
        <f>boost_pumps_2_tot*VLOOKUP("feed_man_bpump",valve_table,manual+1,FALSE)</f>
        <v>0</v>
      </c>
      <c r="D42" s="229" t="s">
        <v>2192</v>
      </c>
    </row>
    <row r="43" spans="1:5">
      <c r="A43" s="229" t="s">
        <v>4049</v>
      </c>
      <c r="B43" s="75" t="s">
        <v>4039</v>
      </c>
      <c r="C43" s="229">
        <f>boost_pumps_3_tot*VLOOKUP("feed_man_bpump",valve_table,manual+1,FALSE)</f>
        <v>0</v>
      </c>
      <c r="D43" s="229" t="s">
        <v>2192</v>
      </c>
    </row>
    <row r="44" spans="1:5" s="137" customFormat="1">
      <c r="A44" s="14" t="s">
        <v>4053</v>
      </c>
      <c r="B44" s="31" t="s">
        <v>4040</v>
      </c>
      <c r="C44" s="14">
        <f>IF(P_throttle_1_try&gt;0,total_racks*VLOOKUP("perm_man_throt",valve_table,manual+1,FALSE),0)</f>
        <v>0</v>
      </c>
      <c r="D44" s="229" t="s">
        <v>2192</v>
      </c>
      <c r="E44" s="214"/>
    </row>
    <row r="45" spans="1:5" s="137" customFormat="1">
      <c r="A45" s="14" t="s">
        <v>4054</v>
      </c>
      <c r="B45" s="31" t="s">
        <v>4041</v>
      </c>
      <c r="C45" s="14">
        <f>IF(P_throttle_2_try&gt;0,total_racks*VLOOKUP("perm_man_throt",valve_table,manual+1,FALSE),0)</f>
        <v>0</v>
      </c>
      <c r="D45" s="229" t="s">
        <v>2192</v>
      </c>
      <c r="E45" s="214"/>
    </row>
    <row r="46" spans="1:5" s="137" customFormat="1">
      <c r="A46" s="14" t="s">
        <v>4055</v>
      </c>
      <c r="B46" s="31" t="s">
        <v>4042</v>
      </c>
      <c r="C46" s="14">
        <f>IF(P_throttle_3_try&gt;0,total_racks*VLOOKUP("perm_man_throt",valve_table,manual+1,FALSE),0)</f>
        <v>0</v>
      </c>
      <c r="D46" s="229" t="s">
        <v>2192</v>
      </c>
      <c r="E46" s="214"/>
    </row>
    <row r="47" spans="1:5">
      <c r="A47" s="229" t="s">
        <v>4056</v>
      </c>
      <c r="B47" s="75" t="s">
        <v>3769</v>
      </c>
      <c r="C47" s="229">
        <f ca="1">total_chem_tanks*VLOOKUP("clean_man_tank",valve_table,manual+1,FALSE)+total_chem_pumps*VLOOKUP("clean_man_pump",valve_table,manual+1,FALSE)+total_racks*n_stages*VLOOKUP("clean_man_rack",valve_table,manual+1,FALSE)+total_racks*n_stages*VLOOKUP("res_cln_man_rack",valve_table,manual+1,FALSE)</f>
        <v>0</v>
      </c>
      <c r="D47" s="229" t="s">
        <v>2192</v>
      </c>
      <c r="E47" s="78" t="s">
        <v>5110</v>
      </c>
    </row>
    <row r="48" spans="1:5">
      <c r="A48" s="229" t="s">
        <v>2822</v>
      </c>
      <c r="B48" s="75" t="s">
        <v>3535</v>
      </c>
      <c r="C48" s="229">
        <f>IF(bp_pct=0,0,VLOOKUP("tot_bp_man",valve_table,manual+1,FALSE))</f>
        <v>0</v>
      </c>
      <c r="D48" s="229" t="s">
        <v>2192</v>
      </c>
    </row>
    <row r="49" spans="1:4">
      <c r="A49" s="229"/>
      <c r="B49" s="75"/>
      <c r="C49" s="229"/>
      <c r="D49" s="229"/>
    </row>
    <row r="50" spans="1:4">
      <c r="A50" s="91" t="s">
        <v>5085</v>
      </c>
      <c r="B50" s="743" t="s">
        <v>5084</v>
      </c>
      <c r="C50" s="77">
        <f ca="1">+total_clean_cart_filters*cleaning_chv</f>
        <v>3</v>
      </c>
      <c r="D50" s="91" t="s">
        <v>2192</v>
      </c>
    </row>
    <row r="51" spans="1:4">
      <c r="A51" s="91" t="s">
        <v>5086</v>
      </c>
      <c r="B51" s="743" t="s">
        <v>5087</v>
      </c>
      <c r="C51" s="77">
        <f ca="1">+total_inf_pumps*feedpump_chv</f>
        <v>2</v>
      </c>
      <c r="D51" s="91" t="s">
        <v>2192</v>
      </c>
    </row>
    <row r="53" spans="1:4">
      <c r="A53" s="77" t="s">
        <v>2823</v>
      </c>
      <c r="B53" s="67" t="s">
        <v>2824</v>
      </c>
      <c r="C53" s="77">
        <f>in_out_pipe_diam</f>
        <v>10</v>
      </c>
      <c r="D53" s="77" t="s">
        <v>2156</v>
      </c>
    </row>
    <row r="54" spans="1:4">
      <c r="A54" s="77" t="s">
        <v>4659</v>
      </c>
      <c r="B54" s="67" t="s">
        <v>1821</v>
      </c>
      <c r="C54" s="77">
        <f ca="1">feed_hdr_diam</f>
        <v>6</v>
      </c>
      <c r="D54" s="77" t="s">
        <v>2156</v>
      </c>
    </row>
    <row r="55" spans="1:4">
      <c r="A55" s="77" t="s">
        <v>4660</v>
      </c>
      <c r="B55" s="75" t="s">
        <v>1822</v>
      </c>
      <c r="C55" s="229">
        <f ca="1">fm_rack_feed*total_racks</f>
        <v>2</v>
      </c>
      <c r="D55" s="77" t="s">
        <v>2192</v>
      </c>
    </row>
    <row r="56" spans="1:4">
      <c r="A56" s="77" t="s">
        <v>4661</v>
      </c>
      <c r="B56" s="67" t="s">
        <v>824</v>
      </c>
      <c r="C56" s="77">
        <f ca="1">perm_hdr_diam</f>
        <v>6</v>
      </c>
      <c r="D56" s="77" t="s">
        <v>2156</v>
      </c>
    </row>
    <row r="57" spans="1:4">
      <c r="A57" s="77" t="s">
        <v>4662</v>
      </c>
      <c r="B57" s="75" t="s">
        <v>825</v>
      </c>
      <c r="C57" s="229">
        <f ca="1">fm_rack_perm*total_racks</f>
        <v>2</v>
      </c>
      <c r="D57" s="77" t="s">
        <v>2192</v>
      </c>
    </row>
    <row r="58" spans="1:4">
      <c r="A58" s="77" t="s">
        <v>4663</v>
      </c>
      <c r="B58" s="75" t="s">
        <v>4517</v>
      </c>
      <c r="C58" s="229">
        <f ca="1">conc_pipe_diam</f>
        <v>6</v>
      </c>
      <c r="D58" s="77" t="s">
        <v>2156</v>
      </c>
    </row>
    <row r="59" spans="1:4">
      <c r="A59" s="77" t="s">
        <v>4664</v>
      </c>
      <c r="B59" s="75" t="s">
        <v>4516</v>
      </c>
      <c r="C59" s="229">
        <f ca="1">fm_rack_conc*total_racks</f>
        <v>2</v>
      </c>
      <c r="D59" s="77" t="s">
        <v>2192</v>
      </c>
    </row>
    <row r="60" spans="1:4">
      <c r="A60" s="77" t="s">
        <v>3492</v>
      </c>
      <c r="B60" s="75" t="s">
        <v>3493</v>
      </c>
      <c r="C60" s="229">
        <f ca="1">clean_pipe_diam</f>
        <v>4</v>
      </c>
      <c r="D60" s="77" t="s">
        <v>2156</v>
      </c>
    </row>
    <row r="61" spans="1:4">
      <c r="A61" s="77" t="s">
        <v>3494</v>
      </c>
      <c r="B61" s="75" t="s">
        <v>3495</v>
      </c>
      <c r="C61" s="229">
        <f ca="1">fm_clean*total_chem_pumps</f>
        <v>11</v>
      </c>
      <c r="D61" s="77" t="s">
        <v>2192</v>
      </c>
    </row>
    <row r="63" spans="1:4">
      <c r="A63" s="77" t="s">
        <v>2825</v>
      </c>
      <c r="B63" s="67" t="s">
        <v>2826</v>
      </c>
      <c r="C63" s="77">
        <f ca="1">level_switch_clean_tank*total_chem_tanks</f>
        <v>2</v>
      </c>
      <c r="D63" s="77" t="s">
        <v>2192</v>
      </c>
    </row>
    <row r="64" spans="1:4">
      <c r="A64" s="77" t="s">
        <v>3734</v>
      </c>
      <c r="B64" s="67" t="s">
        <v>3102</v>
      </c>
      <c r="C64" s="77">
        <f ca="1">chem_alarm_pre*(acid_tanks+anti_tanks)</f>
        <v>2</v>
      </c>
      <c r="D64" s="77" t="s">
        <v>2192</v>
      </c>
    </row>
    <row r="65" spans="1:5">
      <c r="A65" s="151" t="s">
        <v>3735</v>
      </c>
      <c r="B65" s="67" t="s">
        <v>3101</v>
      </c>
      <c r="C65" s="77">
        <f ca="1">chem_alarm_cst*(clean_acid_store_tanks+clean_caustic_store_tanks)</f>
        <v>2</v>
      </c>
      <c r="D65" s="77" t="s">
        <v>2192</v>
      </c>
    </row>
    <row r="66" spans="1:5">
      <c r="A66" s="77" t="s">
        <v>2827</v>
      </c>
      <c r="B66" s="67" t="s">
        <v>3413</v>
      </c>
      <c r="C66" s="77">
        <f ca="1">pH_controls_acid*acid_mpumps+total_chem_tanks</f>
        <v>4</v>
      </c>
      <c r="D66" s="77" t="s">
        <v>2192</v>
      </c>
    </row>
    <row r="67" spans="1:5">
      <c r="A67" s="77" t="s">
        <v>2828</v>
      </c>
      <c r="B67" s="67" t="s">
        <v>2829</v>
      </c>
      <c r="C67" s="77">
        <f ca="1">temp_meter_in+temp_meter_clean*total_chem_tanks</f>
        <v>3</v>
      </c>
      <c r="D67" s="77" t="s">
        <v>2192</v>
      </c>
    </row>
    <row r="68" spans="1:5">
      <c r="A68" s="220" t="s">
        <v>2403</v>
      </c>
      <c r="B68" s="75" t="s">
        <v>2404</v>
      </c>
      <c r="C68" s="282">
        <f ca="1">inout_cond_meter+cond_rack*total_racks</f>
        <v>8</v>
      </c>
      <c r="D68" s="77" t="s">
        <v>2192</v>
      </c>
    </row>
    <row r="69" spans="1:5">
      <c r="A69" s="220" t="s">
        <v>3103</v>
      </c>
      <c r="B69" s="75" t="s">
        <v>3104</v>
      </c>
      <c r="C69" s="282">
        <f ca="1">headloss_cart*num_filters+head_rack*total_racks</f>
        <v>5</v>
      </c>
      <c r="D69" s="77" t="s">
        <v>2192</v>
      </c>
    </row>
    <row r="70" spans="1:5">
      <c r="A70" s="229" t="s">
        <v>3125</v>
      </c>
      <c r="B70" s="75" t="s">
        <v>3126</v>
      </c>
      <c r="C70" s="229">
        <f ca="1">ports_cart*num_filters+ports_PV*total_PVs+ports_rack*total_racks+IF(bp_pct&gt;0,ports_bp,0)+add_ports</f>
        <v>83</v>
      </c>
      <c r="D70" s="77" t="s">
        <v>2192</v>
      </c>
    </row>
    <row r="71" spans="1:5">
      <c r="A71" s="229" t="s">
        <v>3127</v>
      </c>
      <c r="B71" s="75" t="s">
        <v>3128</v>
      </c>
      <c r="C71" s="283">
        <f ca="1">IF(manual&lt;&gt;3,0,S_feed_pump*total_inf_pumps+S_booster_pump*(boost_pumps_2_tot+boost_pumps_3_tot)+S_res_pump*res_pumps+S_bypass_pump*tot_num_bp_pumps+CHOOSE(res_transfer_method,S_slurry*res_slurry_pumps,S_eductor*res_eductors,0)+S_cm_pump*acid_mpumps+S_anti_pump*anti_mpumps+S_chem_pump*total_chem_pumps)+S_mix*(cmixers+dmixers)</f>
        <v>19</v>
      </c>
      <c r="D71" s="77" t="s">
        <v>2192</v>
      </c>
      <c r="E71" s="227"/>
    </row>
    <row r="72" spans="1:5">
      <c r="A72" s="14"/>
    </row>
    <row r="73" spans="1:5">
      <c r="A73" s="101" t="s">
        <v>3129</v>
      </c>
    </row>
    <row r="74" spans="1:5">
      <c r="A74" s="14" t="s">
        <v>5577</v>
      </c>
      <c r="B74" s="31" t="s">
        <v>3862</v>
      </c>
      <c r="C74" s="77" t="str">
        <f>IF(OUTPUT!L242=1,"flow_op",IF(OUTPUT!L243=1,"flow_prop",IF(OUTPUT!L244=1,"flow_ven","flow_mag")))</f>
        <v>flow_prop</v>
      </c>
      <c r="E74" s="214" t="s">
        <v>3869</v>
      </c>
    </row>
    <row r="75" spans="1:5">
      <c r="A75" s="14" t="s">
        <v>3865</v>
      </c>
      <c r="B75" s="31" t="s">
        <v>3867</v>
      </c>
      <c r="C75" s="77" t="str">
        <f>IF(OUTPUT!L247=1,"flow_op",IF(OUTPUT!L248=1,"flow_prop",IF(OUTPUT!L249=1,"flow_ven","flow_mag")))</f>
        <v>flow_prop</v>
      </c>
    </row>
    <row r="76" spans="1:5">
      <c r="A76" s="14" t="s">
        <v>3866</v>
      </c>
      <c r="B76" s="31" t="s">
        <v>3868</v>
      </c>
      <c r="C76" s="77" t="str">
        <f>IF(OUTPUT!L252=1,"flow_op",IF(OUTPUT!L253=1,"flow_prop",IF(OUTPUT!L254=1,"flow_ven","flow_mag")))</f>
        <v>flow_prop</v>
      </c>
    </row>
    <row r="77" spans="1:5">
      <c r="A77" s="14" t="s">
        <v>5524</v>
      </c>
      <c r="B77" s="31" t="s">
        <v>5523</v>
      </c>
      <c r="C77" s="77" t="str">
        <f>IF(OUTPUT!L257=1,"flow_op",IF(OUTPUT!L258=1,"flow_prop",IF(OUTPUT!L259=1,"flow_ven","flow_mag")))</f>
        <v>flow_prop</v>
      </c>
    </row>
    <row r="78" spans="1:5">
      <c r="A78" s="14" t="s">
        <v>5524</v>
      </c>
      <c r="B78" s="31" t="s">
        <v>5525</v>
      </c>
      <c r="C78" s="77" t="str">
        <f>IF(OUTPUT!L262=1,"flow_op",IF(OUTPUT!L263=1,"flow_prop",IF(OUTPUT!L264=1,"flow_ven","flow_mag")))</f>
        <v>flow_prop</v>
      </c>
    </row>
    <row r="79" spans="1:5">
      <c r="A79" s="14" t="s">
        <v>3863</v>
      </c>
      <c r="B79" s="31" t="s">
        <v>3864</v>
      </c>
      <c r="C79" s="77" t="str">
        <f>IF(OUTPUT!L262=1,"flow_op",IF(OUTPUT!L263=1,"flow_prop",IF(OUTPUT!L264=1,"flow_ven","flow_mag")))</f>
        <v>flow_prop</v>
      </c>
    </row>
    <row r="80" spans="1:5">
      <c r="A80" s="77" t="s">
        <v>3130</v>
      </c>
      <c r="B80" s="67" t="s">
        <v>3131</v>
      </c>
      <c r="C80" s="230">
        <f ca="1">VLOOKUP(fm_lkp_io,port_table,2,FALSE)*tot_fm_in+VLOOKUP(fm_lkp_feed,port_table,2,FALSE)*tot_fm_feed+VLOOKUP(fm_lkp_perm,port_table,2,FALSE)*tot_fm_perm+VLOOKUP(fm_lkp_conc,port_table,2,FALSE)*tot_fm_conc+VLOOKUP(fm_lkp_clean,port_table,2,FALSE)*tot_fm_clean+VLOOKUP(fm_lkp_res,port_table,2,FALSE)*tot_fm_res+VLOOKUP("alarm",port_table,2,FALSE)*(tot_level_switch+tot_pre_alarm+tot_cst_alarm+tot_res_alarm)+VLOOKUP("cond",port_table,2,FALSE)*tot_cond_meters+VLOOKUP("ph",port_table,2,FALSE)*tot_pH_controls+VLOOKUP("temp",port_table,2,FALSE)*tot_temp_meters+VLOOKUP("port",port_table,2,FALSE)*ports+VLOOKUP("head",port_table,2,FALSE)*tot_headloss_sensors+VLOOKUP("switch",port_table,2,FALSE)*tot_switches+VLOOKUP("valve",port_table,2,FALSE)*tot_MOVs</f>
        <v>154</v>
      </c>
      <c r="D80" s="77" t="s">
        <v>2192</v>
      </c>
    </row>
    <row r="81" spans="1:4">
      <c r="A81" s="77" t="s">
        <v>3132</v>
      </c>
      <c r="B81" s="67" t="s">
        <v>3133</v>
      </c>
      <c r="C81" s="230">
        <f ca="1">IF(manual=2,0,VLOOKUP(fm_lkp_io,port_table,3,FALSE)*tot_fm_in+VLOOKUP(fm_lkp_feed,port_table,3,FALSE)*tot_fm_feed+VLOOKUP(fm_lkp_perm,port_table,3,FALSE)*tot_fm_perm+VLOOKUP(fm_lkp_conc,port_table,3,FALSE)*tot_fm_conc+VLOOKUP(fm_lkp_clean,port_table,3,FALSE)*tot_fm_clean+VLOOKUP(fm_lkp_res,port_table,3,FALSE)*tot_fm_res+VLOOKUP("alarm",port_table,3,FALSE)*(tot_level_switch+tot_pre_alarm+tot_cst_alarm+tot_res_alarm)+VLOOKUP("cond",port_table,3,FALSE)*tot_cond_meters+VLOOKUP("ph",port_table,3,FALSE)*tot_pH_controls+VLOOKUP("temp",port_table,3,FALSE)*tot_temp_meters+VLOOKUP("port",port_table,3,FALSE)*ports+VLOOKUP("head",port_table,3,FALSE)*tot_headloss_sensors+VLOOKUP("switch",port_table,3,FALSE)*tot_switches+VLOOKUP("valve",port_table,3,FALSE)*tot_MOVs)</f>
        <v>28</v>
      </c>
      <c r="D81" s="77" t="s">
        <v>2192</v>
      </c>
    </row>
    <row r="82" spans="1:4">
      <c r="A82" s="77" t="s">
        <v>3134</v>
      </c>
      <c r="B82" s="67" t="s">
        <v>3135</v>
      </c>
      <c r="C82" s="230">
        <f ca="1">VLOOKUP(fm_lkp_io,port_table,4,FALSE)*tot_fm_in+VLOOKUP(fm_lkp_feed,port_table,4,FALSE)*tot_fm_feed+VLOOKUP(fm_lkp_perm,port_table,4,FALSE)*tot_fm_perm+VLOOKUP(fm_lkp_conc,port_table,4,FALSE)*tot_fm_conc+VLOOKUP(fm_lkp_clean,port_table,4,FALSE)*tot_fm_clean+VLOOKUP(fm_lkp_res,port_table,4,FALSE)*tot_fm_res+VLOOKUP("alarm",port_table,4,FALSE)*(tot_level_switch+tot_pre_alarm+tot_cst_alarm+tot_res_alarm)+VLOOKUP("cond",port_table,4,FALSE)*tot_cond_meters+VLOOKUP("ph",port_table,4,FALSE)*tot_pH_controls+VLOOKUP("temp",port_table,4,FALSE)*tot_temp_meters+VLOOKUP("port",port_table,4,FALSE)*ports+VLOOKUP("head",port_table,4,FALSE)*tot_headloss_sensors+VLOOKUP("switch",port_table,4,FALSE)*tot_switches+VLOOKUP("valve",port_table,4,FALSE)*tot_MOVs</f>
        <v>95</v>
      </c>
      <c r="D82" s="77" t="s">
        <v>2192</v>
      </c>
    </row>
    <row r="83" spans="1:4">
      <c r="A83" s="77" t="s">
        <v>3136</v>
      </c>
      <c r="B83" s="67" t="s">
        <v>3137</v>
      </c>
      <c r="C83" s="230">
        <f ca="1">IF(manual=2,0,VLOOKUP(fm_lkp_io,port_table,5,FALSE)*tot_fm_in+VLOOKUP(fm_lkp_feed,port_table,5,FALSE)*tot_fm_feed+VLOOKUP(fm_lkp_perm,port_table,5,FALSE)*tot_fm_perm+VLOOKUP(fm_lkp_conc,port_table,5,FALSE)*tot_fm_conc+VLOOKUP(fm_lkp_clean,port_table,5,FALSE)*tot_fm_clean+VLOOKUP(fm_lkp_res,port_table,5,FALSE)*tot_fm_res+VLOOKUP("alarm",port_table,5,FALSE)*(tot_level_switch+tot_pre_alarm+tot_cst_alarm+tot_res_alarm)+VLOOKUP("cond",port_table,5,FALSE)*tot_cond_meters+VLOOKUP("ph",port_table,5,FALSE)*tot_pH_controls+VLOOKUP("temp",port_table,5,FALSE)*tot_temp_meters+VLOOKUP("port",port_table,5,FALSE)*ports+VLOOKUP("head",port_table,5,FALSE)*tot_headloss_sensors+VLOOKUP("switch",port_table,5,FALSE)*tot_switches+VLOOKUP("valve",port_table,5,FALSE)*tot_MOVs)</f>
        <v>60</v>
      </c>
      <c r="D83" s="77" t="s">
        <v>2192</v>
      </c>
    </row>
    <row r="84" spans="1:4">
      <c r="A84" s="77" t="s">
        <v>3138</v>
      </c>
      <c r="B84" s="67" t="s">
        <v>3139</v>
      </c>
      <c r="C84" s="77">
        <f ca="1">ROUNDUP(discrete_outputs/32,0)</f>
        <v>1</v>
      </c>
      <c r="D84" s="77" t="s">
        <v>2192</v>
      </c>
    </row>
    <row r="85" spans="1:4">
      <c r="A85" s="77" t="s">
        <v>3140</v>
      </c>
      <c r="B85" s="67" t="s">
        <v>3141</v>
      </c>
      <c r="C85" s="77">
        <f ca="1">ROUNDUP(discrete_inputs/32,0)</f>
        <v>5</v>
      </c>
      <c r="D85" s="77" t="s">
        <v>2192</v>
      </c>
    </row>
    <row r="86" spans="1:4">
      <c r="A86" s="77" t="s">
        <v>3142</v>
      </c>
      <c r="B86" s="67" t="s">
        <v>3143</v>
      </c>
      <c r="C86" s="77">
        <f ca="1">ROUNDUP((analog_inputs + analog_outputs)/12,0)</f>
        <v>13</v>
      </c>
      <c r="D86" s="77" t="s">
        <v>2192</v>
      </c>
    </row>
    <row r="87" spans="1:4">
      <c r="A87" s="77" t="s">
        <v>3144</v>
      </c>
      <c r="B87" s="67" t="s">
        <v>3145</v>
      </c>
      <c r="C87" s="77">
        <f ca="1">plc_cpu + plc_ethernet + plc_discrete_input + plc_discrete_output +  plc_combination_analog</f>
        <v>23</v>
      </c>
      <c r="D87" s="77" t="s">
        <v>2192</v>
      </c>
    </row>
    <row r="88" spans="1:4">
      <c r="A88" s="77" t="s">
        <v>3146</v>
      </c>
      <c r="B88" s="67" t="s">
        <v>3147</v>
      </c>
      <c r="C88" s="77">
        <f ca="1">IF(plc_slots&lt;=9,0,ROUNDUP((plc_slots-9)/8,0))</f>
        <v>2</v>
      </c>
      <c r="D88" s="77" t="s">
        <v>2192</v>
      </c>
    </row>
    <row r="89" spans="1:4">
      <c r="A89" s="77" t="s">
        <v>3148</v>
      </c>
      <c r="B89" s="67" t="s">
        <v>3149</v>
      </c>
      <c r="C89" s="77">
        <f ca="1">1+plc_expansions</f>
        <v>3</v>
      </c>
      <c r="D89" s="77" t="s">
        <v>2192</v>
      </c>
    </row>
    <row r="90" spans="1:4">
      <c r="A90" s="77" t="s">
        <v>3150</v>
      </c>
      <c r="B90" s="67" t="s">
        <v>3151</v>
      </c>
      <c r="C90" s="77">
        <f ca="1">plc_expansions</f>
        <v>2</v>
      </c>
      <c r="D90" s="77" t="s">
        <v>2192</v>
      </c>
    </row>
    <row r="91" spans="1:4">
      <c r="A91" s="77" t="s">
        <v>3152</v>
      </c>
      <c r="B91" s="67" t="s">
        <v>3153</v>
      </c>
      <c r="C91" s="77">
        <f ca="1">plc_expansions</f>
        <v>2</v>
      </c>
      <c r="D91" s="77" t="s">
        <v>2192</v>
      </c>
    </row>
    <row r="92" spans="1:4">
      <c r="A92" s="77" t="s">
        <v>3154</v>
      </c>
      <c r="B92" s="67" t="s">
        <v>1693</v>
      </c>
      <c r="C92" s="77">
        <f ca="1">ROUNDUP(Operator_LOE/2080/shifts_day/workstation_ratio,0)</f>
        <v>1</v>
      </c>
      <c r="D92" s="77" t="s">
        <v>2192</v>
      </c>
    </row>
    <row r="93" spans="1:4">
      <c r="A93" s="77" t="s">
        <v>1694</v>
      </c>
      <c r="B93" s="67" t="s">
        <v>1695</v>
      </c>
      <c r="C93" s="77">
        <f ca="1">ROUNDUP(workstations/printer_ratio,0)</f>
        <v>1</v>
      </c>
      <c r="D93" s="77" t="s">
        <v>2192</v>
      </c>
    </row>
    <row r="94" spans="1:4">
      <c r="B94" s="77"/>
    </row>
    <row r="95" spans="1:4">
      <c r="B95" s="77"/>
    </row>
  </sheetData>
  <sortState xmlns:xlrd2="http://schemas.microsoft.com/office/spreadsheetml/2017/richdata2" ref="A44:D50">
    <sortCondition sortBy="icon" ref="C49"/>
  </sortState>
  <phoneticPr fontId="27"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dimension ref="A1:L192"/>
  <sheetViews>
    <sheetView zoomScaleNormal="100" workbookViewId="0">
      <pane ySplit="3" topLeftCell="A4" activePane="bottomLeft" state="frozen"/>
      <selection pane="bottomLeft"/>
    </sheetView>
  </sheetViews>
  <sheetFormatPr baseColWidth="10" defaultColWidth="9.1640625" defaultRowHeight="13"/>
  <cols>
    <col min="1" max="1" width="35.5" style="693" customWidth="1"/>
    <col min="2" max="2" width="25.5" style="692" bestFit="1" customWidth="1"/>
    <col min="3" max="3" width="19.83203125" style="693" customWidth="1"/>
    <col min="4" max="4" width="13.5" style="693" customWidth="1"/>
    <col min="5" max="5" width="13.5" style="694" customWidth="1"/>
    <col min="6" max="12" width="13.5" style="693" customWidth="1"/>
    <col min="13" max="16384" width="9.1640625" style="693"/>
  </cols>
  <sheetData>
    <row r="1" spans="1:5">
      <c r="A1" s="1016" t="s">
        <v>5499</v>
      </c>
    </row>
    <row r="2" spans="1:5">
      <c r="A2" s="1016"/>
    </row>
    <row r="3" spans="1:5">
      <c r="A3" s="235" t="s">
        <v>5172</v>
      </c>
      <c r="B3" s="236" t="s">
        <v>1989</v>
      </c>
      <c r="C3" s="237" t="s">
        <v>1990</v>
      </c>
      <c r="D3" s="236" t="s">
        <v>2961</v>
      </c>
      <c r="E3" s="236" t="s">
        <v>1991</v>
      </c>
    </row>
    <row r="4" spans="1:5">
      <c r="A4" s="699" t="s">
        <v>4736</v>
      </c>
      <c r="E4" s="694" t="s">
        <v>96</v>
      </c>
    </row>
    <row r="5" spans="1:5">
      <c r="A5" s="693" t="s">
        <v>97</v>
      </c>
      <c r="B5" s="692" t="s">
        <v>98</v>
      </c>
      <c r="C5" s="695">
        <f>IF(design_flow&lt;1,1,IF(design_flow&lt;10,2,3))</f>
        <v>2</v>
      </c>
      <c r="D5" s="693" t="s">
        <v>99</v>
      </c>
    </row>
    <row r="6" spans="1:5">
      <c r="A6" s="693" t="s">
        <v>574</v>
      </c>
      <c r="B6" s="692" t="s">
        <v>575</v>
      </c>
      <c r="C6" s="693">
        <f>Building_height</f>
        <v>20</v>
      </c>
      <c r="D6" s="693" t="s">
        <v>3065</v>
      </c>
      <c r="E6" s="694" t="s">
        <v>4828</v>
      </c>
    </row>
    <row r="7" spans="1:5">
      <c r="A7" s="693" t="s">
        <v>4090</v>
      </c>
      <c r="B7" s="692" t="s">
        <v>4091</v>
      </c>
      <c r="C7" s="697">
        <f ca="1">build1_fp^0.5</f>
        <v>32.863353450309965</v>
      </c>
      <c r="D7" s="693" t="s">
        <v>3065</v>
      </c>
    </row>
    <row r="8" spans="1:5">
      <c r="A8" s="693" t="s">
        <v>4092</v>
      </c>
      <c r="B8" s="692" t="s">
        <v>4093</v>
      </c>
      <c r="C8" s="697">
        <f ca="1">build2_fp^0.5</f>
        <v>114.58621208504974</v>
      </c>
      <c r="D8" s="693" t="s">
        <v>3065</v>
      </c>
    </row>
    <row r="9" spans="1:5">
      <c r="A9" s="693" t="s">
        <v>4094</v>
      </c>
      <c r="B9" s="692" t="s">
        <v>4095</v>
      </c>
      <c r="C9" s="697">
        <f ca="1">build3_fp^0.5</f>
        <v>0</v>
      </c>
      <c r="D9" s="693" t="s">
        <v>3065</v>
      </c>
    </row>
    <row r="10" spans="1:5">
      <c r="A10" s="804" t="s">
        <v>5398</v>
      </c>
      <c r="B10" s="938" t="s">
        <v>5405</v>
      </c>
      <c r="C10" s="697">
        <f>IF(include_HVAC_I="no",0,IF(include_HVAC_I="yes",1,2))</f>
        <v>0</v>
      </c>
      <c r="D10" s="238" t="s">
        <v>5404</v>
      </c>
    </row>
    <row r="11" spans="1:5">
      <c r="C11" s="695"/>
    </row>
    <row r="12" spans="1:5">
      <c r="A12" s="699" t="s">
        <v>4737</v>
      </c>
    </row>
    <row r="13" spans="1:5">
      <c r="A13" s="693" t="s">
        <v>766</v>
      </c>
      <c r="B13" s="692" t="s">
        <v>767</v>
      </c>
      <c r="C13" s="455">
        <f ca="1">CHOOSE(num_buildings,(Air_changes_pump*(influent_fp+boost_pump_fp+clean_feed_fp+res_pump_fp+bypass_pump_fp)+Air_changes_chem_storage*(pre_chem_fp+clean_tank_fp+clean_chem_fp)+Air_changes_contactor*(cartridge_fp+membrane_fp+clean_filt_fp+clean_tank_fp+htank_fp)+Air_changes_office*office_fp)/build1_fp,(Air_changes_chem_storage*pre_chem_fp+Air_changes_pump*(influent_fp+bypass_pump_fp)+Air_changes_contactor*cartridge_fp)/build1_fp,Air_changes_pump)</f>
        <v>8.3405092592592585</v>
      </c>
      <c r="D13" s="696" t="s">
        <v>1632</v>
      </c>
    </row>
    <row r="14" spans="1:5">
      <c r="A14" s="693" t="s">
        <v>768</v>
      </c>
      <c r="B14" s="692" t="s">
        <v>769</v>
      </c>
      <c r="C14" s="455">
        <f ca="1">CHOOSE(num_buildings,0,(Air_changes_pump*(boost_pump_fp+clean_feed_fp+res_pump_fp)+Air_changes_contactor*(clean_filt_fp+clean_tank_fp+membrane_fp+htank_fp)+Air_changes_chem_storage*clean_chem_fp+Air_changes_office*office_fp)/build2_fp,(Air_changes_chem_storage*pre_chem_fp+Air_changes_contactor*cartridge_fp)/build2_fp)</f>
        <v>4.275571210967251</v>
      </c>
      <c r="D14" s="696" t="s">
        <v>1632</v>
      </c>
    </row>
    <row r="15" spans="1:5">
      <c r="A15" s="693" t="s">
        <v>770</v>
      </c>
      <c r="B15" s="692" t="s">
        <v>771</v>
      </c>
      <c r="C15" s="455">
        <f ca="1">CHOOSE(num_buildings,0,0,(Air_changes_pump*(boost_pump_fp+clean_feed_fp+res_pump_fp)+Air_changes_contactor*(membrane_fp+clean_tank_fp+clean_filt_fp+htank_fp)+Air_changes_chem_storage*clean_chem_fp+Air_changes_office*office_fp)/build3_fp)</f>
        <v>0</v>
      </c>
      <c r="D15" s="696"/>
    </row>
    <row r="16" spans="1:5">
      <c r="A16" s="693" t="s">
        <v>3645</v>
      </c>
      <c r="C16" s="697">
        <f ca="1">CHOOSE(ss_cat2,fan_days_build1_small,fan_days_build1_medium,fan_days_build1_large)*24*0.746*Fan_pressure_drop*build1_fp*Building_height*air_changes_build1/33000</f>
        <v>2932.2682909090909</v>
      </c>
      <c r="D16" s="693" t="s">
        <v>3646</v>
      </c>
    </row>
    <row r="17" spans="1:5">
      <c r="A17" s="693" t="s">
        <v>3647</v>
      </c>
      <c r="C17" s="697">
        <f ca="1">CHOOSE(ss_cat2,fan_days_build2_small,fan_days_build2_medium,fan_days_build2_large)*24*0.746*Fan_pressure_drop*build2_fp*Building_height*air_changes_build2/33000</f>
        <v>18274.531418181821</v>
      </c>
      <c r="D17" s="693" t="s">
        <v>3646</v>
      </c>
    </row>
    <row r="18" spans="1:5">
      <c r="A18" s="449" t="s">
        <v>3014</v>
      </c>
      <c r="B18" s="454"/>
      <c r="C18" s="714">
        <f ca="1">CHOOSE(ss_cat2,fan_days_build3_small,fan_days_build3_medium,fan_days_build3_large)*24*0.746*Fan_pressure_drop*build3_fp*Building_height*air_changes_build3/33000</f>
        <v>0</v>
      </c>
      <c r="D18" t="s">
        <v>3646</v>
      </c>
    </row>
    <row r="19" spans="1:5">
      <c r="A19" s="693" t="s">
        <v>3648</v>
      </c>
      <c r="B19" s="692" t="s">
        <v>3013</v>
      </c>
      <c r="C19" s="697">
        <f>IF(include_HVAC=0,0,SUM(C16:C18)/1000)</f>
        <v>0</v>
      </c>
      <c r="D19" s="693" t="s">
        <v>83</v>
      </c>
    </row>
    <row r="20" spans="1:5">
      <c r="C20" s="697"/>
    </row>
    <row r="21" spans="1:5">
      <c r="A21" s="693" t="s">
        <v>4096</v>
      </c>
      <c r="B21" s="692" t="s">
        <v>4097</v>
      </c>
      <c r="C21" s="715">
        <f ca="1">build1_fp*Building_height*air_changes_build1/60</f>
        <v>3002.583333333333</v>
      </c>
      <c r="D21" s="693" t="s">
        <v>871</v>
      </c>
    </row>
    <row r="22" spans="1:5">
      <c r="A22" s="693" t="s">
        <v>872</v>
      </c>
      <c r="B22" s="692" t="s">
        <v>873</v>
      </c>
      <c r="C22" s="715">
        <f ca="1">build2_fp*Building_height*air_changes_build2/60</f>
        <v>18712.75</v>
      </c>
      <c r="D22" s="693" t="s">
        <v>871</v>
      </c>
    </row>
    <row r="23" spans="1:5">
      <c r="A23" s="716" t="s">
        <v>874</v>
      </c>
      <c r="B23" s="454" t="s">
        <v>875</v>
      </c>
      <c r="C23" s="715">
        <f ca="1">build2_fp*Building_height*air_changes_build3/60</f>
        <v>0</v>
      </c>
      <c r="D23" t="s">
        <v>871</v>
      </c>
    </row>
    <row r="24" spans="1:5">
      <c r="C24" s="697"/>
    </row>
    <row r="25" spans="1:5">
      <c r="A25" s="699" t="s">
        <v>4738</v>
      </c>
      <c r="C25" s="697"/>
    </row>
    <row r="26" spans="1:5">
      <c r="A26" s="693" t="s">
        <v>1631</v>
      </c>
      <c r="B26" s="692" t="s">
        <v>2805</v>
      </c>
      <c r="C26" s="717">
        <f>IF(include_HVAC=0,0,IF(include_HVAC=1,1,VLOOKUP(IF(component_level_I="","low cost",component_level_I),IF(build1_fp&lt;500,heating_table_shed,heating_table),ss_cat2+2,FALSE)))</f>
        <v>0</v>
      </c>
      <c r="D26" s="698" t="s">
        <v>4739</v>
      </c>
      <c r="E26" s="939" t="s">
        <v>5406</v>
      </c>
    </row>
    <row r="27" spans="1:5">
      <c r="A27" s="693" t="s">
        <v>2807</v>
      </c>
      <c r="B27" s="692" t="s">
        <v>2808</v>
      </c>
      <c r="C27" s="717">
        <f>IF(include_HVAC=0,0,IF(include_HVAC=1,1,VLOOKUP(IF(component_level_I="","low cost",component_level_I),IF(build1_fp&lt;500,cooling_table_shed,cooling_table),ss_cat2+2,FALSE)))</f>
        <v>0</v>
      </c>
      <c r="D27" s="698" t="s">
        <v>4739</v>
      </c>
    </row>
    <row r="28" spans="1:5">
      <c r="A28" s="693" t="s">
        <v>2809</v>
      </c>
      <c r="B28" s="692" t="s">
        <v>2810</v>
      </c>
      <c r="C28" s="717">
        <f ca="1">IF(build2_fp=0,0,IF(include_HVAC=0,0,IF(include_HVAC=1,1,VLOOKUP(IF(component_level_I="","low cost",component_level_I),IF(build2_fp&lt;500,heating_table_shed,heating_table),ss_cat2+2,FALSE))))</f>
        <v>0</v>
      </c>
      <c r="D28" s="698" t="s">
        <v>4739</v>
      </c>
    </row>
    <row r="29" spans="1:5">
      <c r="A29" s="693" t="s">
        <v>2811</v>
      </c>
      <c r="B29" s="692" t="s">
        <v>2812</v>
      </c>
      <c r="C29" s="717">
        <f ca="1">IF(build2_fp=0,0,IF(include_HVAC=0,0,IF(include_HVAC=1,1,VLOOKUP(IF(component_level_I="","low cost",component_level_I),IF(build2_fp&lt;500,cooling_table_shed,cooling_table),ss_cat2+2,FALSE))))</f>
        <v>0</v>
      </c>
      <c r="D29" s="698" t="s">
        <v>4739</v>
      </c>
    </row>
    <row r="30" spans="1:5" customFormat="1">
      <c r="A30" s="716" t="s">
        <v>2815</v>
      </c>
      <c r="B30" s="454" t="s">
        <v>2816</v>
      </c>
      <c r="C30" s="229">
        <f ca="1">IF(build3_fp=0,0,IF(include_HVAC=0,0,IF(include_HVAC=1,1,VLOOKUP(IF(component_level_I="","low cost",component_level_I),IF(build3_fp&lt;500,heating_table_shed,heating_table),ss_cat2+2,FALSE))))</f>
        <v>0</v>
      </c>
      <c r="D30" s="698" t="s">
        <v>4739</v>
      </c>
      <c r="E30" s="70"/>
    </row>
    <row r="31" spans="1:5" customFormat="1">
      <c r="A31" s="716" t="s">
        <v>2813</v>
      </c>
      <c r="B31" s="454" t="s">
        <v>2814</v>
      </c>
      <c r="C31" s="229">
        <f ca="1">IF(build3_fp=0,0,IF(include_HVAC=0,0,IF(include_HVAC=1,1,VLOOKUP(IF(component_level_I="","low cost",component_level_I),IF(build3_fp&lt;500,cooling_table_shed,cooling_table),ss_cat2+2,FALSE))))</f>
        <v>0</v>
      </c>
      <c r="D31" s="698" t="s">
        <v>4739</v>
      </c>
      <c r="E31" s="70"/>
    </row>
    <row r="33" spans="1:5">
      <c r="A33" s="699" t="s">
        <v>4740</v>
      </c>
      <c r="C33" s="697"/>
    </row>
    <row r="34" spans="1:5" ht="13.5" customHeight="1">
      <c r="A34" s="693" t="s">
        <v>876</v>
      </c>
      <c r="B34" s="718"/>
      <c r="C34" s="697">
        <f ca="1">4*build1_side*Building_height*heat_DD*24/R_wall</f>
        <v>10751837.621631011</v>
      </c>
      <c r="D34" s="693" t="s">
        <v>877</v>
      </c>
    </row>
    <row r="35" spans="1:5">
      <c r="A35" s="693" t="s">
        <v>878</v>
      </c>
      <c r="B35" s="719"/>
      <c r="C35" s="697">
        <f ca="1">build1_fp*heat_DD*24/R_ceiling</f>
        <v>2253453.0612244899</v>
      </c>
      <c r="D35" s="693" t="s">
        <v>877</v>
      </c>
    </row>
    <row r="36" spans="1:5">
      <c r="A36" s="693" t="s">
        <v>879</v>
      </c>
      <c r="C36" s="700">
        <f ca="1">build1_cfm*heat_viload</f>
        <v>506472754.08333325</v>
      </c>
      <c r="D36" s="693" t="s">
        <v>877</v>
      </c>
    </row>
    <row r="37" spans="1:5">
      <c r="A37" s="693" t="s">
        <v>4741</v>
      </c>
      <c r="B37" s="692" t="s">
        <v>4742</v>
      </c>
      <c r="C37" s="700">
        <f ca="1">SUM(C34:C36)</f>
        <v>519478044.76618874</v>
      </c>
      <c r="D37" s="693" t="s">
        <v>877</v>
      </c>
    </row>
    <row r="38" spans="1:5">
      <c r="A38" s="693" t="s">
        <v>4743</v>
      </c>
      <c r="B38" s="692" t="s">
        <v>4744</v>
      </c>
      <c r="C38" s="700">
        <f ca="1">build1_heat_loss_yr/365.25/24/1000</f>
        <v>59.26055724003978</v>
      </c>
      <c r="D38" s="693" t="s">
        <v>4745</v>
      </c>
      <c r="E38" s="694" t="s">
        <v>5515</v>
      </c>
    </row>
    <row r="39" spans="1:5">
      <c r="A39" s="693" t="s">
        <v>4746</v>
      </c>
      <c r="B39" s="692" t="s">
        <v>4747</v>
      </c>
      <c r="C39" s="700">
        <f ca="1">ROUNDUP(build1_heat_mbh/max_heat_cl,0)</f>
        <v>1</v>
      </c>
    </row>
    <row r="40" spans="1:5">
      <c r="C40" s="700"/>
    </row>
    <row r="41" spans="1:5">
      <c r="A41" s="693" t="s">
        <v>880</v>
      </c>
      <c r="B41" s="718"/>
      <c r="C41" s="697">
        <f ca="1">4*build2_side*Building_height*heat_DD*24/R_wall</f>
        <v>37488941.83544156</v>
      </c>
      <c r="D41" s="693" t="s">
        <v>877</v>
      </c>
    </row>
    <row r="42" spans="1:5">
      <c r="A42" s="693" t="s">
        <v>881</v>
      </c>
      <c r="B42" s="719"/>
      <c r="C42" s="697">
        <f ca="1">build2_fp*heat_DD*24/R_ceiling</f>
        <v>27396146.93877551</v>
      </c>
      <c r="D42" s="693" t="s">
        <v>877</v>
      </c>
    </row>
    <row r="43" spans="1:5">
      <c r="A43" s="693" t="s">
        <v>882</v>
      </c>
      <c r="C43" s="700">
        <f ca="1">build2_cfm*heat_viload</f>
        <v>3156447957.25</v>
      </c>
      <c r="D43" s="693" t="s">
        <v>877</v>
      </c>
    </row>
    <row r="44" spans="1:5">
      <c r="A44" s="693" t="s">
        <v>4748</v>
      </c>
      <c r="B44" s="692" t="s">
        <v>4749</v>
      </c>
      <c r="C44" s="700">
        <f ca="1">SUM(C41:C43)</f>
        <v>3221333046.0242171</v>
      </c>
      <c r="D44" s="693" t="s">
        <v>877</v>
      </c>
    </row>
    <row r="45" spans="1:5">
      <c r="A45" s="693" t="s">
        <v>4750</v>
      </c>
      <c r="B45" s="692" t="s">
        <v>4751</v>
      </c>
      <c r="C45" s="700">
        <f ca="1">build2_heat_loss_yr/365.25/24/1000</f>
        <v>367.48038398633548</v>
      </c>
      <c r="D45" s="693" t="s">
        <v>4745</v>
      </c>
    </row>
    <row r="46" spans="1:5">
      <c r="A46" s="693" t="s">
        <v>4752</v>
      </c>
      <c r="B46" s="692" t="s">
        <v>4753</v>
      </c>
      <c r="C46" s="700">
        <f ca="1">ROUNDUP(build2_heat_mbh/max_heat_cl,0)</f>
        <v>1</v>
      </c>
    </row>
    <row r="47" spans="1:5">
      <c r="C47" s="700"/>
    </row>
    <row r="48" spans="1:5">
      <c r="A48" s="693" t="s">
        <v>3849</v>
      </c>
      <c r="B48" s="718"/>
      <c r="C48" s="697">
        <f ca="1">4*build3_side*Building_height*heat_DD*24/R_wall</f>
        <v>0</v>
      </c>
      <c r="D48" s="693" t="s">
        <v>877</v>
      </c>
    </row>
    <row r="49" spans="1:12">
      <c r="A49" s="693" t="s">
        <v>881</v>
      </c>
      <c r="B49" s="719"/>
      <c r="C49" s="697">
        <f ca="1">build3_fp*heat_DD*24/R_ceiling</f>
        <v>0</v>
      </c>
      <c r="D49" s="693" t="s">
        <v>877</v>
      </c>
    </row>
    <row r="50" spans="1:12">
      <c r="A50" s="693" t="s">
        <v>3850</v>
      </c>
      <c r="C50" s="700">
        <f ca="1">build3_cfm*heat_viload</f>
        <v>0</v>
      </c>
      <c r="D50" s="693" t="s">
        <v>877</v>
      </c>
    </row>
    <row r="51" spans="1:12">
      <c r="A51" s="693" t="s">
        <v>4829</v>
      </c>
      <c r="B51" s="692" t="s">
        <v>4832</v>
      </c>
      <c r="C51" s="700">
        <f ca="1">SUM(C48:C50)</f>
        <v>0</v>
      </c>
      <c r="D51" s="693" t="s">
        <v>877</v>
      </c>
    </row>
    <row r="52" spans="1:12">
      <c r="A52" s="693" t="s">
        <v>4830</v>
      </c>
      <c r="B52" s="692" t="s">
        <v>4833</v>
      </c>
      <c r="C52" s="700">
        <f ca="1">build3_heat_loss_yr/365.25/24/1000</f>
        <v>0</v>
      </c>
      <c r="D52" s="693" t="s">
        <v>4745</v>
      </c>
    </row>
    <row r="53" spans="1:12">
      <c r="A53" s="693" t="s">
        <v>4831</v>
      </c>
      <c r="B53" s="692" t="s">
        <v>4834</v>
      </c>
      <c r="C53" s="700">
        <f ca="1">ROUNDUP(build3_heat_mbh/max_heat_cl,0)</f>
        <v>0</v>
      </c>
    </row>
    <row r="55" spans="1:12">
      <c r="A55" s="699" t="s">
        <v>4754</v>
      </c>
      <c r="C55" s="701"/>
    </row>
    <row r="56" spans="1:12" s="694" customFormat="1">
      <c r="A56" s="693" t="s">
        <v>4839</v>
      </c>
      <c r="B56" s="692" t="s">
        <v>4843</v>
      </c>
      <c r="C56" s="703">
        <f ca="1">inf_pump_op_hp*inf_pumps*(1-pump_effcy)*0.7457</f>
        <v>41.547520719982103</v>
      </c>
      <c r="D56" s="792" t="s">
        <v>821</v>
      </c>
      <c r="E56" s="694" t="s">
        <v>4855</v>
      </c>
      <c r="F56" s="693"/>
      <c r="G56" s="693"/>
      <c r="H56" s="693"/>
      <c r="I56" s="693"/>
      <c r="J56" s="693"/>
      <c r="K56" s="693"/>
      <c r="L56" s="693"/>
    </row>
    <row r="57" spans="1:12" s="694" customFormat="1">
      <c r="A57" s="693" t="s">
        <v>4840</v>
      </c>
      <c r="B57" s="692" t="s">
        <v>4844</v>
      </c>
      <c r="C57" s="702">
        <f ca="1">eloss_inf_pumps*3415</f>
        <v>141884.78325873887</v>
      </c>
      <c r="D57" s="693" t="s">
        <v>4295</v>
      </c>
      <c r="E57" s="694" t="s">
        <v>4855</v>
      </c>
      <c r="F57" s="693"/>
      <c r="G57" s="693"/>
      <c r="H57" s="693"/>
      <c r="I57" s="693"/>
      <c r="J57" s="693"/>
      <c r="K57" s="693"/>
      <c r="L57" s="693"/>
    </row>
    <row r="58" spans="1:12" s="694" customFormat="1">
      <c r="A58" s="693" t="s">
        <v>4841</v>
      </c>
      <c r="B58" s="692" t="s">
        <v>4845</v>
      </c>
      <c r="C58" s="703">
        <f>op_num_bp_pumps*bp_pump_hp*(1-pump_effcy)*0.7457</f>
        <v>0</v>
      </c>
      <c r="D58" s="792" t="s">
        <v>821</v>
      </c>
      <c r="E58" s="694" t="s">
        <v>4855</v>
      </c>
      <c r="F58" s="693"/>
      <c r="G58" s="693"/>
      <c r="H58" s="693"/>
      <c r="I58" s="693"/>
      <c r="J58" s="693"/>
      <c r="K58" s="693"/>
      <c r="L58" s="693"/>
    </row>
    <row r="59" spans="1:12" s="694" customFormat="1">
      <c r="A59" s="693" t="s">
        <v>4842</v>
      </c>
      <c r="B59" s="692" t="s">
        <v>4846</v>
      </c>
      <c r="C59" s="702">
        <f>eloss_bypass_pumps*3415</f>
        <v>0</v>
      </c>
      <c r="D59" s="693" t="s">
        <v>4295</v>
      </c>
      <c r="E59" s="694" t="s">
        <v>4855</v>
      </c>
      <c r="F59" s="693"/>
      <c r="G59" s="693"/>
      <c r="H59" s="693"/>
      <c r="I59" s="693"/>
      <c r="J59" s="693"/>
      <c r="K59" s="693"/>
      <c r="L59" s="693"/>
    </row>
    <row r="60" spans="1:12" s="694" customFormat="1">
      <c r="A60" s="693" t="s">
        <v>4847</v>
      </c>
      <c r="B60" s="692" t="s">
        <v>4851</v>
      </c>
      <c r="C60" s="703">
        <f>boost_2_op_hp*boost_pumps_2_tot*(1-pump_effcy)*0.7457</f>
        <v>0</v>
      </c>
      <c r="D60" s="792" t="s">
        <v>821</v>
      </c>
      <c r="E60" s="694" t="s">
        <v>4856</v>
      </c>
      <c r="F60" s="693"/>
      <c r="G60" s="693"/>
      <c r="H60" s="693"/>
      <c r="I60" s="693"/>
      <c r="J60" s="693"/>
      <c r="K60" s="693"/>
      <c r="L60" s="693"/>
    </row>
    <row r="61" spans="1:12" s="694" customFormat="1">
      <c r="A61" s="693" t="s">
        <v>4848</v>
      </c>
      <c r="B61" s="692" t="s">
        <v>4852</v>
      </c>
      <c r="C61" s="702">
        <f>eloss_stg2_pumps*3415</f>
        <v>0</v>
      </c>
      <c r="D61" s="693" t="s">
        <v>4295</v>
      </c>
      <c r="E61" s="694" t="s">
        <v>4856</v>
      </c>
      <c r="F61" s="693"/>
      <c r="G61" s="693"/>
      <c r="H61" s="693"/>
      <c r="I61" s="693"/>
      <c r="J61" s="693"/>
      <c r="K61" s="693"/>
      <c r="L61" s="693"/>
    </row>
    <row r="62" spans="1:12" s="694" customFormat="1">
      <c r="A62" s="693" t="s">
        <v>4849</v>
      </c>
      <c r="B62" s="692" t="s">
        <v>4853</v>
      </c>
      <c r="C62" s="703">
        <f>boost_3_op_hp*boost_pumps_3_tot*(1-pump_effcy)*0.7457</f>
        <v>0</v>
      </c>
      <c r="D62" s="792" t="s">
        <v>821</v>
      </c>
      <c r="E62" s="694" t="s">
        <v>4856</v>
      </c>
      <c r="F62" s="693"/>
      <c r="G62" s="693"/>
      <c r="H62" s="693"/>
      <c r="I62" s="693"/>
      <c r="J62" s="693"/>
      <c r="K62" s="693"/>
      <c r="L62" s="693"/>
    </row>
    <row r="63" spans="1:12" s="694" customFormat="1">
      <c r="A63" s="693" t="s">
        <v>4850</v>
      </c>
      <c r="B63" s="692" t="s">
        <v>4854</v>
      </c>
      <c r="C63" s="702">
        <f>eloss_stg3_pumps*3415</f>
        <v>0</v>
      </c>
      <c r="D63" s="693" t="s">
        <v>4295</v>
      </c>
      <c r="E63" s="694" t="s">
        <v>4856</v>
      </c>
      <c r="F63" s="693"/>
      <c r="G63" s="693"/>
      <c r="H63" s="693"/>
      <c r="I63" s="693"/>
      <c r="J63" s="693"/>
      <c r="K63" s="693"/>
      <c r="L63" s="693"/>
    </row>
    <row r="64" spans="1:12" s="694" customFormat="1">
      <c r="A64" s="693"/>
      <c r="B64" s="692"/>
      <c r="C64" s="702"/>
      <c r="D64" s="693"/>
      <c r="F64" s="693"/>
      <c r="G64" s="693"/>
      <c r="H64" s="693"/>
      <c r="I64" s="693"/>
      <c r="J64" s="693"/>
      <c r="K64" s="693"/>
      <c r="L64" s="693"/>
    </row>
    <row r="65" spans="1:12">
      <c r="A65" s="693" t="s">
        <v>3852</v>
      </c>
      <c r="B65" s="718"/>
      <c r="C65" s="720">
        <f ca="1">4*build1_side*Building_height*cool_DD*24/R_wall</f>
        <v>3571326.3461520849</v>
      </c>
      <c r="D65" s="693" t="s">
        <v>877</v>
      </c>
    </row>
    <row r="66" spans="1:12">
      <c r="A66" s="693" t="s">
        <v>3853</v>
      </c>
      <c r="B66" s="719"/>
      <c r="C66" s="720">
        <f ca="1">build1_fp*cool_DD*24/R_ceiling</f>
        <v>748506.12244897964</v>
      </c>
      <c r="D66" s="693" t="s">
        <v>877</v>
      </c>
    </row>
    <row r="67" spans="1:12">
      <c r="A67" s="693" t="s">
        <v>3854</v>
      </c>
      <c r="C67" s="702">
        <f ca="1">build1_cfm*cool_viload</f>
        <v>155446741.74999997</v>
      </c>
      <c r="D67" s="693" t="s">
        <v>877</v>
      </c>
    </row>
    <row r="68" spans="1:12">
      <c r="A68" s="693" t="s">
        <v>4755</v>
      </c>
      <c r="B68" s="692" t="s">
        <v>4756</v>
      </c>
      <c r="C68" s="702">
        <f ca="1">SUM(C65:C67)</f>
        <v>159766574.21860105</v>
      </c>
      <c r="D68" s="693" t="s">
        <v>877</v>
      </c>
    </row>
    <row r="69" spans="1:12">
      <c r="A69" s="693" t="s">
        <v>4757</v>
      </c>
      <c r="B69" s="692" t="s">
        <v>4758</v>
      </c>
      <c r="C69" s="702">
        <f ca="1">build1_cooling_loss_yr/365.25/24</f>
        <v>18225.710040908172</v>
      </c>
      <c r="D69" s="693" t="s">
        <v>4295</v>
      </c>
    </row>
    <row r="70" spans="1:12">
      <c r="C70" s="700"/>
    </row>
    <row r="71" spans="1:12" s="694" customFormat="1">
      <c r="A71" s="693" t="s">
        <v>4759</v>
      </c>
      <c r="B71" s="692" t="s">
        <v>4760</v>
      </c>
      <c r="C71" s="702">
        <f ca="1">build1_cooling_loss_hr+waste_heat_inf_pumps+waste_heat_bypass_pumps+IF(num_buildings=1,waste_heat_stg2_pumps+waste_heat_stg3_pumps,0)</f>
        <v>160110.49329964703</v>
      </c>
      <c r="D71" s="693" t="s">
        <v>4295</v>
      </c>
      <c r="E71" s="694" t="s">
        <v>4857</v>
      </c>
      <c r="F71" s="693"/>
      <c r="G71" s="693"/>
      <c r="H71" s="693"/>
      <c r="I71" s="693"/>
      <c r="J71" s="693"/>
      <c r="K71" s="693"/>
      <c r="L71" s="693"/>
    </row>
    <row r="72" spans="1:12" s="694" customFormat="1">
      <c r="A72" s="693" t="s">
        <v>4761</v>
      </c>
      <c r="B72" s="692" t="s">
        <v>4762</v>
      </c>
      <c r="C72" s="702">
        <f ca="1">build1_cooling_req*365.25*24</f>
        <v>1403528584.2647059</v>
      </c>
      <c r="D72" s="693" t="s">
        <v>877</v>
      </c>
      <c r="F72" s="693"/>
      <c r="G72" s="693"/>
      <c r="H72" s="693"/>
      <c r="I72" s="693"/>
      <c r="J72" s="693"/>
      <c r="K72" s="693"/>
      <c r="L72" s="693"/>
    </row>
    <row r="73" spans="1:12" s="694" customFormat="1">
      <c r="A73" s="693" t="s">
        <v>4763</v>
      </c>
      <c r="B73" s="692" t="s">
        <v>4764</v>
      </c>
      <c r="C73" s="703">
        <f ca="1">build1_cooling_req/12000</f>
        <v>13.342541108303919</v>
      </c>
      <c r="D73" s="693" t="s">
        <v>1846</v>
      </c>
      <c r="E73" s="694" t="s">
        <v>5516</v>
      </c>
      <c r="F73" s="693"/>
      <c r="G73" s="693"/>
      <c r="H73" s="693"/>
      <c r="I73" s="693"/>
      <c r="J73" s="693"/>
      <c r="K73" s="693"/>
      <c r="L73" s="693"/>
    </row>
    <row r="74" spans="1:12" s="694" customFormat="1">
      <c r="A74" s="693" t="s">
        <v>4765</v>
      </c>
      <c r="B74" s="692" t="s">
        <v>4766</v>
      </c>
      <c r="C74" s="700">
        <f ca="1">ROUNDUP(build1_cooling_tons/max_cool_cl,0)</f>
        <v>1</v>
      </c>
      <c r="D74" s="693"/>
      <c r="F74" s="693"/>
      <c r="G74" s="693"/>
      <c r="H74" s="693"/>
      <c r="I74" s="693"/>
      <c r="J74" s="693"/>
      <c r="K74" s="693"/>
      <c r="L74" s="693"/>
    </row>
    <row r="75" spans="1:12" s="694" customFormat="1">
      <c r="A75" s="693"/>
      <c r="B75" s="692"/>
      <c r="C75" s="700"/>
      <c r="D75" s="693"/>
      <c r="F75" s="693"/>
      <c r="G75" s="693"/>
      <c r="H75" s="693"/>
      <c r="I75" s="693"/>
      <c r="J75" s="693"/>
      <c r="K75" s="693"/>
      <c r="L75" s="693"/>
    </row>
    <row r="76" spans="1:12" s="694" customFormat="1">
      <c r="A76" s="693" t="s">
        <v>3855</v>
      </c>
      <c r="B76" s="718"/>
      <c r="C76" s="697">
        <f ca="1">4*build2_side*Building_height*cool_DD*24/R_wall</f>
        <v>12452312.839706525</v>
      </c>
      <c r="D76" s="693" t="s">
        <v>877</v>
      </c>
      <c r="F76" s="693"/>
      <c r="G76" s="693"/>
      <c r="H76" s="693"/>
      <c r="I76" s="693"/>
      <c r="J76" s="693"/>
      <c r="K76" s="693"/>
      <c r="L76" s="693"/>
    </row>
    <row r="77" spans="1:12" s="694" customFormat="1">
      <c r="A77" s="693" t="s">
        <v>3856</v>
      </c>
      <c r="B77" s="719"/>
      <c r="C77" s="697">
        <f ca="1">build2_fp*cool_DD*24/R_ceiling</f>
        <v>9099893.8775510211</v>
      </c>
      <c r="D77" s="693" t="s">
        <v>877</v>
      </c>
      <c r="F77" s="693"/>
      <c r="G77" s="693"/>
      <c r="H77" s="693"/>
      <c r="I77" s="693"/>
      <c r="J77" s="693"/>
      <c r="K77" s="693"/>
      <c r="L77" s="693"/>
    </row>
    <row r="78" spans="1:12" s="694" customFormat="1">
      <c r="A78" s="693" t="s">
        <v>3857</v>
      </c>
      <c r="B78" s="692"/>
      <c r="C78" s="700">
        <f ca="1">build2_cfm*cool_viload</f>
        <v>968777780.25</v>
      </c>
      <c r="D78" s="693" t="s">
        <v>877</v>
      </c>
      <c r="F78" s="693"/>
      <c r="G78" s="693"/>
      <c r="H78" s="693"/>
      <c r="I78" s="693"/>
      <c r="J78" s="693"/>
      <c r="K78" s="693"/>
      <c r="L78" s="693"/>
    </row>
    <row r="79" spans="1:12" s="694" customFormat="1">
      <c r="A79" s="693" t="s">
        <v>4767</v>
      </c>
      <c r="B79" s="692" t="s">
        <v>4768</v>
      </c>
      <c r="C79" s="700">
        <f ca="1">SUM(C76:C78)</f>
        <v>990329986.9672575</v>
      </c>
      <c r="D79" s="693" t="s">
        <v>877</v>
      </c>
      <c r="F79" s="693"/>
      <c r="G79" s="693"/>
      <c r="H79" s="693"/>
      <c r="I79" s="693"/>
      <c r="J79" s="693"/>
      <c r="K79" s="693"/>
      <c r="L79" s="693"/>
    </row>
    <row r="80" spans="1:12" s="694" customFormat="1">
      <c r="A80" s="693" t="s">
        <v>4769</v>
      </c>
      <c r="B80" s="692" t="s">
        <v>4770</v>
      </c>
      <c r="C80" s="700">
        <f ca="1">build2_cooling_loss_yr/365.25/24</f>
        <v>112973.98893078457</v>
      </c>
      <c r="D80" s="693" t="s">
        <v>4295</v>
      </c>
      <c r="F80" s="693"/>
      <c r="G80" s="693"/>
      <c r="H80" s="693"/>
      <c r="I80" s="693"/>
      <c r="J80" s="693"/>
      <c r="K80" s="693"/>
      <c r="L80" s="693"/>
    </row>
    <row r="81" spans="1:12" s="694" customFormat="1">
      <c r="A81" s="693"/>
      <c r="B81" s="692"/>
      <c r="C81" s="700"/>
      <c r="D81" s="693"/>
      <c r="F81" s="693"/>
      <c r="G81" s="693"/>
      <c r="H81" s="693"/>
      <c r="I81" s="693"/>
      <c r="J81" s="693"/>
      <c r="K81" s="693"/>
      <c r="L81" s="693"/>
    </row>
    <row r="82" spans="1:12">
      <c r="A82" s="693" t="s">
        <v>4771</v>
      </c>
      <c r="B82" s="692" t="s">
        <v>4772</v>
      </c>
      <c r="C82" s="700">
        <f ca="1">build2_cooling_loss_hr+IF(num_buildings=2,waste_heat_stg2_pumps+waste_heat_stg3_pumps,0)</f>
        <v>112973.98893078457</v>
      </c>
      <c r="D82" s="693" t="s">
        <v>4295</v>
      </c>
      <c r="E82" s="694" t="s">
        <v>4858</v>
      </c>
    </row>
    <row r="83" spans="1:12">
      <c r="A83" s="693" t="s">
        <v>4773</v>
      </c>
      <c r="B83" s="692" t="s">
        <v>4774</v>
      </c>
      <c r="C83" s="700">
        <f ca="1">build2_cooling_req*365.25*24</f>
        <v>990329986.96725762</v>
      </c>
      <c r="D83" s="693" t="s">
        <v>877</v>
      </c>
    </row>
    <row r="84" spans="1:12">
      <c r="A84" s="693" t="s">
        <v>4775</v>
      </c>
      <c r="B84" s="692" t="s">
        <v>4776</v>
      </c>
      <c r="C84" s="703">
        <f ca="1">build2_cooling_req/12000</f>
        <v>9.414499077565381</v>
      </c>
      <c r="D84" s="693" t="s">
        <v>1846</v>
      </c>
    </row>
    <row r="85" spans="1:12">
      <c r="A85" s="693" t="s">
        <v>4777</v>
      </c>
      <c r="B85" s="692" t="s">
        <v>4778</v>
      </c>
      <c r="C85" s="700">
        <f ca="1">ROUNDUP(build2_cooling_tons/max_cool_cl,0)</f>
        <v>1</v>
      </c>
    </row>
    <row r="87" spans="1:12" s="694" customFormat="1">
      <c r="A87" s="693" t="s">
        <v>3859</v>
      </c>
      <c r="B87" s="718"/>
      <c r="C87" s="697">
        <f ca="1">4*build3_side*Building_height*cool_DD*24/R_wall</f>
        <v>0</v>
      </c>
      <c r="D87" s="693" t="s">
        <v>877</v>
      </c>
      <c r="F87" s="693"/>
      <c r="G87" s="693"/>
      <c r="H87" s="693"/>
      <c r="I87" s="693"/>
      <c r="J87" s="693"/>
      <c r="K87" s="693"/>
      <c r="L87" s="693"/>
    </row>
    <row r="88" spans="1:12" s="694" customFormat="1">
      <c r="A88" s="693" t="s">
        <v>4913</v>
      </c>
      <c r="B88" s="719"/>
      <c r="C88" s="697">
        <f ca="1">build3_fp*cool_DD*24/R_ceiling</f>
        <v>0</v>
      </c>
      <c r="D88" s="693" t="s">
        <v>877</v>
      </c>
      <c r="F88" s="693"/>
      <c r="G88" s="693"/>
      <c r="H88" s="693"/>
      <c r="I88" s="693"/>
      <c r="J88" s="693"/>
      <c r="K88" s="693"/>
      <c r="L88" s="693"/>
    </row>
    <row r="89" spans="1:12" s="694" customFormat="1">
      <c r="A89" s="693" t="s">
        <v>3858</v>
      </c>
      <c r="B89" s="692"/>
      <c r="C89" s="700">
        <f ca="1">build3_cfm*cool_viload</f>
        <v>0</v>
      </c>
      <c r="D89" s="693" t="s">
        <v>877</v>
      </c>
      <c r="F89" s="693"/>
      <c r="G89" s="693"/>
      <c r="H89" s="693"/>
      <c r="I89" s="693"/>
      <c r="J89" s="693"/>
      <c r="K89" s="693"/>
      <c r="L89" s="693"/>
    </row>
    <row r="90" spans="1:12" s="694" customFormat="1">
      <c r="A90" s="693" t="s">
        <v>4859</v>
      </c>
      <c r="B90" s="692" t="s">
        <v>4865</v>
      </c>
      <c r="C90" s="700">
        <f ca="1">SUM(C87:C89)</f>
        <v>0</v>
      </c>
      <c r="D90" s="693" t="s">
        <v>877</v>
      </c>
      <c r="F90" s="693"/>
      <c r="G90" s="693"/>
      <c r="H90" s="693"/>
      <c r="I90" s="693"/>
      <c r="J90" s="693"/>
      <c r="K90" s="693"/>
      <c r="L90" s="693"/>
    </row>
    <row r="91" spans="1:12" s="694" customFormat="1">
      <c r="A91" s="693" t="s">
        <v>4860</v>
      </c>
      <c r="B91" s="692" t="s">
        <v>4866</v>
      </c>
      <c r="C91" s="700">
        <f ca="1">build3_cooling_loss_yr/365.25/24</f>
        <v>0</v>
      </c>
      <c r="D91" s="693" t="s">
        <v>4295</v>
      </c>
      <c r="F91" s="693"/>
      <c r="G91" s="693"/>
      <c r="H91" s="693"/>
      <c r="I91" s="693"/>
      <c r="J91" s="693"/>
      <c r="K91" s="693"/>
      <c r="L91" s="693"/>
    </row>
    <row r="92" spans="1:12" s="694" customFormat="1">
      <c r="A92" s="693"/>
      <c r="B92" s="692"/>
      <c r="C92" s="700"/>
      <c r="D92" s="693"/>
      <c r="F92" s="693"/>
      <c r="G92" s="693"/>
      <c r="H92" s="693"/>
      <c r="I92" s="693"/>
      <c r="J92" s="693"/>
      <c r="K92" s="693"/>
      <c r="L92" s="693"/>
    </row>
    <row r="93" spans="1:12">
      <c r="A93" s="693" t="s">
        <v>4861</v>
      </c>
      <c r="B93" s="692" t="s">
        <v>4867</v>
      </c>
      <c r="C93" s="700">
        <f ca="1">build3_cooling_loss_hr+IF(num_buildings=3,waste_heat_stg2_pumps+waste_heat_stg3_pumps,0)</f>
        <v>0</v>
      </c>
      <c r="D93" s="693" t="s">
        <v>4295</v>
      </c>
      <c r="E93" s="694" t="s">
        <v>4858</v>
      </c>
    </row>
    <row r="94" spans="1:12">
      <c r="A94" s="693" t="s">
        <v>4862</v>
      </c>
      <c r="B94" s="692" t="s">
        <v>4868</v>
      </c>
      <c r="C94" s="700">
        <f ca="1">build3_cooling_req*365.25*24</f>
        <v>0</v>
      </c>
      <c r="D94" s="693" t="s">
        <v>877</v>
      </c>
    </row>
    <row r="95" spans="1:12">
      <c r="A95" s="693" t="s">
        <v>4863</v>
      </c>
      <c r="B95" s="692" t="s">
        <v>4869</v>
      </c>
      <c r="C95" s="703">
        <f ca="1">build3_cooling_req/12000</f>
        <v>0</v>
      </c>
      <c r="D95" s="693" t="s">
        <v>1846</v>
      </c>
    </row>
    <row r="96" spans="1:12">
      <c r="A96" s="693" t="s">
        <v>4864</v>
      </c>
      <c r="B96" s="692" t="s">
        <v>4870</v>
      </c>
      <c r="C96" s="700">
        <f ca="1">ROUNDUP(build3_cooling_tons/max_cool_cl,0)</f>
        <v>0</v>
      </c>
    </row>
    <row r="98" spans="1:12">
      <c r="A98" s="699" t="s">
        <v>4779</v>
      </c>
      <c r="F98" s="694"/>
    </row>
    <row r="99" spans="1:12">
      <c r="A99" s="693" t="s">
        <v>4780</v>
      </c>
      <c r="B99" s="692" t="s">
        <v>4781</v>
      </c>
      <c r="C99" s="704">
        <f ca="1">MAX(build1_heat_zones, build1_cool_zones)</f>
        <v>1</v>
      </c>
    </row>
    <row r="100" spans="1:12">
      <c r="A100" s="693" t="s">
        <v>4782</v>
      </c>
      <c r="B100" s="692" t="s">
        <v>4783</v>
      </c>
      <c r="C100" s="704">
        <f ca="1">MAX(build2_heat_zones, build2_cool_zones)</f>
        <v>1</v>
      </c>
    </row>
    <row r="101" spans="1:12">
      <c r="A101" s="693" t="s">
        <v>4871</v>
      </c>
      <c r="B101" s="692" t="s">
        <v>4872</v>
      </c>
      <c r="C101" s="704">
        <f ca="1">MAX(build3_heat_zones, build3_cool_zones)</f>
        <v>0</v>
      </c>
    </row>
    <row r="102" spans="1:12">
      <c r="C102" s="704"/>
    </row>
    <row r="103" spans="1:12">
      <c r="A103" s="693" t="s">
        <v>4784</v>
      </c>
      <c r="B103" s="692" t="s">
        <v>4785</v>
      </c>
      <c r="C103" s="702" t="b">
        <f ca="1">AND(build1_heat_mbh&lt;=hp_max_heat_cl,build1_cooling_tons&lt;=hp_max_cool_cl)</f>
        <v>1</v>
      </c>
      <c r="E103" s="694" t="s">
        <v>4786</v>
      </c>
    </row>
    <row r="104" spans="1:12">
      <c r="A104" s="693" t="s">
        <v>4787</v>
      </c>
      <c r="B104" s="692" t="s">
        <v>4788</v>
      </c>
      <c r="C104" s="702" t="b">
        <f ca="1">AND(build2_heat_mbh&lt;=hp_max_heat_cl,build2_cooling_tons&lt;=hp_max_cool_cl)</f>
        <v>0</v>
      </c>
    </row>
    <row r="105" spans="1:12">
      <c r="A105" s="693" t="s">
        <v>4873</v>
      </c>
      <c r="B105" s="692" t="s">
        <v>4874</v>
      </c>
      <c r="C105" s="702" t="b">
        <f ca="1">AND(build3_heat_mbh&lt;=hp_max_heat_cl,build3_cooling_tons&lt;=hp_max_cool_cl)</f>
        <v>1</v>
      </c>
    </row>
    <row r="106" spans="1:12">
      <c r="C106" s="702"/>
    </row>
    <row r="107" spans="1:12">
      <c r="A107" s="692" t="s">
        <v>4321</v>
      </c>
      <c r="B107" s="692" t="s">
        <v>4789</v>
      </c>
      <c r="F107" s="694"/>
    </row>
    <row r="108" spans="1:12">
      <c r="A108" s="699" t="s">
        <v>4790</v>
      </c>
      <c r="B108" s="699" t="s">
        <v>4791</v>
      </c>
      <c r="C108" s="699" t="s">
        <v>4792</v>
      </c>
      <c r="D108" s="699" t="s">
        <v>4793</v>
      </c>
      <c r="E108" s="699" t="s">
        <v>4794</v>
      </c>
      <c r="F108" s="699" t="s">
        <v>4795</v>
      </c>
      <c r="G108" s="699" t="s">
        <v>4796</v>
      </c>
      <c r="H108" s="699"/>
      <c r="I108" s="699" t="s">
        <v>4797</v>
      </c>
      <c r="J108" s="699"/>
      <c r="K108" s="699" t="s">
        <v>4798</v>
      </c>
      <c r="L108" s="699" t="s">
        <v>4799</v>
      </c>
    </row>
    <row r="109" spans="1:12">
      <c r="A109" s="693" t="s">
        <v>3695</v>
      </c>
      <c r="B109" s="695">
        <f ca="1">build1_heat_mbh/build1_zones</f>
        <v>59.26055724003978</v>
      </c>
      <c r="C109" s="695">
        <f ca="1">IF(curve=1,B109,VLOOKUP(B109,hvac_elec_cost_cl,2))</f>
        <v>59.26055724003978</v>
      </c>
      <c r="D109" s="705">
        <f ca="1">IF(curve=1,hvac_elec_eq_1,VLOOKUP(B109,hvac_elec_cost_cl,3))</f>
        <v>26458.508840204904</v>
      </c>
      <c r="E109" s="695">
        <f ca="1">VLOOKUP(B109,hvac_elec_cost_cl,IF(ss_cat="large",4,5))</f>
        <v>25</v>
      </c>
      <c r="F109" s="705">
        <f ca="1">IF(D109="contact vendor","n/a",-PMT(discount_rate,E109,D109)*build1_zones)</f>
        <v>2270.4183284655364</v>
      </c>
      <c r="G109" s="706">
        <f ca="1">build1_heat_loss_yr/3412000/resist_eff</f>
        <v>155.35745530964806</v>
      </c>
      <c r="H109" s="693" t="s">
        <v>83</v>
      </c>
      <c r="I109" s="707">
        <f>energy_cost_cl</f>
        <v>0.122</v>
      </c>
      <c r="J109" s="708" t="s">
        <v>3062</v>
      </c>
      <c r="K109" s="709">
        <f ca="1">I109*G109*1000</f>
        <v>18953.609547777061</v>
      </c>
      <c r="L109" s="710">
        <f t="shared" ref="L109:L114" ca="1" si="0">IF(OR(F109="n/a",K109="n/a"),"n/a",F109+K109)</f>
        <v>21224.027876242599</v>
      </c>
    </row>
    <row r="110" spans="1:12">
      <c r="A110" s="693" t="s">
        <v>3694</v>
      </c>
      <c r="B110" s="1280" t="s">
        <v>4800</v>
      </c>
      <c r="C110" s="1280"/>
      <c r="D110" s="1280"/>
      <c r="E110" s="1280"/>
      <c r="F110" s="695" t="s">
        <v>4801</v>
      </c>
      <c r="G110" s="706">
        <f ca="1">IF(hp_ok_1,build1_heat_loss_yr/3412000/COP,"n/a")</f>
        <v>46.136456425289424</v>
      </c>
      <c r="H110" s="693" t="s">
        <v>83</v>
      </c>
      <c r="I110" s="707">
        <f>energy_cost_cl</f>
        <v>0.122</v>
      </c>
      <c r="J110" s="708" t="s">
        <v>3062</v>
      </c>
      <c r="K110" s="709">
        <f ca="1">IF(G110="n/a","n/a",I110*G110*1000)</f>
        <v>5628.6476838853096</v>
      </c>
      <c r="L110" s="710" t="str">
        <f t="shared" ca="1" si="0"/>
        <v>n/a</v>
      </c>
    </row>
    <row r="111" spans="1:12">
      <c r="A111" s="693" t="s">
        <v>3696</v>
      </c>
      <c r="B111" s="695">
        <f ca="1">build1_heat_mbh/build1_zones</f>
        <v>59.26055724003978</v>
      </c>
      <c r="C111" s="695">
        <f ca="1">IF(curve=1,B111,VLOOKUP(B111,hvac_gas_non_cost_cl,2))</f>
        <v>59.26055724003978</v>
      </c>
      <c r="D111" s="705">
        <f ca="1">IF(curve=1,hvac_gas_non_eq_1,VLOOKUP(B111,hvac_gas_non_cost_cl,3))</f>
        <v>18949.143692504371</v>
      </c>
      <c r="E111" s="695">
        <f ca="1">VLOOKUP(B111,hvac_gas_non_cost_cl,IF(ss_cat="large",4,5))</f>
        <v>25</v>
      </c>
      <c r="F111" s="705">
        <f ca="1">IF(D111="contact vendor","n/a",-PMT(discount_rate,E111,D111)*build1_zones)</f>
        <v>1626.0358211425137</v>
      </c>
      <c r="G111" s="700">
        <f ca="1">build1_heat_loss_yr/100000/gas_non_eff</f>
        <v>6111.5064090139858</v>
      </c>
      <c r="H111" s="693" t="s">
        <v>2402</v>
      </c>
      <c r="I111" s="711">
        <f>gas_cost_cl</f>
        <v>1.72929</v>
      </c>
      <c r="J111" s="712" t="s">
        <v>3697</v>
      </c>
      <c r="K111" s="709">
        <f ca="1">I111*G111</f>
        <v>10568.566918043796</v>
      </c>
      <c r="L111" s="710">
        <f t="shared" ca="1" si="0"/>
        <v>12194.60273918631</v>
      </c>
    </row>
    <row r="112" spans="1:12">
      <c r="A112" s="693" t="s">
        <v>3635</v>
      </c>
      <c r="B112" s="695">
        <f ca="1">build1_heat_mbh/build1_zones</f>
        <v>59.26055724003978</v>
      </c>
      <c r="C112" s="695">
        <f ca="1">IF(curve=1,B112,VLOOKUP(B112,hvac_gas_cost_cl,2))</f>
        <v>59.26055724003978</v>
      </c>
      <c r="D112" s="705">
        <f ca="1">IF(curve=1,hvac_gas_eq_1,VLOOKUP(B112,hvac_gas_cost_cl,3))</f>
        <v>18949.143692504371</v>
      </c>
      <c r="E112" s="695">
        <f ca="1">VLOOKUP(B112,hvac_gas_cost_cl,IF(ss_cat="large",4,5))</f>
        <v>25</v>
      </c>
      <c r="F112" s="705">
        <f ca="1">IF(D112="contact vendor","n/a",-PMT(discount_rate,E112,D112)*build1_zones)</f>
        <v>1626.0358211425137</v>
      </c>
      <c r="G112" s="700">
        <f ca="1">build1_heat_loss_yr/100000/gas_eff</f>
        <v>5771.9782751798748</v>
      </c>
      <c r="H112" s="693" t="s">
        <v>2402</v>
      </c>
      <c r="I112" s="711">
        <f>gas_cost_cl</f>
        <v>1.72929</v>
      </c>
      <c r="J112" s="712" t="s">
        <v>3697</v>
      </c>
      <c r="K112" s="709">
        <f ca="1">I112*G112</f>
        <v>9981.4243114858054</v>
      </c>
      <c r="L112" s="710">
        <f t="shared" ca="1" si="0"/>
        <v>11607.460132628319</v>
      </c>
    </row>
    <row r="113" spans="1:12">
      <c r="A113" s="693" t="s">
        <v>2161</v>
      </c>
      <c r="B113" s="695">
        <f ca="1">build1_heat_mbh/build1_zones</f>
        <v>59.26055724003978</v>
      </c>
      <c r="C113" s="695">
        <f ca="1">IF(curve=1,B113,VLOOKUP(B113,hvac_oil_std_cost_cl,2))</f>
        <v>59.26055724003978</v>
      </c>
      <c r="D113" s="705">
        <f ca="1">IF(curve=1,hvac_oil_std_eq_1,VLOOKUP(B113,hvac_oil_std_cost_cl,3))</f>
        <v>21713.977277743437</v>
      </c>
      <c r="E113" s="695">
        <f ca="1">VLOOKUP(B113,hvac_oil_std_cost_cl,IF(ss_cat="large",4,5))</f>
        <v>25</v>
      </c>
      <c r="F113" s="705">
        <f ca="1">IF(D113="contact vendor","n/a",-PMT(discount_rate,E113,D113)*build1_zones)</f>
        <v>1863.2876211209452</v>
      </c>
      <c r="G113" s="700">
        <f ca="1">build1_heat_loss_yr/diesel_heat_content/diesel_non_eff</f>
        <v>4557.6245373415404</v>
      </c>
      <c r="H113" s="693" t="s">
        <v>4083</v>
      </c>
      <c r="I113" s="711">
        <f>diesel_cost_cl</f>
        <v>3.8295007720020586</v>
      </c>
      <c r="J113" s="712" t="s">
        <v>3636</v>
      </c>
      <c r="K113" s="709">
        <f ca="1">I113*G113</f>
        <v>17453.426684244954</v>
      </c>
      <c r="L113" s="710">
        <f t="shared" ca="1" si="0"/>
        <v>19316.714305365898</v>
      </c>
    </row>
    <row r="114" spans="1:12">
      <c r="A114" s="693" t="s">
        <v>2162</v>
      </c>
      <c r="B114" s="695">
        <f ca="1">build1_heat_mbh/build1_zones</f>
        <v>59.26055724003978</v>
      </c>
      <c r="C114" s="695">
        <f ca="1">IF(curve=1,B114,VLOOKUP(B114,hvac_oil_mid_cost_cl,2))</f>
        <v>59.26055724003978</v>
      </c>
      <c r="D114" s="705">
        <f ca="1">IF(curve=1,hvac_oil_mid_eq_1,VLOOKUP(B114,hvac_oil_mid_cost_cl,3))</f>
        <v>21713.977277743437</v>
      </c>
      <c r="E114" s="695">
        <f ca="1">VLOOKUP(B114,hvac_oil_mid_cost_cl,IF(ss_cat="large",4,5))</f>
        <v>25</v>
      </c>
      <c r="F114" s="705">
        <f ca="1">IF(D114="contact vendor","n/a",-PMT(discount_rate,E114,D114)*build1_zones)</f>
        <v>1863.2876211209452</v>
      </c>
      <c r="G114" s="700">
        <f ca="1">build1_heat_loss_yr/diesel_heat_content/diesel_eff</f>
        <v>4152.502356244514</v>
      </c>
      <c r="H114" s="693" t="s">
        <v>4083</v>
      </c>
      <c r="I114" s="711">
        <f>diesel_cost_cl</f>
        <v>3.8295007720020586</v>
      </c>
      <c r="J114" s="712" t="s">
        <v>3636</v>
      </c>
      <c r="K114" s="709">
        <f ca="1">I114*G114</f>
        <v>15902.010978978733</v>
      </c>
      <c r="L114" s="710">
        <f t="shared" ca="1" si="0"/>
        <v>17765.298600099679</v>
      </c>
    </row>
    <row r="115" spans="1:12">
      <c r="F115" s="694"/>
    </row>
    <row r="116" spans="1:12">
      <c r="A116" s="692" t="s">
        <v>1629</v>
      </c>
      <c r="B116" s="692" t="s">
        <v>4802</v>
      </c>
      <c r="F116" s="694"/>
    </row>
    <row r="117" spans="1:12">
      <c r="A117" s="699" t="s">
        <v>4790</v>
      </c>
      <c r="B117" s="699" t="s">
        <v>4791</v>
      </c>
      <c r="C117" s="699" t="s">
        <v>4792</v>
      </c>
      <c r="D117" s="699" t="s">
        <v>4793</v>
      </c>
      <c r="E117" s="699" t="s">
        <v>4794</v>
      </c>
      <c r="F117" s="699" t="s">
        <v>4795</v>
      </c>
      <c r="G117" s="699" t="s">
        <v>4796</v>
      </c>
      <c r="H117" s="699"/>
      <c r="I117" s="699" t="s">
        <v>4797</v>
      </c>
      <c r="J117" s="699"/>
      <c r="K117" s="699" t="s">
        <v>4798</v>
      </c>
      <c r="L117" s="699" t="s">
        <v>4799</v>
      </c>
    </row>
    <row r="118" spans="1:12">
      <c r="A118" s="693" t="s">
        <v>3695</v>
      </c>
      <c r="B118" s="695">
        <f ca="1">build2_heat_mbh/build2_zones</f>
        <v>367.48038398633548</v>
      </c>
      <c r="C118" s="695">
        <f ca="1">IF(curve=1,B118,VLOOKUP(B118,hvac_elec_cost_cl,2))</f>
        <v>367.48038398633548</v>
      </c>
      <c r="D118" s="705">
        <f ca="1">IF(curve=1,hvac_elec_eq_2,VLOOKUP(B118,hvac_elec_cost_cl,3))</f>
        <v>107716.86455291814</v>
      </c>
      <c r="E118" s="695">
        <f ca="1">VLOOKUP(B118,hvac_elec_cost_cl,IF(ss_cat="large",4,5))</f>
        <v>25</v>
      </c>
      <c r="F118" s="705">
        <f ca="1">IF(D118="contact vendor","n/a",-PMT(discount_rate,E118,D118)*build2_zones)</f>
        <v>9243.2398606742881</v>
      </c>
      <c r="G118" s="706">
        <f ca="1">build2_heat_loss_yr/3412000/resist_eff</f>
        <v>963.38644101975547</v>
      </c>
      <c r="H118" s="693" t="s">
        <v>83</v>
      </c>
      <c r="I118" s="707">
        <f>energy_cost_cl</f>
        <v>0.122</v>
      </c>
      <c r="J118" s="708" t="s">
        <v>3062</v>
      </c>
      <c r="K118" s="709">
        <f ca="1">I118*G118*1000</f>
        <v>117533.14580441017</v>
      </c>
      <c r="L118" s="710">
        <f ca="1">IF(F118="n/a","n/a",F118+K118)</f>
        <v>126776.38566508447</v>
      </c>
    </row>
    <row r="119" spans="1:12">
      <c r="A119" s="693" t="s">
        <v>3694</v>
      </c>
      <c r="B119" s="1280" t="s">
        <v>4800</v>
      </c>
      <c r="C119" s="1280"/>
      <c r="D119" s="1280"/>
      <c r="E119" s="1280"/>
      <c r="F119" s="695" t="s">
        <v>4801</v>
      </c>
      <c r="G119" s="706" t="str">
        <f ca="1">IF(hp_ok_2,build2_heat_loss_yr/3412000/COP,"n/a")</f>
        <v>n/a</v>
      </c>
      <c r="H119" s="693" t="s">
        <v>83</v>
      </c>
      <c r="I119" s="707">
        <f>energy_cost_cl</f>
        <v>0.122</v>
      </c>
      <c r="J119" s="708" t="s">
        <v>3062</v>
      </c>
      <c r="K119" s="709" t="str">
        <f ca="1">IF(G119="n/a","n/a",I119*G119*1000)</f>
        <v>n/a</v>
      </c>
      <c r="L119" s="710" t="str">
        <f ca="1">IF(OR(F119="n/a",K119="n/a"),"n/a",F119+K119)</f>
        <v>n/a</v>
      </c>
    </row>
    <row r="120" spans="1:12">
      <c r="A120" s="693" t="s">
        <v>3696</v>
      </c>
      <c r="B120" s="695">
        <f ca="1">build2_heat_mbh/build2_zones</f>
        <v>367.48038398633548</v>
      </c>
      <c r="C120" s="695">
        <f ca="1">IF(curve=1,B120,VLOOKUP(B120,hvac_gas_non_cost_cl,2))</f>
        <v>367.48038398633548</v>
      </c>
      <c r="D120" s="705">
        <f ca="1">IF(curve=1,hvac_gas_non_eq_2,VLOOKUP(B120,hvac_gas_non_cost_cl,3))</f>
        <v>74547.056065174125</v>
      </c>
      <c r="E120" s="695">
        <f ca="1">VLOOKUP(B120,hvac_gas_non_cost_cl,IF(ss_cat="large",4,5))</f>
        <v>25</v>
      </c>
      <c r="F120" s="705">
        <f ca="1">IF(D120="contact vendor","n/a",-PMT(discount_rate,E120,D120)*build2_zones)</f>
        <v>6396.9214382305499</v>
      </c>
      <c r="G120" s="700">
        <f ca="1">build2_heat_loss_yr/100000/gas_non_eff</f>
        <v>37898.035835579023</v>
      </c>
      <c r="H120" s="693" t="s">
        <v>2402</v>
      </c>
      <c r="I120" s="711">
        <f>gas_cost_cl</f>
        <v>1.72929</v>
      </c>
      <c r="J120" s="712" t="s">
        <v>3697</v>
      </c>
      <c r="K120" s="709">
        <f ca="1">I120*G120</f>
        <v>65536.694390108445</v>
      </c>
      <c r="L120" s="710">
        <f ca="1">IF(F120="n/a","n/a",F120+K120)</f>
        <v>71933.615828338996</v>
      </c>
    </row>
    <row r="121" spans="1:12">
      <c r="A121" s="693" t="s">
        <v>3635</v>
      </c>
      <c r="B121" s="695">
        <f ca="1">build2_heat_mbh/build2_zones</f>
        <v>367.48038398633548</v>
      </c>
      <c r="C121" s="695">
        <f ca="1">IF(curve=1,B121,VLOOKUP(B121,hvac_gas_cost_cl,2))</f>
        <v>367.48038398633548</v>
      </c>
      <c r="D121" s="705">
        <f ca="1">IF(curve=1,hvac_gas_eq_2,VLOOKUP(B121,hvac_gas_cost_cl,3))</f>
        <v>74547.056065174125</v>
      </c>
      <c r="E121" s="695">
        <f ca="1">VLOOKUP(B121,hvac_gas_cost_cl,IF(ss_cat="large",4,5))</f>
        <v>25</v>
      </c>
      <c r="F121" s="705">
        <f ca="1">IF(D121="contact vendor","n/a",-PMT(discount_rate,E121,D121)*build2_zones)</f>
        <v>6396.9214382305499</v>
      </c>
      <c r="G121" s="700">
        <f ca="1">build2_heat_loss_yr/100000/gas_eff</f>
        <v>35792.589400269077</v>
      </c>
      <c r="H121" s="693" t="s">
        <v>2402</v>
      </c>
      <c r="I121" s="711">
        <f>gas_cost_cl</f>
        <v>1.72929</v>
      </c>
      <c r="J121" s="712" t="s">
        <v>3697</v>
      </c>
      <c r="K121" s="709">
        <f ca="1">I121*G121</f>
        <v>61895.766923991308</v>
      </c>
      <c r="L121" s="710">
        <f ca="1">IF(F121="n/a","n/a",F121+K121)</f>
        <v>68292.688362221859</v>
      </c>
    </row>
    <row r="122" spans="1:12">
      <c r="A122" s="693" t="s">
        <v>2161</v>
      </c>
      <c r="B122" s="695">
        <f ca="1">build2_heat_mbh/build2_zones</f>
        <v>367.48038398633548</v>
      </c>
      <c r="C122" s="695">
        <f ca="1">IF(curve=1,B122,VLOOKUP(B122,hvac_oil_std_cost_cl,2))</f>
        <v>367.48038398633548</v>
      </c>
      <c r="D122" s="705">
        <f ca="1">IF(curve=1,hvac_oil_std_eq_2,VLOOKUP(B122,hvac_oil_std_cost_cl,3))</f>
        <v>80400.011316847929</v>
      </c>
      <c r="E122" s="695">
        <f ca="1">VLOOKUP(B122,hvac_oil_std_cost_cl,IF(ss_cat="large",4,5))</f>
        <v>25</v>
      </c>
      <c r="F122" s="705">
        <f ca="1">IF(D122="contact vendor","n/a",-PMT(discount_rate,E122,D122)*build2_zones)</f>
        <v>6899.1665556460903</v>
      </c>
      <c r="G122" s="700">
        <f ca="1">build2_heat_loss_yr/diesel_heat_content/diesel_non_eff</f>
        <v>28262.265713495504</v>
      </c>
      <c r="H122" s="693" t="s">
        <v>4083</v>
      </c>
      <c r="I122" s="711">
        <f>diesel_cost_cl</f>
        <v>3.8295007720020586</v>
      </c>
      <c r="J122" s="712" t="s">
        <v>3636</v>
      </c>
      <c r="K122" s="709">
        <f ca="1">I122*G122</f>
        <v>108230.36836835835</v>
      </c>
      <c r="L122" s="710">
        <f ca="1">IF(F122="n/a","n/a",F122+K122)</f>
        <v>115129.53492400445</v>
      </c>
    </row>
    <row r="123" spans="1:12">
      <c r="A123" s="693" t="s">
        <v>2162</v>
      </c>
      <c r="B123" s="695">
        <f ca="1">build2_heat_mbh/build2_zones</f>
        <v>367.48038398633548</v>
      </c>
      <c r="C123" s="695">
        <f ca="1">IF(curve=1,B123,VLOOKUP(B123,hvac_oil_mid_cost_cl,2))</f>
        <v>367.48038398633548</v>
      </c>
      <c r="D123" s="705">
        <f ca="1">IF(curve=1,hvac_oil_mid_eq_2,VLOOKUP(B123,hvac_oil_mid_cost_cl,3))</f>
        <v>80400.011316847929</v>
      </c>
      <c r="E123" s="695">
        <f ca="1">VLOOKUP(B123,hvac_oil_mid_cost_cl,IF(ss_cat="large",4,5))</f>
        <v>25</v>
      </c>
      <c r="F123" s="705">
        <f ca="1">IF(D123="contact vendor","n/a",-PMT(discount_rate,E123,D123)*build2_zones)</f>
        <v>6899.1665556460903</v>
      </c>
      <c r="G123" s="700">
        <f ca="1">build2_heat_loss_yr/diesel_heat_content/diesel_eff</f>
        <v>25750.064316740347</v>
      </c>
      <c r="H123" s="693" t="s">
        <v>4083</v>
      </c>
      <c r="I123" s="711">
        <f>diesel_cost_cl</f>
        <v>3.8295007720020586</v>
      </c>
      <c r="J123" s="712" t="s">
        <v>3636</v>
      </c>
      <c r="K123" s="709">
        <f ca="1">I123*G123</f>
        <v>98609.891180059814</v>
      </c>
      <c r="L123" s="710">
        <f ca="1">IF(F123="n/a","n/a",F123+K123)</f>
        <v>105509.05773570591</v>
      </c>
    </row>
    <row r="124" spans="1:12">
      <c r="F124" s="694"/>
    </row>
    <row r="125" spans="1:12">
      <c r="A125" s="692" t="s">
        <v>1630</v>
      </c>
      <c r="B125" s="692" t="s">
        <v>4911</v>
      </c>
      <c r="F125" s="694"/>
    </row>
    <row r="126" spans="1:12">
      <c r="A126" s="699" t="s">
        <v>4790</v>
      </c>
      <c r="B126" s="699" t="s">
        <v>4791</v>
      </c>
      <c r="C126" s="699" t="s">
        <v>4792</v>
      </c>
      <c r="D126" s="699" t="s">
        <v>4793</v>
      </c>
      <c r="E126" s="699" t="s">
        <v>4794</v>
      </c>
      <c r="F126" s="699" t="s">
        <v>4795</v>
      </c>
      <c r="G126" s="699" t="s">
        <v>4796</v>
      </c>
      <c r="H126" s="699"/>
      <c r="I126" s="699" t="s">
        <v>4797</v>
      </c>
      <c r="J126" s="699"/>
      <c r="K126" s="699" t="s">
        <v>4798</v>
      </c>
      <c r="L126" s="699" t="s">
        <v>4799</v>
      </c>
    </row>
    <row r="127" spans="1:12">
      <c r="A127" s="693" t="s">
        <v>3695</v>
      </c>
      <c r="B127" s="695" t="e">
        <f ca="1">build3_heat_mbh/build3_zones</f>
        <v>#DIV/0!</v>
      </c>
      <c r="C127" s="695" t="e">
        <f ca="1">IF(curve=1,B127,VLOOKUP(B127,hvac_elec_cost_cl,2))</f>
        <v>#DIV/0!</v>
      </c>
      <c r="D127" s="705">
        <f ca="1">IF(curve=1,hvac_elec_eq_2,VLOOKUP(B127,hvac_elec_cost_cl,3))</f>
        <v>107716.86455291814</v>
      </c>
      <c r="E127" s="695" t="e">
        <f ca="1">VLOOKUP(B127,hvac_elec_cost_cl,IF(ss_cat="large",4,5))</f>
        <v>#DIV/0!</v>
      </c>
      <c r="F127" s="705" t="e">
        <f ca="1">IF(D127="contact vendor","n/a",-PMT(discount_rate,E127,D127)*build3_zones)</f>
        <v>#DIV/0!</v>
      </c>
      <c r="G127" s="706">
        <f ca="1">build3_heat_loss_yr/3412000/resist_eff</f>
        <v>0</v>
      </c>
      <c r="H127" s="693" t="s">
        <v>83</v>
      </c>
      <c r="I127" s="707">
        <f>energy_cost_cl</f>
        <v>0.122</v>
      </c>
      <c r="J127" s="708" t="s">
        <v>3062</v>
      </c>
      <c r="K127" s="709">
        <f ca="1">I127*G127*1000</f>
        <v>0</v>
      </c>
      <c r="L127" s="710" t="e">
        <f ca="1">IF(F127="n/a","n/a",F127+K127)</f>
        <v>#DIV/0!</v>
      </c>
    </row>
    <row r="128" spans="1:12">
      <c r="A128" s="693" t="s">
        <v>3694</v>
      </c>
      <c r="B128" s="1280" t="s">
        <v>4800</v>
      </c>
      <c r="C128" s="1280"/>
      <c r="D128" s="1280"/>
      <c r="E128" s="1280"/>
      <c r="F128" s="695" t="s">
        <v>4801</v>
      </c>
      <c r="G128" s="706" t="str">
        <f ca="1">IF(hp_ok_2,build3_heat_loss_yr/3412000/COP,"n/a")</f>
        <v>n/a</v>
      </c>
      <c r="H128" s="693" t="s">
        <v>83</v>
      </c>
      <c r="I128" s="707">
        <f>energy_cost_cl</f>
        <v>0.122</v>
      </c>
      <c r="J128" s="708" t="s">
        <v>3062</v>
      </c>
      <c r="K128" s="709" t="str">
        <f ca="1">IF(G128="n/a","n/a",I128*G128*1000)</f>
        <v>n/a</v>
      </c>
      <c r="L128" s="710" t="str">
        <f ca="1">IF(OR(F128="n/a",K128="n/a"),"n/a",F128+K128)</f>
        <v>n/a</v>
      </c>
    </row>
    <row r="129" spans="1:12">
      <c r="A129" s="693" t="s">
        <v>3696</v>
      </c>
      <c r="B129" s="695" t="e">
        <f ca="1">build3_heat_mbh/build3_zones</f>
        <v>#DIV/0!</v>
      </c>
      <c r="C129" s="695" t="e">
        <f ca="1">IF(curve=1,B129,VLOOKUP(B129,hvac_gas_non_cost_cl,2))</f>
        <v>#DIV/0!</v>
      </c>
      <c r="D129" s="705">
        <f ca="1">IF(curve=1,hvac_gas_non_eq_2,VLOOKUP(B129,hvac_gas_non_cost_cl,3))</f>
        <v>74547.056065174125</v>
      </c>
      <c r="E129" s="695" t="e">
        <f ca="1">VLOOKUP(B129,hvac_gas_non_cost_cl,IF(ss_cat="large",4,5))</f>
        <v>#DIV/0!</v>
      </c>
      <c r="F129" s="705" t="e">
        <f ca="1">IF(D129="contact vendor","n/a",-PMT(discount_rate,E129,D129)*build3_zones)</f>
        <v>#DIV/0!</v>
      </c>
      <c r="G129" s="700">
        <f ca="1">build3_heat_loss_yr/100000/gas_non_eff</f>
        <v>0</v>
      </c>
      <c r="H129" s="693" t="s">
        <v>2402</v>
      </c>
      <c r="I129" s="711">
        <f>gas_cost_cl</f>
        <v>1.72929</v>
      </c>
      <c r="J129" s="712" t="s">
        <v>3697</v>
      </c>
      <c r="K129" s="709">
        <f ca="1">I129*G129</f>
        <v>0</v>
      </c>
      <c r="L129" s="710" t="e">
        <f ca="1">IF(F129="n/a","n/a",F129+K129)</f>
        <v>#DIV/0!</v>
      </c>
    </row>
    <row r="130" spans="1:12">
      <c r="A130" s="693" t="s">
        <v>3635</v>
      </c>
      <c r="B130" s="695" t="e">
        <f ca="1">build3_heat_mbh/build3_zones</f>
        <v>#DIV/0!</v>
      </c>
      <c r="C130" s="695" t="e">
        <f ca="1">IF(curve=1,B130,VLOOKUP(B130,hvac_gas_cost_cl,2))</f>
        <v>#DIV/0!</v>
      </c>
      <c r="D130" s="705">
        <f ca="1">IF(curve=1,hvac_gas_eq_2,VLOOKUP(B130,hvac_gas_cost_cl,3))</f>
        <v>74547.056065174125</v>
      </c>
      <c r="E130" s="695" t="e">
        <f ca="1">VLOOKUP(B130,hvac_gas_cost_cl,IF(ss_cat="large",4,5))</f>
        <v>#DIV/0!</v>
      </c>
      <c r="F130" s="705" t="e">
        <f ca="1">IF(D130="contact vendor","n/a",-PMT(discount_rate,E130,D130)*build3_zones)</f>
        <v>#DIV/0!</v>
      </c>
      <c r="G130" s="700">
        <f ca="1">build3_heat_loss_yr/100000/gas_eff</f>
        <v>0</v>
      </c>
      <c r="H130" s="693" t="s">
        <v>2402</v>
      </c>
      <c r="I130" s="711">
        <f>gas_cost_cl</f>
        <v>1.72929</v>
      </c>
      <c r="J130" s="712" t="s">
        <v>3697</v>
      </c>
      <c r="K130" s="709">
        <f ca="1">I130*G130</f>
        <v>0</v>
      </c>
      <c r="L130" s="710" t="e">
        <f ca="1">IF(F130="n/a","n/a",F130+K130)</f>
        <v>#DIV/0!</v>
      </c>
    </row>
    <row r="131" spans="1:12">
      <c r="A131" s="693" t="s">
        <v>2161</v>
      </c>
      <c r="B131" s="695" t="e">
        <f ca="1">build3_heat_mbh/build3_zones</f>
        <v>#DIV/0!</v>
      </c>
      <c r="C131" s="695" t="e">
        <f ca="1">IF(curve=1,B131,VLOOKUP(B131,hvac_oil_std_cost_cl,2))</f>
        <v>#DIV/0!</v>
      </c>
      <c r="D131" s="705">
        <f ca="1">IF(curve=1,hvac_oil_std_eq_2,VLOOKUP(B131,hvac_oil_std_cost_cl,3))</f>
        <v>80400.011316847929</v>
      </c>
      <c r="E131" s="695" t="e">
        <f ca="1">VLOOKUP(B131,hvac_oil_std_cost_cl,IF(ss_cat="large",4,5))</f>
        <v>#DIV/0!</v>
      </c>
      <c r="F131" s="705" t="e">
        <f ca="1">IF(D131="contact vendor","n/a",-PMT(discount_rate,E131,D131)*build3_zones)</f>
        <v>#DIV/0!</v>
      </c>
      <c r="G131" s="700">
        <f ca="1">build3_heat_loss_yr/diesel_heat_content/diesel_non_eff</f>
        <v>0</v>
      </c>
      <c r="H131" s="693" t="s">
        <v>4083</v>
      </c>
      <c r="I131" s="711">
        <f>diesel_cost_cl</f>
        <v>3.8295007720020586</v>
      </c>
      <c r="J131" s="712" t="s">
        <v>3636</v>
      </c>
      <c r="K131" s="709">
        <f ca="1">I131*G131</f>
        <v>0</v>
      </c>
      <c r="L131" s="710" t="e">
        <f ca="1">IF(F131="n/a","n/a",F131+K131)</f>
        <v>#DIV/0!</v>
      </c>
    </row>
    <row r="132" spans="1:12">
      <c r="A132" s="693" t="s">
        <v>2162</v>
      </c>
      <c r="B132" s="695" t="e">
        <f ca="1">build3_heat_mbh/build3_zones</f>
        <v>#DIV/0!</v>
      </c>
      <c r="C132" s="695" t="e">
        <f ca="1">IF(curve=1,B132,VLOOKUP(B132,hvac_oil_mid_cost_cl,2))</f>
        <v>#DIV/0!</v>
      </c>
      <c r="D132" s="705">
        <f ca="1">IF(curve=1,hvac_oil_mid_eq_2,VLOOKUP(B132,hvac_oil_mid_cost_cl,3))</f>
        <v>80400.011316847929</v>
      </c>
      <c r="E132" s="695" t="e">
        <f ca="1">VLOOKUP(B132,hvac_oil_mid_cost_cl,IF(ss_cat="large",4,5))</f>
        <v>#DIV/0!</v>
      </c>
      <c r="F132" s="705" t="e">
        <f ca="1">IF(D132="contact vendor","n/a",-PMT(discount_rate,E132,D132)*build3_zones)</f>
        <v>#DIV/0!</v>
      </c>
      <c r="G132" s="700">
        <f ca="1">build3_heat_loss_yr/diesel_heat_content/diesel_eff</f>
        <v>0</v>
      </c>
      <c r="H132" s="693" t="s">
        <v>4083</v>
      </c>
      <c r="I132" s="711">
        <f>diesel_cost_cl</f>
        <v>3.8295007720020586</v>
      </c>
      <c r="J132" s="712" t="s">
        <v>3636</v>
      </c>
      <c r="K132" s="709">
        <f ca="1">I132*G132</f>
        <v>0</v>
      </c>
      <c r="L132" s="710" t="e">
        <f ca="1">IF(F132="n/a","n/a",F132+K132)</f>
        <v>#DIV/0!</v>
      </c>
    </row>
    <row r="134" spans="1:12">
      <c r="A134" s="699" t="s">
        <v>4803</v>
      </c>
      <c r="F134" s="694"/>
    </row>
    <row r="135" spans="1:12">
      <c r="A135" s="692" t="s">
        <v>4321</v>
      </c>
      <c r="B135" s="692" t="s">
        <v>4804</v>
      </c>
      <c r="F135" s="694"/>
    </row>
    <row r="136" spans="1:12">
      <c r="A136" s="699" t="s">
        <v>4790</v>
      </c>
      <c r="B136" s="699" t="s">
        <v>4805</v>
      </c>
      <c r="C136" s="699" t="s">
        <v>4806</v>
      </c>
      <c r="D136" s="699" t="s">
        <v>4793</v>
      </c>
      <c r="E136" s="699" t="s">
        <v>4794</v>
      </c>
      <c r="F136" s="699" t="s">
        <v>4795</v>
      </c>
      <c r="G136" s="699" t="s">
        <v>4796</v>
      </c>
      <c r="H136" s="699"/>
      <c r="I136" s="699" t="s">
        <v>4797</v>
      </c>
      <c r="J136" s="699"/>
      <c r="K136" s="699" t="s">
        <v>4798</v>
      </c>
      <c r="L136" s="699" t="s">
        <v>4799</v>
      </c>
    </row>
    <row r="137" spans="1:12">
      <c r="A137" s="693" t="s">
        <v>4807</v>
      </c>
      <c r="B137" s="713">
        <f ca="1">build1_cooling_tons/build1_zones</f>
        <v>13.342541108303919</v>
      </c>
      <c r="C137" s="713">
        <f ca="1">IF(curve=1,B137,VLOOKUP(B137,hvac_ac_cost_cl,2))</f>
        <v>13.342541108303919</v>
      </c>
      <c r="D137" s="705">
        <f ca="1">IF(curve=1,hvac_ac_eq_1,VLOOKUP(B137,hvac_ac_cost_cl,3))</f>
        <v>45093.206565135653</v>
      </c>
      <c r="E137" s="695">
        <f ca="1">VLOOKUP(B137,hvac_ac_cost_cl,IF(ss_cat="large",4,5))</f>
        <v>25</v>
      </c>
      <c r="F137" s="705">
        <f ca="1">IF(D137="contact vendor","n/a",-PMT(discount_rate,E137,D137)*build1_zones)</f>
        <v>3869.4713784926053</v>
      </c>
      <c r="G137" s="706">
        <f ca="1">build1_cooling_yr/EER/10^6</f>
        <v>118.94310036141574</v>
      </c>
      <c r="H137" s="693" t="s">
        <v>83</v>
      </c>
      <c r="I137" s="707">
        <f>energy_cost_cl</f>
        <v>0.122</v>
      </c>
      <c r="J137" s="708" t="s">
        <v>3062</v>
      </c>
      <c r="K137" s="709">
        <f ca="1">I137*G137*1000</f>
        <v>14511.058244092721</v>
      </c>
      <c r="L137" s="710">
        <f ca="1">IF(F137="n/a","n/a",F137+K137)</f>
        <v>18380.529622585327</v>
      </c>
    </row>
    <row r="138" spans="1:12">
      <c r="A138" s="693" t="s">
        <v>3694</v>
      </c>
      <c r="B138" s="713">
        <f ca="1">build1_cooling_tons/build1_zones</f>
        <v>13.342541108303919</v>
      </c>
      <c r="C138" s="713">
        <f ca="1">IF(hp_ok_1,IF(curve=1,B138,VLOOKUP(B138,hvac_hp_cost_cl,2)),"n/a")</f>
        <v>13.342541108303919</v>
      </c>
      <c r="D138" s="705">
        <f ca="1">IF(C138="n/a","n/a",IF(curve=1,hvac_hp_eq_1,VLOOKUP(B138,hvac_hp_cost_cl,3)))</f>
        <v>19750.960768479101</v>
      </c>
      <c r="E138" s="695">
        <f ca="1">IF(C138="n/a","n/a",VLOOKUP(B138,hvac_hp_cost_cl,IF(ss_cat="large",4,5)))</f>
        <v>25</v>
      </c>
      <c r="F138" s="705">
        <f ca="1">IF(OR(D138="contact vendor",D138="n/a"),"n/a",-PMT(discount_rate,E138,D138)*build1_zones)</f>
        <v>1694.840159148267</v>
      </c>
      <c r="G138" s="706">
        <f ca="1">IF(C138="n/a","n/a",build1_cooling_yr/hp_EER/10^6)</f>
        <v>118.94310036141574</v>
      </c>
      <c r="H138" s="693" t="s">
        <v>83</v>
      </c>
      <c r="I138" s="707">
        <f>energy_cost_cl</f>
        <v>0.122</v>
      </c>
      <c r="J138" s="708" t="s">
        <v>3062</v>
      </c>
      <c r="K138" s="709">
        <f ca="1">IF(C138="n/a","n/a",I138*G138*1000)</f>
        <v>14511.058244092721</v>
      </c>
      <c r="L138" s="710">
        <f ca="1">IF(F138="n/a","n/a",F138+K138)</f>
        <v>16205.898403240988</v>
      </c>
    </row>
    <row r="140" spans="1:12">
      <c r="A140" s="692" t="s">
        <v>1629</v>
      </c>
      <c r="B140" s="692" t="s">
        <v>4808</v>
      </c>
    </row>
    <row r="141" spans="1:12">
      <c r="A141" s="699" t="s">
        <v>4790</v>
      </c>
      <c r="B141" s="699" t="s">
        <v>4805</v>
      </c>
      <c r="C141" s="699" t="s">
        <v>4806</v>
      </c>
      <c r="D141" s="699" t="s">
        <v>4793</v>
      </c>
      <c r="E141" s="699" t="s">
        <v>4794</v>
      </c>
      <c r="F141" s="699" t="s">
        <v>4795</v>
      </c>
      <c r="G141" s="699" t="s">
        <v>4796</v>
      </c>
      <c r="H141" s="699"/>
      <c r="I141" s="699" t="s">
        <v>4797</v>
      </c>
      <c r="J141" s="699"/>
      <c r="K141" s="699" t="s">
        <v>4798</v>
      </c>
      <c r="L141" s="699" t="s">
        <v>4799</v>
      </c>
    </row>
    <row r="142" spans="1:12">
      <c r="A142" s="693" t="s">
        <v>4807</v>
      </c>
      <c r="B142" s="713">
        <f ca="1">build2_cooling_tons/build2_zones</f>
        <v>9.414499077565381</v>
      </c>
      <c r="C142" s="713">
        <f ca="1">IF(curve=1,B142,VLOOKUP(B142,hvac_ac_cost_cl,2))</f>
        <v>9.414499077565381</v>
      </c>
      <c r="D142" s="705">
        <f ca="1">IF(curve=1,hvac_ac_eq_2,VLOOKUP(B142,hvac_ac_cost_cl,3))</f>
        <v>30536.145884051635</v>
      </c>
      <c r="E142" s="695">
        <f ca="1">VLOOKUP(B142,hvac_ac_cost_cl,IF(ss_cat="large",4,5))</f>
        <v>25</v>
      </c>
      <c r="F142" s="705">
        <f ca="1">IF(D142="contact vendor","n/a",-PMT(discount_rate,E142,D142)*build2_zones)</f>
        <v>2620.3224722361701</v>
      </c>
      <c r="G142" s="706">
        <f ca="1">build2_cooling_yr/EER/10^6</f>
        <v>83.926270081970969</v>
      </c>
      <c r="H142" s="693" t="s">
        <v>83</v>
      </c>
      <c r="I142" s="707">
        <f>energy_cost_cl</f>
        <v>0.122</v>
      </c>
      <c r="J142" s="708" t="s">
        <v>3062</v>
      </c>
      <c r="K142" s="709">
        <f ca="1">I142*G142*1000</f>
        <v>10239.004950000459</v>
      </c>
      <c r="L142" s="710">
        <f ca="1">IF(F142="n/a","n/a",F142+K142)</f>
        <v>12859.327422236629</v>
      </c>
    </row>
    <row r="143" spans="1:12">
      <c r="A143" s="693" t="s">
        <v>3694</v>
      </c>
      <c r="B143" s="713">
        <f ca="1">build2_cooling_tons/build2_zones</f>
        <v>9.414499077565381</v>
      </c>
      <c r="C143" s="713" t="str">
        <f ca="1">IF(hp_ok_2,IF(curve=1,B143,VLOOKUP(B143,hvac_hp_cost_cl,2)),"n/a")</f>
        <v>n/a</v>
      </c>
      <c r="D143" s="705" t="str">
        <f ca="1">IF(C143="n/a","n/a",IF(curve=1,hvac_hp_eq_2,VLOOKUP(B143,hvac_hp_cost_cl,3)))</f>
        <v>n/a</v>
      </c>
      <c r="E143" s="695" t="str">
        <f ca="1">IF(C143="n/a","n/a",VLOOKUP(B143,hvac_hp_cost_cl,IF(ss_cat="large",4,5)))</f>
        <v>n/a</v>
      </c>
      <c r="F143" s="705" t="str">
        <f ca="1">IF(OR(D143="contact vendor",D143="n/a"),"n/a",-PMT(discount_rate,E143,D143)*build2_zones)</f>
        <v>n/a</v>
      </c>
      <c r="G143" s="706" t="str">
        <f ca="1">IF(C143="n/a","n/a",build2_cooling_yr/hp_EER/10^6)</f>
        <v>n/a</v>
      </c>
      <c r="H143" s="693" t="s">
        <v>83</v>
      </c>
      <c r="I143" s="707">
        <f>energy_cost_cl</f>
        <v>0.122</v>
      </c>
      <c r="J143" s="708" t="s">
        <v>3062</v>
      </c>
      <c r="K143" s="709" t="str">
        <f ca="1">IF(C143="n/a","n/a",I143*G143*1000)</f>
        <v>n/a</v>
      </c>
      <c r="L143" s="710" t="str">
        <f ca="1">IF(F143="n/a","n/a",F143+K143)</f>
        <v>n/a</v>
      </c>
    </row>
    <row r="145" spans="1:12">
      <c r="A145" s="692" t="s">
        <v>1630</v>
      </c>
      <c r="B145" s="692" t="s">
        <v>4912</v>
      </c>
    </row>
    <row r="146" spans="1:12">
      <c r="A146" s="699" t="s">
        <v>4790</v>
      </c>
      <c r="B146" s="699" t="s">
        <v>4805</v>
      </c>
      <c r="C146" s="699" t="s">
        <v>4806</v>
      </c>
      <c r="D146" s="699" t="s">
        <v>4793</v>
      </c>
      <c r="E146" s="699" t="s">
        <v>4794</v>
      </c>
      <c r="F146" s="699" t="s">
        <v>4795</v>
      </c>
      <c r="G146" s="699" t="s">
        <v>4796</v>
      </c>
      <c r="H146" s="699"/>
      <c r="I146" s="699" t="s">
        <v>4797</v>
      </c>
      <c r="J146" s="699"/>
      <c r="K146" s="699" t="s">
        <v>4798</v>
      </c>
      <c r="L146" s="699" t="s">
        <v>4799</v>
      </c>
    </row>
    <row r="147" spans="1:12">
      <c r="A147" s="693" t="s">
        <v>4807</v>
      </c>
      <c r="B147" s="713" t="e">
        <f ca="1">build3_cooling_tons/build3_zones</f>
        <v>#DIV/0!</v>
      </c>
      <c r="C147" s="713" t="e">
        <f ca="1">IF(curve=1,B147,VLOOKUP(B147,hvac_ac_cost_cl,2))</f>
        <v>#DIV/0!</v>
      </c>
      <c r="D147" s="705">
        <f ca="1">IF(curve=1,hvac_ac_eq_2,VLOOKUP(B147,hvac_ac_cost_cl,3))</f>
        <v>30536.145884051635</v>
      </c>
      <c r="E147" s="695" t="e">
        <f ca="1">VLOOKUP(B147,hvac_ac_cost_cl,IF(ss_cat="large",4,5))</f>
        <v>#DIV/0!</v>
      </c>
      <c r="F147" s="705" t="e">
        <f ca="1">IF(D147="contact vendor","n/a",-PMT(discount_rate,E147,D147)*build3_zones)</f>
        <v>#DIV/0!</v>
      </c>
      <c r="G147" s="706">
        <f ca="1">build3_cooling_yr/EER/10^6</f>
        <v>0</v>
      </c>
      <c r="H147" s="693" t="s">
        <v>83</v>
      </c>
      <c r="I147" s="707">
        <f>energy_cost_cl</f>
        <v>0.122</v>
      </c>
      <c r="J147" s="708" t="s">
        <v>3062</v>
      </c>
      <c r="K147" s="709">
        <f ca="1">I147*G147*1000</f>
        <v>0</v>
      </c>
      <c r="L147" s="710" t="e">
        <f ca="1">IF(F147="n/a","n/a",F147+K147)</f>
        <v>#DIV/0!</v>
      </c>
    </row>
    <row r="148" spans="1:12">
      <c r="A148" s="693" t="s">
        <v>3694</v>
      </c>
      <c r="B148" s="713" t="e">
        <f ca="1">build3_cooling_tons/build3_zones</f>
        <v>#DIV/0!</v>
      </c>
      <c r="C148" s="713" t="str">
        <f ca="1">IF(hp_ok_2,IF(curve=1,B148,VLOOKUP(B148,hvac_hp_cost_cl,2)),"n/a")</f>
        <v>n/a</v>
      </c>
      <c r="D148" s="705" t="str">
        <f ca="1">IF(C148="n/a","n/a",IF(curve=1,hvac_hp_eq_2,VLOOKUP(B148,hvac_hp_cost_cl,3)))</f>
        <v>n/a</v>
      </c>
      <c r="E148" s="695" t="str">
        <f ca="1">IF(C148="n/a","n/a",VLOOKUP(B148,hvac_hp_cost_cl,IF(ss_cat="large",4,5)))</f>
        <v>n/a</v>
      </c>
      <c r="F148" s="705" t="str">
        <f ca="1">IF(OR(D148="contact vendor",D148="n/a"),"n/a",-PMT(discount_rate,E148,D148)*build3_zones)</f>
        <v>n/a</v>
      </c>
      <c r="G148" s="706" t="str">
        <f ca="1">IF(C148="n/a","n/a",build3_cooling_yr/hp_EER/10^6)</f>
        <v>n/a</v>
      </c>
      <c r="H148" s="693" t="s">
        <v>83</v>
      </c>
      <c r="I148" s="707">
        <f>energy_cost_cl</f>
        <v>0.122</v>
      </c>
      <c r="J148" s="708" t="s">
        <v>3062</v>
      </c>
      <c r="K148" s="709" t="str">
        <f ca="1">IF(C148="n/a","n/a",I148*G148*1000)</f>
        <v>n/a</v>
      </c>
      <c r="L148" s="710" t="str">
        <f ca="1">IF(F148="n/a","n/a",F148+K148)</f>
        <v>n/a</v>
      </c>
    </row>
    <row r="151" spans="1:12">
      <c r="A151" s="699" t="s">
        <v>4809</v>
      </c>
      <c r="E151" s="694" t="s">
        <v>4810</v>
      </c>
    </row>
    <row r="153" spans="1:12">
      <c r="A153" s="692" t="s">
        <v>4811</v>
      </c>
      <c r="E153" s="693"/>
    </row>
    <row r="154" spans="1:12">
      <c r="A154" s="699" t="s">
        <v>4812</v>
      </c>
      <c r="B154" s="699" t="s">
        <v>4813</v>
      </c>
      <c r="C154" s="699" t="s">
        <v>4814</v>
      </c>
      <c r="D154" s="699" t="s">
        <v>4813</v>
      </c>
      <c r="E154" s="699" t="s">
        <v>4815</v>
      </c>
    </row>
    <row r="155" spans="1:12">
      <c r="A155" s="693" t="s">
        <v>3695</v>
      </c>
      <c r="B155" s="709">
        <f>IF(build1_need_heat,VLOOKUP(A155,build1_heat_options,12,FALSE),0)</f>
        <v>0</v>
      </c>
      <c r="C155" s="693" t="s">
        <v>4807</v>
      </c>
      <c r="D155" s="709">
        <f>IF(build1_need_cool,VLOOKUP(C155,build1_cool_options,12,FALSE),0)</f>
        <v>0</v>
      </c>
      <c r="E155" s="709">
        <f t="shared" ref="E155:E160" si="1">IF(OR(B155="n/a",D155="n/a"),"n/a",ROUND(B155+D155,0))</f>
        <v>0</v>
      </c>
    </row>
    <row r="156" spans="1:12">
      <c r="A156" s="693" t="s">
        <v>3696</v>
      </c>
      <c r="B156" s="709">
        <f>IF(build1_need_heat,VLOOKUP(A156,build1_heat_options,12,FALSE),0)</f>
        <v>0</v>
      </c>
      <c r="C156" s="693" t="s">
        <v>4807</v>
      </c>
      <c r="D156" s="709">
        <f>IF(build1_need_cool,VLOOKUP(C156,build1_cool_options,12,FALSE),0)</f>
        <v>0</v>
      </c>
      <c r="E156" s="709">
        <f t="shared" si="1"/>
        <v>0</v>
      </c>
    </row>
    <row r="157" spans="1:12">
      <c r="A157" s="693" t="s">
        <v>3635</v>
      </c>
      <c r="B157" s="709">
        <f>IF(build1_need_heat,VLOOKUP(A157,build1_heat_options,12,FALSE),0)</f>
        <v>0</v>
      </c>
      <c r="C157" s="693" t="s">
        <v>4807</v>
      </c>
      <c r="D157" s="709">
        <f>IF(build1_need_cool,VLOOKUP(C157,build1_cool_options,12,FALSE),0)</f>
        <v>0</v>
      </c>
      <c r="E157" s="709">
        <f t="shared" si="1"/>
        <v>0</v>
      </c>
    </row>
    <row r="158" spans="1:12">
      <c r="A158" s="693" t="s">
        <v>2161</v>
      </c>
      <c r="B158" s="709">
        <f>IF(build1_need_heat,VLOOKUP(A158,build1_heat_options,12,FALSE),0)</f>
        <v>0</v>
      </c>
      <c r="C158" s="693" t="s">
        <v>4807</v>
      </c>
      <c r="D158" s="709">
        <f>IF(build1_need_cool,VLOOKUP(C158,build1_cool_options,12,FALSE),0)</f>
        <v>0</v>
      </c>
      <c r="E158" s="709">
        <f t="shared" si="1"/>
        <v>0</v>
      </c>
    </row>
    <row r="159" spans="1:12">
      <c r="A159" s="693" t="s">
        <v>2162</v>
      </c>
      <c r="B159" s="709">
        <f>IF(build1_need_heat,VLOOKUP(A159,build1_heat_options,12,FALSE),0)</f>
        <v>0</v>
      </c>
      <c r="C159" s="693" t="s">
        <v>4807</v>
      </c>
      <c r="D159" s="709">
        <f>IF(build1_need_cool,VLOOKUP(C159,build1_cool_options,12,FALSE),0)</f>
        <v>0</v>
      </c>
      <c r="E159" s="709">
        <f t="shared" si="1"/>
        <v>0</v>
      </c>
    </row>
    <row r="160" spans="1:12">
      <c r="A160" s="693" t="s">
        <v>3694</v>
      </c>
      <c r="B160" s="710">
        <f>IF(AND(build1_need_heat,build1_need_cool),VLOOKUP(A160,build1_heat_options,11,FALSE),0)</f>
        <v>0</v>
      </c>
      <c r="C160" s="693" t="s">
        <v>3694</v>
      </c>
      <c r="D160" s="709">
        <f>IF(AND(build1_need_heat,build1_need_cool),VLOOKUP(C160,build1_cool_options,12,FALSE),0)</f>
        <v>0</v>
      </c>
      <c r="E160" s="709">
        <f t="shared" si="1"/>
        <v>0</v>
      </c>
    </row>
    <row r="161" spans="1:5">
      <c r="B161" s="693"/>
      <c r="D161" s="709"/>
      <c r="E161" s="709"/>
    </row>
    <row r="162" spans="1:5">
      <c r="A162" s="693" t="s">
        <v>4816</v>
      </c>
      <c r="B162" s="692" t="s">
        <v>4817</v>
      </c>
      <c r="C162" s="693">
        <f ca="1">IF(hp_ok_1,MATCH(MIN(E155:E160),E155:E160,0),MATCH(MIN(E155:E159),E155:E159,0))</f>
        <v>1</v>
      </c>
      <c r="D162" s="709"/>
      <c r="E162" s="709"/>
    </row>
    <row r="163" spans="1:5">
      <c r="A163" s="693" t="s">
        <v>4818</v>
      </c>
      <c r="B163" s="692" t="s">
        <v>4819</v>
      </c>
      <c r="C163" s="693" t="str">
        <f>IF(build1_need_heat,INDEX(A155:A160,build1_row),"n/a")</f>
        <v>n/a</v>
      </c>
      <c r="D163" s="709"/>
      <c r="E163" s="709"/>
    </row>
    <row r="164" spans="1:5">
      <c r="A164" s="693" t="s">
        <v>4820</v>
      </c>
      <c r="B164" s="692" t="s">
        <v>4821</v>
      </c>
      <c r="C164" s="693" t="str">
        <f>IF(build1_need_cool,INDEX(C155:C160,build1_row),"n/a")</f>
        <v>n/a</v>
      </c>
      <c r="D164" s="709"/>
      <c r="E164" s="709"/>
    </row>
    <row r="165" spans="1:5">
      <c r="B165" s="693"/>
      <c r="D165" s="709"/>
      <c r="E165" s="709"/>
    </row>
    <row r="167" spans="1:5">
      <c r="A167" s="692" t="s">
        <v>4822</v>
      </c>
      <c r="E167" s="693"/>
    </row>
    <row r="168" spans="1:5">
      <c r="A168" s="699" t="s">
        <v>4812</v>
      </c>
      <c r="B168" s="699" t="s">
        <v>4813</v>
      </c>
      <c r="C168" s="699" t="s">
        <v>4814</v>
      </c>
      <c r="D168" s="699" t="s">
        <v>4813</v>
      </c>
      <c r="E168" s="699" t="s">
        <v>4815</v>
      </c>
    </row>
    <row r="169" spans="1:5">
      <c r="A169" s="693" t="s">
        <v>3695</v>
      </c>
      <c r="B169" s="709">
        <f ca="1">IF(build2_need_heat,VLOOKUP(A169,build2_heat_options,12,FALSE),0)</f>
        <v>0</v>
      </c>
      <c r="C169" s="693" t="s">
        <v>4807</v>
      </c>
      <c r="D169" s="709">
        <f ca="1">IF(build2_need_cool,VLOOKUP(C169,build2_cool_options,12,FALSE),0)</f>
        <v>0</v>
      </c>
      <c r="E169" s="709">
        <f t="shared" ref="E169:E174" ca="1" si="2">IF(OR(B169="n/a",D169="n/a"),"n/a",ROUND(B169+D169,0))</f>
        <v>0</v>
      </c>
    </row>
    <row r="170" spans="1:5">
      <c r="A170" s="693" t="s">
        <v>3696</v>
      </c>
      <c r="B170" s="709">
        <f ca="1">IF(build2_need_heat,VLOOKUP(A170,build2_heat_options,12,FALSE),0)</f>
        <v>0</v>
      </c>
      <c r="C170" s="693" t="s">
        <v>4807</v>
      </c>
      <c r="D170" s="709">
        <f ca="1">IF(build2_need_cool,VLOOKUP(C170,build2_cool_options,12,FALSE),0)</f>
        <v>0</v>
      </c>
      <c r="E170" s="709">
        <f t="shared" ca="1" si="2"/>
        <v>0</v>
      </c>
    </row>
    <row r="171" spans="1:5">
      <c r="A171" s="693" t="s">
        <v>3635</v>
      </c>
      <c r="B171" s="709">
        <f ca="1">IF(build2_need_heat,VLOOKUP(A171,build2_heat_options,12,FALSE),0)</f>
        <v>0</v>
      </c>
      <c r="C171" s="693" t="s">
        <v>4807</v>
      </c>
      <c r="D171" s="709">
        <f ca="1">IF(build2_need_cool,VLOOKUP(C171,build2_cool_options,12,FALSE),0)</f>
        <v>0</v>
      </c>
      <c r="E171" s="709">
        <f t="shared" ca="1" si="2"/>
        <v>0</v>
      </c>
    </row>
    <row r="172" spans="1:5">
      <c r="A172" s="693" t="s">
        <v>2161</v>
      </c>
      <c r="B172" s="709">
        <f ca="1">IF(build2_need_heat,VLOOKUP(A172,build2_heat_options,12,FALSE),0)</f>
        <v>0</v>
      </c>
      <c r="C172" s="693" t="s">
        <v>4807</v>
      </c>
      <c r="D172" s="709">
        <f ca="1">IF(build2_need_cool,VLOOKUP(C172,build2_cool_options,12,FALSE),0)</f>
        <v>0</v>
      </c>
      <c r="E172" s="709">
        <f t="shared" ca="1" si="2"/>
        <v>0</v>
      </c>
    </row>
    <row r="173" spans="1:5">
      <c r="A173" s="693" t="s">
        <v>2162</v>
      </c>
      <c r="B173" s="709">
        <f ca="1">IF(build2_need_heat,VLOOKUP(A173,build2_heat_options,12,FALSE),0)</f>
        <v>0</v>
      </c>
      <c r="C173" s="693" t="s">
        <v>4807</v>
      </c>
      <c r="D173" s="709">
        <f ca="1">IF(build2_need_cool,VLOOKUP(C173,build2_cool_options,12,FALSE),0)</f>
        <v>0</v>
      </c>
      <c r="E173" s="709">
        <f t="shared" ca="1" si="2"/>
        <v>0</v>
      </c>
    </row>
    <row r="174" spans="1:5">
      <c r="A174" s="693" t="s">
        <v>3694</v>
      </c>
      <c r="B174" s="710">
        <f ca="1">IF(AND(build2_need_heat,build2_need_cool),VLOOKUP(A174,build2_heat_options,11,FALSE),0)</f>
        <v>0</v>
      </c>
      <c r="C174" s="693" t="s">
        <v>3694</v>
      </c>
      <c r="D174" s="709">
        <f ca="1">IF(AND(build1_need_heat,build2_need_cool),VLOOKUP(C174,build2_cool_options,12,FALSE),0)</f>
        <v>0</v>
      </c>
      <c r="E174" s="709">
        <f t="shared" ca="1" si="2"/>
        <v>0</v>
      </c>
    </row>
    <row r="175" spans="1:5">
      <c r="B175" s="693"/>
      <c r="D175" s="709"/>
      <c r="E175" s="709"/>
    </row>
    <row r="176" spans="1:5">
      <c r="A176" s="693" t="s">
        <v>4816</v>
      </c>
      <c r="B176" s="692" t="s">
        <v>4823</v>
      </c>
      <c r="C176" s="693">
        <f ca="1">MATCH(MIN(E169:E174),E169:E174,0)</f>
        <v>1</v>
      </c>
      <c r="D176" s="709"/>
      <c r="E176" s="709"/>
    </row>
    <row r="177" spans="1:5">
      <c r="A177" s="693" t="s">
        <v>4824</v>
      </c>
      <c r="B177" s="692" t="s">
        <v>4825</v>
      </c>
      <c r="C177" s="693" t="str">
        <f ca="1">IF(build2_need_heat,INDEX(A169:A174,build2_row),"n/a")</f>
        <v>n/a</v>
      </c>
      <c r="D177" s="709"/>
      <c r="E177" s="709"/>
    </row>
    <row r="178" spans="1:5">
      <c r="A178" s="693" t="s">
        <v>4826</v>
      </c>
      <c r="B178" s="692" t="s">
        <v>4827</v>
      </c>
      <c r="C178" s="693" t="str">
        <f ca="1">IF(build2_need_cool,INDEX(C169:C174,build2_row),"n/a")</f>
        <v>n/a</v>
      </c>
      <c r="D178" s="709"/>
      <c r="E178" s="709"/>
    </row>
    <row r="181" spans="1:5">
      <c r="A181" s="692" t="s">
        <v>4914</v>
      </c>
      <c r="E181" s="693"/>
    </row>
    <row r="182" spans="1:5">
      <c r="A182" s="699" t="s">
        <v>4812</v>
      </c>
      <c r="B182" s="699" t="s">
        <v>4813</v>
      </c>
      <c r="C182" s="699" t="s">
        <v>4814</v>
      </c>
      <c r="D182" s="699" t="s">
        <v>4813</v>
      </c>
      <c r="E182" s="699" t="s">
        <v>4815</v>
      </c>
    </row>
    <row r="183" spans="1:5">
      <c r="A183" s="693" t="s">
        <v>3695</v>
      </c>
      <c r="B183" s="709">
        <f ca="1">IF(build3_need_heat,VLOOKUP(A183,build3_heat_options,12,FALSE),0)</f>
        <v>0</v>
      </c>
      <c r="C183" s="693" t="s">
        <v>4807</v>
      </c>
      <c r="D183" s="709">
        <f ca="1">IF(build3_need_cool,VLOOKUP(C183,build3_cool_options,12,FALSE),0)</f>
        <v>0</v>
      </c>
      <c r="E183" s="709">
        <f t="shared" ref="E183:E188" ca="1" si="3">IF(OR(B183="n/a",D183="n/a"),"n/a",ROUND(B183+D183,0))</f>
        <v>0</v>
      </c>
    </row>
    <row r="184" spans="1:5">
      <c r="A184" s="693" t="s">
        <v>3696</v>
      </c>
      <c r="B184" s="709">
        <f ca="1">IF(build3_need_heat,VLOOKUP(A184,build3_heat_options,12,FALSE),0)</f>
        <v>0</v>
      </c>
      <c r="C184" s="693" t="s">
        <v>4807</v>
      </c>
      <c r="D184" s="709">
        <f ca="1">IF(build3_need_cool,VLOOKUP(C184,build3_cool_options,12,FALSE),0)</f>
        <v>0</v>
      </c>
      <c r="E184" s="709">
        <f t="shared" ca="1" si="3"/>
        <v>0</v>
      </c>
    </row>
    <row r="185" spans="1:5">
      <c r="A185" s="693" t="s">
        <v>3635</v>
      </c>
      <c r="B185" s="709">
        <f ca="1">IF(build3_need_heat,VLOOKUP(A185,build3_heat_options,12,FALSE),0)</f>
        <v>0</v>
      </c>
      <c r="C185" s="693" t="s">
        <v>4807</v>
      </c>
      <c r="D185" s="709">
        <f ca="1">IF(build3_need_cool,VLOOKUP(C185,build3_cool_options,12,FALSE),0)</f>
        <v>0</v>
      </c>
      <c r="E185" s="709">
        <f t="shared" ca="1" si="3"/>
        <v>0</v>
      </c>
    </row>
    <row r="186" spans="1:5">
      <c r="A186" s="693" t="s">
        <v>2161</v>
      </c>
      <c r="B186" s="709">
        <f ca="1">IF(build3_need_heat,VLOOKUP(A186,build3_heat_options,12,FALSE),0)</f>
        <v>0</v>
      </c>
      <c r="C186" s="693" t="s">
        <v>4807</v>
      </c>
      <c r="D186" s="709">
        <f ca="1">IF(build3_need_cool,VLOOKUP(C186,build3_cool_options,12,FALSE),0)</f>
        <v>0</v>
      </c>
      <c r="E186" s="709">
        <f t="shared" ca="1" si="3"/>
        <v>0</v>
      </c>
    </row>
    <row r="187" spans="1:5">
      <c r="A187" s="693" t="s">
        <v>2162</v>
      </c>
      <c r="B187" s="709">
        <f ca="1">IF(build3_need_heat,VLOOKUP(A187,build3_heat_options,12,FALSE),0)</f>
        <v>0</v>
      </c>
      <c r="C187" s="693" t="s">
        <v>4807</v>
      </c>
      <c r="D187" s="709">
        <f ca="1">IF(build3_need_cool,VLOOKUP(C187,build3_cool_options,12,FALSE),0)</f>
        <v>0</v>
      </c>
      <c r="E187" s="709">
        <f t="shared" ca="1" si="3"/>
        <v>0</v>
      </c>
    </row>
    <row r="188" spans="1:5">
      <c r="A188" s="693" t="s">
        <v>3694</v>
      </c>
      <c r="B188" s="710">
        <f ca="1">IF(AND(build3_need_heat,build3_need_cool),VLOOKUP(A188,build3_heat_options,11,FALSE),0)</f>
        <v>0</v>
      </c>
      <c r="C188" s="693" t="s">
        <v>3694</v>
      </c>
      <c r="D188" s="709">
        <f ca="1">IF(AND(build1_need_heat,build3_need_cool),VLOOKUP(C188,build3_cool_options,12,FALSE),0)</f>
        <v>0</v>
      </c>
      <c r="E188" s="709">
        <f t="shared" ca="1" si="3"/>
        <v>0</v>
      </c>
    </row>
    <row r="189" spans="1:5">
      <c r="B189" s="693"/>
      <c r="D189" s="709"/>
      <c r="E189" s="709"/>
    </row>
    <row r="190" spans="1:5">
      <c r="A190" s="693" t="s">
        <v>4816</v>
      </c>
      <c r="B190" s="692" t="s">
        <v>4915</v>
      </c>
      <c r="C190" s="693">
        <f ca="1">MATCH(MIN(E183:E188),E183:E188,0)</f>
        <v>1</v>
      </c>
      <c r="D190" s="709"/>
      <c r="E190" s="709"/>
    </row>
    <row r="191" spans="1:5">
      <c r="A191" s="693" t="s">
        <v>4918</v>
      </c>
      <c r="B191" s="692" t="s">
        <v>4916</v>
      </c>
      <c r="C191" s="693" t="str">
        <f ca="1">IF(build3_need_heat,INDEX(A183:A188,build3_row),"n/a")</f>
        <v>n/a</v>
      </c>
      <c r="D191" s="709"/>
      <c r="E191" s="709"/>
    </row>
    <row r="192" spans="1:5">
      <c r="A192" s="693" t="s">
        <v>4919</v>
      </c>
      <c r="B192" s="692" t="s">
        <v>4917</v>
      </c>
      <c r="C192" s="693" t="str">
        <f ca="1">IF(build3_need_cool,INDEX(C183:C188,build3_row),"n/a")</f>
        <v>n/a</v>
      </c>
      <c r="D192" s="709"/>
      <c r="E192" s="709"/>
    </row>
  </sheetData>
  <mergeCells count="3">
    <mergeCell ref="B110:E110"/>
    <mergeCell ref="B119:E119"/>
    <mergeCell ref="B128:E128"/>
  </mergeCells>
  <phoneticPr fontId="70" type="noConversion"/>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E104"/>
  <sheetViews>
    <sheetView workbookViewId="0">
      <pane ySplit="3" topLeftCell="A4" activePane="bottomLeft" state="frozen"/>
      <selection pane="bottomLeft"/>
    </sheetView>
  </sheetViews>
  <sheetFormatPr baseColWidth="10" defaultColWidth="9.1640625" defaultRowHeight="13"/>
  <cols>
    <col min="1" max="1" width="39.1640625" style="77" customWidth="1"/>
    <col min="2" max="2" width="21.5" style="77" bestFit="1" customWidth="1"/>
    <col min="3" max="3" width="17.5" style="77" customWidth="1"/>
    <col min="4" max="4" width="15.1640625" style="77" customWidth="1"/>
    <col min="5" max="5" width="9.1640625" style="77"/>
    <col min="6" max="6" width="9.5" style="77" bestFit="1" customWidth="1"/>
    <col min="7" max="16384" width="9.1640625" style="77"/>
  </cols>
  <sheetData>
    <row r="1" spans="1:5">
      <c r="A1" s="20" t="s">
        <v>5500</v>
      </c>
    </row>
    <row r="3" spans="1:5">
      <c r="A3" s="235" t="s">
        <v>5172</v>
      </c>
      <c r="B3" s="236" t="s">
        <v>1989</v>
      </c>
      <c r="C3" s="237" t="s">
        <v>1990</v>
      </c>
      <c r="D3" s="236" t="s">
        <v>2961</v>
      </c>
      <c r="E3" s="236" t="s">
        <v>1991</v>
      </c>
    </row>
    <row r="4" spans="1:5">
      <c r="A4" s="941" t="s">
        <v>5408</v>
      </c>
      <c r="D4" s="132"/>
      <c r="E4" s="78"/>
    </row>
    <row r="5" spans="1:5">
      <c r="A5" s="91" t="s">
        <v>1056</v>
      </c>
      <c r="B5" s="97" t="s">
        <v>1057</v>
      </c>
      <c r="C5" s="940">
        <f>IF(include_buildings_I="no",0,1)</f>
        <v>0</v>
      </c>
      <c r="D5" s="238" t="s">
        <v>5407</v>
      </c>
      <c r="E5" s="78"/>
    </row>
    <row r="6" spans="1:5">
      <c r="A6" s="91" t="s">
        <v>1200</v>
      </c>
      <c r="B6" s="97" t="s">
        <v>1201</v>
      </c>
      <c r="C6" s="940">
        <f>IF(include_land_I="no",0,1)</f>
        <v>0</v>
      </c>
      <c r="D6" s="238" t="s">
        <v>5407</v>
      </c>
      <c r="E6" s="78"/>
    </row>
    <row r="7" spans="1:5">
      <c r="A7" s="91"/>
      <c r="B7" s="97"/>
      <c r="C7" s="940"/>
      <c r="D7" s="223"/>
      <c r="E7" s="78"/>
    </row>
    <row r="8" spans="1:5">
      <c r="A8" s="101" t="s">
        <v>3229</v>
      </c>
    </row>
    <row r="9" spans="1:5">
      <c r="A9" s="77" t="s">
        <v>2306</v>
      </c>
      <c r="C9" s="86">
        <f ca="1">pump_energy*design_inflow/average_inflow/365/24*1000</f>
        <v>166.19008287992838</v>
      </c>
      <c r="D9" s="77" t="s">
        <v>821</v>
      </c>
    </row>
    <row r="10" spans="1:5">
      <c r="A10" s="77" t="s">
        <v>963</v>
      </c>
      <c r="C10" s="86">
        <f>IF(include_buildings=0,0,(build1_fp*lighting_energy_1+build2_fp*lighting_energy_2+build3_fp*lighting_energy_3)/365/24)</f>
        <v>0</v>
      </c>
      <c r="D10" s="77" t="s">
        <v>821</v>
      </c>
    </row>
    <row r="11" spans="1:5">
      <c r="A11" s="91" t="s">
        <v>3645</v>
      </c>
      <c r="B11" s="97"/>
      <c r="C11" s="142">
        <f>IF(include_HVAC=0,0,0.746*Fan_pressure_drop*build1_fp*Building_height*air_changes_build1/33000)</f>
        <v>0</v>
      </c>
      <c r="D11" s="77" t="s">
        <v>821</v>
      </c>
    </row>
    <row r="12" spans="1:5">
      <c r="A12" s="91" t="s">
        <v>3647</v>
      </c>
      <c r="B12" s="97"/>
      <c r="C12" s="142">
        <f>IF(include_HVAC=0,0,0.746*Fan_pressure_drop*build2_fp*Building_height*air_changes_build2/33000)</f>
        <v>0</v>
      </c>
      <c r="D12" s="77" t="s">
        <v>821</v>
      </c>
    </row>
    <row r="13" spans="1:5">
      <c r="A13" s="91" t="s">
        <v>3014</v>
      </c>
      <c r="B13" s="97"/>
      <c r="C13" s="142">
        <f>IF(include_HVAC=0,0,0.746*Fan_pressure_drop*build3_fp*Building_height*air_changes_build3/33000)</f>
        <v>0</v>
      </c>
      <c r="D13" s="77" t="s">
        <v>821</v>
      </c>
    </row>
    <row r="14" spans="1:5">
      <c r="A14" s="77" t="s">
        <v>822</v>
      </c>
      <c r="B14" s="97" t="s">
        <v>823</v>
      </c>
      <c r="C14" s="269">
        <f ca="1">SUM(C9:C13)</f>
        <v>166.19008287992838</v>
      </c>
      <c r="D14" s="77" t="s">
        <v>821</v>
      </c>
    </row>
    <row r="16" spans="1:5">
      <c r="A16" s="220" t="s">
        <v>4923</v>
      </c>
      <c r="B16" s="723" t="s">
        <v>4924</v>
      </c>
      <c r="C16" s="725" t="b">
        <f>IF(build1_need_heat=1,VLOOKUP(build1_heat,build1_heat_options,8,FALSE)="MWh/yr",FALSE)</f>
        <v>0</v>
      </c>
      <c r="D16" s="220"/>
    </row>
    <row r="17" spans="1:5">
      <c r="A17" s="220" t="s">
        <v>4925</v>
      </c>
      <c r="B17" s="723" t="s">
        <v>4926</v>
      </c>
      <c r="C17" s="726">
        <f>IF(build1_elec_heat,VLOOKUP(build1_heat,build1_heat_options,7,FALSE),0)*365.25*24/1000</f>
        <v>0</v>
      </c>
      <c r="D17" s="220" t="s">
        <v>821</v>
      </c>
    </row>
    <row r="18" spans="1:5">
      <c r="A18" s="220" t="s">
        <v>4927</v>
      </c>
      <c r="B18" s="723" t="s">
        <v>4928</v>
      </c>
      <c r="C18" s="725" t="b">
        <f ca="1">IF(build2_need_heat,(VLOOKUP(build2_heat,build2_heat_options,8,FALSE)="MWh/yr"),FALSE)</f>
        <v>0</v>
      </c>
      <c r="D18" s="220"/>
    </row>
    <row r="19" spans="1:5">
      <c r="A19" s="220" t="s">
        <v>4929</v>
      </c>
      <c r="B19" s="723" t="s">
        <v>4930</v>
      </c>
      <c r="C19" s="726">
        <f ca="1">IF(build2_elec_heat,VLOOKUP(build2_heat,build2_heat_options,7,FALSE),0)*365.25*24/1000</f>
        <v>0</v>
      </c>
      <c r="D19" s="220" t="s">
        <v>821</v>
      </c>
    </row>
    <row r="20" spans="1:5">
      <c r="A20" s="220" t="s">
        <v>4939</v>
      </c>
      <c r="B20" s="723" t="s">
        <v>4945</v>
      </c>
      <c r="C20" s="725" t="b">
        <f ca="1">IF(build3_need_heat,(VLOOKUP(build3_heat,build3_heat_options,8,FALSE)="MWh/yr"),FALSE)</f>
        <v>0</v>
      </c>
      <c r="D20" s="220"/>
    </row>
    <row r="21" spans="1:5">
      <c r="A21" s="220" t="s">
        <v>4940</v>
      </c>
      <c r="B21" s="723" t="s">
        <v>4946</v>
      </c>
      <c r="C21" s="726">
        <f ca="1">IF(build3_elec_heat,VLOOKUP(build3_heat,build3_heat_options,7,FALSE),0)*365.25*24/1000</f>
        <v>0</v>
      </c>
      <c r="D21" s="220" t="s">
        <v>821</v>
      </c>
    </row>
    <row r="22" spans="1:5">
      <c r="A22" s="220" t="s">
        <v>3324</v>
      </c>
      <c r="B22" s="723" t="s">
        <v>285</v>
      </c>
      <c r="C22" s="726">
        <f>IF(include_HVAC=0,0,build1_elec_heat_power+build2_elec_heat_power+build3_elec_heat_power)</f>
        <v>0</v>
      </c>
      <c r="D22" s="220" t="s">
        <v>821</v>
      </c>
    </row>
    <row r="23" spans="1:5">
      <c r="A23" s="220"/>
      <c r="B23" s="220"/>
      <c r="C23" s="220"/>
      <c r="D23" s="220"/>
    </row>
    <row r="24" spans="1:5">
      <c r="A24" s="220" t="s">
        <v>4931</v>
      </c>
      <c r="B24" s="723" t="s">
        <v>4932</v>
      </c>
      <c r="C24" s="725" t="b">
        <f>IF(build1_need_cool,(VLOOKUP(build1_cool,build1_cool_options,8,FALSE)="MWh/yr"),FALSE)</f>
        <v>0</v>
      </c>
      <c r="D24" s="220"/>
    </row>
    <row r="25" spans="1:5">
      <c r="A25" s="220" t="s">
        <v>4933</v>
      </c>
      <c r="B25" s="723" t="s">
        <v>4934</v>
      </c>
      <c r="C25" s="726">
        <f>IF(build1_elec_cool,VLOOKUP(build1_cool,build1_cool_options,7,FALSE),0)*365.25*24/1000</f>
        <v>0</v>
      </c>
      <c r="D25" s="220" t="s">
        <v>821</v>
      </c>
    </row>
    <row r="26" spans="1:5">
      <c r="A26" s="220" t="s">
        <v>4935</v>
      </c>
      <c r="B26" s="723" t="s">
        <v>4936</v>
      </c>
      <c r="C26" s="725" t="b">
        <f ca="1">IF(build2_need_cool,(VLOOKUP(build2_cool,build2_cool_options,8,FALSE)="MWh/yr"),FALSE)</f>
        <v>0</v>
      </c>
      <c r="D26" s="220"/>
    </row>
    <row r="27" spans="1:5">
      <c r="A27" s="220" t="s">
        <v>4937</v>
      </c>
      <c r="B27" s="723" t="s">
        <v>4938</v>
      </c>
      <c r="C27" s="726">
        <f ca="1">IF(build2_elec_cool,VLOOKUP(build2_cool,build2_cool_options,7,FALSE),0)*365.25*24/1000</f>
        <v>0</v>
      </c>
      <c r="D27" s="220" t="s">
        <v>821</v>
      </c>
    </row>
    <row r="28" spans="1:5">
      <c r="A28" s="220" t="s">
        <v>4941</v>
      </c>
      <c r="B28" s="723" t="s">
        <v>4943</v>
      </c>
      <c r="C28" s="725" t="b">
        <f ca="1">IF(build3_need_cool,(VLOOKUP(build3_cool,build3_cool_options,8,FALSE)="MWh/yr"),FALSE)</f>
        <v>0</v>
      </c>
      <c r="D28" s="220"/>
    </row>
    <row r="29" spans="1:5">
      <c r="A29" s="220" t="s">
        <v>4942</v>
      </c>
      <c r="B29" s="723" t="s">
        <v>4944</v>
      </c>
      <c r="C29" s="726">
        <f ca="1">IF(build3_elec_cool,VLOOKUP(build3_cool,build3_cool_options,7,FALSE),0)*365.25*24/1000</f>
        <v>0</v>
      </c>
      <c r="D29" s="220" t="s">
        <v>821</v>
      </c>
    </row>
    <row r="30" spans="1:5">
      <c r="A30" s="220" t="s">
        <v>1823</v>
      </c>
      <c r="B30" s="723" t="s">
        <v>1824</v>
      </c>
      <c r="C30" s="726">
        <f>IF(include_HVAC=0,0,build1_elec_cool_power+build2_elec_cool_power+build3_elec_cool_power)</f>
        <v>0</v>
      </c>
      <c r="D30" s="220" t="s">
        <v>821</v>
      </c>
    </row>
    <row r="32" spans="1:5">
      <c r="A32" s="77" t="s">
        <v>1825</v>
      </c>
      <c r="B32" s="97" t="s">
        <v>1826</v>
      </c>
      <c r="C32" s="86">
        <f ca="1">ROUNDUP(2*MAX(min_standby,(IF(AND(need_heat=1,need_cool=1),MAX(std_heat,std_cool),need_heat*std_heat+need_cool*std_cool)+std_base)*(1+std_safety_factor)),0)/2</f>
        <v>166.5</v>
      </c>
      <c r="D32" s="77" t="s">
        <v>821</v>
      </c>
      <c r="E32" s="86"/>
    </row>
    <row r="33" spans="1:4">
      <c r="A33" s="77" t="s">
        <v>1827</v>
      </c>
      <c r="B33" s="97" t="s">
        <v>1828</v>
      </c>
      <c r="C33" s="138">
        <f ca="1">VLOOKUP(std_power,std_gen_cost_cl,3)*std_power</f>
        <v>43765.714285714283</v>
      </c>
    </row>
    <row r="35" spans="1:4">
      <c r="A35" s="101" t="s">
        <v>3804</v>
      </c>
    </row>
    <row r="36" spans="1:4">
      <c r="A36" s="77" t="s">
        <v>1829</v>
      </c>
      <c r="B36" s="97" t="s">
        <v>3611</v>
      </c>
      <c r="C36" s="86">
        <f ca="1">total_fp+hbasin_fp+hlagoon_fp+ep_fp+solids_pad_area</f>
        <v>14210</v>
      </c>
      <c r="D36" s="77" t="s">
        <v>4310</v>
      </c>
    </row>
    <row r="37" spans="1:4">
      <c r="A37" s="77" t="s">
        <v>287</v>
      </c>
      <c r="B37" s="97" t="s">
        <v>288</v>
      </c>
      <c r="C37" s="86">
        <f>IF(OR(hbasins,hlagoons),MAX(hbasin_depth+overexcavate,hl_depth+hl_overexcavate),0)</f>
        <v>0</v>
      </c>
      <c r="D37" s="77" t="s">
        <v>4111</v>
      </c>
    </row>
    <row r="38" spans="1:4">
      <c r="A38" s="77" t="s">
        <v>1621</v>
      </c>
      <c r="B38" s="97" t="s">
        <v>1622</v>
      </c>
      <c r="C38" s="77">
        <f>IF(max_excav_depth=0,bore_depth_p,IF(max_excav_depth&gt;bore_need,bore_depth_max,bore_depth_min))</f>
        <v>10</v>
      </c>
      <c r="D38" s="79" t="s">
        <v>4111</v>
      </c>
    </row>
    <row r="39" spans="1:4">
      <c r="A39" s="77" t="s">
        <v>3612</v>
      </c>
      <c r="B39" s="97" t="s">
        <v>3613</v>
      </c>
      <c r="C39" s="86">
        <f ca="1">IF(OR(tech_fp&gt;bore_need,max_excav_depth&gt;0),0,tech_fp/hole_per_sf)</f>
        <v>0</v>
      </c>
    </row>
    <row r="40" spans="1:4">
      <c r="A40" s="77" t="s">
        <v>4334</v>
      </c>
      <c r="B40" s="97" t="s">
        <v>4335</v>
      </c>
      <c r="C40" s="86">
        <f ca="1">IF(AND(tech_fp&lt;bore_need,max_excav_depth=0),0,IF(ROUNDUP(tech_fp/hole_per_sf,0)&lt;min_holes,min_holes,ROUNDUP(tech_fp/hole_per_sf,0)))</f>
        <v>15</v>
      </c>
    </row>
    <row r="41" spans="1:4">
      <c r="B41" s="97"/>
      <c r="C41" s="86"/>
    </row>
    <row r="42" spans="1:4">
      <c r="A42" s="101" t="s">
        <v>4336</v>
      </c>
      <c r="B42" s="97"/>
      <c r="C42" s="86"/>
    </row>
    <row r="43" spans="1:4">
      <c r="A43" s="77" t="s">
        <v>2491</v>
      </c>
      <c r="C43" s="138">
        <f ca="1">IF(num_pits&gt;0,1,ROUNDUP(num_holes/hole_per_job,0))*VLOOKUP(0,stake_out_cost_cl,3)</f>
        <v>1475</v>
      </c>
    </row>
    <row r="44" spans="1:4">
      <c r="A44" s="77" t="s">
        <v>1812</v>
      </c>
      <c r="C44" s="138">
        <f ca="1">ROUNDUP(num_holes/hole_per_job,0)*VLOOKUP(0,bore_draw_cost_cl,3)</f>
        <v>425</v>
      </c>
    </row>
    <row r="45" spans="1:4">
      <c r="A45" s="77" t="s">
        <v>3671</v>
      </c>
      <c r="C45" s="138">
        <f ca="1">IF(num_pits&gt;0,1,ROUNDUP(num_holes/hole_per_job,0))*VLOOKUP(0,bore_report_cost_cl,3)</f>
        <v>970</v>
      </c>
    </row>
    <row r="46" spans="1:4">
      <c r="A46" s="77" t="s">
        <v>3672</v>
      </c>
      <c r="C46" s="138">
        <f ca="1">IF(num_pits&gt;0,0,1)*VLOOKUP(0,bore_mob_cost_cl,3)</f>
        <v>660</v>
      </c>
    </row>
    <row r="47" spans="1:4">
      <c r="A47" s="77" t="s">
        <v>2252</v>
      </c>
      <c r="C47" s="138">
        <f ca="1">ROUNDUP(bore_depth*num_holes/hole_per_day,0)*VLOOKUP(0,bore_rig_cost_cl,3)</f>
        <v>7950</v>
      </c>
    </row>
    <row r="48" spans="1:4">
      <c r="A48" s="77" t="s">
        <v>2253</v>
      </c>
      <c r="C48" s="138">
        <f ca="1">num_holes*bore_depth*VLOOKUP(0,bore_cost_cl,3)</f>
        <v>9600</v>
      </c>
    </row>
    <row r="49" spans="1:5">
      <c r="A49" s="77" t="s">
        <v>2254</v>
      </c>
      <c r="C49" s="138">
        <f ca="1">pit_width*pit_length*pit_depth/27*num_pits*VLOOKUP(0,pit_cost_cl,3)</f>
        <v>0</v>
      </c>
    </row>
    <row r="50" spans="1:5">
      <c r="A50" s="77" t="s">
        <v>2255</v>
      </c>
      <c r="B50" s="97" t="s">
        <v>2256</v>
      </c>
      <c r="C50" s="138">
        <f ca="1">SUM(C43:C49)</f>
        <v>21080</v>
      </c>
    </row>
    <row r="51" spans="1:5">
      <c r="A51" s="77" t="s">
        <v>1750</v>
      </c>
      <c r="B51" s="97" t="s">
        <v>1751</v>
      </c>
      <c r="C51" s="215">
        <f>IF(OR(ep_cells&gt;0,hlagoons&gt;0,hbasins&gt;0),1,IF(component_level="",include_geo_low,IF(component_level=1,include_geo_medium,include_geo_high)))</f>
        <v>0</v>
      </c>
    </row>
    <row r="53" spans="1:5">
      <c r="A53" s="77" t="s">
        <v>806</v>
      </c>
      <c r="B53" s="97" t="s">
        <v>807</v>
      </c>
      <c r="C53" s="138">
        <f ca="1">(tech_fp-ep_fp-hlagoon_fp)*sitework_sf_cl</f>
        <v>215867.07692307691</v>
      </c>
    </row>
    <row r="55" spans="1:5">
      <c r="A55" s="101" t="s">
        <v>2764</v>
      </c>
    </row>
    <row r="56" spans="1:5">
      <c r="A56" s="77" t="s">
        <v>2920</v>
      </c>
      <c r="B56" s="97" t="s">
        <v>2921</v>
      </c>
      <c r="C56" s="77">
        <f>MAX(SUMPRODUCT(OUTPUT!G113:G117,OUTPUT!L113:L117),in_out_pipe_diam)</f>
        <v>10</v>
      </c>
      <c r="D56" s="77" t="s">
        <v>2919</v>
      </c>
      <c r="E56" s="214" t="s">
        <v>5576</v>
      </c>
    </row>
    <row r="57" spans="1:5">
      <c r="A57" s="77" t="s">
        <v>2922</v>
      </c>
      <c r="B57" s="97" t="s">
        <v>2923</v>
      </c>
      <c r="C57" s="77">
        <f>MAX(frost,min_trench_depth)</f>
        <v>38</v>
      </c>
      <c r="D57" s="77" t="s">
        <v>2156</v>
      </c>
    </row>
    <row r="58" spans="1:5">
      <c r="A58" s="77" t="s">
        <v>2924</v>
      </c>
      <c r="B58" s="97" t="s">
        <v>2925</v>
      </c>
      <c r="C58" s="86">
        <f>VLOOKUP(yard_pipe_diam,thrust_block_table_cl,2)*2.2</f>
        <v>17189.503372607793</v>
      </c>
      <c r="D58" s="77" t="s">
        <v>4312</v>
      </c>
    </row>
    <row r="59" spans="1:5">
      <c r="A59" s="77" t="s">
        <v>2926</v>
      </c>
      <c r="B59" s="97" t="s">
        <v>2927</v>
      </c>
      <c r="C59" s="77">
        <f>1.5*thrust_force/(soil_dens*(trench_depth/12+yard_pipe_diam/12)*Coeff_Kp*Reduction)</f>
        <v>47.433451545861359</v>
      </c>
      <c r="D59" s="77" t="s">
        <v>296</v>
      </c>
    </row>
    <row r="60" spans="1:5">
      <c r="A60" s="77" t="s">
        <v>2928</v>
      </c>
      <c r="B60" s="97"/>
      <c r="C60" s="77">
        <f>bearing_area/C61</f>
        <v>9.739964224355381</v>
      </c>
      <c r="D60" s="77" t="s">
        <v>3065</v>
      </c>
    </row>
    <row r="61" spans="1:5">
      <c r="A61" s="77" t="s">
        <v>2929</v>
      </c>
      <c r="B61" s="97"/>
      <c r="C61" s="77">
        <f>(bearing_area/2)^0.5</f>
        <v>4.8699821121776905</v>
      </c>
      <c r="D61" s="77" t="s">
        <v>3065</v>
      </c>
    </row>
    <row r="62" spans="1:5">
      <c r="A62" s="77" t="s">
        <v>2930</v>
      </c>
      <c r="B62" s="97"/>
      <c r="C62" s="77">
        <f>MAX(0.5,yard_pipe_diam/12)</f>
        <v>0.83333333333333337</v>
      </c>
      <c r="D62" s="77" t="s">
        <v>3065</v>
      </c>
      <c r="E62" s="78" t="s">
        <v>2931</v>
      </c>
    </row>
    <row r="63" spans="1:5">
      <c r="A63" s="77" t="s">
        <v>2932</v>
      </c>
      <c r="B63" s="97"/>
      <c r="C63" s="77">
        <f>C60/2</f>
        <v>4.8699821121776905</v>
      </c>
      <c r="D63" s="77" t="s">
        <v>3065</v>
      </c>
    </row>
    <row r="64" spans="1:5">
      <c r="A64" s="77" t="s">
        <v>2933</v>
      </c>
      <c r="B64" s="97" t="s">
        <v>2934</v>
      </c>
      <c r="C64" s="77">
        <f>(C63+(yard_pipe_diam/12)/2)*(C60+C62)/2*C61/27</f>
        <v>5.0410907934552354</v>
      </c>
      <c r="D64" s="77" t="s">
        <v>3747</v>
      </c>
    </row>
    <row r="65" spans="1:5">
      <c r="A65" s="77" t="s">
        <v>2935</v>
      </c>
      <c r="B65" s="97" t="s">
        <v>2936</v>
      </c>
      <c r="C65" s="267">
        <f>(yard_pipe_diam/12+2)*(bedding_depth/12+yard_pipe_diam/12+trench_depth/12)+(bedding_depth/12+yard_pipe_diam/12+trench_depth/12)^2*TAN(trench_angle)</f>
        <v>33</v>
      </c>
      <c r="D65" s="77" t="s">
        <v>296</v>
      </c>
    </row>
    <row r="66" spans="1:5">
      <c r="A66" s="77" t="s">
        <v>2937</v>
      </c>
      <c r="B66" s="97"/>
      <c r="C66" s="106">
        <f>trench_area*yard_in/27</f>
        <v>0</v>
      </c>
      <c r="D66" s="77" t="s">
        <v>3747</v>
      </c>
    </row>
    <row r="67" spans="1:5">
      <c r="A67" s="151" t="s">
        <v>5579</v>
      </c>
      <c r="B67" s="97"/>
      <c r="C67" s="267">
        <f ca="1">((2*non_fire_buffer)+2*(build1_fp^0.5)/4)*trench_area/27</f>
        <v>44.527604886300544</v>
      </c>
      <c r="D67" s="77" t="s">
        <v>3747</v>
      </c>
    </row>
    <row r="68" spans="1:5">
      <c r="A68" s="77" t="s">
        <v>2938</v>
      </c>
      <c r="B68" s="97"/>
      <c r="C68" s="267">
        <f ca="1">IF(build2_fp=0,0,IF(build3_fp=0,((2*non_fire_buffer)+2*(build2_fp^0.5)/4)*trench_area/27,((4*non_fire_buffer)+2*(build2_fp^0.5)/4+2*(build3_fp^0.5)/4)*trench_area/27))</f>
        <v>94.469351829752611</v>
      </c>
      <c r="D68" s="77" t="s">
        <v>3747</v>
      </c>
    </row>
    <row r="69" spans="1:5">
      <c r="A69" s="77" t="s">
        <v>2939</v>
      </c>
      <c r="C69" s="106">
        <f>trench_area*yard_out/27</f>
        <v>0</v>
      </c>
      <c r="D69" s="77" t="s">
        <v>3747</v>
      </c>
    </row>
    <row r="70" spans="1:5">
      <c r="A70" s="77" t="s">
        <v>584</v>
      </c>
      <c r="B70" s="97" t="s">
        <v>585</v>
      </c>
      <c r="C70" s="106">
        <f ca="1">SUM(C66:C69)+block_vol</f>
        <v>144.03804750950837</v>
      </c>
      <c r="D70" s="77" t="s">
        <v>3747</v>
      </c>
    </row>
    <row r="71" spans="1:5">
      <c r="A71" s="77" t="s">
        <v>1775</v>
      </c>
      <c r="B71" s="97" t="s">
        <v>1776</v>
      </c>
      <c r="C71" s="86">
        <f ca="1">yard_in+yard_out+2*((2*non_fire_buffer)+2*(build1_fp^0.5)/4+IF(build2_fp=0,0,((2*non_fire_buffer)+2*(build2_fp^0.5)/4))+IF(build3_fp=0,0,((2*non_fire_buffer)+2*(build3_fp^0.5)/4))+2*(trench_depth+yard_pipe_diam)/12)</f>
        <v>243.44956553535971</v>
      </c>
      <c r="D71" s="77" t="s">
        <v>1777</v>
      </c>
    </row>
    <row r="72" spans="1:5">
      <c r="A72" s="77" t="s">
        <v>1778</v>
      </c>
      <c r="B72" s="97"/>
      <c r="C72" s="268">
        <f>(yard_pipe_diam/12+2)*(bedding_depth/12+yard_pipe_diam/12*bedding_pct)+(bedding_depth/12+yard_pipe_diam/12*bedding_pct)^2*TAN(trench_angle)-((yard_pipe_diam/12/2)^2*ACOS((yard_pipe_diam/12/2-bedding_pct*yard_pipe_diam/12)/(yard_pipe_diam/12/2))-(yard_pipe_diam/12/2-yard_pipe_diam/12*bedding_pct)*((2*yard_pipe_diam/12/2*yard_pipe_diam/12*bedding_pct-(yard_pipe_diam/12*bedding_pct)^2)^0.5))</f>
        <v>2.4020512414402124</v>
      </c>
      <c r="D72" s="77" t="s">
        <v>296</v>
      </c>
    </row>
    <row r="73" spans="1:5">
      <c r="A73" s="77" t="s">
        <v>1779</v>
      </c>
      <c r="B73" s="97" t="s">
        <v>1780</v>
      </c>
      <c r="C73" s="77">
        <f ca="1">C72*yard_pipe_length/2/27</f>
        <v>10.829228354116502</v>
      </c>
      <c r="D73" s="77" t="s">
        <v>3747</v>
      </c>
    </row>
    <row r="75" spans="1:5">
      <c r="A75" s="101" t="s">
        <v>4336</v>
      </c>
    </row>
    <row r="76" spans="1:5">
      <c r="A76" s="77" t="s">
        <v>1781</v>
      </c>
      <c r="C76" s="138">
        <f ca="1">VLOOKUP(0,bedding_cost_cl,3)*bedding_vol</f>
        <v>491.10550585918338</v>
      </c>
    </row>
    <row r="77" spans="1:5">
      <c r="A77" s="77" t="s">
        <v>1782</v>
      </c>
      <c r="C77" s="138">
        <f ca="1">trench_vol*VLOOKUP(0,excavate_cost_cl,3)</f>
        <v>4447.8949070936178</v>
      </c>
    </row>
    <row r="78" spans="1:5">
      <c r="A78" s="77" t="s">
        <v>1783</v>
      </c>
      <c r="C78" s="138">
        <f ca="1">trench_vol*VLOOKUP(0,backfill_cost_cl,3)</f>
        <v>2686.3095860523308</v>
      </c>
    </row>
    <row r="79" spans="1:5">
      <c r="A79" s="77" t="s">
        <v>1784</v>
      </c>
      <c r="C79" s="138">
        <f>block_vol*VLOOKUP(0,conc_basin_cost_cl,3)</f>
        <v>3728.4189242229577</v>
      </c>
    </row>
    <row r="80" spans="1:5">
      <c r="A80" s="77" t="s">
        <v>1785</v>
      </c>
      <c r="C80" s="138">
        <f ca="1">yard_pipe_length*SUMPRODUCT(OUTPUT!G113:G117,OUTPUT!L113:L117)</f>
        <v>2434.4956553535972</v>
      </c>
      <c r="E80" s="214" t="s">
        <v>5575</v>
      </c>
    </row>
    <row r="81" spans="1:5">
      <c r="A81" s="77" t="s">
        <v>3275</v>
      </c>
      <c r="B81" s="97" t="s">
        <v>617</v>
      </c>
      <c r="C81" s="270">
        <f ca="1">SUM(C76:C80)</f>
        <v>13788.224578581687</v>
      </c>
    </row>
    <row r="83" spans="1:5">
      <c r="A83" s="101" t="s">
        <v>3232</v>
      </c>
    </row>
    <row r="84" spans="1:5">
      <c r="A84" s="77" t="s">
        <v>3021</v>
      </c>
      <c r="C84" s="138">
        <f ca="1">SUMPRODUCT(OUTPUT!J307:J319,OUTPUT!L307:L319)</f>
        <v>0</v>
      </c>
      <c r="E84" s="78" t="s">
        <v>1967</v>
      </c>
    </row>
    <row r="85" spans="1:5">
      <c r="A85" s="77" t="s">
        <v>141</v>
      </c>
      <c r="C85" s="138">
        <f ca="1">SUMPRODUCT(OUTPUT!J321:J333,OUTPUT!L321:L333)</f>
        <v>0</v>
      </c>
      <c r="E85" s="78" t="s">
        <v>1967</v>
      </c>
    </row>
    <row r="86" spans="1:5">
      <c r="A86" s="77" t="s">
        <v>444</v>
      </c>
      <c r="C86" s="138">
        <f ca="1">SUMPRODUCT(OUTPUT!J335:J348,OUTPUT!L335:L348)</f>
        <v>134027.99999999997</v>
      </c>
      <c r="E86" s="78" t="s">
        <v>1967</v>
      </c>
    </row>
    <row r="87" spans="1:5">
      <c r="A87" s="77" t="s">
        <v>142</v>
      </c>
      <c r="C87" s="138">
        <f ca="1">VLOOKUP(design_flow,UBC_mult_table_cl,3)*(BPCost_UBC97(C84)+BPCost_UBC97(C85)+BPCost_UBC97(C86))</f>
        <v>1903.6000000000001</v>
      </c>
      <c r="E87" s="214" t="s">
        <v>5529</v>
      </c>
    </row>
    <row r="88" spans="1:5">
      <c r="A88" s="77" t="s">
        <v>143</v>
      </c>
      <c r="C88" s="138">
        <f>IF(res_s2_opt=1,VLOOKUP(res_flow_annual/365,NPDES_permit_cost_cl,2),0)</f>
        <v>0</v>
      </c>
      <c r="E88" s="78" t="s">
        <v>3841</v>
      </c>
    </row>
    <row r="89" spans="1:5">
      <c r="A89" s="886" t="s">
        <v>5530</v>
      </c>
      <c r="B89" s="14"/>
      <c r="C89" s="1074">
        <f>IF(res_s2_opt=2,pretreat_permit_cost_cl,0)</f>
        <v>0</v>
      </c>
      <c r="D89" s="14"/>
      <c r="E89" s="214" t="s">
        <v>5531</v>
      </c>
    </row>
    <row r="90" spans="1:5">
      <c r="A90" s="77" t="s">
        <v>3842</v>
      </c>
      <c r="C90" s="138">
        <f ca="1">VLOOKUP(land_required,SW_permit_cost_cl,2)</f>
        <v>0</v>
      </c>
      <c r="E90" s="78" t="s">
        <v>3843</v>
      </c>
    </row>
    <row r="91" spans="1:5">
      <c r="A91" s="77" t="s">
        <v>3844</v>
      </c>
      <c r="C91" s="139">
        <f ca="1">IF(AND(acid_strength_HCl&gt;HCl_strength_RMP,total_HCl_store&gt;HCl_quant_RMP),RMP_cost_cl,0)</f>
        <v>0</v>
      </c>
      <c r="E91" s="214" t="s">
        <v>3497</v>
      </c>
    </row>
    <row r="92" spans="1:5">
      <c r="A92" s="1078" t="s">
        <v>3845</v>
      </c>
      <c r="B92" s="1075"/>
      <c r="C92" s="1076">
        <f>CHOOSE(include_NEPA,IF(res_s2_opt=1,NEPA_SW_cost_cl,0),IF(res_s2_opt=1,NEPA_SW_cost_cl,VLOOKUP(land_required,NEPA_cost_cl,2)),0)</f>
        <v>0</v>
      </c>
      <c r="D92" s="1075"/>
      <c r="E92" s="1077" t="s">
        <v>5535</v>
      </c>
    </row>
    <row r="93" spans="1:5">
      <c r="A93" s="77" t="s">
        <v>2715</v>
      </c>
      <c r="B93" s="97" t="s">
        <v>443</v>
      </c>
      <c r="C93" s="270">
        <f ca="1">SUM(C87:C92)</f>
        <v>1903.6000000000001</v>
      </c>
    </row>
    <row r="95" spans="1:5" s="14" customFormat="1">
      <c r="A95" s="101" t="s">
        <v>3299</v>
      </c>
    </row>
    <row r="96" spans="1:5" s="14" customFormat="1">
      <c r="A96" s="14" t="s">
        <v>3883</v>
      </c>
      <c r="C96" s="593">
        <f ca="1">br_ins_pct*direct_cost</f>
        <v>6582.9893650355434</v>
      </c>
    </row>
    <row r="97" spans="1:5" s="14" customFormat="1">
      <c r="A97" s="14" t="s">
        <v>3300</v>
      </c>
      <c r="C97" s="593">
        <f ca="1">include_bond*(VLOOKUP(direct_cost,performance_bond_table_cl,3)+VLOOKUP(direct_cost,performance_bond_table_cl,4)*(direct_cost-VLOOKUP(direct_cost,performance_bond_table_cl,5)))</f>
        <v>22861.733426575127</v>
      </c>
      <c r="E97" s="214" t="s">
        <v>3301</v>
      </c>
    </row>
    <row r="98" spans="1:5" s="14" customFormat="1">
      <c r="A98" s="14" t="s">
        <v>3302</v>
      </c>
      <c r="C98" s="594">
        <f ca="1">VLOOKUP(direct_cost,construction_mgt_table_cl,3)</f>
        <v>0.05</v>
      </c>
      <c r="E98" s="214" t="s">
        <v>3303</v>
      </c>
    </row>
    <row r="99" spans="1:5" s="14" customFormat="1">
      <c r="A99" s="14" t="s">
        <v>3304</v>
      </c>
      <c r="C99" s="593">
        <f ca="1">include_cm*C98*direct_cost</f>
        <v>96808.667132875649</v>
      </c>
    </row>
    <row r="100" spans="1:5" s="14" customFormat="1">
      <c r="A100" s="14" t="s">
        <v>3305</v>
      </c>
      <c r="B100" s="31" t="s">
        <v>3306</v>
      </c>
      <c r="C100" s="595">
        <f ca="1">SUM(C96:C97,C99)</f>
        <v>126253.38992448631</v>
      </c>
    </row>
    <row r="102" spans="1:5">
      <c r="A102" s="32" t="s">
        <v>5555</v>
      </c>
      <c r="B102" s="14"/>
      <c r="C102" s="14"/>
    </row>
    <row r="103" spans="1:5">
      <c r="A103" s="812" t="s">
        <v>5556</v>
      </c>
      <c r="B103" s="31" t="s">
        <v>5557</v>
      </c>
      <c r="C103" s="1086">
        <f ca="1">Annualized_Capital_Cost/Annualized_Cost</f>
        <v>0.19962623599308071</v>
      </c>
    </row>
    <row r="104" spans="1:5">
      <c r="A104" s="812" t="s">
        <v>5558</v>
      </c>
      <c r="B104" s="31" t="s">
        <v>5559</v>
      </c>
      <c r="C104" s="1086">
        <f ca="1">OM_cost/Annualized_Cost</f>
        <v>0.80037376400691929</v>
      </c>
    </row>
  </sheetData>
  <phoneticPr fontId="0" type="noConversion"/>
  <pageMargins left="0.75" right="0.75" top="1" bottom="1" header="0.5" footer="0.5"/>
  <pageSetup orientation="portrait" horizontalDpi="90" verticalDpi="90"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D30"/>
  <sheetViews>
    <sheetView workbookViewId="0">
      <pane ySplit="4" topLeftCell="A5" activePane="bottomLeft" state="frozen"/>
      <selection pane="bottomLeft"/>
    </sheetView>
  </sheetViews>
  <sheetFormatPr baseColWidth="10" defaultColWidth="8.83203125" defaultRowHeight="13"/>
  <cols>
    <col min="1" max="1" width="28.5" bestFit="1" customWidth="1"/>
    <col min="2" max="2" width="23.83203125" style="3" bestFit="1" customWidth="1"/>
    <col min="3" max="3" width="12.5" bestFit="1" customWidth="1"/>
  </cols>
  <sheetData>
    <row r="1" spans="1:4">
      <c r="A1" s="1" t="s">
        <v>5501</v>
      </c>
    </row>
    <row r="2" spans="1:4">
      <c r="A2" s="1017" t="s">
        <v>5503</v>
      </c>
    </row>
    <row r="3" spans="1:4">
      <c r="A3" s="1"/>
    </row>
    <row r="4" spans="1:4">
      <c r="A4" s="235" t="s">
        <v>5502</v>
      </c>
      <c r="B4" s="236" t="s">
        <v>1989</v>
      </c>
      <c r="C4" s="237" t="s">
        <v>1990</v>
      </c>
      <c r="D4" s="236" t="s">
        <v>1991</v>
      </c>
    </row>
    <row r="5" spans="1:4">
      <c r="A5" s="2" t="s">
        <v>4017</v>
      </c>
    </row>
    <row r="6" spans="1:4">
      <c r="A6" t="s">
        <v>552</v>
      </c>
      <c r="B6" s="3" t="s">
        <v>1992</v>
      </c>
      <c r="C6">
        <f>24*60*60</f>
        <v>86400</v>
      </c>
    </row>
    <row r="7" spans="1:4">
      <c r="A7" t="s">
        <v>1993</v>
      </c>
      <c r="B7" s="3" t="s">
        <v>1994</v>
      </c>
      <c r="C7">
        <f>24*60</f>
        <v>1440</v>
      </c>
    </row>
    <row r="9" spans="1:4">
      <c r="A9" s="2" t="s">
        <v>1995</v>
      </c>
    </row>
    <row r="10" spans="1:4">
      <c r="A10" t="s">
        <v>1996</v>
      </c>
      <c r="B10" s="3" t="s">
        <v>1997</v>
      </c>
      <c r="C10">
        <v>0.30480000000000002</v>
      </c>
    </row>
    <row r="11" spans="1:4">
      <c r="A11" t="s">
        <v>1998</v>
      </c>
      <c r="B11" s="3" t="s">
        <v>1999</v>
      </c>
      <c r="C11">
        <f>m_per_ft^2</f>
        <v>9.2903040000000006E-2</v>
      </c>
    </row>
    <row r="13" spans="1:4">
      <c r="A13" s="2" t="s">
        <v>2000</v>
      </c>
    </row>
    <row r="14" spans="1:4">
      <c r="A14" t="s">
        <v>2001</v>
      </c>
      <c r="B14" s="3" t="s">
        <v>2002</v>
      </c>
      <c r="C14">
        <v>7.4805000000000001</v>
      </c>
    </row>
    <row r="15" spans="1:4">
      <c r="A15" t="s">
        <v>2003</v>
      </c>
      <c r="B15" s="3" t="s">
        <v>2004</v>
      </c>
      <c r="C15">
        <v>264.17</v>
      </c>
    </row>
    <row r="16" spans="1:4">
      <c r="A16" t="s">
        <v>2005</v>
      </c>
      <c r="B16" s="3" t="s">
        <v>2006</v>
      </c>
      <c r="C16">
        <f>gal_per_m3*60</f>
        <v>15850.2</v>
      </c>
    </row>
    <row r="17" spans="1:4">
      <c r="A17" t="s">
        <v>2007</v>
      </c>
      <c r="B17" s="3" t="s">
        <v>2008</v>
      </c>
      <c r="C17">
        <f>gal_per_m3/60</f>
        <v>4.4028333333333336</v>
      </c>
    </row>
    <row r="19" spans="1:4">
      <c r="A19" s="2" t="s">
        <v>1952</v>
      </c>
    </row>
    <row r="20" spans="1:4">
      <c r="A20" t="s">
        <v>2009</v>
      </c>
      <c r="B20" s="3" t="s">
        <v>2010</v>
      </c>
      <c r="C20">
        <f>gal_per_m3*m2_per_ft2*d_per_sec</f>
        <v>2120445.7410355201</v>
      </c>
    </row>
    <row r="22" spans="1:4">
      <c r="A22" s="2" t="s">
        <v>2011</v>
      </c>
    </row>
    <row r="23" spans="1:4">
      <c r="A23" t="s">
        <v>2012</v>
      </c>
      <c r="B23" s="3" t="s">
        <v>2013</v>
      </c>
      <c r="C23">
        <v>14.696</v>
      </c>
    </row>
    <row r="24" spans="1:4">
      <c r="A24" t="s">
        <v>2014</v>
      </c>
      <c r="B24" s="3" t="s">
        <v>2015</v>
      </c>
      <c r="C24">
        <v>1.01325</v>
      </c>
    </row>
    <row r="26" spans="1:4">
      <c r="A26" s="2" t="s">
        <v>2016</v>
      </c>
    </row>
    <row r="27" spans="1:4">
      <c r="A27" t="s">
        <v>2017</v>
      </c>
      <c r="B27" s="3" t="s">
        <v>2018</v>
      </c>
      <c r="C27">
        <f>gfd_per_mps/psi_per_atm</f>
        <v>144287.27143682091</v>
      </c>
      <c r="D27" s="7" t="s">
        <v>598</v>
      </c>
    </row>
    <row r="29" spans="1:4">
      <c r="A29" s="2" t="s">
        <v>67</v>
      </c>
    </row>
    <row r="30" spans="1:4">
      <c r="A30" t="s">
        <v>2019</v>
      </c>
      <c r="B30" s="3" t="s">
        <v>2020</v>
      </c>
      <c r="C30">
        <v>273.14999999999998</v>
      </c>
      <c r="D30" s="7" t="s">
        <v>2021</v>
      </c>
    </row>
  </sheetData>
  <phoneticPr fontId="0" type="noConversion"/>
  <pageMargins left="0.75" right="0.75" top="1" bottom="1" header="0.5" footer="0.5"/>
  <pageSetup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Q15"/>
  <sheetViews>
    <sheetView workbookViewId="0">
      <pane ySplit="5" topLeftCell="A6" activePane="bottomLeft" state="frozen"/>
      <selection pane="bottomLeft"/>
    </sheetView>
  </sheetViews>
  <sheetFormatPr baseColWidth="10" defaultColWidth="8.83203125" defaultRowHeight="13"/>
  <cols>
    <col min="1" max="1" width="21.5" bestFit="1" customWidth="1"/>
    <col min="15" max="15" width="11.5" bestFit="1" customWidth="1"/>
    <col min="16" max="16" width="11" bestFit="1" customWidth="1"/>
    <col min="17" max="17" width="12.1640625" bestFit="1" customWidth="1"/>
  </cols>
  <sheetData>
    <row r="1" spans="1:17">
      <c r="A1" s="1" t="s">
        <v>5507</v>
      </c>
    </row>
    <row r="2" spans="1:17">
      <c r="A2" s="1017" t="s">
        <v>5508</v>
      </c>
      <c r="B2" s="20"/>
      <c r="C2" s="20"/>
      <c r="D2" s="20"/>
      <c r="E2" s="20"/>
      <c r="F2" s="20"/>
      <c r="G2" s="20"/>
      <c r="H2" s="20"/>
      <c r="I2" s="20"/>
      <c r="J2" s="20"/>
      <c r="K2" s="20"/>
      <c r="L2" s="20"/>
      <c r="M2" s="20"/>
      <c r="N2" s="20"/>
      <c r="O2" s="20"/>
    </row>
    <row r="3" spans="1:17">
      <c r="B3" s="10"/>
      <c r="C3" s="10"/>
      <c r="D3" s="10"/>
      <c r="E3" s="10"/>
      <c r="F3" s="10"/>
      <c r="G3" s="10"/>
      <c r="H3" s="10"/>
      <c r="I3" s="10"/>
      <c r="J3" s="10"/>
      <c r="K3" s="10"/>
      <c r="L3" s="10"/>
      <c r="M3" s="10"/>
      <c r="N3" s="10"/>
      <c r="O3" s="10"/>
    </row>
    <row r="4" spans="1:17">
      <c r="B4" s="19" t="s">
        <v>3811</v>
      </c>
      <c r="C4" s="19"/>
      <c r="D4" s="19"/>
      <c r="E4" s="19"/>
      <c r="F4" s="19"/>
      <c r="G4" s="19"/>
      <c r="H4" s="19"/>
      <c r="I4" s="19"/>
      <c r="J4" s="19"/>
      <c r="K4" s="19"/>
      <c r="L4" s="19"/>
      <c r="M4" s="14"/>
      <c r="N4" s="14"/>
    </row>
    <row r="5" spans="1:17">
      <c r="A5" s="57" t="s">
        <v>3810</v>
      </c>
      <c r="B5" s="52" t="s">
        <v>3814</v>
      </c>
      <c r="C5" s="52" t="s">
        <v>3816</v>
      </c>
      <c r="D5" s="52" t="s">
        <v>72</v>
      </c>
      <c r="E5" s="52" t="s">
        <v>3818</v>
      </c>
      <c r="F5" s="52" t="s">
        <v>3253</v>
      </c>
      <c r="G5" s="52" t="s">
        <v>3254</v>
      </c>
      <c r="H5" s="52" t="s">
        <v>3817</v>
      </c>
      <c r="I5" s="52" t="s">
        <v>1542</v>
      </c>
      <c r="J5" s="52" t="s">
        <v>3813</v>
      </c>
      <c r="K5" s="52" t="s">
        <v>2930</v>
      </c>
      <c r="L5" s="59" t="s">
        <v>1944</v>
      </c>
      <c r="M5" s="60" t="s">
        <v>3237</v>
      </c>
      <c r="N5" s="60" t="s">
        <v>122</v>
      </c>
      <c r="O5" s="60" t="s">
        <v>3812</v>
      </c>
      <c r="P5" s="52" t="s">
        <v>1094</v>
      </c>
      <c r="Q5" s="52" t="s">
        <v>1703</v>
      </c>
    </row>
    <row r="6" spans="1:17">
      <c r="A6" s="58" t="s">
        <v>3045</v>
      </c>
      <c r="B6" s="107">
        <v>70</v>
      </c>
      <c r="C6" s="107">
        <v>18</v>
      </c>
      <c r="D6" s="107">
        <v>47</v>
      </c>
      <c r="E6" s="107">
        <v>3</v>
      </c>
      <c r="F6" s="469">
        <v>2E-3</v>
      </c>
      <c r="G6" s="107">
        <v>1.1000000000000001</v>
      </c>
      <c r="H6" s="107">
        <v>175</v>
      </c>
      <c r="I6" s="107">
        <v>40.5</v>
      </c>
      <c r="J6" s="107">
        <v>150</v>
      </c>
      <c r="K6" s="107">
        <v>0.1</v>
      </c>
      <c r="L6" s="470">
        <v>10</v>
      </c>
      <c r="M6" s="471">
        <v>7.3</v>
      </c>
      <c r="N6" s="471" t="s">
        <v>123</v>
      </c>
      <c r="O6" s="471">
        <v>1.1000000000000001</v>
      </c>
      <c r="P6" s="106">
        <f t="shared" ref="P6:P11" si="0">SUM(B6:L6)</f>
        <v>514.702</v>
      </c>
      <c r="Q6" s="106">
        <f>P6-H6/2</f>
        <v>427.202</v>
      </c>
    </row>
    <row r="7" spans="1:17">
      <c r="A7" s="58" t="s">
        <v>3650</v>
      </c>
      <c r="B7" s="107">
        <v>68</v>
      </c>
      <c r="C7" s="107">
        <v>50</v>
      </c>
      <c r="D7" s="107">
        <v>300</v>
      </c>
      <c r="E7" s="107">
        <v>0</v>
      </c>
      <c r="F7" s="469">
        <v>0.04</v>
      </c>
      <c r="G7" s="107">
        <v>0.3</v>
      </c>
      <c r="H7" s="107">
        <v>250</v>
      </c>
      <c r="I7" s="107">
        <v>60</v>
      </c>
      <c r="J7" s="107">
        <v>707</v>
      </c>
      <c r="K7" s="107">
        <v>1</v>
      </c>
      <c r="L7" s="470">
        <v>20</v>
      </c>
      <c r="M7" s="471">
        <v>7.6</v>
      </c>
      <c r="N7" s="471" t="s">
        <v>123</v>
      </c>
      <c r="O7" s="471">
        <v>1.9</v>
      </c>
      <c r="P7" s="106">
        <f t="shared" si="0"/>
        <v>1456.3400000000001</v>
      </c>
      <c r="Q7" s="106">
        <f t="shared" ref="Q7:Q15" si="1">P7-H7/2</f>
        <v>1331.3400000000001</v>
      </c>
    </row>
    <row r="8" spans="1:17">
      <c r="A8" s="58" t="s">
        <v>3651</v>
      </c>
      <c r="B8" s="107">
        <v>119</v>
      </c>
      <c r="C8" s="107">
        <v>100</v>
      </c>
      <c r="D8" s="107">
        <v>1000</v>
      </c>
      <c r="E8" s="107">
        <v>20</v>
      </c>
      <c r="F8" s="469">
        <v>0.125</v>
      </c>
      <c r="G8" s="107">
        <v>10</v>
      </c>
      <c r="H8" s="107">
        <v>225</v>
      </c>
      <c r="I8" s="107">
        <v>1550</v>
      </c>
      <c r="J8" s="107">
        <v>520</v>
      </c>
      <c r="K8" s="107">
        <v>2</v>
      </c>
      <c r="L8" s="470">
        <v>20</v>
      </c>
      <c r="M8" s="471">
        <v>8</v>
      </c>
      <c r="N8" s="471" t="s">
        <v>123</v>
      </c>
      <c r="O8" s="471">
        <v>2.8</v>
      </c>
      <c r="P8" s="106">
        <f t="shared" si="0"/>
        <v>3566.125</v>
      </c>
      <c r="Q8" s="106">
        <f t="shared" si="1"/>
        <v>3453.625</v>
      </c>
    </row>
    <row r="9" spans="1:17">
      <c r="A9" s="58" t="s">
        <v>3042</v>
      </c>
      <c r="B9" s="107">
        <v>35</v>
      </c>
      <c r="C9" s="107">
        <v>5</v>
      </c>
      <c r="D9" s="107">
        <v>65</v>
      </c>
      <c r="E9" s="107">
        <v>1</v>
      </c>
      <c r="F9" s="469">
        <v>2E-3</v>
      </c>
      <c r="G9" s="107">
        <v>1</v>
      </c>
      <c r="H9" s="107">
        <v>150</v>
      </c>
      <c r="I9" s="107">
        <v>60</v>
      </c>
      <c r="J9" s="107">
        <v>42</v>
      </c>
      <c r="K9" s="107">
        <v>0.1</v>
      </c>
      <c r="L9" s="470">
        <v>3</v>
      </c>
      <c r="M9" s="471">
        <v>7.5</v>
      </c>
      <c r="N9" s="471" t="s">
        <v>124</v>
      </c>
      <c r="O9" s="471">
        <v>2.1</v>
      </c>
      <c r="P9" s="106">
        <f t="shared" si="0"/>
        <v>362.10200000000003</v>
      </c>
      <c r="Q9" s="106">
        <f t="shared" si="1"/>
        <v>287.10200000000003</v>
      </c>
    </row>
    <row r="10" spans="1:17">
      <c r="A10" s="58" t="s">
        <v>3043</v>
      </c>
      <c r="B10" s="107">
        <v>110</v>
      </c>
      <c r="C10" s="107">
        <v>40</v>
      </c>
      <c r="D10" s="107">
        <v>202</v>
      </c>
      <c r="E10" s="107">
        <v>7</v>
      </c>
      <c r="F10" s="469">
        <v>7.0000000000000007E-2</v>
      </c>
      <c r="G10" s="107">
        <v>1</v>
      </c>
      <c r="H10" s="107">
        <v>125</v>
      </c>
      <c r="I10" s="107">
        <v>350</v>
      </c>
      <c r="J10" s="107">
        <v>280</v>
      </c>
      <c r="K10" s="107">
        <v>0.3</v>
      </c>
      <c r="L10" s="470">
        <v>5</v>
      </c>
      <c r="M10" s="471">
        <v>7.9</v>
      </c>
      <c r="N10" s="471" t="s">
        <v>124</v>
      </c>
      <c r="O10" s="471">
        <v>3.5</v>
      </c>
      <c r="P10" s="106">
        <f t="shared" si="0"/>
        <v>1120.3699999999999</v>
      </c>
      <c r="Q10" s="106">
        <f t="shared" si="1"/>
        <v>1057.8699999999999</v>
      </c>
    </row>
    <row r="11" spans="1:17">
      <c r="A11" s="58" t="s">
        <v>3044</v>
      </c>
      <c r="B11" s="107">
        <v>275</v>
      </c>
      <c r="C11" s="107">
        <v>25</v>
      </c>
      <c r="D11" s="107">
        <v>589</v>
      </c>
      <c r="E11" s="107">
        <v>3</v>
      </c>
      <c r="F11" s="469">
        <v>0.05</v>
      </c>
      <c r="G11" s="107">
        <v>1</v>
      </c>
      <c r="H11" s="107">
        <v>125</v>
      </c>
      <c r="I11" s="107">
        <v>900</v>
      </c>
      <c r="J11" s="107">
        <v>673</v>
      </c>
      <c r="K11" s="107">
        <v>0.3</v>
      </c>
      <c r="L11" s="470">
        <v>5</v>
      </c>
      <c r="M11" s="471">
        <v>8.1999999999999993</v>
      </c>
      <c r="N11" s="471" t="s">
        <v>124</v>
      </c>
      <c r="O11" s="471">
        <v>4.8</v>
      </c>
      <c r="P11" s="106">
        <f t="shared" si="0"/>
        <v>2596.3500000000004</v>
      </c>
      <c r="Q11" s="106">
        <f t="shared" si="1"/>
        <v>2533.8500000000004</v>
      </c>
    </row>
    <row r="12" spans="1:17">
      <c r="A12" s="58" t="s">
        <v>5184</v>
      </c>
      <c r="B12" s="107">
        <v>0.01</v>
      </c>
      <c r="C12" s="107">
        <v>0</v>
      </c>
      <c r="D12" s="107">
        <v>432.73442847364817</v>
      </c>
      <c r="E12" s="107">
        <v>0</v>
      </c>
      <c r="F12" s="469">
        <v>0</v>
      </c>
      <c r="G12" s="107">
        <v>0</v>
      </c>
      <c r="H12" s="107">
        <v>0.01</v>
      </c>
      <c r="I12" s="107">
        <v>667.26557152635178</v>
      </c>
      <c r="J12" s="107">
        <v>0</v>
      </c>
      <c r="K12" s="107">
        <v>0</v>
      </c>
      <c r="L12" s="470">
        <v>0</v>
      </c>
      <c r="M12" s="471">
        <v>7.4</v>
      </c>
      <c r="N12" s="471" t="s">
        <v>124</v>
      </c>
      <c r="O12" s="471">
        <v>2.5</v>
      </c>
      <c r="P12" s="77">
        <f>SUM(B12:L12)</f>
        <v>1100.02</v>
      </c>
      <c r="Q12" s="106">
        <f>P12-H12/2</f>
        <v>1100.0149999999999</v>
      </c>
    </row>
    <row r="13" spans="1:17">
      <c r="A13" s="58" t="s">
        <v>3637</v>
      </c>
      <c r="B13" s="107">
        <v>0.1</v>
      </c>
      <c r="C13" s="107">
        <v>0.1</v>
      </c>
      <c r="D13" s="107">
        <v>1001.4</v>
      </c>
      <c r="E13" s="107">
        <v>0.1</v>
      </c>
      <c r="F13" s="469">
        <v>0</v>
      </c>
      <c r="G13" s="107">
        <v>0</v>
      </c>
      <c r="H13" s="107">
        <v>150</v>
      </c>
      <c r="I13" s="107">
        <v>1543.5</v>
      </c>
      <c r="J13" s="107">
        <v>0.1</v>
      </c>
      <c r="K13" s="107">
        <v>0.1</v>
      </c>
      <c r="L13" s="470">
        <v>10</v>
      </c>
      <c r="M13" s="471">
        <v>7.9</v>
      </c>
      <c r="N13" s="471" t="s">
        <v>123</v>
      </c>
      <c r="O13" s="471">
        <v>2.8</v>
      </c>
      <c r="P13" s="106">
        <f>SUM(B13:L13)</f>
        <v>2705.3999999999996</v>
      </c>
      <c r="Q13" s="106">
        <f t="shared" si="1"/>
        <v>2630.3999999999996</v>
      </c>
    </row>
    <row r="14" spans="1:17">
      <c r="A14" s="58" t="s">
        <v>3604</v>
      </c>
      <c r="B14" s="107">
        <v>0.1</v>
      </c>
      <c r="C14" s="107">
        <v>0</v>
      </c>
      <c r="D14" s="107">
        <v>590.4</v>
      </c>
      <c r="E14" s="107">
        <v>0</v>
      </c>
      <c r="F14" s="469">
        <v>0</v>
      </c>
      <c r="G14" s="107">
        <v>0</v>
      </c>
      <c r="H14" s="107">
        <v>0.1</v>
      </c>
      <c r="I14" s="107">
        <v>909.91</v>
      </c>
      <c r="J14" s="107">
        <v>0</v>
      </c>
      <c r="K14" s="107">
        <v>0</v>
      </c>
      <c r="L14" s="470">
        <v>0</v>
      </c>
      <c r="M14" s="471">
        <v>7.8</v>
      </c>
      <c r="N14" s="471" t="s">
        <v>123</v>
      </c>
      <c r="O14" s="471">
        <v>2</v>
      </c>
      <c r="P14" s="106">
        <f>SUM(B14:L14)</f>
        <v>1500.51</v>
      </c>
      <c r="Q14" s="106">
        <f t="shared" si="1"/>
        <v>1500.46</v>
      </c>
    </row>
    <row r="15" spans="1:17">
      <c r="A15" s="58" t="s">
        <v>4035</v>
      </c>
      <c r="B15" s="107">
        <v>0.1</v>
      </c>
      <c r="C15" s="107">
        <v>403.85494122045441</v>
      </c>
      <c r="D15" s="107">
        <v>0</v>
      </c>
      <c r="E15" s="107">
        <v>0</v>
      </c>
      <c r="F15" s="469">
        <v>0</v>
      </c>
      <c r="G15" s="107">
        <v>0</v>
      </c>
      <c r="H15" s="107">
        <v>0.1</v>
      </c>
      <c r="I15" s="107">
        <v>0</v>
      </c>
      <c r="J15" s="107">
        <v>1596.1450587795457</v>
      </c>
      <c r="K15" s="107">
        <v>0</v>
      </c>
      <c r="L15" s="470">
        <v>0</v>
      </c>
      <c r="M15" s="471">
        <v>7.4</v>
      </c>
      <c r="N15" s="471" t="s">
        <v>123</v>
      </c>
      <c r="O15" s="471">
        <v>2</v>
      </c>
      <c r="P15" s="106">
        <f>SUM(B15:L15)</f>
        <v>2000.2000000000003</v>
      </c>
      <c r="Q15" s="106">
        <f t="shared" si="1"/>
        <v>2000.1500000000003</v>
      </c>
    </row>
  </sheetData>
  <phoneticPr fontId="0" type="noConversion"/>
  <dataValidations count="1">
    <dataValidation type="list" allowBlank="1" showInputMessage="1" showErrorMessage="1" sqref="N6:N11 N13:N15" xr:uid="{00000000-0002-0000-1800-000000000000}">
      <formula1>"GW,SW"</formula1>
    </dataValidation>
  </dataValidations>
  <printOptions horizontalCentered="1"/>
  <pageMargins left="0.75" right="0.75" top="1" bottom="1" header="0.5" footer="0.5"/>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8146" r:id="rId4" name="cmdNewWater">
              <controlPr defaultSize="0" print="0" autoFill="0" autoPict="0" macro="[0]!Sheet25.cmdNewWater_Click">
                <anchor moveWithCells="1" sizeWithCells="1">
                  <from>
                    <xdr:col>0</xdr:col>
                    <xdr:colOff>25400</xdr:colOff>
                    <xdr:row>2</xdr:row>
                    <xdr:rowOff>38100</xdr:rowOff>
                  </from>
                  <to>
                    <xdr:col>0</xdr:col>
                    <xdr:colOff>1460500</xdr:colOff>
                    <xdr:row>3</xdr:row>
                    <xdr:rowOff>139700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4"/>
  <dimension ref="A1:N55"/>
  <sheetViews>
    <sheetView zoomScaleNormal="100" workbookViewId="0">
      <pane xSplit="2" topLeftCell="H1" activePane="topRight" state="frozenSplit"/>
      <selection activeCell="B1" sqref="B1"/>
      <selection pane="topRight"/>
    </sheetView>
  </sheetViews>
  <sheetFormatPr baseColWidth="10" defaultColWidth="8.83203125" defaultRowHeight="13"/>
  <cols>
    <col min="1" max="1" width="30.5" style="1" customWidth="1"/>
    <col min="2" max="2" width="32" bestFit="1" customWidth="1"/>
    <col min="3" max="3" width="11.5" bestFit="1" customWidth="1"/>
    <col min="4" max="4" width="13.1640625" style="69" customWidth="1"/>
    <col min="5" max="5" width="16.83203125" bestFit="1" customWidth="1"/>
    <col min="6" max="6" width="17.5" style="77" bestFit="1" customWidth="1"/>
    <col min="7" max="14" width="17.5" style="77" customWidth="1"/>
  </cols>
  <sheetData>
    <row r="1" spans="1:14">
      <c r="A1" s="1" t="s">
        <v>5504</v>
      </c>
    </row>
    <row r="2" spans="1:14">
      <c r="A2" s="1017" t="s">
        <v>5505</v>
      </c>
    </row>
    <row r="4" spans="1:14" s="962" customFormat="1">
      <c r="A4" s="235" t="s">
        <v>5172</v>
      </c>
      <c r="B4" s="236" t="s">
        <v>1989</v>
      </c>
      <c r="C4" s="237" t="s">
        <v>1990</v>
      </c>
      <c r="D4" s="963"/>
      <c r="F4" s="424"/>
      <c r="G4" s="424"/>
      <c r="H4" s="424"/>
      <c r="I4" s="424"/>
      <c r="J4" s="424"/>
      <c r="K4" s="424"/>
      <c r="L4" s="424"/>
      <c r="M4" s="424"/>
      <c r="N4" s="424"/>
    </row>
    <row r="5" spans="1:14">
      <c r="A5" s="4" t="s">
        <v>209</v>
      </c>
      <c r="B5" s="3" t="s">
        <v>330</v>
      </c>
      <c r="C5">
        <f ca="1">COUNTA(OFFSET(element_table,0,0,1))-1</f>
        <v>9</v>
      </c>
    </row>
    <row r="6" spans="1:14">
      <c r="A6" s="4" t="s">
        <v>331</v>
      </c>
      <c r="B6" s="3" t="s">
        <v>2323</v>
      </c>
      <c r="C6">
        <f ca="1">MATCH("name",OFFSET(element_table,0,0,,1))</f>
        <v>32</v>
      </c>
    </row>
    <row r="7" spans="1:14">
      <c r="A7" s="4"/>
      <c r="B7" s="3"/>
    </row>
    <row r="8" spans="1:14">
      <c r="A8" s="1018" t="s">
        <v>208</v>
      </c>
    </row>
    <row r="9" spans="1:14">
      <c r="A9" s="2" t="s">
        <v>5506</v>
      </c>
      <c r="B9" s="2" t="s">
        <v>5296</v>
      </c>
      <c r="C9" s="2" t="s">
        <v>2961</v>
      </c>
      <c r="D9" s="68" t="s">
        <v>2962</v>
      </c>
      <c r="E9" s="2" t="s">
        <v>2891</v>
      </c>
    </row>
    <row r="10" spans="1:14">
      <c r="A10" s="47" t="s">
        <v>3626</v>
      </c>
      <c r="B10" s="8" t="s">
        <v>1308</v>
      </c>
      <c r="E10" s="3" t="s">
        <v>509</v>
      </c>
      <c r="F10" s="413" t="s">
        <v>1310</v>
      </c>
      <c r="G10" s="414" t="s">
        <v>1310</v>
      </c>
      <c r="H10" s="414" t="s">
        <v>1310</v>
      </c>
      <c r="I10" s="414" t="s">
        <v>1311</v>
      </c>
      <c r="J10" s="414" t="s">
        <v>1311</v>
      </c>
      <c r="K10" s="414" t="s">
        <v>1311</v>
      </c>
      <c r="L10" s="414" t="s">
        <v>504</v>
      </c>
      <c r="M10" s="414" t="s">
        <v>504</v>
      </c>
      <c r="N10" s="562" t="s">
        <v>504</v>
      </c>
    </row>
    <row r="11" spans="1:14">
      <c r="A11" s="47"/>
      <c r="B11" s="8" t="s">
        <v>2353</v>
      </c>
      <c r="E11" s="3" t="s">
        <v>1309</v>
      </c>
      <c r="F11" s="878" t="s">
        <v>5190</v>
      </c>
      <c r="G11" s="879" t="s">
        <v>5191</v>
      </c>
      <c r="H11" s="879" t="s">
        <v>5192</v>
      </c>
      <c r="I11" s="879" t="s">
        <v>5190</v>
      </c>
      <c r="J11" s="879" t="s">
        <v>5191</v>
      </c>
      <c r="K11" s="879" t="s">
        <v>5192</v>
      </c>
      <c r="L11" s="879" t="s">
        <v>5190</v>
      </c>
      <c r="M11" s="879" t="s">
        <v>5191</v>
      </c>
      <c r="N11" s="880" t="s">
        <v>5192</v>
      </c>
    </row>
    <row r="12" spans="1:14">
      <c r="A12" s="47"/>
      <c r="B12" s="8" t="s">
        <v>48</v>
      </c>
      <c r="C12" t="s">
        <v>3762</v>
      </c>
      <c r="E12" s="3" t="s">
        <v>2892</v>
      </c>
      <c r="F12" s="415" t="s">
        <v>3519</v>
      </c>
      <c r="G12" s="289" t="s">
        <v>3519</v>
      </c>
      <c r="H12" s="417" t="s">
        <v>3519</v>
      </c>
      <c r="I12" s="417" t="s">
        <v>50</v>
      </c>
      <c r="J12" s="289" t="s">
        <v>50</v>
      </c>
      <c r="K12" s="417" t="s">
        <v>50</v>
      </c>
      <c r="L12" s="289" t="s">
        <v>50</v>
      </c>
      <c r="M12" s="289" t="s">
        <v>50</v>
      </c>
      <c r="N12" s="416" t="s">
        <v>50</v>
      </c>
    </row>
    <row r="13" spans="1:14">
      <c r="A13" s="47" t="s">
        <v>3627</v>
      </c>
      <c r="B13" s="8" t="s">
        <v>1948</v>
      </c>
      <c r="C13" t="s">
        <v>1951</v>
      </c>
      <c r="E13" s="3" t="s">
        <v>2893</v>
      </c>
      <c r="F13" s="415">
        <v>40</v>
      </c>
      <c r="G13" s="289">
        <v>40</v>
      </c>
      <c r="H13" s="417">
        <v>60</v>
      </c>
      <c r="I13" s="417">
        <v>40</v>
      </c>
      <c r="J13" s="289">
        <v>40</v>
      </c>
      <c r="K13" s="417">
        <v>60</v>
      </c>
      <c r="L13" s="289">
        <v>40</v>
      </c>
      <c r="M13" s="289">
        <v>40</v>
      </c>
      <c r="N13" s="563">
        <v>60</v>
      </c>
    </row>
    <row r="14" spans="1:14">
      <c r="A14" s="47"/>
      <c r="B14" s="8" t="s">
        <v>1949</v>
      </c>
      <c r="C14" t="s">
        <v>1951</v>
      </c>
      <c r="E14" s="3" t="s">
        <v>2894</v>
      </c>
      <c r="F14" s="415">
        <v>4</v>
      </c>
      <c r="G14" s="289">
        <v>8</v>
      </c>
      <c r="H14" s="417">
        <v>17</v>
      </c>
      <c r="I14" s="417">
        <v>4</v>
      </c>
      <c r="J14" s="289">
        <v>8</v>
      </c>
      <c r="K14" s="417">
        <v>17</v>
      </c>
      <c r="L14" s="289">
        <v>4</v>
      </c>
      <c r="M14" s="289">
        <v>8</v>
      </c>
      <c r="N14" s="563">
        <v>17</v>
      </c>
    </row>
    <row r="15" spans="1:14">
      <c r="A15" s="47"/>
      <c r="B15" s="8" t="s">
        <v>1946</v>
      </c>
      <c r="C15" t="s">
        <v>3331</v>
      </c>
      <c r="E15" s="3" t="s">
        <v>2895</v>
      </c>
      <c r="F15" s="415">
        <v>80</v>
      </c>
      <c r="G15" s="289">
        <v>400</v>
      </c>
      <c r="H15" s="417">
        <v>2800</v>
      </c>
      <c r="I15" s="417">
        <v>80</v>
      </c>
      <c r="J15" s="289">
        <v>400</v>
      </c>
      <c r="K15" s="417">
        <v>2800</v>
      </c>
      <c r="L15" s="289">
        <v>80</v>
      </c>
      <c r="M15" s="289">
        <v>400</v>
      </c>
      <c r="N15" s="563">
        <v>2800</v>
      </c>
    </row>
    <row r="16" spans="1:14">
      <c r="A16" s="47" t="s">
        <v>3624</v>
      </c>
      <c r="B16" s="8" t="s">
        <v>3623</v>
      </c>
      <c r="C16" t="s">
        <v>3334</v>
      </c>
      <c r="E16" s="3" t="s">
        <v>1024</v>
      </c>
      <c r="F16" s="446">
        <v>0.32</v>
      </c>
      <c r="G16" s="444">
        <v>0.32</v>
      </c>
      <c r="H16" s="444">
        <v>0.32</v>
      </c>
      <c r="I16" s="444">
        <v>0.24</v>
      </c>
      <c r="J16" s="444">
        <v>0.24</v>
      </c>
      <c r="K16" s="444">
        <v>0.24</v>
      </c>
      <c r="L16" s="444">
        <v>0.14000000000000001</v>
      </c>
      <c r="M16" s="445">
        <v>0.14000000000000001</v>
      </c>
      <c r="N16" s="564">
        <v>0.14000000000000001</v>
      </c>
    </row>
    <row r="17" spans="1:14">
      <c r="A17" s="47" t="s">
        <v>682</v>
      </c>
      <c r="B17" s="8" t="s">
        <v>680</v>
      </c>
      <c r="C17" t="s">
        <v>920</v>
      </c>
      <c r="D17" s="69" t="s">
        <v>2711</v>
      </c>
      <c r="E17" s="3" t="s">
        <v>4</v>
      </c>
      <c r="F17" s="422">
        <v>2900</v>
      </c>
      <c r="G17" s="417">
        <v>2900</v>
      </c>
      <c r="H17" s="417">
        <v>2900</v>
      </c>
      <c r="I17" s="417">
        <v>2900</v>
      </c>
      <c r="J17" s="417">
        <v>2900</v>
      </c>
      <c r="K17" s="417">
        <v>2900</v>
      </c>
      <c r="L17" s="417">
        <v>2900</v>
      </c>
      <c r="M17" s="417">
        <v>2900</v>
      </c>
      <c r="N17" s="563">
        <v>2900</v>
      </c>
    </row>
    <row r="18" spans="1:14">
      <c r="A18" s="47"/>
      <c r="B18" s="8" t="s">
        <v>681</v>
      </c>
      <c r="C18" t="s">
        <v>920</v>
      </c>
      <c r="E18" s="3" t="s">
        <v>5</v>
      </c>
      <c r="F18" s="422">
        <v>2900</v>
      </c>
      <c r="G18" s="417">
        <v>2900</v>
      </c>
      <c r="H18" s="417">
        <v>2900</v>
      </c>
      <c r="I18" s="417">
        <v>2900</v>
      </c>
      <c r="J18" s="417">
        <v>2900</v>
      </c>
      <c r="K18" s="417">
        <v>2900</v>
      </c>
      <c r="L18" s="417">
        <v>2900</v>
      </c>
      <c r="M18" s="417">
        <v>2900</v>
      </c>
      <c r="N18" s="563">
        <v>2900</v>
      </c>
    </row>
    <row r="19" spans="1:14">
      <c r="A19" s="47"/>
      <c r="B19" s="8" t="s">
        <v>3621</v>
      </c>
      <c r="C19" t="s">
        <v>1942</v>
      </c>
      <c r="D19" s="69" t="s">
        <v>163</v>
      </c>
      <c r="E19" s="3" t="s">
        <v>1025</v>
      </c>
      <c r="F19" s="447">
        <v>5.0000000000000001E-4</v>
      </c>
      <c r="G19" s="434">
        <v>5.0000000000000001E-4</v>
      </c>
      <c r="H19" s="434">
        <v>5.0000000000000001E-4</v>
      </c>
      <c r="I19" s="434">
        <v>5.0000000000000001E-4</v>
      </c>
      <c r="J19" s="434">
        <v>5.0000000000000001E-4</v>
      </c>
      <c r="K19" s="434">
        <v>5.0000000000000001E-4</v>
      </c>
      <c r="L19" s="434">
        <v>5.0000000000000002E-5</v>
      </c>
      <c r="M19" s="434">
        <v>5.0000000000000002E-5</v>
      </c>
      <c r="N19" s="565">
        <v>5.0000000000000002E-5</v>
      </c>
    </row>
    <row r="20" spans="1:14">
      <c r="A20" s="47"/>
      <c r="B20" s="8" t="s">
        <v>3622</v>
      </c>
      <c r="C20" t="s">
        <v>1942</v>
      </c>
      <c r="D20" s="69" t="s">
        <v>2712</v>
      </c>
      <c r="E20" s="3" t="s">
        <v>1026</v>
      </c>
      <c r="F20" s="448">
        <v>1E-4</v>
      </c>
      <c r="G20" s="434">
        <v>1E-4</v>
      </c>
      <c r="H20" s="434">
        <v>1E-4</v>
      </c>
      <c r="I20" s="434">
        <v>3.0000000000000001E-5</v>
      </c>
      <c r="J20" s="434">
        <v>3.0000000000000001E-5</v>
      </c>
      <c r="K20" s="434">
        <v>3.0000000000000001E-5</v>
      </c>
      <c r="L20" s="434">
        <v>3.0000000000000001E-5</v>
      </c>
      <c r="M20" s="434">
        <v>3.0000000000000001E-5</v>
      </c>
      <c r="N20" s="565">
        <v>3.0000000000000001E-5</v>
      </c>
    </row>
    <row r="21" spans="1:14">
      <c r="A21" s="47" t="s">
        <v>3625</v>
      </c>
      <c r="B21" s="8" t="s">
        <v>3631</v>
      </c>
      <c r="C21" t="s">
        <v>1950</v>
      </c>
      <c r="D21" s="69" t="s">
        <v>1595</v>
      </c>
      <c r="E21" s="3" t="s">
        <v>1027</v>
      </c>
      <c r="F21" s="435">
        <v>2</v>
      </c>
      <c r="G21" s="436">
        <v>2</v>
      </c>
      <c r="H21" s="437">
        <v>2</v>
      </c>
      <c r="I21" s="443">
        <v>0.2</v>
      </c>
      <c r="J21" s="443">
        <v>0.2</v>
      </c>
      <c r="K21" s="443">
        <v>0.2</v>
      </c>
      <c r="L21" s="444">
        <v>0.1</v>
      </c>
      <c r="M21" s="444">
        <v>0.1</v>
      </c>
      <c r="N21" s="564">
        <v>0.1</v>
      </c>
    </row>
    <row r="22" spans="1:14">
      <c r="A22" s="47"/>
      <c r="B22" s="8" t="s">
        <v>3632</v>
      </c>
      <c r="C22" t="s">
        <v>1950</v>
      </c>
      <c r="D22" s="69" t="s">
        <v>1596</v>
      </c>
      <c r="E22" s="3" t="s">
        <v>1028</v>
      </c>
      <c r="F22" s="435">
        <v>3</v>
      </c>
      <c r="G22" s="436">
        <v>3</v>
      </c>
      <c r="H22" s="437">
        <v>3</v>
      </c>
      <c r="I22" s="443">
        <v>0.36</v>
      </c>
      <c r="J22" s="443">
        <v>0.36</v>
      </c>
      <c r="K22" s="443">
        <v>0.36</v>
      </c>
      <c r="L22" s="444">
        <v>0.18</v>
      </c>
      <c r="M22" s="444">
        <v>0.18</v>
      </c>
      <c r="N22" s="564">
        <v>0.18</v>
      </c>
    </row>
    <row r="23" spans="1:14">
      <c r="A23" s="47"/>
      <c r="B23" s="8" t="s">
        <v>1615</v>
      </c>
      <c r="C23" t="s">
        <v>2263</v>
      </c>
      <c r="D23" s="69" t="s">
        <v>1597</v>
      </c>
      <c r="E23" s="3" t="s">
        <v>6</v>
      </c>
      <c r="F23" s="287">
        <v>500</v>
      </c>
      <c r="G23" s="418">
        <v>500</v>
      </c>
      <c r="H23" s="417">
        <v>500</v>
      </c>
      <c r="I23" s="418">
        <v>500</v>
      </c>
      <c r="J23" s="418">
        <v>500</v>
      </c>
      <c r="K23" s="418">
        <v>500</v>
      </c>
      <c r="L23" s="417">
        <v>500</v>
      </c>
      <c r="M23" s="417">
        <v>500</v>
      </c>
      <c r="N23" s="563">
        <v>500</v>
      </c>
    </row>
    <row r="24" spans="1:14">
      <c r="A24" s="47" t="s">
        <v>3628</v>
      </c>
      <c r="B24" s="8" t="s">
        <v>3633</v>
      </c>
      <c r="C24" t="s">
        <v>920</v>
      </c>
      <c r="D24" s="69" t="s">
        <v>2711</v>
      </c>
      <c r="E24" s="3" t="s">
        <v>7</v>
      </c>
      <c r="F24" s="287">
        <v>2700</v>
      </c>
      <c r="G24" s="418">
        <v>2700</v>
      </c>
      <c r="H24" s="417">
        <v>2700</v>
      </c>
      <c r="I24" s="418">
        <v>2700</v>
      </c>
      <c r="J24" s="418">
        <v>2700</v>
      </c>
      <c r="K24" s="418">
        <v>2700</v>
      </c>
      <c r="L24" s="417">
        <v>2700</v>
      </c>
      <c r="M24" s="417">
        <v>2700</v>
      </c>
      <c r="N24" s="563">
        <v>2700</v>
      </c>
    </row>
    <row r="25" spans="1:14">
      <c r="A25" s="47"/>
      <c r="B25" s="8" t="s">
        <v>2959</v>
      </c>
      <c r="C25" t="s">
        <v>34</v>
      </c>
      <c r="D25" s="69" t="s">
        <v>2713</v>
      </c>
      <c r="E25" s="3" t="s">
        <v>8</v>
      </c>
      <c r="F25" s="448">
        <f t="shared" ref="F25:N25" si="0">(F22-F21)/F21/2/F23</f>
        <v>5.0000000000000001E-4</v>
      </c>
      <c r="G25" s="434">
        <f t="shared" si="0"/>
        <v>5.0000000000000001E-4</v>
      </c>
      <c r="H25" s="434">
        <f t="shared" si="0"/>
        <v>5.0000000000000001E-4</v>
      </c>
      <c r="I25" s="434">
        <f t="shared" si="0"/>
        <v>7.9999999999999982E-4</v>
      </c>
      <c r="J25" s="434">
        <f t="shared" si="0"/>
        <v>7.9999999999999982E-4</v>
      </c>
      <c r="K25" s="434">
        <f t="shared" si="0"/>
        <v>7.9999999999999982E-4</v>
      </c>
      <c r="L25" s="434">
        <f t="shared" si="0"/>
        <v>7.9999999999999982E-4</v>
      </c>
      <c r="M25" s="434">
        <f t="shared" si="0"/>
        <v>7.9999999999999982E-4</v>
      </c>
      <c r="N25" s="565">
        <f t="shared" si="0"/>
        <v>7.9999999999999982E-4</v>
      </c>
    </row>
    <row r="26" spans="1:14">
      <c r="A26" s="47"/>
      <c r="B26" s="8" t="s">
        <v>2960</v>
      </c>
      <c r="C26" t="s">
        <v>34</v>
      </c>
      <c r="D26" s="69" t="s">
        <v>2714</v>
      </c>
      <c r="E26" s="3" t="s">
        <v>9</v>
      </c>
      <c r="F26" s="448">
        <f t="shared" ref="F26:K26" si="1">(F22-F21)/F21/30000</f>
        <v>1.6666666666666667E-5</v>
      </c>
      <c r="G26" s="434">
        <f t="shared" si="1"/>
        <v>1.6666666666666667E-5</v>
      </c>
      <c r="H26" s="434">
        <f t="shared" si="1"/>
        <v>1.6666666666666667E-5</v>
      </c>
      <c r="I26" s="434">
        <f t="shared" si="1"/>
        <v>2.666666666666666E-5</v>
      </c>
      <c r="J26" s="434">
        <f t="shared" si="1"/>
        <v>2.666666666666666E-5</v>
      </c>
      <c r="K26" s="434">
        <f t="shared" si="1"/>
        <v>2.666666666666666E-5</v>
      </c>
      <c r="L26" s="434">
        <f>(L22-L21)/L21/50000</f>
        <v>1.5999999999999996E-5</v>
      </c>
      <c r="M26" s="434">
        <f>(M22-M21)/M21/50000</f>
        <v>1.5999999999999996E-5</v>
      </c>
      <c r="N26" s="565">
        <f>(N22-N21)/N21/50000</f>
        <v>1.5999999999999996E-5</v>
      </c>
    </row>
    <row r="27" spans="1:14">
      <c r="A27" s="47"/>
      <c r="B27" s="8" t="s">
        <v>4309</v>
      </c>
      <c r="D27" s="69" t="s">
        <v>2842</v>
      </c>
      <c r="E27" s="3" t="s">
        <v>10</v>
      </c>
      <c r="F27" s="435">
        <v>0.9</v>
      </c>
      <c r="G27" s="436">
        <v>0.9</v>
      </c>
      <c r="H27" s="437">
        <v>0.5</v>
      </c>
      <c r="I27" s="436">
        <v>0.9</v>
      </c>
      <c r="J27" s="436">
        <v>0.9</v>
      </c>
      <c r="K27" s="436">
        <v>0.5</v>
      </c>
      <c r="L27" s="437">
        <v>0.9</v>
      </c>
      <c r="M27" s="438">
        <v>0.9</v>
      </c>
      <c r="N27" s="566">
        <v>0.5</v>
      </c>
    </row>
    <row r="28" spans="1:14">
      <c r="A28" s="47" t="s">
        <v>3629</v>
      </c>
      <c r="B28" s="8" t="s">
        <v>912</v>
      </c>
      <c r="C28" t="s">
        <v>914</v>
      </c>
      <c r="D28" s="69" t="s">
        <v>915</v>
      </c>
      <c r="E28" s="3" t="s">
        <v>1029</v>
      </c>
      <c r="F28" s="287">
        <v>0.25</v>
      </c>
      <c r="G28" s="418">
        <v>1.7000000000000001E-2</v>
      </c>
      <c r="H28" s="417">
        <v>2.5000000000000001E-3</v>
      </c>
      <c r="I28" s="418">
        <v>0.25</v>
      </c>
      <c r="J28" s="418">
        <v>1.7000000000000001E-2</v>
      </c>
      <c r="K28" s="417">
        <v>2.5000000000000001E-3</v>
      </c>
      <c r="L28" s="417">
        <v>0.25</v>
      </c>
      <c r="M28" s="418">
        <v>1.7000000000000001E-2</v>
      </c>
      <c r="N28" s="563">
        <v>2.5000000000000001E-3</v>
      </c>
    </row>
    <row r="29" spans="1:14">
      <c r="A29" s="47"/>
      <c r="B29" s="8" t="s">
        <v>916</v>
      </c>
      <c r="E29" s="3" t="s">
        <v>1022</v>
      </c>
      <c r="F29" s="287">
        <v>1.4</v>
      </c>
      <c r="G29" s="418">
        <v>1.4</v>
      </c>
      <c r="H29" s="417">
        <v>1.45</v>
      </c>
      <c r="I29" s="418">
        <v>1.4</v>
      </c>
      <c r="J29" s="418">
        <v>1.4</v>
      </c>
      <c r="K29" s="417">
        <v>1.45</v>
      </c>
      <c r="L29" s="417">
        <v>1.4</v>
      </c>
      <c r="M29" s="289">
        <v>1.4</v>
      </c>
      <c r="N29" s="563">
        <v>1.45</v>
      </c>
    </row>
    <row r="30" spans="1:14">
      <c r="A30" s="47" t="s">
        <v>3630</v>
      </c>
      <c r="B30" s="8" t="s">
        <v>39</v>
      </c>
      <c r="C30" t="s">
        <v>41</v>
      </c>
      <c r="D30" s="69" t="s">
        <v>2843</v>
      </c>
      <c r="E30" s="3" t="s">
        <v>1030</v>
      </c>
      <c r="F30" s="287">
        <v>25</v>
      </c>
      <c r="G30" s="418">
        <v>25</v>
      </c>
      <c r="H30" s="417">
        <v>25</v>
      </c>
      <c r="I30" s="418">
        <v>25</v>
      </c>
      <c r="J30" s="418">
        <v>25</v>
      </c>
      <c r="K30" s="418">
        <v>25</v>
      </c>
      <c r="L30" s="417">
        <v>25</v>
      </c>
      <c r="M30" s="289">
        <v>25</v>
      </c>
      <c r="N30" s="563">
        <v>25</v>
      </c>
    </row>
    <row r="31" spans="1:14">
      <c r="A31" s="47"/>
      <c r="B31" s="8" t="s">
        <v>43</v>
      </c>
      <c r="C31" t="s">
        <v>2263</v>
      </c>
      <c r="D31" s="69" t="s">
        <v>2889</v>
      </c>
      <c r="E31" s="3" t="s">
        <v>2890</v>
      </c>
      <c r="F31" s="287">
        <v>1000</v>
      </c>
      <c r="G31" s="418">
        <v>1000</v>
      </c>
      <c r="H31" s="417">
        <v>1000</v>
      </c>
      <c r="I31" s="418">
        <v>1500</v>
      </c>
      <c r="J31" s="418">
        <v>1500</v>
      </c>
      <c r="K31" s="418">
        <v>1500</v>
      </c>
      <c r="L31" s="289">
        <v>2000</v>
      </c>
      <c r="M31" s="289">
        <v>2000</v>
      </c>
      <c r="N31" s="563">
        <v>2000</v>
      </c>
    </row>
    <row r="32" spans="1:14">
      <c r="A32" s="47" t="s">
        <v>419</v>
      </c>
      <c r="B32" s="8" t="s">
        <v>1031</v>
      </c>
      <c r="C32" t="s">
        <v>3749</v>
      </c>
      <c r="E32" s="3" t="s">
        <v>1034</v>
      </c>
      <c r="F32" s="287">
        <v>400</v>
      </c>
      <c r="G32" s="418">
        <v>400</v>
      </c>
      <c r="H32" s="417">
        <v>400</v>
      </c>
      <c r="I32" s="418">
        <v>500</v>
      </c>
      <c r="J32" s="418">
        <v>500</v>
      </c>
      <c r="K32" s="418">
        <v>500</v>
      </c>
      <c r="L32" s="289">
        <v>600</v>
      </c>
      <c r="M32" s="289">
        <v>600</v>
      </c>
      <c r="N32" s="563">
        <v>600</v>
      </c>
    </row>
    <row r="33" spans="1:14">
      <c r="A33" s="47"/>
      <c r="B33" s="8" t="s">
        <v>1032</v>
      </c>
      <c r="E33" s="3" t="s">
        <v>1033</v>
      </c>
      <c r="F33" s="419">
        <v>0.15</v>
      </c>
      <c r="G33" s="420">
        <v>0.17</v>
      </c>
      <c r="H33" s="420">
        <v>0.27</v>
      </c>
      <c r="I33" s="420">
        <v>0.15</v>
      </c>
      <c r="J33" s="420">
        <v>0.17</v>
      </c>
      <c r="K33" s="420">
        <v>0.27</v>
      </c>
      <c r="L33" s="421">
        <v>0.15</v>
      </c>
      <c r="M33" s="421">
        <v>0.17</v>
      </c>
      <c r="N33" s="567">
        <v>0.27</v>
      </c>
    </row>
    <row r="34" spans="1:14">
      <c r="A34" s="47"/>
      <c r="B34" s="8" t="s">
        <v>3750</v>
      </c>
      <c r="C34" t="s">
        <v>2193</v>
      </c>
      <c r="E34" s="3" t="s">
        <v>3751</v>
      </c>
      <c r="F34" s="440">
        <v>16</v>
      </c>
      <c r="G34" s="441">
        <v>75</v>
      </c>
      <c r="H34" s="441">
        <v>525</v>
      </c>
      <c r="I34" s="442">
        <v>16</v>
      </c>
      <c r="J34" s="442">
        <v>75</v>
      </c>
      <c r="K34" s="441">
        <v>525</v>
      </c>
      <c r="L34" s="439">
        <v>16</v>
      </c>
      <c r="M34" s="439">
        <v>75</v>
      </c>
      <c r="N34" s="568">
        <f>M34*N$15/M$15</f>
        <v>525</v>
      </c>
    </row>
    <row r="35" spans="1:14">
      <c r="A35" s="47"/>
      <c r="B35" s="8" t="s">
        <v>1035</v>
      </c>
      <c r="C35" t="s">
        <v>2193</v>
      </c>
      <c r="E35" s="3" t="s">
        <v>3752</v>
      </c>
      <c r="F35" s="440">
        <v>3</v>
      </c>
      <c r="G35" s="441">
        <v>12</v>
      </c>
      <c r="H35" s="441">
        <v>84</v>
      </c>
      <c r="I35" s="441">
        <v>3</v>
      </c>
      <c r="J35" s="439">
        <v>12</v>
      </c>
      <c r="K35" s="441">
        <v>84</v>
      </c>
      <c r="L35" s="439">
        <v>3</v>
      </c>
      <c r="M35" s="439">
        <v>12</v>
      </c>
      <c r="N35" s="568">
        <f>M35*N$15/M$15</f>
        <v>84</v>
      </c>
    </row>
    <row r="36" spans="1:14">
      <c r="A36" s="47"/>
      <c r="B36" s="8" t="s">
        <v>3759</v>
      </c>
      <c r="C36" t="s">
        <v>3761</v>
      </c>
      <c r="E36" s="3" t="s">
        <v>3760</v>
      </c>
      <c r="F36" s="422">
        <v>5</v>
      </c>
      <c r="G36" s="417">
        <v>5</v>
      </c>
      <c r="H36" s="417">
        <v>5</v>
      </c>
      <c r="I36" s="417">
        <v>5</v>
      </c>
      <c r="J36" s="417">
        <v>5</v>
      </c>
      <c r="K36" s="417">
        <v>5</v>
      </c>
      <c r="L36" s="289">
        <v>5</v>
      </c>
      <c r="M36" s="289">
        <v>5</v>
      </c>
      <c r="N36" s="563">
        <v>5</v>
      </c>
    </row>
    <row r="37" spans="1:14">
      <c r="A37" s="47"/>
      <c r="B37" s="8" t="s">
        <v>505</v>
      </c>
      <c r="C37" t="s">
        <v>506</v>
      </c>
      <c r="E37" s="3" t="s">
        <v>507</v>
      </c>
      <c r="F37" s="422">
        <v>3</v>
      </c>
      <c r="G37" s="417">
        <v>3</v>
      </c>
      <c r="H37" s="417">
        <v>3</v>
      </c>
      <c r="I37" s="417">
        <v>3</v>
      </c>
      <c r="J37" s="417">
        <v>3</v>
      </c>
      <c r="K37" s="417">
        <v>3</v>
      </c>
      <c r="L37" s="289">
        <v>3</v>
      </c>
      <c r="M37" s="417">
        <v>3</v>
      </c>
      <c r="N37" s="563">
        <v>3</v>
      </c>
    </row>
    <row r="38" spans="1:14">
      <c r="A38" s="47"/>
      <c r="B38" s="8" t="s">
        <v>3753</v>
      </c>
      <c r="C38" t="s">
        <v>41</v>
      </c>
      <c r="E38" s="3" t="s">
        <v>3754</v>
      </c>
      <c r="F38" s="422">
        <v>45</v>
      </c>
      <c r="G38" s="417">
        <v>45</v>
      </c>
      <c r="H38" s="417">
        <v>45</v>
      </c>
      <c r="I38" s="417">
        <v>45</v>
      </c>
      <c r="J38" s="417">
        <v>45</v>
      </c>
      <c r="K38" s="417">
        <v>45</v>
      </c>
      <c r="L38" s="289">
        <v>45</v>
      </c>
      <c r="M38" s="289">
        <v>45</v>
      </c>
      <c r="N38" s="563">
        <v>45</v>
      </c>
    </row>
    <row r="39" spans="1:14">
      <c r="A39" s="47"/>
      <c r="B39" s="8" t="s">
        <v>3755</v>
      </c>
      <c r="C39" t="s">
        <v>3749</v>
      </c>
      <c r="E39" s="3" t="s">
        <v>3757</v>
      </c>
      <c r="F39" s="415">
        <v>10</v>
      </c>
      <c r="G39" s="417">
        <v>10</v>
      </c>
      <c r="H39" s="417">
        <v>15</v>
      </c>
      <c r="I39" s="417">
        <v>10</v>
      </c>
      <c r="J39" s="417">
        <v>10</v>
      </c>
      <c r="K39" s="417">
        <v>15</v>
      </c>
      <c r="L39" s="289">
        <v>10</v>
      </c>
      <c r="M39" s="289">
        <v>10</v>
      </c>
      <c r="N39" s="563">
        <v>15</v>
      </c>
    </row>
    <row r="40" spans="1:14">
      <c r="A40" s="47"/>
      <c r="B40" s="8" t="s">
        <v>3756</v>
      </c>
      <c r="C40" t="s">
        <v>3749</v>
      </c>
      <c r="E40" s="3" t="s">
        <v>3758</v>
      </c>
      <c r="F40" s="422">
        <v>50</v>
      </c>
      <c r="G40" s="417">
        <v>50</v>
      </c>
      <c r="H40" s="417">
        <v>60</v>
      </c>
      <c r="I40" s="417">
        <v>50</v>
      </c>
      <c r="J40" s="417">
        <v>50</v>
      </c>
      <c r="K40" s="417">
        <v>60</v>
      </c>
      <c r="L40" s="417">
        <v>50</v>
      </c>
      <c r="M40" s="417">
        <v>50</v>
      </c>
      <c r="N40" s="563">
        <v>60</v>
      </c>
    </row>
    <row r="41" spans="1:14">
      <c r="A41" s="48" t="s">
        <v>160</v>
      </c>
      <c r="B41" s="8" t="s">
        <v>2243</v>
      </c>
      <c r="E41" s="3" t="s">
        <v>1023</v>
      </c>
      <c r="F41" s="423" t="str">
        <f>F11&amp;" " &amp;F10</f>
        <v>4 inch Nanofiltration</v>
      </c>
      <c r="G41" s="424" t="str">
        <f t="shared" ref="G41:M41" si="2">G11&amp;" " &amp;G10</f>
        <v>8 inch Nanofiltration</v>
      </c>
      <c r="H41" s="424" t="str">
        <f t="shared" si="2"/>
        <v>16-18 inch Nanofiltration</v>
      </c>
      <c r="I41" s="424" t="str">
        <f t="shared" si="2"/>
        <v>4 inch Low Pressure RO</v>
      </c>
      <c r="J41" s="424" t="str">
        <f t="shared" si="2"/>
        <v>8 inch Low Pressure RO</v>
      </c>
      <c r="K41" s="424" t="str">
        <f t="shared" si="2"/>
        <v>16-18 inch Low Pressure RO</v>
      </c>
      <c r="L41" s="424" t="str">
        <f t="shared" si="2"/>
        <v>4 inch Brackish Water RO</v>
      </c>
      <c r="M41" s="424" t="str">
        <f t="shared" si="2"/>
        <v>8 inch Brackish Water RO</v>
      </c>
      <c r="N41" s="569" t="str">
        <f>N11&amp;" " &amp;N10</f>
        <v>16-18 inch Brackish Water RO</v>
      </c>
    </row>
    <row r="42" spans="1:14">
      <c r="A42"/>
    </row>
    <row r="43" spans="1:14">
      <c r="A43" s="48"/>
      <c r="B43" s="8"/>
      <c r="E43" s="3"/>
    </row>
    <row r="44" spans="1:14">
      <c r="A44" s="1" t="s">
        <v>1804</v>
      </c>
      <c r="B44" s="8"/>
      <c r="E44" s="3"/>
    </row>
    <row r="45" spans="1:14">
      <c r="A45" s="1" t="s">
        <v>1803</v>
      </c>
      <c r="B45" s="8"/>
      <c r="E45" s="3"/>
    </row>
    <row r="46" spans="1:14">
      <c r="B46" s="31" t="s">
        <v>162</v>
      </c>
    </row>
    <row r="47" spans="1:14">
      <c r="A47" s="1" t="s">
        <v>161</v>
      </c>
      <c r="B47" t="str">
        <f t="array" aca="1" ref="B47:B55" ca="1">TRANSPOSE(element_table_name_row)</f>
        <v>4 inch Nanofiltration</v>
      </c>
    </row>
    <row r="48" spans="1:14">
      <c r="B48" t="str">
        <f ca="1"/>
        <v>8 inch Nanofiltration</v>
      </c>
    </row>
    <row r="49" spans="2:4">
      <c r="B49" t="str">
        <f ca="1"/>
        <v>16-18 inch Nanofiltration</v>
      </c>
      <c r="D49" s="76"/>
    </row>
    <row r="50" spans="2:4">
      <c r="B50" t="str">
        <f ca="1"/>
        <v>4 inch Low Pressure RO</v>
      </c>
      <c r="D50" s="76"/>
    </row>
    <row r="51" spans="2:4">
      <c r="B51" t="str">
        <f ca="1"/>
        <v>8 inch Low Pressure RO</v>
      </c>
      <c r="D51" s="76"/>
    </row>
    <row r="52" spans="2:4">
      <c r="B52" t="str">
        <f ca="1"/>
        <v>16-18 inch Low Pressure RO</v>
      </c>
      <c r="D52" s="76"/>
    </row>
    <row r="53" spans="2:4">
      <c r="B53" t="str">
        <f ca="1"/>
        <v>4 inch Brackish Water RO</v>
      </c>
      <c r="D53" s="76"/>
    </row>
    <row r="54" spans="2:4">
      <c r="B54" t="str">
        <f ca="1"/>
        <v>8 inch Brackish Water RO</v>
      </c>
    </row>
    <row r="55" spans="2:4">
      <c r="B55" t="str">
        <f ca="1"/>
        <v>16-18 inch Brackish Water RO</v>
      </c>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244" r:id="rId4" name="cmdAddElement">
              <controlPr defaultSize="0" print="0" autoFill="0" autoPict="0" macro="[0]!Sheet24.cmdAddElement_Click">
                <anchor moveWithCells="1" sizeWithCells="1">
                  <from>
                    <xdr:col>1</xdr:col>
                    <xdr:colOff>12700</xdr:colOff>
                    <xdr:row>6</xdr:row>
                    <xdr:rowOff>63500</xdr:rowOff>
                  </from>
                  <to>
                    <xdr:col>1</xdr:col>
                    <xdr:colOff>1358900</xdr:colOff>
                    <xdr:row>8</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E42"/>
  <sheetViews>
    <sheetView zoomScaleNormal="100" workbookViewId="0">
      <pane ySplit="4" topLeftCell="A5" activePane="bottomLeft" state="frozen"/>
      <selection pane="bottomLeft"/>
    </sheetView>
  </sheetViews>
  <sheetFormatPr baseColWidth="10" defaultColWidth="9.1640625" defaultRowHeight="13"/>
  <cols>
    <col min="1" max="1" width="37.1640625" style="14" bestFit="1" customWidth="1"/>
    <col min="2" max="2" width="21.83203125" style="31" bestFit="1" customWidth="1"/>
    <col min="3" max="3" width="9.1640625" style="14"/>
    <col min="4" max="4" width="9.1640625" style="238"/>
    <col min="5" max="5" width="9.1640625" style="214"/>
    <col min="6" max="16384" width="9.1640625" style="14"/>
  </cols>
  <sheetData>
    <row r="1" spans="1:5">
      <c r="A1" s="20" t="s">
        <v>5489</v>
      </c>
    </row>
    <row r="2" spans="1:5">
      <c r="A2" s="813" t="s">
        <v>5490</v>
      </c>
    </row>
    <row r="3" spans="1:5">
      <c r="A3" s="20"/>
    </row>
    <row r="4" spans="1:5">
      <c r="A4" s="235" t="s">
        <v>5172</v>
      </c>
      <c r="B4" s="236" t="s">
        <v>1989</v>
      </c>
      <c r="C4" s="237" t="s">
        <v>1990</v>
      </c>
      <c r="D4" s="236" t="s">
        <v>2961</v>
      </c>
      <c r="E4" s="236" t="s">
        <v>1991</v>
      </c>
    </row>
    <row r="5" spans="1:5">
      <c r="A5" s="49" t="s">
        <v>3447</v>
      </c>
    </row>
    <row r="6" spans="1:5">
      <c r="A6" s="14" t="s">
        <v>3581</v>
      </c>
      <c r="C6" s="460">
        <f>conc_LSI_sys</f>
        <v>0.53698937626450949</v>
      </c>
      <c r="E6" s="214" t="s">
        <v>3582</v>
      </c>
    </row>
    <row r="7" spans="1:5">
      <c r="A7" s="14" t="s">
        <v>3453</v>
      </c>
      <c r="B7" s="31" t="s">
        <v>3451</v>
      </c>
      <c r="C7" s="14" t="b">
        <f>(conc_LSI_sys&gt;max_lsi_no_antiscalant)</f>
        <v>1</v>
      </c>
    </row>
    <row r="8" spans="1:5">
      <c r="A8" s="14" t="s">
        <v>3454</v>
      </c>
      <c r="B8" s="31" t="s">
        <v>3452</v>
      </c>
      <c r="C8" s="14" t="b">
        <f>(conc_LSI_sys&gt;max_lsi_antiscalant)</f>
        <v>0</v>
      </c>
    </row>
    <row r="9" spans="1:5">
      <c r="A9" s="14" t="s">
        <v>3449</v>
      </c>
      <c r="B9" s="31" t="s">
        <v>3450</v>
      </c>
      <c r="C9" s="14">
        <f>IF(lsi_bad_with_anti,4,IF(lsi_bad_without_anti,IF(use_antiscalant&gt;1,1,2),1))</f>
        <v>1</v>
      </c>
      <c r="D9" s="238" t="s">
        <v>4220</v>
      </c>
    </row>
    <row r="11" spans="1:5">
      <c r="A11" s="49" t="s">
        <v>3446</v>
      </c>
    </row>
    <row r="12" spans="1:5">
      <c r="A12" s="14" t="s">
        <v>3448</v>
      </c>
      <c r="C12" s="461">
        <f>conc_CaSO4_sat_sys</f>
        <v>1.548902366060775</v>
      </c>
      <c r="E12" s="214" t="s">
        <v>3582</v>
      </c>
    </row>
    <row r="13" spans="1:5">
      <c r="A13" s="14" t="s">
        <v>3455</v>
      </c>
      <c r="B13" s="31" t="s">
        <v>4249</v>
      </c>
      <c r="C13" s="14" t="b">
        <f>(conc_CaSO4_sat_sys&gt;max_caso4_no_antiscalant)</f>
        <v>1</v>
      </c>
    </row>
    <row r="14" spans="1:5">
      <c r="A14" s="14" t="s">
        <v>3456</v>
      </c>
      <c r="B14" s="31" t="s">
        <v>4250</v>
      </c>
      <c r="C14" s="14" t="b">
        <f>(conc_CaSO4_sat_sys&gt;max_caso4_antiscalant)</f>
        <v>0</v>
      </c>
    </row>
    <row r="15" spans="1:5">
      <c r="A15" s="14" t="s">
        <v>4252</v>
      </c>
      <c r="B15" s="31" t="s">
        <v>4251</v>
      </c>
      <c r="C15" s="14">
        <f>IF(caso4_bad_with_anti,4,IF(caso4_bad_without_anti,IF(use_antiscalant&gt;2,1,3),1))</f>
        <v>3</v>
      </c>
      <c r="D15" s="238" t="s">
        <v>4221</v>
      </c>
    </row>
    <row r="17" spans="1:5">
      <c r="A17" s="49" t="s">
        <v>4197</v>
      </c>
    </row>
    <row r="18" spans="1:5">
      <c r="A18" s="14" t="s">
        <v>4199</v>
      </c>
      <c r="C18" s="461">
        <f>conc_BaSO4_sat_sys</f>
        <v>22.221742129219081</v>
      </c>
      <c r="E18" s="214" t="s">
        <v>3582</v>
      </c>
    </row>
    <row r="19" spans="1:5">
      <c r="A19" s="14" t="s">
        <v>4200</v>
      </c>
      <c r="B19" s="31" t="s">
        <v>4210</v>
      </c>
      <c r="C19" s="14" t="b">
        <f>(conc_BaSO4_sat_sys&gt;max_baso4_no_antiscalant)</f>
        <v>1</v>
      </c>
    </row>
    <row r="20" spans="1:5">
      <c r="A20" s="14" t="s">
        <v>4201</v>
      </c>
      <c r="B20" s="31" t="s">
        <v>4211</v>
      </c>
      <c r="C20" s="14" t="b">
        <f>(conc_BaSO4_sat_sys&gt;max_baso4_antiscalant)</f>
        <v>0</v>
      </c>
    </row>
    <row r="21" spans="1:5">
      <c r="A21" s="14" t="s">
        <v>4202</v>
      </c>
      <c r="B21" s="31" t="s">
        <v>4212</v>
      </c>
      <c r="C21" s="14">
        <f>IF(baso4_bad_with_anti,4,IF(baso4_bad_without_anti,IF(use_antiscalant&gt;2,1,3),1))</f>
        <v>3</v>
      </c>
      <c r="D21" s="238" t="s">
        <v>4221</v>
      </c>
    </row>
    <row r="23" spans="1:5">
      <c r="A23" s="32" t="s">
        <v>4198</v>
      </c>
    </row>
    <row r="24" spans="1:5">
      <c r="A24" s="14" t="s">
        <v>4203</v>
      </c>
      <c r="C24" s="461">
        <f>conc_SrSO4_sat_sys</f>
        <v>0.25598552211159958</v>
      </c>
      <c r="E24" s="214" t="s">
        <v>3582</v>
      </c>
    </row>
    <row r="25" spans="1:5">
      <c r="A25" s="14" t="s">
        <v>4204</v>
      </c>
      <c r="B25" s="31" t="s">
        <v>4207</v>
      </c>
      <c r="C25" s="14" t="b">
        <f>(conc_CaSO4_sat_sys&gt;max_srso4_no_antiscalant)</f>
        <v>1</v>
      </c>
    </row>
    <row r="26" spans="1:5">
      <c r="A26" s="14" t="s">
        <v>4205</v>
      </c>
      <c r="B26" s="31" t="s">
        <v>4208</v>
      </c>
      <c r="C26" s="14" t="b">
        <f>(conc_CaSO4_sat_sys&gt;max_srso4_antiscalant)</f>
        <v>0</v>
      </c>
    </row>
    <row r="27" spans="1:5">
      <c r="A27" s="14" t="s">
        <v>4206</v>
      </c>
      <c r="B27" s="31" t="s">
        <v>4209</v>
      </c>
      <c r="C27" s="14">
        <f>IF(caso4_bad_with_anti,4,IF(caso4_bad_without_anti,IF(use_antiscalant&gt;2,1,3),1))</f>
        <v>3</v>
      </c>
      <c r="D27" s="238" t="s">
        <v>4221</v>
      </c>
    </row>
    <row r="29" spans="1:5">
      <c r="A29" s="49" t="s">
        <v>270</v>
      </c>
    </row>
    <row r="30" spans="1:5">
      <c r="A30" s="14" t="s">
        <v>4262</v>
      </c>
      <c r="C30" s="461">
        <f>conc_CaF2_sat_sys</f>
        <v>0.90731210350441549</v>
      </c>
      <c r="E30" s="214" t="s">
        <v>3582</v>
      </c>
    </row>
    <row r="31" spans="1:5">
      <c r="A31" s="14" t="s">
        <v>4263</v>
      </c>
      <c r="B31" s="31" t="s">
        <v>2647</v>
      </c>
      <c r="C31" s="14" t="b">
        <f>(conc_CaF2_sat_sys&gt;max_caf2_no_antiscalant)</f>
        <v>0</v>
      </c>
    </row>
    <row r="32" spans="1:5">
      <c r="A32" s="14" t="s">
        <v>2645</v>
      </c>
      <c r="B32" s="31" t="s">
        <v>2648</v>
      </c>
      <c r="C32" s="14" t="b">
        <f>(conc_CaF2_sat_sys&gt;max_caf2_antiscalant)</f>
        <v>0</v>
      </c>
    </row>
    <row r="33" spans="1:5">
      <c r="A33" s="14" t="s">
        <v>2646</v>
      </c>
      <c r="B33" s="31" t="s">
        <v>2649</v>
      </c>
      <c r="C33" s="14">
        <f>IF(caf2_bad_with_anti,4,IF(caf2_bad_without_anti,IF(use_antiscalant&gt;2,1,3),1))</f>
        <v>1</v>
      </c>
      <c r="D33" s="238" t="s">
        <v>4221</v>
      </c>
    </row>
    <row r="35" spans="1:5">
      <c r="A35" s="49" t="s">
        <v>4253</v>
      </c>
    </row>
    <row r="36" spans="1:5">
      <c r="A36" s="14" t="s">
        <v>4254</v>
      </c>
      <c r="C36" s="461">
        <f>conc_SiO2_sat_sys</f>
        <v>0.18249161562809987</v>
      </c>
      <c r="E36" s="214" t="s">
        <v>3582</v>
      </c>
    </row>
    <row r="37" spans="1:5">
      <c r="A37" s="14" t="s">
        <v>4255</v>
      </c>
      <c r="C37" s="109">
        <f ca="1">conc_SiO2_conc_sys</f>
        <v>20.311316819407519</v>
      </c>
      <c r="E37" s="214" t="s">
        <v>3582</v>
      </c>
    </row>
    <row r="38" spans="1:5">
      <c r="A38" s="14" t="s">
        <v>4256</v>
      </c>
      <c r="B38" s="31" t="s">
        <v>4259</v>
      </c>
      <c r="C38" s="14" t="b">
        <f>(conc_SiO2_sat_sys&gt;max_sio2_sat_no_antiscalant)</f>
        <v>0</v>
      </c>
    </row>
    <row r="39" spans="1:5">
      <c r="A39" s="14" t="s">
        <v>4257</v>
      </c>
      <c r="B39" s="31" t="s">
        <v>4260</v>
      </c>
      <c r="C39" s="14" t="b">
        <f ca="1">(conc_SiO2_conc_sys&gt;max_sio2_conc_antiscalant)</f>
        <v>0</v>
      </c>
    </row>
    <row r="40" spans="1:5">
      <c r="A40" s="14" t="s">
        <v>4258</v>
      </c>
      <c r="B40" s="31" t="s">
        <v>4261</v>
      </c>
      <c r="C40" s="14">
        <f ca="1">IF(sio2_bad_with_anti,4,IF(sio2_bad_without_anti,IF(use_antiscalant=1,1,3),1))</f>
        <v>1</v>
      </c>
      <c r="D40" s="238" t="s">
        <v>4221</v>
      </c>
    </row>
    <row r="42" spans="1:5">
      <c r="A42" s="238" t="s">
        <v>2650</v>
      </c>
      <c r="B42" s="31" t="s">
        <v>2651</v>
      </c>
      <c r="C42" s="14">
        <f ca="1">MAX(lsi_recommend,caso4_recommend,baso4_recommend,srso4_recommend,caf2_recommend,sio2_recommend)</f>
        <v>3</v>
      </c>
      <c r="D42" s="238" t="s">
        <v>4222</v>
      </c>
    </row>
  </sheetData>
  <phoneticPr fontId="27" type="noConversion"/>
  <pageMargins left="0.75" right="0.75" top="1" bottom="1" header="0.5" footer="0.5"/>
  <pageSetup orientation="portrait" horizontalDpi="90" verticalDpi="9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dimension ref="A1:AE96"/>
  <sheetViews>
    <sheetView zoomScaleNormal="100" workbookViewId="0">
      <pane xSplit="2" ySplit="8" topLeftCell="C9" activePane="bottomRight" state="frozenSplit"/>
      <selection activeCell="E22" sqref="E22"/>
      <selection pane="topRight" activeCell="E22" sqref="E22"/>
      <selection pane="bottomLeft" activeCell="E22" sqref="E22"/>
      <selection pane="bottomRight"/>
    </sheetView>
  </sheetViews>
  <sheetFormatPr baseColWidth="10" defaultColWidth="9.1640625" defaultRowHeight="13"/>
  <cols>
    <col min="1" max="1" width="9.1640625" style="77"/>
    <col min="2" max="2" width="15.1640625" style="77" bestFit="1" customWidth="1"/>
    <col min="3" max="6" width="9.1640625" style="77"/>
    <col min="7" max="8" width="10.5" style="77" customWidth="1"/>
    <col min="9" max="9" width="26.83203125" style="77" bestFit="1" customWidth="1"/>
    <col min="10" max="10" width="12.1640625" style="77" customWidth="1"/>
    <col min="11" max="12" width="9.1640625" style="77"/>
    <col min="13" max="13" width="18.5" style="77" bestFit="1" customWidth="1"/>
    <col min="14" max="14" width="9.1640625" style="77"/>
    <col min="15" max="15" width="22.5" style="77" customWidth="1"/>
    <col min="16" max="16" width="17.5" style="77" customWidth="1"/>
    <col min="17" max="18" width="17.5" style="77" bestFit="1" customWidth="1"/>
    <col min="19" max="19" width="12.1640625" style="77" customWidth="1"/>
    <col min="20" max="20" width="18.5" style="77" bestFit="1" customWidth="1"/>
    <col min="21" max="23" width="18.5" style="77" customWidth="1"/>
    <col min="24" max="24" width="22.5" style="77" customWidth="1"/>
    <col min="25" max="25" width="35.83203125" style="77" bestFit="1" customWidth="1"/>
    <col min="26" max="16384" width="9.1640625" style="77"/>
  </cols>
  <sheetData>
    <row r="1" spans="1:31">
      <c r="A1" s="20" t="s">
        <v>5189</v>
      </c>
    </row>
    <row r="2" spans="1:31">
      <c r="A2" s="214" t="s">
        <v>4963</v>
      </c>
    </row>
    <row r="4" spans="1:31">
      <c r="N4" s="226"/>
      <c r="O4" s="226"/>
      <c r="P4" s="226"/>
      <c r="Q4" s="226"/>
      <c r="R4" s="106"/>
    </row>
    <row r="6" spans="1:31" ht="12.75" customHeight="1">
      <c r="A6" s="1281" t="s">
        <v>5455</v>
      </c>
      <c r="B6" s="1282"/>
      <c r="C6" s="1281" t="s">
        <v>2428</v>
      </c>
      <c r="D6" s="1284"/>
      <c r="E6" s="1284"/>
      <c r="F6" s="1284"/>
      <c r="G6" s="1284"/>
      <c r="H6" s="1282"/>
      <c r="I6" s="1281" t="s">
        <v>2429</v>
      </c>
      <c r="J6" s="1284"/>
      <c r="K6" s="1284"/>
      <c r="L6" s="1282"/>
      <c r="M6" s="1281" t="s">
        <v>1045</v>
      </c>
      <c r="N6" s="1284"/>
      <c r="O6" s="1282"/>
      <c r="P6" s="834" t="s">
        <v>960</v>
      </c>
      <c r="Q6" s="1281" t="s">
        <v>4081</v>
      </c>
      <c r="R6" s="1284"/>
      <c r="S6" s="1282"/>
      <c r="T6" s="1284" t="s">
        <v>3657</v>
      </c>
      <c r="U6" s="1284"/>
      <c r="V6" s="1284"/>
      <c r="W6" s="1284"/>
      <c r="X6" s="1282"/>
    </row>
    <row r="7" spans="1:31" ht="42">
      <c r="A7" s="818" t="s">
        <v>3775</v>
      </c>
      <c r="B7" s="646" t="s">
        <v>3748</v>
      </c>
      <c r="C7" s="818" t="s">
        <v>2234</v>
      </c>
      <c r="D7" s="646" t="s">
        <v>3776</v>
      </c>
      <c r="E7" s="646" t="s">
        <v>3404</v>
      </c>
      <c r="F7" s="646" t="s">
        <v>562</v>
      </c>
      <c r="G7" s="646" t="s">
        <v>563</v>
      </c>
      <c r="H7" s="819" t="s">
        <v>3778</v>
      </c>
      <c r="I7" s="818" t="s">
        <v>207</v>
      </c>
      <c r="J7" s="646" t="s">
        <v>4359</v>
      </c>
      <c r="K7" s="646" t="s">
        <v>2236</v>
      </c>
      <c r="L7" s="819" t="s">
        <v>3779</v>
      </c>
      <c r="M7" s="818" t="s">
        <v>1790</v>
      </c>
      <c r="N7" s="646" t="s">
        <v>1793</v>
      </c>
      <c r="O7" s="819" t="s">
        <v>3266</v>
      </c>
      <c r="P7" s="835" t="s">
        <v>2499</v>
      </c>
      <c r="Q7" s="818" t="s">
        <v>565</v>
      </c>
      <c r="R7" s="646" t="s">
        <v>564</v>
      </c>
      <c r="S7" s="819" t="s">
        <v>5135</v>
      </c>
      <c r="T7" s="646" t="s">
        <v>3819</v>
      </c>
      <c r="U7" s="819" t="s">
        <v>428</v>
      </c>
      <c r="V7" s="933" t="s">
        <v>5395</v>
      </c>
      <c r="W7" s="934" t="s">
        <v>5398</v>
      </c>
      <c r="X7" s="935" t="s">
        <v>5401</v>
      </c>
      <c r="Y7" s="238" t="s">
        <v>5177</v>
      </c>
      <c r="Z7" s="231" t="s">
        <v>409</v>
      </c>
      <c r="AA7" s="231" t="s">
        <v>410</v>
      </c>
      <c r="AB7" s="1283" t="s">
        <v>5178</v>
      </c>
      <c r="AC7" s="1283"/>
      <c r="AD7" s="839"/>
      <c r="AE7" s="839"/>
    </row>
    <row r="8" spans="1:31">
      <c r="A8" s="820" t="s">
        <v>1272</v>
      </c>
      <c r="B8" s="647"/>
      <c r="C8" s="820" t="s">
        <v>2187</v>
      </c>
      <c r="D8" s="821" t="s">
        <v>3777</v>
      </c>
      <c r="E8" s="821" t="s">
        <v>2191</v>
      </c>
      <c r="F8" s="821" t="s">
        <v>2189</v>
      </c>
      <c r="G8" s="821" t="s">
        <v>68</v>
      </c>
      <c r="H8" s="822" t="s">
        <v>3504</v>
      </c>
      <c r="I8" s="820" t="s">
        <v>3774</v>
      </c>
      <c r="J8" s="821" t="s">
        <v>4350</v>
      </c>
      <c r="K8" s="821" t="s">
        <v>1764</v>
      </c>
      <c r="L8" s="822" t="s">
        <v>516</v>
      </c>
      <c r="M8" s="820" t="s">
        <v>1792</v>
      </c>
      <c r="N8" s="821" t="s">
        <v>1794</v>
      </c>
      <c r="O8" s="822" t="s">
        <v>2128</v>
      </c>
      <c r="P8" s="836" t="s">
        <v>2505</v>
      </c>
      <c r="Q8" s="820" t="s">
        <v>2340</v>
      </c>
      <c r="R8" s="821" t="s">
        <v>2341</v>
      </c>
      <c r="S8" s="822" t="s">
        <v>2342</v>
      </c>
      <c r="T8" s="821" t="s">
        <v>3654</v>
      </c>
      <c r="U8" s="822" t="s">
        <v>3586</v>
      </c>
      <c r="V8" s="1070" t="s">
        <v>5396</v>
      </c>
      <c r="W8" s="821" t="s">
        <v>5399</v>
      </c>
      <c r="X8" s="822" t="s">
        <v>5402</v>
      </c>
    </row>
    <row r="9" spans="1:31" s="14" customFormat="1">
      <c r="A9" s="823">
        <v>1</v>
      </c>
      <c r="B9" s="647">
        <v>1</v>
      </c>
      <c r="C9" s="823">
        <v>0.03</v>
      </c>
      <c r="D9" s="647" t="s">
        <v>1093</v>
      </c>
      <c r="E9" s="647">
        <v>7.0000000000000001E-3</v>
      </c>
      <c r="F9" s="647" t="s">
        <v>1093</v>
      </c>
      <c r="G9" s="647">
        <v>15</v>
      </c>
      <c r="H9" s="826" t="s">
        <v>3270</v>
      </c>
      <c r="I9" s="823" t="s">
        <v>5194</v>
      </c>
      <c r="J9" s="647"/>
      <c r="K9" s="824">
        <v>0.7</v>
      </c>
      <c r="L9" s="832">
        <v>19</v>
      </c>
      <c r="M9" s="823" t="s">
        <v>810</v>
      </c>
      <c r="N9" s="825">
        <v>7</v>
      </c>
      <c r="O9" s="832" t="s">
        <v>4230</v>
      </c>
      <c r="P9" s="837"/>
      <c r="Q9" s="823" t="s">
        <v>2397</v>
      </c>
      <c r="R9" s="647" t="s">
        <v>949</v>
      </c>
      <c r="S9" s="826" t="s">
        <v>5131</v>
      </c>
      <c r="T9" s="647" t="s">
        <v>3599</v>
      </c>
      <c r="U9" s="826"/>
      <c r="V9" s="1071"/>
      <c r="W9" s="647"/>
      <c r="X9" s="826"/>
      <c r="Y9" s="14" t="str">
        <f ca="1">INDEX(water_names,A9,1)</f>
        <v>High Qual GW</v>
      </c>
      <c r="Z9" s="14" t="b">
        <f t="array" ref="Z9">AND((C9:X9=inp_used),A9=inp_used_usersel)</f>
        <v>0</v>
      </c>
      <c r="AA9" s="14" t="b">
        <f t="array" ref="AA9">AND((C9:F9=inp_used_minimal),A9=inp_used_usersel)</f>
        <v>0</v>
      </c>
      <c r="AB9" s="14" t="b">
        <f t="shared" ref="AB9:AC16" si="0">CHOOSE(water_index,Z9,Z17,Z25,Z33,Z41,Z49,Z57,Z65,Z73,Z81)</f>
        <v>0</v>
      </c>
      <c r="AC9" s="14" t="b">
        <f t="shared" si="0"/>
        <v>0</v>
      </c>
    </row>
    <row r="10" spans="1:31" s="14" customFormat="1">
      <c r="A10" s="823">
        <v>1</v>
      </c>
      <c r="B10" s="647">
        <v>2</v>
      </c>
      <c r="C10" s="823">
        <v>0.124</v>
      </c>
      <c r="D10" s="647" t="s">
        <v>1093</v>
      </c>
      <c r="E10" s="647">
        <v>3.5000000000000003E-2</v>
      </c>
      <c r="F10" s="647" t="s">
        <v>1093</v>
      </c>
      <c r="G10" s="647">
        <v>15</v>
      </c>
      <c r="H10" s="826" t="s">
        <v>3270</v>
      </c>
      <c r="I10" s="823" t="s">
        <v>5195</v>
      </c>
      <c r="J10" s="647"/>
      <c r="K10" s="824">
        <v>0.75</v>
      </c>
      <c r="L10" s="832">
        <v>19</v>
      </c>
      <c r="M10" s="823" t="s">
        <v>810</v>
      </c>
      <c r="N10" s="825">
        <v>6.8</v>
      </c>
      <c r="O10" s="832" t="s">
        <v>4230</v>
      </c>
      <c r="P10" s="837"/>
      <c r="Q10" s="823" t="s">
        <v>2397</v>
      </c>
      <c r="R10" s="647" t="s">
        <v>949</v>
      </c>
      <c r="S10" s="826" t="s">
        <v>5131</v>
      </c>
      <c r="T10" s="647" t="s">
        <v>3599</v>
      </c>
      <c r="U10" s="826"/>
      <c r="V10" s="1071"/>
      <c r="W10" s="647"/>
      <c r="X10" s="826"/>
      <c r="Z10" s="14" t="b">
        <f t="array" ref="Z10">AND((C10:X10=inp_used),A10=inp_used_usersel)</f>
        <v>0</v>
      </c>
      <c r="AA10" s="14" t="b">
        <f t="array" ref="AA10">AND((C10:F10=inp_used_minimal),A10=inp_used_usersel)</f>
        <v>0</v>
      </c>
      <c r="AB10" s="14" t="b">
        <f t="shared" si="0"/>
        <v>0</v>
      </c>
      <c r="AC10" s="14" t="b">
        <f t="shared" si="0"/>
        <v>0</v>
      </c>
    </row>
    <row r="11" spans="1:31" s="14" customFormat="1">
      <c r="A11" s="823">
        <v>1</v>
      </c>
      <c r="B11" s="647">
        <v>3</v>
      </c>
      <c r="C11" s="823">
        <v>0.30499999999999999</v>
      </c>
      <c r="D11" s="647" t="s">
        <v>1093</v>
      </c>
      <c r="E11" s="647">
        <v>9.4E-2</v>
      </c>
      <c r="F11" s="647" t="s">
        <v>1093</v>
      </c>
      <c r="G11" s="647">
        <v>15</v>
      </c>
      <c r="H11" s="826" t="s">
        <v>3270</v>
      </c>
      <c r="I11" s="823" t="s">
        <v>5195</v>
      </c>
      <c r="J11" s="647"/>
      <c r="K11" s="824">
        <v>0.75</v>
      </c>
      <c r="L11" s="832">
        <v>19</v>
      </c>
      <c r="M11" s="823" t="s">
        <v>810</v>
      </c>
      <c r="N11" s="825">
        <v>6.8</v>
      </c>
      <c r="O11" s="832" t="s">
        <v>4230</v>
      </c>
      <c r="P11" s="837"/>
      <c r="Q11" s="823" t="s">
        <v>2397</v>
      </c>
      <c r="R11" s="647" t="s">
        <v>949</v>
      </c>
      <c r="S11" s="826" t="s">
        <v>5131</v>
      </c>
      <c r="T11" s="647" t="s">
        <v>3599</v>
      </c>
      <c r="U11" s="826"/>
      <c r="V11" s="1071"/>
      <c r="W11" s="647"/>
      <c r="X11" s="826"/>
      <c r="Z11" s="14" t="b">
        <f t="array" ref="Z11">AND((C11:X11=inp_used),A11=inp_used_usersel)</f>
        <v>0</v>
      </c>
      <c r="AA11" s="14" t="b">
        <f t="array" ref="AA11">AND((C11:F11=inp_used_minimal),A11=inp_used_usersel)</f>
        <v>0</v>
      </c>
      <c r="AB11" s="14" t="b">
        <f t="shared" si="0"/>
        <v>0</v>
      </c>
      <c r="AC11" s="14" t="b">
        <f t="shared" si="0"/>
        <v>0</v>
      </c>
    </row>
    <row r="12" spans="1:31" s="14" customFormat="1">
      <c r="A12" s="823">
        <v>1</v>
      </c>
      <c r="B12" s="647">
        <v>4</v>
      </c>
      <c r="C12" s="823">
        <v>0.74</v>
      </c>
      <c r="D12" s="647" t="s">
        <v>1093</v>
      </c>
      <c r="E12" s="647">
        <v>0.251</v>
      </c>
      <c r="F12" s="647" t="s">
        <v>1093</v>
      </c>
      <c r="G12" s="647">
        <v>15</v>
      </c>
      <c r="H12" s="826" t="s">
        <v>3270</v>
      </c>
      <c r="I12" s="823" t="s">
        <v>5195</v>
      </c>
      <c r="J12" s="647"/>
      <c r="K12" s="824">
        <v>0.8</v>
      </c>
      <c r="L12" s="832">
        <v>19</v>
      </c>
      <c r="M12" s="823" t="s">
        <v>810</v>
      </c>
      <c r="N12" s="825">
        <v>6.9</v>
      </c>
      <c r="O12" s="832" t="s">
        <v>4230</v>
      </c>
      <c r="P12" s="837"/>
      <c r="Q12" s="823" t="s">
        <v>2397</v>
      </c>
      <c r="R12" s="647" t="s">
        <v>949</v>
      </c>
      <c r="S12" s="826" t="s">
        <v>5131</v>
      </c>
      <c r="T12" s="647" t="s">
        <v>3599</v>
      </c>
      <c r="U12" s="826"/>
      <c r="V12" s="1071"/>
      <c r="W12" s="647"/>
      <c r="X12" s="826"/>
      <c r="Z12" s="14" t="b">
        <f t="array" ref="Z12">AND((C12:X12=inp_used),A12=inp_used_usersel)</f>
        <v>0</v>
      </c>
      <c r="AA12" s="14" t="b">
        <f t="array" ref="AA12">AND((C12:F12=inp_used_minimal),A12=inp_used_usersel)</f>
        <v>0</v>
      </c>
      <c r="AB12" s="14" t="b">
        <f t="shared" si="0"/>
        <v>0</v>
      </c>
      <c r="AC12" s="14" t="b">
        <f t="shared" si="0"/>
        <v>0</v>
      </c>
    </row>
    <row r="13" spans="1:31" s="14" customFormat="1">
      <c r="A13" s="823">
        <v>1</v>
      </c>
      <c r="B13" s="647">
        <v>5</v>
      </c>
      <c r="C13" s="823">
        <v>2.1520000000000001</v>
      </c>
      <c r="D13" s="647" t="s">
        <v>1093</v>
      </c>
      <c r="E13" s="647">
        <v>0.81899999999999995</v>
      </c>
      <c r="F13" s="647" t="s">
        <v>1093</v>
      </c>
      <c r="G13" s="647">
        <v>15</v>
      </c>
      <c r="H13" s="826" t="s">
        <v>3269</v>
      </c>
      <c r="I13" s="823" t="s">
        <v>5195</v>
      </c>
      <c r="J13" s="647"/>
      <c r="K13" s="824">
        <v>0.8</v>
      </c>
      <c r="L13" s="832">
        <v>19</v>
      </c>
      <c r="M13" s="823" t="s">
        <v>810</v>
      </c>
      <c r="N13" s="825">
        <v>6.9</v>
      </c>
      <c r="O13" s="832" t="s">
        <v>4230</v>
      </c>
      <c r="P13" s="837"/>
      <c r="Q13" s="823" t="s">
        <v>2397</v>
      </c>
      <c r="R13" s="647" t="s">
        <v>949</v>
      </c>
      <c r="S13" s="826" t="s">
        <v>5131</v>
      </c>
      <c r="T13" s="647" t="s">
        <v>3599</v>
      </c>
      <c r="U13" s="826"/>
      <c r="V13" s="1071"/>
      <c r="W13" s="647"/>
      <c r="X13" s="826"/>
      <c r="Z13" s="14" t="b">
        <f t="array" ref="Z13">AND((C13:X13=inp_used),A13=inp_used_usersel)</f>
        <v>0</v>
      </c>
      <c r="AA13" s="14" t="b">
        <f t="array" ref="AA13">AND((C13:F13=inp_used_minimal),A13=inp_used_usersel)</f>
        <v>0</v>
      </c>
      <c r="AB13" s="14" t="b">
        <f t="shared" si="0"/>
        <v>0</v>
      </c>
      <c r="AC13" s="14" t="b">
        <f t="shared" si="0"/>
        <v>0</v>
      </c>
    </row>
    <row r="14" spans="1:31" s="14" customFormat="1">
      <c r="A14" s="823">
        <v>1</v>
      </c>
      <c r="B14" s="647">
        <v>6</v>
      </c>
      <c r="C14" s="823">
        <v>7.3650000000000002</v>
      </c>
      <c r="D14" s="647" t="s">
        <v>1093</v>
      </c>
      <c r="E14" s="647">
        <v>3.2</v>
      </c>
      <c r="F14" s="647" t="s">
        <v>1093</v>
      </c>
      <c r="G14" s="647">
        <v>15</v>
      </c>
      <c r="H14" s="826" t="s">
        <v>3269</v>
      </c>
      <c r="I14" s="823" t="s">
        <v>5195</v>
      </c>
      <c r="J14" s="647"/>
      <c r="K14" s="824">
        <v>0.8</v>
      </c>
      <c r="L14" s="832">
        <v>19</v>
      </c>
      <c r="M14" s="823" t="s">
        <v>810</v>
      </c>
      <c r="N14" s="825">
        <v>6.9</v>
      </c>
      <c r="O14" s="832" t="s">
        <v>4230</v>
      </c>
      <c r="P14" s="837"/>
      <c r="Q14" s="823" t="s">
        <v>2397</v>
      </c>
      <c r="R14" s="647" t="s">
        <v>949</v>
      </c>
      <c r="S14" s="826" t="s">
        <v>5131</v>
      </c>
      <c r="T14" s="647" t="s">
        <v>3599</v>
      </c>
      <c r="U14" s="826"/>
      <c r="V14" s="1071"/>
      <c r="W14" s="647"/>
      <c r="X14" s="826"/>
      <c r="Z14" s="14" t="b">
        <f t="array" ref="Z14">AND((C14:X14=inp_used),A14=inp_used_usersel)</f>
        <v>0</v>
      </c>
      <c r="AA14" s="14" t="b">
        <f t="array" ref="AA14">AND((C14:F14=inp_used_minimal),A14=inp_used_usersel)</f>
        <v>0</v>
      </c>
      <c r="AB14" s="14" t="b">
        <f t="shared" si="0"/>
        <v>0</v>
      </c>
      <c r="AC14" s="14" t="b">
        <f t="shared" si="0"/>
        <v>0</v>
      </c>
    </row>
    <row r="15" spans="1:31" s="14" customFormat="1">
      <c r="A15" s="823">
        <v>1</v>
      </c>
      <c r="B15" s="647">
        <v>7</v>
      </c>
      <c r="C15" s="823">
        <v>22.614000000000001</v>
      </c>
      <c r="D15" s="647" t="s">
        <v>1093</v>
      </c>
      <c r="E15" s="647">
        <v>11.066000000000001</v>
      </c>
      <c r="F15" s="647" t="s">
        <v>1093</v>
      </c>
      <c r="G15" s="647">
        <v>15</v>
      </c>
      <c r="H15" s="826" t="s">
        <v>3269</v>
      </c>
      <c r="I15" s="823" t="s">
        <v>5195</v>
      </c>
      <c r="J15" s="647"/>
      <c r="K15" s="824">
        <v>0.8</v>
      </c>
      <c r="L15" s="832">
        <v>19</v>
      </c>
      <c r="M15" s="823" t="s">
        <v>810</v>
      </c>
      <c r="N15" s="825">
        <v>6.9</v>
      </c>
      <c r="O15" s="832" t="s">
        <v>4230</v>
      </c>
      <c r="P15" s="837"/>
      <c r="Q15" s="823" t="s">
        <v>2397</v>
      </c>
      <c r="R15" s="647" t="s">
        <v>949</v>
      </c>
      <c r="S15" s="826" t="s">
        <v>5131</v>
      </c>
      <c r="T15" s="647" t="s">
        <v>3599</v>
      </c>
      <c r="U15" s="826"/>
      <c r="V15" s="1071"/>
      <c r="W15" s="647"/>
      <c r="X15" s="826"/>
      <c r="Z15" s="14" t="b">
        <f t="array" ref="Z15">AND((C15:X15=inp_used),A15=inp_used_usersel)</f>
        <v>0</v>
      </c>
      <c r="AA15" s="14" t="b">
        <f t="array" ref="AA15">AND((C15:F15=inp_used_minimal),A15=inp_used_usersel)</f>
        <v>0</v>
      </c>
      <c r="AB15" s="14" t="b">
        <f t="shared" si="0"/>
        <v>0</v>
      </c>
      <c r="AC15" s="14" t="b">
        <f t="shared" si="0"/>
        <v>0</v>
      </c>
    </row>
    <row r="16" spans="1:31" s="14" customFormat="1">
      <c r="A16" s="828">
        <v>1</v>
      </c>
      <c r="B16" s="292">
        <v>8</v>
      </c>
      <c r="C16" s="828">
        <v>75.072000000000003</v>
      </c>
      <c r="D16" s="292" t="s">
        <v>1093</v>
      </c>
      <c r="E16" s="292">
        <v>37.536000000000001</v>
      </c>
      <c r="F16" s="292" t="s">
        <v>1093</v>
      </c>
      <c r="G16" s="292">
        <v>15</v>
      </c>
      <c r="H16" s="831" t="s">
        <v>3269</v>
      </c>
      <c r="I16" s="828" t="s">
        <v>5195</v>
      </c>
      <c r="J16" s="292"/>
      <c r="K16" s="829">
        <v>0.8</v>
      </c>
      <c r="L16" s="833">
        <v>19</v>
      </c>
      <c r="M16" s="828" t="s">
        <v>810</v>
      </c>
      <c r="N16" s="840">
        <v>6.9</v>
      </c>
      <c r="O16" s="833" t="s">
        <v>4230</v>
      </c>
      <c r="P16" s="838"/>
      <c r="Q16" s="828" t="s">
        <v>2397</v>
      </c>
      <c r="R16" s="292" t="s">
        <v>949</v>
      </c>
      <c r="S16" s="831" t="s">
        <v>5131</v>
      </c>
      <c r="T16" s="292" t="s">
        <v>3599</v>
      </c>
      <c r="U16" s="831"/>
      <c r="V16" s="1072"/>
      <c r="W16" s="292"/>
      <c r="X16" s="831"/>
      <c r="Z16" s="14" t="b">
        <f t="array" ref="Z16">AND((C16:X16=inp_used),A16=inp_used_usersel)</f>
        <v>0</v>
      </c>
      <c r="AA16" s="14" t="b">
        <f t="array" ref="AA16">AND((C16:F16=inp_used_minimal),A16=inp_used_usersel)</f>
        <v>0</v>
      </c>
      <c r="AB16" s="14" t="b">
        <f t="shared" si="0"/>
        <v>0</v>
      </c>
      <c r="AC16" s="14" t="b">
        <f t="shared" si="0"/>
        <v>0</v>
      </c>
    </row>
    <row r="17" spans="1:27" s="14" customFormat="1">
      <c r="A17" s="823">
        <v>2</v>
      </c>
      <c r="B17" s="647">
        <v>1</v>
      </c>
      <c r="C17" s="823">
        <v>0.03</v>
      </c>
      <c r="D17" s="647" t="s">
        <v>1093</v>
      </c>
      <c r="E17" s="647">
        <v>7.0000000000000001E-3</v>
      </c>
      <c r="F17" s="647" t="s">
        <v>1093</v>
      </c>
      <c r="G17" s="647">
        <v>15</v>
      </c>
      <c r="H17" s="826" t="s">
        <v>3270</v>
      </c>
      <c r="I17" s="823" t="s">
        <v>5194</v>
      </c>
      <c r="J17" s="647"/>
      <c r="K17" s="824">
        <v>0.7</v>
      </c>
      <c r="L17" s="826">
        <v>17</v>
      </c>
      <c r="M17" s="823" t="s">
        <v>810</v>
      </c>
      <c r="N17" s="827">
        <v>6.6</v>
      </c>
      <c r="O17" s="832" t="s">
        <v>4229</v>
      </c>
      <c r="P17" s="837"/>
      <c r="Q17" s="823" t="s">
        <v>2397</v>
      </c>
      <c r="R17" s="647" t="s">
        <v>949</v>
      </c>
      <c r="S17" s="826" t="s">
        <v>5131</v>
      </c>
      <c r="T17" s="647" t="s">
        <v>3600</v>
      </c>
      <c r="U17" s="826"/>
      <c r="V17" s="936"/>
      <c r="W17" s="1073"/>
      <c r="X17" s="937"/>
      <c r="Y17" s="14" t="str">
        <f ca="1">INDEX(water_names,A17,1)</f>
        <v>Mid Qual GW</v>
      </c>
      <c r="Z17" s="14" t="b">
        <f t="array" ref="Z17">AND((C17:X17=inp_used),A17=inp_used_usersel)</f>
        <v>0</v>
      </c>
      <c r="AA17" s="14" t="b">
        <f t="array" ref="AA17">AND((C17:F17=inp_used_minimal),A17=inp_used_usersel)</f>
        <v>0</v>
      </c>
    </row>
    <row r="18" spans="1:27" s="14" customFormat="1">
      <c r="A18" s="823">
        <v>2</v>
      </c>
      <c r="B18" s="647">
        <v>2</v>
      </c>
      <c r="C18" s="823">
        <v>0.124</v>
      </c>
      <c r="D18" s="647" t="s">
        <v>1093</v>
      </c>
      <c r="E18" s="647">
        <v>3.5000000000000003E-2</v>
      </c>
      <c r="F18" s="647" t="s">
        <v>1093</v>
      </c>
      <c r="G18" s="647">
        <v>15</v>
      </c>
      <c r="H18" s="826" t="s">
        <v>3270</v>
      </c>
      <c r="I18" s="823" t="s">
        <v>5195</v>
      </c>
      <c r="J18" s="647"/>
      <c r="K18" s="824">
        <v>0.75</v>
      </c>
      <c r="L18" s="826">
        <v>17</v>
      </c>
      <c r="M18" s="823" t="s">
        <v>810</v>
      </c>
      <c r="N18" s="827">
        <v>6.6</v>
      </c>
      <c r="O18" s="832" t="s">
        <v>4229</v>
      </c>
      <c r="P18" s="837"/>
      <c r="Q18" s="823" t="s">
        <v>2397</v>
      </c>
      <c r="R18" s="647" t="s">
        <v>949</v>
      </c>
      <c r="S18" s="826" t="s">
        <v>5131</v>
      </c>
      <c r="T18" s="647" t="s">
        <v>3600</v>
      </c>
      <c r="U18" s="826"/>
      <c r="V18" s="1071"/>
      <c r="W18" s="647"/>
      <c r="X18" s="826"/>
      <c r="Z18" s="14" t="b">
        <f t="array" ref="Z18">AND((C18:X18=inp_used),A18=inp_used_usersel)</f>
        <v>0</v>
      </c>
      <c r="AA18" s="14" t="b">
        <f t="array" ref="AA18">AND((C18:F18=inp_used_minimal),A18=inp_used_usersel)</f>
        <v>0</v>
      </c>
    </row>
    <row r="19" spans="1:27" s="14" customFormat="1">
      <c r="A19" s="823">
        <v>2</v>
      </c>
      <c r="B19" s="647">
        <v>3</v>
      </c>
      <c r="C19" s="823">
        <v>0.30499999999999999</v>
      </c>
      <c r="D19" s="647" t="s">
        <v>1093</v>
      </c>
      <c r="E19" s="647">
        <v>9.4E-2</v>
      </c>
      <c r="F19" s="647" t="s">
        <v>1093</v>
      </c>
      <c r="G19" s="647">
        <v>15</v>
      </c>
      <c r="H19" s="826" t="s">
        <v>3270</v>
      </c>
      <c r="I19" s="823" t="s">
        <v>5195</v>
      </c>
      <c r="J19" s="647"/>
      <c r="K19" s="824">
        <v>0.75</v>
      </c>
      <c r="L19" s="826">
        <v>17</v>
      </c>
      <c r="M19" s="823" t="s">
        <v>810</v>
      </c>
      <c r="N19" s="827">
        <v>6.6</v>
      </c>
      <c r="O19" s="832" t="s">
        <v>4229</v>
      </c>
      <c r="P19" s="837"/>
      <c r="Q19" s="823" t="s">
        <v>2397</v>
      </c>
      <c r="R19" s="647" t="s">
        <v>949</v>
      </c>
      <c r="S19" s="826" t="s">
        <v>5131</v>
      </c>
      <c r="T19" s="647" t="s">
        <v>3600</v>
      </c>
      <c r="U19" s="826"/>
      <c r="V19" s="1071"/>
      <c r="W19" s="647"/>
      <c r="X19" s="826"/>
      <c r="Z19" s="14" t="b">
        <f t="array" ref="Z19">AND((C19:X19=inp_used),A19=inp_used_usersel)</f>
        <v>0</v>
      </c>
      <c r="AA19" s="14" t="b">
        <f t="array" ref="AA19">AND((C19:F19=inp_used_minimal),A19=inp_used_usersel)</f>
        <v>0</v>
      </c>
    </row>
    <row r="20" spans="1:27" s="14" customFormat="1">
      <c r="A20" s="823">
        <v>2</v>
      </c>
      <c r="B20" s="647">
        <v>4</v>
      </c>
      <c r="C20" s="823">
        <v>0.74</v>
      </c>
      <c r="D20" s="647" t="s">
        <v>1093</v>
      </c>
      <c r="E20" s="647">
        <v>0.251</v>
      </c>
      <c r="F20" s="647" t="s">
        <v>1093</v>
      </c>
      <c r="G20" s="647">
        <v>15</v>
      </c>
      <c r="H20" s="826" t="s">
        <v>3270</v>
      </c>
      <c r="I20" s="823" t="s">
        <v>5195</v>
      </c>
      <c r="J20" s="647"/>
      <c r="K20" s="824">
        <v>0.8</v>
      </c>
      <c r="L20" s="826">
        <v>17</v>
      </c>
      <c r="M20" s="823" t="s">
        <v>810</v>
      </c>
      <c r="N20" s="827">
        <v>6.6</v>
      </c>
      <c r="O20" s="832" t="s">
        <v>4229</v>
      </c>
      <c r="P20" s="837"/>
      <c r="Q20" s="823" t="s">
        <v>2397</v>
      </c>
      <c r="R20" s="647" t="s">
        <v>949</v>
      </c>
      <c r="S20" s="826" t="s">
        <v>5131</v>
      </c>
      <c r="T20" s="647" t="s">
        <v>3600</v>
      </c>
      <c r="U20" s="826"/>
      <c r="V20" s="1071"/>
      <c r="W20" s="647"/>
      <c r="X20" s="826"/>
      <c r="Z20" s="14" t="b">
        <f t="array" ref="Z20">AND((C20:X20=inp_used),A20=inp_used_usersel)</f>
        <v>0</v>
      </c>
      <c r="AA20" s="14" t="b">
        <f t="array" ref="AA20">AND((C20:F20=inp_used_minimal),A20=inp_used_usersel)</f>
        <v>0</v>
      </c>
    </row>
    <row r="21" spans="1:27" s="14" customFormat="1">
      <c r="A21" s="823">
        <v>2</v>
      </c>
      <c r="B21" s="647">
        <v>5</v>
      </c>
      <c r="C21" s="823">
        <v>2.1520000000000001</v>
      </c>
      <c r="D21" s="647" t="s">
        <v>1093</v>
      </c>
      <c r="E21" s="647">
        <v>0.81899999999999995</v>
      </c>
      <c r="F21" s="647" t="s">
        <v>1093</v>
      </c>
      <c r="G21" s="647">
        <v>15</v>
      </c>
      <c r="H21" s="826" t="s">
        <v>3269</v>
      </c>
      <c r="I21" s="823" t="s">
        <v>5195</v>
      </c>
      <c r="J21" s="647"/>
      <c r="K21" s="824">
        <v>0.8</v>
      </c>
      <c r="L21" s="826">
        <v>17</v>
      </c>
      <c r="M21" s="823" t="s">
        <v>810</v>
      </c>
      <c r="N21" s="827">
        <v>6.6</v>
      </c>
      <c r="O21" s="832" t="s">
        <v>4229</v>
      </c>
      <c r="P21" s="837"/>
      <c r="Q21" s="823" t="s">
        <v>2397</v>
      </c>
      <c r="R21" s="647" t="s">
        <v>949</v>
      </c>
      <c r="S21" s="826" t="s">
        <v>5131</v>
      </c>
      <c r="T21" s="647" t="s">
        <v>3600</v>
      </c>
      <c r="U21" s="826"/>
      <c r="V21" s="1071"/>
      <c r="W21" s="647"/>
      <c r="X21" s="826"/>
      <c r="Z21" s="14" t="b">
        <f t="array" ref="Z21">AND((C21:X21=inp_used),A21=inp_used_usersel)</f>
        <v>0</v>
      </c>
      <c r="AA21" s="14" t="b">
        <f t="array" ref="AA21">AND((C21:F21=inp_used_minimal),A21=inp_used_usersel)</f>
        <v>0</v>
      </c>
    </row>
    <row r="22" spans="1:27" s="14" customFormat="1">
      <c r="A22" s="823">
        <v>2</v>
      </c>
      <c r="B22" s="647">
        <v>6</v>
      </c>
      <c r="C22" s="823">
        <v>7.3650000000000002</v>
      </c>
      <c r="D22" s="647" t="s">
        <v>1093</v>
      </c>
      <c r="E22" s="647">
        <v>3.2</v>
      </c>
      <c r="F22" s="647" t="s">
        <v>1093</v>
      </c>
      <c r="G22" s="647">
        <v>15</v>
      </c>
      <c r="H22" s="826" t="s">
        <v>3269</v>
      </c>
      <c r="I22" s="823" t="s">
        <v>5195</v>
      </c>
      <c r="J22" s="647"/>
      <c r="K22" s="824">
        <v>0.8</v>
      </c>
      <c r="L22" s="826">
        <v>17</v>
      </c>
      <c r="M22" s="823" t="s">
        <v>810</v>
      </c>
      <c r="N22" s="827">
        <v>6.6</v>
      </c>
      <c r="O22" s="832" t="s">
        <v>4229</v>
      </c>
      <c r="P22" s="837"/>
      <c r="Q22" s="823" t="s">
        <v>2397</v>
      </c>
      <c r="R22" s="647" t="s">
        <v>949</v>
      </c>
      <c r="S22" s="826" t="s">
        <v>5131</v>
      </c>
      <c r="T22" s="647" t="s">
        <v>3600</v>
      </c>
      <c r="U22" s="826"/>
      <c r="V22" s="1071"/>
      <c r="W22" s="647"/>
      <c r="X22" s="826"/>
      <c r="Z22" s="14" t="b">
        <f t="array" ref="Z22">AND((C22:X22=inp_used),A22=inp_used_usersel)</f>
        <v>0</v>
      </c>
      <c r="AA22" s="14" t="b">
        <f t="array" ref="AA22">AND((C22:F22=inp_used_minimal),A22=inp_used_usersel)</f>
        <v>0</v>
      </c>
    </row>
    <row r="23" spans="1:27" s="14" customFormat="1">
      <c r="A23" s="823">
        <v>2</v>
      </c>
      <c r="B23" s="647">
        <v>7</v>
      </c>
      <c r="C23" s="823">
        <v>22.614000000000001</v>
      </c>
      <c r="D23" s="647" t="s">
        <v>1093</v>
      </c>
      <c r="E23" s="647">
        <v>11.066000000000001</v>
      </c>
      <c r="F23" s="647" t="s">
        <v>1093</v>
      </c>
      <c r="G23" s="647">
        <v>15</v>
      </c>
      <c r="H23" s="826" t="s">
        <v>3269</v>
      </c>
      <c r="I23" s="823" t="s">
        <v>5195</v>
      </c>
      <c r="J23" s="647"/>
      <c r="K23" s="824">
        <v>0.8</v>
      </c>
      <c r="L23" s="826">
        <v>17</v>
      </c>
      <c r="M23" s="823" t="s">
        <v>810</v>
      </c>
      <c r="N23" s="827">
        <v>6.6</v>
      </c>
      <c r="O23" s="832" t="s">
        <v>4229</v>
      </c>
      <c r="P23" s="837"/>
      <c r="Q23" s="823" t="s">
        <v>2397</v>
      </c>
      <c r="R23" s="647" t="s">
        <v>949</v>
      </c>
      <c r="S23" s="826" t="s">
        <v>5131</v>
      </c>
      <c r="T23" s="647" t="s">
        <v>3600</v>
      </c>
      <c r="U23" s="826"/>
      <c r="V23" s="1071"/>
      <c r="W23" s="647"/>
      <c r="X23" s="826"/>
      <c r="Z23" s="14" t="b">
        <f t="array" ref="Z23">AND((C23:X23=inp_used),A23=inp_used_usersel)</f>
        <v>0</v>
      </c>
      <c r="AA23" s="14" t="b">
        <f t="array" ref="AA23">AND((C23:F23=inp_used_minimal),A23=inp_used_usersel)</f>
        <v>0</v>
      </c>
    </row>
    <row r="24" spans="1:27" s="14" customFormat="1">
      <c r="A24" s="828">
        <v>2</v>
      </c>
      <c r="B24" s="292">
        <v>8</v>
      </c>
      <c r="C24" s="828">
        <v>75.072000000000003</v>
      </c>
      <c r="D24" s="292" t="s">
        <v>1093</v>
      </c>
      <c r="E24" s="292">
        <v>37.536000000000001</v>
      </c>
      <c r="F24" s="292" t="s">
        <v>1093</v>
      </c>
      <c r="G24" s="292">
        <v>15</v>
      </c>
      <c r="H24" s="831" t="s">
        <v>3269</v>
      </c>
      <c r="I24" s="828" t="s">
        <v>5195</v>
      </c>
      <c r="J24" s="292"/>
      <c r="K24" s="829">
        <v>0.8</v>
      </c>
      <c r="L24" s="831">
        <v>17</v>
      </c>
      <c r="M24" s="828" t="s">
        <v>810</v>
      </c>
      <c r="N24" s="830">
        <v>6.6</v>
      </c>
      <c r="O24" s="833" t="s">
        <v>4229</v>
      </c>
      <c r="P24" s="838"/>
      <c r="Q24" s="828" t="s">
        <v>2397</v>
      </c>
      <c r="R24" s="292" t="s">
        <v>949</v>
      </c>
      <c r="S24" s="831" t="s">
        <v>5131</v>
      </c>
      <c r="T24" s="292" t="s">
        <v>3600</v>
      </c>
      <c r="U24" s="831"/>
      <c r="V24" s="1072"/>
      <c r="W24" s="292"/>
      <c r="X24" s="831"/>
      <c r="Z24" s="14" t="b">
        <f t="array" ref="Z24">AND((C24:X24=inp_used),A24=inp_used_usersel)</f>
        <v>0</v>
      </c>
      <c r="AA24" s="14" t="b">
        <f t="array" ref="AA24">AND((C24:F24=inp_used_minimal),A24=inp_used_usersel)</f>
        <v>0</v>
      </c>
    </row>
    <row r="25" spans="1:27" s="14" customFormat="1">
      <c r="A25" s="823">
        <v>3</v>
      </c>
      <c r="B25" s="647">
        <v>1</v>
      </c>
      <c r="C25" s="823">
        <v>0.03</v>
      </c>
      <c r="D25" s="647" t="s">
        <v>1093</v>
      </c>
      <c r="E25" s="647">
        <v>7.0000000000000001E-3</v>
      </c>
      <c r="F25" s="647" t="s">
        <v>1093</v>
      </c>
      <c r="G25" s="647">
        <v>15</v>
      </c>
      <c r="H25" s="826" t="s">
        <v>3270</v>
      </c>
      <c r="I25" s="823" t="s">
        <v>5196</v>
      </c>
      <c r="J25" s="647"/>
      <c r="K25" s="824">
        <v>0.7</v>
      </c>
      <c r="L25" s="826">
        <v>16</v>
      </c>
      <c r="M25" s="823" t="s">
        <v>810</v>
      </c>
      <c r="N25" s="827">
        <v>6.5</v>
      </c>
      <c r="O25" s="832" t="s">
        <v>4229</v>
      </c>
      <c r="P25" s="837"/>
      <c r="Q25" s="823" t="s">
        <v>2397</v>
      </c>
      <c r="R25" s="647" t="s">
        <v>949</v>
      </c>
      <c r="S25" s="826" t="s">
        <v>5131</v>
      </c>
      <c r="T25" s="647" t="s">
        <v>3601</v>
      </c>
      <c r="U25" s="826"/>
      <c r="V25" s="936"/>
      <c r="W25" s="1073"/>
      <c r="X25" s="937"/>
      <c r="Y25" s="14" t="str">
        <f ca="1">INDEX(water_names,A25,1)</f>
        <v>Low Qual GW</v>
      </c>
      <c r="Z25" s="14" t="b">
        <f t="array" ref="Z25">AND((C25:X25=inp_used),A25=inp_used_usersel)</f>
        <v>0</v>
      </c>
      <c r="AA25" s="14" t="b">
        <f t="array" ref="AA25">AND((C25:F25=inp_used_minimal),A25=inp_used_usersel)</f>
        <v>0</v>
      </c>
    </row>
    <row r="26" spans="1:27" s="14" customFormat="1">
      <c r="A26" s="823">
        <v>3</v>
      </c>
      <c r="B26" s="647">
        <v>2</v>
      </c>
      <c r="C26" s="823">
        <v>0.124</v>
      </c>
      <c r="D26" s="647" t="s">
        <v>1093</v>
      </c>
      <c r="E26" s="647">
        <v>3.5000000000000003E-2</v>
      </c>
      <c r="F26" s="647" t="s">
        <v>1093</v>
      </c>
      <c r="G26" s="647">
        <v>15</v>
      </c>
      <c r="H26" s="826" t="s">
        <v>3270</v>
      </c>
      <c r="I26" s="823" t="s">
        <v>5197</v>
      </c>
      <c r="J26" s="647"/>
      <c r="K26" s="824">
        <v>0.65</v>
      </c>
      <c r="L26" s="826">
        <v>16</v>
      </c>
      <c r="M26" s="823" t="s">
        <v>810</v>
      </c>
      <c r="N26" s="827">
        <v>6.5</v>
      </c>
      <c r="O26" s="832" t="s">
        <v>4229</v>
      </c>
      <c r="P26" s="837"/>
      <c r="Q26" s="823" t="s">
        <v>2397</v>
      </c>
      <c r="R26" s="647" t="s">
        <v>949</v>
      </c>
      <c r="S26" s="826" t="s">
        <v>5131</v>
      </c>
      <c r="T26" s="647" t="s">
        <v>3601</v>
      </c>
      <c r="U26" s="826"/>
      <c r="V26" s="1071"/>
      <c r="W26" s="647"/>
      <c r="X26" s="826"/>
      <c r="Z26" s="14" t="b">
        <f t="array" ref="Z26">AND((C26:X26=inp_used),A26=inp_used_usersel)</f>
        <v>0</v>
      </c>
      <c r="AA26" s="14" t="b">
        <f t="array" ref="AA26">AND((C26:F26=inp_used_minimal),A26=inp_used_usersel)</f>
        <v>0</v>
      </c>
    </row>
    <row r="27" spans="1:27" s="14" customFormat="1">
      <c r="A27" s="823">
        <v>3</v>
      </c>
      <c r="B27" s="647">
        <v>3</v>
      </c>
      <c r="C27" s="823">
        <v>0.30499999999999999</v>
      </c>
      <c r="D27" s="647" t="s">
        <v>1093</v>
      </c>
      <c r="E27" s="647">
        <v>9.4E-2</v>
      </c>
      <c r="F27" s="647" t="s">
        <v>1093</v>
      </c>
      <c r="G27" s="647">
        <v>15</v>
      </c>
      <c r="H27" s="826" t="s">
        <v>3270</v>
      </c>
      <c r="I27" s="823" t="s">
        <v>5197</v>
      </c>
      <c r="J27" s="647"/>
      <c r="K27" s="824">
        <v>0.73</v>
      </c>
      <c r="L27" s="826">
        <v>16</v>
      </c>
      <c r="M27" s="823" t="s">
        <v>810</v>
      </c>
      <c r="N27" s="827">
        <v>6.5</v>
      </c>
      <c r="O27" s="832" t="s">
        <v>4229</v>
      </c>
      <c r="P27" s="837"/>
      <c r="Q27" s="823" t="s">
        <v>2397</v>
      </c>
      <c r="R27" s="647" t="s">
        <v>949</v>
      </c>
      <c r="S27" s="826" t="s">
        <v>5131</v>
      </c>
      <c r="T27" s="647" t="s">
        <v>3601</v>
      </c>
      <c r="U27" s="826"/>
      <c r="V27" s="1071"/>
      <c r="W27" s="647"/>
      <c r="X27" s="826"/>
      <c r="Z27" s="14" t="b">
        <f t="array" ref="Z27">AND((C27:X27=inp_used),A27=inp_used_usersel)</f>
        <v>0</v>
      </c>
      <c r="AA27" s="14" t="b">
        <f t="array" ref="AA27">AND((C27:F27=inp_used_minimal),A27=inp_used_usersel)</f>
        <v>0</v>
      </c>
    </row>
    <row r="28" spans="1:27" s="14" customFormat="1">
      <c r="A28" s="823">
        <v>3</v>
      </c>
      <c r="B28" s="647">
        <v>4</v>
      </c>
      <c r="C28" s="823">
        <v>0.74</v>
      </c>
      <c r="D28" s="647" t="s">
        <v>1093</v>
      </c>
      <c r="E28" s="647">
        <v>0.251</v>
      </c>
      <c r="F28" s="647" t="s">
        <v>1093</v>
      </c>
      <c r="G28" s="647">
        <v>15</v>
      </c>
      <c r="H28" s="826" t="s">
        <v>3270</v>
      </c>
      <c r="I28" s="823" t="s">
        <v>5197</v>
      </c>
      <c r="J28" s="647"/>
      <c r="K28" s="824">
        <v>0.75</v>
      </c>
      <c r="L28" s="826">
        <v>16</v>
      </c>
      <c r="M28" s="823" t="s">
        <v>810</v>
      </c>
      <c r="N28" s="827">
        <v>6.5</v>
      </c>
      <c r="O28" s="832" t="s">
        <v>4229</v>
      </c>
      <c r="P28" s="837"/>
      <c r="Q28" s="823" t="s">
        <v>2397</v>
      </c>
      <c r="R28" s="647" t="s">
        <v>949</v>
      </c>
      <c r="S28" s="826" t="s">
        <v>5131</v>
      </c>
      <c r="T28" s="647" t="s">
        <v>3601</v>
      </c>
      <c r="U28" s="826"/>
      <c r="V28" s="1071"/>
      <c r="W28" s="647"/>
      <c r="X28" s="826"/>
      <c r="Z28" s="14" t="b">
        <f t="array" ref="Z28">AND((C28:X28=inp_used),A28=inp_used_usersel)</f>
        <v>0</v>
      </c>
      <c r="AA28" s="14" t="b">
        <f t="array" ref="AA28">AND((C28:F28=inp_used_minimal),A28=inp_used_usersel)</f>
        <v>0</v>
      </c>
    </row>
    <row r="29" spans="1:27" s="14" customFormat="1">
      <c r="A29" s="823">
        <v>3</v>
      </c>
      <c r="B29" s="647">
        <v>5</v>
      </c>
      <c r="C29" s="823">
        <v>2.1520000000000001</v>
      </c>
      <c r="D29" s="647" t="s">
        <v>1093</v>
      </c>
      <c r="E29" s="647">
        <v>0.81899999999999995</v>
      </c>
      <c r="F29" s="647" t="s">
        <v>1093</v>
      </c>
      <c r="G29" s="647">
        <v>15</v>
      </c>
      <c r="H29" s="826" t="s">
        <v>3269</v>
      </c>
      <c r="I29" s="823" t="s">
        <v>5197</v>
      </c>
      <c r="J29" s="647"/>
      <c r="K29" s="824">
        <v>0.75</v>
      </c>
      <c r="L29" s="826">
        <v>16</v>
      </c>
      <c r="M29" s="823" t="s">
        <v>810</v>
      </c>
      <c r="N29" s="827">
        <v>6.5</v>
      </c>
      <c r="O29" s="832" t="s">
        <v>4229</v>
      </c>
      <c r="P29" s="837"/>
      <c r="Q29" s="823" t="s">
        <v>2397</v>
      </c>
      <c r="R29" s="647" t="s">
        <v>949</v>
      </c>
      <c r="S29" s="826" t="s">
        <v>5131</v>
      </c>
      <c r="T29" s="647" t="s">
        <v>3601</v>
      </c>
      <c r="U29" s="826"/>
      <c r="V29" s="1071"/>
      <c r="W29" s="647"/>
      <c r="X29" s="826"/>
      <c r="Z29" s="14" t="b">
        <f t="array" ref="Z29">AND((C29:X29=inp_used),A29=inp_used_usersel)</f>
        <v>0</v>
      </c>
      <c r="AA29" s="14" t="b">
        <f t="array" ref="AA29">AND((C29:F29=inp_used_minimal),A29=inp_used_usersel)</f>
        <v>0</v>
      </c>
    </row>
    <row r="30" spans="1:27" s="14" customFormat="1">
      <c r="A30" s="823">
        <v>3</v>
      </c>
      <c r="B30" s="647">
        <v>6</v>
      </c>
      <c r="C30" s="823">
        <v>7.3650000000000002</v>
      </c>
      <c r="D30" s="647" t="s">
        <v>1093</v>
      </c>
      <c r="E30" s="647">
        <v>3.2</v>
      </c>
      <c r="F30" s="647" t="s">
        <v>1093</v>
      </c>
      <c r="G30" s="647">
        <v>15</v>
      </c>
      <c r="H30" s="826" t="s">
        <v>3269</v>
      </c>
      <c r="I30" s="823" t="s">
        <v>5197</v>
      </c>
      <c r="J30" s="647"/>
      <c r="K30" s="824">
        <v>0.75</v>
      </c>
      <c r="L30" s="826">
        <v>16</v>
      </c>
      <c r="M30" s="823" t="s">
        <v>810</v>
      </c>
      <c r="N30" s="827">
        <v>6.5</v>
      </c>
      <c r="O30" s="832" t="s">
        <v>4229</v>
      </c>
      <c r="P30" s="837"/>
      <c r="Q30" s="823" t="s">
        <v>2397</v>
      </c>
      <c r="R30" s="647" t="s">
        <v>949</v>
      </c>
      <c r="S30" s="826" t="s">
        <v>5131</v>
      </c>
      <c r="T30" s="647" t="s">
        <v>3601</v>
      </c>
      <c r="U30" s="826"/>
      <c r="V30" s="1071"/>
      <c r="W30" s="647"/>
      <c r="X30" s="826"/>
      <c r="Z30" s="14" t="b">
        <f t="array" ref="Z30">AND((C30:X30=inp_used),A30=inp_used_usersel)</f>
        <v>0</v>
      </c>
      <c r="AA30" s="14" t="b">
        <f t="array" ref="AA30">AND((C30:F30=inp_used_minimal),A30=inp_used_usersel)</f>
        <v>0</v>
      </c>
    </row>
    <row r="31" spans="1:27" s="14" customFormat="1">
      <c r="A31" s="823">
        <v>3</v>
      </c>
      <c r="B31" s="647">
        <v>7</v>
      </c>
      <c r="C31" s="823">
        <v>22.614000000000001</v>
      </c>
      <c r="D31" s="647" t="s">
        <v>1093</v>
      </c>
      <c r="E31" s="647">
        <v>11.066000000000001</v>
      </c>
      <c r="F31" s="647" t="s">
        <v>1093</v>
      </c>
      <c r="G31" s="647">
        <v>15</v>
      </c>
      <c r="H31" s="826" t="s">
        <v>3269</v>
      </c>
      <c r="I31" s="823" t="s">
        <v>5197</v>
      </c>
      <c r="J31" s="647"/>
      <c r="K31" s="824">
        <v>0.75</v>
      </c>
      <c r="L31" s="826">
        <v>16</v>
      </c>
      <c r="M31" s="823" t="s">
        <v>810</v>
      </c>
      <c r="N31" s="827">
        <v>6.5</v>
      </c>
      <c r="O31" s="832" t="s">
        <v>4229</v>
      </c>
      <c r="P31" s="837"/>
      <c r="Q31" s="823" t="s">
        <v>2397</v>
      </c>
      <c r="R31" s="647" t="s">
        <v>949</v>
      </c>
      <c r="S31" s="826" t="s">
        <v>5131</v>
      </c>
      <c r="T31" s="647" t="s">
        <v>3601</v>
      </c>
      <c r="U31" s="826"/>
      <c r="V31" s="1071"/>
      <c r="W31" s="647"/>
      <c r="X31" s="826"/>
      <c r="Z31" s="14" t="b">
        <f t="array" ref="Z31">AND((C31:X31=inp_used),A31=inp_used_usersel)</f>
        <v>0</v>
      </c>
      <c r="AA31" s="14" t="b">
        <f t="array" ref="AA31">AND((C31:F31=inp_used_minimal),A31=inp_used_usersel)</f>
        <v>0</v>
      </c>
    </row>
    <row r="32" spans="1:27" s="14" customFormat="1">
      <c r="A32" s="828">
        <v>3</v>
      </c>
      <c r="B32" s="292">
        <v>8</v>
      </c>
      <c r="C32" s="828">
        <v>75.072000000000003</v>
      </c>
      <c r="D32" s="292" t="s">
        <v>1093</v>
      </c>
      <c r="E32" s="292">
        <v>37.536000000000001</v>
      </c>
      <c r="F32" s="292" t="s">
        <v>1093</v>
      </c>
      <c r="G32" s="292">
        <v>15</v>
      </c>
      <c r="H32" s="831" t="s">
        <v>3269</v>
      </c>
      <c r="I32" s="828" t="s">
        <v>5197</v>
      </c>
      <c r="J32" s="292"/>
      <c r="K32" s="829">
        <v>0.75</v>
      </c>
      <c r="L32" s="831">
        <v>16</v>
      </c>
      <c r="M32" s="828" t="s">
        <v>810</v>
      </c>
      <c r="N32" s="830">
        <v>6.5</v>
      </c>
      <c r="O32" s="833" t="s">
        <v>4229</v>
      </c>
      <c r="P32" s="838"/>
      <c r="Q32" s="828" t="s">
        <v>2397</v>
      </c>
      <c r="R32" s="292" t="s">
        <v>949</v>
      </c>
      <c r="S32" s="831" t="s">
        <v>5131</v>
      </c>
      <c r="T32" s="292" t="s">
        <v>3601</v>
      </c>
      <c r="U32" s="831"/>
      <c r="V32" s="1072"/>
      <c r="W32" s="292"/>
      <c r="X32" s="831"/>
      <c r="Z32" s="14" t="b">
        <f t="array" ref="Z32">AND((C32:X32=inp_used),A32=inp_used_usersel)</f>
        <v>0</v>
      </c>
      <c r="AA32" s="14" t="b">
        <f t="array" ref="AA32">AND((C32:F32=inp_used_minimal),A32=inp_used_usersel)</f>
        <v>0</v>
      </c>
    </row>
    <row r="33" spans="1:27" s="14" customFormat="1">
      <c r="A33" s="823">
        <v>4</v>
      </c>
      <c r="B33" s="647">
        <v>1</v>
      </c>
      <c r="C33" s="823">
        <v>0.03</v>
      </c>
      <c r="D33" s="647" t="s">
        <v>1093</v>
      </c>
      <c r="E33" s="647">
        <v>7.0000000000000001E-3</v>
      </c>
      <c r="F33" s="647" t="s">
        <v>1093</v>
      </c>
      <c r="G33" s="647">
        <v>15</v>
      </c>
      <c r="H33" s="826" t="s">
        <v>3270</v>
      </c>
      <c r="I33" s="823" t="s">
        <v>5193</v>
      </c>
      <c r="J33" s="647"/>
      <c r="K33" s="824">
        <v>0.7</v>
      </c>
      <c r="L33" s="832">
        <v>16</v>
      </c>
      <c r="M33" s="823" t="s">
        <v>810</v>
      </c>
      <c r="N33" s="825">
        <v>6.6</v>
      </c>
      <c r="O33" s="832" t="s">
        <v>4228</v>
      </c>
      <c r="P33" s="837"/>
      <c r="Q33" s="823" t="s">
        <v>2397</v>
      </c>
      <c r="R33" s="647" t="s">
        <v>949</v>
      </c>
      <c r="S33" s="826" t="s">
        <v>5131</v>
      </c>
      <c r="T33" s="647" t="s">
        <v>3599</v>
      </c>
      <c r="U33" s="826"/>
      <c r="V33" s="936"/>
      <c r="W33" s="1073"/>
      <c r="X33" s="937"/>
      <c r="Y33" s="14" t="str">
        <f ca="1">INDEX(water_names,A33,1)</f>
        <v>High Qual SW</v>
      </c>
      <c r="Z33" s="14" t="b">
        <f t="array" ref="Z33">AND((C33:X33=inp_used),A33=inp_used_usersel)</f>
        <v>0</v>
      </c>
      <c r="AA33" s="14" t="b">
        <f t="array" ref="AA33">AND((C33:F33=inp_used_minimal),A33=inp_used_usersel)</f>
        <v>0</v>
      </c>
    </row>
    <row r="34" spans="1:27" s="14" customFormat="1">
      <c r="A34" s="823">
        <v>4</v>
      </c>
      <c r="B34" s="647">
        <v>2</v>
      </c>
      <c r="C34" s="823">
        <v>0.124</v>
      </c>
      <c r="D34" s="647" t="s">
        <v>1093</v>
      </c>
      <c r="E34" s="647">
        <v>3.5000000000000003E-2</v>
      </c>
      <c r="F34" s="647" t="s">
        <v>1093</v>
      </c>
      <c r="G34" s="647">
        <v>15</v>
      </c>
      <c r="H34" s="826" t="s">
        <v>3270</v>
      </c>
      <c r="I34" s="823" t="s">
        <v>5198</v>
      </c>
      <c r="J34" s="647"/>
      <c r="K34" s="824">
        <v>0.7</v>
      </c>
      <c r="L34" s="832">
        <v>16</v>
      </c>
      <c r="M34" s="823" t="s">
        <v>810</v>
      </c>
      <c r="N34" s="825">
        <v>6.6</v>
      </c>
      <c r="O34" s="832" t="s">
        <v>4228</v>
      </c>
      <c r="P34" s="837"/>
      <c r="Q34" s="823" t="s">
        <v>2397</v>
      </c>
      <c r="R34" s="647" t="s">
        <v>949</v>
      </c>
      <c r="S34" s="826" t="s">
        <v>5131</v>
      </c>
      <c r="T34" s="647" t="s">
        <v>3599</v>
      </c>
      <c r="U34" s="826"/>
      <c r="V34" s="1071"/>
      <c r="W34" s="647"/>
      <c r="X34" s="826"/>
      <c r="Z34" s="14" t="b">
        <f t="array" ref="Z34">AND((C34:X34=inp_used),A34=inp_used_usersel)</f>
        <v>0</v>
      </c>
      <c r="AA34" s="14" t="b">
        <f t="array" ref="AA34">AND((C34:F34=inp_used_minimal),A34=inp_used_usersel)</f>
        <v>0</v>
      </c>
    </row>
    <row r="35" spans="1:27" s="14" customFormat="1">
      <c r="A35" s="823">
        <v>4</v>
      </c>
      <c r="B35" s="647">
        <v>3</v>
      </c>
      <c r="C35" s="823">
        <v>0.30499999999999999</v>
      </c>
      <c r="D35" s="647" t="s">
        <v>1093</v>
      </c>
      <c r="E35" s="647">
        <v>9.4E-2</v>
      </c>
      <c r="F35" s="647" t="s">
        <v>1093</v>
      </c>
      <c r="G35" s="647">
        <v>15</v>
      </c>
      <c r="H35" s="826" t="s">
        <v>3270</v>
      </c>
      <c r="I35" s="823" t="s">
        <v>5198</v>
      </c>
      <c r="J35" s="647"/>
      <c r="K35" s="824">
        <v>0.75</v>
      </c>
      <c r="L35" s="832">
        <v>15</v>
      </c>
      <c r="M35" s="823" t="s">
        <v>810</v>
      </c>
      <c r="N35" s="825">
        <v>6.6</v>
      </c>
      <c r="O35" s="832" t="s">
        <v>4230</v>
      </c>
      <c r="P35" s="837"/>
      <c r="Q35" s="823" t="s">
        <v>2397</v>
      </c>
      <c r="R35" s="647" t="s">
        <v>949</v>
      </c>
      <c r="S35" s="826" t="s">
        <v>5131</v>
      </c>
      <c r="T35" s="647" t="s">
        <v>3599</v>
      </c>
      <c r="U35" s="826"/>
      <c r="V35" s="1071"/>
      <c r="W35" s="647"/>
      <c r="X35" s="826"/>
      <c r="Z35" s="14" t="b">
        <f t="array" ref="Z35">AND((C35:X35=inp_used),A35=inp_used_usersel)</f>
        <v>0</v>
      </c>
      <c r="AA35" s="14" t="b">
        <f t="array" ref="AA35">AND((C35:F35=inp_used_minimal),A35=inp_used_usersel)</f>
        <v>0</v>
      </c>
    </row>
    <row r="36" spans="1:27" s="14" customFormat="1">
      <c r="A36" s="823">
        <v>4</v>
      </c>
      <c r="B36" s="647">
        <v>4</v>
      </c>
      <c r="C36" s="823">
        <v>0.74</v>
      </c>
      <c r="D36" s="647" t="s">
        <v>1093</v>
      </c>
      <c r="E36" s="647">
        <v>0.251</v>
      </c>
      <c r="F36" s="647" t="s">
        <v>1093</v>
      </c>
      <c r="G36" s="647">
        <v>15</v>
      </c>
      <c r="H36" s="826" t="s">
        <v>3270</v>
      </c>
      <c r="I36" s="823" t="s">
        <v>5198</v>
      </c>
      <c r="J36" s="647"/>
      <c r="K36" s="824">
        <v>0.85</v>
      </c>
      <c r="L36" s="832">
        <v>16</v>
      </c>
      <c r="M36" s="823" t="s">
        <v>810</v>
      </c>
      <c r="N36" s="825">
        <v>6.7</v>
      </c>
      <c r="O36" s="832" t="s">
        <v>4230</v>
      </c>
      <c r="P36" s="837"/>
      <c r="Q36" s="823" t="s">
        <v>2397</v>
      </c>
      <c r="R36" s="647" t="s">
        <v>949</v>
      </c>
      <c r="S36" s="826" t="s">
        <v>5131</v>
      </c>
      <c r="T36" s="647" t="s">
        <v>3599</v>
      </c>
      <c r="U36" s="826"/>
      <c r="V36" s="1071"/>
      <c r="W36" s="647"/>
      <c r="X36" s="826"/>
      <c r="Z36" s="14" t="b">
        <f t="array" ref="Z36">AND((C36:X36=inp_used),A36=inp_used_usersel)</f>
        <v>0</v>
      </c>
      <c r="AA36" s="14" t="b">
        <f t="array" ref="AA36">AND((C36:F36=inp_used_minimal),A36=inp_used_usersel)</f>
        <v>0</v>
      </c>
    </row>
    <row r="37" spans="1:27" s="14" customFormat="1">
      <c r="A37" s="823">
        <v>4</v>
      </c>
      <c r="B37" s="647">
        <v>5</v>
      </c>
      <c r="C37" s="823">
        <v>2.1520000000000001</v>
      </c>
      <c r="D37" s="647" t="s">
        <v>1093</v>
      </c>
      <c r="E37" s="647">
        <v>0.81899999999999995</v>
      </c>
      <c r="F37" s="647" t="s">
        <v>1093</v>
      </c>
      <c r="G37" s="647">
        <v>15</v>
      </c>
      <c r="H37" s="826" t="s">
        <v>3269</v>
      </c>
      <c r="I37" s="823" t="s">
        <v>5198</v>
      </c>
      <c r="J37" s="647"/>
      <c r="K37" s="824">
        <v>0.85</v>
      </c>
      <c r="L37" s="832">
        <v>16</v>
      </c>
      <c r="M37" s="823" t="s">
        <v>810</v>
      </c>
      <c r="N37" s="825">
        <v>6.7</v>
      </c>
      <c r="O37" s="832" t="s">
        <v>4230</v>
      </c>
      <c r="P37" s="837"/>
      <c r="Q37" s="823" t="s">
        <v>2397</v>
      </c>
      <c r="R37" s="647" t="s">
        <v>949</v>
      </c>
      <c r="S37" s="826" t="s">
        <v>5131</v>
      </c>
      <c r="T37" s="647" t="s">
        <v>3599</v>
      </c>
      <c r="U37" s="826"/>
      <c r="V37" s="1071"/>
      <c r="W37" s="647"/>
      <c r="X37" s="826"/>
      <c r="Z37" s="14" t="b">
        <f t="array" ref="Z37">AND((C37:X37=inp_used),A37=inp_used_usersel)</f>
        <v>0</v>
      </c>
      <c r="AA37" s="14" t="b">
        <f t="array" ref="AA37">AND((C37:F37=inp_used_minimal),A37=inp_used_usersel)</f>
        <v>0</v>
      </c>
    </row>
    <row r="38" spans="1:27" s="14" customFormat="1">
      <c r="A38" s="823">
        <v>4</v>
      </c>
      <c r="B38" s="647">
        <v>6</v>
      </c>
      <c r="C38" s="823">
        <v>7.3650000000000002</v>
      </c>
      <c r="D38" s="647" t="s">
        <v>1093</v>
      </c>
      <c r="E38" s="647">
        <v>3.2</v>
      </c>
      <c r="F38" s="647" t="s">
        <v>1093</v>
      </c>
      <c r="G38" s="647">
        <v>15</v>
      </c>
      <c r="H38" s="826" t="s">
        <v>3269</v>
      </c>
      <c r="I38" s="823" t="s">
        <v>5198</v>
      </c>
      <c r="J38" s="647"/>
      <c r="K38" s="824">
        <v>0.85</v>
      </c>
      <c r="L38" s="832">
        <v>16</v>
      </c>
      <c r="M38" s="823" t="s">
        <v>810</v>
      </c>
      <c r="N38" s="825">
        <v>6.7</v>
      </c>
      <c r="O38" s="832" t="s">
        <v>4230</v>
      </c>
      <c r="P38" s="837"/>
      <c r="Q38" s="823" t="s">
        <v>2397</v>
      </c>
      <c r="R38" s="647" t="s">
        <v>949</v>
      </c>
      <c r="S38" s="826" t="s">
        <v>5131</v>
      </c>
      <c r="T38" s="647" t="s">
        <v>3599</v>
      </c>
      <c r="U38" s="826"/>
      <c r="V38" s="1071"/>
      <c r="W38" s="647"/>
      <c r="X38" s="826"/>
      <c r="Z38" s="14" t="b">
        <f t="array" ref="Z38">AND((C38:X38=inp_used),A38=inp_used_usersel)</f>
        <v>0</v>
      </c>
      <c r="AA38" s="14" t="b">
        <f t="array" ref="AA38">AND((C38:F38=inp_used_minimal),A38=inp_used_usersel)</f>
        <v>0</v>
      </c>
    </row>
    <row r="39" spans="1:27" s="14" customFormat="1">
      <c r="A39" s="823">
        <v>4</v>
      </c>
      <c r="B39" s="647">
        <v>7</v>
      </c>
      <c r="C39" s="823">
        <v>22.614000000000001</v>
      </c>
      <c r="D39" s="647" t="s">
        <v>1093</v>
      </c>
      <c r="E39" s="647">
        <v>11.066000000000001</v>
      </c>
      <c r="F39" s="647" t="s">
        <v>1093</v>
      </c>
      <c r="G39" s="647">
        <v>15</v>
      </c>
      <c r="H39" s="826" t="s">
        <v>3269</v>
      </c>
      <c r="I39" s="823" t="s">
        <v>5198</v>
      </c>
      <c r="J39" s="647"/>
      <c r="K39" s="824">
        <v>0.85</v>
      </c>
      <c r="L39" s="832">
        <v>16</v>
      </c>
      <c r="M39" s="823" t="s">
        <v>810</v>
      </c>
      <c r="N39" s="825">
        <v>6.7</v>
      </c>
      <c r="O39" s="832" t="s">
        <v>4230</v>
      </c>
      <c r="P39" s="837"/>
      <c r="Q39" s="823" t="s">
        <v>2397</v>
      </c>
      <c r="R39" s="647" t="s">
        <v>949</v>
      </c>
      <c r="S39" s="826" t="s">
        <v>5131</v>
      </c>
      <c r="T39" s="647" t="s">
        <v>3599</v>
      </c>
      <c r="U39" s="826"/>
      <c r="V39" s="1071"/>
      <c r="W39" s="647"/>
      <c r="X39" s="826"/>
      <c r="Z39" s="14" t="b">
        <f t="array" ref="Z39">AND((C39:X39=inp_used),A39=inp_used_usersel)</f>
        <v>0</v>
      </c>
      <c r="AA39" s="14" t="b">
        <f t="array" ref="AA39">AND((C39:F39=inp_used_minimal),A39=inp_used_usersel)</f>
        <v>0</v>
      </c>
    </row>
    <row r="40" spans="1:27" s="14" customFormat="1">
      <c r="A40" s="828">
        <v>4</v>
      </c>
      <c r="B40" s="292">
        <v>8</v>
      </c>
      <c r="C40" s="828">
        <v>75.072000000000003</v>
      </c>
      <c r="D40" s="292" t="s">
        <v>1093</v>
      </c>
      <c r="E40" s="292">
        <v>37.536000000000001</v>
      </c>
      <c r="F40" s="292" t="s">
        <v>1093</v>
      </c>
      <c r="G40" s="292">
        <v>15</v>
      </c>
      <c r="H40" s="831" t="s">
        <v>3269</v>
      </c>
      <c r="I40" s="828" t="s">
        <v>5198</v>
      </c>
      <c r="J40" s="292"/>
      <c r="K40" s="829">
        <v>0.85</v>
      </c>
      <c r="L40" s="833">
        <v>16</v>
      </c>
      <c r="M40" s="828" t="s">
        <v>810</v>
      </c>
      <c r="N40" s="840">
        <v>6.7</v>
      </c>
      <c r="O40" s="833" t="s">
        <v>4230</v>
      </c>
      <c r="P40" s="838"/>
      <c r="Q40" s="828" t="s">
        <v>2397</v>
      </c>
      <c r="R40" s="292" t="s">
        <v>949</v>
      </c>
      <c r="S40" s="831" t="s">
        <v>5131</v>
      </c>
      <c r="T40" s="292" t="s">
        <v>3599</v>
      </c>
      <c r="U40" s="831"/>
      <c r="V40" s="1072"/>
      <c r="W40" s="292"/>
      <c r="X40" s="831"/>
      <c r="Z40" s="14" t="b">
        <f t="array" ref="Z40">AND((C40:X40=inp_used),A40=inp_used_usersel)</f>
        <v>0</v>
      </c>
      <c r="AA40" s="14" t="b">
        <f t="array" ref="AA40">AND((C40:F40=inp_used_minimal),A40=inp_used_usersel)</f>
        <v>0</v>
      </c>
    </row>
    <row r="41" spans="1:27" s="14" customFormat="1">
      <c r="A41" s="823">
        <v>5</v>
      </c>
      <c r="B41" s="647">
        <v>1</v>
      </c>
      <c r="C41" s="823">
        <v>0.03</v>
      </c>
      <c r="D41" s="647" t="s">
        <v>1093</v>
      </c>
      <c r="E41" s="647">
        <v>7.0000000000000001E-3</v>
      </c>
      <c r="F41" s="647" t="s">
        <v>1093</v>
      </c>
      <c r="G41" s="647">
        <v>15</v>
      </c>
      <c r="H41" s="826" t="s">
        <v>3270</v>
      </c>
      <c r="I41" s="823" t="s">
        <v>5194</v>
      </c>
      <c r="J41" s="647"/>
      <c r="K41" s="824">
        <v>0.7</v>
      </c>
      <c r="L41" s="826">
        <v>14</v>
      </c>
      <c r="M41" s="823" t="s">
        <v>810</v>
      </c>
      <c r="N41" s="825">
        <v>6</v>
      </c>
      <c r="O41" s="832" t="s">
        <v>4229</v>
      </c>
      <c r="P41" s="837"/>
      <c r="Q41" s="823" t="s">
        <v>2397</v>
      </c>
      <c r="R41" s="647" t="s">
        <v>949</v>
      </c>
      <c r="S41" s="826" t="s">
        <v>5131</v>
      </c>
      <c r="T41" s="647" t="s">
        <v>3600</v>
      </c>
      <c r="U41" s="826"/>
      <c r="V41" s="936"/>
      <c r="W41" s="1073"/>
      <c r="X41" s="937"/>
      <c r="Y41" s="14" t="str">
        <f ca="1">INDEX(water_names,A41,1)</f>
        <v>Mid Qual SW</v>
      </c>
      <c r="Z41" s="14" t="b">
        <f t="array" ref="Z41">AND((C41:X41=inp_used),A41=inp_used_usersel)</f>
        <v>0</v>
      </c>
      <c r="AA41" s="14" t="b">
        <f t="array" ref="AA41">AND((C41:F41=inp_used_minimal),A41=inp_used_usersel)</f>
        <v>0</v>
      </c>
    </row>
    <row r="42" spans="1:27" s="14" customFormat="1">
      <c r="A42" s="823">
        <v>5</v>
      </c>
      <c r="B42" s="647">
        <v>2</v>
      </c>
      <c r="C42" s="823">
        <v>0.124</v>
      </c>
      <c r="D42" s="647" t="s">
        <v>1093</v>
      </c>
      <c r="E42" s="647">
        <v>3.5000000000000003E-2</v>
      </c>
      <c r="F42" s="647" t="s">
        <v>1093</v>
      </c>
      <c r="G42" s="647">
        <v>15</v>
      </c>
      <c r="H42" s="826" t="s">
        <v>3270</v>
      </c>
      <c r="I42" s="823" t="s">
        <v>5195</v>
      </c>
      <c r="J42" s="647"/>
      <c r="K42" s="824">
        <v>0.7</v>
      </c>
      <c r="L42" s="826">
        <v>14</v>
      </c>
      <c r="M42" s="823" t="s">
        <v>810</v>
      </c>
      <c r="N42" s="825">
        <v>6</v>
      </c>
      <c r="O42" s="832" t="s">
        <v>4229</v>
      </c>
      <c r="P42" s="837"/>
      <c r="Q42" s="823" t="s">
        <v>2397</v>
      </c>
      <c r="R42" s="647" t="s">
        <v>949</v>
      </c>
      <c r="S42" s="826" t="s">
        <v>5131</v>
      </c>
      <c r="T42" s="647" t="s">
        <v>3600</v>
      </c>
      <c r="U42" s="826"/>
      <c r="V42" s="1071"/>
      <c r="W42" s="647"/>
      <c r="X42" s="826"/>
      <c r="Z42" s="14" t="b">
        <f t="array" ref="Z42">AND((C42:X42=inp_used),A42=inp_used_usersel)</f>
        <v>0</v>
      </c>
      <c r="AA42" s="14" t="b">
        <f t="array" ref="AA42">AND((C42:F42=inp_used_minimal),A42=inp_used_usersel)</f>
        <v>0</v>
      </c>
    </row>
    <row r="43" spans="1:27" s="14" customFormat="1">
      <c r="A43" s="823">
        <v>5</v>
      </c>
      <c r="B43" s="647">
        <v>3</v>
      </c>
      <c r="C43" s="823">
        <v>0.30499999999999999</v>
      </c>
      <c r="D43" s="647" t="s">
        <v>1093</v>
      </c>
      <c r="E43" s="647">
        <v>9.4E-2</v>
      </c>
      <c r="F43" s="647" t="s">
        <v>1093</v>
      </c>
      <c r="G43" s="647">
        <v>15</v>
      </c>
      <c r="H43" s="826" t="s">
        <v>3270</v>
      </c>
      <c r="I43" s="823" t="s">
        <v>5195</v>
      </c>
      <c r="J43" s="647"/>
      <c r="K43" s="824">
        <v>0.75</v>
      </c>
      <c r="L43" s="826">
        <v>14</v>
      </c>
      <c r="M43" s="823" t="s">
        <v>810</v>
      </c>
      <c r="N43" s="825">
        <v>6</v>
      </c>
      <c r="O43" s="832" t="s">
        <v>4229</v>
      </c>
      <c r="P43" s="837"/>
      <c r="Q43" s="823" t="s">
        <v>2397</v>
      </c>
      <c r="R43" s="647" t="s">
        <v>949</v>
      </c>
      <c r="S43" s="826" t="s">
        <v>5131</v>
      </c>
      <c r="T43" s="647" t="s">
        <v>3600</v>
      </c>
      <c r="U43" s="826"/>
      <c r="V43" s="1071"/>
      <c r="W43" s="647"/>
      <c r="X43" s="826"/>
      <c r="Z43" s="14" t="b">
        <f t="array" ref="Z43">AND((C43:X43=inp_used),A43=inp_used_usersel)</f>
        <v>0</v>
      </c>
      <c r="AA43" s="14" t="b">
        <f t="array" ref="AA43">AND((C43:F43=inp_used_minimal),A43=inp_used_usersel)</f>
        <v>0</v>
      </c>
    </row>
    <row r="44" spans="1:27" s="14" customFormat="1">
      <c r="A44" s="823">
        <v>5</v>
      </c>
      <c r="B44" s="647">
        <v>4</v>
      </c>
      <c r="C44" s="823">
        <v>0.74</v>
      </c>
      <c r="D44" s="647" t="s">
        <v>1093</v>
      </c>
      <c r="E44" s="647">
        <v>0.251</v>
      </c>
      <c r="F44" s="647" t="s">
        <v>1093</v>
      </c>
      <c r="G44" s="647">
        <v>15</v>
      </c>
      <c r="H44" s="826" t="s">
        <v>3270</v>
      </c>
      <c r="I44" s="823" t="s">
        <v>5195</v>
      </c>
      <c r="J44" s="647"/>
      <c r="K44" s="824">
        <v>0.8</v>
      </c>
      <c r="L44" s="826">
        <v>14</v>
      </c>
      <c r="M44" s="823" t="s">
        <v>810</v>
      </c>
      <c r="N44" s="825">
        <v>6</v>
      </c>
      <c r="O44" s="832" t="s">
        <v>4229</v>
      </c>
      <c r="P44" s="837"/>
      <c r="Q44" s="823" t="s">
        <v>2397</v>
      </c>
      <c r="R44" s="647" t="s">
        <v>949</v>
      </c>
      <c r="S44" s="826" t="s">
        <v>5131</v>
      </c>
      <c r="T44" s="647" t="s">
        <v>3600</v>
      </c>
      <c r="U44" s="826"/>
      <c r="V44" s="1071"/>
      <c r="W44" s="647"/>
      <c r="X44" s="826"/>
      <c r="Z44" s="14" t="b">
        <f t="array" ref="Z44">AND((C44:X44=inp_used),A44=inp_used_usersel)</f>
        <v>0</v>
      </c>
      <c r="AA44" s="14" t="b">
        <f t="array" ref="AA44">AND((C44:F44=inp_used_minimal),A44=inp_used_usersel)</f>
        <v>0</v>
      </c>
    </row>
    <row r="45" spans="1:27" s="14" customFormat="1">
      <c r="A45" s="823">
        <v>5</v>
      </c>
      <c r="B45" s="647">
        <v>5</v>
      </c>
      <c r="C45" s="823">
        <v>2.1520000000000001</v>
      </c>
      <c r="D45" s="647" t="s">
        <v>1093</v>
      </c>
      <c r="E45" s="647">
        <v>0.81899999999999995</v>
      </c>
      <c r="F45" s="647" t="s">
        <v>1093</v>
      </c>
      <c r="G45" s="647">
        <v>15</v>
      </c>
      <c r="H45" s="826" t="s">
        <v>3269</v>
      </c>
      <c r="I45" s="823" t="s">
        <v>5195</v>
      </c>
      <c r="J45" s="647"/>
      <c r="K45" s="824">
        <v>0.8</v>
      </c>
      <c r="L45" s="826">
        <v>14</v>
      </c>
      <c r="M45" s="823" t="s">
        <v>810</v>
      </c>
      <c r="N45" s="825">
        <v>6</v>
      </c>
      <c r="O45" s="832" t="s">
        <v>4229</v>
      </c>
      <c r="P45" s="837"/>
      <c r="Q45" s="823" t="s">
        <v>2397</v>
      </c>
      <c r="R45" s="647" t="s">
        <v>949</v>
      </c>
      <c r="S45" s="826" t="s">
        <v>5131</v>
      </c>
      <c r="T45" s="647" t="s">
        <v>3600</v>
      </c>
      <c r="U45" s="826"/>
      <c r="V45" s="1071"/>
      <c r="W45" s="647"/>
      <c r="X45" s="826"/>
      <c r="Z45" s="14" t="b">
        <f t="array" ref="Z45">AND((C45:X45=inp_used),A45=inp_used_usersel)</f>
        <v>0</v>
      </c>
      <c r="AA45" s="14" t="b">
        <f t="array" ref="AA45">AND((C45:F45=inp_used_minimal),A45=inp_used_usersel)</f>
        <v>0</v>
      </c>
    </row>
    <row r="46" spans="1:27" s="14" customFormat="1">
      <c r="A46" s="823">
        <v>5</v>
      </c>
      <c r="B46" s="647">
        <v>6</v>
      </c>
      <c r="C46" s="823">
        <v>7.3650000000000002</v>
      </c>
      <c r="D46" s="647" t="s">
        <v>1093</v>
      </c>
      <c r="E46" s="647">
        <v>3.2</v>
      </c>
      <c r="F46" s="647" t="s">
        <v>1093</v>
      </c>
      <c r="G46" s="647">
        <v>15</v>
      </c>
      <c r="H46" s="826" t="s">
        <v>3269</v>
      </c>
      <c r="I46" s="823" t="s">
        <v>5195</v>
      </c>
      <c r="J46" s="647"/>
      <c r="K46" s="824">
        <v>0.8</v>
      </c>
      <c r="L46" s="826">
        <v>14</v>
      </c>
      <c r="M46" s="823" t="s">
        <v>810</v>
      </c>
      <c r="N46" s="825">
        <v>6</v>
      </c>
      <c r="O46" s="832" t="s">
        <v>4229</v>
      </c>
      <c r="P46" s="837"/>
      <c r="Q46" s="823" t="s">
        <v>2397</v>
      </c>
      <c r="R46" s="647" t="s">
        <v>949</v>
      </c>
      <c r="S46" s="826" t="s">
        <v>5131</v>
      </c>
      <c r="T46" s="647" t="s">
        <v>3600</v>
      </c>
      <c r="U46" s="826"/>
      <c r="V46" s="1071"/>
      <c r="W46" s="647"/>
      <c r="X46" s="826"/>
      <c r="Z46" s="14" t="b">
        <f t="array" ref="Z46">AND((C46:X46=inp_used),A46=inp_used_usersel)</f>
        <v>0</v>
      </c>
      <c r="AA46" s="14" t="b">
        <f t="array" ref="AA46">AND((C46:F46=inp_used_minimal),A46=inp_used_usersel)</f>
        <v>0</v>
      </c>
    </row>
    <row r="47" spans="1:27" s="14" customFormat="1">
      <c r="A47" s="823">
        <v>5</v>
      </c>
      <c r="B47" s="647">
        <v>7</v>
      </c>
      <c r="C47" s="823">
        <v>22.614000000000001</v>
      </c>
      <c r="D47" s="647" t="s">
        <v>1093</v>
      </c>
      <c r="E47" s="647">
        <v>11.066000000000001</v>
      </c>
      <c r="F47" s="647" t="s">
        <v>1093</v>
      </c>
      <c r="G47" s="647">
        <v>15</v>
      </c>
      <c r="H47" s="826" t="s">
        <v>3269</v>
      </c>
      <c r="I47" s="823" t="s">
        <v>5195</v>
      </c>
      <c r="J47" s="647"/>
      <c r="K47" s="824">
        <v>0.8</v>
      </c>
      <c r="L47" s="826">
        <v>14</v>
      </c>
      <c r="M47" s="823" t="s">
        <v>810</v>
      </c>
      <c r="N47" s="825">
        <v>6</v>
      </c>
      <c r="O47" s="832" t="s">
        <v>4229</v>
      </c>
      <c r="P47" s="837"/>
      <c r="Q47" s="823" t="s">
        <v>2397</v>
      </c>
      <c r="R47" s="647" t="s">
        <v>949</v>
      </c>
      <c r="S47" s="826" t="s">
        <v>5131</v>
      </c>
      <c r="T47" s="647" t="s">
        <v>3600</v>
      </c>
      <c r="U47" s="826"/>
      <c r="V47" s="1071"/>
      <c r="W47" s="647"/>
      <c r="X47" s="826"/>
      <c r="Z47" s="14" t="b">
        <f t="array" ref="Z47">AND((C47:X47=inp_used),A47=inp_used_usersel)</f>
        <v>0</v>
      </c>
      <c r="AA47" s="14" t="b">
        <f t="array" ref="AA47">AND((C47:F47=inp_used_minimal),A47=inp_used_usersel)</f>
        <v>0</v>
      </c>
    </row>
    <row r="48" spans="1:27" s="14" customFormat="1">
      <c r="A48" s="828">
        <v>5</v>
      </c>
      <c r="B48" s="292">
        <v>8</v>
      </c>
      <c r="C48" s="828">
        <v>75.072000000000003</v>
      </c>
      <c r="D48" s="292" t="s">
        <v>1093</v>
      </c>
      <c r="E48" s="292">
        <v>37.536000000000001</v>
      </c>
      <c r="F48" s="292" t="s">
        <v>1093</v>
      </c>
      <c r="G48" s="292">
        <v>15</v>
      </c>
      <c r="H48" s="831" t="s">
        <v>3269</v>
      </c>
      <c r="I48" s="828" t="s">
        <v>5195</v>
      </c>
      <c r="J48" s="292"/>
      <c r="K48" s="829">
        <v>0.8</v>
      </c>
      <c r="L48" s="831">
        <v>14</v>
      </c>
      <c r="M48" s="828" t="s">
        <v>810</v>
      </c>
      <c r="N48" s="840">
        <v>6</v>
      </c>
      <c r="O48" s="833" t="s">
        <v>4229</v>
      </c>
      <c r="P48" s="838"/>
      <c r="Q48" s="828" t="s">
        <v>2397</v>
      </c>
      <c r="R48" s="292" t="s">
        <v>949</v>
      </c>
      <c r="S48" s="831" t="s">
        <v>5131</v>
      </c>
      <c r="T48" s="292" t="s">
        <v>3600</v>
      </c>
      <c r="U48" s="831"/>
      <c r="V48" s="1072"/>
      <c r="W48" s="292"/>
      <c r="X48" s="831"/>
      <c r="Z48" s="14" t="b">
        <f t="array" ref="Z48">AND((C48:X48=inp_used),A48=inp_used_usersel)</f>
        <v>0</v>
      </c>
      <c r="AA48" s="14" t="b">
        <f t="array" ref="AA48">AND((C48:F48=inp_used_minimal),A48=inp_used_usersel)</f>
        <v>0</v>
      </c>
    </row>
    <row r="49" spans="1:27" s="14" customFormat="1">
      <c r="A49" s="823">
        <v>6</v>
      </c>
      <c r="B49" s="647">
        <v>1</v>
      </c>
      <c r="C49" s="823">
        <v>0.03</v>
      </c>
      <c r="D49" s="647" t="s">
        <v>1093</v>
      </c>
      <c r="E49" s="647">
        <v>7.0000000000000001E-3</v>
      </c>
      <c r="F49" s="647" t="s">
        <v>1093</v>
      </c>
      <c r="G49" s="647">
        <v>15</v>
      </c>
      <c r="H49" s="826" t="s">
        <v>3270</v>
      </c>
      <c r="I49" s="823" t="s">
        <v>5196</v>
      </c>
      <c r="J49" s="647"/>
      <c r="K49" s="824">
        <v>0.7</v>
      </c>
      <c r="L49" s="832">
        <v>12</v>
      </c>
      <c r="M49" s="823" t="s">
        <v>810</v>
      </c>
      <c r="N49" s="827">
        <v>5.9</v>
      </c>
      <c r="O49" s="832" t="s">
        <v>4229</v>
      </c>
      <c r="P49" s="837"/>
      <c r="Q49" s="823" t="s">
        <v>2397</v>
      </c>
      <c r="R49" s="647" t="s">
        <v>949</v>
      </c>
      <c r="S49" s="826" t="s">
        <v>5131</v>
      </c>
      <c r="T49" s="647" t="s">
        <v>3601</v>
      </c>
      <c r="U49" s="826"/>
      <c r="V49" s="936"/>
      <c r="W49" s="1073"/>
      <c r="X49" s="937"/>
      <c r="Y49" s="14" t="str">
        <f ca="1">INDEX(water_names,A49,1)</f>
        <v>Low Qual SW</v>
      </c>
      <c r="Z49" s="14" t="b">
        <f t="array" ref="Z49">AND((C49:X49=inp_used),A49=inp_used_usersel)</f>
        <v>0</v>
      </c>
      <c r="AA49" s="14" t="b">
        <f t="array" ref="AA49">AND((C49:F49=inp_used_minimal),A49=inp_used_usersel)</f>
        <v>0</v>
      </c>
    </row>
    <row r="50" spans="1:27" s="14" customFormat="1">
      <c r="A50" s="823">
        <v>6</v>
      </c>
      <c r="B50" s="647">
        <v>2</v>
      </c>
      <c r="C50" s="823">
        <v>0.124</v>
      </c>
      <c r="D50" s="647" t="s">
        <v>1093</v>
      </c>
      <c r="E50" s="647">
        <v>3.5000000000000003E-2</v>
      </c>
      <c r="F50" s="647" t="s">
        <v>1093</v>
      </c>
      <c r="G50" s="647">
        <v>15</v>
      </c>
      <c r="H50" s="826" t="s">
        <v>3270</v>
      </c>
      <c r="I50" s="823" t="s">
        <v>5197</v>
      </c>
      <c r="J50" s="647"/>
      <c r="K50" s="824">
        <v>0.7</v>
      </c>
      <c r="L50" s="832">
        <v>12</v>
      </c>
      <c r="M50" s="823" t="s">
        <v>810</v>
      </c>
      <c r="N50" s="827">
        <v>5.9</v>
      </c>
      <c r="O50" s="832" t="s">
        <v>4229</v>
      </c>
      <c r="P50" s="837"/>
      <c r="Q50" s="823" t="s">
        <v>2397</v>
      </c>
      <c r="R50" s="647" t="s">
        <v>949</v>
      </c>
      <c r="S50" s="826" t="s">
        <v>5131</v>
      </c>
      <c r="T50" s="647" t="s">
        <v>3601</v>
      </c>
      <c r="U50" s="826"/>
      <c r="V50" s="1071"/>
      <c r="W50" s="647"/>
      <c r="X50" s="826"/>
      <c r="Z50" s="14" t="b">
        <f t="array" ref="Z50">AND((C50:X50=inp_used),A50=inp_used_usersel)</f>
        <v>0</v>
      </c>
      <c r="AA50" s="14" t="b">
        <f t="array" ref="AA50">AND((C50:F50=inp_used_minimal),A50=inp_used_usersel)</f>
        <v>0</v>
      </c>
    </row>
    <row r="51" spans="1:27" s="14" customFormat="1">
      <c r="A51" s="823">
        <v>6</v>
      </c>
      <c r="B51" s="647">
        <v>3</v>
      </c>
      <c r="C51" s="823">
        <v>0.30499999999999999</v>
      </c>
      <c r="D51" s="647" t="s">
        <v>1093</v>
      </c>
      <c r="E51" s="647">
        <v>9.4E-2</v>
      </c>
      <c r="F51" s="647" t="s">
        <v>1093</v>
      </c>
      <c r="G51" s="647">
        <v>15</v>
      </c>
      <c r="H51" s="826" t="s">
        <v>3270</v>
      </c>
      <c r="I51" s="823" t="s">
        <v>5197</v>
      </c>
      <c r="J51" s="647"/>
      <c r="K51" s="824">
        <v>0.75</v>
      </c>
      <c r="L51" s="832">
        <v>12</v>
      </c>
      <c r="M51" s="823" t="s">
        <v>810</v>
      </c>
      <c r="N51" s="827">
        <v>5.9</v>
      </c>
      <c r="O51" s="832" t="s">
        <v>4229</v>
      </c>
      <c r="P51" s="837"/>
      <c r="Q51" s="823" t="s">
        <v>2397</v>
      </c>
      <c r="R51" s="647" t="s">
        <v>949</v>
      </c>
      <c r="S51" s="826" t="s">
        <v>5131</v>
      </c>
      <c r="T51" s="647" t="s">
        <v>3601</v>
      </c>
      <c r="U51" s="826"/>
      <c r="V51" s="1071"/>
      <c r="W51" s="647"/>
      <c r="X51" s="826"/>
      <c r="Z51" s="14" t="b">
        <f t="array" ref="Z51">AND((C51:X51=inp_used),A51=inp_used_usersel)</f>
        <v>0</v>
      </c>
      <c r="AA51" s="14" t="b">
        <f t="array" ref="AA51">AND((C51:F51=inp_used_minimal),A51=inp_used_usersel)</f>
        <v>0</v>
      </c>
    </row>
    <row r="52" spans="1:27" s="14" customFormat="1">
      <c r="A52" s="823">
        <v>6</v>
      </c>
      <c r="B52" s="647">
        <v>4</v>
      </c>
      <c r="C52" s="823">
        <v>0.74</v>
      </c>
      <c r="D52" s="647" t="s">
        <v>1093</v>
      </c>
      <c r="E52" s="647">
        <v>0.251</v>
      </c>
      <c r="F52" s="647" t="s">
        <v>1093</v>
      </c>
      <c r="G52" s="647">
        <v>15</v>
      </c>
      <c r="H52" s="826" t="s">
        <v>3270</v>
      </c>
      <c r="I52" s="823" t="s">
        <v>5197</v>
      </c>
      <c r="J52" s="647"/>
      <c r="K52" s="824">
        <v>0.75</v>
      </c>
      <c r="L52" s="832">
        <v>12</v>
      </c>
      <c r="M52" s="823" t="s">
        <v>810</v>
      </c>
      <c r="N52" s="827">
        <v>5.9</v>
      </c>
      <c r="O52" s="832" t="s">
        <v>4229</v>
      </c>
      <c r="P52" s="837"/>
      <c r="Q52" s="823" t="s">
        <v>2397</v>
      </c>
      <c r="R52" s="647" t="s">
        <v>949</v>
      </c>
      <c r="S52" s="826" t="s">
        <v>5131</v>
      </c>
      <c r="T52" s="647" t="s">
        <v>3601</v>
      </c>
      <c r="U52" s="826"/>
      <c r="V52" s="1071"/>
      <c r="W52" s="647"/>
      <c r="X52" s="826"/>
      <c r="Z52" s="14" t="b">
        <f t="array" ref="Z52">AND((C52:X52=inp_used),A52=inp_used_usersel)</f>
        <v>0</v>
      </c>
      <c r="AA52" s="14" t="b">
        <f t="array" ref="AA52">AND((C52:F52=inp_used_minimal),A52=inp_used_usersel)</f>
        <v>0</v>
      </c>
    </row>
    <row r="53" spans="1:27" s="14" customFormat="1">
      <c r="A53" s="823">
        <v>6</v>
      </c>
      <c r="B53" s="647">
        <v>5</v>
      </c>
      <c r="C53" s="823">
        <v>2.1520000000000001</v>
      </c>
      <c r="D53" s="647" t="s">
        <v>1093</v>
      </c>
      <c r="E53" s="647">
        <v>0.81899999999999995</v>
      </c>
      <c r="F53" s="647" t="s">
        <v>1093</v>
      </c>
      <c r="G53" s="647">
        <v>15</v>
      </c>
      <c r="H53" s="826" t="s">
        <v>3269</v>
      </c>
      <c r="I53" s="823" t="s">
        <v>5197</v>
      </c>
      <c r="J53" s="647"/>
      <c r="K53" s="824">
        <v>0.75</v>
      </c>
      <c r="L53" s="832">
        <v>12</v>
      </c>
      <c r="M53" s="823" t="s">
        <v>810</v>
      </c>
      <c r="N53" s="827">
        <v>5.9</v>
      </c>
      <c r="O53" s="832" t="s">
        <v>4229</v>
      </c>
      <c r="P53" s="837"/>
      <c r="Q53" s="823" t="s">
        <v>2397</v>
      </c>
      <c r="R53" s="647" t="s">
        <v>949</v>
      </c>
      <c r="S53" s="826" t="s">
        <v>5131</v>
      </c>
      <c r="T53" s="647" t="s">
        <v>3601</v>
      </c>
      <c r="U53" s="826"/>
      <c r="V53" s="1071"/>
      <c r="W53" s="647"/>
      <c r="X53" s="826"/>
      <c r="Z53" s="14" t="b">
        <f t="array" ref="Z53">AND((C53:X53=inp_used),A53=inp_used_usersel)</f>
        <v>0</v>
      </c>
      <c r="AA53" s="14" t="b">
        <f t="array" ref="AA53">AND((C53:F53=inp_used_minimal),A53=inp_used_usersel)</f>
        <v>0</v>
      </c>
    </row>
    <row r="54" spans="1:27" s="14" customFormat="1">
      <c r="A54" s="823">
        <v>6</v>
      </c>
      <c r="B54" s="647">
        <v>6</v>
      </c>
      <c r="C54" s="823">
        <v>7.3650000000000002</v>
      </c>
      <c r="D54" s="647" t="s">
        <v>1093</v>
      </c>
      <c r="E54" s="647">
        <v>3.2</v>
      </c>
      <c r="F54" s="647" t="s">
        <v>1093</v>
      </c>
      <c r="G54" s="647">
        <v>15</v>
      </c>
      <c r="H54" s="826" t="s">
        <v>3269</v>
      </c>
      <c r="I54" s="823" t="s">
        <v>5197</v>
      </c>
      <c r="J54" s="647"/>
      <c r="K54" s="824">
        <v>0.75</v>
      </c>
      <c r="L54" s="832">
        <v>12</v>
      </c>
      <c r="M54" s="823" t="s">
        <v>810</v>
      </c>
      <c r="N54" s="827">
        <v>5.9</v>
      </c>
      <c r="O54" s="832" t="s">
        <v>4229</v>
      </c>
      <c r="P54" s="837"/>
      <c r="Q54" s="823" t="s">
        <v>2397</v>
      </c>
      <c r="R54" s="647" t="s">
        <v>949</v>
      </c>
      <c r="S54" s="826" t="s">
        <v>5131</v>
      </c>
      <c r="T54" s="647" t="s">
        <v>3601</v>
      </c>
      <c r="U54" s="826"/>
      <c r="V54" s="1071"/>
      <c r="W54" s="647"/>
      <c r="X54" s="826"/>
      <c r="Z54" s="14" t="b">
        <f t="array" ref="Z54">AND((C54:X54=inp_used),A54=inp_used_usersel)</f>
        <v>0</v>
      </c>
      <c r="AA54" s="14" t="b">
        <f t="array" ref="AA54">AND((C54:F54=inp_used_minimal),A54=inp_used_usersel)</f>
        <v>0</v>
      </c>
    </row>
    <row r="55" spans="1:27" s="14" customFormat="1">
      <c r="A55" s="823">
        <v>6</v>
      </c>
      <c r="B55" s="647">
        <v>7</v>
      </c>
      <c r="C55" s="823">
        <v>22.614000000000001</v>
      </c>
      <c r="D55" s="647" t="s">
        <v>1093</v>
      </c>
      <c r="E55" s="647">
        <v>11.066000000000001</v>
      </c>
      <c r="F55" s="647" t="s">
        <v>1093</v>
      </c>
      <c r="G55" s="647">
        <v>15</v>
      </c>
      <c r="H55" s="826" t="s">
        <v>3269</v>
      </c>
      <c r="I55" s="823" t="s">
        <v>5197</v>
      </c>
      <c r="J55" s="647"/>
      <c r="K55" s="824">
        <v>0.75</v>
      </c>
      <c r="L55" s="832">
        <v>12</v>
      </c>
      <c r="M55" s="823" t="s">
        <v>810</v>
      </c>
      <c r="N55" s="827">
        <v>5.9</v>
      </c>
      <c r="O55" s="832" t="s">
        <v>4229</v>
      </c>
      <c r="P55" s="837"/>
      <c r="Q55" s="823" t="s">
        <v>2397</v>
      </c>
      <c r="R55" s="647" t="s">
        <v>949</v>
      </c>
      <c r="S55" s="826" t="s">
        <v>5131</v>
      </c>
      <c r="T55" s="647" t="s">
        <v>3601</v>
      </c>
      <c r="U55" s="826"/>
      <c r="V55" s="1071"/>
      <c r="W55" s="647"/>
      <c r="X55" s="826"/>
      <c r="Z55" s="14" t="b">
        <f t="array" ref="Z55">AND((C55:X55=inp_used),A55=inp_used_usersel)</f>
        <v>0</v>
      </c>
      <c r="AA55" s="14" t="b">
        <f t="array" ref="AA55">AND((C55:F55=inp_used_minimal),A55=inp_used_usersel)</f>
        <v>0</v>
      </c>
    </row>
    <row r="56" spans="1:27" s="14" customFormat="1">
      <c r="A56" s="828">
        <v>6</v>
      </c>
      <c r="B56" s="292">
        <v>8</v>
      </c>
      <c r="C56" s="828">
        <v>75.072000000000003</v>
      </c>
      <c r="D56" s="292" t="s">
        <v>1093</v>
      </c>
      <c r="E56" s="292">
        <v>37.536000000000001</v>
      </c>
      <c r="F56" s="292" t="s">
        <v>1093</v>
      </c>
      <c r="G56" s="292">
        <v>15</v>
      </c>
      <c r="H56" s="831" t="s">
        <v>3269</v>
      </c>
      <c r="I56" s="828" t="s">
        <v>5197</v>
      </c>
      <c r="J56" s="292"/>
      <c r="K56" s="829">
        <v>0.75</v>
      </c>
      <c r="L56" s="833">
        <v>12</v>
      </c>
      <c r="M56" s="828" t="s">
        <v>810</v>
      </c>
      <c r="N56" s="830">
        <v>5.9</v>
      </c>
      <c r="O56" s="833" t="s">
        <v>4229</v>
      </c>
      <c r="P56" s="838"/>
      <c r="Q56" s="828" t="s">
        <v>2397</v>
      </c>
      <c r="R56" s="292" t="s">
        <v>949</v>
      </c>
      <c r="S56" s="831" t="s">
        <v>5131</v>
      </c>
      <c r="T56" s="292" t="s">
        <v>3601</v>
      </c>
      <c r="U56" s="831"/>
      <c r="V56" s="1072"/>
      <c r="W56" s="292"/>
      <c r="X56" s="831"/>
      <c r="Z56" s="14" t="b">
        <f t="array" ref="Z56">AND((C56:X56=inp_used),A56=inp_used_usersel)</f>
        <v>0</v>
      </c>
      <c r="AA56" s="14" t="b">
        <f t="array" ref="AA56">AND((C56:F56=inp_used_minimal),A56=inp_used_usersel)</f>
        <v>0</v>
      </c>
    </row>
    <row r="57" spans="1:27" s="14" customFormat="1">
      <c r="A57" s="823">
        <v>7</v>
      </c>
      <c r="B57" s="647">
        <v>1</v>
      </c>
      <c r="C57" s="823">
        <v>0.03</v>
      </c>
      <c r="D57" s="647" t="s">
        <v>1093</v>
      </c>
      <c r="E57" s="647">
        <v>7.0000000000000001E-3</v>
      </c>
      <c r="F57" s="647" t="s">
        <v>1093</v>
      </c>
      <c r="G57" s="647">
        <v>24</v>
      </c>
      <c r="H57" s="826" t="s">
        <v>3270</v>
      </c>
      <c r="I57" s="823" t="s">
        <v>5194</v>
      </c>
      <c r="J57" s="647"/>
      <c r="K57" s="824">
        <v>0.7</v>
      </c>
      <c r="L57" s="826">
        <v>12</v>
      </c>
      <c r="M57" s="823" t="s">
        <v>810</v>
      </c>
      <c r="N57" s="827">
        <v>6.65</v>
      </c>
      <c r="O57" s="832" t="s">
        <v>4229</v>
      </c>
      <c r="P57" s="837"/>
      <c r="Q57" s="823" t="s">
        <v>2397</v>
      </c>
      <c r="R57" s="647" t="s">
        <v>949</v>
      </c>
      <c r="S57" s="826" t="s">
        <v>5131</v>
      </c>
      <c r="T57" s="647"/>
      <c r="U57" s="826" t="s">
        <v>3593</v>
      </c>
      <c r="V57" s="936"/>
      <c r="W57" s="1073"/>
      <c r="X57" s="937"/>
      <c r="Y57" s="14" t="str">
        <f ca="1">INDEX(water_names,A57,1)</f>
        <v>Reuse Train Post MF</v>
      </c>
      <c r="Z57" s="14" t="b">
        <f t="array" ref="Z57">AND((C57:X57=inp_used),A57=inp_used_usersel)</f>
        <v>0</v>
      </c>
      <c r="AA57" s="14" t="b">
        <f t="array" ref="AA57">AND((C57:F57=inp_used_minimal),A57=inp_used_usersel)</f>
        <v>0</v>
      </c>
    </row>
    <row r="58" spans="1:27" s="14" customFormat="1">
      <c r="A58" s="823">
        <v>7</v>
      </c>
      <c r="B58" s="647">
        <v>2</v>
      </c>
      <c r="C58" s="823">
        <v>0.124</v>
      </c>
      <c r="D58" s="647" t="s">
        <v>1093</v>
      </c>
      <c r="E58" s="647">
        <v>3.5000000000000003E-2</v>
      </c>
      <c r="F58" s="647" t="s">
        <v>1093</v>
      </c>
      <c r="G58" s="647">
        <v>24</v>
      </c>
      <c r="H58" s="826" t="s">
        <v>3270</v>
      </c>
      <c r="I58" s="823" t="s">
        <v>5194</v>
      </c>
      <c r="J58" s="647"/>
      <c r="K58" s="824">
        <v>0.85</v>
      </c>
      <c r="L58" s="826">
        <v>12</v>
      </c>
      <c r="M58" s="823" t="s">
        <v>810</v>
      </c>
      <c r="N58" s="827">
        <v>6.65</v>
      </c>
      <c r="O58" s="832" t="s">
        <v>4229</v>
      </c>
      <c r="P58" s="837"/>
      <c r="Q58" s="823" t="s">
        <v>2397</v>
      </c>
      <c r="R58" s="647" t="s">
        <v>949</v>
      </c>
      <c r="S58" s="826" t="s">
        <v>5131</v>
      </c>
      <c r="T58" s="647"/>
      <c r="U58" s="826" t="s">
        <v>3593</v>
      </c>
      <c r="V58" s="1071"/>
      <c r="W58" s="647"/>
      <c r="X58" s="826"/>
      <c r="Z58" s="14" t="b">
        <f t="array" ref="Z58">AND((C58:X58=inp_used),A58=inp_used_usersel)</f>
        <v>0</v>
      </c>
      <c r="AA58" s="14" t="b">
        <f t="array" ref="AA58">AND((C58:F58=inp_used_minimal),A58=inp_used_usersel)</f>
        <v>0</v>
      </c>
    </row>
    <row r="59" spans="1:27" s="14" customFormat="1">
      <c r="A59" s="823">
        <v>7</v>
      </c>
      <c r="B59" s="647">
        <v>3</v>
      </c>
      <c r="C59" s="823">
        <v>0.30499999999999999</v>
      </c>
      <c r="D59" s="647" t="s">
        <v>1093</v>
      </c>
      <c r="E59" s="647">
        <v>9.4E-2</v>
      </c>
      <c r="F59" s="647" t="s">
        <v>1093</v>
      </c>
      <c r="G59" s="647">
        <v>24</v>
      </c>
      <c r="H59" s="826" t="s">
        <v>3270</v>
      </c>
      <c r="I59" s="823" t="s">
        <v>5195</v>
      </c>
      <c r="J59" s="647"/>
      <c r="K59" s="824">
        <v>0.85</v>
      </c>
      <c r="L59" s="826">
        <v>12</v>
      </c>
      <c r="M59" s="823" t="s">
        <v>810</v>
      </c>
      <c r="N59" s="827">
        <v>6.65</v>
      </c>
      <c r="O59" s="832" t="s">
        <v>4229</v>
      </c>
      <c r="P59" s="837"/>
      <c r="Q59" s="823" t="s">
        <v>2397</v>
      </c>
      <c r="R59" s="647" t="s">
        <v>949</v>
      </c>
      <c r="S59" s="826" t="s">
        <v>5131</v>
      </c>
      <c r="T59" s="647"/>
      <c r="U59" s="826" t="s">
        <v>3593</v>
      </c>
      <c r="V59" s="1071"/>
      <c r="W59" s="647"/>
      <c r="X59" s="826"/>
      <c r="Z59" s="14" t="b">
        <f t="array" ref="Z59">AND((C59:X59=inp_used),A59=inp_used_usersel)</f>
        <v>0</v>
      </c>
      <c r="AA59" s="14" t="b">
        <f t="array" ref="AA59">AND((C59:F59=inp_used_minimal),A59=inp_used_usersel)</f>
        <v>0</v>
      </c>
    </row>
    <row r="60" spans="1:27" s="14" customFormat="1">
      <c r="A60" s="823">
        <v>7</v>
      </c>
      <c r="B60" s="647">
        <v>4</v>
      </c>
      <c r="C60" s="823">
        <v>0.74</v>
      </c>
      <c r="D60" s="647" t="s">
        <v>1093</v>
      </c>
      <c r="E60" s="647">
        <v>0.251</v>
      </c>
      <c r="F60" s="647" t="s">
        <v>1093</v>
      </c>
      <c r="G60" s="647">
        <v>24</v>
      </c>
      <c r="H60" s="826" t="s">
        <v>3270</v>
      </c>
      <c r="I60" s="823" t="s">
        <v>5195</v>
      </c>
      <c r="J60" s="647"/>
      <c r="K60" s="824">
        <v>0.85</v>
      </c>
      <c r="L60" s="826">
        <v>12</v>
      </c>
      <c r="M60" s="823" t="s">
        <v>810</v>
      </c>
      <c r="N60" s="827">
        <v>6.65</v>
      </c>
      <c r="O60" s="832" t="s">
        <v>4229</v>
      </c>
      <c r="P60" s="837"/>
      <c r="Q60" s="823" t="s">
        <v>2397</v>
      </c>
      <c r="R60" s="647" t="s">
        <v>949</v>
      </c>
      <c r="S60" s="826" t="s">
        <v>5131</v>
      </c>
      <c r="T60" s="647"/>
      <c r="U60" s="826" t="s">
        <v>3593</v>
      </c>
      <c r="V60" s="1071"/>
      <c r="W60" s="647"/>
      <c r="X60" s="826"/>
      <c r="Z60" s="14" t="b">
        <f t="array" ref="Z60">AND((C60:X60=inp_used),A60=inp_used_usersel)</f>
        <v>0</v>
      </c>
      <c r="AA60" s="14" t="b">
        <f t="array" ref="AA60">AND((C60:F60=inp_used_minimal),A60=inp_used_usersel)</f>
        <v>0</v>
      </c>
    </row>
    <row r="61" spans="1:27" s="14" customFormat="1">
      <c r="A61" s="823">
        <v>7</v>
      </c>
      <c r="B61" s="647">
        <v>5</v>
      </c>
      <c r="C61" s="823">
        <v>2.1520000000000001</v>
      </c>
      <c r="D61" s="647" t="s">
        <v>1093</v>
      </c>
      <c r="E61" s="647">
        <v>0.81899999999999995</v>
      </c>
      <c r="F61" s="647" t="s">
        <v>1093</v>
      </c>
      <c r="G61" s="647">
        <v>24</v>
      </c>
      <c r="H61" s="826" t="s">
        <v>3269</v>
      </c>
      <c r="I61" s="823" t="s">
        <v>5195</v>
      </c>
      <c r="J61" s="647"/>
      <c r="K61" s="824">
        <v>0.85</v>
      </c>
      <c r="L61" s="826">
        <v>12</v>
      </c>
      <c r="M61" s="823" t="s">
        <v>810</v>
      </c>
      <c r="N61" s="827">
        <v>6.65</v>
      </c>
      <c r="O61" s="832" t="s">
        <v>4229</v>
      </c>
      <c r="P61" s="837"/>
      <c r="Q61" s="823" t="s">
        <v>2397</v>
      </c>
      <c r="R61" s="647" t="s">
        <v>949</v>
      </c>
      <c r="S61" s="826" t="s">
        <v>5131</v>
      </c>
      <c r="T61" s="647"/>
      <c r="U61" s="826" t="s">
        <v>3593</v>
      </c>
      <c r="V61" s="1071"/>
      <c r="W61" s="647"/>
      <c r="X61" s="826"/>
      <c r="Z61" s="14" t="b">
        <f t="array" ref="Z61">AND((C61:X61=inp_used),A61=inp_used_usersel)</f>
        <v>0</v>
      </c>
      <c r="AA61" s="14" t="b">
        <f t="array" ref="AA61">AND((C61:F61=inp_used_minimal),A61=inp_used_usersel)</f>
        <v>0</v>
      </c>
    </row>
    <row r="62" spans="1:27" s="14" customFormat="1">
      <c r="A62" s="823">
        <v>7</v>
      </c>
      <c r="B62" s="647">
        <v>6</v>
      </c>
      <c r="C62" s="823">
        <v>7.3650000000000002</v>
      </c>
      <c r="D62" s="647" t="s">
        <v>1093</v>
      </c>
      <c r="E62" s="647">
        <v>3.2</v>
      </c>
      <c r="F62" s="647" t="s">
        <v>1093</v>
      </c>
      <c r="G62" s="647">
        <v>24</v>
      </c>
      <c r="H62" s="826" t="s">
        <v>3269</v>
      </c>
      <c r="I62" s="823" t="s">
        <v>5195</v>
      </c>
      <c r="J62" s="647"/>
      <c r="K62" s="824">
        <v>0.85</v>
      </c>
      <c r="L62" s="826">
        <v>12</v>
      </c>
      <c r="M62" s="823" t="s">
        <v>810</v>
      </c>
      <c r="N62" s="827">
        <v>6.65</v>
      </c>
      <c r="O62" s="832" t="s">
        <v>4229</v>
      </c>
      <c r="P62" s="837"/>
      <c r="Q62" s="823" t="s">
        <v>2397</v>
      </c>
      <c r="R62" s="647" t="s">
        <v>949</v>
      </c>
      <c r="S62" s="826" t="s">
        <v>5131</v>
      </c>
      <c r="T62" s="647"/>
      <c r="U62" s="826" t="s">
        <v>3593</v>
      </c>
      <c r="V62" s="1071"/>
      <c r="W62" s="647"/>
      <c r="X62" s="826"/>
      <c r="Z62" s="14" t="b">
        <f t="array" ref="Z62">AND((C62:X62=inp_used),A62=inp_used_usersel)</f>
        <v>0</v>
      </c>
      <c r="AA62" s="14" t="b">
        <f t="array" ref="AA62">AND((C62:F62=inp_used_minimal),A62=inp_used_usersel)</f>
        <v>0</v>
      </c>
    </row>
    <row r="63" spans="1:27" s="14" customFormat="1">
      <c r="A63" s="823">
        <v>7</v>
      </c>
      <c r="B63" s="647">
        <v>7</v>
      </c>
      <c r="C63" s="823">
        <v>22.614000000000001</v>
      </c>
      <c r="D63" s="647" t="s">
        <v>1093</v>
      </c>
      <c r="E63" s="647">
        <v>11.066000000000001</v>
      </c>
      <c r="F63" s="647" t="s">
        <v>1093</v>
      </c>
      <c r="G63" s="647">
        <v>24</v>
      </c>
      <c r="H63" s="826" t="s">
        <v>3269</v>
      </c>
      <c r="I63" s="823" t="s">
        <v>5195</v>
      </c>
      <c r="J63" s="647"/>
      <c r="K63" s="824">
        <v>0.85</v>
      </c>
      <c r="L63" s="826">
        <v>12</v>
      </c>
      <c r="M63" s="823" t="s">
        <v>810</v>
      </c>
      <c r="N63" s="827">
        <v>6.65</v>
      </c>
      <c r="O63" s="832" t="s">
        <v>4229</v>
      </c>
      <c r="P63" s="837"/>
      <c r="Q63" s="823" t="s">
        <v>2397</v>
      </c>
      <c r="R63" s="647" t="s">
        <v>949</v>
      </c>
      <c r="S63" s="826" t="s">
        <v>5131</v>
      </c>
      <c r="T63" s="647"/>
      <c r="U63" s="826" t="s">
        <v>3593</v>
      </c>
      <c r="V63" s="1071"/>
      <c r="W63" s="647"/>
      <c r="X63" s="826"/>
      <c r="Z63" s="14" t="b">
        <f t="array" ref="Z63">AND((C63:X63=inp_used),A63=inp_used_usersel)</f>
        <v>0</v>
      </c>
      <c r="AA63" s="14" t="b">
        <f t="array" ref="AA63">AND((C63:F63=inp_used_minimal),A63=inp_used_usersel)</f>
        <v>0</v>
      </c>
    </row>
    <row r="64" spans="1:27" s="14" customFormat="1">
      <c r="A64" s="828">
        <v>7</v>
      </c>
      <c r="B64" s="292">
        <v>8</v>
      </c>
      <c r="C64" s="828">
        <v>75.072000000000003</v>
      </c>
      <c r="D64" s="292" t="s">
        <v>1093</v>
      </c>
      <c r="E64" s="292">
        <v>37.536000000000001</v>
      </c>
      <c r="F64" s="292" t="s">
        <v>1093</v>
      </c>
      <c r="G64" s="292">
        <v>24</v>
      </c>
      <c r="H64" s="831" t="s">
        <v>3269</v>
      </c>
      <c r="I64" s="828" t="s">
        <v>5195</v>
      </c>
      <c r="J64" s="292"/>
      <c r="K64" s="829">
        <v>0.85</v>
      </c>
      <c r="L64" s="831">
        <v>12</v>
      </c>
      <c r="M64" s="828" t="s">
        <v>810</v>
      </c>
      <c r="N64" s="830">
        <v>6.65</v>
      </c>
      <c r="O64" s="833" t="s">
        <v>4229</v>
      </c>
      <c r="P64" s="838"/>
      <c r="Q64" s="828" t="s">
        <v>2397</v>
      </c>
      <c r="R64" s="292" t="s">
        <v>949</v>
      </c>
      <c r="S64" s="831" t="s">
        <v>5131</v>
      </c>
      <c r="T64" s="292"/>
      <c r="U64" s="831" t="s">
        <v>3593</v>
      </c>
      <c r="V64" s="1072"/>
      <c r="W64" s="292"/>
      <c r="X64" s="831"/>
      <c r="Z64" s="14" t="b">
        <f t="array" ref="Z64">AND((C64:X64=inp_used),A64=inp_used_usersel)</f>
        <v>0</v>
      </c>
      <c r="AA64" s="14" t="b">
        <f t="array" ref="AA64">AND((C64:F64=inp_used_minimal),A64=inp_used_usersel)</f>
        <v>0</v>
      </c>
    </row>
    <row r="65" spans="1:27" s="14" customFormat="1">
      <c r="A65" s="823">
        <v>8</v>
      </c>
      <c r="B65" s="647">
        <v>1</v>
      </c>
      <c r="C65" s="823">
        <v>0.03</v>
      </c>
      <c r="D65" s="647" t="s">
        <v>1093</v>
      </c>
      <c r="E65" s="647">
        <v>7.0000000000000001E-3</v>
      </c>
      <c r="F65" s="647" t="s">
        <v>1093</v>
      </c>
      <c r="G65" s="647"/>
      <c r="H65" s="826"/>
      <c r="I65" s="823"/>
      <c r="J65" s="647"/>
      <c r="K65" s="824"/>
      <c r="L65" s="832"/>
      <c r="M65" s="823"/>
      <c r="N65" s="827"/>
      <c r="O65" s="832"/>
      <c r="P65" s="837"/>
      <c r="Q65" s="823"/>
      <c r="R65" s="647"/>
      <c r="S65" s="826"/>
      <c r="T65" s="647"/>
      <c r="U65" s="826"/>
      <c r="V65" s="936"/>
      <c r="W65" s="1073"/>
      <c r="X65" s="937"/>
      <c r="Y65" s="14" t="str">
        <f ca="1">INDEX(water_names,A65,1)</f>
        <v>2500 ppm NaCl</v>
      </c>
      <c r="Z65" s="14" t="b">
        <f t="array" ref="Z65">AND((C65:X65=inp_used),A65=inp_used_usersel)</f>
        <v>0</v>
      </c>
      <c r="AA65" s="14" t="b">
        <f t="array" ref="AA65">AND((C65:F65=inp_used_minimal),A65=inp_used_usersel)</f>
        <v>0</v>
      </c>
    </row>
    <row r="66" spans="1:27" s="14" customFormat="1">
      <c r="A66" s="823">
        <v>8</v>
      </c>
      <c r="B66" s="647">
        <v>2</v>
      </c>
      <c r="C66" s="823">
        <v>0.124</v>
      </c>
      <c r="D66" s="647" t="s">
        <v>1093</v>
      </c>
      <c r="E66" s="647">
        <v>3.5000000000000003E-2</v>
      </c>
      <c r="F66" s="647" t="s">
        <v>1093</v>
      </c>
      <c r="G66" s="647"/>
      <c r="H66" s="826"/>
      <c r="I66" s="823"/>
      <c r="J66" s="647"/>
      <c r="K66" s="824"/>
      <c r="L66" s="832"/>
      <c r="M66" s="823"/>
      <c r="N66" s="827"/>
      <c r="O66" s="832"/>
      <c r="P66" s="837"/>
      <c r="Q66" s="823"/>
      <c r="R66" s="647"/>
      <c r="S66" s="826"/>
      <c r="T66" s="647"/>
      <c r="U66" s="826"/>
      <c r="V66" s="1071"/>
      <c r="W66" s="647"/>
      <c r="X66" s="826"/>
      <c r="Z66" s="14" t="b">
        <f t="array" ref="Z66">AND((C66:X66=inp_used),A66=inp_used_usersel)</f>
        <v>0</v>
      </c>
      <c r="AA66" s="14" t="b">
        <f t="array" ref="AA66">AND((C66:F66=inp_used_minimal),A66=inp_used_usersel)</f>
        <v>0</v>
      </c>
    </row>
    <row r="67" spans="1:27" s="14" customFormat="1">
      <c r="A67" s="823">
        <v>8</v>
      </c>
      <c r="B67" s="647">
        <v>3</v>
      </c>
      <c r="C67" s="823">
        <v>0.30499999999999999</v>
      </c>
      <c r="D67" s="647" t="s">
        <v>1093</v>
      </c>
      <c r="E67" s="647">
        <v>9.4E-2</v>
      </c>
      <c r="F67" s="647" t="s">
        <v>1093</v>
      </c>
      <c r="G67" s="647"/>
      <c r="H67" s="826"/>
      <c r="I67" s="823"/>
      <c r="J67" s="647"/>
      <c r="K67" s="824"/>
      <c r="L67" s="832"/>
      <c r="M67" s="823"/>
      <c r="N67" s="827"/>
      <c r="O67" s="832"/>
      <c r="P67" s="837"/>
      <c r="Q67" s="823"/>
      <c r="R67" s="647"/>
      <c r="S67" s="826"/>
      <c r="T67" s="647"/>
      <c r="U67" s="826"/>
      <c r="V67" s="1071"/>
      <c r="W67" s="647"/>
      <c r="X67" s="826"/>
      <c r="Z67" s="14" t="b">
        <f t="array" ref="Z67">AND((C67:X67=inp_used),A67=inp_used_usersel)</f>
        <v>0</v>
      </c>
      <c r="AA67" s="14" t="b">
        <f t="array" ref="AA67">AND((C67:F67=inp_used_minimal),A67=inp_used_usersel)</f>
        <v>0</v>
      </c>
    </row>
    <row r="68" spans="1:27" s="14" customFormat="1">
      <c r="A68" s="823">
        <v>8</v>
      </c>
      <c r="B68" s="647">
        <v>4</v>
      </c>
      <c r="C68" s="823">
        <v>0.74</v>
      </c>
      <c r="D68" s="647" t="s">
        <v>1093</v>
      </c>
      <c r="E68" s="647">
        <v>0.251</v>
      </c>
      <c r="F68" s="647" t="s">
        <v>1093</v>
      </c>
      <c r="G68" s="647"/>
      <c r="H68" s="826"/>
      <c r="I68" s="823"/>
      <c r="J68" s="647"/>
      <c r="K68" s="824"/>
      <c r="L68" s="832"/>
      <c r="M68" s="823"/>
      <c r="N68" s="827"/>
      <c r="O68" s="832"/>
      <c r="P68" s="837"/>
      <c r="Q68" s="823"/>
      <c r="R68" s="647"/>
      <c r="S68" s="826"/>
      <c r="T68" s="647"/>
      <c r="U68" s="826"/>
      <c r="V68" s="1071"/>
      <c r="W68" s="647"/>
      <c r="X68" s="826"/>
      <c r="Z68" s="14" t="b">
        <f t="array" ref="Z68">AND((C68:X68=inp_used),A68=inp_used_usersel)</f>
        <v>0</v>
      </c>
      <c r="AA68" s="14" t="b">
        <f t="array" ref="AA68">AND((C68:F68=inp_used_minimal),A68=inp_used_usersel)</f>
        <v>0</v>
      </c>
    </row>
    <row r="69" spans="1:27" s="14" customFormat="1">
      <c r="A69" s="823">
        <v>8</v>
      </c>
      <c r="B69" s="647">
        <v>5</v>
      </c>
      <c r="C69" s="823">
        <v>2.1520000000000001</v>
      </c>
      <c r="D69" s="647" t="s">
        <v>1093</v>
      </c>
      <c r="E69" s="647">
        <v>0.81899999999999995</v>
      </c>
      <c r="F69" s="647" t="s">
        <v>1093</v>
      </c>
      <c r="G69" s="647"/>
      <c r="H69" s="826"/>
      <c r="I69" s="823"/>
      <c r="J69" s="647"/>
      <c r="K69" s="824"/>
      <c r="L69" s="832"/>
      <c r="M69" s="823"/>
      <c r="N69" s="827"/>
      <c r="O69" s="832"/>
      <c r="P69" s="837"/>
      <c r="Q69" s="823"/>
      <c r="R69" s="647"/>
      <c r="S69" s="826"/>
      <c r="T69" s="647"/>
      <c r="U69" s="826"/>
      <c r="V69" s="1071"/>
      <c r="W69" s="647"/>
      <c r="X69" s="826"/>
      <c r="Z69" s="14" t="b">
        <f t="array" ref="Z69">AND((C69:X69=inp_used),A69=inp_used_usersel)</f>
        <v>0</v>
      </c>
      <c r="AA69" s="14" t="b">
        <f t="array" ref="AA69">AND((C69:F69=inp_used_minimal),A69=inp_used_usersel)</f>
        <v>0</v>
      </c>
    </row>
    <row r="70" spans="1:27" s="14" customFormat="1">
      <c r="A70" s="823">
        <v>8</v>
      </c>
      <c r="B70" s="647">
        <v>6</v>
      </c>
      <c r="C70" s="823">
        <v>7.3650000000000002</v>
      </c>
      <c r="D70" s="647" t="s">
        <v>1093</v>
      </c>
      <c r="E70" s="647">
        <v>3.2</v>
      </c>
      <c r="F70" s="647" t="s">
        <v>1093</v>
      </c>
      <c r="G70" s="647"/>
      <c r="H70" s="826"/>
      <c r="I70" s="823"/>
      <c r="J70" s="647"/>
      <c r="K70" s="824"/>
      <c r="L70" s="832"/>
      <c r="M70" s="823"/>
      <c r="N70" s="827"/>
      <c r="O70" s="832"/>
      <c r="P70" s="837"/>
      <c r="Q70" s="823"/>
      <c r="R70" s="647"/>
      <c r="S70" s="826"/>
      <c r="T70" s="647"/>
      <c r="U70" s="826"/>
      <c r="V70" s="1071"/>
      <c r="W70" s="647"/>
      <c r="X70" s="826"/>
      <c r="Z70" s="14" t="b">
        <f t="array" ref="Z70">AND((C70:X70=inp_used),A70=inp_used_usersel)</f>
        <v>0</v>
      </c>
      <c r="AA70" s="14" t="b">
        <f t="array" ref="AA70">AND((C70:F70=inp_used_minimal),A70=inp_used_usersel)</f>
        <v>0</v>
      </c>
    </row>
    <row r="71" spans="1:27" s="14" customFormat="1">
      <c r="A71" s="823">
        <v>8</v>
      </c>
      <c r="B71" s="647">
        <v>7</v>
      </c>
      <c r="C71" s="823">
        <v>22.614000000000001</v>
      </c>
      <c r="D71" s="647" t="s">
        <v>1093</v>
      </c>
      <c r="E71" s="647">
        <v>11.066000000000001</v>
      </c>
      <c r="F71" s="647" t="s">
        <v>1093</v>
      </c>
      <c r="G71" s="647"/>
      <c r="H71" s="826"/>
      <c r="I71" s="823"/>
      <c r="J71" s="647"/>
      <c r="K71" s="824"/>
      <c r="L71" s="832"/>
      <c r="M71" s="823"/>
      <c r="N71" s="827"/>
      <c r="O71" s="832"/>
      <c r="P71" s="837"/>
      <c r="Q71" s="823"/>
      <c r="R71" s="647"/>
      <c r="S71" s="826"/>
      <c r="T71" s="647"/>
      <c r="U71" s="826"/>
      <c r="V71" s="1071"/>
      <c r="W71" s="647"/>
      <c r="X71" s="826"/>
      <c r="Z71" s="14" t="b">
        <f t="array" ref="Z71">AND((C71:X71=inp_used),A71=inp_used_usersel)</f>
        <v>0</v>
      </c>
      <c r="AA71" s="14" t="b">
        <f t="array" ref="AA71">AND((C71:F71=inp_used_minimal),A71=inp_used_usersel)</f>
        <v>0</v>
      </c>
    </row>
    <row r="72" spans="1:27" s="14" customFormat="1">
      <c r="A72" s="828">
        <v>8</v>
      </c>
      <c r="B72" s="292">
        <v>8</v>
      </c>
      <c r="C72" s="828">
        <v>75.072000000000003</v>
      </c>
      <c r="D72" s="292" t="s">
        <v>1093</v>
      </c>
      <c r="E72" s="292">
        <v>37.536000000000001</v>
      </c>
      <c r="F72" s="292" t="s">
        <v>1093</v>
      </c>
      <c r="G72" s="292"/>
      <c r="H72" s="831"/>
      <c r="I72" s="828"/>
      <c r="J72" s="292"/>
      <c r="K72" s="829"/>
      <c r="L72" s="833"/>
      <c r="M72" s="828"/>
      <c r="N72" s="830"/>
      <c r="O72" s="833"/>
      <c r="P72" s="838"/>
      <c r="Q72" s="828"/>
      <c r="R72" s="292"/>
      <c r="S72" s="831"/>
      <c r="T72" s="292"/>
      <c r="U72" s="831"/>
      <c r="V72" s="1072"/>
      <c r="W72" s="292"/>
      <c r="X72" s="831"/>
      <c r="Z72" s="14" t="b">
        <f t="array" ref="Z72">AND((C72:X72=inp_used),A72=inp_used_usersel)</f>
        <v>0</v>
      </c>
      <c r="AA72" s="14" t="b">
        <f t="array" ref="AA72">AND((C72:F72=inp_used_minimal),A72=inp_used_usersel)</f>
        <v>0</v>
      </c>
    </row>
    <row r="73" spans="1:27" s="14" customFormat="1">
      <c r="A73" s="823">
        <v>9</v>
      </c>
      <c r="B73" s="647">
        <v>1</v>
      </c>
      <c r="C73" s="823">
        <v>0.03</v>
      </c>
      <c r="D73" s="647" t="s">
        <v>1093</v>
      </c>
      <c r="E73" s="647">
        <v>7.0000000000000001E-3</v>
      </c>
      <c r="F73" s="647" t="s">
        <v>1093</v>
      </c>
      <c r="G73" s="647"/>
      <c r="H73" s="826"/>
      <c r="I73" s="823"/>
      <c r="J73" s="647"/>
      <c r="K73" s="824"/>
      <c r="L73" s="832"/>
      <c r="M73" s="823"/>
      <c r="N73" s="827"/>
      <c r="O73" s="832"/>
      <c r="P73" s="837"/>
      <c r="Q73" s="823"/>
      <c r="R73" s="647"/>
      <c r="S73" s="826"/>
      <c r="T73" s="647"/>
      <c r="U73" s="826"/>
      <c r="V73" s="936"/>
      <c r="W73" s="1073"/>
      <c r="X73" s="937"/>
      <c r="Y73" s="14" t="str">
        <f ca="1">INDEX(water_names,A73,1)</f>
        <v>1500 ppm NaCl</v>
      </c>
      <c r="Z73" s="14" t="b">
        <f t="array" ref="Z73">AND((C73:X73=inp_used),A73=inp_used_usersel)</f>
        <v>0</v>
      </c>
      <c r="AA73" s="14" t="b">
        <f t="array" ref="AA73">AND((C73:F73=inp_used_minimal),A73=inp_used_usersel)</f>
        <v>0</v>
      </c>
    </row>
    <row r="74" spans="1:27" s="14" customFormat="1">
      <c r="A74" s="823">
        <v>9</v>
      </c>
      <c r="B74" s="647">
        <v>2</v>
      </c>
      <c r="C74" s="823">
        <v>0.124</v>
      </c>
      <c r="D74" s="647" t="s">
        <v>1093</v>
      </c>
      <c r="E74" s="647">
        <v>3.5000000000000003E-2</v>
      </c>
      <c r="F74" s="647" t="s">
        <v>1093</v>
      </c>
      <c r="G74" s="647"/>
      <c r="H74" s="826"/>
      <c r="I74" s="823"/>
      <c r="J74" s="647"/>
      <c r="K74" s="824"/>
      <c r="L74" s="832"/>
      <c r="M74" s="823"/>
      <c r="N74" s="827"/>
      <c r="O74" s="832"/>
      <c r="P74" s="837"/>
      <c r="Q74" s="823"/>
      <c r="R74" s="647"/>
      <c r="S74" s="826"/>
      <c r="T74" s="647"/>
      <c r="U74" s="826"/>
      <c r="V74" s="1071"/>
      <c r="W74" s="647"/>
      <c r="X74" s="826"/>
      <c r="Z74" s="14" t="b">
        <f t="array" ref="Z74">AND((C74:X74=inp_used),A74=inp_used_usersel)</f>
        <v>0</v>
      </c>
      <c r="AA74" s="14" t="b">
        <f t="array" ref="AA74">AND((C74:F74=inp_used_minimal),A74=inp_used_usersel)</f>
        <v>0</v>
      </c>
    </row>
    <row r="75" spans="1:27" s="14" customFormat="1">
      <c r="A75" s="823">
        <v>9</v>
      </c>
      <c r="B75" s="647">
        <v>3</v>
      </c>
      <c r="C75" s="823">
        <v>0.30499999999999999</v>
      </c>
      <c r="D75" s="647" t="s">
        <v>1093</v>
      </c>
      <c r="E75" s="647">
        <v>9.4E-2</v>
      </c>
      <c r="F75" s="647" t="s">
        <v>1093</v>
      </c>
      <c r="G75" s="647"/>
      <c r="H75" s="826"/>
      <c r="I75" s="823"/>
      <c r="J75" s="647"/>
      <c r="K75" s="824"/>
      <c r="L75" s="832"/>
      <c r="M75" s="823"/>
      <c r="N75" s="827"/>
      <c r="O75" s="832"/>
      <c r="P75" s="837"/>
      <c r="Q75" s="823"/>
      <c r="R75" s="647"/>
      <c r="S75" s="826"/>
      <c r="T75" s="647"/>
      <c r="U75" s="826"/>
      <c r="V75" s="1071"/>
      <c r="W75" s="647"/>
      <c r="X75" s="826"/>
      <c r="Z75" s="14" t="b">
        <f t="array" ref="Z75">AND((C75:X75=inp_used),A75=inp_used_usersel)</f>
        <v>0</v>
      </c>
      <c r="AA75" s="14" t="b">
        <f t="array" ref="AA75">AND((C75:F75=inp_used_minimal),A75=inp_used_usersel)</f>
        <v>0</v>
      </c>
    </row>
    <row r="76" spans="1:27" s="14" customFormat="1">
      <c r="A76" s="823">
        <v>9</v>
      </c>
      <c r="B76" s="647">
        <v>4</v>
      </c>
      <c r="C76" s="823">
        <v>0.74</v>
      </c>
      <c r="D76" s="647" t="s">
        <v>1093</v>
      </c>
      <c r="E76" s="647">
        <v>0.251</v>
      </c>
      <c r="F76" s="647" t="s">
        <v>1093</v>
      </c>
      <c r="G76" s="647"/>
      <c r="H76" s="826"/>
      <c r="I76" s="823"/>
      <c r="J76" s="647"/>
      <c r="K76" s="824"/>
      <c r="L76" s="832"/>
      <c r="M76" s="823"/>
      <c r="N76" s="827"/>
      <c r="O76" s="832"/>
      <c r="P76" s="837"/>
      <c r="Q76" s="823"/>
      <c r="R76" s="647"/>
      <c r="S76" s="826"/>
      <c r="T76" s="647"/>
      <c r="U76" s="826"/>
      <c r="V76" s="1071"/>
      <c r="W76" s="647"/>
      <c r="X76" s="826"/>
      <c r="Z76" s="14" t="b">
        <f t="array" ref="Z76">AND((C76:X76=inp_used),A76=inp_used_usersel)</f>
        <v>0</v>
      </c>
      <c r="AA76" s="14" t="b">
        <f t="array" ref="AA76">AND((C76:F76=inp_used_minimal),A76=inp_used_usersel)</f>
        <v>0</v>
      </c>
    </row>
    <row r="77" spans="1:27" s="14" customFormat="1">
      <c r="A77" s="823">
        <v>9</v>
      </c>
      <c r="B77" s="647">
        <v>5</v>
      </c>
      <c r="C77" s="823">
        <v>2.1520000000000001</v>
      </c>
      <c r="D77" s="647" t="s">
        <v>1093</v>
      </c>
      <c r="E77" s="647">
        <v>0.81899999999999995</v>
      </c>
      <c r="F77" s="647" t="s">
        <v>1093</v>
      </c>
      <c r="G77" s="647"/>
      <c r="H77" s="826"/>
      <c r="I77" s="823"/>
      <c r="J77" s="647"/>
      <c r="K77" s="824"/>
      <c r="L77" s="832"/>
      <c r="M77" s="823"/>
      <c r="N77" s="827"/>
      <c r="O77" s="832"/>
      <c r="P77" s="837"/>
      <c r="Q77" s="823"/>
      <c r="R77" s="647"/>
      <c r="S77" s="826"/>
      <c r="T77" s="647"/>
      <c r="U77" s="826"/>
      <c r="V77" s="1071"/>
      <c r="W77" s="647"/>
      <c r="X77" s="826"/>
      <c r="Z77" s="14" t="b">
        <f t="array" ref="Z77">AND((C77:X77=inp_used),A77=inp_used_usersel)</f>
        <v>0</v>
      </c>
      <c r="AA77" s="14" t="b">
        <f t="array" ref="AA77">AND((C77:F77=inp_used_minimal),A77=inp_used_usersel)</f>
        <v>0</v>
      </c>
    </row>
    <row r="78" spans="1:27" s="14" customFormat="1">
      <c r="A78" s="823">
        <v>9</v>
      </c>
      <c r="B78" s="647">
        <v>6</v>
      </c>
      <c r="C78" s="823">
        <v>7.3650000000000002</v>
      </c>
      <c r="D78" s="647" t="s">
        <v>1093</v>
      </c>
      <c r="E78" s="647">
        <v>3.2</v>
      </c>
      <c r="F78" s="647" t="s">
        <v>1093</v>
      </c>
      <c r="G78" s="647"/>
      <c r="H78" s="826"/>
      <c r="I78" s="823"/>
      <c r="J78" s="647"/>
      <c r="K78" s="824"/>
      <c r="L78" s="832"/>
      <c r="M78" s="823"/>
      <c r="N78" s="827"/>
      <c r="O78" s="832"/>
      <c r="P78" s="837"/>
      <c r="Q78" s="823"/>
      <c r="R78" s="647"/>
      <c r="S78" s="826"/>
      <c r="T78" s="647"/>
      <c r="U78" s="826"/>
      <c r="V78" s="1071"/>
      <c r="W78" s="647"/>
      <c r="X78" s="826"/>
      <c r="Z78" s="14" t="b">
        <f t="array" ref="Z78">AND((C78:X78=inp_used),A78=inp_used_usersel)</f>
        <v>0</v>
      </c>
      <c r="AA78" s="14" t="b">
        <f t="array" ref="AA78">AND((C78:F78=inp_used_minimal),A78=inp_used_usersel)</f>
        <v>0</v>
      </c>
    </row>
    <row r="79" spans="1:27" s="14" customFormat="1">
      <c r="A79" s="823">
        <v>9</v>
      </c>
      <c r="B79" s="647">
        <v>7</v>
      </c>
      <c r="C79" s="823">
        <v>22.614000000000001</v>
      </c>
      <c r="D79" s="647" t="s">
        <v>1093</v>
      </c>
      <c r="E79" s="647">
        <v>11.066000000000001</v>
      </c>
      <c r="F79" s="647" t="s">
        <v>1093</v>
      </c>
      <c r="G79" s="647"/>
      <c r="H79" s="826"/>
      <c r="I79" s="823"/>
      <c r="J79" s="647"/>
      <c r="K79" s="824"/>
      <c r="L79" s="832"/>
      <c r="M79" s="823"/>
      <c r="N79" s="827"/>
      <c r="O79" s="832"/>
      <c r="P79" s="837"/>
      <c r="Q79" s="823"/>
      <c r="R79" s="647"/>
      <c r="S79" s="826"/>
      <c r="T79" s="647"/>
      <c r="U79" s="826"/>
      <c r="V79" s="1071"/>
      <c r="W79" s="647"/>
      <c r="X79" s="826"/>
      <c r="Z79" s="14" t="b">
        <f t="array" ref="Z79">AND((C79:X79=inp_used),A79=inp_used_usersel)</f>
        <v>0</v>
      </c>
      <c r="AA79" s="14" t="b">
        <f t="array" ref="AA79">AND((C79:F79=inp_used_minimal),A79=inp_used_usersel)</f>
        <v>0</v>
      </c>
    </row>
    <row r="80" spans="1:27" s="14" customFormat="1">
      <c r="A80" s="828">
        <v>9</v>
      </c>
      <c r="B80" s="292">
        <v>8</v>
      </c>
      <c r="C80" s="828">
        <v>75.072000000000003</v>
      </c>
      <c r="D80" s="292" t="s">
        <v>1093</v>
      </c>
      <c r="E80" s="292">
        <v>37.536000000000001</v>
      </c>
      <c r="F80" s="292" t="s">
        <v>1093</v>
      </c>
      <c r="G80" s="292"/>
      <c r="H80" s="831"/>
      <c r="I80" s="828"/>
      <c r="J80" s="292"/>
      <c r="K80" s="829"/>
      <c r="L80" s="833"/>
      <c r="M80" s="828"/>
      <c r="N80" s="830"/>
      <c r="O80" s="833"/>
      <c r="P80" s="838"/>
      <c r="Q80" s="828"/>
      <c r="R80" s="292"/>
      <c r="S80" s="831"/>
      <c r="T80" s="292"/>
      <c r="U80" s="831"/>
      <c r="V80" s="1072"/>
      <c r="W80" s="292"/>
      <c r="X80" s="831"/>
      <c r="Z80" s="14" t="b">
        <f t="array" ref="Z80">AND((C80:X80=inp_used),A80=inp_used_usersel)</f>
        <v>0</v>
      </c>
      <c r="AA80" s="14" t="b">
        <f t="array" ref="AA80">AND((C80:F80=inp_used_minimal),A80=inp_used_usersel)</f>
        <v>0</v>
      </c>
    </row>
    <row r="81" spans="1:27" s="14" customFormat="1">
      <c r="A81" s="823">
        <v>10</v>
      </c>
      <c r="B81" s="647">
        <v>1</v>
      </c>
      <c r="C81" s="823">
        <v>0.03</v>
      </c>
      <c r="D81" s="647" t="s">
        <v>1093</v>
      </c>
      <c r="E81" s="647">
        <v>7.0000000000000001E-3</v>
      </c>
      <c r="F81" s="647" t="s">
        <v>1093</v>
      </c>
      <c r="G81" s="647"/>
      <c r="H81" s="826"/>
      <c r="I81" s="823"/>
      <c r="J81" s="647"/>
      <c r="K81" s="824"/>
      <c r="L81" s="832"/>
      <c r="M81" s="823"/>
      <c r="N81" s="827"/>
      <c r="O81" s="832"/>
      <c r="P81" s="837"/>
      <c r="Q81" s="823"/>
      <c r="R81" s="647"/>
      <c r="S81" s="826"/>
      <c r="T81" s="647"/>
      <c r="U81" s="826"/>
      <c r="V81" s="936"/>
      <c r="W81" s="1073"/>
      <c r="X81" s="937"/>
      <c r="Y81" s="14" t="str">
        <f ca="1">INDEX(water_names,A81,1)</f>
        <v>2000 ppm MgSO4</v>
      </c>
      <c r="Z81" s="14" t="b">
        <f t="array" ref="Z81">AND((C81:X81=inp_used),A81=inp_used_usersel)</f>
        <v>0</v>
      </c>
      <c r="AA81" s="14" t="b">
        <f t="array" ref="AA81">AND((C81:F81=inp_used_minimal),A81=inp_used_usersel)</f>
        <v>0</v>
      </c>
    </row>
    <row r="82" spans="1:27" s="14" customFormat="1">
      <c r="A82" s="823">
        <v>10</v>
      </c>
      <c r="B82" s="647">
        <v>2</v>
      </c>
      <c r="C82" s="823">
        <v>0.124</v>
      </c>
      <c r="D82" s="647" t="s">
        <v>1093</v>
      </c>
      <c r="E82" s="647">
        <v>3.5000000000000003E-2</v>
      </c>
      <c r="F82" s="647" t="s">
        <v>1093</v>
      </c>
      <c r="G82" s="647"/>
      <c r="H82" s="826"/>
      <c r="I82" s="823"/>
      <c r="J82" s="647"/>
      <c r="K82" s="824"/>
      <c r="L82" s="832"/>
      <c r="M82" s="823"/>
      <c r="N82" s="827"/>
      <c r="O82" s="832"/>
      <c r="P82" s="837"/>
      <c r="Q82" s="823"/>
      <c r="R82" s="647"/>
      <c r="S82" s="826"/>
      <c r="T82" s="647"/>
      <c r="U82" s="826"/>
      <c r="V82" s="1071"/>
      <c r="W82" s="647"/>
      <c r="X82" s="826"/>
      <c r="Z82" s="14" t="b">
        <f t="array" ref="Z82">AND((C82:X82=inp_used),A82=inp_used_usersel)</f>
        <v>0</v>
      </c>
      <c r="AA82" s="14" t="b">
        <f t="array" ref="AA82">AND((C82:F82=inp_used_minimal),A82=inp_used_usersel)</f>
        <v>0</v>
      </c>
    </row>
    <row r="83" spans="1:27" s="14" customFormat="1">
      <c r="A83" s="823">
        <v>10</v>
      </c>
      <c r="B83" s="647">
        <v>3</v>
      </c>
      <c r="C83" s="823">
        <v>0.30499999999999999</v>
      </c>
      <c r="D83" s="647" t="s">
        <v>1093</v>
      </c>
      <c r="E83" s="647">
        <v>9.4E-2</v>
      </c>
      <c r="F83" s="647" t="s">
        <v>1093</v>
      </c>
      <c r="G83" s="647"/>
      <c r="H83" s="826"/>
      <c r="I83" s="823"/>
      <c r="J83" s="647"/>
      <c r="K83" s="824"/>
      <c r="L83" s="832"/>
      <c r="M83" s="823"/>
      <c r="N83" s="827"/>
      <c r="O83" s="832"/>
      <c r="P83" s="837"/>
      <c r="Q83" s="823"/>
      <c r="R83" s="647"/>
      <c r="S83" s="826"/>
      <c r="T83" s="647"/>
      <c r="U83" s="826"/>
      <c r="V83" s="1071"/>
      <c r="W83" s="647"/>
      <c r="X83" s="826"/>
      <c r="Z83" s="14" t="b">
        <f t="array" ref="Z83">AND((C83:X83=inp_used),A83=inp_used_usersel)</f>
        <v>0</v>
      </c>
      <c r="AA83" s="14" t="b">
        <f t="array" ref="AA83">AND((C83:F83=inp_used_minimal),A83=inp_used_usersel)</f>
        <v>0</v>
      </c>
    </row>
    <row r="84" spans="1:27" s="14" customFormat="1">
      <c r="A84" s="823">
        <v>10</v>
      </c>
      <c r="B84" s="647">
        <v>4</v>
      </c>
      <c r="C84" s="823">
        <v>0.74</v>
      </c>
      <c r="D84" s="647" t="s">
        <v>1093</v>
      </c>
      <c r="E84" s="647">
        <v>0.251</v>
      </c>
      <c r="F84" s="647" t="s">
        <v>1093</v>
      </c>
      <c r="G84" s="647"/>
      <c r="H84" s="826"/>
      <c r="I84" s="823"/>
      <c r="J84" s="647"/>
      <c r="K84" s="824"/>
      <c r="L84" s="832"/>
      <c r="M84" s="823"/>
      <c r="N84" s="827"/>
      <c r="O84" s="832"/>
      <c r="P84" s="837"/>
      <c r="Q84" s="823"/>
      <c r="R84" s="647"/>
      <c r="S84" s="826"/>
      <c r="T84" s="647"/>
      <c r="U84" s="826"/>
      <c r="V84" s="1071"/>
      <c r="W84" s="647"/>
      <c r="X84" s="826"/>
      <c r="Z84" s="14" t="b">
        <f t="array" ref="Z84">AND((C84:X84=inp_used),A84=inp_used_usersel)</f>
        <v>0</v>
      </c>
      <c r="AA84" s="14" t="b">
        <f t="array" ref="AA84">AND((C84:F84=inp_used_minimal),A84=inp_used_usersel)</f>
        <v>0</v>
      </c>
    </row>
    <row r="85" spans="1:27" s="14" customFormat="1">
      <c r="A85" s="823">
        <v>10</v>
      </c>
      <c r="B85" s="647">
        <v>5</v>
      </c>
      <c r="C85" s="823">
        <v>2.1520000000000001</v>
      </c>
      <c r="D85" s="647" t="s">
        <v>1093</v>
      </c>
      <c r="E85" s="647">
        <v>0.81899999999999995</v>
      </c>
      <c r="F85" s="647" t="s">
        <v>1093</v>
      </c>
      <c r="G85" s="647"/>
      <c r="H85" s="826"/>
      <c r="I85" s="823"/>
      <c r="J85" s="647"/>
      <c r="K85" s="824"/>
      <c r="L85" s="832"/>
      <c r="M85" s="823"/>
      <c r="N85" s="827"/>
      <c r="O85" s="832"/>
      <c r="P85" s="837"/>
      <c r="Q85" s="823"/>
      <c r="R85" s="647"/>
      <c r="S85" s="826"/>
      <c r="T85" s="647"/>
      <c r="U85" s="826"/>
      <c r="V85" s="1071"/>
      <c r="W85" s="647"/>
      <c r="X85" s="826"/>
      <c r="Z85" s="14" t="b">
        <f t="array" ref="Z85">AND((C85:X85=inp_used),A85=inp_used_usersel)</f>
        <v>0</v>
      </c>
      <c r="AA85" s="14" t="b">
        <f t="array" ref="AA85">AND((C85:F85=inp_used_minimal),A85=inp_used_usersel)</f>
        <v>0</v>
      </c>
    </row>
    <row r="86" spans="1:27" s="14" customFormat="1">
      <c r="A86" s="823">
        <v>10</v>
      </c>
      <c r="B86" s="647">
        <v>6</v>
      </c>
      <c r="C86" s="823">
        <v>7.3650000000000002</v>
      </c>
      <c r="D86" s="647" t="s">
        <v>1093</v>
      </c>
      <c r="E86" s="647">
        <v>3.2</v>
      </c>
      <c r="F86" s="647" t="s">
        <v>1093</v>
      </c>
      <c r="G86" s="647"/>
      <c r="H86" s="826"/>
      <c r="I86" s="823"/>
      <c r="J86" s="647"/>
      <c r="K86" s="824"/>
      <c r="L86" s="832"/>
      <c r="M86" s="823"/>
      <c r="N86" s="827"/>
      <c r="O86" s="832"/>
      <c r="P86" s="837"/>
      <c r="Q86" s="823"/>
      <c r="R86" s="647"/>
      <c r="S86" s="826"/>
      <c r="T86" s="647"/>
      <c r="U86" s="826"/>
      <c r="V86" s="1071"/>
      <c r="W86" s="647"/>
      <c r="X86" s="826"/>
      <c r="Z86" s="14" t="b">
        <f t="array" ref="Z86">AND((C86:X86=inp_used),A86=inp_used_usersel)</f>
        <v>0</v>
      </c>
      <c r="AA86" s="14" t="b">
        <f t="array" ref="AA86">AND((C86:F86=inp_used_minimal),A86=inp_used_usersel)</f>
        <v>0</v>
      </c>
    </row>
    <row r="87" spans="1:27" s="14" customFormat="1">
      <c r="A87" s="823">
        <v>10</v>
      </c>
      <c r="B87" s="647">
        <v>7</v>
      </c>
      <c r="C87" s="823">
        <v>22.614000000000001</v>
      </c>
      <c r="D87" s="647" t="s">
        <v>1093</v>
      </c>
      <c r="E87" s="647">
        <v>11.066000000000001</v>
      </c>
      <c r="F87" s="647" t="s">
        <v>1093</v>
      </c>
      <c r="G87" s="647"/>
      <c r="H87" s="826"/>
      <c r="I87" s="823"/>
      <c r="J87" s="647"/>
      <c r="K87" s="824"/>
      <c r="L87" s="832"/>
      <c r="M87" s="823"/>
      <c r="N87" s="827"/>
      <c r="O87" s="832"/>
      <c r="P87" s="837"/>
      <c r="Q87" s="823"/>
      <c r="R87" s="647"/>
      <c r="S87" s="826"/>
      <c r="T87" s="647"/>
      <c r="U87" s="826"/>
      <c r="V87" s="1071"/>
      <c r="W87" s="647"/>
      <c r="X87" s="826"/>
      <c r="Z87" s="14" t="b">
        <f t="array" ref="Z87">AND((C87:X87=inp_used),A87=inp_used_usersel)</f>
        <v>0</v>
      </c>
      <c r="AA87" s="14" t="b">
        <f t="array" ref="AA87">AND((C87:F87=inp_used_minimal),A87=inp_used_usersel)</f>
        <v>0</v>
      </c>
    </row>
    <row r="88" spans="1:27" s="14" customFormat="1">
      <c r="A88" s="828">
        <v>10</v>
      </c>
      <c r="B88" s="292">
        <v>8</v>
      </c>
      <c r="C88" s="828">
        <v>75.072000000000003</v>
      </c>
      <c r="D88" s="292" t="s">
        <v>1093</v>
      </c>
      <c r="E88" s="292">
        <v>37.536000000000001</v>
      </c>
      <c r="F88" s="292" t="s">
        <v>1093</v>
      </c>
      <c r="G88" s="292"/>
      <c r="H88" s="831"/>
      <c r="I88" s="828"/>
      <c r="J88" s="292"/>
      <c r="K88" s="829"/>
      <c r="L88" s="833"/>
      <c r="M88" s="828"/>
      <c r="N88" s="830"/>
      <c r="O88" s="833"/>
      <c r="P88" s="838"/>
      <c r="Q88" s="828"/>
      <c r="R88" s="292"/>
      <c r="S88" s="831"/>
      <c r="T88" s="292"/>
      <c r="U88" s="831"/>
      <c r="V88" s="1072"/>
      <c r="W88" s="292"/>
      <c r="X88" s="831"/>
      <c r="Z88" s="14" t="b">
        <f t="array" ref="Z88">AND((C88:X88=inp_used),A88=inp_used_usersel)</f>
        <v>0</v>
      </c>
      <c r="AA88" s="14" t="b">
        <f t="array" ref="AA88">AND((C88:F88=inp_used_minimal),A88=inp_used_usersel)</f>
        <v>0</v>
      </c>
    </row>
    <row r="89" spans="1:27" s="14" customFormat="1"/>
    <row r="90" spans="1:27" s="14" customFormat="1">
      <c r="A90" s="456">
        <f>IF(LEN(water_index)=0,"",water_index)</f>
        <v>6</v>
      </c>
      <c r="B90" s="456" t="s">
        <v>406</v>
      </c>
      <c r="C90" s="456">
        <f>IF(LEN(design_flow_I)=0,"",design_flow_I)</f>
        <v>2.1520000000000001</v>
      </c>
      <c r="D90" s="456" t="str">
        <f>IF(LEN(df_units)=0,"",df_units)</f>
        <v>MGD</v>
      </c>
      <c r="E90" s="456">
        <f>IF(LEN(average_flow_I)=0,"",average_flow_I)</f>
        <v>2.1520000000000001</v>
      </c>
      <c r="F90" s="456" t="str">
        <f>IF(LEN(af_units)=0,"",af_units)</f>
        <v>MGD</v>
      </c>
      <c r="G90" s="456">
        <f>IF(LEN(T_feed)=0,"",T_feed)</f>
        <v>15</v>
      </c>
      <c r="H90" s="456" t="str">
        <f>IF(LEN(redundancy_I)=0,"",redundancy_I)</f>
        <v>no</v>
      </c>
      <c r="I90" s="456" t="str">
        <f>IF(LEN(element_I)=0,"",element_I)</f>
        <v>8 inch Brackish Water RO</v>
      </c>
      <c r="J90" s="456" t="str">
        <f>IF(LEN(op_trains_I)&gt;0,op_trains_I,"")</f>
        <v/>
      </c>
      <c r="K90" s="456">
        <f>IF(LEN(target_recovery)=0,"",target_recovery)</f>
        <v>0.75</v>
      </c>
      <c r="L90" s="456">
        <f>IF(LEN(design_flux)=0,"",design_flux)</f>
        <v>12</v>
      </c>
      <c r="M90" s="456" t="str">
        <f>IF(LEN(pretreat_acid_I)=0,"",pretreat_acid_I)</f>
        <v>H2SO4</v>
      </c>
      <c r="N90" s="456">
        <f>IF(LEN(treated_feed_pH)=0,"",treated_feed_pH)</f>
        <v>6.5</v>
      </c>
      <c r="O90" s="456" t="str">
        <f>IF(LEN(use_antiscalant_I)=0,"",use_antiscalant_I)</f>
        <v>Basic (carbonate)</v>
      </c>
      <c r="P90" s="456" t="str">
        <f>IF(LEN(clean_interval_override)=0,"",clean_interval_override)</f>
        <v/>
      </c>
      <c r="Q90" s="456" t="str">
        <f>IF(LEN(res_s2_opt_I)=0,"",res_s2_opt_I)</f>
        <v>hazardous waste disposal</v>
      </c>
      <c r="R90" s="456" t="str">
        <f>IF(LEN(res_s1_opt_I)=0,"",res_s1_opt_I)</f>
        <v>holding tanks</v>
      </c>
      <c r="S90" s="456" t="str">
        <f>IF(LEN(solids_haz_I)=0,"",solids_haz_I)</f>
        <v>hazardous</v>
      </c>
      <c r="T90" s="456" t="str">
        <f>IF(LEN(component_level_I)=0,"",component_level_I)</f>
        <v>low cost</v>
      </c>
      <c r="U90" s="456" t="str">
        <f>IF(LEN(manual_I)=0,"",manual_I)</f>
        <v/>
      </c>
      <c r="V90" s="456" t="str">
        <f>IF(LEN(include_buildings_I)=0,"",include_buildings_I)</f>
        <v>no</v>
      </c>
      <c r="W90" s="456" t="str">
        <f>IF(LEN(include_HVAC_I)=0,"",include_HVAC_I)</f>
        <v>no</v>
      </c>
      <c r="X90" s="456" t="str">
        <f>IF(LEN(include_land_I)=0,"",include_land_I)</f>
        <v>no</v>
      </c>
      <c r="Y90" s="14" t="s">
        <v>407</v>
      </c>
    </row>
    <row r="91" spans="1:27" s="14" customFormat="1">
      <c r="A91" s="456">
        <v>6</v>
      </c>
      <c r="B91" s="456"/>
      <c r="C91" s="456">
        <v>2.1520000000000001</v>
      </c>
      <c r="D91" s="456" t="s">
        <v>1093</v>
      </c>
      <c r="E91" s="456">
        <v>2.1520000000000001</v>
      </c>
      <c r="F91" s="456" t="s">
        <v>1093</v>
      </c>
      <c r="G91" s="456">
        <v>15</v>
      </c>
      <c r="H91" s="456" t="s">
        <v>3270</v>
      </c>
      <c r="I91" s="456" t="s">
        <v>5197</v>
      </c>
      <c r="J91" s="456"/>
      <c r="K91" s="456">
        <v>0.75</v>
      </c>
      <c r="L91" s="456">
        <v>12</v>
      </c>
      <c r="M91" s="456" t="s">
        <v>810</v>
      </c>
      <c r="N91" s="456">
        <v>6.5</v>
      </c>
      <c r="O91" s="456" t="s">
        <v>4230</v>
      </c>
      <c r="P91" s="456"/>
      <c r="Q91" s="456" t="s">
        <v>5114</v>
      </c>
      <c r="R91" s="456" t="s">
        <v>954</v>
      </c>
      <c r="S91" s="456" t="s">
        <v>950</v>
      </c>
      <c r="T91" s="456" t="s">
        <v>3599</v>
      </c>
      <c r="U91" s="456"/>
      <c r="V91" s="456" t="s">
        <v>3270</v>
      </c>
      <c r="W91" s="456" t="s">
        <v>3270</v>
      </c>
      <c r="X91" s="456" t="s">
        <v>3270</v>
      </c>
      <c r="Y91" s="14" t="s">
        <v>408</v>
      </c>
      <c r="Z91" s="14" t="b">
        <f t="array" ref="Z91">AND((C91:X91=inp_used),A91=inp_used_usersel)</f>
        <v>1</v>
      </c>
    </row>
    <row r="96" spans="1:27">
      <c r="C96" s="214"/>
    </row>
  </sheetData>
  <mergeCells count="7">
    <mergeCell ref="A6:B6"/>
    <mergeCell ref="AB7:AC7"/>
    <mergeCell ref="T6:X6"/>
    <mergeCell ref="C6:H6"/>
    <mergeCell ref="I6:L6"/>
    <mergeCell ref="M6:O6"/>
    <mergeCell ref="Q6:S6"/>
  </mergeCells>
  <phoneticPr fontId="0" type="noConversion"/>
  <conditionalFormatting sqref="A8">
    <cfRule type="cellIs" dxfId="1944" priority="5722" stopIfTrue="1" operator="notEqual">
      <formula>"water_index"</formula>
    </cfRule>
  </conditionalFormatting>
  <conditionalFormatting sqref="B8">
    <cfRule type="expression" dxfId="1943" priority="5723" stopIfTrue="1">
      <formula>NOT(ISBLANK($B$8))</formula>
    </cfRule>
  </conditionalFormatting>
  <conditionalFormatting sqref="C8">
    <cfRule type="cellIs" dxfId="1942" priority="5724" stopIfTrue="1" operator="notEqual">
      <formula>"design_flow_I"</formula>
    </cfRule>
  </conditionalFormatting>
  <conditionalFormatting sqref="D8">
    <cfRule type="cellIs" dxfId="1941" priority="5725" stopIfTrue="1" operator="notEqual">
      <formula>"df_units"</formula>
    </cfRule>
  </conditionalFormatting>
  <conditionalFormatting sqref="E8">
    <cfRule type="cellIs" dxfId="1940" priority="5726" stopIfTrue="1" operator="notEqual">
      <formula>"average_flow_I"</formula>
    </cfRule>
  </conditionalFormatting>
  <conditionalFormatting sqref="F8">
    <cfRule type="cellIs" dxfId="1939" priority="5727" stopIfTrue="1" operator="notEqual">
      <formula>"af_units"</formula>
    </cfRule>
  </conditionalFormatting>
  <conditionalFormatting sqref="G8">
    <cfRule type="cellIs" dxfId="1938" priority="5728" stopIfTrue="1" operator="notEqual">
      <formula>"T_feed"</formula>
    </cfRule>
  </conditionalFormatting>
  <conditionalFormatting sqref="H8">
    <cfRule type="cellIs" dxfId="1937" priority="5729" stopIfTrue="1" operator="notEqual">
      <formula>"redundancy_I"</formula>
    </cfRule>
  </conditionalFormatting>
  <conditionalFormatting sqref="I8">
    <cfRule type="cellIs" dxfId="1936" priority="5730" stopIfTrue="1" operator="notEqual">
      <formula>"element_I"</formula>
    </cfRule>
  </conditionalFormatting>
  <conditionalFormatting sqref="J8">
    <cfRule type="cellIs" dxfId="1935" priority="5731" stopIfTrue="1" operator="notEqual">
      <formula>"op_trains_I"</formula>
    </cfRule>
  </conditionalFormatting>
  <conditionalFormatting sqref="K8">
    <cfRule type="cellIs" dxfId="1934" priority="5732" stopIfTrue="1" operator="notEqual">
      <formula>"target_recovery"</formula>
    </cfRule>
  </conditionalFormatting>
  <conditionalFormatting sqref="L8">
    <cfRule type="cellIs" dxfId="1933" priority="5733" stopIfTrue="1" operator="notEqual">
      <formula>"design_flux"</formula>
    </cfRule>
  </conditionalFormatting>
  <conditionalFormatting sqref="M8">
    <cfRule type="cellIs" dxfId="1932" priority="5734" stopIfTrue="1" operator="notEqual">
      <formula>"pretreat_acid_I"</formula>
    </cfRule>
  </conditionalFormatting>
  <conditionalFormatting sqref="N8">
    <cfRule type="cellIs" dxfId="1931" priority="5735" stopIfTrue="1" operator="notEqual">
      <formula>"treated_feed_pH"</formula>
    </cfRule>
  </conditionalFormatting>
  <conditionalFormatting sqref="O8">
    <cfRule type="cellIs" dxfId="1930" priority="5736" stopIfTrue="1" operator="notEqual">
      <formula>"use_antiscalant_I"</formula>
    </cfRule>
  </conditionalFormatting>
  <conditionalFormatting sqref="P8">
    <cfRule type="cellIs" dxfId="1929" priority="5737" stopIfTrue="1" operator="notEqual">
      <formula>"clean_interval_override"</formula>
    </cfRule>
  </conditionalFormatting>
  <conditionalFormatting sqref="Q8">
    <cfRule type="cellIs" dxfId="1928" priority="5738" stopIfTrue="1" operator="notEqual">
      <formula>"res_s2_opt_I"</formula>
    </cfRule>
  </conditionalFormatting>
  <conditionalFormatting sqref="R8">
    <cfRule type="cellIs" dxfId="1927" priority="5739" stopIfTrue="1" operator="notEqual">
      <formula>"res_s1_opt_I"</formula>
    </cfRule>
  </conditionalFormatting>
  <conditionalFormatting sqref="S8">
    <cfRule type="cellIs" dxfId="1926" priority="5740" stopIfTrue="1" operator="notEqual">
      <formula>"solids_haz_I"</formula>
    </cfRule>
  </conditionalFormatting>
  <conditionalFormatting sqref="T8">
    <cfRule type="cellIs" dxfId="1925" priority="5741" stopIfTrue="1" operator="notEqual">
      <formula>"component_level_I"</formula>
    </cfRule>
  </conditionalFormatting>
  <conditionalFormatting sqref="U8">
    <cfRule type="cellIs" dxfId="1924" priority="5742" stopIfTrue="1" operator="notEqual">
      <formula>"manual_I"</formula>
    </cfRule>
  </conditionalFormatting>
  <conditionalFormatting sqref="A9">
    <cfRule type="cellIs" dxfId="1923" priority="5746" stopIfTrue="1" operator="notEqual">
      <formula>1</formula>
    </cfRule>
  </conditionalFormatting>
  <conditionalFormatting sqref="B9">
    <cfRule type="cellIs" dxfId="1922" priority="5747" stopIfTrue="1" operator="notEqual">
      <formula>1</formula>
    </cfRule>
  </conditionalFormatting>
  <conditionalFormatting sqref="C9">
    <cfRule type="cellIs" dxfId="1921" priority="5748" stopIfTrue="1" operator="notEqual">
      <formula>0.03</formula>
    </cfRule>
  </conditionalFormatting>
  <conditionalFormatting sqref="D9">
    <cfRule type="cellIs" dxfId="1920" priority="5749" stopIfTrue="1" operator="notEqual">
      <formula>"MGD"</formula>
    </cfRule>
  </conditionalFormatting>
  <conditionalFormatting sqref="E9">
    <cfRule type="cellIs" dxfId="1919" priority="5750" stopIfTrue="1" operator="notEqual">
      <formula>0.007</formula>
    </cfRule>
  </conditionalFormatting>
  <conditionalFormatting sqref="F9">
    <cfRule type="cellIs" dxfId="1918" priority="5751" stopIfTrue="1" operator="notEqual">
      <formula>"MGD"</formula>
    </cfRule>
  </conditionalFormatting>
  <conditionalFormatting sqref="G9">
    <cfRule type="cellIs" dxfId="1917" priority="5752" stopIfTrue="1" operator="notEqual">
      <formula>15</formula>
    </cfRule>
  </conditionalFormatting>
  <conditionalFormatting sqref="H9">
    <cfRule type="cellIs" dxfId="1916" priority="5753" stopIfTrue="1" operator="notEqual">
      <formula>"no"</formula>
    </cfRule>
  </conditionalFormatting>
  <conditionalFormatting sqref="I9">
    <cfRule type="cellIs" dxfId="1915" priority="5754" stopIfTrue="1" operator="notEqual">
      <formula>"4 inch Low Pressure RO"</formula>
    </cfRule>
  </conditionalFormatting>
  <conditionalFormatting sqref="J9">
    <cfRule type="expression" dxfId="1914" priority="5755" stopIfTrue="1">
      <formula>NOT(ISBLANK($J$9))</formula>
    </cfRule>
  </conditionalFormatting>
  <conditionalFormatting sqref="K9">
    <cfRule type="cellIs" dxfId="1913" priority="5756" stopIfTrue="1" operator="notEqual">
      <formula>0.7</formula>
    </cfRule>
  </conditionalFormatting>
  <conditionalFormatting sqref="L9">
    <cfRule type="cellIs" dxfId="1912" priority="5757" stopIfTrue="1" operator="notEqual">
      <formula>19</formula>
    </cfRule>
  </conditionalFormatting>
  <conditionalFormatting sqref="M9">
    <cfRule type="cellIs" dxfId="1911" priority="5758" stopIfTrue="1" operator="notEqual">
      <formula>"H2SO4"</formula>
    </cfRule>
  </conditionalFormatting>
  <conditionalFormatting sqref="N9">
    <cfRule type="cellIs" dxfId="1910" priority="5759" stopIfTrue="1" operator="notEqual">
      <formula>7</formula>
    </cfRule>
  </conditionalFormatting>
  <conditionalFormatting sqref="O9">
    <cfRule type="cellIs" dxfId="1909" priority="5760" stopIfTrue="1" operator="notEqual">
      <formula>"Basic (carbonate)"</formula>
    </cfRule>
  </conditionalFormatting>
  <conditionalFormatting sqref="P9">
    <cfRule type="expression" dxfId="1908" priority="5761" stopIfTrue="1">
      <formula>NOT(ISBLANK($P$9))</formula>
    </cfRule>
  </conditionalFormatting>
  <conditionalFormatting sqref="Q9">
    <cfRule type="cellIs" dxfId="1907" priority="5762" stopIfTrue="1" operator="notEqual">
      <formula>"direct discharge / ocean outfall"</formula>
    </cfRule>
  </conditionalFormatting>
  <conditionalFormatting sqref="R9">
    <cfRule type="cellIs" dxfId="1906" priority="5763" stopIfTrue="1" operator="notEqual">
      <formula>"no flow equalization"</formula>
    </cfRule>
  </conditionalFormatting>
  <conditionalFormatting sqref="S9">
    <cfRule type="cellIs" dxfId="1905" priority="5764" stopIfTrue="1" operator="notEqual">
      <formula>"non-hazardous"</formula>
    </cfRule>
  </conditionalFormatting>
  <conditionalFormatting sqref="T9">
    <cfRule type="cellIs" dxfId="1904" priority="5765" stopIfTrue="1" operator="notEqual">
      <formula>"low cost"</formula>
    </cfRule>
  </conditionalFormatting>
  <conditionalFormatting sqref="U9">
    <cfRule type="expression" dxfId="1903" priority="5766" stopIfTrue="1">
      <formula>NOT(ISBLANK($U$9))</formula>
    </cfRule>
  </conditionalFormatting>
  <conditionalFormatting sqref="A10">
    <cfRule type="cellIs" dxfId="1902" priority="5770" stopIfTrue="1" operator="notEqual">
      <formula>1</formula>
    </cfRule>
  </conditionalFormatting>
  <conditionalFormatting sqref="B10">
    <cfRule type="cellIs" dxfId="1901" priority="5771" stopIfTrue="1" operator="notEqual">
      <formula>2</formula>
    </cfRule>
  </conditionalFormatting>
  <conditionalFormatting sqref="C10">
    <cfRule type="cellIs" dxfId="1900" priority="5772" stopIfTrue="1" operator="notEqual">
      <formula>0.124</formula>
    </cfRule>
  </conditionalFormatting>
  <conditionalFormatting sqref="D10">
    <cfRule type="cellIs" dxfId="1899" priority="5773" stopIfTrue="1" operator="notEqual">
      <formula>"MGD"</formula>
    </cfRule>
  </conditionalFormatting>
  <conditionalFormatting sqref="E10">
    <cfRule type="cellIs" dxfId="1898" priority="5774" stopIfTrue="1" operator="notEqual">
      <formula>0.035</formula>
    </cfRule>
  </conditionalFormatting>
  <conditionalFormatting sqref="F10">
    <cfRule type="cellIs" dxfId="1897" priority="5775" stopIfTrue="1" operator="notEqual">
      <formula>"MGD"</formula>
    </cfRule>
  </conditionalFormatting>
  <conditionalFormatting sqref="G10">
    <cfRule type="cellIs" dxfId="1896" priority="5776" stopIfTrue="1" operator="notEqual">
      <formula>15</formula>
    </cfRule>
  </conditionalFormatting>
  <conditionalFormatting sqref="H10">
    <cfRule type="cellIs" dxfId="1895" priority="5777" stopIfTrue="1" operator="notEqual">
      <formula>"no"</formula>
    </cfRule>
  </conditionalFormatting>
  <conditionalFormatting sqref="I10">
    <cfRule type="cellIs" dxfId="1894" priority="5778" stopIfTrue="1" operator="notEqual">
      <formula>"8 inch Low Pressure RO"</formula>
    </cfRule>
  </conditionalFormatting>
  <conditionalFormatting sqref="J10">
    <cfRule type="expression" dxfId="1893" priority="5779" stopIfTrue="1">
      <formula>NOT(ISBLANK($J$10))</formula>
    </cfRule>
  </conditionalFormatting>
  <conditionalFormatting sqref="K10">
    <cfRule type="cellIs" dxfId="1892" priority="5780" stopIfTrue="1" operator="notEqual">
      <formula>0.75</formula>
    </cfRule>
  </conditionalFormatting>
  <conditionalFormatting sqref="L10">
    <cfRule type="cellIs" dxfId="1891" priority="5781" stopIfTrue="1" operator="notEqual">
      <formula>19</formula>
    </cfRule>
  </conditionalFormatting>
  <conditionalFormatting sqref="M10">
    <cfRule type="cellIs" dxfId="1890" priority="5782" stopIfTrue="1" operator="notEqual">
      <formula>"H2SO4"</formula>
    </cfRule>
  </conditionalFormatting>
  <conditionalFormatting sqref="N10">
    <cfRule type="cellIs" dxfId="1889" priority="5783" stopIfTrue="1" operator="notEqual">
      <formula>6.8</formula>
    </cfRule>
  </conditionalFormatting>
  <conditionalFormatting sqref="O10">
    <cfRule type="cellIs" dxfId="1888" priority="5784" stopIfTrue="1" operator="notEqual">
      <formula>"Basic (carbonate)"</formula>
    </cfRule>
  </conditionalFormatting>
  <conditionalFormatting sqref="P10">
    <cfRule type="expression" dxfId="1887" priority="5785" stopIfTrue="1">
      <formula>NOT(ISBLANK($P$10))</formula>
    </cfRule>
  </conditionalFormatting>
  <conditionalFormatting sqref="Q10">
    <cfRule type="cellIs" dxfId="1886" priority="5786" stopIfTrue="1" operator="notEqual">
      <formula>"direct discharge / ocean outfall"</formula>
    </cfRule>
  </conditionalFormatting>
  <conditionalFormatting sqref="R10">
    <cfRule type="cellIs" dxfId="1885" priority="5787" stopIfTrue="1" operator="notEqual">
      <formula>"no flow equalization"</formula>
    </cfRule>
  </conditionalFormatting>
  <conditionalFormatting sqref="S10">
    <cfRule type="cellIs" dxfId="1884" priority="5788" stopIfTrue="1" operator="notEqual">
      <formula>"non-hazardous"</formula>
    </cfRule>
  </conditionalFormatting>
  <conditionalFormatting sqref="T10">
    <cfRule type="cellIs" dxfId="1883" priority="5789" stopIfTrue="1" operator="notEqual">
      <formula>"low cost"</formula>
    </cfRule>
  </conditionalFormatting>
  <conditionalFormatting sqref="U10">
    <cfRule type="expression" dxfId="1882" priority="5790" stopIfTrue="1">
      <formula>NOT(ISBLANK($U$10))</formula>
    </cfRule>
  </conditionalFormatting>
  <conditionalFormatting sqref="A11">
    <cfRule type="cellIs" dxfId="1881" priority="5794" stopIfTrue="1" operator="notEqual">
      <formula>1</formula>
    </cfRule>
  </conditionalFormatting>
  <conditionalFormatting sqref="B11">
    <cfRule type="cellIs" dxfId="1880" priority="5795" stopIfTrue="1" operator="notEqual">
      <formula>3</formula>
    </cfRule>
  </conditionalFormatting>
  <conditionalFormatting sqref="C11">
    <cfRule type="cellIs" dxfId="1879" priority="5796" stopIfTrue="1" operator="notEqual">
      <formula>0.305</formula>
    </cfRule>
  </conditionalFormatting>
  <conditionalFormatting sqref="D11">
    <cfRule type="cellIs" dxfId="1878" priority="5797" stopIfTrue="1" operator="notEqual">
      <formula>"MGD"</formula>
    </cfRule>
  </conditionalFormatting>
  <conditionalFormatting sqref="E11">
    <cfRule type="cellIs" dxfId="1877" priority="5798" stopIfTrue="1" operator="notEqual">
      <formula>0.094</formula>
    </cfRule>
  </conditionalFormatting>
  <conditionalFormatting sqref="F11">
    <cfRule type="cellIs" dxfId="1876" priority="5799" stopIfTrue="1" operator="notEqual">
      <formula>"MGD"</formula>
    </cfRule>
  </conditionalFormatting>
  <conditionalFormatting sqref="G11">
    <cfRule type="cellIs" dxfId="1875" priority="5800" stopIfTrue="1" operator="notEqual">
      <formula>15</formula>
    </cfRule>
  </conditionalFormatting>
  <conditionalFormatting sqref="H11">
    <cfRule type="cellIs" dxfId="1874" priority="5801" stopIfTrue="1" operator="notEqual">
      <formula>"no"</formula>
    </cfRule>
  </conditionalFormatting>
  <conditionalFormatting sqref="I11">
    <cfRule type="cellIs" dxfId="1873" priority="5802" stopIfTrue="1" operator="notEqual">
      <formula>"8 inch Low Pressure RO"</formula>
    </cfRule>
  </conditionalFormatting>
  <conditionalFormatting sqref="J11">
    <cfRule type="expression" dxfId="1872" priority="5803" stopIfTrue="1">
      <formula>NOT(ISBLANK($J$11))</formula>
    </cfRule>
  </conditionalFormatting>
  <conditionalFormatting sqref="K11">
    <cfRule type="cellIs" dxfId="1871" priority="5804" stopIfTrue="1" operator="notEqual">
      <formula>0.75</formula>
    </cfRule>
  </conditionalFormatting>
  <conditionalFormatting sqref="L11">
    <cfRule type="cellIs" dxfId="1870" priority="5805" stopIfTrue="1" operator="notEqual">
      <formula>19</formula>
    </cfRule>
  </conditionalFormatting>
  <conditionalFormatting sqref="M11">
    <cfRule type="cellIs" dxfId="1869" priority="5806" stopIfTrue="1" operator="notEqual">
      <formula>"H2SO4"</formula>
    </cfRule>
  </conditionalFormatting>
  <conditionalFormatting sqref="N11">
    <cfRule type="cellIs" dxfId="1868" priority="5807" stopIfTrue="1" operator="notEqual">
      <formula>6.8</formula>
    </cfRule>
  </conditionalFormatting>
  <conditionalFormatting sqref="O11">
    <cfRule type="cellIs" dxfId="1867" priority="5808" stopIfTrue="1" operator="notEqual">
      <formula>"Basic (carbonate)"</formula>
    </cfRule>
  </conditionalFormatting>
  <conditionalFormatting sqref="P11">
    <cfRule type="expression" dxfId="1866" priority="5809" stopIfTrue="1">
      <formula>NOT(ISBLANK($P$11))</formula>
    </cfRule>
  </conditionalFormatting>
  <conditionalFormatting sqref="Q11">
    <cfRule type="cellIs" dxfId="1865" priority="5810" stopIfTrue="1" operator="notEqual">
      <formula>"direct discharge / ocean outfall"</formula>
    </cfRule>
  </conditionalFormatting>
  <conditionalFormatting sqref="R11">
    <cfRule type="cellIs" dxfId="1864" priority="5811" stopIfTrue="1" operator="notEqual">
      <formula>"no flow equalization"</formula>
    </cfRule>
  </conditionalFormatting>
  <conditionalFormatting sqref="S11">
    <cfRule type="cellIs" dxfId="1863" priority="5812" stopIfTrue="1" operator="notEqual">
      <formula>"non-hazardous"</formula>
    </cfRule>
  </conditionalFormatting>
  <conditionalFormatting sqref="T11">
    <cfRule type="cellIs" dxfId="1862" priority="5813" stopIfTrue="1" operator="notEqual">
      <formula>"low cost"</formula>
    </cfRule>
  </conditionalFormatting>
  <conditionalFormatting sqref="U11">
    <cfRule type="expression" dxfId="1861" priority="5814" stopIfTrue="1">
      <formula>NOT(ISBLANK($U$11))</formula>
    </cfRule>
  </conditionalFormatting>
  <conditionalFormatting sqref="A12">
    <cfRule type="cellIs" dxfId="1860" priority="5818" stopIfTrue="1" operator="notEqual">
      <formula>1</formula>
    </cfRule>
  </conditionalFormatting>
  <conditionalFormatting sqref="B12">
    <cfRule type="cellIs" dxfId="1859" priority="5819" stopIfTrue="1" operator="notEqual">
      <formula>4</formula>
    </cfRule>
  </conditionalFormatting>
  <conditionalFormatting sqref="C12">
    <cfRule type="cellIs" dxfId="1858" priority="5820" stopIfTrue="1" operator="notEqual">
      <formula>0.74</formula>
    </cfRule>
  </conditionalFormatting>
  <conditionalFormatting sqref="D12">
    <cfRule type="cellIs" dxfId="1857" priority="5821" stopIfTrue="1" operator="notEqual">
      <formula>"MGD"</formula>
    </cfRule>
  </conditionalFormatting>
  <conditionalFormatting sqref="E12">
    <cfRule type="cellIs" dxfId="1856" priority="5822" stopIfTrue="1" operator="notEqual">
      <formula>0.251</formula>
    </cfRule>
  </conditionalFormatting>
  <conditionalFormatting sqref="F12">
    <cfRule type="cellIs" dxfId="1855" priority="5823" stopIfTrue="1" operator="notEqual">
      <formula>"MGD"</formula>
    </cfRule>
  </conditionalFormatting>
  <conditionalFormatting sqref="G12">
    <cfRule type="cellIs" dxfId="1854" priority="5824" stopIfTrue="1" operator="notEqual">
      <formula>15</formula>
    </cfRule>
  </conditionalFormatting>
  <conditionalFormatting sqref="H12">
    <cfRule type="cellIs" dxfId="1853" priority="5825" stopIfTrue="1" operator="notEqual">
      <formula>"no"</formula>
    </cfRule>
  </conditionalFormatting>
  <conditionalFormatting sqref="I12">
    <cfRule type="cellIs" dxfId="1852" priority="5826" stopIfTrue="1" operator="notEqual">
      <formula>"8 inch Low Pressure RO"</formula>
    </cfRule>
  </conditionalFormatting>
  <conditionalFormatting sqref="J12">
    <cfRule type="expression" dxfId="1851" priority="5827" stopIfTrue="1">
      <formula>NOT(ISBLANK($J$12))</formula>
    </cfRule>
  </conditionalFormatting>
  <conditionalFormatting sqref="K12">
    <cfRule type="cellIs" dxfId="1850" priority="5828" stopIfTrue="1" operator="notEqual">
      <formula>0.8</formula>
    </cfRule>
  </conditionalFormatting>
  <conditionalFormatting sqref="L12">
    <cfRule type="cellIs" dxfId="1849" priority="5829" stopIfTrue="1" operator="notEqual">
      <formula>19</formula>
    </cfRule>
  </conditionalFormatting>
  <conditionalFormatting sqref="M12">
    <cfRule type="cellIs" dxfId="1848" priority="5830" stopIfTrue="1" operator="notEqual">
      <formula>"H2SO4"</formula>
    </cfRule>
  </conditionalFormatting>
  <conditionalFormatting sqref="N12">
    <cfRule type="cellIs" dxfId="1847" priority="5831" stopIfTrue="1" operator="notEqual">
      <formula>6.9</formula>
    </cfRule>
  </conditionalFormatting>
  <conditionalFormatting sqref="O12">
    <cfRule type="cellIs" dxfId="1846" priority="5832" stopIfTrue="1" operator="notEqual">
      <formula>"Basic (carbonate)"</formula>
    </cfRule>
  </conditionalFormatting>
  <conditionalFormatting sqref="P12">
    <cfRule type="expression" dxfId="1845" priority="5833" stopIfTrue="1">
      <formula>NOT(ISBLANK($P$12))</formula>
    </cfRule>
  </conditionalFormatting>
  <conditionalFormatting sqref="Q12">
    <cfRule type="cellIs" dxfId="1844" priority="5834" stopIfTrue="1" operator="notEqual">
      <formula>"direct discharge / ocean outfall"</formula>
    </cfRule>
  </conditionalFormatting>
  <conditionalFormatting sqref="R12">
    <cfRule type="cellIs" dxfId="1843" priority="5835" stopIfTrue="1" operator="notEqual">
      <formula>"no flow equalization"</formula>
    </cfRule>
  </conditionalFormatting>
  <conditionalFormatting sqref="S12">
    <cfRule type="cellIs" dxfId="1842" priority="5836" stopIfTrue="1" operator="notEqual">
      <formula>"non-hazardous"</formula>
    </cfRule>
  </conditionalFormatting>
  <conditionalFormatting sqref="T12">
    <cfRule type="cellIs" dxfId="1841" priority="5837" stopIfTrue="1" operator="notEqual">
      <formula>"low cost"</formula>
    </cfRule>
  </conditionalFormatting>
  <conditionalFormatting sqref="U12">
    <cfRule type="expression" dxfId="1840" priority="5838" stopIfTrue="1">
      <formula>NOT(ISBLANK($U$12))</formula>
    </cfRule>
  </conditionalFormatting>
  <conditionalFormatting sqref="A13">
    <cfRule type="cellIs" dxfId="1839" priority="5842" stopIfTrue="1" operator="notEqual">
      <formula>1</formula>
    </cfRule>
  </conditionalFormatting>
  <conditionalFormatting sqref="B13">
    <cfRule type="cellIs" dxfId="1838" priority="5843" stopIfTrue="1" operator="notEqual">
      <formula>5</formula>
    </cfRule>
  </conditionalFormatting>
  <conditionalFormatting sqref="C13">
    <cfRule type="cellIs" dxfId="1837" priority="5844" stopIfTrue="1" operator="notEqual">
      <formula>2.152</formula>
    </cfRule>
  </conditionalFormatting>
  <conditionalFormatting sqref="D13">
    <cfRule type="cellIs" dxfId="1836" priority="5845" stopIfTrue="1" operator="notEqual">
      <formula>"MGD"</formula>
    </cfRule>
  </conditionalFormatting>
  <conditionalFormatting sqref="E13">
    <cfRule type="cellIs" dxfId="1835" priority="5846" stopIfTrue="1" operator="notEqual">
      <formula>0.819</formula>
    </cfRule>
  </conditionalFormatting>
  <conditionalFormatting sqref="F13">
    <cfRule type="cellIs" dxfId="1834" priority="5847" stopIfTrue="1" operator="notEqual">
      <formula>"MGD"</formula>
    </cfRule>
  </conditionalFormatting>
  <conditionalFormatting sqref="G13">
    <cfRule type="cellIs" dxfId="1833" priority="5848" stopIfTrue="1" operator="notEqual">
      <formula>15</formula>
    </cfRule>
  </conditionalFormatting>
  <conditionalFormatting sqref="H13">
    <cfRule type="cellIs" dxfId="1832" priority="5849" stopIfTrue="1" operator="notEqual">
      <formula>"yes"</formula>
    </cfRule>
  </conditionalFormatting>
  <conditionalFormatting sqref="I13">
    <cfRule type="cellIs" dxfId="1831" priority="5850" stopIfTrue="1" operator="notEqual">
      <formula>"8 inch Low Pressure RO"</formula>
    </cfRule>
  </conditionalFormatting>
  <conditionalFormatting sqref="J13">
    <cfRule type="expression" dxfId="1830" priority="5851" stopIfTrue="1">
      <formula>NOT(ISBLANK($J$13))</formula>
    </cfRule>
  </conditionalFormatting>
  <conditionalFormatting sqref="K13">
    <cfRule type="cellIs" dxfId="1829" priority="5852" stopIfTrue="1" operator="notEqual">
      <formula>0.8</formula>
    </cfRule>
  </conditionalFormatting>
  <conditionalFormatting sqref="L13">
    <cfRule type="cellIs" dxfId="1828" priority="5853" stopIfTrue="1" operator="notEqual">
      <formula>19</formula>
    </cfRule>
  </conditionalFormatting>
  <conditionalFormatting sqref="M13">
    <cfRule type="cellIs" dxfId="1827" priority="5854" stopIfTrue="1" operator="notEqual">
      <formula>"H2SO4"</formula>
    </cfRule>
  </conditionalFormatting>
  <conditionalFormatting sqref="N13">
    <cfRule type="cellIs" dxfId="1826" priority="5855" stopIfTrue="1" operator="notEqual">
      <formula>6.9</formula>
    </cfRule>
  </conditionalFormatting>
  <conditionalFormatting sqref="O13">
    <cfRule type="cellIs" dxfId="1825" priority="5856" stopIfTrue="1" operator="notEqual">
      <formula>"Basic (carbonate)"</formula>
    </cfRule>
  </conditionalFormatting>
  <conditionalFormatting sqref="P13">
    <cfRule type="expression" dxfId="1824" priority="5857" stopIfTrue="1">
      <formula>NOT(ISBLANK($P$13))</formula>
    </cfRule>
  </conditionalFormatting>
  <conditionalFormatting sqref="Q13">
    <cfRule type="cellIs" dxfId="1823" priority="5858" stopIfTrue="1" operator="notEqual">
      <formula>"direct discharge / ocean outfall"</formula>
    </cfRule>
  </conditionalFormatting>
  <conditionalFormatting sqref="R13">
    <cfRule type="cellIs" dxfId="1822" priority="5859" stopIfTrue="1" operator="notEqual">
      <formula>"no flow equalization"</formula>
    </cfRule>
  </conditionalFormatting>
  <conditionalFormatting sqref="S13">
    <cfRule type="cellIs" dxfId="1821" priority="5860" stopIfTrue="1" operator="notEqual">
      <formula>"non-hazardous"</formula>
    </cfRule>
  </conditionalFormatting>
  <conditionalFormatting sqref="T13">
    <cfRule type="cellIs" dxfId="1820" priority="5861" stopIfTrue="1" operator="notEqual">
      <formula>"low cost"</formula>
    </cfRule>
  </conditionalFormatting>
  <conditionalFormatting sqref="U13">
    <cfRule type="expression" dxfId="1819" priority="5862" stopIfTrue="1">
      <formula>NOT(ISBLANK($U$13))</formula>
    </cfRule>
  </conditionalFormatting>
  <conditionalFormatting sqref="A14">
    <cfRule type="cellIs" dxfId="1818" priority="5866" stopIfTrue="1" operator="notEqual">
      <formula>1</formula>
    </cfRule>
  </conditionalFormatting>
  <conditionalFormatting sqref="B14">
    <cfRule type="cellIs" dxfId="1817" priority="5867" stopIfTrue="1" operator="notEqual">
      <formula>6</formula>
    </cfRule>
  </conditionalFormatting>
  <conditionalFormatting sqref="C14">
    <cfRule type="cellIs" dxfId="1816" priority="5868" stopIfTrue="1" operator="notEqual">
      <formula>7.365</formula>
    </cfRule>
  </conditionalFormatting>
  <conditionalFormatting sqref="D14">
    <cfRule type="cellIs" dxfId="1815" priority="5869" stopIfTrue="1" operator="notEqual">
      <formula>"MGD"</formula>
    </cfRule>
  </conditionalFormatting>
  <conditionalFormatting sqref="E14">
    <cfRule type="cellIs" dxfId="1814" priority="5870" stopIfTrue="1" operator="notEqual">
      <formula>3.2</formula>
    </cfRule>
  </conditionalFormatting>
  <conditionalFormatting sqref="F14">
    <cfRule type="cellIs" dxfId="1813" priority="5871" stopIfTrue="1" operator="notEqual">
      <formula>"MGD"</formula>
    </cfRule>
  </conditionalFormatting>
  <conditionalFormatting sqref="G14">
    <cfRule type="cellIs" dxfId="1812" priority="5872" stopIfTrue="1" operator="notEqual">
      <formula>15</formula>
    </cfRule>
  </conditionalFormatting>
  <conditionalFormatting sqref="H14">
    <cfRule type="cellIs" dxfId="1811" priority="5873" stopIfTrue="1" operator="notEqual">
      <formula>"yes"</formula>
    </cfRule>
  </conditionalFormatting>
  <conditionalFormatting sqref="I14">
    <cfRule type="cellIs" dxfId="1810" priority="5874" stopIfTrue="1" operator="notEqual">
      <formula>"8 inch Low Pressure RO"</formula>
    </cfRule>
  </conditionalFormatting>
  <conditionalFormatting sqref="J14">
    <cfRule type="expression" dxfId="1809" priority="5875" stopIfTrue="1">
      <formula>NOT(ISBLANK($J$14))</formula>
    </cfRule>
  </conditionalFormatting>
  <conditionalFormatting sqref="K14">
    <cfRule type="cellIs" dxfId="1808" priority="5876" stopIfTrue="1" operator="notEqual">
      <formula>0.8</formula>
    </cfRule>
  </conditionalFormatting>
  <conditionalFormatting sqref="L14">
    <cfRule type="cellIs" dxfId="1807" priority="5877" stopIfTrue="1" operator="notEqual">
      <formula>19</formula>
    </cfRule>
  </conditionalFormatting>
  <conditionalFormatting sqref="M14">
    <cfRule type="cellIs" dxfId="1806" priority="5878" stopIfTrue="1" operator="notEqual">
      <formula>"H2SO4"</formula>
    </cfRule>
  </conditionalFormatting>
  <conditionalFormatting sqref="N14">
    <cfRule type="cellIs" dxfId="1805" priority="5879" stopIfTrue="1" operator="notEqual">
      <formula>6.9</formula>
    </cfRule>
  </conditionalFormatting>
  <conditionalFormatting sqref="O14">
    <cfRule type="cellIs" dxfId="1804" priority="5880" stopIfTrue="1" operator="notEqual">
      <formula>"Basic (carbonate)"</formula>
    </cfRule>
  </conditionalFormatting>
  <conditionalFormatting sqref="P14">
    <cfRule type="expression" dxfId="1803" priority="5881" stopIfTrue="1">
      <formula>NOT(ISBLANK($P$14))</formula>
    </cfRule>
  </conditionalFormatting>
  <conditionalFormatting sqref="Q14">
    <cfRule type="cellIs" dxfId="1802" priority="5882" stopIfTrue="1" operator="notEqual">
      <formula>"direct discharge / ocean outfall"</formula>
    </cfRule>
  </conditionalFormatting>
  <conditionalFormatting sqref="R14">
    <cfRule type="cellIs" dxfId="1801" priority="5883" stopIfTrue="1" operator="notEqual">
      <formula>"no flow equalization"</formula>
    </cfRule>
  </conditionalFormatting>
  <conditionalFormatting sqref="S14">
    <cfRule type="cellIs" dxfId="1800" priority="5884" stopIfTrue="1" operator="notEqual">
      <formula>"non-hazardous"</formula>
    </cfRule>
  </conditionalFormatting>
  <conditionalFormatting sqref="T14">
    <cfRule type="cellIs" dxfId="1799" priority="5885" stopIfTrue="1" operator="notEqual">
      <formula>"low cost"</formula>
    </cfRule>
  </conditionalFormatting>
  <conditionalFormatting sqref="U14">
    <cfRule type="expression" dxfId="1798" priority="5886" stopIfTrue="1">
      <formula>NOT(ISBLANK($U$14))</formula>
    </cfRule>
  </conditionalFormatting>
  <conditionalFormatting sqref="A15">
    <cfRule type="cellIs" dxfId="1797" priority="5890" stopIfTrue="1" operator="notEqual">
      <formula>1</formula>
    </cfRule>
  </conditionalFormatting>
  <conditionalFormatting sqref="B15">
    <cfRule type="cellIs" dxfId="1796" priority="5891" stopIfTrue="1" operator="notEqual">
      <formula>7</formula>
    </cfRule>
  </conditionalFormatting>
  <conditionalFormatting sqref="C15">
    <cfRule type="cellIs" dxfId="1795" priority="5892" stopIfTrue="1" operator="notEqual">
      <formula>22.614</formula>
    </cfRule>
  </conditionalFormatting>
  <conditionalFormatting sqref="D15">
    <cfRule type="cellIs" dxfId="1794" priority="5893" stopIfTrue="1" operator="notEqual">
      <formula>"MGD"</formula>
    </cfRule>
  </conditionalFormatting>
  <conditionalFormatting sqref="E15">
    <cfRule type="cellIs" dxfId="1793" priority="5894" stopIfTrue="1" operator="notEqual">
      <formula>11.066</formula>
    </cfRule>
  </conditionalFormatting>
  <conditionalFormatting sqref="F15">
    <cfRule type="cellIs" dxfId="1792" priority="5895" stopIfTrue="1" operator="notEqual">
      <formula>"MGD"</formula>
    </cfRule>
  </conditionalFormatting>
  <conditionalFormatting sqref="G15">
    <cfRule type="cellIs" dxfId="1791" priority="5896" stopIfTrue="1" operator="notEqual">
      <formula>15</formula>
    </cfRule>
  </conditionalFormatting>
  <conditionalFormatting sqref="H15">
    <cfRule type="cellIs" dxfId="1790" priority="5897" stopIfTrue="1" operator="notEqual">
      <formula>"yes"</formula>
    </cfRule>
  </conditionalFormatting>
  <conditionalFormatting sqref="I15">
    <cfRule type="cellIs" dxfId="1789" priority="5898" stopIfTrue="1" operator="notEqual">
      <formula>"8 inch Low Pressure RO"</formula>
    </cfRule>
  </conditionalFormatting>
  <conditionalFormatting sqref="J15">
    <cfRule type="expression" dxfId="1788" priority="5899" stopIfTrue="1">
      <formula>NOT(ISBLANK($J$15))</formula>
    </cfRule>
  </conditionalFormatting>
  <conditionalFormatting sqref="K15">
    <cfRule type="cellIs" dxfId="1787" priority="5900" stopIfTrue="1" operator="notEqual">
      <formula>0.8</formula>
    </cfRule>
  </conditionalFormatting>
  <conditionalFormatting sqref="L15">
    <cfRule type="cellIs" dxfId="1786" priority="5901" stopIfTrue="1" operator="notEqual">
      <formula>19</formula>
    </cfRule>
  </conditionalFormatting>
  <conditionalFormatting sqref="M15">
    <cfRule type="cellIs" dxfId="1785" priority="5902" stopIfTrue="1" operator="notEqual">
      <formula>"H2SO4"</formula>
    </cfRule>
  </conditionalFormatting>
  <conditionalFormatting sqref="N15">
    <cfRule type="cellIs" dxfId="1784" priority="5903" stopIfTrue="1" operator="notEqual">
      <formula>6.9</formula>
    </cfRule>
  </conditionalFormatting>
  <conditionalFormatting sqref="O15">
    <cfRule type="cellIs" dxfId="1783" priority="5904" stopIfTrue="1" operator="notEqual">
      <formula>"Basic (carbonate)"</formula>
    </cfRule>
  </conditionalFormatting>
  <conditionalFormatting sqref="P15">
    <cfRule type="expression" dxfId="1782" priority="5905" stopIfTrue="1">
      <formula>NOT(ISBLANK($P$15))</formula>
    </cfRule>
  </conditionalFormatting>
  <conditionalFormatting sqref="Q15">
    <cfRule type="cellIs" dxfId="1781" priority="5906" stopIfTrue="1" operator="notEqual">
      <formula>"direct discharge / ocean outfall"</formula>
    </cfRule>
  </conditionalFormatting>
  <conditionalFormatting sqref="R15">
    <cfRule type="cellIs" dxfId="1780" priority="5907" stopIfTrue="1" operator="notEqual">
      <formula>"no flow equalization"</formula>
    </cfRule>
  </conditionalFormatting>
  <conditionalFormatting sqref="S15">
    <cfRule type="cellIs" dxfId="1779" priority="5908" stopIfTrue="1" operator="notEqual">
      <formula>"non-hazardous"</formula>
    </cfRule>
  </conditionalFormatting>
  <conditionalFormatting sqref="T15">
    <cfRule type="cellIs" dxfId="1778" priority="5909" stopIfTrue="1" operator="notEqual">
      <formula>"low cost"</formula>
    </cfRule>
  </conditionalFormatting>
  <conditionalFormatting sqref="U15">
    <cfRule type="expression" dxfId="1777" priority="5910" stopIfTrue="1">
      <formula>NOT(ISBLANK($U$15))</formula>
    </cfRule>
  </conditionalFormatting>
  <conditionalFormatting sqref="A16">
    <cfRule type="cellIs" dxfId="1776" priority="5914" stopIfTrue="1" operator="notEqual">
      <formula>1</formula>
    </cfRule>
  </conditionalFormatting>
  <conditionalFormatting sqref="B16">
    <cfRule type="cellIs" dxfId="1775" priority="5915" stopIfTrue="1" operator="notEqual">
      <formula>8</formula>
    </cfRule>
  </conditionalFormatting>
  <conditionalFormatting sqref="C16">
    <cfRule type="cellIs" dxfId="1774" priority="5916" stopIfTrue="1" operator="notEqual">
      <formula>75.072</formula>
    </cfRule>
  </conditionalFormatting>
  <conditionalFormatting sqref="D16">
    <cfRule type="cellIs" dxfId="1773" priority="5917" stopIfTrue="1" operator="notEqual">
      <formula>"MGD"</formula>
    </cfRule>
  </conditionalFormatting>
  <conditionalFormatting sqref="E16">
    <cfRule type="cellIs" dxfId="1772" priority="5918" stopIfTrue="1" operator="notEqual">
      <formula>37.536</formula>
    </cfRule>
  </conditionalFormatting>
  <conditionalFormatting sqref="F16">
    <cfRule type="cellIs" dxfId="1771" priority="5919" stopIfTrue="1" operator="notEqual">
      <formula>"MGD"</formula>
    </cfRule>
  </conditionalFormatting>
  <conditionalFormatting sqref="G16">
    <cfRule type="cellIs" dxfId="1770" priority="5920" stopIfTrue="1" operator="notEqual">
      <formula>15</formula>
    </cfRule>
  </conditionalFormatting>
  <conditionalFormatting sqref="H16">
    <cfRule type="cellIs" dxfId="1769" priority="5921" stopIfTrue="1" operator="notEqual">
      <formula>"yes"</formula>
    </cfRule>
  </conditionalFormatting>
  <conditionalFormatting sqref="I16">
    <cfRule type="cellIs" dxfId="1768" priority="5922" stopIfTrue="1" operator="notEqual">
      <formula>"8 inch Low Pressure RO"</formula>
    </cfRule>
  </conditionalFormatting>
  <conditionalFormatting sqref="J16">
    <cfRule type="expression" dxfId="1767" priority="5923" stopIfTrue="1">
      <formula>NOT(ISBLANK($J$16))</formula>
    </cfRule>
  </conditionalFormatting>
  <conditionalFormatting sqref="K16">
    <cfRule type="cellIs" dxfId="1766" priority="5924" stopIfTrue="1" operator="notEqual">
      <formula>0.8</formula>
    </cfRule>
  </conditionalFormatting>
  <conditionalFormatting sqref="L16">
    <cfRule type="cellIs" dxfId="1765" priority="5925" stopIfTrue="1" operator="notEqual">
      <formula>19</formula>
    </cfRule>
  </conditionalFormatting>
  <conditionalFormatting sqref="M16">
    <cfRule type="cellIs" dxfId="1764" priority="5926" stopIfTrue="1" operator="notEqual">
      <formula>"H2SO4"</formula>
    </cfRule>
  </conditionalFormatting>
  <conditionalFormatting sqref="N16">
    <cfRule type="cellIs" dxfId="1763" priority="5927" stopIfTrue="1" operator="notEqual">
      <formula>6.9</formula>
    </cfRule>
  </conditionalFormatting>
  <conditionalFormatting sqref="O16">
    <cfRule type="cellIs" dxfId="1762" priority="5928" stopIfTrue="1" operator="notEqual">
      <formula>"Basic (carbonate)"</formula>
    </cfRule>
  </conditionalFormatting>
  <conditionalFormatting sqref="P16">
    <cfRule type="expression" dxfId="1761" priority="5929" stopIfTrue="1">
      <formula>NOT(ISBLANK($P$16))</formula>
    </cfRule>
  </conditionalFormatting>
  <conditionalFormatting sqref="Q16">
    <cfRule type="cellIs" dxfId="1760" priority="5930" stopIfTrue="1" operator="notEqual">
      <formula>"direct discharge / ocean outfall"</formula>
    </cfRule>
  </conditionalFormatting>
  <conditionalFormatting sqref="R16">
    <cfRule type="cellIs" dxfId="1759" priority="5931" stopIfTrue="1" operator="notEqual">
      <formula>"no flow equalization"</formula>
    </cfRule>
  </conditionalFormatting>
  <conditionalFormatting sqref="S16">
    <cfRule type="cellIs" dxfId="1758" priority="5932" stopIfTrue="1" operator="notEqual">
      <formula>"non-hazardous"</formula>
    </cfRule>
  </conditionalFormatting>
  <conditionalFormatting sqref="T16">
    <cfRule type="cellIs" dxfId="1757" priority="5933" stopIfTrue="1" operator="notEqual">
      <formula>"low cost"</formula>
    </cfRule>
  </conditionalFormatting>
  <conditionalFormatting sqref="U16">
    <cfRule type="expression" dxfId="1756" priority="5934" stopIfTrue="1">
      <formula>NOT(ISBLANK($U$16))</formula>
    </cfRule>
  </conditionalFormatting>
  <conditionalFormatting sqref="A17">
    <cfRule type="cellIs" dxfId="1755" priority="5938" stopIfTrue="1" operator="notEqual">
      <formula>2</formula>
    </cfRule>
  </conditionalFormatting>
  <conditionalFormatting sqref="B17">
    <cfRule type="cellIs" dxfId="1754" priority="5939" stopIfTrue="1" operator="notEqual">
      <formula>1</formula>
    </cfRule>
  </conditionalFormatting>
  <conditionalFormatting sqref="C17">
    <cfRule type="cellIs" dxfId="1753" priority="5940" stopIfTrue="1" operator="notEqual">
      <formula>0.03</formula>
    </cfRule>
  </conditionalFormatting>
  <conditionalFormatting sqref="D17">
    <cfRule type="cellIs" dxfId="1752" priority="5941" stopIfTrue="1" operator="notEqual">
      <formula>"MGD"</formula>
    </cfRule>
  </conditionalFormatting>
  <conditionalFormatting sqref="E17">
    <cfRule type="cellIs" dxfId="1751" priority="5942" stopIfTrue="1" operator="notEqual">
      <formula>0.007</formula>
    </cfRule>
  </conditionalFormatting>
  <conditionalFormatting sqref="F17">
    <cfRule type="cellIs" dxfId="1750" priority="5943" stopIfTrue="1" operator="notEqual">
      <formula>"MGD"</formula>
    </cfRule>
  </conditionalFormatting>
  <conditionalFormatting sqref="G17">
    <cfRule type="cellIs" dxfId="1749" priority="5944" stopIfTrue="1" operator="notEqual">
      <formula>15</formula>
    </cfRule>
  </conditionalFormatting>
  <conditionalFormatting sqref="H17">
    <cfRule type="cellIs" dxfId="1748" priority="5945" stopIfTrue="1" operator="notEqual">
      <formula>"no"</formula>
    </cfRule>
  </conditionalFormatting>
  <conditionalFormatting sqref="I17">
    <cfRule type="cellIs" dxfId="1747" priority="5946" stopIfTrue="1" operator="notEqual">
      <formula>"4 inch Low Pressure RO"</formula>
    </cfRule>
  </conditionalFormatting>
  <conditionalFormatting sqref="J17">
    <cfRule type="expression" dxfId="1746" priority="5947" stopIfTrue="1">
      <formula>NOT(ISBLANK($J$17))</formula>
    </cfRule>
  </conditionalFormatting>
  <conditionalFormatting sqref="K17">
    <cfRule type="cellIs" dxfId="1745" priority="5948" stopIfTrue="1" operator="notEqual">
      <formula>0.7</formula>
    </cfRule>
  </conditionalFormatting>
  <conditionalFormatting sqref="L17">
    <cfRule type="cellIs" dxfId="1744" priority="5949" stopIfTrue="1" operator="notEqual">
      <formula>17</formula>
    </cfRule>
  </conditionalFormatting>
  <conditionalFormatting sqref="M17">
    <cfRule type="cellIs" dxfId="1743" priority="5950" stopIfTrue="1" operator="notEqual">
      <formula>"H2SO4"</formula>
    </cfRule>
  </conditionalFormatting>
  <conditionalFormatting sqref="N17">
    <cfRule type="cellIs" dxfId="1742" priority="5951" stopIfTrue="1" operator="notEqual">
      <formula>6.6</formula>
    </cfRule>
  </conditionalFormatting>
  <conditionalFormatting sqref="O17">
    <cfRule type="cellIs" dxfId="1741" priority="5952" stopIfTrue="1" operator="notEqual">
      <formula>"Premium (sulfate, silica)"</formula>
    </cfRule>
  </conditionalFormatting>
  <conditionalFormatting sqref="P17">
    <cfRule type="expression" dxfId="1740" priority="5953" stopIfTrue="1">
      <formula>NOT(ISBLANK($P$17))</formula>
    </cfRule>
  </conditionalFormatting>
  <conditionalFormatting sqref="Q17">
    <cfRule type="cellIs" dxfId="1739" priority="5954" stopIfTrue="1" operator="notEqual">
      <formula>"direct discharge / ocean outfall"</formula>
    </cfRule>
  </conditionalFormatting>
  <conditionalFormatting sqref="R17">
    <cfRule type="cellIs" dxfId="1738" priority="5955" stopIfTrue="1" operator="notEqual">
      <formula>"no flow equalization"</formula>
    </cfRule>
  </conditionalFormatting>
  <conditionalFormatting sqref="S17">
    <cfRule type="cellIs" dxfId="1737" priority="5956" stopIfTrue="1" operator="notEqual">
      <formula>"non-hazardous"</formula>
    </cfRule>
  </conditionalFormatting>
  <conditionalFormatting sqref="T17">
    <cfRule type="cellIs" dxfId="1736" priority="5957" stopIfTrue="1" operator="notEqual">
      <formula>"mid cost"</formula>
    </cfRule>
  </conditionalFormatting>
  <conditionalFormatting sqref="U17">
    <cfRule type="expression" dxfId="1735" priority="5958" stopIfTrue="1">
      <formula>NOT(ISBLANK($U$17))</formula>
    </cfRule>
  </conditionalFormatting>
  <conditionalFormatting sqref="A18">
    <cfRule type="cellIs" dxfId="1734" priority="5962" stopIfTrue="1" operator="notEqual">
      <formula>2</formula>
    </cfRule>
  </conditionalFormatting>
  <conditionalFormatting sqref="B18">
    <cfRule type="cellIs" dxfId="1733" priority="5963" stopIfTrue="1" operator="notEqual">
      <formula>2</formula>
    </cfRule>
  </conditionalFormatting>
  <conditionalFormatting sqref="C18">
    <cfRule type="cellIs" dxfId="1732" priority="5964" stopIfTrue="1" operator="notEqual">
      <formula>0.124</formula>
    </cfRule>
  </conditionalFormatting>
  <conditionalFormatting sqref="D18">
    <cfRule type="cellIs" dxfId="1731" priority="5965" stopIfTrue="1" operator="notEqual">
      <formula>"MGD"</formula>
    </cfRule>
  </conditionalFormatting>
  <conditionalFormatting sqref="E18">
    <cfRule type="cellIs" dxfId="1730" priority="5966" stopIfTrue="1" operator="notEqual">
      <formula>0.035</formula>
    </cfRule>
  </conditionalFormatting>
  <conditionalFormatting sqref="F18">
    <cfRule type="cellIs" dxfId="1729" priority="5967" stopIfTrue="1" operator="notEqual">
      <formula>"MGD"</formula>
    </cfRule>
  </conditionalFormatting>
  <conditionalFormatting sqref="G18">
    <cfRule type="cellIs" dxfId="1728" priority="5968" stopIfTrue="1" operator="notEqual">
      <formula>15</formula>
    </cfRule>
  </conditionalFormatting>
  <conditionalFormatting sqref="H18">
    <cfRule type="cellIs" dxfId="1727" priority="5969" stopIfTrue="1" operator="notEqual">
      <formula>"no"</formula>
    </cfRule>
  </conditionalFormatting>
  <conditionalFormatting sqref="I18">
    <cfRule type="cellIs" dxfId="1726" priority="5970" stopIfTrue="1" operator="notEqual">
      <formula>"8 inch Low Pressure RO"</formula>
    </cfRule>
  </conditionalFormatting>
  <conditionalFormatting sqref="J18">
    <cfRule type="expression" dxfId="1725" priority="5971" stopIfTrue="1">
      <formula>NOT(ISBLANK($J$18))</formula>
    </cfRule>
  </conditionalFormatting>
  <conditionalFormatting sqref="K18">
    <cfRule type="cellIs" dxfId="1724" priority="5972" stopIfTrue="1" operator="notEqual">
      <formula>0.75</formula>
    </cfRule>
  </conditionalFormatting>
  <conditionalFormatting sqref="L18">
    <cfRule type="cellIs" dxfId="1723" priority="5973" stopIfTrue="1" operator="notEqual">
      <formula>17</formula>
    </cfRule>
  </conditionalFormatting>
  <conditionalFormatting sqref="M18">
    <cfRule type="cellIs" dxfId="1722" priority="5974" stopIfTrue="1" operator="notEqual">
      <formula>"H2SO4"</formula>
    </cfRule>
  </conditionalFormatting>
  <conditionalFormatting sqref="N18">
    <cfRule type="cellIs" dxfId="1721" priority="5975" stopIfTrue="1" operator="notEqual">
      <formula>6.6</formula>
    </cfRule>
  </conditionalFormatting>
  <conditionalFormatting sqref="O18">
    <cfRule type="cellIs" dxfId="1720" priority="5976" stopIfTrue="1" operator="notEqual">
      <formula>"Premium (sulfate, silica)"</formula>
    </cfRule>
  </conditionalFormatting>
  <conditionalFormatting sqref="P18">
    <cfRule type="expression" dxfId="1719" priority="5977" stopIfTrue="1">
      <formula>NOT(ISBLANK($P$18))</formula>
    </cfRule>
  </conditionalFormatting>
  <conditionalFormatting sqref="Q18">
    <cfRule type="cellIs" dxfId="1718" priority="5978" stopIfTrue="1" operator="notEqual">
      <formula>"direct discharge / ocean outfall"</formula>
    </cfRule>
  </conditionalFormatting>
  <conditionalFormatting sqref="R18">
    <cfRule type="cellIs" dxfId="1717" priority="5979" stopIfTrue="1" operator="notEqual">
      <formula>"no flow equalization"</formula>
    </cfRule>
  </conditionalFormatting>
  <conditionalFormatting sqref="S18">
    <cfRule type="cellIs" dxfId="1716" priority="5980" stopIfTrue="1" operator="notEqual">
      <formula>"non-hazardous"</formula>
    </cfRule>
  </conditionalFormatting>
  <conditionalFormatting sqref="T18">
    <cfRule type="cellIs" dxfId="1715" priority="5981" stopIfTrue="1" operator="notEqual">
      <formula>"mid cost"</formula>
    </cfRule>
  </conditionalFormatting>
  <conditionalFormatting sqref="U18">
    <cfRule type="expression" dxfId="1714" priority="5982" stopIfTrue="1">
      <formula>NOT(ISBLANK($U$18))</formula>
    </cfRule>
  </conditionalFormatting>
  <conditionalFormatting sqref="A19">
    <cfRule type="cellIs" dxfId="1713" priority="5986" stopIfTrue="1" operator="notEqual">
      <formula>2</formula>
    </cfRule>
  </conditionalFormatting>
  <conditionalFormatting sqref="B19">
    <cfRule type="cellIs" dxfId="1712" priority="5987" stopIfTrue="1" operator="notEqual">
      <formula>3</formula>
    </cfRule>
  </conditionalFormatting>
  <conditionalFormatting sqref="C19">
    <cfRule type="cellIs" dxfId="1711" priority="5988" stopIfTrue="1" operator="notEqual">
      <formula>0.305</formula>
    </cfRule>
  </conditionalFormatting>
  <conditionalFormatting sqref="D19">
    <cfRule type="cellIs" dxfId="1710" priority="5989" stopIfTrue="1" operator="notEqual">
      <formula>"MGD"</formula>
    </cfRule>
  </conditionalFormatting>
  <conditionalFormatting sqref="E19">
    <cfRule type="cellIs" dxfId="1709" priority="5990" stopIfTrue="1" operator="notEqual">
      <formula>0.094</formula>
    </cfRule>
  </conditionalFormatting>
  <conditionalFormatting sqref="F19">
    <cfRule type="cellIs" dxfId="1708" priority="5991" stopIfTrue="1" operator="notEqual">
      <formula>"MGD"</formula>
    </cfRule>
  </conditionalFormatting>
  <conditionalFormatting sqref="G19">
    <cfRule type="cellIs" dxfId="1707" priority="5992" stopIfTrue="1" operator="notEqual">
      <formula>15</formula>
    </cfRule>
  </conditionalFormatting>
  <conditionalFormatting sqref="H19">
    <cfRule type="cellIs" dxfId="1706" priority="5993" stopIfTrue="1" operator="notEqual">
      <formula>"no"</formula>
    </cfRule>
  </conditionalFormatting>
  <conditionalFormatting sqref="I19">
    <cfRule type="cellIs" dxfId="1705" priority="5994" stopIfTrue="1" operator="notEqual">
      <formula>"8 inch Low Pressure RO"</formula>
    </cfRule>
  </conditionalFormatting>
  <conditionalFormatting sqref="J19">
    <cfRule type="expression" dxfId="1704" priority="5995" stopIfTrue="1">
      <formula>NOT(ISBLANK($J$19))</formula>
    </cfRule>
  </conditionalFormatting>
  <conditionalFormatting sqref="K19">
    <cfRule type="cellIs" dxfId="1703" priority="5996" stopIfTrue="1" operator="notEqual">
      <formula>0.75</formula>
    </cfRule>
  </conditionalFormatting>
  <conditionalFormatting sqref="L19">
    <cfRule type="cellIs" dxfId="1702" priority="5997" stopIfTrue="1" operator="notEqual">
      <formula>17</formula>
    </cfRule>
  </conditionalFormatting>
  <conditionalFormatting sqref="M19">
    <cfRule type="cellIs" dxfId="1701" priority="5998" stopIfTrue="1" operator="notEqual">
      <formula>"H2SO4"</formula>
    </cfRule>
  </conditionalFormatting>
  <conditionalFormatting sqref="N19">
    <cfRule type="cellIs" dxfId="1700" priority="5999" stopIfTrue="1" operator="notEqual">
      <formula>6.6</formula>
    </cfRule>
  </conditionalFormatting>
  <conditionalFormatting sqref="O19">
    <cfRule type="cellIs" dxfId="1699" priority="6000" stopIfTrue="1" operator="notEqual">
      <formula>"Premium (sulfate, silica)"</formula>
    </cfRule>
  </conditionalFormatting>
  <conditionalFormatting sqref="P19">
    <cfRule type="expression" dxfId="1698" priority="6001" stopIfTrue="1">
      <formula>NOT(ISBLANK($P$19))</formula>
    </cfRule>
  </conditionalFormatting>
  <conditionalFormatting sqref="Q19">
    <cfRule type="cellIs" dxfId="1697" priority="6002" stopIfTrue="1" operator="notEqual">
      <formula>"direct discharge / ocean outfall"</formula>
    </cfRule>
  </conditionalFormatting>
  <conditionalFormatting sqref="R19">
    <cfRule type="cellIs" dxfId="1696" priority="6003" stopIfTrue="1" operator="notEqual">
      <formula>"no flow equalization"</formula>
    </cfRule>
  </conditionalFormatting>
  <conditionalFormatting sqref="S19">
    <cfRule type="cellIs" dxfId="1695" priority="6004" stopIfTrue="1" operator="notEqual">
      <formula>"non-hazardous"</formula>
    </cfRule>
  </conditionalFormatting>
  <conditionalFormatting sqref="T19">
    <cfRule type="cellIs" dxfId="1694" priority="6005" stopIfTrue="1" operator="notEqual">
      <formula>"mid cost"</formula>
    </cfRule>
  </conditionalFormatting>
  <conditionalFormatting sqref="U19">
    <cfRule type="expression" dxfId="1693" priority="6006" stopIfTrue="1">
      <formula>NOT(ISBLANK($U$19))</formula>
    </cfRule>
  </conditionalFormatting>
  <conditionalFormatting sqref="A20">
    <cfRule type="cellIs" dxfId="1692" priority="6010" stopIfTrue="1" operator="notEqual">
      <formula>2</formula>
    </cfRule>
  </conditionalFormatting>
  <conditionalFormatting sqref="B20">
    <cfRule type="cellIs" dxfId="1691" priority="6011" stopIfTrue="1" operator="notEqual">
      <formula>4</formula>
    </cfRule>
  </conditionalFormatting>
  <conditionalFormatting sqref="C20">
    <cfRule type="cellIs" dxfId="1690" priority="6012" stopIfTrue="1" operator="notEqual">
      <formula>0.74</formula>
    </cfRule>
  </conditionalFormatting>
  <conditionalFormatting sqref="D20">
    <cfRule type="cellIs" dxfId="1689" priority="6013" stopIfTrue="1" operator="notEqual">
      <formula>"MGD"</formula>
    </cfRule>
  </conditionalFormatting>
  <conditionalFormatting sqref="E20">
    <cfRule type="cellIs" dxfId="1688" priority="6014" stopIfTrue="1" operator="notEqual">
      <formula>0.251</formula>
    </cfRule>
  </conditionalFormatting>
  <conditionalFormatting sqref="F20">
    <cfRule type="cellIs" dxfId="1687" priority="6015" stopIfTrue="1" operator="notEqual">
      <formula>"MGD"</formula>
    </cfRule>
  </conditionalFormatting>
  <conditionalFormatting sqref="G20">
    <cfRule type="cellIs" dxfId="1686" priority="6016" stopIfTrue="1" operator="notEqual">
      <formula>15</formula>
    </cfRule>
  </conditionalFormatting>
  <conditionalFormatting sqref="H20">
    <cfRule type="cellIs" dxfId="1685" priority="6017" stopIfTrue="1" operator="notEqual">
      <formula>"no"</formula>
    </cfRule>
  </conditionalFormatting>
  <conditionalFormatting sqref="I20">
    <cfRule type="cellIs" dxfId="1684" priority="6018" stopIfTrue="1" operator="notEqual">
      <formula>"8 inch Low Pressure RO"</formula>
    </cfRule>
  </conditionalFormatting>
  <conditionalFormatting sqref="J20">
    <cfRule type="expression" dxfId="1683" priority="6019" stopIfTrue="1">
      <formula>NOT(ISBLANK($J$20))</formula>
    </cfRule>
  </conditionalFormatting>
  <conditionalFormatting sqref="K20">
    <cfRule type="cellIs" dxfId="1682" priority="6020" stopIfTrue="1" operator="notEqual">
      <formula>0.8</formula>
    </cfRule>
  </conditionalFormatting>
  <conditionalFormatting sqref="L20">
    <cfRule type="cellIs" dxfId="1681" priority="6021" stopIfTrue="1" operator="notEqual">
      <formula>17</formula>
    </cfRule>
  </conditionalFormatting>
  <conditionalFormatting sqref="M20">
    <cfRule type="cellIs" dxfId="1680" priority="6022" stopIfTrue="1" operator="notEqual">
      <formula>"H2SO4"</formula>
    </cfRule>
  </conditionalFormatting>
  <conditionalFormatting sqref="N20">
    <cfRule type="cellIs" dxfId="1679" priority="6023" stopIfTrue="1" operator="notEqual">
      <formula>6.6</formula>
    </cfRule>
  </conditionalFormatting>
  <conditionalFormatting sqref="O20">
    <cfRule type="cellIs" dxfId="1678" priority="6024" stopIfTrue="1" operator="notEqual">
      <formula>"Premium (sulfate, silica)"</formula>
    </cfRule>
  </conditionalFormatting>
  <conditionalFormatting sqref="P20">
    <cfRule type="expression" dxfId="1677" priority="6025" stopIfTrue="1">
      <formula>NOT(ISBLANK($P$20))</formula>
    </cfRule>
  </conditionalFormatting>
  <conditionalFormatting sqref="Q20">
    <cfRule type="cellIs" dxfId="1676" priority="6026" stopIfTrue="1" operator="notEqual">
      <formula>"direct discharge / ocean outfall"</formula>
    </cfRule>
  </conditionalFormatting>
  <conditionalFormatting sqref="R20">
    <cfRule type="cellIs" dxfId="1675" priority="6027" stopIfTrue="1" operator="notEqual">
      <formula>"no flow equalization"</formula>
    </cfRule>
  </conditionalFormatting>
  <conditionalFormatting sqref="S20">
    <cfRule type="cellIs" dxfId="1674" priority="6028" stopIfTrue="1" operator="notEqual">
      <formula>"non-hazardous"</formula>
    </cfRule>
  </conditionalFormatting>
  <conditionalFormatting sqref="T20">
    <cfRule type="cellIs" dxfId="1673" priority="6029" stopIfTrue="1" operator="notEqual">
      <formula>"mid cost"</formula>
    </cfRule>
  </conditionalFormatting>
  <conditionalFormatting sqref="U20">
    <cfRule type="expression" dxfId="1672" priority="6030" stopIfTrue="1">
      <formula>NOT(ISBLANK($U$20))</formula>
    </cfRule>
  </conditionalFormatting>
  <conditionalFormatting sqref="A21">
    <cfRule type="cellIs" dxfId="1671" priority="6034" stopIfTrue="1" operator="notEqual">
      <formula>2</formula>
    </cfRule>
  </conditionalFormatting>
  <conditionalFormatting sqref="B21">
    <cfRule type="cellIs" dxfId="1670" priority="6035" stopIfTrue="1" operator="notEqual">
      <formula>5</formula>
    </cfRule>
  </conditionalFormatting>
  <conditionalFormatting sqref="C21">
    <cfRule type="cellIs" dxfId="1669" priority="6036" stopIfTrue="1" operator="notEqual">
      <formula>2.152</formula>
    </cfRule>
  </conditionalFormatting>
  <conditionalFormatting sqref="D21">
    <cfRule type="cellIs" dxfId="1668" priority="6037" stopIfTrue="1" operator="notEqual">
      <formula>"MGD"</formula>
    </cfRule>
  </conditionalFormatting>
  <conditionalFormatting sqref="E21">
    <cfRule type="cellIs" dxfId="1667" priority="6038" stopIfTrue="1" operator="notEqual">
      <formula>0.819</formula>
    </cfRule>
  </conditionalFormatting>
  <conditionalFormatting sqref="F21">
    <cfRule type="cellIs" dxfId="1666" priority="6039" stopIfTrue="1" operator="notEqual">
      <formula>"MGD"</formula>
    </cfRule>
  </conditionalFormatting>
  <conditionalFormatting sqref="G21">
    <cfRule type="cellIs" dxfId="1665" priority="6040" stopIfTrue="1" operator="notEqual">
      <formula>15</formula>
    </cfRule>
  </conditionalFormatting>
  <conditionalFormatting sqref="H21">
    <cfRule type="cellIs" dxfId="1664" priority="6041" stopIfTrue="1" operator="notEqual">
      <formula>"yes"</formula>
    </cfRule>
  </conditionalFormatting>
  <conditionalFormatting sqref="I21">
    <cfRule type="cellIs" dxfId="1663" priority="6042" stopIfTrue="1" operator="notEqual">
      <formula>"8 inch Low Pressure RO"</formula>
    </cfRule>
  </conditionalFormatting>
  <conditionalFormatting sqref="J21">
    <cfRule type="expression" dxfId="1662" priority="6043" stopIfTrue="1">
      <formula>NOT(ISBLANK($J$21))</formula>
    </cfRule>
  </conditionalFormatting>
  <conditionalFormatting sqref="K21">
    <cfRule type="cellIs" dxfId="1661" priority="6044" stopIfTrue="1" operator="notEqual">
      <formula>0.8</formula>
    </cfRule>
  </conditionalFormatting>
  <conditionalFormatting sqref="L21">
    <cfRule type="cellIs" dxfId="1660" priority="6045" stopIfTrue="1" operator="notEqual">
      <formula>17</formula>
    </cfRule>
  </conditionalFormatting>
  <conditionalFormatting sqref="M21">
    <cfRule type="cellIs" dxfId="1659" priority="6046" stopIfTrue="1" operator="notEqual">
      <formula>"H2SO4"</formula>
    </cfRule>
  </conditionalFormatting>
  <conditionalFormatting sqref="N21">
    <cfRule type="cellIs" dxfId="1658" priority="6047" stopIfTrue="1" operator="notEqual">
      <formula>6.6</formula>
    </cfRule>
  </conditionalFormatting>
  <conditionalFormatting sqref="O21">
    <cfRule type="cellIs" dxfId="1657" priority="6048" stopIfTrue="1" operator="notEqual">
      <formula>"Premium (sulfate, silica)"</formula>
    </cfRule>
  </conditionalFormatting>
  <conditionalFormatting sqref="P21">
    <cfRule type="expression" dxfId="1656" priority="6049" stopIfTrue="1">
      <formula>NOT(ISBLANK($P$21))</formula>
    </cfRule>
  </conditionalFormatting>
  <conditionalFormatting sqref="Q21">
    <cfRule type="cellIs" dxfId="1655" priority="6050" stopIfTrue="1" operator="notEqual">
      <formula>"direct discharge / ocean outfall"</formula>
    </cfRule>
  </conditionalFormatting>
  <conditionalFormatting sqref="R21">
    <cfRule type="cellIs" dxfId="1654" priority="6051" stopIfTrue="1" operator="notEqual">
      <formula>"no flow equalization"</formula>
    </cfRule>
  </conditionalFormatting>
  <conditionalFormatting sqref="S21">
    <cfRule type="cellIs" dxfId="1653" priority="6052" stopIfTrue="1" operator="notEqual">
      <formula>"non-hazardous"</formula>
    </cfRule>
  </conditionalFormatting>
  <conditionalFormatting sqref="T21">
    <cfRule type="cellIs" dxfId="1652" priority="6053" stopIfTrue="1" operator="notEqual">
      <formula>"mid cost"</formula>
    </cfRule>
  </conditionalFormatting>
  <conditionalFormatting sqref="U21">
    <cfRule type="expression" dxfId="1651" priority="6054" stopIfTrue="1">
      <formula>NOT(ISBLANK($U$21))</formula>
    </cfRule>
  </conditionalFormatting>
  <conditionalFormatting sqref="A22">
    <cfRule type="cellIs" dxfId="1650" priority="6058" stopIfTrue="1" operator="notEqual">
      <formula>2</formula>
    </cfRule>
  </conditionalFormatting>
  <conditionalFormatting sqref="B22">
    <cfRule type="cellIs" dxfId="1649" priority="6059" stopIfTrue="1" operator="notEqual">
      <formula>6</formula>
    </cfRule>
  </conditionalFormatting>
  <conditionalFormatting sqref="C22">
    <cfRule type="cellIs" dxfId="1648" priority="6060" stopIfTrue="1" operator="notEqual">
      <formula>7.365</formula>
    </cfRule>
  </conditionalFormatting>
  <conditionalFormatting sqref="D22">
    <cfRule type="cellIs" dxfId="1647" priority="6061" stopIfTrue="1" operator="notEqual">
      <formula>"MGD"</formula>
    </cfRule>
  </conditionalFormatting>
  <conditionalFormatting sqref="E22">
    <cfRule type="cellIs" dxfId="1646" priority="6062" stopIfTrue="1" operator="notEqual">
      <formula>3.2</formula>
    </cfRule>
  </conditionalFormatting>
  <conditionalFormatting sqref="F22">
    <cfRule type="cellIs" dxfId="1645" priority="6063" stopIfTrue="1" operator="notEqual">
      <formula>"MGD"</formula>
    </cfRule>
  </conditionalFormatting>
  <conditionalFormatting sqref="G22">
    <cfRule type="cellIs" dxfId="1644" priority="6064" stopIfTrue="1" operator="notEqual">
      <formula>15</formula>
    </cfRule>
  </conditionalFormatting>
  <conditionalFormatting sqref="H22">
    <cfRule type="cellIs" dxfId="1643" priority="6065" stopIfTrue="1" operator="notEqual">
      <formula>"yes"</formula>
    </cfRule>
  </conditionalFormatting>
  <conditionalFormatting sqref="I22">
    <cfRule type="cellIs" dxfId="1642" priority="6066" stopIfTrue="1" operator="notEqual">
      <formula>"8 inch Low Pressure RO"</formula>
    </cfRule>
  </conditionalFormatting>
  <conditionalFormatting sqref="J22">
    <cfRule type="expression" dxfId="1641" priority="6067" stopIfTrue="1">
      <formula>NOT(ISBLANK($J$22))</formula>
    </cfRule>
  </conditionalFormatting>
  <conditionalFormatting sqref="K22">
    <cfRule type="cellIs" dxfId="1640" priority="6068" stopIfTrue="1" operator="notEqual">
      <formula>0.8</formula>
    </cfRule>
  </conditionalFormatting>
  <conditionalFormatting sqref="L22">
    <cfRule type="cellIs" dxfId="1639" priority="6069" stopIfTrue="1" operator="notEqual">
      <formula>17</formula>
    </cfRule>
  </conditionalFormatting>
  <conditionalFormatting sqref="M22">
    <cfRule type="cellIs" dxfId="1638" priority="6070" stopIfTrue="1" operator="notEqual">
      <formula>"H2SO4"</formula>
    </cfRule>
  </conditionalFormatting>
  <conditionalFormatting sqref="N22">
    <cfRule type="cellIs" dxfId="1637" priority="6071" stopIfTrue="1" operator="notEqual">
      <formula>6.6</formula>
    </cfRule>
  </conditionalFormatting>
  <conditionalFormatting sqref="O22">
    <cfRule type="cellIs" dxfId="1636" priority="6072" stopIfTrue="1" operator="notEqual">
      <formula>"Premium (sulfate, silica)"</formula>
    </cfRule>
  </conditionalFormatting>
  <conditionalFormatting sqref="P22">
    <cfRule type="expression" dxfId="1635" priority="6073" stopIfTrue="1">
      <formula>NOT(ISBLANK($P$22))</formula>
    </cfRule>
  </conditionalFormatting>
  <conditionalFormatting sqref="Q22">
    <cfRule type="cellIs" dxfId="1634" priority="6074" stopIfTrue="1" operator="notEqual">
      <formula>"direct discharge / ocean outfall"</formula>
    </cfRule>
  </conditionalFormatting>
  <conditionalFormatting sqref="R22">
    <cfRule type="cellIs" dxfId="1633" priority="6075" stopIfTrue="1" operator="notEqual">
      <formula>"no flow equalization"</formula>
    </cfRule>
  </conditionalFormatting>
  <conditionalFormatting sqref="S22">
    <cfRule type="cellIs" dxfId="1632" priority="6076" stopIfTrue="1" operator="notEqual">
      <formula>"non-hazardous"</formula>
    </cfRule>
  </conditionalFormatting>
  <conditionalFormatting sqref="T22">
    <cfRule type="cellIs" dxfId="1631" priority="6077" stopIfTrue="1" operator="notEqual">
      <formula>"mid cost"</formula>
    </cfRule>
  </conditionalFormatting>
  <conditionalFormatting sqref="U22">
    <cfRule type="expression" dxfId="1630" priority="6078" stopIfTrue="1">
      <formula>NOT(ISBLANK($U$22))</formula>
    </cfRule>
  </conditionalFormatting>
  <conditionalFormatting sqref="A23">
    <cfRule type="cellIs" dxfId="1629" priority="6082" stopIfTrue="1" operator="notEqual">
      <formula>2</formula>
    </cfRule>
  </conditionalFormatting>
  <conditionalFormatting sqref="B23">
    <cfRule type="cellIs" dxfId="1628" priority="6083" stopIfTrue="1" operator="notEqual">
      <formula>7</formula>
    </cfRule>
  </conditionalFormatting>
  <conditionalFormatting sqref="C23">
    <cfRule type="cellIs" dxfId="1627" priority="6084" stopIfTrue="1" operator="notEqual">
      <formula>22.614</formula>
    </cfRule>
  </conditionalFormatting>
  <conditionalFormatting sqref="D23">
    <cfRule type="cellIs" dxfId="1626" priority="6085" stopIfTrue="1" operator="notEqual">
      <formula>"MGD"</formula>
    </cfRule>
  </conditionalFormatting>
  <conditionalFormatting sqref="E23">
    <cfRule type="cellIs" dxfId="1625" priority="6086" stopIfTrue="1" operator="notEqual">
      <formula>11.066</formula>
    </cfRule>
  </conditionalFormatting>
  <conditionalFormatting sqref="F23">
    <cfRule type="cellIs" dxfId="1624" priority="6087" stopIfTrue="1" operator="notEqual">
      <formula>"MGD"</formula>
    </cfRule>
  </conditionalFormatting>
  <conditionalFormatting sqref="G23">
    <cfRule type="cellIs" dxfId="1623" priority="6088" stopIfTrue="1" operator="notEqual">
      <formula>15</formula>
    </cfRule>
  </conditionalFormatting>
  <conditionalFormatting sqref="H23">
    <cfRule type="cellIs" dxfId="1622" priority="6089" stopIfTrue="1" operator="notEqual">
      <formula>"yes"</formula>
    </cfRule>
  </conditionalFormatting>
  <conditionalFormatting sqref="I23">
    <cfRule type="cellIs" dxfId="1621" priority="6090" stopIfTrue="1" operator="notEqual">
      <formula>"8 inch Low Pressure RO"</formula>
    </cfRule>
  </conditionalFormatting>
  <conditionalFormatting sqref="J23">
    <cfRule type="expression" dxfId="1620" priority="6091" stopIfTrue="1">
      <formula>NOT(ISBLANK($J$23))</formula>
    </cfRule>
  </conditionalFormatting>
  <conditionalFormatting sqref="K23">
    <cfRule type="cellIs" dxfId="1619" priority="6092" stopIfTrue="1" operator="notEqual">
      <formula>0.8</formula>
    </cfRule>
  </conditionalFormatting>
  <conditionalFormatting sqref="L23">
    <cfRule type="cellIs" dxfId="1618" priority="6093" stopIfTrue="1" operator="notEqual">
      <formula>17</formula>
    </cfRule>
  </conditionalFormatting>
  <conditionalFormatting sqref="M23">
    <cfRule type="cellIs" dxfId="1617" priority="6094" stopIfTrue="1" operator="notEqual">
      <formula>"H2SO4"</formula>
    </cfRule>
  </conditionalFormatting>
  <conditionalFormatting sqref="N23">
    <cfRule type="cellIs" dxfId="1616" priority="6095" stopIfTrue="1" operator="notEqual">
      <formula>6.6</formula>
    </cfRule>
  </conditionalFormatting>
  <conditionalFormatting sqref="O23">
    <cfRule type="cellIs" dxfId="1615" priority="6096" stopIfTrue="1" operator="notEqual">
      <formula>"Premium (sulfate, silica)"</formula>
    </cfRule>
  </conditionalFormatting>
  <conditionalFormatting sqref="P23">
    <cfRule type="expression" dxfId="1614" priority="6097" stopIfTrue="1">
      <formula>NOT(ISBLANK($P$23))</formula>
    </cfRule>
  </conditionalFormatting>
  <conditionalFormatting sqref="Q23">
    <cfRule type="cellIs" dxfId="1613" priority="6098" stopIfTrue="1" operator="notEqual">
      <formula>"direct discharge / ocean outfall"</formula>
    </cfRule>
  </conditionalFormatting>
  <conditionalFormatting sqref="R23">
    <cfRule type="cellIs" dxfId="1612" priority="6099" stopIfTrue="1" operator="notEqual">
      <formula>"no flow equalization"</formula>
    </cfRule>
  </conditionalFormatting>
  <conditionalFormatting sqref="S23">
    <cfRule type="cellIs" dxfId="1611" priority="6100" stopIfTrue="1" operator="notEqual">
      <formula>"non-hazardous"</formula>
    </cfRule>
  </conditionalFormatting>
  <conditionalFormatting sqref="T23">
    <cfRule type="cellIs" dxfId="1610" priority="6101" stopIfTrue="1" operator="notEqual">
      <formula>"mid cost"</formula>
    </cfRule>
  </conditionalFormatting>
  <conditionalFormatting sqref="U23">
    <cfRule type="expression" dxfId="1609" priority="6102" stopIfTrue="1">
      <formula>NOT(ISBLANK($U$23))</formula>
    </cfRule>
  </conditionalFormatting>
  <conditionalFormatting sqref="A24">
    <cfRule type="cellIs" dxfId="1608" priority="6106" stopIfTrue="1" operator="notEqual">
      <formula>2</formula>
    </cfRule>
  </conditionalFormatting>
  <conditionalFormatting sqref="B24">
    <cfRule type="cellIs" dxfId="1607" priority="6107" stopIfTrue="1" operator="notEqual">
      <formula>8</formula>
    </cfRule>
  </conditionalFormatting>
  <conditionalFormatting sqref="C24">
    <cfRule type="cellIs" dxfId="1606" priority="6108" stopIfTrue="1" operator="notEqual">
      <formula>75.072</formula>
    </cfRule>
  </conditionalFormatting>
  <conditionalFormatting sqref="D24">
    <cfRule type="cellIs" dxfId="1605" priority="6109" stopIfTrue="1" operator="notEqual">
      <formula>"MGD"</formula>
    </cfRule>
  </conditionalFormatting>
  <conditionalFormatting sqref="E24">
    <cfRule type="cellIs" dxfId="1604" priority="6110" stopIfTrue="1" operator="notEqual">
      <formula>37.536</formula>
    </cfRule>
  </conditionalFormatting>
  <conditionalFormatting sqref="F24">
    <cfRule type="cellIs" dxfId="1603" priority="6111" stopIfTrue="1" operator="notEqual">
      <formula>"MGD"</formula>
    </cfRule>
  </conditionalFormatting>
  <conditionalFormatting sqref="G24">
    <cfRule type="cellIs" dxfId="1602" priority="6112" stopIfTrue="1" operator="notEqual">
      <formula>15</formula>
    </cfRule>
  </conditionalFormatting>
  <conditionalFormatting sqref="H24">
    <cfRule type="cellIs" dxfId="1601" priority="6113" stopIfTrue="1" operator="notEqual">
      <formula>"yes"</formula>
    </cfRule>
  </conditionalFormatting>
  <conditionalFormatting sqref="I24">
    <cfRule type="cellIs" dxfId="1600" priority="6114" stopIfTrue="1" operator="notEqual">
      <formula>"8 inch Low Pressure RO"</formula>
    </cfRule>
  </conditionalFormatting>
  <conditionalFormatting sqref="J24">
    <cfRule type="expression" dxfId="1599" priority="6115" stopIfTrue="1">
      <formula>NOT(ISBLANK($J$24))</formula>
    </cfRule>
  </conditionalFormatting>
  <conditionalFormatting sqref="K24">
    <cfRule type="cellIs" dxfId="1598" priority="6116" stopIfTrue="1" operator="notEqual">
      <formula>0.8</formula>
    </cfRule>
  </conditionalFormatting>
  <conditionalFormatting sqref="L24">
    <cfRule type="cellIs" dxfId="1597" priority="6117" stopIfTrue="1" operator="notEqual">
      <formula>17</formula>
    </cfRule>
  </conditionalFormatting>
  <conditionalFormatting sqref="M24">
    <cfRule type="cellIs" dxfId="1596" priority="6118" stopIfTrue="1" operator="notEqual">
      <formula>"H2SO4"</formula>
    </cfRule>
  </conditionalFormatting>
  <conditionalFormatting sqref="N24">
    <cfRule type="cellIs" dxfId="1595" priority="6119" stopIfTrue="1" operator="notEqual">
      <formula>6.6</formula>
    </cfRule>
  </conditionalFormatting>
  <conditionalFormatting sqref="O24">
    <cfRule type="cellIs" dxfId="1594" priority="6120" stopIfTrue="1" operator="notEqual">
      <formula>"Premium (sulfate, silica)"</formula>
    </cfRule>
  </conditionalFormatting>
  <conditionalFormatting sqref="P24">
    <cfRule type="expression" dxfId="1593" priority="6121" stopIfTrue="1">
      <formula>NOT(ISBLANK($P$24))</formula>
    </cfRule>
  </conditionalFormatting>
  <conditionalFormatting sqref="Q24">
    <cfRule type="cellIs" dxfId="1592" priority="6122" stopIfTrue="1" operator="notEqual">
      <formula>"direct discharge / ocean outfall"</formula>
    </cfRule>
  </conditionalFormatting>
  <conditionalFormatting sqref="R24">
    <cfRule type="cellIs" dxfId="1591" priority="6123" stopIfTrue="1" operator="notEqual">
      <formula>"no flow equalization"</formula>
    </cfRule>
  </conditionalFormatting>
  <conditionalFormatting sqref="S24">
    <cfRule type="cellIs" dxfId="1590" priority="6124" stopIfTrue="1" operator="notEqual">
      <formula>"non-hazardous"</formula>
    </cfRule>
  </conditionalFormatting>
  <conditionalFormatting sqref="T24">
    <cfRule type="cellIs" dxfId="1589" priority="6125" stopIfTrue="1" operator="notEqual">
      <formula>"mid cost"</formula>
    </cfRule>
  </conditionalFormatting>
  <conditionalFormatting sqref="U24">
    <cfRule type="expression" dxfId="1588" priority="6126" stopIfTrue="1">
      <formula>NOT(ISBLANK($U$24))</formula>
    </cfRule>
  </conditionalFormatting>
  <conditionalFormatting sqref="A25">
    <cfRule type="cellIs" dxfId="1587" priority="6130" stopIfTrue="1" operator="notEqual">
      <formula>3</formula>
    </cfRule>
  </conditionalFormatting>
  <conditionalFormatting sqref="B25">
    <cfRule type="cellIs" dxfId="1586" priority="6131" stopIfTrue="1" operator="notEqual">
      <formula>1</formula>
    </cfRule>
  </conditionalFormatting>
  <conditionalFormatting sqref="C25">
    <cfRule type="cellIs" dxfId="1585" priority="6132" stopIfTrue="1" operator="notEqual">
      <formula>0.03</formula>
    </cfRule>
  </conditionalFormatting>
  <conditionalFormatting sqref="D25">
    <cfRule type="cellIs" dxfId="1584" priority="6133" stopIfTrue="1" operator="notEqual">
      <formula>"MGD"</formula>
    </cfRule>
  </conditionalFormatting>
  <conditionalFormatting sqref="E25">
    <cfRule type="cellIs" dxfId="1583" priority="6134" stopIfTrue="1" operator="notEqual">
      <formula>0.007</formula>
    </cfRule>
  </conditionalFormatting>
  <conditionalFormatting sqref="F25">
    <cfRule type="cellIs" dxfId="1582" priority="6135" stopIfTrue="1" operator="notEqual">
      <formula>"MGD"</formula>
    </cfRule>
  </conditionalFormatting>
  <conditionalFormatting sqref="G25">
    <cfRule type="cellIs" dxfId="1581" priority="6136" stopIfTrue="1" operator="notEqual">
      <formula>15</formula>
    </cfRule>
  </conditionalFormatting>
  <conditionalFormatting sqref="H25">
    <cfRule type="cellIs" dxfId="1580" priority="6137" stopIfTrue="1" operator="notEqual">
      <formula>"no"</formula>
    </cfRule>
  </conditionalFormatting>
  <conditionalFormatting sqref="I25">
    <cfRule type="cellIs" dxfId="1579" priority="6138" stopIfTrue="1" operator="notEqual">
      <formula>"4 inch Brackish Water RO"</formula>
    </cfRule>
  </conditionalFormatting>
  <conditionalFormatting sqref="J25">
    <cfRule type="expression" dxfId="1578" priority="6139" stopIfTrue="1">
      <formula>NOT(ISBLANK($J$25))</formula>
    </cfRule>
  </conditionalFormatting>
  <conditionalFormatting sqref="K25">
    <cfRule type="cellIs" dxfId="1577" priority="6140" stopIfTrue="1" operator="notEqual">
      <formula>0.7</formula>
    </cfRule>
  </conditionalFormatting>
  <conditionalFormatting sqref="L25">
    <cfRule type="cellIs" dxfId="1576" priority="6141" stopIfTrue="1" operator="notEqual">
      <formula>16</formula>
    </cfRule>
  </conditionalFormatting>
  <conditionalFormatting sqref="M25">
    <cfRule type="cellIs" dxfId="1575" priority="6142" stopIfTrue="1" operator="notEqual">
      <formula>"H2SO4"</formula>
    </cfRule>
  </conditionalFormatting>
  <conditionalFormatting sqref="N25">
    <cfRule type="cellIs" dxfId="1574" priority="6143" stopIfTrue="1" operator="notEqual">
      <formula>6.5</formula>
    </cfRule>
  </conditionalFormatting>
  <conditionalFormatting sqref="O25">
    <cfRule type="cellIs" dxfId="1573" priority="6144" stopIfTrue="1" operator="notEqual">
      <formula>"Premium (sulfate, silica)"</formula>
    </cfRule>
  </conditionalFormatting>
  <conditionalFormatting sqref="P25">
    <cfRule type="expression" dxfId="1572" priority="6145" stopIfTrue="1">
      <formula>NOT(ISBLANK($P$25))</formula>
    </cfRule>
  </conditionalFormatting>
  <conditionalFormatting sqref="Q25">
    <cfRule type="cellIs" dxfId="1571" priority="6146" stopIfTrue="1" operator="notEqual">
      <formula>"direct discharge / ocean outfall"</formula>
    </cfRule>
  </conditionalFormatting>
  <conditionalFormatting sqref="R25">
    <cfRule type="cellIs" dxfId="1570" priority="6147" stopIfTrue="1" operator="notEqual">
      <formula>"no flow equalization"</formula>
    </cfRule>
  </conditionalFormatting>
  <conditionalFormatting sqref="S25">
    <cfRule type="cellIs" dxfId="1569" priority="6148" stopIfTrue="1" operator="notEqual">
      <formula>"non-hazardous"</formula>
    </cfRule>
  </conditionalFormatting>
  <conditionalFormatting sqref="T25">
    <cfRule type="cellIs" dxfId="1568" priority="6149" stopIfTrue="1" operator="notEqual">
      <formula>"high cost"</formula>
    </cfRule>
  </conditionalFormatting>
  <conditionalFormatting sqref="U25">
    <cfRule type="expression" dxfId="1567" priority="6150" stopIfTrue="1">
      <formula>NOT(ISBLANK($U$25))</formula>
    </cfRule>
  </conditionalFormatting>
  <conditionalFormatting sqref="A26">
    <cfRule type="cellIs" dxfId="1566" priority="6154" stopIfTrue="1" operator="notEqual">
      <formula>3</formula>
    </cfRule>
  </conditionalFormatting>
  <conditionalFormatting sqref="B26">
    <cfRule type="cellIs" dxfId="1565" priority="6155" stopIfTrue="1" operator="notEqual">
      <formula>2</formula>
    </cfRule>
  </conditionalFormatting>
  <conditionalFormatting sqref="C26">
    <cfRule type="cellIs" dxfId="1564" priority="6156" stopIfTrue="1" operator="notEqual">
      <formula>0.124</formula>
    </cfRule>
  </conditionalFormatting>
  <conditionalFormatting sqref="D26">
    <cfRule type="cellIs" dxfId="1563" priority="6157" stopIfTrue="1" operator="notEqual">
      <formula>"MGD"</formula>
    </cfRule>
  </conditionalFormatting>
  <conditionalFormatting sqref="E26">
    <cfRule type="cellIs" dxfId="1562" priority="6158" stopIfTrue="1" operator="notEqual">
      <formula>0.035</formula>
    </cfRule>
  </conditionalFormatting>
  <conditionalFormatting sqref="F26">
    <cfRule type="cellIs" dxfId="1561" priority="6159" stopIfTrue="1" operator="notEqual">
      <formula>"MGD"</formula>
    </cfRule>
  </conditionalFormatting>
  <conditionalFormatting sqref="G26">
    <cfRule type="cellIs" dxfId="1560" priority="6160" stopIfTrue="1" operator="notEqual">
      <formula>15</formula>
    </cfRule>
  </conditionalFormatting>
  <conditionalFormatting sqref="H26">
    <cfRule type="cellIs" dxfId="1559" priority="6161" stopIfTrue="1" operator="notEqual">
      <formula>"no"</formula>
    </cfRule>
  </conditionalFormatting>
  <conditionalFormatting sqref="I26">
    <cfRule type="cellIs" dxfId="1558" priority="6162" stopIfTrue="1" operator="notEqual">
      <formula>"8 inch Brackish Water RO"</formula>
    </cfRule>
  </conditionalFormatting>
  <conditionalFormatting sqref="J26">
    <cfRule type="expression" dxfId="1557" priority="6163" stopIfTrue="1">
      <formula>NOT(ISBLANK($J$26))</formula>
    </cfRule>
  </conditionalFormatting>
  <conditionalFormatting sqref="K26">
    <cfRule type="cellIs" dxfId="1556" priority="6164" stopIfTrue="1" operator="notEqual">
      <formula>0.65</formula>
    </cfRule>
  </conditionalFormatting>
  <conditionalFormatting sqref="L26">
    <cfRule type="cellIs" dxfId="1555" priority="6165" stopIfTrue="1" operator="notEqual">
      <formula>16</formula>
    </cfRule>
  </conditionalFormatting>
  <conditionalFormatting sqref="M26">
    <cfRule type="cellIs" dxfId="1554" priority="6166" stopIfTrue="1" operator="notEqual">
      <formula>"H2SO4"</formula>
    </cfRule>
  </conditionalFormatting>
  <conditionalFormatting sqref="N26">
    <cfRule type="cellIs" dxfId="1553" priority="6167" stopIfTrue="1" operator="notEqual">
      <formula>6.5</formula>
    </cfRule>
  </conditionalFormatting>
  <conditionalFormatting sqref="O26">
    <cfRule type="cellIs" dxfId="1552" priority="6168" stopIfTrue="1" operator="notEqual">
      <formula>"Premium (sulfate, silica)"</formula>
    </cfRule>
  </conditionalFormatting>
  <conditionalFormatting sqref="P26">
    <cfRule type="expression" dxfId="1551" priority="6169" stopIfTrue="1">
      <formula>NOT(ISBLANK($P$26))</formula>
    </cfRule>
  </conditionalFormatting>
  <conditionalFormatting sqref="Q26">
    <cfRule type="cellIs" dxfId="1550" priority="6170" stopIfTrue="1" operator="notEqual">
      <formula>"direct discharge / ocean outfall"</formula>
    </cfRule>
  </conditionalFormatting>
  <conditionalFormatting sqref="R26">
    <cfRule type="cellIs" dxfId="1549" priority="6171" stopIfTrue="1" operator="notEqual">
      <formula>"no flow equalization"</formula>
    </cfRule>
  </conditionalFormatting>
  <conditionalFormatting sqref="S26">
    <cfRule type="cellIs" dxfId="1548" priority="6172" stopIfTrue="1" operator="notEqual">
      <formula>"non-hazardous"</formula>
    </cfRule>
  </conditionalFormatting>
  <conditionalFormatting sqref="T26">
    <cfRule type="cellIs" dxfId="1547" priority="6173" stopIfTrue="1" operator="notEqual">
      <formula>"high cost"</formula>
    </cfRule>
  </conditionalFormatting>
  <conditionalFormatting sqref="U26">
    <cfRule type="expression" dxfId="1546" priority="6174" stopIfTrue="1">
      <formula>NOT(ISBLANK($U$26))</formula>
    </cfRule>
  </conditionalFormatting>
  <conditionalFormatting sqref="A27">
    <cfRule type="cellIs" dxfId="1545" priority="6178" stopIfTrue="1" operator="notEqual">
      <formula>3</formula>
    </cfRule>
  </conditionalFormatting>
  <conditionalFormatting sqref="B27">
    <cfRule type="cellIs" dxfId="1544" priority="6179" stopIfTrue="1" operator="notEqual">
      <formula>3</formula>
    </cfRule>
  </conditionalFormatting>
  <conditionalFormatting sqref="C27">
    <cfRule type="cellIs" dxfId="1543" priority="6180" stopIfTrue="1" operator="notEqual">
      <formula>0.305</formula>
    </cfRule>
  </conditionalFormatting>
  <conditionalFormatting sqref="D27">
    <cfRule type="cellIs" dxfId="1542" priority="6181" stopIfTrue="1" operator="notEqual">
      <formula>"MGD"</formula>
    </cfRule>
  </conditionalFormatting>
  <conditionalFormatting sqref="E27">
    <cfRule type="cellIs" dxfId="1541" priority="6182" stopIfTrue="1" operator="notEqual">
      <formula>0.094</formula>
    </cfRule>
  </conditionalFormatting>
  <conditionalFormatting sqref="F27">
    <cfRule type="cellIs" dxfId="1540" priority="6183" stopIfTrue="1" operator="notEqual">
      <formula>"MGD"</formula>
    </cfRule>
  </conditionalFormatting>
  <conditionalFormatting sqref="G27">
    <cfRule type="cellIs" dxfId="1539" priority="6184" stopIfTrue="1" operator="notEqual">
      <formula>15</formula>
    </cfRule>
  </conditionalFormatting>
  <conditionalFormatting sqref="H27">
    <cfRule type="cellIs" dxfId="1538" priority="6185" stopIfTrue="1" operator="notEqual">
      <formula>"no"</formula>
    </cfRule>
  </conditionalFormatting>
  <conditionalFormatting sqref="I27">
    <cfRule type="cellIs" dxfId="1537" priority="6186" stopIfTrue="1" operator="notEqual">
      <formula>"8 inch Brackish Water RO"</formula>
    </cfRule>
  </conditionalFormatting>
  <conditionalFormatting sqref="J27">
    <cfRule type="expression" dxfId="1536" priority="6187" stopIfTrue="1">
      <formula>NOT(ISBLANK($J$27))</formula>
    </cfRule>
  </conditionalFormatting>
  <conditionalFormatting sqref="K27">
    <cfRule type="cellIs" dxfId="1535" priority="6188" stopIfTrue="1" operator="notEqual">
      <formula>0.73</formula>
    </cfRule>
  </conditionalFormatting>
  <conditionalFormatting sqref="L27">
    <cfRule type="cellIs" dxfId="1534" priority="6189" stopIfTrue="1" operator="notEqual">
      <formula>16</formula>
    </cfRule>
  </conditionalFormatting>
  <conditionalFormatting sqref="M27">
    <cfRule type="cellIs" dxfId="1533" priority="6190" stopIfTrue="1" operator="notEqual">
      <formula>"H2SO4"</formula>
    </cfRule>
  </conditionalFormatting>
  <conditionalFormatting sqref="N27">
    <cfRule type="cellIs" dxfId="1532" priority="6191" stopIfTrue="1" operator="notEqual">
      <formula>6.5</formula>
    </cfRule>
  </conditionalFormatting>
  <conditionalFormatting sqref="O27">
    <cfRule type="cellIs" dxfId="1531" priority="6192" stopIfTrue="1" operator="notEqual">
      <formula>"Premium (sulfate, silica)"</formula>
    </cfRule>
  </conditionalFormatting>
  <conditionalFormatting sqref="P27">
    <cfRule type="expression" dxfId="1530" priority="6193" stopIfTrue="1">
      <formula>NOT(ISBLANK($P$27))</formula>
    </cfRule>
  </conditionalFormatting>
  <conditionalFormatting sqref="Q27">
    <cfRule type="cellIs" dxfId="1529" priority="6194" stopIfTrue="1" operator="notEqual">
      <formula>"direct discharge / ocean outfall"</formula>
    </cfRule>
  </conditionalFormatting>
  <conditionalFormatting sqref="R27">
    <cfRule type="cellIs" dxfId="1528" priority="6195" stopIfTrue="1" operator="notEqual">
      <formula>"no flow equalization"</formula>
    </cfRule>
  </conditionalFormatting>
  <conditionalFormatting sqref="S27">
    <cfRule type="cellIs" dxfId="1527" priority="6196" stopIfTrue="1" operator="notEqual">
      <formula>"non-hazardous"</formula>
    </cfRule>
  </conditionalFormatting>
  <conditionalFormatting sqref="T27">
    <cfRule type="cellIs" dxfId="1526" priority="6197" stopIfTrue="1" operator="notEqual">
      <formula>"high cost"</formula>
    </cfRule>
  </conditionalFormatting>
  <conditionalFormatting sqref="U27">
    <cfRule type="expression" dxfId="1525" priority="6198" stopIfTrue="1">
      <formula>NOT(ISBLANK($U$27))</formula>
    </cfRule>
  </conditionalFormatting>
  <conditionalFormatting sqref="A28">
    <cfRule type="cellIs" dxfId="1524" priority="6202" stopIfTrue="1" operator="notEqual">
      <formula>3</formula>
    </cfRule>
  </conditionalFormatting>
  <conditionalFormatting sqref="B28">
    <cfRule type="cellIs" dxfId="1523" priority="6203" stopIfTrue="1" operator="notEqual">
      <formula>4</formula>
    </cfRule>
  </conditionalFormatting>
  <conditionalFormatting sqref="C28">
    <cfRule type="cellIs" dxfId="1522" priority="6204" stopIfTrue="1" operator="notEqual">
      <formula>0.74</formula>
    </cfRule>
  </conditionalFormatting>
  <conditionalFormatting sqref="D28">
    <cfRule type="cellIs" dxfId="1521" priority="6205" stopIfTrue="1" operator="notEqual">
      <formula>"MGD"</formula>
    </cfRule>
  </conditionalFormatting>
  <conditionalFormatting sqref="E28">
    <cfRule type="cellIs" dxfId="1520" priority="6206" stopIfTrue="1" operator="notEqual">
      <formula>0.251</formula>
    </cfRule>
  </conditionalFormatting>
  <conditionalFormatting sqref="F28">
    <cfRule type="cellIs" dxfId="1519" priority="6207" stopIfTrue="1" operator="notEqual">
      <formula>"MGD"</formula>
    </cfRule>
  </conditionalFormatting>
  <conditionalFormatting sqref="G28">
    <cfRule type="cellIs" dxfId="1518" priority="6208" stopIfTrue="1" operator="notEqual">
      <formula>15</formula>
    </cfRule>
  </conditionalFormatting>
  <conditionalFormatting sqref="H28">
    <cfRule type="cellIs" dxfId="1517" priority="6209" stopIfTrue="1" operator="notEqual">
      <formula>"no"</formula>
    </cfRule>
  </conditionalFormatting>
  <conditionalFormatting sqref="I28">
    <cfRule type="cellIs" dxfId="1516" priority="6210" stopIfTrue="1" operator="notEqual">
      <formula>"8 inch Brackish Water RO"</formula>
    </cfRule>
  </conditionalFormatting>
  <conditionalFormatting sqref="J28">
    <cfRule type="expression" dxfId="1515" priority="6211" stopIfTrue="1">
      <formula>NOT(ISBLANK($J$28))</formula>
    </cfRule>
  </conditionalFormatting>
  <conditionalFormatting sqref="K28">
    <cfRule type="cellIs" dxfId="1514" priority="6212" stopIfTrue="1" operator="notEqual">
      <formula>0.75</formula>
    </cfRule>
  </conditionalFormatting>
  <conditionalFormatting sqref="L28">
    <cfRule type="cellIs" dxfId="1513" priority="6213" stopIfTrue="1" operator="notEqual">
      <formula>16</formula>
    </cfRule>
  </conditionalFormatting>
  <conditionalFormatting sqref="M28">
    <cfRule type="cellIs" dxfId="1512" priority="6214" stopIfTrue="1" operator="notEqual">
      <formula>"H2SO4"</formula>
    </cfRule>
  </conditionalFormatting>
  <conditionalFormatting sqref="N28">
    <cfRule type="cellIs" dxfId="1511" priority="6215" stopIfTrue="1" operator="notEqual">
      <formula>6.5</formula>
    </cfRule>
  </conditionalFormatting>
  <conditionalFormatting sqref="O28">
    <cfRule type="cellIs" dxfId="1510" priority="6216" stopIfTrue="1" operator="notEqual">
      <formula>"Premium (sulfate, silica)"</formula>
    </cfRule>
  </conditionalFormatting>
  <conditionalFormatting sqref="P28">
    <cfRule type="expression" dxfId="1509" priority="6217" stopIfTrue="1">
      <formula>NOT(ISBLANK($P$28))</formula>
    </cfRule>
  </conditionalFormatting>
  <conditionalFormatting sqref="Q28">
    <cfRule type="cellIs" dxfId="1508" priority="6218" stopIfTrue="1" operator="notEqual">
      <formula>"direct discharge / ocean outfall"</formula>
    </cfRule>
  </conditionalFormatting>
  <conditionalFormatting sqref="R28">
    <cfRule type="cellIs" dxfId="1507" priority="6219" stopIfTrue="1" operator="notEqual">
      <formula>"no flow equalization"</formula>
    </cfRule>
  </conditionalFormatting>
  <conditionalFormatting sqref="S28">
    <cfRule type="cellIs" dxfId="1506" priority="6220" stopIfTrue="1" operator="notEqual">
      <formula>"non-hazardous"</formula>
    </cfRule>
  </conditionalFormatting>
  <conditionalFormatting sqref="T28">
    <cfRule type="cellIs" dxfId="1505" priority="6221" stopIfTrue="1" operator="notEqual">
      <formula>"high cost"</formula>
    </cfRule>
  </conditionalFormatting>
  <conditionalFormatting sqref="U28">
    <cfRule type="expression" dxfId="1504" priority="6222" stopIfTrue="1">
      <formula>NOT(ISBLANK($U$28))</formula>
    </cfRule>
  </conditionalFormatting>
  <conditionalFormatting sqref="A29">
    <cfRule type="cellIs" dxfId="1503" priority="6226" stopIfTrue="1" operator="notEqual">
      <formula>3</formula>
    </cfRule>
  </conditionalFormatting>
  <conditionalFormatting sqref="B29">
    <cfRule type="cellIs" dxfId="1502" priority="6227" stopIfTrue="1" operator="notEqual">
      <formula>5</formula>
    </cfRule>
  </conditionalFormatting>
  <conditionalFormatting sqref="C29">
    <cfRule type="cellIs" dxfId="1501" priority="6228" stopIfTrue="1" operator="notEqual">
      <formula>2.152</formula>
    </cfRule>
  </conditionalFormatting>
  <conditionalFormatting sqref="D29">
    <cfRule type="cellIs" dxfId="1500" priority="6229" stopIfTrue="1" operator="notEqual">
      <formula>"MGD"</formula>
    </cfRule>
  </conditionalFormatting>
  <conditionalFormatting sqref="E29">
    <cfRule type="cellIs" dxfId="1499" priority="6230" stopIfTrue="1" operator="notEqual">
      <formula>0.819</formula>
    </cfRule>
  </conditionalFormatting>
  <conditionalFormatting sqref="F29">
    <cfRule type="cellIs" dxfId="1498" priority="6231" stopIfTrue="1" operator="notEqual">
      <formula>"MGD"</formula>
    </cfRule>
  </conditionalFormatting>
  <conditionalFormatting sqref="G29">
    <cfRule type="cellIs" dxfId="1497" priority="6232" stopIfTrue="1" operator="notEqual">
      <formula>15</formula>
    </cfRule>
  </conditionalFormatting>
  <conditionalFormatting sqref="H29">
    <cfRule type="cellIs" dxfId="1496" priority="6233" stopIfTrue="1" operator="notEqual">
      <formula>"yes"</formula>
    </cfRule>
  </conditionalFormatting>
  <conditionalFormatting sqref="I29">
    <cfRule type="cellIs" dxfId="1495" priority="6234" stopIfTrue="1" operator="notEqual">
      <formula>"8 inch Brackish Water RO"</formula>
    </cfRule>
  </conditionalFormatting>
  <conditionalFormatting sqref="J29">
    <cfRule type="expression" dxfId="1494" priority="6235" stopIfTrue="1">
      <formula>NOT(ISBLANK($J$29))</formula>
    </cfRule>
  </conditionalFormatting>
  <conditionalFormatting sqref="K29">
    <cfRule type="cellIs" dxfId="1493" priority="6236" stopIfTrue="1" operator="notEqual">
      <formula>0.75</formula>
    </cfRule>
  </conditionalFormatting>
  <conditionalFormatting sqref="L29">
    <cfRule type="cellIs" dxfId="1492" priority="6237" stopIfTrue="1" operator="notEqual">
      <formula>16</formula>
    </cfRule>
  </conditionalFormatting>
  <conditionalFormatting sqref="M29">
    <cfRule type="cellIs" dxfId="1491" priority="6238" stopIfTrue="1" operator="notEqual">
      <formula>"H2SO4"</formula>
    </cfRule>
  </conditionalFormatting>
  <conditionalFormatting sqref="N29">
    <cfRule type="cellIs" dxfId="1490" priority="6239" stopIfTrue="1" operator="notEqual">
      <formula>6.5</formula>
    </cfRule>
  </conditionalFormatting>
  <conditionalFormatting sqref="O29">
    <cfRule type="cellIs" dxfId="1489" priority="6240" stopIfTrue="1" operator="notEqual">
      <formula>"Premium (sulfate, silica)"</formula>
    </cfRule>
  </conditionalFormatting>
  <conditionalFormatting sqref="P29">
    <cfRule type="expression" dxfId="1488" priority="6241" stopIfTrue="1">
      <formula>NOT(ISBLANK($P$29))</formula>
    </cfRule>
  </conditionalFormatting>
  <conditionalFormatting sqref="Q29">
    <cfRule type="cellIs" dxfId="1487" priority="6242" stopIfTrue="1" operator="notEqual">
      <formula>"direct discharge / ocean outfall"</formula>
    </cfRule>
  </conditionalFormatting>
  <conditionalFormatting sqref="R29">
    <cfRule type="cellIs" dxfId="1486" priority="6243" stopIfTrue="1" operator="notEqual">
      <formula>"no flow equalization"</formula>
    </cfRule>
  </conditionalFormatting>
  <conditionalFormatting sqref="S29">
    <cfRule type="cellIs" dxfId="1485" priority="6244" stopIfTrue="1" operator="notEqual">
      <formula>"non-hazardous"</formula>
    </cfRule>
  </conditionalFormatting>
  <conditionalFormatting sqref="T29">
    <cfRule type="cellIs" dxfId="1484" priority="6245" stopIfTrue="1" operator="notEqual">
      <formula>"high cost"</formula>
    </cfRule>
  </conditionalFormatting>
  <conditionalFormatting sqref="U29">
    <cfRule type="expression" dxfId="1483" priority="6246" stopIfTrue="1">
      <formula>NOT(ISBLANK($U$29))</formula>
    </cfRule>
  </conditionalFormatting>
  <conditionalFormatting sqref="A30">
    <cfRule type="cellIs" dxfId="1482" priority="6250" stopIfTrue="1" operator="notEqual">
      <formula>3</formula>
    </cfRule>
  </conditionalFormatting>
  <conditionalFormatting sqref="B30">
    <cfRule type="cellIs" dxfId="1481" priority="6251" stopIfTrue="1" operator="notEqual">
      <formula>6</formula>
    </cfRule>
  </conditionalFormatting>
  <conditionalFormatting sqref="C30">
    <cfRule type="cellIs" dxfId="1480" priority="6252" stopIfTrue="1" operator="notEqual">
      <formula>7.365</formula>
    </cfRule>
  </conditionalFormatting>
  <conditionalFormatting sqref="D30">
    <cfRule type="cellIs" dxfId="1479" priority="6253" stopIfTrue="1" operator="notEqual">
      <formula>"MGD"</formula>
    </cfRule>
  </conditionalFormatting>
  <conditionalFormatting sqref="E30">
    <cfRule type="cellIs" dxfId="1478" priority="6254" stopIfTrue="1" operator="notEqual">
      <formula>3.2</formula>
    </cfRule>
  </conditionalFormatting>
  <conditionalFormatting sqref="F30">
    <cfRule type="cellIs" dxfId="1477" priority="6255" stopIfTrue="1" operator="notEqual">
      <formula>"MGD"</formula>
    </cfRule>
  </conditionalFormatting>
  <conditionalFormatting sqref="G30">
    <cfRule type="cellIs" dxfId="1476" priority="6256" stopIfTrue="1" operator="notEqual">
      <formula>15</formula>
    </cfRule>
  </conditionalFormatting>
  <conditionalFormatting sqref="H30">
    <cfRule type="cellIs" dxfId="1475" priority="6257" stopIfTrue="1" operator="notEqual">
      <formula>"yes"</formula>
    </cfRule>
  </conditionalFormatting>
  <conditionalFormatting sqref="I30">
    <cfRule type="cellIs" dxfId="1474" priority="6258" stopIfTrue="1" operator="notEqual">
      <formula>"8 inch Brackish Water RO"</formula>
    </cfRule>
  </conditionalFormatting>
  <conditionalFormatting sqref="J30">
    <cfRule type="expression" dxfId="1473" priority="6259" stopIfTrue="1">
      <formula>NOT(ISBLANK($J$30))</formula>
    </cfRule>
  </conditionalFormatting>
  <conditionalFormatting sqref="K30">
    <cfRule type="cellIs" dxfId="1472" priority="6260" stopIfTrue="1" operator="notEqual">
      <formula>0.75</formula>
    </cfRule>
  </conditionalFormatting>
  <conditionalFormatting sqref="L30">
    <cfRule type="cellIs" dxfId="1471" priority="6261" stopIfTrue="1" operator="notEqual">
      <formula>16</formula>
    </cfRule>
  </conditionalFormatting>
  <conditionalFormatting sqref="M30">
    <cfRule type="cellIs" dxfId="1470" priority="6262" stopIfTrue="1" operator="notEqual">
      <formula>"H2SO4"</formula>
    </cfRule>
  </conditionalFormatting>
  <conditionalFormatting sqref="N30">
    <cfRule type="cellIs" dxfId="1469" priority="6263" stopIfTrue="1" operator="notEqual">
      <formula>6.5</formula>
    </cfRule>
  </conditionalFormatting>
  <conditionalFormatting sqref="O30">
    <cfRule type="cellIs" dxfId="1468" priority="6264" stopIfTrue="1" operator="notEqual">
      <formula>"Premium (sulfate, silica)"</formula>
    </cfRule>
  </conditionalFormatting>
  <conditionalFormatting sqref="P30">
    <cfRule type="expression" dxfId="1467" priority="6265" stopIfTrue="1">
      <formula>NOT(ISBLANK($P$30))</formula>
    </cfRule>
  </conditionalFormatting>
  <conditionalFormatting sqref="Q30">
    <cfRule type="cellIs" dxfId="1466" priority="6266" stopIfTrue="1" operator="notEqual">
      <formula>"direct discharge / ocean outfall"</formula>
    </cfRule>
  </conditionalFormatting>
  <conditionalFormatting sqref="R30">
    <cfRule type="cellIs" dxfId="1465" priority="6267" stopIfTrue="1" operator="notEqual">
      <formula>"no flow equalization"</formula>
    </cfRule>
  </conditionalFormatting>
  <conditionalFormatting sqref="S30">
    <cfRule type="cellIs" dxfId="1464" priority="6268" stopIfTrue="1" operator="notEqual">
      <formula>"non-hazardous"</formula>
    </cfRule>
  </conditionalFormatting>
  <conditionalFormatting sqref="T30">
    <cfRule type="cellIs" dxfId="1463" priority="6269" stopIfTrue="1" operator="notEqual">
      <formula>"high cost"</formula>
    </cfRule>
  </conditionalFormatting>
  <conditionalFormatting sqref="U30">
    <cfRule type="expression" dxfId="1462" priority="6270" stopIfTrue="1">
      <formula>NOT(ISBLANK($U$30))</formula>
    </cfRule>
  </conditionalFormatting>
  <conditionalFormatting sqref="A31">
    <cfRule type="cellIs" dxfId="1461" priority="6274" stopIfTrue="1" operator="notEqual">
      <formula>3</formula>
    </cfRule>
  </conditionalFormatting>
  <conditionalFormatting sqref="B31">
    <cfRule type="cellIs" dxfId="1460" priority="6275" stopIfTrue="1" operator="notEqual">
      <formula>7</formula>
    </cfRule>
  </conditionalFormatting>
  <conditionalFormatting sqref="C31">
    <cfRule type="cellIs" dxfId="1459" priority="6276" stopIfTrue="1" operator="notEqual">
      <formula>22.614</formula>
    </cfRule>
  </conditionalFormatting>
  <conditionalFormatting sqref="D31">
    <cfRule type="cellIs" dxfId="1458" priority="6277" stopIfTrue="1" operator="notEqual">
      <formula>"MGD"</formula>
    </cfRule>
  </conditionalFormatting>
  <conditionalFormatting sqref="E31">
    <cfRule type="cellIs" dxfId="1457" priority="6278" stopIfTrue="1" operator="notEqual">
      <formula>11.066</formula>
    </cfRule>
  </conditionalFormatting>
  <conditionalFormatting sqref="F31">
    <cfRule type="cellIs" dxfId="1456" priority="6279" stopIfTrue="1" operator="notEqual">
      <formula>"MGD"</formula>
    </cfRule>
  </conditionalFormatting>
  <conditionalFormatting sqref="G31">
    <cfRule type="cellIs" dxfId="1455" priority="6280" stopIfTrue="1" operator="notEqual">
      <formula>15</formula>
    </cfRule>
  </conditionalFormatting>
  <conditionalFormatting sqref="H31">
    <cfRule type="cellIs" dxfId="1454" priority="6281" stopIfTrue="1" operator="notEqual">
      <formula>"yes"</formula>
    </cfRule>
  </conditionalFormatting>
  <conditionalFormatting sqref="I31">
    <cfRule type="cellIs" dxfId="1453" priority="6282" stopIfTrue="1" operator="notEqual">
      <formula>"8 inch Brackish Water RO"</formula>
    </cfRule>
  </conditionalFormatting>
  <conditionalFormatting sqref="J31">
    <cfRule type="expression" dxfId="1452" priority="6283" stopIfTrue="1">
      <formula>NOT(ISBLANK($J$31))</formula>
    </cfRule>
  </conditionalFormatting>
  <conditionalFormatting sqref="K31">
    <cfRule type="cellIs" dxfId="1451" priority="6284" stopIfTrue="1" operator="notEqual">
      <formula>0.75</formula>
    </cfRule>
  </conditionalFormatting>
  <conditionalFormatting sqref="L31">
    <cfRule type="cellIs" dxfId="1450" priority="6285" stopIfTrue="1" operator="notEqual">
      <formula>16</formula>
    </cfRule>
  </conditionalFormatting>
  <conditionalFormatting sqref="M31">
    <cfRule type="cellIs" dxfId="1449" priority="6286" stopIfTrue="1" operator="notEqual">
      <formula>"H2SO4"</formula>
    </cfRule>
  </conditionalFormatting>
  <conditionalFormatting sqref="N31">
    <cfRule type="cellIs" dxfId="1448" priority="6287" stopIfTrue="1" operator="notEqual">
      <formula>6.5</formula>
    </cfRule>
  </conditionalFormatting>
  <conditionalFormatting sqref="O31">
    <cfRule type="cellIs" dxfId="1447" priority="6288" stopIfTrue="1" operator="notEqual">
      <formula>"Premium (sulfate, silica)"</formula>
    </cfRule>
  </conditionalFormatting>
  <conditionalFormatting sqref="P31">
    <cfRule type="expression" dxfId="1446" priority="6289" stopIfTrue="1">
      <formula>NOT(ISBLANK($P$31))</formula>
    </cfRule>
  </conditionalFormatting>
  <conditionalFormatting sqref="Q31">
    <cfRule type="cellIs" dxfId="1445" priority="6290" stopIfTrue="1" operator="notEqual">
      <formula>"direct discharge / ocean outfall"</formula>
    </cfRule>
  </conditionalFormatting>
  <conditionalFormatting sqref="R31">
    <cfRule type="cellIs" dxfId="1444" priority="6291" stopIfTrue="1" operator="notEqual">
      <formula>"no flow equalization"</formula>
    </cfRule>
  </conditionalFormatting>
  <conditionalFormatting sqref="S31">
    <cfRule type="cellIs" dxfId="1443" priority="6292" stopIfTrue="1" operator="notEqual">
      <formula>"non-hazardous"</formula>
    </cfRule>
  </conditionalFormatting>
  <conditionalFormatting sqref="T31">
    <cfRule type="cellIs" dxfId="1442" priority="6293" stopIfTrue="1" operator="notEqual">
      <formula>"high cost"</formula>
    </cfRule>
  </conditionalFormatting>
  <conditionalFormatting sqref="U31">
    <cfRule type="expression" dxfId="1441" priority="6294" stopIfTrue="1">
      <formula>NOT(ISBLANK($U$31))</formula>
    </cfRule>
  </conditionalFormatting>
  <conditionalFormatting sqref="A32">
    <cfRule type="cellIs" dxfId="1440" priority="6298" stopIfTrue="1" operator="notEqual">
      <formula>3</formula>
    </cfRule>
  </conditionalFormatting>
  <conditionalFormatting sqref="B32">
    <cfRule type="cellIs" dxfId="1439" priority="6299" stopIfTrue="1" operator="notEqual">
      <formula>8</formula>
    </cfRule>
  </conditionalFormatting>
  <conditionalFormatting sqref="C32">
    <cfRule type="cellIs" dxfId="1438" priority="6300" stopIfTrue="1" operator="notEqual">
      <formula>75.072</formula>
    </cfRule>
  </conditionalFormatting>
  <conditionalFormatting sqref="D32">
    <cfRule type="cellIs" dxfId="1437" priority="6301" stopIfTrue="1" operator="notEqual">
      <formula>"MGD"</formula>
    </cfRule>
  </conditionalFormatting>
  <conditionalFormatting sqref="E32">
    <cfRule type="cellIs" dxfId="1436" priority="6302" stopIfTrue="1" operator="notEqual">
      <formula>37.536</formula>
    </cfRule>
  </conditionalFormatting>
  <conditionalFormatting sqref="F32">
    <cfRule type="cellIs" dxfId="1435" priority="6303" stopIfTrue="1" operator="notEqual">
      <formula>"MGD"</formula>
    </cfRule>
  </conditionalFormatting>
  <conditionalFormatting sqref="G32">
    <cfRule type="cellIs" dxfId="1434" priority="6304" stopIfTrue="1" operator="notEqual">
      <formula>15</formula>
    </cfRule>
  </conditionalFormatting>
  <conditionalFormatting sqref="H32">
    <cfRule type="cellIs" dxfId="1433" priority="6305" stopIfTrue="1" operator="notEqual">
      <formula>"yes"</formula>
    </cfRule>
  </conditionalFormatting>
  <conditionalFormatting sqref="I32">
    <cfRule type="cellIs" dxfId="1432" priority="6306" stopIfTrue="1" operator="notEqual">
      <formula>"8 inch Brackish Water RO"</formula>
    </cfRule>
  </conditionalFormatting>
  <conditionalFormatting sqref="J32">
    <cfRule type="expression" dxfId="1431" priority="6307" stopIfTrue="1">
      <formula>NOT(ISBLANK($J$32))</formula>
    </cfRule>
  </conditionalFormatting>
  <conditionalFormatting sqref="K32">
    <cfRule type="cellIs" dxfId="1430" priority="6308" stopIfTrue="1" operator="notEqual">
      <formula>0.75</formula>
    </cfRule>
  </conditionalFormatting>
  <conditionalFormatting sqref="L32">
    <cfRule type="cellIs" dxfId="1429" priority="6309" stopIfTrue="1" operator="notEqual">
      <formula>16</formula>
    </cfRule>
  </conditionalFormatting>
  <conditionalFormatting sqref="M32">
    <cfRule type="cellIs" dxfId="1428" priority="6310" stopIfTrue="1" operator="notEqual">
      <formula>"H2SO4"</formula>
    </cfRule>
  </conditionalFormatting>
  <conditionalFormatting sqref="N32">
    <cfRule type="cellIs" dxfId="1427" priority="6311" stopIfTrue="1" operator="notEqual">
      <formula>6.5</formula>
    </cfRule>
  </conditionalFormatting>
  <conditionalFormatting sqref="O32">
    <cfRule type="cellIs" dxfId="1426" priority="6312" stopIfTrue="1" operator="notEqual">
      <formula>"Premium (sulfate, silica)"</formula>
    </cfRule>
  </conditionalFormatting>
  <conditionalFormatting sqref="P32">
    <cfRule type="expression" dxfId="1425" priority="6313" stopIfTrue="1">
      <formula>NOT(ISBLANK($P$32))</formula>
    </cfRule>
  </conditionalFormatting>
  <conditionalFormatting sqref="Q32">
    <cfRule type="cellIs" dxfId="1424" priority="6314" stopIfTrue="1" operator="notEqual">
      <formula>"direct discharge / ocean outfall"</formula>
    </cfRule>
  </conditionalFormatting>
  <conditionalFormatting sqref="R32">
    <cfRule type="cellIs" dxfId="1423" priority="6315" stopIfTrue="1" operator="notEqual">
      <formula>"no flow equalization"</formula>
    </cfRule>
  </conditionalFormatting>
  <conditionalFormatting sqref="S32">
    <cfRule type="cellIs" dxfId="1422" priority="6316" stopIfTrue="1" operator="notEqual">
      <formula>"non-hazardous"</formula>
    </cfRule>
  </conditionalFormatting>
  <conditionalFormatting sqref="T32">
    <cfRule type="cellIs" dxfId="1421" priority="6317" stopIfTrue="1" operator="notEqual">
      <formula>"high cost"</formula>
    </cfRule>
  </conditionalFormatting>
  <conditionalFormatting sqref="U32">
    <cfRule type="expression" dxfId="1420" priority="6318" stopIfTrue="1">
      <formula>NOT(ISBLANK($U$32))</formula>
    </cfRule>
  </conditionalFormatting>
  <conditionalFormatting sqref="A33">
    <cfRule type="cellIs" dxfId="1419" priority="6322" stopIfTrue="1" operator="notEqual">
      <formula>4</formula>
    </cfRule>
  </conditionalFormatting>
  <conditionalFormatting sqref="B33">
    <cfRule type="cellIs" dxfId="1418" priority="6323" stopIfTrue="1" operator="notEqual">
      <formula>1</formula>
    </cfRule>
  </conditionalFormatting>
  <conditionalFormatting sqref="C33">
    <cfRule type="cellIs" dxfId="1417" priority="6324" stopIfTrue="1" operator="notEqual">
      <formula>0.03</formula>
    </cfRule>
  </conditionalFormatting>
  <conditionalFormatting sqref="D33">
    <cfRule type="cellIs" dxfId="1416" priority="6325" stopIfTrue="1" operator="notEqual">
      <formula>"MGD"</formula>
    </cfRule>
  </conditionalFormatting>
  <conditionalFormatting sqref="E33">
    <cfRule type="cellIs" dxfId="1415" priority="6326" stopIfTrue="1" operator="notEqual">
      <formula>0.007</formula>
    </cfRule>
  </conditionalFormatting>
  <conditionalFormatting sqref="F33">
    <cfRule type="cellIs" dxfId="1414" priority="6327" stopIfTrue="1" operator="notEqual">
      <formula>"MGD"</formula>
    </cfRule>
  </conditionalFormatting>
  <conditionalFormatting sqref="G33">
    <cfRule type="cellIs" dxfId="1413" priority="6328" stopIfTrue="1" operator="notEqual">
      <formula>15</formula>
    </cfRule>
  </conditionalFormatting>
  <conditionalFormatting sqref="H33">
    <cfRule type="cellIs" dxfId="1412" priority="6329" stopIfTrue="1" operator="notEqual">
      <formula>"no"</formula>
    </cfRule>
  </conditionalFormatting>
  <conditionalFormatting sqref="I33">
    <cfRule type="cellIs" dxfId="1411" priority="6330" stopIfTrue="1" operator="notEqual">
      <formula>"4 inch Nanofiltration"</formula>
    </cfRule>
  </conditionalFormatting>
  <conditionalFormatting sqref="J33">
    <cfRule type="expression" dxfId="1410" priority="6331" stopIfTrue="1">
      <formula>NOT(ISBLANK($J$33))</formula>
    </cfRule>
  </conditionalFormatting>
  <conditionalFormatting sqref="K33">
    <cfRule type="cellIs" dxfId="1409" priority="6332" stopIfTrue="1" operator="notEqual">
      <formula>0.7</formula>
    </cfRule>
  </conditionalFormatting>
  <conditionalFormatting sqref="L33">
    <cfRule type="cellIs" dxfId="1408" priority="6333" stopIfTrue="1" operator="notEqual">
      <formula>16</formula>
    </cfRule>
  </conditionalFormatting>
  <conditionalFormatting sqref="M33">
    <cfRule type="cellIs" dxfId="1407" priority="6334" stopIfTrue="1" operator="notEqual">
      <formula>"H2SO4"</formula>
    </cfRule>
  </conditionalFormatting>
  <conditionalFormatting sqref="N33">
    <cfRule type="cellIs" dxfId="1406" priority="6335" stopIfTrue="1" operator="notEqual">
      <formula>6.6</formula>
    </cfRule>
  </conditionalFormatting>
  <conditionalFormatting sqref="O33">
    <cfRule type="cellIs" dxfId="1405" priority="6336" stopIfTrue="1" operator="notEqual">
      <formula>"None"</formula>
    </cfRule>
  </conditionalFormatting>
  <conditionalFormatting sqref="P33">
    <cfRule type="expression" dxfId="1404" priority="6337" stopIfTrue="1">
      <formula>NOT(ISBLANK($P$33))</formula>
    </cfRule>
  </conditionalFormatting>
  <conditionalFormatting sqref="Q33">
    <cfRule type="cellIs" dxfId="1403" priority="6338" stopIfTrue="1" operator="notEqual">
      <formula>"direct discharge / ocean outfall"</formula>
    </cfRule>
  </conditionalFormatting>
  <conditionalFormatting sqref="R33">
    <cfRule type="cellIs" dxfId="1402" priority="6339" stopIfTrue="1" operator="notEqual">
      <formula>"no flow equalization"</formula>
    </cfRule>
  </conditionalFormatting>
  <conditionalFormatting sqref="S33">
    <cfRule type="cellIs" dxfId="1401" priority="6340" stopIfTrue="1" operator="notEqual">
      <formula>"non-hazardous"</formula>
    </cfRule>
  </conditionalFormatting>
  <conditionalFormatting sqref="T33">
    <cfRule type="cellIs" dxfId="1400" priority="6341" stopIfTrue="1" operator="notEqual">
      <formula>"low cost"</formula>
    </cfRule>
  </conditionalFormatting>
  <conditionalFormatting sqref="U33">
    <cfRule type="expression" dxfId="1399" priority="6342" stopIfTrue="1">
      <formula>NOT(ISBLANK($U$33))</formula>
    </cfRule>
  </conditionalFormatting>
  <conditionalFormatting sqref="A34">
    <cfRule type="cellIs" dxfId="1398" priority="6346" stopIfTrue="1" operator="notEqual">
      <formula>4</formula>
    </cfRule>
  </conditionalFormatting>
  <conditionalFormatting sqref="B34">
    <cfRule type="cellIs" dxfId="1397" priority="6347" stopIfTrue="1" operator="notEqual">
      <formula>2</formula>
    </cfRule>
  </conditionalFormatting>
  <conditionalFormatting sqref="C34">
    <cfRule type="cellIs" dxfId="1396" priority="6348" stopIfTrue="1" operator="notEqual">
      <formula>0.124</formula>
    </cfRule>
  </conditionalFormatting>
  <conditionalFormatting sqref="D34">
    <cfRule type="cellIs" dxfId="1395" priority="6349" stopIfTrue="1" operator="notEqual">
      <formula>"MGD"</formula>
    </cfRule>
  </conditionalFormatting>
  <conditionalFormatting sqref="E34">
    <cfRule type="cellIs" dxfId="1394" priority="6350" stopIfTrue="1" operator="notEqual">
      <formula>0.035</formula>
    </cfRule>
  </conditionalFormatting>
  <conditionalFormatting sqref="F34">
    <cfRule type="cellIs" dxfId="1393" priority="6351" stopIfTrue="1" operator="notEqual">
      <formula>"MGD"</formula>
    </cfRule>
  </conditionalFormatting>
  <conditionalFormatting sqref="G34">
    <cfRule type="cellIs" dxfId="1392" priority="6352" stopIfTrue="1" operator="notEqual">
      <formula>15</formula>
    </cfRule>
  </conditionalFormatting>
  <conditionalFormatting sqref="H34">
    <cfRule type="cellIs" dxfId="1391" priority="6353" stopIfTrue="1" operator="notEqual">
      <formula>"no"</formula>
    </cfRule>
  </conditionalFormatting>
  <conditionalFormatting sqref="I34">
    <cfRule type="cellIs" dxfId="1390" priority="6354" stopIfTrue="1" operator="notEqual">
      <formula>"8 inch Nanofiltration"</formula>
    </cfRule>
  </conditionalFormatting>
  <conditionalFormatting sqref="J34">
    <cfRule type="expression" dxfId="1389" priority="6355" stopIfTrue="1">
      <formula>NOT(ISBLANK($J$34))</formula>
    </cfRule>
  </conditionalFormatting>
  <conditionalFormatting sqref="K34">
    <cfRule type="cellIs" dxfId="1388" priority="6356" stopIfTrue="1" operator="notEqual">
      <formula>0.7</formula>
    </cfRule>
  </conditionalFormatting>
  <conditionalFormatting sqref="L34">
    <cfRule type="cellIs" dxfId="1387" priority="6357" stopIfTrue="1" operator="notEqual">
      <formula>16</formula>
    </cfRule>
  </conditionalFormatting>
  <conditionalFormatting sqref="M34">
    <cfRule type="cellIs" dxfId="1386" priority="6358" stopIfTrue="1" operator="notEqual">
      <formula>"H2SO4"</formula>
    </cfRule>
  </conditionalFormatting>
  <conditionalFormatting sqref="N34">
    <cfRule type="cellIs" dxfId="1385" priority="6359" stopIfTrue="1" operator="notEqual">
      <formula>6.6</formula>
    </cfRule>
  </conditionalFormatting>
  <conditionalFormatting sqref="O34">
    <cfRule type="cellIs" dxfId="1384" priority="6360" stopIfTrue="1" operator="notEqual">
      <formula>"None"</formula>
    </cfRule>
  </conditionalFormatting>
  <conditionalFormatting sqref="P34">
    <cfRule type="expression" dxfId="1383" priority="6361" stopIfTrue="1">
      <formula>NOT(ISBLANK($P$34))</formula>
    </cfRule>
  </conditionalFormatting>
  <conditionalFormatting sqref="Q34">
    <cfRule type="cellIs" dxfId="1382" priority="6362" stopIfTrue="1" operator="notEqual">
      <formula>"direct discharge / ocean outfall"</formula>
    </cfRule>
  </conditionalFormatting>
  <conditionalFormatting sqref="R34">
    <cfRule type="cellIs" dxfId="1381" priority="6363" stopIfTrue="1" operator="notEqual">
      <formula>"no flow equalization"</formula>
    </cfRule>
  </conditionalFormatting>
  <conditionalFormatting sqref="S34">
    <cfRule type="cellIs" dxfId="1380" priority="6364" stopIfTrue="1" operator="notEqual">
      <formula>"non-hazardous"</formula>
    </cfRule>
  </conditionalFormatting>
  <conditionalFormatting sqref="T34">
    <cfRule type="cellIs" dxfId="1379" priority="6365" stopIfTrue="1" operator="notEqual">
      <formula>"low cost"</formula>
    </cfRule>
  </conditionalFormatting>
  <conditionalFormatting sqref="U34">
    <cfRule type="expression" dxfId="1378" priority="6366" stopIfTrue="1">
      <formula>NOT(ISBLANK($U$34))</formula>
    </cfRule>
  </conditionalFormatting>
  <conditionalFormatting sqref="A35">
    <cfRule type="cellIs" dxfId="1377" priority="6370" stopIfTrue="1" operator="notEqual">
      <formula>4</formula>
    </cfRule>
  </conditionalFormatting>
  <conditionalFormatting sqref="B35">
    <cfRule type="cellIs" dxfId="1376" priority="6371" stopIfTrue="1" operator="notEqual">
      <formula>3</formula>
    </cfRule>
  </conditionalFormatting>
  <conditionalFormatting sqref="C35">
    <cfRule type="cellIs" dxfId="1375" priority="6372" stopIfTrue="1" operator="notEqual">
      <formula>0.305</formula>
    </cfRule>
  </conditionalFormatting>
  <conditionalFormatting sqref="D35">
    <cfRule type="cellIs" dxfId="1374" priority="6373" stopIfTrue="1" operator="notEqual">
      <formula>"MGD"</formula>
    </cfRule>
  </conditionalFormatting>
  <conditionalFormatting sqref="E35">
    <cfRule type="cellIs" dxfId="1373" priority="6374" stopIfTrue="1" operator="notEqual">
      <formula>0.094</formula>
    </cfRule>
  </conditionalFormatting>
  <conditionalFormatting sqref="F35">
    <cfRule type="cellIs" dxfId="1372" priority="6375" stopIfTrue="1" operator="notEqual">
      <formula>"MGD"</formula>
    </cfRule>
  </conditionalFormatting>
  <conditionalFormatting sqref="G35">
    <cfRule type="cellIs" dxfId="1371" priority="6376" stopIfTrue="1" operator="notEqual">
      <formula>15</formula>
    </cfRule>
  </conditionalFormatting>
  <conditionalFormatting sqref="H35">
    <cfRule type="cellIs" dxfId="1370" priority="6377" stopIfTrue="1" operator="notEqual">
      <formula>"no"</formula>
    </cfRule>
  </conditionalFormatting>
  <conditionalFormatting sqref="I35">
    <cfRule type="cellIs" dxfId="1369" priority="6378" stopIfTrue="1" operator="notEqual">
      <formula>"8 inch Nanofiltration"</formula>
    </cfRule>
  </conditionalFormatting>
  <conditionalFormatting sqref="J35">
    <cfRule type="expression" dxfId="1368" priority="6379" stopIfTrue="1">
      <formula>NOT(ISBLANK($J$35))</formula>
    </cfRule>
  </conditionalFormatting>
  <conditionalFormatting sqref="K35">
    <cfRule type="cellIs" dxfId="1367" priority="6380" stopIfTrue="1" operator="notEqual">
      <formula>0.75</formula>
    </cfRule>
  </conditionalFormatting>
  <conditionalFormatting sqref="L35">
    <cfRule type="cellIs" dxfId="1366" priority="6381" stopIfTrue="1" operator="notEqual">
      <formula>15</formula>
    </cfRule>
  </conditionalFormatting>
  <conditionalFormatting sqref="M35">
    <cfRule type="cellIs" dxfId="1365" priority="6382" stopIfTrue="1" operator="notEqual">
      <formula>"H2SO4"</formula>
    </cfRule>
  </conditionalFormatting>
  <conditionalFormatting sqref="N35">
    <cfRule type="cellIs" dxfId="1364" priority="6383" stopIfTrue="1" operator="notEqual">
      <formula>6.6</formula>
    </cfRule>
  </conditionalFormatting>
  <conditionalFormatting sqref="O35">
    <cfRule type="cellIs" dxfId="1363" priority="6384" stopIfTrue="1" operator="notEqual">
      <formula>"Basic (carbonate)"</formula>
    </cfRule>
  </conditionalFormatting>
  <conditionalFormatting sqref="P35">
    <cfRule type="expression" dxfId="1362" priority="6385" stopIfTrue="1">
      <formula>NOT(ISBLANK($P$35))</formula>
    </cfRule>
  </conditionalFormatting>
  <conditionalFormatting sqref="Q35">
    <cfRule type="cellIs" dxfId="1361" priority="6386" stopIfTrue="1" operator="notEqual">
      <formula>"direct discharge / ocean outfall"</formula>
    </cfRule>
  </conditionalFormatting>
  <conditionalFormatting sqref="R35">
    <cfRule type="cellIs" dxfId="1360" priority="6387" stopIfTrue="1" operator="notEqual">
      <formula>"no flow equalization"</formula>
    </cfRule>
  </conditionalFormatting>
  <conditionalFormatting sqref="S35">
    <cfRule type="cellIs" dxfId="1359" priority="6388" stopIfTrue="1" operator="notEqual">
      <formula>"non-hazardous"</formula>
    </cfRule>
  </conditionalFormatting>
  <conditionalFormatting sqref="T35">
    <cfRule type="cellIs" dxfId="1358" priority="6389" stopIfTrue="1" operator="notEqual">
      <formula>"low cost"</formula>
    </cfRule>
  </conditionalFormatting>
  <conditionalFormatting sqref="U35">
    <cfRule type="expression" dxfId="1357" priority="6390" stopIfTrue="1">
      <formula>NOT(ISBLANK($U$35))</formula>
    </cfRule>
  </conditionalFormatting>
  <conditionalFormatting sqref="A36">
    <cfRule type="cellIs" dxfId="1356" priority="6394" stopIfTrue="1" operator="notEqual">
      <formula>4</formula>
    </cfRule>
  </conditionalFormatting>
  <conditionalFormatting sqref="B36">
    <cfRule type="cellIs" dxfId="1355" priority="6395" stopIfTrue="1" operator="notEqual">
      <formula>4</formula>
    </cfRule>
  </conditionalFormatting>
  <conditionalFormatting sqref="C36">
    <cfRule type="cellIs" dxfId="1354" priority="6396" stopIfTrue="1" operator="notEqual">
      <formula>0.74</formula>
    </cfRule>
  </conditionalFormatting>
  <conditionalFormatting sqref="D36">
    <cfRule type="cellIs" dxfId="1353" priority="6397" stopIfTrue="1" operator="notEqual">
      <formula>"MGD"</formula>
    </cfRule>
  </conditionalFormatting>
  <conditionalFormatting sqref="E36">
    <cfRule type="cellIs" dxfId="1352" priority="6398" stopIfTrue="1" operator="notEqual">
      <formula>0.251</formula>
    </cfRule>
  </conditionalFormatting>
  <conditionalFormatting sqref="F36">
    <cfRule type="cellIs" dxfId="1351" priority="6399" stopIfTrue="1" operator="notEqual">
      <formula>"MGD"</formula>
    </cfRule>
  </conditionalFormatting>
  <conditionalFormatting sqref="G36">
    <cfRule type="cellIs" dxfId="1350" priority="6400" stopIfTrue="1" operator="notEqual">
      <formula>15</formula>
    </cfRule>
  </conditionalFormatting>
  <conditionalFormatting sqref="H36">
    <cfRule type="cellIs" dxfId="1349" priority="6401" stopIfTrue="1" operator="notEqual">
      <formula>"no"</formula>
    </cfRule>
  </conditionalFormatting>
  <conditionalFormatting sqref="I36">
    <cfRule type="cellIs" dxfId="1348" priority="6402" stopIfTrue="1" operator="notEqual">
      <formula>"8 inch Nanofiltration"</formula>
    </cfRule>
  </conditionalFormatting>
  <conditionalFormatting sqref="J36">
    <cfRule type="expression" dxfId="1347" priority="6403" stopIfTrue="1">
      <formula>NOT(ISBLANK($J$36))</formula>
    </cfRule>
  </conditionalFormatting>
  <conditionalFormatting sqref="K36">
    <cfRule type="cellIs" dxfId="1346" priority="6404" stopIfTrue="1" operator="notEqual">
      <formula>0.85</formula>
    </cfRule>
  </conditionalFormatting>
  <conditionalFormatting sqref="L36">
    <cfRule type="cellIs" dxfId="1345" priority="6405" stopIfTrue="1" operator="notEqual">
      <formula>16</formula>
    </cfRule>
  </conditionalFormatting>
  <conditionalFormatting sqref="M36">
    <cfRule type="cellIs" dxfId="1344" priority="6406" stopIfTrue="1" operator="notEqual">
      <formula>"H2SO4"</formula>
    </cfRule>
  </conditionalFormatting>
  <conditionalFormatting sqref="N36">
    <cfRule type="cellIs" dxfId="1343" priority="6407" stopIfTrue="1" operator="notEqual">
      <formula>6.7</formula>
    </cfRule>
  </conditionalFormatting>
  <conditionalFormatting sqref="O36">
    <cfRule type="cellIs" dxfId="1342" priority="6408" stopIfTrue="1" operator="notEqual">
      <formula>"Basic (carbonate)"</formula>
    </cfRule>
  </conditionalFormatting>
  <conditionalFormatting sqref="P36">
    <cfRule type="expression" dxfId="1341" priority="6409" stopIfTrue="1">
      <formula>NOT(ISBLANK($P$36))</formula>
    </cfRule>
  </conditionalFormatting>
  <conditionalFormatting sqref="Q36">
    <cfRule type="cellIs" dxfId="1340" priority="6410" stopIfTrue="1" operator="notEqual">
      <formula>"direct discharge / ocean outfall"</formula>
    </cfRule>
  </conditionalFormatting>
  <conditionalFormatting sqref="R36">
    <cfRule type="cellIs" dxfId="1339" priority="6411" stopIfTrue="1" operator="notEqual">
      <formula>"no flow equalization"</formula>
    </cfRule>
  </conditionalFormatting>
  <conditionalFormatting sqref="S36">
    <cfRule type="cellIs" dxfId="1338" priority="6412" stopIfTrue="1" operator="notEqual">
      <formula>"non-hazardous"</formula>
    </cfRule>
  </conditionalFormatting>
  <conditionalFormatting sqref="T36">
    <cfRule type="cellIs" dxfId="1337" priority="6413" stopIfTrue="1" operator="notEqual">
      <formula>"low cost"</formula>
    </cfRule>
  </conditionalFormatting>
  <conditionalFormatting sqref="U36">
    <cfRule type="expression" dxfId="1336" priority="6414" stopIfTrue="1">
      <formula>NOT(ISBLANK($U$36))</formula>
    </cfRule>
  </conditionalFormatting>
  <conditionalFormatting sqref="A37">
    <cfRule type="cellIs" dxfId="1335" priority="6418" stopIfTrue="1" operator="notEqual">
      <formula>4</formula>
    </cfRule>
  </conditionalFormatting>
  <conditionalFormatting sqref="B37">
    <cfRule type="cellIs" dxfId="1334" priority="6419" stopIfTrue="1" operator="notEqual">
      <formula>5</formula>
    </cfRule>
  </conditionalFormatting>
  <conditionalFormatting sqref="C37">
    <cfRule type="cellIs" dxfId="1333" priority="6420" stopIfTrue="1" operator="notEqual">
      <formula>2.152</formula>
    </cfRule>
  </conditionalFormatting>
  <conditionalFormatting sqref="D37">
    <cfRule type="cellIs" dxfId="1332" priority="6421" stopIfTrue="1" operator="notEqual">
      <formula>"MGD"</formula>
    </cfRule>
  </conditionalFormatting>
  <conditionalFormatting sqref="E37">
    <cfRule type="cellIs" dxfId="1331" priority="6422" stopIfTrue="1" operator="notEqual">
      <formula>0.819</formula>
    </cfRule>
  </conditionalFormatting>
  <conditionalFormatting sqref="F37">
    <cfRule type="cellIs" dxfId="1330" priority="6423" stopIfTrue="1" operator="notEqual">
      <formula>"MGD"</formula>
    </cfRule>
  </conditionalFormatting>
  <conditionalFormatting sqref="G37">
    <cfRule type="cellIs" dxfId="1329" priority="6424" stopIfTrue="1" operator="notEqual">
      <formula>15</formula>
    </cfRule>
  </conditionalFormatting>
  <conditionalFormatting sqref="H37">
    <cfRule type="cellIs" dxfId="1328" priority="6425" stopIfTrue="1" operator="notEqual">
      <formula>"yes"</formula>
    </cfRule>
  </conditionalFormatting>
  <conditionalFormatting sqref="I37">
    <cfRule type="cellIs" dxfId="1327" priority="6426" stopIfTrue="1" operator="notEqual">
      <formula>"8 inch Nanofiltration"</formula>
    </cfRule>
  </conditionalFormatting>
  <conditionalFormatting sqref="J37">
    <cfRule type="expression" dxfId="1326" priority="6427" stopIfTrue="1">
      <formula>NOT(ISBLANK($J$37))</formula>
    </cfRule>
  </conditionalFormatting>
  <conditionalFormatting sqref="K37">
    <cfRule type="cellIs" dxfId="1325" priority="6428" stopIfTrue="1" operator="notEqual">
      <formula>0.85</formula>
    </cfRule>
  </conditionalFormatting>
  <conditionalFormatting sqref="L37">
    <cfRule type="cellIs" dxfId="1324" priority="6429" stopIfTrue="1" operator="notEqual">
      <formula>16</formula>
    </cfRule>
  </conditionalFormatting>
  <conditionalFormatting sqref="M37">
    <cfRule type="cellIs" dxfId="1323" priority="6430" stopIfTrue="1" operator="notEqual">
      <formula>"H2SO4"</formula>
    </cfRule>
  </conditionalFormatting>
  <conditionalFormatting sqref="N37">
    <cfRule type="cellIs" dxfId="1322" priority="6431" stopIfTrue="1" operator="notEqual">
      <formula>6.7</formula>
    </cfRule>
  </conditionalFormatting>
  <conditionalFormatting sqref="O37">
    <cfRule type="cellIs" dxfId="1321" priority="6432" stopIfTrue="1" operator="notEqual">
      <formula>"Basic (carbonate)"</formula>
    </cfRule>
  </conditionalFormatting>
  <conditionalFormatting sqref="P37">
    <cfRule type="expression" dxfId="1320" priority="6433" stopIfTrue="1">
      <formula>NOT(ISBLANK($P$37))</formula>
    </cfRule>
  </conditionalFormatting>
  <conditionalFormatting sqref="Q37">
    <cfRule type="cellIs" dxfId="1319" priority="6434" stopIfTrue="1" operator="notEqual">
      <formula>"direct discharge / ocean outfall"</formula>
    </cfRule>
  </conditionalFormatting>
  <conditionalFormatting sqref="R37">
    <cfRule type="cellIs" dxfId="1318" priority="6435" stopIfTrue="1" operator="notEqual">
      <formula>"no flow equalization"</formula>
    </cfRule>
  </conditionalFormatting>
  <conditionalFormatting sqref="S37">
    <cfRule type="cellIs" dxfId="1317" priority="6436" stopIfTrue="1" operator="notEqual">
      <formula>"non-hazardous"</formula>
    </cfRule>
  </conditionalFormatting>
  <conditionalFormatting sqref="T37">
    <cfRule type="cellIs" dxfId="1316" priority="6437" stopIfTrue="1" operator="notEqual">
      <formula>"low cost"</formula>
    </cfRule>
  </conditionalFormatting>
  <conditionalFormatting sqref="U37">
    <cfRule type="expression" dxfId="1315" priority="6438" stopIfTrue="1">
      <formula>NOT(ISBLANK($U$37))</formula>
    </cfRule>
  </conditionalFormatting>
  <conditionalFormatting sqref="A38">
    <cfRule type="cellIs" dxfId="1314" priority="6442" stopIfTrue="1" operator="notEqual">
      <formula>4</formula>
    </cfRule>
  </conditionalFormatting>
  <conditionalFormatting sqref="B38">
    <cfRule type="cellIs" dxfId="1313" priority="6443" stopIfTrue="1" operator="notEqual">
      <formula>6</formula>
    </cfRule>
  </conditionalFormatting>
  <conditionalFormatting sqref="C38">
    <cfRule type="cellIs" dxfId="1312" priority="6444" stopIfTrue="1" operator="notEqual">
      <formula>7.365</formula>
    </cfRule>
  </conditionalFormatting>
  <conditionalFormatting sqref="D38">
    <cfRule type="cellIs" dxfId="1311" priority="6445" stopIfTrue="1" operator="notEqual">
      <formula>"MGD"</formula>
    </cfRule>
  </conditionalFormatting>
  <conditionalFormatting sqref="E38">
    <cfRule type="cellIs" dxfId="1310" priority="6446" stopIfTrue="1" operator="notEqual">
      <formula>3.2</formula>
    </cfRule>
  </conditionalFormatting>
  <conditionalFormatting sqref="F38">
    <cfRule type="cellIs" dxfId="1309" priority="6447" stopIfTrue="1" operator="notEqual">
      <formula>"MGD"</formula>
    </cfRule>
  </conditionalFormatting>
  <conditionalFormatting sqref="G38">
    <cfRule type="cellIs" dxfId="1308" priority="6448" stopIfTrue="1" operator="notEqual">
      <formula>15</formula>
    </cfRule>
  </conditionalFormatting>
  <conditionalFormatting sqref="H38">
    <cfRule type="cellIs" dxfId="1307" priority="6449" stopIfTrue="1" operator="notEqual">
      <formula>"yes"</formula>
    </cfRule>
  </conditionalFormatting>
  <conditionalFormatting sqref="I38">
    <cfRule type="cellIs" dxfId="1306" priority="6450" stopIfTrue="1" operator="notEqual">
      <formula>"8 inch Nanofiltration"</formula>
    </cfRule>
  </conditionalFormatting>
  <conditionalFormatting sqref="J38">
    <cfRule type="expression" dxfId="1305" priority="6451" stopIfTrue="1">
      <formula>NOT(ISBLANK($J$38))</formula>
    </cfRule>
  </conditionalFormatting>
  <conditionalFormatting sqref="K38">
    <cfRule type="cellIs" dxfId="1304" priority="6452" stopIfTrue="1" operator="notEqual">
      <formula>0.85</formula>
    </cfRule>
  </conditionalFormatting>
  <conditionalFormatting sqref="L38">
    <cfRule type="cellIs" dxfId="1303" priority="6453" stopIfTrue="1" operator="notEqual">
      <formula>16</formula>
    </cfRule>
  </conditionalFormatting>
  <conditionalFormatting sqref="M38">
    <cfRule type="cellIs" dxfId="1302" priority="6454" stopIfTrue="1" operator="notEqual">
      <formula>"H2SO4"</formula>
    </cfRule>
  </conditionalFormatting>
  <conditionalFormatting sqref="N38">
    <cfRule type="cellIs" dxfId="1301" priority="6455" stopIfTrue="1" operator="notEqual">
      <formula>6.7</formula>
    </cfRule>
  </conditionalFormatting>
  <conditionalFormatting sqref="O38">
    <cfRule type="cellIs" dxfId="1300" priority="6456" stopIfTrue="1" operator="notEqual">
      <formula>"Basic (carbonate)"</formula>
    </cfRule>
  </conditionalFormatting>
  <conditionalFormatting sqref="P38">
    <cfRule type="expression" dxfId="1299" priority="6457" stopIfTrue="1">
      <formula>NOT(ISBLANK($P$38))</formula>
    </cfRule>
  </conditionalFormatting>
  <conditionalFormatting sqref="Q38">
    <cfRule type="cellIs" dxfId="1298" priority="6458" stopIfTrue="1" operator="notEqual">
      <formula>"direct discharge / ocean outfall"</formula>
    </cfRule>
  </conditionalFormatting>
  <conditionalFormatting sqref="R38">
    <cfRule type="cellIs" dxfId="1297" priority="6459" stopIfTrue="1" operator="notEqual">
      <formula>"no flow equalization"</formula>
    </cfRule>
  </conditionalFormatting>
  <conditionalFormatting sqref="S38">
    <cfRule type="cellIs" dxfId="1296" priority="6460" stopIfTrue="1" operator="notEqual">
      <formula>"non-hazardous"</formula>
    </cfRule>
  </conditionalFormatting>
  <conditionalFormatting sqref="T38">
    <cfRule type="cellIs" dxfId="1295" priority="6461" stopIfTrue="1" operator="notEqual">
      <formula>"low cost"</formula>
    </cfRule>
  </conditionalFormatting>
  <conditionalFormatting sqref="U38">
    <cfRule type="expression" dxfId="1294" priority="6462" stopIfTrue="1">
      <formula>NOT(ISBLANK($U$38))</formula>
    </cfRule>
  </conditionalFormatting>
  <conditionalFormatting sqref="A39">
    <cfRule type="cellIs" dxfId="1293" priority="6466" stopIfTrue="1" operator="notEqual">
      <formula>4</formula>
    </cfRule>
  </conditionalFormatting>
  <conditionalFormatting sqref="B39">
    <cfRule type="cellIs" dxfId="1292" priority="6467" stopIfTrue="1" operator="notEqual">
      <formula>7</formula>
    </cfRule>
  </conditionalFormatting>
  <conditionalFormatting sqref="C39">
    <cfRule type="cellIs" dxfId="1291" priority="6468" stopIfTrue="1" operator="notEqual">
      <formula>22.614</formula>
    </cfRule>
  </conditionalFormatting>
  <conditionalFormatting sqref="D39">
    <cfRule type="cellIs" dxfId="1290" priority="6469" stopIfTrue="1" operator="notEqual">
      <formula>"MGD"</formula>
    </cfRule>
  </conditionalFormatting>
  <conditionalFormatting sqref="E39">
    <cfRule type="cellIs" dxfId="1289" priority="6470" stopIfTrue="1" operator="notEqual">
      <formula>11.066</formula>
    </cfRule>
  </conditionalFormatting>
  <conditionalFormatting sqref="F39">
    <cfRule type="cellIs" dxfId="1288" priority="6471" stopIfTrue="1" operator="notEqual">
      <formula>"MGD"</formula>
    </cfRule>
  </conditionalFormatting>
  <conditionalFormatting sqref="G39">
    <cfRule type="cellIs" dxfId="1287" priority="6472" stopIfTrue="1" operator="notEqual">
      <formula>15</formula>
    </cfRule>
  </conditionalFormatting>
  <conditionalFormatting sqref="H39">
    <cfRule type="cellIs" dxfId="1286" priority="6473" stopIfTrue="1" operator="notEqual">
      <formula>"yes"</formula>
    </cfRule>
  </conditionalFormatting>
  <conditionalFormatting sqref="I39">
    <cfRule type="cellIs" dxfId="1285" priority="6474" stopIfTrue="1" operator="notEqual">
      <formula>"8 inch Nanofiltration"</formula>
    </cfRule>
  </conditionalFormatting>
  <conditionalFormatting sqref="J39">
    <cfRule type="expression" dxfId="1284" priority="6475" stopIfTrue="1">
      <formula>NOT(ISBLANK($J$39))</formula>
    </cfRule>
  </conditionalFormatting>
  <conditionalFormatting sqref="K39">
    <cfRule type="cellIs" dxfId="1283" priority="6476" stopIfTrue="1" operator="notEqual">
      <formula>0.85</formula>
    </cfRule>
  </conditionalFormatting>
  <conditionalFormatting sqref="L39">
    <cfRule type="cellIs" dxfId="1282" priority="6477" stopIfTrue="1" operator="notEqual">
      <formula>16</formula>
    </cfRule>
  </conditionalFormatting>
  <conditionalFormatting sqref="M39">
    <cfRule type="cellIs" dxfId="1281" priority="6478" stopIfTrue="1" operator="notEqual">
      <formula>"H2SO4"</formula>
    </cfRule>
  </conditionalFormatting>
  <conditionalFormatting sqref="N39">
    <cfRule type="cellIs" dxfId="1280" priority="6479" stopIfTrue="1" operator="notEqual">
      <formula>6.7</formula>
    </cfRule>
  </conditionalFormatting>
  <conditionalFormatting sqref="O39">
    <cfRule type="cellIs" dxfId="1279" priority="6480" stopIfTrue="1" operator="notEqual">
      <formula>"Basic (carbonate)"</formula>
    </cfRule>
  </conditionalFormatting>
  <conditionalFormatting sqref="P39">
    <cfRule type="expression" dxfId="1278" priority="6481" stopIfTrue="1">
      <formula>NOT(ISBLANK($P$39))</formula>
    </cfRule>
  </conditionalFormatting>
  <conditionalFormatting sqref="Q39">
    <cfRule type="cellIs" dxfId="1277" priority="6482" stopIfTrue="1" operator="notEqual">
      <formula>"direct discharge / ocean outfall"</formula>
    </cfRule>
  </conditionalFormatting>
  <conditionalFormatting sqref="R39">
    <cfRule type="cellIs" dxfId="1276" priority="6483" stopIfTrue="1" operator="notEqual">
      <formula>"no flow equalization"</formula>
    </cfRule>
  </conditionalFormatting>
  <conditionalFormatting sqref="S39">
    <cfRule type="cellIs" dxfId="1275" priority="6484" stopIfTrue="1" operator="notEqual">
      <formula>"non-hazardous"</formula>
    </cfRule>
  </conditionalFormatting>
  <conditionalFormatting sqref="T39">
    <cfRule type="cellIs" dxfId="1274" priority="6485" stopIfTrue="1" operator="notEqual">
      <formula>"low cost"</formula>
    </cfRule>
  </conditionalFormatting>
  <conditionalFormatting sqref="U39">
    <cfRule type="expression" dxfId="1273" priority="6486" stopIfTrue="1">
      <formula>NOT(ISBLANK($U$39))</formula>
    </cfRule>
  </conditionalFormatting>
  <conditionalFormatting sqref="A40">
    <cfRule type="cellIs" dxfId="1272" priority="6490" stopIfTrue="1" operator="notEqual">
      <formula>4</formula>
    </cfRule>
  </conditionalFormatting>
  <conditionalFormatting sqref="B40">
    <cfRule type="cellIs" dxfId="1271" priority="6491" stopIfTrue="1" operator="notEqual">
      <formula>8</formula>
    </cfRule>
  </conditionalFormatting>
  <conditionalFormatting sqref="C40">
    <cfRule type="cellIs" dxfId="1270" priority="6492" stopIfTrue="1" operator="notEqual">
      <formula>75.072</formula>
    </cfRule>
  </conditionalFormatting>
  <conditionalFormatting sqref="D40">
    <cfRule type="cellIs" dxfId="1269" priority="6493" stopIfTrue="1" operator="notEqual">
      <formula>"MGD"</formula>
    </cfRule>
  </conditionalFormatting>
  <conditionalFormatting sqref="E40">
    <cfRule type="cellIs" dxfId="1268" priority="6494" stopIfTrue="1" operator="notEqual">
      <formula>37.536</formula>
    </cfRule>
  </conditionalFormatting>
  <conditionalFormatting sqref="F40">
    <cfRule type="cellIs" dxfId="1267" priority="6495" stopIfTrue="1" operator="notEqual">
      <formula>"MGD"</formula>
    </cfRule>
  </conditionalFormatting>
  <conditionalFormatting sqref="G40">
    <cfRule type="cellIs" dxfId="1266" priority="6496" stopIfTrue="1" operator="notEqual">
      <formula>15</formula>
    </cfRule>
  </conditionalFormatting>
  <conditionalFormatting sqref="H40">
    <cfRule type="cellIs" dxfId="1265" priority="6497" stopIfTrue="1" operator="notEqual">
      <formula>"yes"</formula>
    </cfRule>
  </conditionalFormatting>
  <conditionalFormatting sqref="I40">
    <cfRule type="cellIs" dxfId="1264" priority="6498" stopIfTrue="1" operator="notEqual">
      <formula>"8 inch Nanofiltration"</formula>
    </cfRule>
  </conditionalFormatting>
  <conditionalFormatting sqref="J40">
    <cfRule type="expression" dxfId="1263" priority="6499" stopIfTrue="1">
      <formula>NOT(ISBLANK($J$40))</formula>
    </cfRule>
  </conditionalFormatting>
  <conditionalFormatting sqref="K40">
    <cfRule type="cellIs" dxfId="1262" priority="6500" stopIfTrue="1" operator="notEqual">
      <formula>0.85</formula>
    </cfRule>
  </conditionalFormatting>
  <conditionalFormatting sqref="L40">
    <cfRule type="cellIs" dxfId="1261" priority="6501" stopIfTrue="1" operator="notEqual">
      <formula>16</formula>
    </cfRule>
  </conditionalFormatting>
  <conditionalFormatting sqref="M40">
    <cfRule type="cellIs" dxfId="1260" priority="6502" stopIfTrue="1" operator="notEqual">
      <formula>"H2SO4"</formula>
    </cfRule>
  </conditionalFormatting>
  <conditionalFormatting sqref="N40">
    <cfRule type="cellIs" dxfId="1259" priority="6503" stopIfTrue="1" operator="notEqual">
      <formula>6.7</formula>
    </cfRule>
  </conditionalFormatting>
  <conditionalFormatting sqref="O40">
    <cfRule type="cellIs" dxfId="1258" priority="6504" stopIfTrue="1" operator="notEqual">
      <formula>"Basic (carbonate)"</formula>
    </cfRule>
  </conditionalFormatting>
  <conditionalFormatting sqref="P40">
    <cfRule type="expression" dxfId="1257" priority="6505" stopIfTrue="1">
      <formula>NOT(ISBLANK($P$40))</formula>
    </cfRule>
  </conditionalFormatting>
  <conditionalFormatting sqref="Q40">
    <cfRule type="cellIs" dxfId="1256" priority="6506" stopIfTrue="1" operator="notEqual">
      <formula>"direct discharge / ocean outfall"</formula>
    </cfRule>
  </conditionalFormatting>
  <conditionalFormatting sqref="R40">
    <cfRule type="cellIs" dxfId="1255" priority="6507" stopIfTrue="1" operator="notEqual">
      <formula>"no flow equalization"</formula>
    </cfRule>
  </conditionalFormatting>
  <conditionalFormatting sqref="S40">
    <cfRule type="cellIs" dxfId="1254" priority="6508" stopIfTrue="1" operator="notEqual">
      <formula>"non-hazardous"</formula>
    </cfRule>
  </conditionalFormatting>
  <conditionalFormatting sqref="T40">
    <cfRule type="cellIs" dxfId="1253" priority="6509" stopIfTrue="1" operator="notEqual">
      <formula>"low cost"</formula>
    </cfRule>
  </conditionalFormatting>
  <conditionalFormatting sqref="U40">
    <cfRule type="expression" dxfId="1252" priority="6510" stopIfTrue="1">
      <formula>NOT(ISBLANK($U$40))</formula>
    </cfRule>
  </conditionalFormatting>
  <conditionalFormatting sqref="A41">
    <cfRule type="cellIs" dxfId="1251" priority="6514" stopIfTrue="1" operator="notEqual">
      <formula>5</formula>
    </cfRule>
  </conditionalFormatting>
  <conditionalFormatting sqref="B41">
    <cfRule type="cellIs" dxfId="1250" priority="6515" stopIfTrue="1" operator="notEqual">
      <formula>1</formula>
    </cfRule>
  </conditionalFormatting>
  <conditionalFormatting sqref="C41">
    <cfRule type="cellIs" dxfId="1249" priority="6516" stopIfTrue="1" operator="notEqual">
      <formula>0.03</formula>
    </cfRule>
  </conditionalFormatting>
  <conditionalFormatting sqref="D41">
    <cfRule type="cellIs" dxfId="1248" priority="6517" stopIfTrue="1" operator="notEqual">
      <formula>"MGD"</formula>
    </cfRule>
  </conditionalFormatting>
  <conditionalFormatting sqref="E41">
    <cfRule type="cellIs" dxfId="1247" priority="6518" stopIfTrue="1" operator="notEqual">
      <formula>0.007</formula>
    </cfRule>
  </conditionalFormatting>
  <conditionalFormatting sqref="F41">
    <cfRule type="cellIs" dxfId="1246" priority="6519" stopIfTrue="1" operator="notEqual">
      <formula>"MGD"</formula>
    </cfRule>
  </conditionalFormatting>
  <conditionalFormatting sqref="G41">
    <cfRule type="cellIs" dxfId="1245" priority="6520" stopIfTrue="1" operator="notEqual">
      <formula>15</formula>
    </cfRule>
  </conditionalFormatting>
  <conditionalFormatting sqref="H41">
    <cfRule type="cellIs" dxfId="1244" priority="6521" stopIfTrue="1" operator="notEqual">
      <formula>"no"</formula>
    </cfRule>
  </conditionalFormatting>
  <conditionalFormatting sqref="I41">
    <cfRule type="cellIs" dxfId="1243" priority="6522" stopIfTrue="1" operator="notEqual">
      <formula>"4 inch Low Pressure RO"</formula>
    </cfRule>
  </conditionalFormatting>
  <conditionalFormatting sqref="J41">
    <cfRule type="expression" dxfId="1242" priority="6523" stopIfTrue="1">
      <formula>NOT(ISBLANK($J$41))</formula>
    </cfRule>
  </conditionalFormatting>
  <conditionalFormatting sqref="K41">
    <cfRule type="cellIs" dxfId="1241" priority="6524" stopIfTrue="1" operator="notEqual">
      <formula>0.7</formula>
    </cfRule>
  </conditionalFormatting>
  <conditionalFormatting sqref="L41">
    <cfRule type="cellIs" dxfId="1240" priority="6525" stopIfTrue="1" operator="notEqual">
      <formula>14</formula>
    </cfRule>
  </conditionalFormatting>
  <conditionalFormatting sqref="M41">
    <cfRule type="cellIs" dxfId="1239" priority="6526" stopIfTrue="1" operator="notEqual">
      <formula>"H2SO4"</formula>
    </cfRule>
  </conditionalFormatting>
  <conditionalFormatting sqref="N41">
    <cfRule type="cellIs" dxfId="1238" priority="6527" stopIfTrue="1" operator="notEqual">
      <formula>6</formula>
    </cfRule>
  </conditionalFormatting>
  <conditionalFormatting sqref="O41">
    <cfRule type="cellIs" dxfId="1237" priority="6528" stopIfTrue="1" operator="notEqual">
      <formula>"Premium (sulfate, silica)"</formula>
    </cfRule>
  </conditionalFormatting>
  <conditionalFormatting sqref="P41">
    <cfRule type="expression" dxfId="1236" priority="6529" stopIfTrue="1">
      <formula>NOT(ISBLANK($P$41))</formula>
    </cfRule>
  </conditionalFormatting>
  <conditionalFormatting sqref="Q41">
    <cfRule type="cellIs" dxfId="1235" priority="6530" stopIfTrue="1" operator="notEqual">
      <formula>"direct discharge / ocean outfall"</formula>
    </cfRule>
  </conditionalFormatting>
  <conditionalFormatting sqref="R41">
    <cfRule type="cellIs" dxfId="1234" priority="6531" stopIfTrue="1" operator="notEqual">
      <formula>"no flow equalization"</formula>
    </cfRule>
  </conditionalFormatting>
  <conditionalFormatting sqref="S41">
    <cfRule type="cellIs" dxfId="1233" priority="6532" stopIfTrue="1" operator="notEqual">
      <formula>"non-hazardous"</formula>
    </cfRule>
  </conditionalFormatting>
  <conditionalFormatting sqref="T41">
    <cfRule type="cellIs" dxfId="1232" priority="6533" stopIfTrue="1" operator="notEqual">
      <formula>"mid cost"</formula>
    </cfRule>
  </conditionalFormatting>
  <conditionalFormatting sqref="U41">
    <cfRule type="expression" dxfId="1231" priority="6534" stopIfTrue="1">
      <formula>NOT(ISBLANK($U$41))</formula>
    </cfRule>
  </conditionalFormatting>
  <conditionalFormatting sqref="A42">
    <cfRule type="cellIs" dxfId="1230" priority="6538" stopIfTrue="1" operator="notEqual">
      <formula>5</formula>
    </cfRule>
  </conditionalFormatting>
  <conditionalFormatting sqref="B42">
    <cfRule type="cellIs" dxfId="1229" priority="6539" stopIfTrue="1" operator="notEqual">
      <formula>2</formula>
    </cfRule>
  </conditionalFormatting>
  <conditionalFormatting sqref="C42">
    <cfRule type="cellIs" dxfId="1228" priority="6540" stopIfTrue="1" operator="notEqual">
      <formula>0.124</formula>
    </cfRule>
  </conditionalFormatting>
  <conditionalFormatting sqref="D42">
    <cfRule type="cellIs" dxfId="1227" priority="6541" stopIfTrue="1" operator="notEqual">
      <formula>"MGD"</formula>
    </cfRule>
  </conditionalFormatting>
  <conditionalFormatting sqref="E42">
    <cfRule type="cellIs" dxfId="1226" priority="6542" stopIfTrue="1" operator="notEqual">
      <formula>0.035</formula>
    </cfRule>
  </conditionalFormatting>
  <conditionalFormatting sqref="F42">
    <cfRule type="cellIs" dxfId="1225" priority="6543" stopIfTrue="1" operator="notEqual">
      <formula>"MGD"</formula>
    </cfRule>
  </conditionalFormatting>
  <conditionalFormatting sqref="G42">
    <cfRule type="cellIs" dxfId="1224" priority="6544" stopIfTrue="1" operator="notEqual">
      <formula>15</formula>
    </cfRule>
  </conditionalFormatting>
  <conditionalFormatting sqref="H42">
    <cfRule type="cellIs" dxfId="1223" priority="6545" stopIfTrue="1" operator="notEqual">
      <formula>"no"</formula>
    </cfRule>
  </conditionalFormatting>
  <conditionalFormatting sqref="I42">
    <cfRule type="cellIs" dxfId="1222" priority="6546" stopIfTrue="1" operator="notEqual">
      <formula>"8 inch Low Pressure RO"</formula>
    </cfRule>
  </conditionalFormatting>
  <conditionalFormatting sqref="J42">
    <cfRule type="expression" dxfId="1221" priority="6547" stopIfTrue="1">
      <formula>NOT(ISBLANK($J$42))</formula>
    </cfRule>
  </conditionalFormatting>
  <conditionalFormatting sqref="K42">
    <cfRule type="cellIs" dxfId="1220" priority="6548" stopIfTrue="1" operator="notEqual">
      <formula>0.7</formula>
    </cfRule>
  </conditionalFormatting>
  <conditionalFormatting sqref="L42">
    <cfRule type="cellIs" dxfId="1219" priority="6549" stopIfTrue="1" operator="notEqual">
      <formula>14</formula>
    </cfRule>
  </conditionalFormatting>
  <conditionalFormatting sqref="M42">
    <cfRule type="cellIs" dxfId="1218" priority="6550" stopIfTrue="1" operator="notEqual">
      <formula>"H2SO4"</formula>
    </cfRule>
  </conditionalFormatting>
  <conditionalFormatting sqref="N42">
    <cfRule type="cellIs" dxfId="1217" priority="6551" stopIfTrue="1" operator="notEqual">
      <formula>6</formula>
    </cfRule>
  </conditionalFormatting>
  <conditionalFormatting sqref="O42">
    <cfRule type="cellIs" dxfId="1216" priority="6552" stopIfTrue="1" operator="notEqual">
      <formula>"Premium (sulfate, silica)"</formula>
    </cfRule>
  </conditionalFormatting>
  <conditionalFormatting sqref="P42">
    <cfRule type="expression" dxfId="1215" priority="6553" stopIfTrue="1">
      <formula>NOT(ISBLANK($P$42))</formula>
    </cfRule>
  </conditionalFormatting>
  <conditionalFormatting sqref="Q42">
    <cfRule type="cellIs" dxfId="1214" priority="6554" stopIfTrue="1" operator="notEqual">
      <formula>"direct discharge / ocean outfall"</formula>
    </cfRule>
  </conditionalFormatting>
  <conditionalFormatting sqref="R42">
    <cfRule type="cellIs" dxfId="1213" priority="6555" stopIfTrue="1" operator="notEqual">
      <formula>"no flow equalization"</formula>
    </cfRule>
  </conditionalFormatting>
  <conditionalFormatting sqref="S42">
    <cfRule type="cellIs" dxfId="1212" priority="6556" stopIfTrue="1" operator="notEqual">
      <formula>"non-hazardous"</formula>
    </cfRule>
  </conditionalFormatting>
  <conditionalFormatting sqref="T42">
    <cfRule type="cellIs" dxfId="1211" priority="6557" stopIfTrue="1" operator="notEqual">
      <formula>"mid cost"</formula>
    </cfRule>
  </conditionalFormatting>
  <conditionalFormatting sqref="U42">
    <cfRule type="expression" dxfId="1210" priority="6558" stopIfTrue="1">
      <formula>NOT(ISBLANK($U$42))</formula>
    </cfRule>
  </conditionalFormatting>
  <conditionalFormatting sqref="A43">
    <cfRule type="cellIs" dxfId="1209" priority="6562" stopIfTrue="1" operator="notEqual">
      <formula>5</formula>
    </cfRule>
  </conditionalFormatting>
  <conditionalFormatting sqref="B43">
    <cfRule type="cellIs" dxfId="1208" priority="6563" stopIfTrue="1" operator="notEqual">
      <formula>3</formula>
    </cfRule>
  </conditionalFormatting>
  <conditionalFormatting sqref="C43">
    <cfRule type="cellIs" dxfId="1207" priority="6564" stopIfTrue="1" operator="notEqual">
      <formula>0.305</formula>
    </cfRule>
  </conditionalFormatting>
  <conditionalFormatting sqref="D43">
    <cfRule type="cellIs" dxfId="1206" priority="6565" stopIfTrue="1" operator="notEqual">
      <formula>"MGD"</formula>
    </cfRule>
  </conditionalFormatting>
  <conditionalFormatting sqref="E43">
    <cfRule type="cellIs" dxfId="1205" priority="6566" stopIfTrue="1" operator="notEqual">
      <formula>0.094</formula>
    </cfRule>
  </conditionalFormatting>
  <conditionalFormatting sqref="F43">
    <cfRule type="cellIs" dxfId="1204" priority="6567" stopIfTrue="1" operator="notEqual">
      <formula>"MGD"</formula>
    </cfRule>
  </conditionalFormatting>
  <conditionalFormatting sqref="G43">
    <cfRule type="cellIs" dxfId="1203" priority="6568" stopIfTrue="1" operator="notEqual">
      <formula>15</formula>
    </cfRule>
  </conditionalFormatting>
  <conditionalFormatting sqref="H43">
    <cfRule type="cellIs" dxfId="1202" priority="6569" stopIfTrue="1" operator="notEqual">
      <formula>"no"</formula>
    </cfRule>
  </conditionalFormatting>
  <conditionalFormatting sqref="I43">
    <cfRule type="cellIs" dxfId="1201" priority="6570" stopIfTrue="1" operator="notEqual">
      <formula>"8 inch Low Pressure RO"</formula>
    </cfRule>
  </conditionalFormatting>
  <conditionalFormatting sqref="J43">
    <cfRule type="expression" dxfId="1200" priority="6571" stopIfTrue="1">
      <formula>NOT(ISBLANK($J$43))</formula>
    </cfRule>
  </conditionalFormatting>
  <conditionalFormatting sqref="K43">
    <cfRule type="cellIs" dxfId="1199" priority="6572" stopIfTrue="1" operator="notEqual">
      <formula>0.75</formula>
    </cfRule>
  </conditionalFormatting>
  <conditionalFormatting sqref="L43">
    <cfRule type="cellIs" dxfId="1198" priority="6573" stopIfTrue="1" operator="notEqual">
      <formula>14</formula>
    </cfRule>
  </conditionalFormatting>
  <conditionalFormatting sqref="M43">
    <cfRule type="cellIs" dxfId="1197" priority="6574" stopIfTrue="1" operator="notEqual">
      <formula>"H2SO4"</formula>
    </cfRule>
  </conditionalFormatting>
  <conditionalFormatting sqref="N43">
    <cfRule type="cellIs" dxfId="1196" priority="6575" stopIfTrue="1" operator="notEqual">
      <formula>6</formula>
    </cfRule>
  </conditionalFormatting>
  <conditionalFormatting sqref="O43">
    <cfRule type="cellIs" dxfId="1195" priority="6576" stopIfTrue="1" operator="notEqual">
      <formula>"Premium (sulfate, silica)"</formula>
    </cfRule>
  </conditionalFormatting>
  <conditionalFormatting sqref="P43">
    <cfRule type="expression" dxfId="1194" priority="6577" stopIfTrue="1">
      <formula>NOT(ISBLANK($P$43))</formula>
    </cfRule>
  </conditionalFormatting>
  <conditionalFormatting sqref="Q43">
    <cfRule type="cellIs" dxfId="1193" priority="6578" stopIfTrue="1" operator="notEqual">
      <formula>"direct discharge / ocean outfall"</formula>
    </cfRule>
  </conditionalFormatting>
  <conditionalFormatting sqref="R43">
    <cfRule type="cellIs" dxfId="1192" priority="6579" stopIfTrue="1" operator="notEqual">
      <formula>"no flow equalization"</formula>
    </cfRule>
  </conditionalFormatting>
  <conditionalFormatting sqref="S43">
    <cfRule type="cellIs" dxfId="1191" priority="6580" stopIfTrue="1" operator="notEqual">
      <formula>"non-hazardous"</formula>
    </cfRule>
  </conditionalFormatting>
  <conditionalFormatting sqref="T43">
    <cfRule type="cellIs" dxfId="1190" priority="6581" stopIfTrue="1" operator="notEqual">
      <formula>"mid cost"</formula>
    </cfRule>
  </conditionalFormatting>
  <conditionalFormatting sqref="U43">
    <cfRule type="expression" dxfId="1189" priority="6582" stopIfTrue="1">
      <formula>NOT(ISBLANK($U$43))</formula>
    </cfRule>
  </conditionalFormatting>
  <conditionalFormatting sqref="A44">
    <cfRule type="cellIs" dxfId="1188" priority="6586" stopIfTrue="1" operator="notEqual">
      <formula>5</formula>
    </cfRule>
  </conditionalFormatting>
  <conditionalFormatting sqref="B44">
    <cfRule type="cellIs" dxfId="1187" priority="6587" stopIfTrue="1" operator="notEqual">
      <formula>4</formula>
    </cfRule>
  </conditionalFormatting>
  <conditionalFormatting sqref="C44">
    <cfRule type="cellIs" dxfId="1186" priority="6588" stopIfTrue="1" operator="notEqual">
      <formula>0.74</formula>
    </cfRule>
  </conditionalFormatting>
  <conditionalFormatting sqref="D44">
    <cfRule type="cellIs" dxfId="1185" priority="6589" stopIfTrue="1" operator="notEqual">
      <formula>"MGD"</formula>
    </cfRule>
  </conditionalFormatting>
  <conditionalFormatting sqref="E44">
    <cfRule type="cellIs" dxfId="1184" priority="6590" stopIfTrue="1" operator="notEqual">
      <formula>0.251</formula>
    </cfRule>
  </conditionalFormatting>
  <conditionalFormatting sqref="F44">
    <cfRule type="cellIs" dxfId="1183" priority="6591" stopIfTrue="1" operator="notEqual">
      <formula>"MGD"</formula>
    </cfRule>
  </conditionalFormatting>
  <conditionalFormatting sqref="G44">
    <cfRule type="cellIs" dxfId="1182" priority="6592" stopIfTrue="1" operator="notEqual">
      <formula>15</formula>
    </cfRule>
  </conditionalFormatting>
  <conditionalFormatting sqref="H44">
    <cfRule type="cellIs" dxfId="1181" priority="6593" stopIfTrue="1" operator="notEqual">
      <formula>"no"</formula>
    </cfRule>
  </conditionalFormatting>
  <conditionalFormatting sqref="I44">
    <cfRule type="cellIs" dxfId="1180" priority="6594" stopIfTrue="1" operator="notEqual">
      <formula>"8 inch Low Pressure RO"</formula>
    </cfRule>
  </conditionalFormatting>
  <conditionalFormatting sqref="J44">
    <cfRule type="expression" dxfId="1179" priority="6595" stopIfTrue="1">
      <formula>NOT(ISBLANK($J$44))</formula>
    </cfRule>
  </conditionalFormatting>
  <conditionalFormatting sqref="K44">
    <cfRule type="cellIs" dxfId="1178" priority="6596" stopIfTrue="1" operator="notEqual">
      <formula>0.8</formula>
    </cfRule>
  </conditionalFormatting>
  <conditionalFormatting sqref="L44">
    <cfRule type="cellIs" dxfId="1177" priority="6597" stopIfTrue="1" operator="notEqual">
      <formula>14</formula>
    </cfRule>
  </conditionalFormatting>
  <conditionalFormatting sqref="M44">
    <cfRule type="cellIs" dxfId="1176" priority="6598" stopIfTrue="1" operator="notEqual">
      <formula>"H2SO4"</formula>
    </cfRule>
  </conditionalFormatting>
  <conditionalFormatting sqref="N44">
    <cfRule type="cellIs" dxfId="1175" priority="6599" stopIfTrue="1" operator="notEqual">
      <formula>6</formula>
    </cfRule>
  </conditionalFormatting>
  <conditionalFormatting sqref="O44">
    <cfRule type="cellIs" dxfId="1174" priority="6600" stopIfTrue="1" operator="notEqual">
      <formula>"Premium (sulfate, silica)"</formula>
    </cfRule>
  </conditionalFormatting>
  <conditionalFormatting sqref="P44">
    <cfRule type="expression" dxfId="1173" priority="6601" stopIfTrue="1">
      <formula>NOT(ISBLANK($P$44))</formula>
    </cfRule>
  </conditionalFormatting>
  <conditionalFormatting sqref="Q44">
    <cfRule type="cellIs" dxfId="1172" priority="6602" stopIfTrue="1" operator="notEqual">
      <formula>"direct discharge / ocean outfall"</formula>
    </cfRule>
  </conditionalFormatting>
  <conditionalFormatting sqref="R44">
    <cfRule type="cellIs" dxfId="1171" priority="6603" stopIfTrue="1" operator="notEqual">
      <formula>"no flow equalization"</formula>
    </cfRule>
  </conditionalFormatting>
  <conditionalFormatting sqref="S44">
    <cfRule type="cellIs" dxfId="1170" priority="6604" stopIfTrue="1" operator="notEqual">
      <formula>"non-hazardous"</formula>
    </cfRule>
  </conditionalFormatting>
  <conditionalFormatting sqref="T44">
    <cfRule type="cellIs" dxfId="1169" priority="6605" stopIfTrue="1" operator="notEqual">
      <formula>"mid cost"</formula>
    </cfRule>
  </conditionalFormatting>
  <conditionalFormatting sqref="U44">
    <cfRule type="expression" dxfId="1168" priority="6606" stopIfTrue="1">
      <formula>NOT(ISBLANK($U$44))</formula>
    </cfRule>
  </conditionalFormatting>
  <conditionalFormatting sqref="A45">
    <cfRule type="cellIs" dxfId="1167" priority="6610" stopIfTrue="1" operator="notEqual">
      <formula>5</formula>
    </cfRule>
  </conditionalFormatting>
  <conditionalFormatting sqref="B45">
    <cfRule type="cellIs" dxfId="1166" priority="6611" stopIfTrue="1" operator="notEqual">
      <formula>5</formula>
    </cfRule>
  </conditionalFormatting>
  <conditionalFormatting sqref="C45">
    <cfRule type="cellIs" dxfId="1165" priority="6612" stopIfTrue="1" operator="notEqual">
      <formula>2.152</formula>
    </cfRule>
  </conditionalFormatting>
  <conditionalFormatting sqref="D45">
    <cfRule type="cellIs" dxfId="1164" priority="6613" stopIfTrue="1" operator="notEqual">
      <formula>"MGD"</formula>
    </cfRule>
  </conditionalFormatting>
  <conditionalFormatting sqref="E45">
    <cfRule type="cellIs" dxfId="1163" priority="6614" stopIfTrue="1" operator="notEqual">
      <formula>0.819</formula>
    </cfRule>
  </conditionalFormatting>
  <conditionalFormatting sqref="F45">
    <cfRule type="cellIs" dxfId="1162" priority="6615" stopIfTrue="1" operator="notEqual">
      <formula>"MGD"</formula>
    </cfRule>
  </conditionalFormatting>
  <conditionalFormatting sqref="G45">
    <cfRule type="cellIs" dxfId="1161" priority="6616" stopIfTrue="1" operator="notEqual">
      <formula>15</formula>
    </cfRule>
  </conditionalFormatting>
  <conditionalFormatting sqref="H45">
    <cfRule type="cellIs" dxfId="1160" priority="6617" stopIfTrue="1" operator="notEqual">
      <formula>"yes"</formula>
    </cfRule>
  </conditionalFormatting>
  <conditionalFormatting sqref="I45">
    <cfRule type="cellIs" dxfId="1159" priority="6618" stopIfTrue="1" operator="notEqual">
      <formula>"8 inch Low Pressure RO"</formula>
    </cfRule>
  </conditionalFormatting>
  <conditionalFormatting sqref="J45">
    <cfRule type="expression" dxfId="1158" priority="6619" stopIfTrue="1">
      <formula>NOT(ISBLANK($J$45))</formula>
    </cfRule>
  </conditionalFormatting>
  <conditionalFormatting sqref="K45">
    <cfRule type="cellIs" dxfId="1157" priority="6620" stopIfTrue="1" operator="notEqual">
      <formula>0.8</formula>
    </cfRule>
  </conditionalFormatting>
  <conditionalFormatting sqref="L45">
    <cfRule type="cellIs" dxfId="1156" priority="6621" stopIfTrue="1" operator="notEqual">
      <formula>14</formula>
    </cfRule>
  </conditionalFormatting>
  <conditionalFormatting sqref="M45">
    <cfRule type="cellIs" dxfId="1155" priority="6622" stopIfTrue="1" operator="notEqual">
      <formula>"H2SO4"</formula>
    </cfRule>
  </conditionalFormatting>
  <conditionalFormatting sqref="N45">
    <cfRule type="cellIs" dxfId="1154" priority="6623" stopIfTrue="1" operator="notEqual">
      <formula>6</formula>
    </cfRule>
  </conditionalFormatting>
  <conditionalFormatting sqref="O45">
    <cfRule type="cellIs" dxfId="1153" priority="6624" stopIfTrue="1" operator="notEqual">
      <formula>"Premium (sulfate, silica)"</formula>
    </cfRule>
  </conditionalFormatting>
  <conditionalFormatting sqref="P45">
    <cfRule type="expression" dxfId="1152" priority="6625" stopIfTrue="1">
      <formula>NOT(ISBLANK($P$45))</formula>
    </cfRule>
  </conditionalFormatting>
  <conditionalFormatting sqref="Q45">
    <cfRule type="cellIs" dxfId="1151" priority="6626" stopIfTrue="1" operator="notEqual">
      <formula>"direct discharge / ocean outfall"</formula>
    </cfRule>
  </conditionalFormatting>
  <conditionalFormatting sqref="R45">
    <cfRule type="cellIs" dxfId="1150" priority="6627" stopIfTrue="1" operator="notEqual">
      <formula>"no flow equalization"</formula>
    </cfRule>
  </conditionalFormatting>
  <conditionalFormatting sqref="S45">
    <cfRule type="cellIs" dxfId="1149" priority="6628" stopIfTrue="1" operator="notEqual">
      <formula>"non-hazardous"</formula>
    </cfRule>
  </conditionalFormatting>
  <conditionalFormatting sqref="T45">
    <cfRule type="cellIs" dxfId="1148" priority="6629" stopIfTrue="1" operator="notEqual">
      <formula>"mid cost"</formula>
    </cfRule>
  </conditionalFormatting>
  <conditionalFormatting sqref="U45">
    <cfRule type="expression" dxfId="1147" priority="6630" stopIfTrue="1">
      <formula>NOT(ISBLANK($U$45))</formula>
    </cfRule>
  </conditionalFormatting>
  <conditionalFormatting sqref="A46">
    <cfRule type="cellIs" dxfId="1146" priority="6634" stopIfTrue="1" operator="notEqual">
      <formula>5</formula>
    </cfRule>
  </conditionalFormatting>
  <conditionalFormatting sqref="B46">
    <cfRule type="cellIs" dxfId="1145" priority="6635" stopIfTrue="1" operator="notEqual">
      <formula>6</formula>
    </cfRule>
  </conditionalFormatting>
  <conditionalFormatting sqref="C46">
    <cfRule type="cellIs" dxfId="1144" priority="6636" stopIfTrue="1" operator="notEqual">
      <formula>7.365</formula>
    </cfRule>
  </conditionalFormatting>
  <conditionalFormatting sqref="D46">
    <cfRule type="cellIs" dxfId="1143" priority="6637" stopIfTrue="1" operator="notEqual">
      <formula>"MGD"</formula>
    </cfRule>
  </conditionalFormatting>
  <conditionalFormatting sqref="E46">
    <cfRule type="cellIs" dxfId="1142" priority="6638" stopIfTrue="1" operator="notEqual">
      <formula>3.2</formula>
    </cfRule>
  </conditionalFormatting>
  <conditionalFormatting sqref="F46">
    <cfRule type="cellIs" dxfId="1141" priority="6639" stopIfTrue="1" operator="notEqual">
      <formula>"MGD"</formula>
    </cfRule>
  </conditionalFormatting>
  <conditionalFormatting sqref="G46">
    <cfRule type="cellIs" dxfId="1140" priority="6640" stopIfTrue="1" operator="notEqual">
      <formula>15</formula>
    </cfRule>
  </conditionalFormatting>
  <conditionalFormatting sqref="H46">
    <cfRule type="cellIs" dxfId="1139" priority="6641" stopIfTrue="1" operator="notEqual">
      <formula>"yes"</formula>
    </cfRule>
  </conditionalFormatting>
  <conditionalFormatting sqref="I46">
    <cfRule type="cellIs" dxfId="1138" priority="6642" stopIfTrue="1" operator="notEqual">
      <formula>"8 inch Low Pressure RO"</formula>
    </cfRule>
  </conditionalFormatting>
  <conditionalFormatting sqref="J46">
    <cfRule type="expression" dxfId="1137" priority="6643" stopIfTrue="1">
      <formula>NOT(ISBLANK($J$46))</formula>
    </cfRule>
  </conditionalFormatting>
  <conditionalFormatting sqref="K46">
    <cfRule type="cellIs" dxfId="1136" priority="6644" stopIfTrue="1" operator="notEqual">
      <formula>0.8</formula>
    </cfRule>
  </conditionalFormatting>
  <conditionalFormatting sqref="L46">
    <cfRule type="cellIs" dxfId="1135" priority="6645" stopIfTrue="1" operator="notEqual">
      <formula>14</formula>
    </cfRule>
  </conditionalFormatting>
  <conditionalFormatting sqref="M46">
    <cfRule type="cellIs" dxfId="1134" priority="6646" stopIfTrue="1" operator="notEqual">
      <formula>"H2SO4"</formula>
    </cfRule>
  </conditionalFormatting>
  <conditionalFormatting sqref="N46">
    <cfRule type="cellIs" dxfId="1133" priority="6647" stopIfTrue="1" operator="notEqual">
      <formula>6</formula>
    </cfRule>
  </conditionalFormatting>
  <conditionalFormatting sqref="O46">
    <cfRule type="cellIs" dxfId="1132" priority="6648" stopIfTrue="1" operator="notEqual">
      <formula>"Premium (sulfate, silica)"</formula>
    </cfRule>
  </conditionalFormatting>
  <conditionalFormatting sqref="P46">
    <cfRule type="expression" dxfId="1131" priority="6649" stopIfTrue="1">
      <formula>NOT(ISBLANK($P$46))</formula>
    </cfRule>
  </conditionalFormatting>
  <conditionalFormatting sqref="Q46">
    <cfRule type="cellIs" dxfId="1130" priority="6650" stopIfTrue="1" operator="notEqual">
      <formula>"direct discharge / ocean outfall"</formula>
    </cfRule>
  </conditionalFormatting>
  <conditionalFormatting sqref="R46">
    <cfRule type="cellIs" dxfId="1129" priority="6651" stopIfTrue="1" operator="notEqual">
      <formula>"no flow equalization"</formula>
    </cfRule>
  </conditionalFormatting>
  <conditionalFormatting sqref="S46">
    <cfRule type="cellIs" dxfId="1128" priority="6652" stopIfTrue="1" operator="notEqual">
      <formula>"non-hazardous"</formula>
    </cfRule>
  </conditionalFormatting>
  <conditionalFormatting sqref="T46">
    <cfRule type="cellIs" dxfId="1127" priority="6653" stopIfTrue="1" operator="notEqual">
      <formula>"mid cost"</formula>
    </cfRule>
  </conditionalFormatting>
  <conditionalFormatting sqref="U46">
    <cfRule type="expression" dxfId="1126" priority="6654" stopIfTrue="1">
      <formula>NOT(ISBLANK($U$46))</formula>
    </cfRule>
  </conditionalFormatting>
  <conditionalFormatting sqref="A47">
    <cfRule type="cellIs" dxfId="1125" priority="6658" stopIfTrue="1" operator="notEqual">
      <formula>5</formula>
    </cfRule>
  </conditionalFormatting>
  <conditionalFormatting sqref="B47">
    <cfRule type="cellIs" dxfId="1124" priority="6659" stopIfTrue="1" operator="notEqual">
      <formula>7</formula>
    </cfRule>
  </conditionalFormatting>
  <conditionalFormatting sqref="C47">
    <cfRule type="cellIs" dxfId="1123" priority="6660" stopIfTrue="1" operator="notEqual">
      <formula>22.614</formula>
    </cfRule>
  </conditionalFormatting>
  <conditionalFormatting sqref="D47">
    <cfRule type="cellIs" dxfId="1122" priority="6661" stopIfTrue="1" operator="notEqual">
      <formula>"MGD"</formula>
    </cfRule>
  </conditionalFormatting>
  <conditionalFormatting sqref="E47">
    <cfRule type="cellIs" dxfId="1121" priority="6662" stopIfTrue="1" operator="notEqual">
      <formula>11.066</formula>
    </cfRule>
  </conditionalFormatting>
  <conditionalFormatting sqref="F47">
    <cfRule type="cellIs" dxfId="1120" priority="6663" stopIfTrue="1" operator="notEqual">
      <formula>"MGD"</formula>
    </cfRule>
  </conditionalFormatting>
  <conditionalFormatting sqref="G47">
    <cfRule type="cellIs" dxfId="1119" priority="6664" stopIfTrue="1" operator="notEqual">
      <formula>15</formula>
    </cfRule>
  </conditionalFormatting>
  <conditionalFormatting sqref="H47">
    <cfRule type="cellIs" dxfId="1118" priority="6665" stopIfTrue="1" operator="notEqual">
      <formula>"yes"</formula>
    </cfRule>
  </conditionalFormatting>
  <conditionalFormatting sqref="I47">
    <cfRule type="cellIs" dxfId="1117" priority="6666" stopIfTrue="1" operator="notEqual">
      <formula>"8 inch Low Pressure RO"</formula>
    </cfRule>
  </conditionalFormatting>
  <conditionalFormatting sqref="J47">
    <cfRule type="expression" dxfId="1116" priority="6667" stopIfTrue="1">
      <formula>NOT(ISBLANK($J$47))</formula>
    </cfRule>
  </conditionalFormatting>
  <conditionalFormatting sqref="K47">
    <cfRule type="cellIs" dxfId="1115" priority="6668" stopIfTrue="1" operator="notEqual">
      <formula>0.8</formula>
    </cfRule>
  </conditionalFormatting>
  <conditionalFormatting sqref="L47">
    <cfRule type="cellIs" dxfId="1114" priority="6669" stopIfTrue="1" operator="notEqual">
      <formula>14</formula>
    </cfRule>
  </conditionalFormatting>
  <conditionalFormatting sqref="M47">
    <cfRule type="cellIs" dxfId="1113" priority="6670" stopIfTrue="1" operator="notEqual">
      <formula>"H2SO4"</formula>
    </cfRule>
  </conditionalFormatting>
  <conditionalFormatting sqref="N47">
    <cfRule type="cellIs" dxfId="1112" priority="6671" stopIfTrue="1" operator="notEqual">
      <formula>6</formula>
    </cfRule>
  </conditionalFormatting>
  <conditionalFormatting sqref="O47">
    <cfRule type="cellIs" dxfId="1111" priority="6672" stopIfTrue="1" operator="notEqual">
      <formula>"Premium (sulfate, silica)"</formula>
    </cfRule>
  </conditionalFormatting>
  <conditionalFormatting sqref="P47">
    <cfRule type="expression" dxfId="1110" priority="6673" stopIfTrue="1">
      <formula>NOT(ISBLANK($P$47))</formula>
    </cfRule>
  </conditionalFormatting>
  <conditionalFormatting sqref="Q47">
    <cfRule type="cellIs" dxfId="1109" priority="6674" stopIfTrue="1" operator="notEqual">
      <formula>"direct discharge / ocean outfall"</formula>
    </cfRule>
  </conditionalFormatting>
  <conditionalFormatting sqref="R47">
    <cfRule type="cellIs" dxfId="1108" priority="6675" stopIfTrue="1" operator="notEqual">
      <formula>"no flow equalization"</formula>
    </cfRule>
  </conditionalFormatting>
  <conditionalFormatting sqref="S47">
    <cfRule type="cellIs" dxfId="1107" priority="6676" stopIfTrue="1" operator="notEqual">
      <formula>"non-hazardous"</formula>
    </cfRule>
  </conditionalFormatting>
  <conditionalFormatting sqref="T47">
    <cfRule type="cellIs" dxfId="1106" priority="6677" stopIfTrue="1" operator="notEqual">
      <formula>"mid cost"</formula>
    </cfRule>
  </conditionalFormatting>
  <conditionalFormatting sqref="U47">
    <cfRule type="expression" dxfId="1105" priority="6678" stopIfTrue="1">
      <formula>NOT(ISBLANK($U$47))</formula>
    </cfRule>
  </conditionalFormatting>
  <conditionalFormatting sqref="A48">
    <cfRule type="cellIs" dxfId="1104" priority="6682" stopIfTrue="1" operator="notEqual">
      <formula>5</formula>
    </cfRule>
  </conditionalFormatting>
  <conditionalFormatting sqref="B48">
    <cfRule type="cellIs" dxfId="1103" priority="6683" stopIfTrue="1" operator="notEqual">
      <formula>8</formula>
    </cfRule>
  </conditionalFormatting>
  <conditionalFormatting sqref="C48">
    <cfRule type="cellIs" dxfId="1102" priority="6684" stopIfTrue="1" operator="notEqual">
      <formula>75.072</formula>
    </cfRule>
  </conditionalFormatting>
  <conditionalFormatting sqref="D48">
    <cfRule type="cellIs" dxfId="1101" priority="6685" stopIfTrue="1" operator="notEqual">
      <formula>"MGD"</formula>
    </cfRule>
  </conditionalFormatting>
  <conditionalFormatting sqref="E48">
    <cfRule type="cellIs" dxfId="1100" priority="6686" stopIfTrue="1" operator="notEqual">
      <formula>37.536</formula>
    </cfRule>
  </conditionalFormatting>
  <conditionalFormatting sqref="F48">
    <cfRule type="cellIs" dxfId="1099" priority="6687" stopIfTrue="1" operator="notEqual">
      <formula>"MGD"</formula>
    </cfRule>
  </conditionalFormatting>
  <conditionalFormatting sqref="G48">
    <cfRule type="cellIs" dxfId="1098" priority="6688" stopIfTrue="1" operator="notEqual">
      <formula>15</formula>
    </cfRule>
  </conditionalFormatting>
  <conditionalFormatting sqref="H48">
    <cfRule type="cellIs" dxfId="1097" priority="6689" stopIfTrue="1" operator="notEqual">
      <formula>"yes"</formula>
    </cfRule>
  </conditionalFormatting>
  <conditionalFormatting sqref="I48">
    <cfRule type="cellIs" dxfId="1096" priority="6690" stopIfTrue="1" operator="notEqual">
      <formula>"8 inch Low Pressure RO"</formula>
    </cfRule>
  </conditionalFormatting>
  <conditionalFormatting sqref="J48">
    <cfRule type="expression" dxfId="1095" priority="6691" stopIfTrue="1">
      <formula>NOT(ISBLANK($J$48))</formula>
    </cfRule>
  </conditionalFormatting>
  <conditionalFormatting sqref="K48">
    <cfRule type="cellIs" dxfId="1094" priority="6692" stopIfTrue="1" operator="notEqual">
      <formula>0.8</formula>
    </cfRule>
  </conditionalFormatting>
  <conditionalFormatting sqref="L48">
    <cfRule type="cellIs" dxfId="1093" priority="6693" stopIfTrue="1" operator="notEqual">
      <formula>14</formula>
    </cfRule>
  </conditionalFormatting>
  <conditionalFormatting sqref="M48">
    <cfRule type="cellIs" dxfId="1092" priority="6694" stopIfTrue="1" operator="notEqual">
      <formula>"H2SO4"</formula>
    </cfRule>
  </conditionalFormatting>
  <conditionalFormatting sqref="N48">
    <cfRule type="cellIs" dxfId="1091" priority="6695" stopIfTrue="1" operator="notEqual">
      <formula>6</formula>
    </cfRule>
  </conditionalFormatting>
  <conditionalFormatting sqref="O48">
    <cfRule type="cellIs" dxfId="1090" priority="6696" stopIfTrue="1" operator="notEqual">
      <formula>"Premium (sulfate, silica)"</formula>
    </cfRule>
  </conditionalFormatting>
  <conditionalFormatting sqref="P48">
    <cfRule type="expression" dxfId="1089" priority="6697" stopIfTrue="1">
      <formula>NOT(ISBLANK($P$48))</formula>
    </cfRule>
  </conditionalFormatting>
  <conditionalFormatting sqref="Q48">
    <cfRule type="cellIs" dxfId="1088" priority="6698" stopIfTrue="1" operator="notEqual">
      <formula>"direct discharge / ocean outfall"</formula>
    </cfRule>
  </conditionalFormatting>
  <conditionalFormatting sqref="R48">
    <cfRule type="cellIs" dxfId="1087" priority="6699" stopIfTrue="1" operator="notEqual">
      <formula>"no flow equalization"</formula>
    </cfRule>
  </conditionalFormatting>
  <conditionalFormatting sqref="S48">
    <cfRule type="cellIs" dxfId="1086" priority="6700" stopIfTrue="1" operator="notEqual">
      <formula>"non-hazardous"</formula>
    </cfRule>
  </conditionalFormatting>
  <conditionalFormatting sqref="T48">
    <cfRule type="cellIs" dxfId="1085" priority="6701" stopIfTrue="1" operator="notEqual">
      <formula>"mid cost"</formula>
    </cfRule>
  </conditionalFormatting>
  <conditionalFormatting sqref="U48">
    <cfRule type="expression" dxfId="1084" priority="6702" stopIfTrue="1">
      <formula>NOT(ISBLANK($U$48))</formula>
    </cfRule>
  </conditionalFormatting>
  <conditionalFormatting sqref="A49">
    <cfRule type="cellIs" dxfId="1083" priority="6706" stopIfTrue="1" operator="notEqual">
      <formula>6</formula>
    </cfRule>
  </conditionalFormatting>
  <conditionalFormatting sqref="B49">
    <cfRule type="cellIs" dxfId="1082" priority="6707" stopIfTrue="1" operator="notEqual">
      <formula>1</formula>
    </cfRule>
  </conditionalFormatting>
  <conditionalFormatting sqref="C49">
    <cfRule type="cellIs" dxfId="1081" priority="6708" stopIfTrue="1" operator="notEqual">
      <formula>0.03</formula>
    </cfRule>
  </conditionalFormatting>
  <conditionalFormatting sqref="D49">
    <cfRule type="cellIs" dxfId="1080" priority="6709" stopIfTrue="1" operator="notEqual">
      <formula>"MGD"</formula>
    </cfRule>
  </conditionalFormatting>
  <conditionalFormatting sqref="E49">
    <cfRule type="cellIs" dxfId="1079" priority="6710" stopIfTrue="1" operator="notEqual">
      <formula>0.007</formula>
    </cfRule>
  </conditionalFormatting>
  <conditionalFormatting sqref="F49">
    <cfRule type="cellIs" dxfId="1078" priority="6711" stopIfTrue="1" operator="notEqual">
      <formula>"MGD"</formula>
    </cfRule>
  </conditionalFormatting>
  <conditionalFormatting sqref="G49">
    <cfRule type="cellIs" dxfId="1077" priority="6712" stopIfTrue="1" operator="notEqual">
      <formula>15</formula>
    </cfRule>
  </conditionalFormatting>
  <conditionalFormatting sqref="H49">
    <cfRule type="cellIs" dxfId="1076" priority="6713" stopIfTrue="1" operator="notEqual">
      <formula>"no"</formula>
    </cfRule>
  </conditionalFormatting>
  <conditionalFormatting sqref="I49">
    <cfRule type="cellIs" dxfId="1075" priority="6714" stopIfTrue="1" operator="notEqual">
      <formula>"4 inch Brackish Water RO"</formula>
    </cfRule>
  </conditionalFormatting>
  <conditionalFormatting sqref="J49">
    <cfRule type="expression" dxfId="1074" priority="6715" stopIfTrue="1">
      <formula>NOT(ISBLANK($J$49))</formula>
    </cfRule>
  </conditionalFormatting>
  <conditionalFormatting sqref="K49">
    <cfRule type="cellIs" dxfId="1073" priority="6716" stopIfTrue="1" operator="notEqual">
      <formula>0.7</formula>
    </cfRule>
  </conditionalFormatting>
  <conditionalFormatting sqref="L49">
    <cfRule type="cellIs" dxfId="1072" priority="6717" stopIfTrue="1" operator="notEqual">
      <formula>12</formula>
    </cfRule>
  </conditionalFormatting>
  <conditionalFormatting sqref="M49">
    <cfRule type="cellIs" dxfId="1071" priority="6718" stopIfTrue="1" operator="notEqual">
      <formula>"H2SO4"</formula>
    </cfRule>
  </conditionalFormatting>
  <conditionalFormatting sqref="N49">
    <cfRule type="cellIs" dxfId="1070" priority="6719" stopIfTrue="1" operator="notEqual">
      <formula>5.9</formula>
    </cfRule>
  </conditionalFormatting>
  <conditionalFormatting sqref="O49">
    <cfRule type="cellIs" dxfId="1069" priority="6720" stopIfTrue="1" operator="notEqual">
      <formula>"Premium (sulfate, silica)"</formula>
    </cfRule>
  </conditionalFormatting>
  <conditionalFormatting sqref="P49">
    <cfRule type="expression" dxfId="1068" priority="6721" stopIfTrue="1">
      <formula>NOT(ISBLANK($P$49))</formula>
    </cfRule>
  </conditionalFormatting>
  <conditionalFormatting sqref="Q49">
    <cfRule type="cellIs" dxfId="1067" priority="6722" stopIfTrue="1" operator="notEqual">
      <formula>"direct discharge / ocean outfall"</formula>
    </cfRule>
  </conditionalFormatting>
  <conditionalFormatting sqref="R49">
    <cfRule type="cellIs" dxfId="1066" priority="6723" stopIfTrue="1" operator="notEqual">
      <formula>"no flow equalization"</formula>
    </cfRule>
  </conditionalFormatting>
  <conditionalFormatting sqref="S49">
    <cfRule type="cellIs" dxfId="1065" priority="6724" stopIfTrue="1" operator="notEqual">
      <formula>"non-hazardous"</formula>
    </cfRule>
  </conditionalFormatting>
  <conditionalFormatting sqref="T49">
    <cfRule type="cellIs" dxfId="1064" priority="6725" stopIfTrue="1" operator="notEqual">
      <formula>"high cost"</formula>
    </cfRule>
  </conditionalFormatting>
  <conditionalFormatting sqref="U49">
    <cfRule type="expression" dxfId="1063" priority="6726" stopIfTrue="1">
      <formula>NOT(ISBLANK($U$49))</formula>
    </cfRule>
  </conditionalFormatting>
  <conditionalFormatting sqref="A50">
    <cfRule type="cellIs" dxfId="1062" priority="6730" stopIfTrue="1" operator="notEqual">
      <formula>6</formula>
    </cfRule>
  </conditionalFormatting>
  <conditionalFormatting sqref="B50">
    <cfRule type="cellIs" dxfId="1061" priority="6731" stopIfTrue="1" operator="notEqual">
      <formula>2</formula>
    </cfRule>
  </conditionalFormatting>
  <conditionalFormatting sqref="C50">
    <cfRule type="cellIs" dxfId="1060" priority="6732" stopIfTrue="1" operator="notEqual">
      <formula>0.124</formula>
    </cfRule>
  </conditionalFormatting>
  <conditionalFormatting sqref="D50">
    <cfRule type="cellIs" dxfId="1059" priority="6733" stopIfTrue="1" operator="notEqual">
      <formula>"MGD"</formula>
    </cfRule>
  </conditionalFormatting>
  <conditionalFormatting sqref="E50">
    <cfRule type="cellIs" dxfId="1058" priority="6734" stopIfTrue="1" operator="notEqual">
      <formula>0.035</formula>
    </cfRule>
  </conditionalFormatting>
  <conditionalFormatting sqref="F50">
    <cfRule type="cellIs" dxfId="1057" priority="6735" stopIfTrue="1" operator="notEqual">
      <formula>"MGD"</formula>
    </cfRule>
  </conditionalFormatting>
  <conditionalFormatting sqref="G50">
    <cfRule type="cellIs" dxfId="1056" priority="6736" stopIfTrue="1" operator="notEqual">
      <formula>15</formula>
    </cfRule>
  </conditionalFormatting>
  <conditionalFormatting sqref="H50">
    <cfRule type="cellIs" dxfId="1055" priority="6737" stopIfTrue="1" operator="notEqual">
      <formula>"no"</formula>
    </cfRule>
  </conditionalFormatting>
  <conditionalFormatting sqref="I50">
    <cfRule type="cellIs" dxfId="1054" priority="6738" stopIfTrue="1" operator="notEqual">
      <formula>"8 inch Brackish Water RO"</formula>
    </cfRule>
  </conditionalFormatting>
  <conditionalFormatting sqref="J50">
    <cfRule type="expression" dxfId="1053" priority="6739" stopIfTrue="1">
      <formula>NOT(ISBLANK($J$50))</formula>
    </cfRule>
  </conditionalFormatting>
  <conditionalFormatting sqref="K50">
    <cfRule type="cellIs" dxfId="1052" priority="6740" stopIfTrue="1" operator="notEqual">
      <formula>0.7</formula>
    </cfRule>
  </conditionalFormatting>
  <conditionalFormatting sqref="L50">
    <cfRule type="cellIs" dxfId="1051" priority="6741" stopIfTrue="1" operator="notEqual">
      <formula>12</formula>
    </cfRule>
  </conditionalFormatting>
  <conditionalFormatting sqref="M50">
    <cfRule type="cellIs" dxfId="1050" priority="6742" stopIfTrue="1" operator="notEqual">
      <formula>"H2SO4"</formula>
    </cfRule>
  </conditionalFormatting>
  <conditionalFormatting sqref="N50">
    <cfRule type="cellIs" dxfId="1049" priority="6743" stopIfTrue="1" operator="notEqual">
      <formula>5.9</formula>
    </cfRule>
  </conditionalFormatting>
  <conditionalFormatting sqref="O50">
    <cfRule type="cellIs" dxfId="1048" priority="6744" stopIfTrue="1" operator="notEqual">
      <formula>"Premium (sulfate, silica)"</formula>
    </cfRule>
  </conditionalFormatting>
  <conditionalFormatting sqref="P50">
    <cfRule type="expression" dxfId="1047" priority="6745" stopIfTrue="1">
      <formula>NOT(ISBLANK($P$50))</formula>
    </cfRule>
  </conditionalFormatting>
  <conditionalFormatting sqref="Q50">
    <cfRule type="cellIs" dxfId="1046" priority="6746" stopIfTrue="1" operator="notEqual">
      <formula>"direct discharge / ocean outfall"</formula>
    </cfRule>
  </conditionalFormatting>
  <conditionalFormatting sqref="R50">
    <cfRule type="cellIs" dxfId="1045" priority="6747" stopIfTrue="1" operator="notEqual">
      <formula>"no flow equalization"</formula>
    </cfRule>
  </conditionalFormatting>
  <conditionalFormatting sqref="S50">
    <cfRule type="cellIs" dxfId="1044" priority="6748" stopIfTrue="1" operator="notEqual">
      <formula>"non-hazardous"</formula>
    </cfRule>
  </conditionalFormatting>
  <conditionalFormatting sqref="T50">
    <cfRule type="cellIs" dxfId="1043" priority="6749" stopIfTrue="1" operator="notEqual">
      <formula>"high cost"</formula>
    </cfRule>
  </conditionalFormatting>
  <conditionalFormatting sqref="U50">
    <cfRule type="expression" dxfId="1042" priority="6750" stopIfTrue="1">
      <formula>NOT(ISBLANK($U$50))</formula>
    </cfRule>
  </conditionalFormatting>
  <conditionalFormatting sqref="A51">
    <cfRule type="cellIs" dxfId="1041" priority="6754" stopIfTrue="1" operator="notEqual">
      <formula>6</formula>
    </cfRule>
  </conditionalFormatting>
  <conditionalFormatting sqref="B51">
    <cfRule type="cellIs" dxfId="1040" priority="6755" stopIfTrue="1" operator="notEqual">
      <formula>3</formula>
    </cfRule>
  </conditionalFormatting>
  <conditionalFormatting sqref="C51">
    <cfRule type="cellIs" dxfId="1039" priority="6756" stopIfTrue="1" operator="notEqual">
      <formula>0.305</formula>
    </cfRule>
  </conditionalFormatting>
  <conditionalFormatting sqref="D51">
    <cfRule type="cellIs" dxfId="1038" priority="6757" stopIfTrue="1" operator="notEqual">
      <formula>"MGD"</formula>
    </cfRule>
  </conditionalFormatting>
  <conditionalFormatting sqref="E51">
    <cfRule type="cellIs" dxfId="1037" priority="6758" stopIfTrue="1" operator="notEqual">
      <formula>0.094</formula>
    </cfRule>
  </conditionalFormatting>
  <conditionalFormatting sqref="F51">
    <cfRule type="cellIs" dxfId="1036" priority="6759" stopIfTrue="1" operator="notEqual">
      <formula>"MGD"</formula>
    </cfRule>
  </conditionalFormatting>
  <conditionalFormatting sqref="G51">
    <cfRule type="cellIs" dxfId="1035" priority="6760" stopIfTrue="1" operator="notEqual">
      <formula>15</formula>
    </cfRule>
  </conditionalFormatting>
  <conditionalFormatting sqref="H51">
    <cfRule type="cellIs" dxfId="1034" priority="6761" stopIfTrue="1" operator="notEqual">
      <formula>"no"</formula>
    </cfRule>
  </conditionalFormatting>
  <conditionalFormatting sqref="I51">
    <cfRule type="cellIs" dxfId="1033" priority="6762" stopIfTrue="1" operator="notEqual">
      <formula>"8 inch Brackish Water RO"</formula>
    </cfRule>
  </conditionalFormatting>
  <conditionalFormatting sqref="J51">
    <cfRule type="expression" dxfId="1032" priority="6763" stopIfTrue="1">
      <formula>NOT(ISBLANK($J$51))</formula>
    </cfRule>
  </conditionalFormatting>
  <conditionalFormatting sqref="K51">
    <cfRule type="cellIs" dxfId="1031" priority="6764" stopIfTrue="1" operator="notEqual">
      <formula>0.75</formula>
    </cfRule>
  </conditionalFormatting>
  <conditionalFormatting sqref="L51">
    <cfRule type="cellIs" dxfId="1030" priority="6765" stopIfTrue="1" operator="notEqual">
      <formula>12</formula>
    </cfRule>
  </conditionalFormatting>
  <conditionalFormatting sqref="M51">
    <cfRule type="cellIs" dxfId="1029" priority="6766" stopIfTrue="1" operator="notEqual">
      <formula>"H2SO4"</formula>
    </cfRule>
  </conditionalFormatting>
  <conditionalFormatting sqref="N51">
    <cfRule type="cellIs" dxfId="1028" priority="6767" stopIfTrue="1" operator="notEqual">
      <formula>5.9</formula>
    </cfRule>
  </conditionalFormatting>
  <conditionalFormatting sqref="O51">
    <cfRule type="cellIs" dxfId="1027" priority="6768" stopIfTrue="1" operator="notEqual">
      <formula>"Premium (sulfate, silica)"</formula>
    </cfRule>
  </conditionalFormatting>
  <conditionalFormatting sqref="P51">
    <cfRule type="expression" dxfId="1026" priority="6769" stopIfTrue="1">
      <formula>NOT(ISBLANK($P$51))</formula>
    </cfRule>
  </conditionalFormatting>
  <conditionalFormatting sqref="Q51">
    <cfRule type="cellIs" dxfId="1025" priority="6770" stopIfTrue="1" operator="notEqual">
      <formula>"direct discharge / ocean outfall"</formula>
    </cfRule>
  </conditionalFormatting>
  <conditionalFormatting sqref="R51">
    <cfRule type="cellIs" dxfId="1024" priority="6771" stopIfTrue="1" operator="notEqual">
      <formula>"no flow equalization"</formula>
    </cfRule>
  </conditionalFormatting>
  <conditionalFormatting sqref="S51">
    <cfRule type="cellIs" dxfId="1023" priority="6772" stopIfTrue="1" operator="notEqual">
      <formula>"non-hazardous"</formula>
    </cfRule>
  </conditionalFormatting>
  <conditionalFormatting sqref="T51">
    <cfRule type="cellIs" dxfId="1022" priority="6773" stopIfTrue="1" operator="notEqual">
      <formula>"high cost"</formula>
    </cfRule>
  </conditionalFormatting>
  <conditionalFormatting sqref="U51">
    <cfRule type="expression" dxfId="1021" priority="6774" stopIfTrue="1">
      <formula>NOT(ISBLANK($U$51))</formula>
    </cfRule>
  </conditionalFormatting>
  <conditionalFormatting sqref="A52">
    <cfRule type="cellIs" dxfId="1020" priority="6778" stopIfTrue="1" operator="notEqual">
      <formula>6</formula>
    </cfRule>
  </conditionalFormatting>
  <conditionalFormatting sqref="B52">
    <cfRule type="cellIs" dxfId="1019" priority="6779" stopIfTrue="1" operator="notEqual">
      <formula>4</formula>
    </cfRule>
  </conditionalFormatting>
  <conditionalFormatting sqref="C52">
    <cfRule type="cellIs" dxfId="1018" priority="6780" stopIfTrue="1" operator="notEqual">
      <formula>0.74</formula>
    </cfRule>
  </conditionalFormatting>
  <conditionalFormatting sqref="D52">
    <cfRule type="cellIs" dxfId="1017" priority="6781" stopIfTrue="1" operator="notEqual">
      <formula>"MGD"</formula>
    </cfRule>
  </conditionalFormatting>
  <conditionalFormatting sqref="E52">
    <cfRule type="cellIs" dxfId="1016" priority="6782" stopIfTrue="1" operator="notEqual">
      <formula>0.251</formula>
    </cfRule>
  </conditionalFormatting>
  <conditionalFormatting sqref="F52">
    <cfRule type="cellIs" dxfId="1015" priority="6783" stopIfTrue="1" operator="notEqual">
      <formula>"MGD"</formula>
    </cfRule>
  </conditionalFormatting>
  <conditionalFormatting sqref="G52">
    <cfRule type="cellIs" dxfId="1014" priority="6784" stopIfTrue="1" operator="notEqual">
      <formula>15</formula>
    </cfRule>
  </conditionalFormatting>
  <conditionalFormatting sqref="H52">
    <cfRule type="cellIs" dxfId="1013" priority="6785" stopIfTrue="1" operator="notEqual">
      <formula>"no"</formula>
    </cfRule>
  </conditionalFormatting>
  <conditionalFormatting sqref="I52">
    <cfRule type="cellIs" dxfId="1012" priority="6786" stopIfTrue="1" operator="notEqual">
      <formula>"8 inch Brackish Water RO"</formula>
    </cfRule>
  </conditionalFormatting>
  <conditionalFormatting sqref="J52">
    <cfRule type="expression" dxfId="1011" priority="6787" stopIfTrue="1">
      <formula>NOT(ISBLANK($J$52))</formula>
    </cfRule>
  </conditionalFormatting>
  <conditionalFormatting sqref="K52">
    <cfRule type="cellIs" dxfId="1010" priority="6788" stopIfTrue="1" operator="notEqual">
      <formula>0.75</formula>
    </cfRule>
  </conditionalFormatting>
  <conditionalFormatting sqref="L52">
    <cfRule type="cellIs" dxfId="1009" priority="6789" stopIfTrue="1" operator="notEqual">
      <formula>12</formula>
    </cfRule>
  </conditionalFormatting>
  <conditionalFormatting sqref="M52">
    <cfRule type="cellIs" dxfId="1008" priority="6790" stopIfTrue="1" operator="notEqual">
      <formula>"H2SO4"</formula>
    </cfRule>
  </conditionalFormatting>
  <conditionalFormatting sqref="N52">
    <cfRule type="cellIs" dxfId="1007" priority="6791" stopIfTrue="1" operator="notEqual">
      <formula>5.9</formula>
    </cfRule>
  </conditionalFormatting>
  <conditionalFormatting sqref="O52">
    <cfRule type="cellIs" dxfId="1006" priority="6792" stopIfTrue="1" operator="notEqual">
      <formula>"Premium (sulfate, silica)"</formula>
    </cfRule>
  </conditionalFormatting>
  <conditionalFormatting sqref="P52">
    <cfRule type="expression" dxfId="1005" priority="6793" stopIfTrue="1">
      <formula>NOT(ISBLANK($P$52))</formula>
    </cfRule>
  </conditionalFormatting>
  <conditionalFormatting sqref="Q52">
    <cfRule type="cellIs" dxfId="1004" priority="6794" stopIfTrue="1" operator="notEqual">
      <formula>"direct discharge / ocean outfall"</formula>
    </cfRule>
  </conditionalFormatting>
  <conditionalFormatting sqref="R52">
    <cfRule type="cellIs" dxfId="1003" priority="6795" stopIfTrue="1" operator="notEqual">
      <formula>"no flow equalization"</formula>
    </cfRule>
  </conditionalFormatting>
  <conditionalFormatting sqref="S52">
    <cfRule type="cellIs" dxfId="1002" priority="6796" stopIfTrue="1" operator="notEqual">
      <formula>"non-hazardous"</formula>
    </cfRule>
  </conditionalFormatting>
  <conditionalFormatting sqref="T52">
    <cfRule type="cellIs" dxfId="1001" priority="6797" stopIfTrue="1" operator="notEqual">
      <formula>"high cost"</formula>
    </cfRule>
  </conditionalFormatting>
  <conditionalFormatting sqref="U52">
    <cfRule type="expression" dxfId="1000" priority="6798" stopIfTrue="1">
      <formula>NOT(ISBLANK($U$52))</formula>
    </cfRule>
  </conditionalFormatting>
  <conditionalFormatting sqref="A53">
    <cfRule type="cellIs" dxfId="999" priority="6802" stopIfTrue="1" operator="notEqual">
      <formula>6</formula>
    </cfRule>
  </conditionalFormatting>
  <conditionalFormatting sqref="B53">
    <cfRule type="cellIs" dxfId="998" priority="6803" stopIfTrue="1" operator="notEqual">
      <formula>5</formula>
    </cfRule>
  </conditionalFormatting>
  <conditionalFormatting sqref="C53">
    <cfRule type="cellIs" dxfId="997" priority="6804" stopIfTrue="1" operator="notEqual">
      <formula>2.152</formula>
    </cfRule>
  </conditionalFormatting>
  <conditionalFormatting sqref="D53">
    <cfRule type="cellIs" dxfId="996" priority="6805" stopIfTrue="1" operator="notEqual">
      <formula>"MGD"</formula>
    </cfRule>
  </conditionalFormatting>
  <conditionalFormatting sqref="E53">
    <cfRule type="cellIs" dxfId="995" priority="6806" stopIfTrue="1" operator="notEqual">
      <formula>0.819</formula>
    </cfRule>
  </conditionalFormatting>
  <conditionalFormatting sqref="F53">
    <cfRule type="cellIs" dxfId="994" priority="6807" stopIfTrue="1" operator="notEqual">
      <formula>"MGD"</formula>
    </cfRule>
  </conditionalFormatting>
  <conditionalFormatting sqref="G53">
    <cfRule type="cellIs" dxfId="993" priority="6808" stopIfTrue="1" operator="notEqual">
      <formula>15</formula>
    </cfRule>
  </conditionalFormatting>
  <conditionalFormatting sqref="H53">
    <cfRule type="cellIs" dxfId="992" priority="6809" stopIfTrue="1" operator="notEqual">
      <formula>"yes"</formula>
    </cfRule>
  </conditionalFormatting>
  <conditionalFormatting sqref="I53">
    <cfRule type="cellIs" dxfId="991" priority="6810" stopIfTrue="1" operator="notEqual">
      <formula>"8 inch Brackish Water RO"</formula>
    </cfRule>
  </conditionalFormatting>
  <conditionalFormatting sqref="J53">
    <cfRule type="expression" dxfId="990" priority="6811" stopIfTrue="1">
      <formula>NOT(ISBLANK($J$53))</formula>
    </cfRule>
  </conditionalFormatting>
  <conditionalFormatting sqref="K53">
    <cfRule type="cellIs" dxfId="989" priority="6812" stopIfTrue="1" operator="notEqual">
      <formula>0.75</formula>
    </cfRule>
  </conditionalFormatting>
  <conditionalFormatting sqref="L53">
    <cfRule type="cellIs" dxfId="988" priority="6813" stopIfTrue="1" operator="notEqual">
      <formula>12</formula>
    </cfRule>
  </conditionalFormatting>
  <conditionalFormatting sqref="M53">
    <cfRule type="cellIs" dxfId="987" priority="6814" stopIfTrue="1" operator="notEqual">
      <formula>"H2SO4"</formula>
    </cfRule>
  </conditionalFormatting>
  <conditionalFormatting sqref="N53">
    <cfRule type="cellIs" dxfId="986" priority="6815" stopIfTrue="1" operator="notEqual">
      <formula>5.9</formula>
    </cfRule>
  </conditionalFormatting>
  <conditionalFormatting sqref="O53">
    <cfRule type="cellIs" dxfId="985" priority="6816" stopIfTrue="1" operator="notEqual">
      <formula>"Premium (sulfate, silica)"</formula>
    </cfRule>
  </conditionalFormatting>
  <conditionalFormatting sqref="P53">
    <cfRule type="expression" dxfId="984" priority="6817" stopIfTrue="1">
      <formula>NOT(ISBLANK($P$53))</formula>
    </cfRule>
  </conditionalFormatting>
  <conditionalFormatting sqref="Q53">
    <cfRule type="cellIs" dxfId="983" priority="6818" stopIfTrue="1" operator="notEqual">
      <formula>"direct discharge / ocean outfall"</formula>
    </cfRule>
  </conditionalFormatting>
  <conditionalFormatting sqref="R53">
    <cfRule type="cellIs" dxfId="982" priority="6819" stopIfTrue="1" operator="notEqual">
      <formula>"no flow equalization"</formula>
    </cfRule>
  </conditionalFormatting>
  <conditionalFormatting sqref="S53">
    <cfRule type="cellIs" dxfId="981" priority="6820" stopIfTrue="1" operator="notEqual">
      <formula>"non-hazardous"</formula>
    </cfRule>
  </conditionalFormatting>
  <conditionalFormatting sqref="T53">
    <cfRule type="cellIs" dxfId="980" priority="6821" stopIfTrue="1" operator="notEqual">
      <formula>"high cost"</formula>
    </cfRule>
  </conditionalFormatting>
  <conditionalFormatting sqref="U53">
    <cfRule type="expression" dxfId="979" priority="6822" stopIfTrue="1">
      <formula>NOT(ISBLANK($U$53))</formula>
    </cfRule>
  </conditionalFormatting>
  <conditionalFormatting sqref="A54">
    <cfRule type="cellIs" dxfId="978" priority="6826" stopIfTrue="1" operator="notEqual">
      <formula>6</formula>
    </cfRule>
  </conditionalFormatting>
  <conditionalFormatting sqref="B54">
    <cfRule type="cellIs" dxfId="977" priority="6827" stopIfTrue="1" operator="notEqual">
      <formula>6</formula>
    </cfRule>
  </conditionalFormatting>
  <conditionalFormatting sqref="C54">
    <cfRule type="cellIs" dxfId="976" priority="6828" stopIfTrue="1" operator="notEqual">
      <formula>7.365</formula>
    </cfRule>
  </conditionalFormatting>
  <conditionalFormatting sqref="D54">
    <cfRule type="cellIs" dxfId="975" priority="6829" stopIfTrue="1" operator="notEqual">
      <formula>"MGD"</formula>
    </cfRule>
  </conditionalFormatting>
  <conditionalFormatting sqref="E54">
    <cfRule type="cellIs" dxfId="974" priority="6830" stopIfTrue="1" operator="notEqual">
      <formula>3.2</formula>
    </cfRule>
  </conditionalFormatting>
  <conditionalFormatting sqref="F54">
    <cfRule type="cellIs" dxfId="973" priority="6831" stopIfTrue="1" operator="notEqual">
      <formula>"MGD"</formula>
    </cfRule>
  </conditionalFormatting>
  <conditionalFormatting sqref="G54">
    <cfRule type="cellIs" dxfId="972" priority="6832" stopIfTrue="1" operator="notEqual">
      <formula>15</formula>
    </cfRule>
  </conditionalFormatting>
  <conditionalFormatting sqref="H54">
    <cfRule type="cellIs" dxfId="971" priority="6833" stopIfTrue="1" operator="notEqual">
      <formula>"yes"</formula>
    </cfRule>
  </conditionalFormatting>
  <conditionalFormatting sqref="I54">
    <cfRule type="cellIs" dxfId="970" priority="6834" stopIfTrue="1" operator="notEqual">
      <formula>"8 inch Brackish Water RO"</formula>
    </cfRule>
  </conditionalFormatting>
  <conditionalFormatting sqref="J54">
    <cfRule type="expression" dxfId="969" priority="6835" stopIfTrue="1">
      <formula>NOT(ISBLANK($J$54))</formula>
    </cfRule>
  </conditionalFormatting>
  <conditionalFormatting sqref="K54">
    <cfRule type="cellIs" dxfId="968" priority="6836" stopIfTrue="1" operator="notEqual">
      <formula>0.75</formula>
    </cfRule>
  </conditionalFormatting>
  <conditionalFormatting sqref="L54">
    <cfRule type="cellIs" dxfId="967" priority="6837" stopIfTrue="1" operator="notEqual">
      <formula>12</formula>
    </cfRule>
  </conditionalFormatting>
  <conditionalFormatting sqref="M54">
    <cfRule type="cellIs" dxfId="966" priority="6838" stopIfTrue="1" operator="notEqual">
      <formula>"H2SO4"</formula>
    </cfRule>
  </conditionalFormatting>
  <conditionalFormatting sqref="N54">
    <cfRule type="cellIs" dxfId="965" priority="6839" stopIfTrue="1" operator="notEqual">
      <formula>5.9</formula>
    </cfRule>
  </conditionalFormatting>
  <conditionalFormatting sqref="O54">
    <cfRule type="cellIs" dxfId="964" priority="6840" stopIfTrue="1" operator="notEqual">
      <formula>"Premium (sulfate, silica)"</formula>
    </cfRule>
  </conditionalFormatting>
  <conditionalFormatting sqref="P54">
    <cfRule type="expression" dxfId="963" priority="6841" stopIfTrue="1">
      <formula>NOT(ISBLANK($P$54))</formula>
    </cfRule>
  </conditionalFormatting>
  <conditionalFormatting sqref="Q54">
    <cfRule type="cellIs" dxfId="962" priority="6842" stopIfTrue="1" operator="notEqual">
      <formula>"direct discharge / ocean outfall"</formula>
    </cfRule>
  </conditionalFormatting>
  <conditionalFormatting sqref="R54">
    <cfRule type="cellIs" dxfId="961" priority="6843" stopIfTrue="1" operator="notEqual">
      <formula>"no flow equalization"</formula>
    </cfRule>
  </conditionalFormatting>
  <conditionalFormatting sqref="S54">
    <cfRule type="cellIs" dxfId="960" priority="6844" stopIfTrue="1" operator="notEqual">
      <formula>"non-hazardous"</formula>
    </cfRule>
  </conditionalFormatting>
  <conditionalFormatting sqref="T54">
    <cfRule type="cellIs" dxfId="959" priority="6845" stopIfTrue="1" operator="notEqual">
      <formula>"high cost"</formula>
    </cfRule>
  </conditionalFormatting>
  <conditionalFormatting sqref="U54">
    <cfRule type="expression" dxfId="958" priority="6846" stopIfTrue="1">
      <formula>NOT(ISBLANK($U$54))</formula>
    </cfRule>
  </conditionalFormatting>
  <conditionalFormatting sqref="A55">
    <cfRule type="cellIs" dxfId="957" priority="6850" stopIfTrue="1" operator="notEqual">
      <formula>6</formula>
    </cfRule>
  </conditionalFormatting>
  <conditionalFormatting sqref="B55">
    <cfRule type="cellIs" dxfId="956" priority="6851" stopIfTrue="1" operator="notEqual">
      <formula>7</formula>
    </cfRule>
  </conditionalFormatting>
  <conditionalFormatting sqref="C55">
    <cfRule type="cellIs" dxfId="955" priority="6852" stopIfTrue="1" operator="notEqual">
      <formula>22.614</formula>
    </cfRule>
  </conditionalFormatting>
  <conditionalFormatting sqref="D55">
    <cfRule type="cellIs" dxfId="954" priority="6853" stopIfTrue="1" operator="notEqual">
      <formula>"MGD"</formula>
    </cfRule>
  </conditionalFormatting>
  <conditionalFormatting sqref="E55">
    <cfRule type="cellIs" dxfId="953" priority="6854" stopIfTrue="1" operator="notEqual">
      <formula>11.066</formula>
    </cfRule>
  </conditionalFormatting>
  <conditionalFormatting sqref="F55">
    <cfRule type="cellIs" dxfId="952" priority="6855" stopIfTrue="1" operator="notEqual">
      <formula>"MGD"</formula>
    </cfRule>
  </conditionalFormatting>
  <conditionalFormatting sqref="G55">
    <cfRule type="cellIs" dxfId="951" priority="6856" stopIfTrue="1" operator="notEqual">
      <formula>15</formula>
    </cfRule>
  </conditionalFormatting>
  <conditionalFormatting sqref="H55">
    <cfRule type="cellIs" dxfId="950" priority="6857" stopIfTrue="1" operator="notEqual">
      <formula>"yes"</formula>
    </cfRule>
  </conditionalFormatting>
  <conditionalFormatting sqref="I55">
    <cfRule type="cellIs" dxfId="949" priority="6858" stopIfTrue="1" operator="notEqual">
      <formula>"8 inch Brackish Water RO"</formula>
    </cfRule>
  </conditionalFormatting>
  <conditionalFormatting sqref="J55">
    <cfRule type="expression" dxfId="948" priority="6859" stopIfTrue="1">
      <formula>NOT(ISBLANK($J$55))</formula>
    </cfRule>
  </conditionalFormatting>
  <conditionalFormatting sqref="K55">
    <cfRule type="cellIs" dxfId="947" priority="6860" stopIfTrue="1" operator="notEqual">
      <formula>0.75</formula>
    </cfRule>
  </conditionalFormatting>
  <conditionalFormatting sqref="L55">
    <cfRule type="cellIs" dxfId="946" priority="6861" stopIfTrue="1" operator="notEqual">
      <formula>12</formula>
    </cfRule>
  </conditionalFormatting>
  <conditionalFormatting sqref="M55">
    <cfRule type="cellIs" dxfId="945" priority="6862" stopIfTrue="1" operator="notEqual">
      <formula>"H2SO4"</formula>
    </cfRule>
  </conditionalFormatting>
  <conditionalFormatting sqref="N55">
    <cfRule type="cellIs" dxfId="944" priority="6863" stopIfTrue="1" operator="notEqual">
      <formula>5.9</formula>
    </cfRule>
  </conditionalFormatting>
  <conditionalFormatting sqref="O55">
    <cfRule type="cellIs" dxfId="943" priority="6864" stopIfTrue="1" operator="notEqual">
      <formula>"Premium (sulfate, silica)"</formula>
    </cfRule>
  </conditionalFormatting>
  <conditionalFormatting sqref="P55">
    <cfRule type="expression" dxfId="942" priority="6865" stopIfTrue="1">
      <formula>NOT(ISBLANK($P$55))</formula>
    </cfRule>
  </conditionalFormatting>
  <conditionalFormatting sqref="Q55">
    <cfRule type="cellIs" dxfId="941" priority="6866" stopIfTrue="1" operator="notEqual">
      <formula>"direct discharge / ocean outfall"</formula>
    </cfRule>
  </conditionalFormatting>
  <conditionalFormatting sqref="R55">
    <cfRule type="cellIs" dxfId="940" priority="6867" stopIfTrue="1" operator="notEqual">
      <formula>"no flow equalization"</formula>
    </cfRule>
  </conditionalFormatting>
  <conditionalFormatting sqref="S55">
    <cfRule type="cellIs" dxfId="939" priority="6868" stopIfTrue="1" operator="notEqual">
      <formula>"non-hazardous"</formula>
    </cfRule>
  </conditionalFormatting>
  <conditionalFormatting sqref="T55">
    <cfRule type="cellIs" dxfId="938" priority="6869" stopIfTrue="1" operator="notEqual">
      <formula>"high cost"</formula>
    </cfRule>
  </conditionalFormatting>
  <conditionalFormatting sqref="U55">
    <cfRule type="expression" dxfId="937" priority="6870" stopIfTrue="1">
      <formula>NOT(ISBLANK($U$55))</formula>
    </cfRule>
  </conditionalFormatting>
  <conditionalFormatting sqref="A56">
    <cfRule type="cellIs" dxfId="936" priority="6874" stopIfTrue="1" operator="notEqual">
      <formula>6</formula>
    </cfRule>
  </conditionalFormatting>
  <conditionalFormatting sqref="B56">
    <cfRule type="cellIs" dxfId="935" priority="6875" stopIfTrue="1" operator="notEqual">
      <formula>8</formula>
    </cfRule>
  </conditionalFormatting>
  <conditionalFormatting sqref="C56">
    <cfRule type="cellIs" dxfId="934" priority="6876" stopIfTrue="1" operator="notEqual">
      <formula>75.072</formula>
    </cfRule>
  </conditionalFormatting>
  <conditionalFormatting sqref="D56">
    <cfRule type="cellIs" dxfId="933" priority="6877" stopIfTrue="1" operator="notEqual">
      <formula>"MGD"</formula>
    </cfRule>
  </conditionalFormatting>
  <conditionalFormatting sqref="E56">
    <cfRule type="cellIs" dxfId="932" priority="6878" stopIfTrue="1" operator="notEqual">
      <formula>37.536</formula>
    </cfRule>
  </conditionalFormatting>
  <conditionalFormatting sqref="F56">
    <cfRule type="cellIs" dxfId="931" priority="6879" stopIfTrue="1" operator="notEqual">
      <formula>"MGD"</formula>
    </cfRule>
  </conditionalFormatting>
  <conditionalFormatting sqref="G56">
    <cfRule type="cellIs" dxfId="930" priority="6880" stopIfTrue="1" operator="notEqual">
      <formula>15</formula>
    </cfRule>
  </conditionalFormatting>
  <conditionalFormatting sqref="H56">
    <cfRule type="cellIs" dxfId="929" priority="6881" stopIfTrue="1" operator="notEqual">
      <formula>"yes"</formula>
    </cfRule>
  </conditionalFormatting>
  <conditionalFormatting sqref="I56">
    <cfRule type="cellIs" dxfId="928" priority="6882" stopIfTrue="1" operator="notEqual">
      <formula>"8 inch Brackish Water RO"</formula>
    </cfRule>
  </conditionalFormatting>
  <conditionalFormatting sqref="J56">
    <cfRule type="expression" dxfId="927" priority="6883" stopIfTrue="1">
      <formula>NOT(ISBLANK($J$56))</formula>
    </cfRule>
  </conditionalFormatting>
  <conditionalFormatting sqref="K56">
    <cfRule type="cellIs" dxfId="926" priority="6884" stopIfTrue="1" operator="notEqual">
      <formula>0.75</formula>
    </cfRule>
  </conditionalFormatting>
  <conditionalFormatting sqref="L56">
    <cfRule type="cellIs" dxfId="925" priority="6885" stopIfTrue="1" operator="notEqual">
      <formula>12</formula>
    </cfRule>
  </conditionalFormatting>
  <conditionalFormatting sqref="M56">
    <cfRule type="cellIs" dxfId="924" priority="6886" stopIfTrue="1" operator="notEqual">
      <formula>"H2SO4"</formula>
    </cfRule>
  </conditionalFormatting>
  <conditionalFormatting sqref="N56">
    <cfRule type="cellIs" dxfId="923" priority="6887" stopIfTrue="1" operator="notEqual">
      <formula>5.9</formula>
    </cfRule>
  </conditionalFormatting>
  <conditionalFormatting sqref="O56">
    <cfRule type="cellIs" dxfId="922" priority="6888" stopIfTrue="1" operator="notEqual">
      <formula>"Premium (sulfate, silica)"</formula>
    </cfRule>
  </conditionalFormatting>
  <conditionalFormatting sqref="P56">
    <cfRule type="expression" dxfId="921" priority="6889" stopIfTrue="1">
      <formula>NOT(ISBLANK($P$56))</formula>
    </cfRule>
  </conditionalFormatting>
  <conditionalFormatting sqref="Q56">
    <cfRule type="cellIs" dxfId="920" priority="6890" stopIfTrue="1" operator="notEqual">
      <formula>"direct discharge / ocean outfall"</formula>
    </cfRule>
  </conditionalFormatting>
  <conditionalFormatting sqref="R56">
    <cfRule type="cellIs" dxfId="919" priority="6891" stopIfTrue="1" operator="notEqual">
      <formula>"no flow equalization"</formula>
    </cfRule>
  </conditionalFormatting>
  <conditionalFormatting sqref="S56">
    <cfRule type="cellIs" dxfId="918" priority="6892" stopIfTrue="1" operator="notEqual">
      <formula>"non-hazardous"</formula>
    </cfRule>
  </conditionalFormatting>
  <conditionalFormatting sqref="T56">
    <cfRule type="cellIs" dxfId="917" priority="6893" stopIfTrue="1" operator="notEqual">
      <formula>"high cost"</formula>
    </cfRule>
  </conditionalFormatting>
  <conditionalFormatting sqref="U56">
    <cfRule type="expression" dxfId="916" priority="6894" stopIfTrue="1">
      <formula>NOT(ISBLANK($U$56))</formula>
    </cfRule>
  </conditionalFormatting>
  <conditionalFormatting sqref="A57">
    <cfRule type="cellIs" dxfId="915" priority="6898" stopIfTrue="1" operator="notEqual">
      <formula>7</formula>
    </cfRule>
  </conditionalFormatting>
  <conditionalFormatting sqref="B57">
    <cfRule type="cellIs" dxfId="914" priority="6899" stopIfTrue="1" operator="notEqual">
      <formula>1</formula>
    </cfRule>
  </conditionalFormatting>
  <conditionalFormatting sqref="C57">
    <cfRule type="cellIs" dxfId="913" priority="6900" stopIfTrue="1" operator="notEqual">
      <formula>0.03</formula>
    </cfRule>
  </conditionalFormatting>
  <conditionalFormatting sqref="D57">
    <cfRule type="cellIs" dxfId="912" priority="6901" stopIfTrue="1" operator="notEqual">
      <formula>"MGD"</formula>
    </cfRule>
  </conditionalFormatting>
  <conditionalFormatting sqref="E57">
    <cfRule type="cellIs" dxfId="911" priority="6902" stopIfTrue="1" operator="notEqual">
      <formula>0.007</formula>
    </cfRule>
  </conditionalFormatting>
  <conditionalFormatting sqref="F57">
    <cfRule type="cellIs" dxfId="910" priority="6903" stopIfTrue="1" operator="notEqual">
      <formula>"MGD"</formula>
    </cfRule>
  </conditionalFormatting>
  <conditionalFormatting sqref="G57">
    <cfRule type="cellIs" dxfId="909" priority="6904" stopIfTrue="1" operator="notEqual">
      <formula>24</formula>
    </cfRule>
  </conditionalFormatting>
  <conditionalFormatting sqref="H57">
    <cfRule type="cellIs" dxfId="908" priority="6905" stopIfTrue="1" operator="notEqual">
      <formula>"no"</formula>
    </cfRule>
  </conditionalFormatting>
  <conditionalFormatting sqref="I57">
    <cfRule type="cellIs" dxfId="907" priority="6906" stopIfTrue="1" operator="notEqual">
      <formula>"4 inch Low Pressure RO"</formula>
    </cfRule>
  </conditionalFormatting>
  <conditionalFormatting sqref="J57">
    <cfRule type="expression" dxfId="906" priority="6907" stopIfTrue="1">
      <formula>NOT(ISBLANK($J$57))</formula>
    </cfRule>
  </conditionalFormatting>
  <conditionalFormatting sqref="K57">
    <cfRule type="cellIs" dxfId="905" priority="6908" stopIfTrue="1" operator="notEqual">
      <formula>0.7</formula>
    </cfRule>
  </conditionalFormatting>
  <conditionalFormatting sqref="L57">
    <cfRule type="cellIs" dxfId="904" priority="6909" stopIfTrue="1" operator="notEqual">
      <formula>12</formula>
    </cfRule>
  </conditionalFormatting>
  <conditionalFormatting sqref="M57">
    <cfRule type="cellIs" dxfId="903" priority="6910" stopIfTrue="1" operator="notEqual">
      <formula>"H2SO4"</formula>
    </cfRule>
  </conditionalFormatting>
  <conditionalFormatting sqref="N57">
    <cfRule type="cellIs" dxfId="902" priority="6911" stopIfTrue="1" operator="notEqual">
      <formula>6.65</formula>
    </cfRule>
  </conditionalFormatting>
  <conditionalFormatting sqref="O57">
    <cfRule type="cellIs" dxfId="901" priority="6912" stopIfTrue="1" operator="notEqual">
      <formula>"Premium (sulfate, silica)"</formula>
    </cfRule>
  </conditionalFormatting>
  <conditionalFormatting sqref="P57">
    <cfRule type="expression" dxfId="900" priority="6913" stopIfTrue="1">
      <formula>NOT(ISBLANK($P$57))</formula>
    </cfRule>
  </conditionalFormatting>
  <conditionalFormatting sqref="Q57">
    <cfRule type="cellIs" dxfId="899" priority="6914" stopIfTrue="1" operator="notEqual">
      <formula>"direct discharge / ocean outfall"</formula>
    </cfRule>
  </conditionalFormatting>
  <conditionalFormatting sqref="R57">
    <cfRule type="cellIs" dxfId="898" priority="6915" stopIfTrue="1" operator="notEqual">
      <formula>"no flow equalization"</formula>
    </cfRule>
  </conditionalFormatting>
  <conditionalFormatting sqref="S57">
    <cfRule type="cellIs" dxfId="897" priority="6916" stopIfTrue="1" operator="notEqual">
      <formula>"non-hazardous"</formula>
    </cfRule>
  </conditionalFormatting>
  <conditionalFormatting sqref="T57">
    <cfRule type="expression" dxfId="896" priority="6917" stopIfTrue="1">
      <formula>NOT(ISBLANK($T$57))</formula>
    </cfRule>
  </conditionalFormatting>
  <conditionalFormatting sqref="U57">
    <cfRule type="cellIs" dxfId="895" priority="6918" stopIfTrue="1" operator="notEqual">
      <formula>"fully automated"</formula>
    </cfRule>
  </conditionalFormatting>
  <conditionalFormatting sqref="A58">
    <cfRule type="cellIs" dxfId="894" priority="6922" stopIfTrue="1" operator="notEqual">
      <formula>7</formula>
    </cfRule>
  </conditionalFormatting>
  <conditionalFormatting sqref="B58">
    <cfRule type="cellIs" dxfId="893" priority="6923" stopIfTrue="1" operator="notEqual">
      <formula>2</formula>
    </cfRule>
  </conditionalFormatting>
  <conditionalFormatting sqref="C58">
    <cfRule type="cellIs" dxfId="892" priority="6924" stopIfTrue="1" operator="notEqual">
      <formula>0.124</formula>
    </cfRule>
  </conditionalFormatting>
  <conditionalFormatting sqref="D58">
    <cfRule type="cellIs" dxfId="891" priority="6925" stopIfTrue="1" operator="notEqual">
      <formula>"MGD"</formula>
    </cfRule>
  </conditionalFormatting>
  <conditionalFormatting sqref="E58">
    <cfRule type="cellIs" dxfId="890" priority="6926" stopIfTrue="1" operator="notEqual">
      <formula>0.035</formula>
    </cfRule>
  </conditionalFormatting>
  <conditionalFormatting sqref="F58">
    <cfRule type="cellIs" dxfId="889" priority="6927" stopIfTrue="1" operator="notEqual">
      <formula>"MGD"</formula>
    </cfRule>
  </conditionalFormatting>
  <conditionalFormatting sqref="G58">
    <cfRule type="cellIs" dxfId="888" priority="6928" stopIfTrue="1" operator="notEqual">
      <formula>24</formula>
    </cfRule>
  </conditionalFormatting>
  <conditionalFormatting sqref="H58">
    <cfRule type="cellIs" dxfId="887" priority="6929" stopIfTrue="1" operator="notEqual">
      <formula>"no"</formula>
    </cfRule>
  </conditionalFormatting>
  <conditionalFormatting sqref="I58">
    <cfRule type="cellIs" dxfId="886" priority="6930" stopIfTrue="1" operator="notEqual">
      <formula>"4 inch Low Pressure RO"</formula>
    </cfRule>
  </conditionalFormatting>
  <conditionalFormatting sqref="J58">
    <cfRule type="expression" dxfId="885" priority="6931" stopIfTrue="1">
      <formula>NOT(ISBLANK($J$58))</formula>
    </cfRule>
  </conditionalFormatting>
  <conditionalFormatting sqref="K58">
    <cfRule type="cellIs" dxfId="884" priority="6932" stopIfTrue="1" operator="notEqual">
      <formula>0.85</formula>
    </cfRule>
  </conditionalFormatting>
  <conditionalFormatting sqref="L58">
    <cfRule type="cellIs" dxfId="883" priority="6933" stopIfTrue="1" operator="notEqual">
      <formula>12</formula>
    </cfRule>
  </conditionalFormatting>
  <conditionalFormatting sqref="M58">
    <cfRule type="cellIs" dxfId="882" priority="6934" stopIfTrue="1" operator="notEqual">
      <formula>"H2SO4"</formula>
    </cfRule>
  </conditionalFormatting>
  <conditionalFormatting sqref="N58">
    <cfRule type="cellIs" dxfId="881" priority="6935" stopIfTrue="1" operator="notEqual">
      <formula>6.65</formula>
    </cfRule>
  </conditionalFormatting>
  <conditionalFormatting sqref="O58">
    <cfRule type="cellIs" dxfId="880" priority="6936" stopIfTrue="1" operator="notEqual">
      <formula>"Premium (sulfate, silica)"</formula>
    </cfRule>
  </conditionalFormatting>
  <conditionalFormatting sqref="P58">
    <cfRule type="expression" dxfId="879" priority="6937" stopIfTrue="1">
      <formula>NOT(ISBLANK($P$58))</formula>
    </cfRule>
  </conditionalFormatting>
  <conditionalFormatting sqref="Q58">
    <cfRule type="cellIs" dxfId="878" priority="6938" stopIfTrue="1" operator="notEqual">
      <formula>"direct discharge / ocean outfall"</formula>
    </cfRule>
  </conditionalFormatting>
  <conditionalFormatting sqref="R58">
    <cfRule type="cellIs" dxfId="877" priority="6939" stopIfTrue="1" operator="notEqual">
      <formula>"no flow equalization"</formula>
    </cfRule>
  </conditionalFormatting>
  <conditionalFormatting sqref="S58">
    <cfRule type="cellIs" dxfId="876" priority="6940" stopIfTrue="1" operator="notEqual">
      <formula>"non-hazardous"</formula>
    </cfRule>
  </conditionalFormatting>
  <conditionalFormatting sqref="T58">
    <cfRule type="expression" dxfId="875" priority="6941" stopIfTrue="1">
      <formula>NOT(ISBLANK($T$58))</formula>
    </cfRule>
  </conditionalFormatting>
  <conditionalFormatting sqref="U58">
    <cfRule type="cellIs" dxfId="874" priority="6942" stopIfTrue="1" operator="notEqual">
      <formula>"fully automated"</formula>
    </cfRule>
  </conditionalFormatting>
  <conditionalFormatting sqref="A59">
    <cfRule type="cellIs" dxfId="873" priority="6946" stopIfTrue="1" operator="notEqual">
      <formula>7</formula>
    </cfRule>
  </conditionalFormatting>
  <conditionalFormatting sqref="B59">
    <cfRule type="cellIs" dxfId="872" priority="6947" stopIfTrue="1" operator="notEqual">
      <formula>3</formula>
    </cfRule>
  </conditionalFormatting>
  <conditionalFormatting sqref="C59">
    <cfRule type="cellIs" dxfId="871" priority="6948" stopIfTrue="1" operator="notEqual">
      <formula>0.305</formula>
    </cfRule>
  </conditionalFormatting>
  <conditionalFormatting sqref="D59">
    <cfRule type="cellIs" dxfId="870" priority="6949" stopIfTrue="1" operator="notEqual">
      <formula>"MGD"</formula>
    </cfRule>
  </conditionalFormatting>
  <conditionalFormatting sqref="E59">
    <cfRule type="cellIs" dxfId="869" priority="6950" stopIfTrue="1" operator="notEqual">
      <formula>0.094</formula>
    </cfRule>
  </conditionalFormatting>
  <conditionalFormatting sqref="F59">
    <cfRule type="cellIs" dxfId="868" priority="6951" stopIfTrue="1" operator="notEqual">
      <formula>"MGD"</formula>
    </cfRule>
  </conditionalFormatting>
  <conditionalFormatting sqref="G59">
    <cfRule type="cellIs" dxfId="867" priority="6952" stopIfTrue="1" operator="notEqual">
      <formula>24</formula>
    </cfRule>
  </conditionalFormatting>
  <conditionalFormatting sqref="H59">
    <cfRule type="cellIs" dxfId="866" priority="6953" stopIfTrue="1" operator="notEqual">
      <formula>"no"</formula>
    </cfRule>
  </conditionalFormatting>
  <conditionalFormatting sqref="I59">
    <cfRule type="cellIs" dxfId="865" priority="6954" stopIfTrue="1" operator="notEqual">
      <formula>"8 inch Low Pressure RO"</formula>
    </cfRule>
  </conditionalFormatting>
  <conditionalFormatting sqref="J59">
    <cfRule type="expression" dxfId="864" priority="6955" stopIfTrue="1">
      <formula>NOT(ISBLANK($J$59))</formula>
    </cfRule>
  </conditionalFormatting>
  <conditionalFormatting sqref="K59">
    <cfRule type="cellIs" dxfId="863" priority="6956" stopIfTrue="1" operator="notEqual">
      <formula>0.85</formula>
    </cfRule>
  </conditionalFormatting>
  <conditionalFormatting sqref="L59">
    <cfRule type="cellIs" dxfId="862" priority="6957" stopIfTrue="1" operator="notEqual">
      <formula>12</formula>
    </cfRule>
  </conditionalFormatting>
  <conditionalFormatting sqref="M59">
    <cfRule type="cellIs" dxfId="861" priority="6958" stopIfTrue="1" operator="notEqual">
      <formula>"H2SO4"</formula>
    </cfRule>
  </conditionalFormatting>
  <conditionalFormatting sqref="N59">
    <cfRule type="cellIs" dxfId="860" priority="6959" stopIfTrue="1" operator="notEqual">
      <formula>6.65</formula>
    </cfRule>
  </conditionalFormatting>
  <conditionalFormatting sqref="O59">
    <cfRule type="cellIs" dxfId="859" priority="6960" stopIfTrue="1" operator="notEqual">
      <formula>"Premium (sulfate, silica)"</formula>
    </cfRule>
  </conditionalFormatting>
  <conditionalFormatting sqref="P59">
    <cfRule type="expression" dxfId="858" priority="6961" stopIfTrue="1">
      <formula>NOT(ISBLANK($P$59))</formula>
    </cfRule>
  </conditionalFormatting>
  <conditionalFormatting sqref="Q59">
    <cfRule type="cellIs" dxfId="857" priority="6962" stopIfTrue="1" operator="notEqual">
      <formula>"direct discharge / ocean outfall"</formula>
    </cfRule>
  </conditionalFormatting>
  <conditionalFormatting sqref="R59">
    <cfRule type="cellIs" dxfId="856" priority="6963" stopIfTrue="1" operator="notEqual">
      <formula>"no flow equalization"</formula>
    </cfRule>
  </conditionalFormatting>
  <conditionalFormatting sqref="S59">
    <cfRule type="cellIs" dxfId="855" priority="6964" stopIfTrue="1" operator="notEqual">
      <formula>"non-hazardous"</formula>
    </cfRule>
  </conditionalFormatting>
  <conditionalFormatting sqref="T59">
    <cfRule type="expression" dxfId="854" priority="6965" stopIfTrue="1">
      <formula>NOT(ISBLANK($T$59))</formula>
    </cfRule>
  </conditionalFormatting>
  <conditionalFormatting sqref="U59">
    <cfRule type="cellIs" dxfId="853" priority="6966" stopIfTrue="1" operator="notEqual">
      <formula>"fully automated"</formula>
    </cfRule>
  </conditionalFormatting>
  <conditionalFormatting sqref="A60">
    <cfRule type="cellIs" dxfId="852" priority="6970" stopIfTrue="1" operator="notEqual">
      <formula>7</formula>
    </cfRule>
  </conditionalFormatting>
  <conditionalFormatting sqref="B60">
    <cfRule type="cellIs" dxfId="851" priority="6971" stopIfTrue="1" operator="notEqual">
      <formula>4</formula>
    </cfRule>
  </conditionalFormatting>
  <conditionalFormatting sqref="C60">
    <cfRule type="cellIs" dxfId="850" priority="6972" stopIfTrue="1" operator="notEqual">
      <formula>0.74</formula>
    </cfRule>
  </conditionalFormatting>
  <conditionalFormatting sqref="D60">
    <cfRule type="cellIs" dxfId="849" priority="6973" stopIfTrue="1" operator="notEqual">
      <formula>"MGD"</formula>
    </cfRule>
  </conditionalFormatting>
  <conditionalFormatting sqref="E60">
    <cfRule type="cellIs" dxfId="848" priority="6974" stopIfTrue="1" operator="notEqual">
      <formula>0.251</formula>
    </cfRule>
  </conditionalFormatting>
  <conditionalFormatting sqref="F60">
    <cfRule type="cellIs" dxfId="847" priority="6975" stopIfTrue="1" operator="notEqual">
      <formula>"MGD"</formula>
    </cfRule>
  </conditionalFormatting>
  <conditionalFormatting sqref="G60">
    <cfRule type="cellIs" dxfId="846" priority="6976" stopIfTrue="1" operator="notEqual">
      <formula>24</formula>
    </cfRule>
  </conditionalFormatting>
  <conditionalFormatting sqref="H60">
    <cfRule type="cellIs" dxfId="845" priority="6977" stopIfTrue="1" operator="notEqual">
      <formula>"no"</formula>
    </cfRule>
  </conditionalFormatting>
  <conditionalFormatting sqref="I60">
    <cfRule type="cellIs" dxfId="844" priority="6978" stopIfTrue="1" operator="notEqual">
      <formula>"8 inch Low Pressure RO"</formula>
    </cfRule>
  </conditionalFormatting>
  <conditionalFormatting sqref="J60">
    <cfRule type="expression" dxfId="843" priority="6979" stopIfTrue="1">
      <formula>NOT(ISBLANK($J$60))</formula>
    </cfRule>
  </conditionalFormatting>
  <conditionalFormatting sqref="K60">
    <cfRule type="cellIs" dxfId="842" priority="6980" stopIfTrue="1" operator="notEqual">
      <formula>0.85</formula>
    </cfRule>
  </conditionalFormatting>
  <conditionalFormatting sqref="L60">
    <cfRule type="cellIs" dxfId="841" priority="6981" stopIfTrue="1" operator="notEqual">
      <formula>12</formula>
    </cfRule>
  </conditionalFormatting>
  <conditionalFormatting sqref="M60">
    <cfRule type="cellIs" dxfId="840" priority="6982" stopIfTrue="1" operator="notEqual">
      <formula>"H2SO4"</formula>
    </cfRule>
  </conditionalFormatting>
  <conditionalFormatting sqref="N60">
    <cfRule type="cellIs" dxfId="839" priority="6983" stopIfTrue="1" operator="notEqual">
      <formula>6.65</formula>
    </cfRule>
  </conditionalFormatting>
  <conditionalFormatting sqref="O60">
    <cfRule type="cellIs" dxfId="838" priority="6984" stopIfTrue="1" operator="notEqual">
      <formula>"Premium (sulfate, silica)"</formula>
    </cfRule>
  </conditionalFormatting>
  <conditionalFormatting sqref="P60">
    <cfRule type="expression" dxfId="837" priority="6985" stopIfTrue="1">
      <formula>NOT(ISBLANK($P$60))</formula>
    </cfRule>
  </conditionalFormatting>
  <conditionalFormatting sqref="Q60">
    <cfRule type="cellIs" dxfId="836" priority="6986" stopIfTrue="1" operator="notEqual">
      <formula>"direct discharge / ocean outfall"</formula>
    </cfRule>
  </conditionalFormatting>
  <conditionalFormatting sqref="R60">
    <cfRule type="cellIs" dxfId="835" priority="6987" stopIfTrue="1" operator="notEqual">
      <formula>"no flow equalization"</formula>
    </cfRule>
  </conditionalFormatting>
  <conditionalFormatting sqref="S60">
    <cfRule type="cellIs" dxfId="834" priority="6988" stopIfTrue="1" operator="notEqual">
      <formula>"non-hazardous"</formula>
    </cfRule>
  </conditionalFormatting>
  <conditionalFormatting sqref="T60">
    <cfRule type="expression" dxfId="833" priority="6989" stopIfTrue="1">
      <formula>NOT(ISBLANK($T$60))</formula>
    </cfRule>
  </conditionalFormatting>
  <conditionalFormatting sqref="U60">
    <cfRule type="cellIs" dxfId="832" priority="6990" stopIfTrue="1" operator="notEqual">
      <formula>"fully automated"</formula>
    </cfRule>
  </conditionalFormatting>
  <conditionalFormatting sqref="A61">
    <cfRule type="cellIs" dxfId="831" priority="6994" stopIfTrue="1" operator="notEqual">
      <formula>7</formula>
    </cfRule>
  </conditionalFormatting>
  <conditionalFormatting sqref="B61">
    <cfRule type="cellIs" dxfId="830" priority="6995" stopIfTrue="1" operator="notEqual">
      <formula>5</formula>
    </cfRule>
  </conditionalFormatting>
  <conditionalFormatting sqref="C61">
    <cfRule type="cellIs" dxfId="829" priority="6996" stopIfTrue="1" operator="notEqual">
      <formula>2.152</formula>
    </cfRule>
  </conditionalFormatting>
  <conditionalFormatting sqref="D61">
    <cfRule type="cellIs" dxfId="828" priority="6997" stopIfTrue="1" operator="notEqual">
      <formula>"MGD"</formula>
    </cfRule>
  </conditionalFormatting>
  <conditionalFormatting sqref="E61">
    <cfRule type="cellIs" dxfId="827" priority="6998" stopIfTrue="1" operator="notEqual">
      <formula>0.819</formula>
    </cfRule>
  </conditionalFormatting>
  <conditionalFormatting sqref="F61">
    <cfRule type="cellIs" dxfId="826" priority="6999" stopIfTrue="1" operator="notEqual">
      <formula>"MGD"</formula>
    </cfRule>
  </conditionalFormatting>
  <conditionalFormatting sqref="G61">
    <cfRule type="cellIs" dxfId="825" priority="7000" stopIfTrue="1" operator="notEqual">
      <formula>24</formula>
    </cfRule>
  </conditionalFormatting>
  <conditionalFormatting sqref="H61">
    <cfRule type="cellIs" dxfId="824" priority="7001" stopIfTrue="1" operator="notEqual">
      <formula>"yes"</formula>
    </cfRule>
  </conditionalFormatting>
  <conditionalFormatting sqref="I61">
    <cfRule type="cellIs" dxfId="823" priority="7002" stopIfTrue="1" operator="notEqual">
      <formula>"8 inch Low Pressure RO"</formula>
    </cfRule>
  </conditionalFormatting>
  <conditionalFormatting sqref="J61">
    <cfRule type="expression" dxfId="822" priority="7003" stopIfTrue="1">
      <formula>NOT(ISBLANK($J$61))</formula>
    </cfRule>
  </conditionalFormatting>
  <conditionalFormatting sqref="K61">
    <cfRule type="cellIs" dxfId="821" priority="7004" stopIfTrue="1" operator="notEqual">
      <formula>0.85</formula>
    </cfRule>
  </conditionalFormatting>
  <conditionalFormatting sqref="L61">
    <cfRule type="cellIs" dxfId="820" priority="7005" stopIfTrue="1" operator="notEqual">
      <formula>12</formula>
    </cfRule>
  </conditionalFormatting>
  <conditionalFormatting sqref="M61">
    <cfRule type="cellIs" dxfId="819" priority="7006" stopIfTrue="1" operator="notEqual">
      <formula>"H2SO4"</formula>
    </cfRule>
  </conditionalFormatting>
  <conditionalFormatting sqref="N61">
    <cfRule type="cellIs" dxfId="818" priority="7007" stopIfTrue="1" operator="notEqual">
      <formula>6.65</formula>
    </cfRule>
  </conditionalFormatting>
  <conditionalFormatting sqref="O61">
    <cfRule type="cellIs" dxfId="817" priority="7008" stopIfTrue="1" operator="notEqual">
      <formula>"Premium (sulfate, silica)"</formula>
    </cfRule>
  </conditionalFormatting>
  <conditionalFormatting sqref="P61">
    <cfRule type="expression" dxfId="816" priority="7009" stopIfTrue="1">
      <formula>NOT(ISBLANK($P$61))</formula>
    </cfRule>
  </conditionalFormatting>
  <conditionalFormatting sqref="Q61">
    <cfRule type="cellIs" dxfId="815" priority="7010" stopIfTrue="1" operator="notEqual">
      <formula>"direct discharge / ocean outfall"</formula>
    </cfRule>
  </conditionalFormatting>
  <conditionalFormatting sqref="R61">
    <cfRule type="cellIs" dxfId="814" priority="7011" stopIfTrue="1" operator="notEqual">
      <formula>"no flow equalization"</formula>
    </cfRule>
  </conditionalFormatting>
  <conditionalFormatting sqref="S61">
    <cfRule type="cellIs" dxfId="813" priority="7012" stopIfTrue="1" operator="notEqual">
      <formula>"non-hazardous"</formula>
    </cfRule>
  </conditionalFormatting>
  <conditionalFormatting sqref="T61">
    <cfRule type="expression" dxfId="812" priority="7013" stopIfTrue="1">
      <formula>NOT(ISBLANK($T$61))</formula>
    </cfRule>
  </conditionalFormatting>
  <conditionalFormatting sqref="U61">
    <cfRule type="cellIs" dxfId="811" priority="7014" stopIfTrue="1" operator="notEqual">
      <formula>"fully automated"</formula>
    </cfRule>
  </conditionalFormatting>
  <conditionalFormatting sqref="A62">
    <cfRule type="cellIs" dxfId="810" priority="7018" stopIfTrue="1" operator="notEqual">
      <formula>7</formula>
    </cfRule>
  </conditionalFormatting>
  <conditionalFormatting sqref="B62">
    <cfRule type="cellIs" dxfId="809" priority="7019" stopIfTrue="1" operator="notEqual">
      <formula>6</formula>
    </cfRule>
  </conditionalFormatting>
  <conditionalFormatting sqref="C62">
    <cfRule type="cellIs" dxfId="808" priority="7020" stopIfTrue="1" operator="notEqual">
      <formula>7.365</formula>
    </cfRule>
  </conditionalFormatting>
  <conditionalFormatting sqref="D62">
    <cfRule type="cellIs" dxfId="807" priority="7021" stopIfTrue="1" operator="notEqual">
      <formula>"MGD"</formula>
    </cfRule>
  </conditionalFormatting>
  <conditionalFormatting sqref="E62">
    <cfRule type="cellIs" dxfId="806" priority="7022" stopIfTrue="1" operator="notEqual">
      <formula>3.2</formula>
    </cfRule>
  </conditionalFormatting>
  <conditionalFormatting sqref="F62">
    <cfRule type="cellIs" dxfId="805" priority="7023" stopIfTrue="1" operator="notEqual">
      <formula>"MGD"</formula>
    </cfRule>
  </conditionalFormatting>
  <conditionalFormatting sqref="G62">
    <cfRule type="cellIs" dxfId="804" priority="7024" stopIfTrue="1" operator="notEqual">
      <formula>24</formula>
    </cfRule>
  </conditionalFormatting>
  <conditionalFormatting sqref="H62">
    <cfRule type="cellIs" dxfId="803" priority="7025" stopIfTrue="1" operator="notEqual">
      <formula>"yes"</formula>
    </cfRule>
  </conditionalFormatting>
  <conditionalFormatting sqref="I62">
    <cfRule type="cellIs" dxfId="802" priority="7026" stopIfTrue="1" operator="notEqual">
      <formula>"8 inch Low Pressure RO"</formula>
    </cfRule>
  </conditionalFormatting>
  <conditionalFormatting sqref="J62">
    <cfRule type="expression" dxfId="801" priority="7027" stopIfTrue="1">
      <formula>NOT(ISBLANK($J$62))</formula>
    </cfRule>
  </conditionalFormatting>
  <conditionalFormatting sqref="K62">
    <cfRule type="cellIs" dxfId="800" priority="7028" stopIfTrue="1" operator="notEqual">
      <formula>0.85</formula>
    </cfRule>
  </conditionalFormatting>
  <conditionalFormatting sqref="L62">
    <cfRule type="cellIs" dxfId="799" priority="7029" stopIfTrue="1" operator="notEqual">
      <formula>12</formula>
    </cfRule>
  </conditionalFormatting>
  <conditionalFormatting sqref="M62">
    <cfRule type="cellIs" dxfId="798" priority="7030" stopIfTrue="1" operator="notEqual">
      <formula>"H2SO4"</formula>
    </cfRule>
  </conditionalFormatting>
  <conditionalFormatting sqref="N62">
    <cfRule type="cellIs" dxfId="797" priority="7031" stopIfTrue="1" operator="notEqual">
      <formula>6.65</formula>
    </cfRule>
  </conditionalFormatting>
  <conditionalFormatting sqref="O62">
    <cfRule type="cellIs" dxfId="796" priority="7032" stopIfTrue="1" operator="notEqual">
      <formula>"Premium (sulfate, silica)"</formula>
    </cfRule>
  </conditionalFormatting>
  <conditionalFormatting sqref="P62">
    <cfRule type="expression" dxfId="795" priority="7033" stopIfTrue="1">
      <formula>NOT(ISBLANK($P$62))</formula>
    </cfRule>
  </conditionalFormatting>
  <conditionalFormatting sqref="Q62">
    <cfRule type="cellIs" dxfId="794" priority="7034" stopIfTrue="1" operator="notEqual">
      <formula>"direct discharge / ocean outfall"</formula>
    </cfRule>
  </conditionalFormatting>
  <conditionalFormatting sqref="R62">
    <cfRule type="cellIs" dxfId="793" priority="7035" stopIfTrue="1" operator="notEqual">
      <formula>"no flow equalization"</formula>
    </cfRule>
  </conditionalFormatting>
  <conditionalFormatting sqref="S62">
    <cfRule type="cellIs" dxfId="792" priority="7036" stopIfTrue="1" operator="notEqual">
      <formula>"non-hazardous"</formula>
    </cfRule>
  </conditionalFormatting>
  <conditionalFormatting sqref="T62">
    <cfRule type="expression" dxfId="791" priority="7037" stopIfTrue="1">
      <formula>NOT(ISBLANK($T$62))</formula>
    </cfRule>
  </conditionalFormatting>
  <conditionalFormatting sqref="U62">
    <cfRule type="cellIs" dxfId="790" priority="7038" stopIfTrue="1" operator="notEqual">
      <formula>"fully automated"</formula>
    </cfRule>
  </conditionalFormatting>
  <conditionalFormatting sqref="A63">
    <cfRule type="cellIs" dxfId="789" priority="7042" stopIfTrue="1" operator="notEqual">
      <formula>7</formula>
    </cfRule>
  </conditionalFormatting>
  <conditionalFormatting sqref="B63">
    <cfRule type="cellIs" dxfId="788" priority="7043" stopIfTrue="1" operator="notEqual">
      <formula>7</formula>
    </cfRule>
  </conditionalFormatting>
  <conditionalFormatting sqref="C63">
    <cfRule type="cellIs" dxfId="787" priority="7044" stopIfTrue="1" operator="notEqual">
      <formula>22.614</formula>
    </cfRule>
  </conditionalFormatting>
  <conditionalFormatting sqref="D63">
    <cfRule type="cellIs" dxfId="786" priority="7045" stopIfTrue="1" operator="notEqual">
      <formula>"MGD"</formula>
    </cfRule>
  </conditionalFormatting>
  <conditionalFormatting sqref="E63">
    <cfRule type="cellIs" dxfId="785" priority="7046" stopIfTrue="1" operator="notEqual">
      <formula>11.066</formula>
    </cfRule>
  </conditionalFormatting>
  <conditionalFormatting sqref="F63">
    <cfRule type="cellIs" dxfId="784" priority="7047" stopIfTrue="1" operator="notEqual">
      <formula>"MGD"</formula>
    </cfRule>
  </conditionalFormatting>
  <conditionalFormatting sqref="G63">
    <cfRule type="cellIs" dxfId="783" priority="7048" stopIfTrue="1" operator="notEqual">
      <formula>24</formula>
    </cfRule>
  </conditionalFormatting>
  <conditionalFormatting sqref="H63">
    <cfRule type="cellIs" dxfId="782" priority="7049" stopIfTrue="1" operator="notEqual">
      <formula>"yes"</formula>
    </cfRule>
  </conditionalFormatting>
  <conditionalFormatting sqref="I63">
    <cfRule type="cellIs" dxfId="781" priority="7050" stopIfTrue="1" operator="notEqual">
      <formula>"8 inch Low Pressure RO"</formula>
    </cfRule>
  </conditionalFormatting>
  <conditionalFormatting sqref="J63">
    <cfRule type="expression" dxfId="780" priority="7051" stopIfTrue="1">
      <formula>NOT(ISBLANK($J$63))</formula>
    </cfRule>
  </conditionalFormatting>
  <conditionalFormatting sqref="K63">
    <cfRule type="cellIs" dxfId="779" priority="7052" stopIfTrue="1" operator="notEqual">
      <formula>0.85</formula>
    </cfRule>
  </conditionalFormatting>
  <conditionalFormatting sqref="L63">
    <cfRule type="cellIs" dxfId="778" priority="7053" stopIfTrue="1" operator="notEqual">
      <formula>12</formula>
    </cfRule>
  </conditionalFormatting>
  <conditionalFormatting sqref="M63">
    <cfRule type="cellIs" dxfId="777" priority="7054" stopIfTrue="1" operator="notEqual">
      <formula>"H2SO4"</formula>
    </cfRule>
  </conditionalFormatting>
  <conditionalFormatting sqref="N63">
    <cfRule type="cellIs" dxfId="776" priority="7055" stopIfTrue="1" operator="notEqual">
      <formula>6.65</formula>
    </cfRule>
  </conditionalFormatting>
  <conditionalFormatting sqref="O63">
    <cfRule type="cellIs" dxfId="775" priority="7056" stopIfTrue="1" operator="notEqual">
      <formula>"Premium (sulfate, silica)"</formula>
    </cfRule>
  </conditionalFormatting>
  <conditionalFormatting sqref="P63">
    <cfRule type="expression" dxfId="774" priority="7057" stopIfTrue="1">
      <formula>NOT(ISBLANK($P$63))</formula>
    </cfRule>
  </conditionalFormatting>
  <conditionalFormatting sqref="Q63">
    <cfRule type="cellIs" dxfId="773" priority="7058" stopIfTrue="1" operator="notEqual">
      <formula>"direct discharge / ocean outfall"</formula>
    </cfRule>
  </conditionalFormatting>
  <conditionalFormatting sqref="R63">
    <cfRule type="cellIs" dxfId="772" priority="7059" stopIfTrue="1" operator="notEqual">
      <formula>"no flow equalization"</formula>
    </cfRule>
  </conditionalFormatting>
  <conditionalFormatting sqref="S63">
    <cfRule type="cellIs" dxfId="771" priority="7060" stopIfTrue="1" operator="notEqual">
      <formula>"non-hazardous"</formula>
    </cfRule>
  </conditionalFormatting>
  <conditionalFormatting sqref="T63">
    <cfRule type="expression" dxfId="770" priority="7061" stopIfTrue="1">
      <formula>NOT(ISBLANK($T$63))</formula>
    </cfRule>
  </conditionalFormatting>
  <conditionalFormatting sqref="U63">
    <cfRule type="cellIs" dxfId="769" priority="7062" stopIfTrue="1" operator="notEqual">
      <formula>"fully automated"</formula>
    </cfRule>
  </conditionalFormatting>
  <conditionalFormatting sqref="A64">
    <cfRule type="cellIs" dxfId="768" priority="7066" stopIfTrue="1" operator="notEqual">
      <formula>7</formula>
    </cfRule>
  </conditionalFormatting>
  <conditionalFormatting sqref="B64">
    <cfRule type="cellIs" dxfId="767" priority="7067" stopIfTrue="1" operator="notEqual">
      <formula>8</formula>
    </cfRule>
  </conditionalFormatting>
  <conditionalFormatting sqref="C64">
    <cfRule type="cellIs" dxfId="766" priority="7068" stopIfTrue="1" operator="notEqual">
      <formula>75.072</formula>
    </cfRule>
  </conditionalFormatting>
  <conditionalFormatting sqref="D64">
    <cfRule type="cellIs" dxfId="765" priority="7069" stopIfTrue="1" operator="notEqual">
      <formula>"MGD"</formula>
    </cfRule>
  </conditionalFormatting>
  <conditionalFormatting sqref="E64">
    <cfRule type="cellIs" dxfId="764" priority="7070" stopIfTrue="1" operator="notEqual">
      <formula>37.536</formula>
    </cfRule>
  </conditionalFormatting>
  <conditionalFormatting sqref="F64">
    <cfRule type="cellIs" dxfId="763" priority="7071" stopIfTrue="1" operator="notEqual">
      <formula>"MGD"</formula>
    </cfRule>
  </conditionalFormatting>
  <conditionalFormatting sqref="G64">
    <cfRule type="cellIs" dxfId="762" priority="7072" stopIfTrue="1" operator="notEqual">
      <formula>24</formula>
    </cfRule>
  </conditionalFormatting>
  <conditionalFormatting sqref="H64">
    <cfRule type="cellIs" dxfId="761" priority="7073" stopIfTrue="1" operator="notEqual">
      <formula>"yes"</formula>
    </cfRule>
  </conditionalFormatting>
  <conditionalFormatting sqref="I64">
    <cfRule type="cellIs" dxfId="760" priority="7074" stopIfTrue="1" operator="notEqual">
      <formula>"8 inch Low Pressure RO"</formula>
    </cfRule>
  </conditionalFormatting>
  <conditionalFormatting sqref="J64">
    <cfRule type="expression" dxfId="759" priority="7075" stopIfTrue="1">
      <formula>NOT(ISBLANK($J$64))</formula>
    </cfRule>
  </conditionalFormatting>
  <conditionalFormatting sqref="K64">
    <cfRule type="cellIs" dxfId="758" priority="7076" stopIfTrue="1" operator="notEqual">
      <formula>0.85</formula>
    </cfRule>
  </conditionalFormatting>
  <conditionalFormatting sqref="L64">
    <cfRule type="cellIs" dxfId="757" priority="7077" stopIfTrue="1" operator="notEqual">
      <formula>12</formula>
    </cfRule>
  </conditionalFormatting>
  <conditionalFormatting sqref="M64">
    <cfRule type="cellIs" dxfId="756" priority="7078" stopIfTrue="1" operator="notEqual">
      <formula>"H2SO4"</formula>
    </cfRule>
  </conditionalFormatting>
  <conditionalFormatting sqref="N64">
    <cfRule type="cellIs" dxfId="755" priority="7079" stopIfTrue="1" operator="notEqual">
      <formula>6.65</formula>
    </cfRule>
  </conditionalFormatting>
  <conditionalFormatting sqref="O64">
    <cfRule type="cellIs" dxfId="754" priority="7080" stopIfTrue="1" operator="notEqual">
      <formula>"Premium (sulfate, silica)"</formula>
    </cfRule>
  </conditionalFormatting>
  <conditionalFormatting sqref="P64">
    <cfRule type="expression" dxfId="753" priority="7081" stopIfTrue="1">
      <formula>NOT(ISBLANK($P$64))</formula>
    </cfRule>
  </conditionalFormatting>
  <conditionalFormatting sqref="Q64">
    <cfRule type="cellIs" dxfId="752" priority="7082" stopIfTrue="1" operator="notEqual">
      <formula>"direct discharge / ocean outfall"</formula>
    </cfRule>
  </conditionalFormatting>
  <conditionalFormatting sqref="R64">
    <cfRule type="cellIs" dxfId="751" priority="7083" stopIfTrue="1" operator="notEqual">
      <formula>"no flow equalization"</formula>
    </cfRule>
  </conditionalFormatting>
  <conditionalFormatting sqref="S64">
    <cfRule type="cellIs" dxfId="750" priority="7084" stopIfTrue="1" operator="notEqual">
      <formula>"non-hazardous"</formula>
    </cfRule>
  </conditionalFormatting>
  <conditionalFormatting sqref="T64">
    <cfRule type="expression" dxfId="749" priority="7085" stopIfTrue="1">
      <formula>NOT(ISBLANK($T$64))</formula>
    </cfRule>
  </conditionalFormatting>
  <conditionalFormatting sqref="U64">
    <cfRule type="cellIs" dxfId="748" priority="7086" stopIfTrue="1" operator="notEqual">
      <formula>"fully automated"</formula>
    </cfRule>
  </conditionalFormatting>
  <conditionalFormatting sqref="A65">
    <cfRule type="cellIs" dxfId="747" priority="7090" stopIfTrue="1" operator="notEqual">
      <formula>8</formula>
    </cfRule>
  </conditionalFormatting>
  <conditionalFormatting sqref="B65">
    <cfRule type="cellIs" dxfId="746" priority="7091" stopIfTrue="1" operator="notEqual">
      <formula>1</formula>
    </cfRule>
  </conditionalFormatting>
  <conditionalFormatting sqref="C65">
    <cfRule type="cellIs" dxfId="745" priority="7092" stopIfTrue="1" operator="notEqual">
      <formula>0.03</formula>
    </cfRule>
  </conditionalFormatting>
  <conditionalFormatting sqref="D65">
    <cfRule type="cellIs" dxfId="744" priority="7093" stopIfTrue="1" operator="notEqual">
      <formula>"MGD"</formula>
    </cfRule>
  </conditionalFormatting>
  <conditionalFormatting sqref="E65">
    <cfRule type="cellIs" dxfId="743" priority="7094" stopIfTrue="1" operator="notEqual">
      <formula>0.007</formula>
    </cfRule>
  </conditionalFormatting>
  <conditionalFormatting sqref="F65">
    <cfRule type="cellIs" dxfId="742" priority="7095" stopIfTrue="1" operator="notEqual">
      <formula>"MGD"</formula>
    </cfRule>
  </conditionalFormatting>
  <conditionalFormatting sqref="G65">
    <cfRule type="expression" dxfId="741" priority="7096" stopIfTrue="1">
      <formula>NOT(ISBLANK($G$65))</formula>
    </cfRule>
  </conditionalFormatting>
  <conditionalFormatting sqref="H65">
    <cfRule type="expression" dxfId="740" priority="7097" stopIfTrue="1">
      <formula>NOT(ISBLANK($H$65))</formula>
    </cfRule>
  </conditionalFormatting>
  <conditionalFormatting sqref="I65">
    <cfRule type="expression" dxfId="739" priority="7098" stopIfTrue="1">
      <formula>NOT(ISBLANK($I$65))</formula>
    </cfRule>
  </conditionalFormatting>
  <conditionalFormatting sqref="J65">
    <cfRule type="expression" dxfId="738" priority="7099" stopIfTrue="1">
      <formula>NOT(ISBLANK($J$65))</formula>
    </cfRule>
  </conditionalFormatting>
  <conditionalFormatting sqref="K65">
    <cfRule type="expression" dxfId="737" priority="7100" stopIfTrue="1">
      <formula>NOT(ISBLANK($K$65))</formula>
    </cfRule>
  </conditionalFormatting>
  <conditionalFormatting sqref="L65">
    <cfRule type="expression" dxfId="736" priority="7101" stopIfTrue="1">
      <formula>NOT(ISBLANK($L$65))</formula>
    </cfRule>
  </conditionalFormatting>
  <conditionalFormatting sqref="M65">
    <cfRule type="expression" dxfId="735" priority="7102" stopIfTrue="1">
      <formula>NOT(ISBLANK($M$65))</formula>
    </cfRule>
  </conditionalFormatting>
  <conditionalFormatting sqref="N65">
    <cfRule type="expression" dxfId="734" priority="7103" stopIfTrue="1">
      <formula>NOT(ISBLANK($N$65))</formula>
    </cfRule>
  </conditionalFormatting>
  <conditionalFormatting sqref="O65">
    <cfRule type="expression" dxfId="733" priority="7104" stopIfTrue="1">
      <formula>NOT(ISBLANK($O$65))</formula>
    </cfRule>
  </conditionalFormatting>
  <conditionalFormatting sqref="P65">
    <cfRule type="expression" dxfId="732" priority="7105" stopIfTrue="1">
      <formula>NOT(ISBLANK($P$65))</formula>
    </cfRule>
  </conditionalFormatting>
  <conditionalFormatting sqref="Q65">
    <cfRule type="expression" dxfId="731" priority="7106" stopIfTrue="1">
      <formula>NOT(ISBLANK($Q$65))</formula>
    </cfRule>
  </conditionalFormatting>
  <conditionalFormatting sqref="R65">
    <cfRule type="expression" dxfId="730" priority="7107" stopIfTrue="1">
      <formula>NOT(ISBLANK($R$65))</formula>
    </cfRule>
  </conditionalFormatting>
  <conditionalFormatting sqref="S65">
    <cfRule type="expression" dxfId="729" priority="7108" stopIfTrue="1">
      <formula>NOT(ISBLANK($S$65))</formula>
    </cfRule>
  </conditionalFormatting>
  <conditionalFormatting sqref="T65">
    <cfRule type="expression" dxfId="728" priority="7109" stopIfTrue="1">
      <formula>NOT(ISBLANK($T$65))</formula>
    </cfRule>
  </conditionalFormatting>
  <conditionalFormatting sqref="U65">
    <cfRule type="expression" dxfId="727" priority="7110" stopIfTrue="1">
      <formula>NOT(ISBLANK($U$65))</formula>
    </cfRule>
  </conditionalFormatting>
  <conditionalFormatting sqref="A66">
    <cfRule type="cellIs" dxfId="726" priority="7114" stopIfTrue="1" operator="notEqual">
      <formula>8</formula>
    </cfRule>
  </conditionalFormatting>
  <conditionalFormatting sqref="B66">
    <cfRule type="cellIs" dxfId="725" priority="7115" stopIfTrue="1" operator="notEqual">
      <formula>2</formula>
    </cfRule>
  </conditionalFormatting>
  <conditionalFormatting sqref="C66">
    <cfRule type="cellIs" dxfId="724" priority="7116" stopIfTrue="1" operator="notEqual">
      <formula>0.124</formula>
    </cfRule>
  </conditionalFormatting>
  <conditionalFormatting sqref="D66">
    <cfRule type="cellIs" dxfId="723" priority="7117" stopIfTrue="1" operator="notEqual">
      <formula>"MGD"</formula>
    </cfRule>
  </conditionalFormatting>
  <conditionalFormatting sqref="E66">
    <cfRule type="cellIs" dxfId="722" priority="7118" stopIfTrue="1" operator="notEqual">
      <formula>0.035</formula>
    </cfRule>
  </conditionalFormatting>
  <conditionalFormatting sqref="F66">
    <cfRule type="cellIs" dxfId="721" priority="7119" stopIfTrue="1" operator="notEqual">
      <formula>"MGD"</formula>
    </cfRule>
  </conditionalFormatting>
  <conditionalFormatting sqref="G66">
    <cfRule type="expression" dxfId="720" priority="7120" stopIfTrue="1">
      <formula>NOT(ISBLANK($G$66))</formula>
    </cfRule>
  </conditionalFormatting>
  <conditionalFormatting sqref="H66">
    <cfRule type="expression" dxfId="719" priority="7121" stopIfTrue="1">
      <formula>NOT(ISBLANK($H$66))</formula>
    </cfRule>
  </conditionalFormatting>
  <conditionalFormatting sqref="I66">
    <cfRule type="expression" dxfId="718" priority="7122" stopIfTrue="1">
      <formula>NOT(ISBLANK($I$66))</formula>
    </cfRule>
  </conditionalFormatting>
  <conditionalFormatting sqref="J66">
    <cfRule type="expression" dxfId="717" priority="7123" stopIfTrue="1">
      <formula>NOT(ISBLANK($J$66))</formula>
    </cfRule>
  </conditionalFormatting>
  <conditionalFormatting sqref="K66">
    <cfRule type="expression" dxfId="716" priority="7124" stopIfTrue="1">
      <formula>NOT(ISBLANK($K$66))</formula>
    </cfRule>
  </conditionalFormatting>
  <conditionalFormatting sqref="L66">
    <cfRule type="expression" dxfId="715" priority="7125" stopIfTrue="1">
      <formula>NOT(ISBLANK($L$66))</formula>
    </cfRule>
  </conditionalFormatting>
  <conditionalFormatting sqref="M66">
    <cfRule type="expression" dxfId="714" priority="7126" stopIfTrue="1">
      <formula>NOT(ISBLANK($M$66))</formula>
    </cfRule>
  </conditionalFormatting>
  <conditionalFormatting sqref="N66">
    <cfRule type="expression" dxfId="713" priority="7127" stopIfTrue="1">
      <formula>NOT(ISBLANK($N$66))</formula>
    </cfRule>
  </conditionalFormatting>
  <conditionalFormatting sqref="O66">
    <cfRule type="expression" dxfId="712" priority="7128" stopIfTrue="1">
      <formula>NOT(ISBLANK($O$66))</formula>
    </cfRule>
  </conditionalFormatting>
  <conditionalFormatting sqref="P66">
    <cfRule type="expression" dxfId="711" priority="7129" stopIfTrue="1">
      <formula>NOT(ISBLANK($P$66))</formula>
    </cfRule>
  </conditionalFormatting>
  <conditionalFormatting sqref="Q66">
    <cfRule type="expression" dxfId="710" priority="7130" stopIfTrue="1">
      <formula>NOT(ISBLANK($Q$66))</formula>
    </cfRule>
  </conditionalFormatting>
  <conditionalFormatting sqref="R66">
    <cfRule type="expression" dxfId="709" priority="7131" stopIfTrue="1">
      <formula>NOT(ISBLANK($R$66))</formula>
    </cfRule>
  </conditionalFormatting>
  <conditionalFormatting sqref="S66">
    <cfRule type="expression" dxfId="708" priority="7132" stopIfTrue="1">
      <formula>NOT(ISBLANK($S$66))</formula>
    </cfRule>
  </conditionalFormatting>
  <conditionalFormatting sqref="T66">
    <cfRule type="expression" dxfId="707" priority="7133" stopIfTrue="1">
      <formula>NOT(ISBLANK($T$66))</formula>
    </cfRule>
  </conditionalFormatting>
  <conditionalFormatting sqref="U66">
    <cfRule type="expression" dxfId="706" priority="7134" stopIfTrue="1">
      <formula>NOT(ISBLANK($U$66))</formula>
    </cfRule>
  </conditionalFormatting>
  <conditionalFormatting sqref="A67">
    <cfRule type="cellIs" dxfId="705" priority="7138" stopIfTrue="1" operator="notEqual">
      <formula>8</formula>
    </cfRule>
  </conditionalFormatting>
  <conditionalFormatting sqref="B67">
    <cfRule type="cellIs" dxfId="704" priority="7139" stopIfTrue="1" operator="notEqual">
      <formula>3</formula>
    </cfRule>
  </conditionalFormatting>
  <conditionalFormatting sqref="C67">
    <cfRule type="cellIs" dxfId="703" priority="7140" stopIfTrue="1" operator="notEqual">
      <formula>0.305</formula>
    </cfRule>
  </conditionalFormatting>
  <conditionalFormatting sqref="D67">
    <cfRule type="cellIs" dxfId="702" priority="7141" stopIfTrue="1" operator="notEqual">
      <formula>"MGD"</formula>
    </cfRule>
  </conditionalFormatting>
  <conditionalFormatting sqref="E67">
    <cfRule type="cellIs" dxfId="701" priority="7142" stopIfTrue="1" operator="notEqual">
      <formula>0.094</formula>
    </cfRule>
  </conditionalFormatting>
  <conditionalFormatting sqref="F67">
    <cfRule type="cellIs" dxfId="700" priority="7143" stopIfTrue="1" operator="notEqual">
      <formula>"MGD"</formula>
    </cfRule>
  </conditionalFormatting>
  <conditionalFormatting sqref="G67">
    <cfRule type="expression" dxfId="699" priority="7144" stopIfTrue="1">
      <formula>NOT(ISBLANK($G$67))</formula>
    </cfRule>
  </conditionalFormatting>
  <conditionalFormatting sqref="H67">
    <cfRule type="expression" dxfId="698" priority="7145" stopIfTrue="1">
      <formula>NOT(ISBLANK($H$67))</formula>
    </cfRule>
  </conditionalFormatting>
  <conditionalFormatting sqref="I67">
    <cfRule type="expression" dxfId="697" priority="7146" stopIfTrue="1">
      <formula>NOT(ISBLANK($I$67))</formula>
    </cfRule>
  </conditionalFormatting>
  <conditionalFormatting sqref="J67">
    <cfRule type="expression" dxfId="696" priority="7147" stopIfTrue="1">
      <formula>NOT(ISBLANK($J$67))</formula>
    </cfRule>
  </conditionalFormatting>
  <conditionalFormatting sqref="K67">
    <cfRule type="expression" dxfId="695" priority="7148" stopIfTrue="1">
      <formula>NOT(ISBLANK($K$67))</formula>
    </cfRule>
  </conditionalFormatting>
  <conditionalFormatting sqref="L67">
    <cfRule type="expression" dxfId="694" priority="7149" stopIfTrue="1">
      <formula>NOT(ISBLANK($L$67))</formula>
    </cfRule>
  </conditionalFormatting>
  <conditionalFormatting sqref="M67">
    <cfRule type="expression" dxfId="693" priority="7150" stopIfTrue="1">
      <formula>NOT(ISBLANK($M$67))</formula>
    </cfRule>
  </conditionalFormatting>
  <conditionalFormatting sqref="N67">
    <cfRule type="expression" dxfId="692" priority="7151" stopIfTrue="1">
      <formula>NOT(ISBLANK($N$67))</formula>
    </cfRule>
  </conditionalFormatting>
  <conditionalFormatting sqref="O67">
    <cfRule type="expression" dxfId="691" priority="7152" stopIfTrue="1">
      <formula>NOT(ISBLANK($O$67))</formula>
    </cfRule>
  </conditionalFormatting>
  <conditionalFormatting sqref="P67">
    <cfRule type="expression" dxfId="690" priority="7153" stopIfTrue="1">
      <formula>NOT(ISBLANK($P$67))</formula>
    </cfRule>
  </conditionalFormatting>
  <conditionalFormatting sqref="Q67">
    <cfRule type="expression" dxfId="689" priority="7154" stopIfTrue="1">
      <formula>NOT(ISBLANK($Q$67))</formula>
    </cfRule>
  </conditionalFormatting>
  <conditionalFormatting sqref="R67">
    <cfRule type="expression" dxfId="688" priority="7155" stopIfTrue="1">
      <formula>NOT(ISBLANK($R$67))</formula>
    </cfRule>
  </conditionalFormatting>
  <conditionalFormatting sqref="S67">
    <cfRule type="expression" dxfId="687" priority="7156" stopIfTrue="1">
      <formula>NOT(ISBLANK($S$67))</formula>
    </cfRule>
  </conditionalFormatting>
  <conditionalFormatting sqref="T67">
    <cfRule type="expression" dxfId="686" priority="7157" stopIfTrue="1">
      <formula>NOT(ISBLANK($T$67))</formula>
    </cfRule>
  </conditionalFormatting>
  <conditionalFormatting sqref="U67">
    <cfRule type="expression" dxfId="685" priority="7158" stopIfTrue="1">
      <formula>NOT(ISBLANK($U$67))</formula>
    </cfRule>
  </conditionalFormatting>
  <conditionalFormatting sqref="A68">
    <cfRule type="cellIs" dxfId="684" priority="7162" stopIfTrue="1" operator="notEqual">
      <formula>8</formula>
    </cfRule>
  </conditionalFormatting>
  <conditionalFormatting sqref="B68">
    <cfRule type="cellIs" dxfId="683" priority="7163" stopIfTrue="1" operator="notEqual">
      <formula>4</formula>
    </cfRule>
  </conditionalFormatting>
  <conditionalFormatting sqref="C68">
    <cfRule type="cellIs" dxfId="682" priority="7164" stopIfTrue="1" operator="notEqual">
      <formula>0.74</formula>
    </cfRule>
  </conditionalFormatting>
  <conditionalFormatting sqref="D68">
    <cfRule type="cellIs" dxfId="681" priority="7165" stopIfTrue="1" operator="notEqual">
      <formula>"MGD"</formula>
    </cfRule>
  </conditionalFormatting>
  <conditionalFormatting sqref="E68">
    <cfRule type="cellIs" dxfId="680" priority="7166" stopIfTrue="1" operator="notEqual">
      <formula>0.251</formula>
    </cfRule>
  </conditionalFormatting>
  <conditionalFormatting sqref="F68">
    <cfRule type="cellIs" dxfId="679" priority="7167" stopIfTrue="1" operator="notEqual">
      <formula>"MGD"</formula>
    </cfRule>
  </conditionalFormatting>
  <conditionalFormatting sqref="G68">
    <cfRule type="expression" dxfId="678" priority="7168" stopIfTrue="1">
      <formula>NOT(ISBLANK($G$68))</formula>
    </cfRule>
  </conditionalFormatting>
  <conditionalFormatting sqref="H68">
    <cfRule type="expression" dxfId="677" priority="7169" stopIfTrue="1">
      <formula>NOT(ISBLANK($H$68))</formula>
    </cfRule>
  </conditionalFormatting>
  <conditionalFormatting sqref="I68">
    <cfRule type="expression" dxfId="676" priority="7170" stopIfTrue="1">
      <formula>NOT(ISBLANK($I$68))</formula>
    </cfRule>
  </conditionalFormatting>
  <conditionalFormatting sqref="J68">
    <cfRule type="expression" dxfId="675" priority="7171" stopIfTrue="1">
      <formula>NOT(ISBLANK($J$68))</formula>
    </cfRule>
  </conditionalFormatting>
  <conditionalFormatting sqref="K68">
    <cfRule type="expression" dxfId="674" priority="7172" stopIfTrue="1">
      <formula>NOT(ISBLANK($K$68))</formula>
    </cfRule>
  </conditionalFormatting>
  <conditionalFormatting sqref="L68">
    <cfRule type="expression" dxfId="673" priority="7173" stopIfTrue="1">
      <formula>NOT(ISBLANK($L$68))</formula>
    </cfRule>
  </conditionalFormatting>
  <conditionalFormatting sqref="M68">
    <cfRule type="expression" dxfId="672" priority="7174" stopIfTrue="1">
      <formula>NOT(ISBLANK($M$68))</formula>
    </cfRule>
  </conditionalFormatting>
  <conditionalFormatting sqref="N68">
    <cfRule type="expression" dxfId="671" priority="7175" stopIfTrue="1">
      <formula>NOT(ISBLANK($N$68))</formula>
    </cfRule>
  </conditionalFormatting>
  <conditionalFormatting sqref="O68">
    <cfRule type="expression" dxfId="670" priority="7176" stopIfTrue="1">
      <formula>NOT(ISBLANK($O$68))</formula>
    </cfRule>
  </conditionalFormatting>
  <conditionalFormatting sqref="P68">
    <cfRule type="expression" dxfId="669" priority="7177" stopIfTrue="1">
      <formula>NOT(ISBLANK($P$68))</formula>
    </cfRule>
  </conditionalFormatting>
  <conditionalFormatting sqref="Q68">
    <cfRule type="expression" dxfId="668" priority="7178" stopIfTrue="1">
      <formula>NOT(ISBLANK($Q$68))</formula>
    </cfRule>
  </conditionalFormatting>
  <conditionalFormatting sqref="R68">
    <cfRule type="expression" dxfId="667" priority="7179" stopIfTrue="1">
      <formula>NOT(ISBLANK($R$68))</formula>
    </cfRule>
  </conditionalFormatting>
  <conditionalFormatting sqref="S68">
    <cfRule type="expression" dxfId="666" priority="7180" stopIfTrue="1">
      <formula>NOT(ISBLANK($S$68))</formula>
    </cfRule>
  </conditionalFormatting>
  <conditionalFormatting sqref="T68">
    <cfRule type="expression" dxfId="665" priority="7181" stopIfTrue="1">
      <formula>NOT(ISBLANK($T$68))</formula>
    </cfRule>
  </conditionalFormatting>
  <conditionalFormatting sqref="U68">
    <cfRule type="expression" dxfId="664" priority="7182" stopIfTrue="1">
      <formula>NOT(ISBLANK($U$68))</formula>
    </cfRule>
  </conditionalFormatting>
  <conditionalFormatting sqref="A69">
    <cfRule type="cellIs" dxfId="663" priority="7186" stopIfTrue="1" operator="notEqual">
      <formula>8</formula>
    </cfRule>
  </conditionalFormatting>
  <conditionalFormatting sqref="B69">
    <cfRule type="cellIs" dxfId="662" priority="7187" stopIfTrue="1" operator="notEqual">
      <formula>5</formula>
    </cfRule>
  </conditionalFormatting>
  <conditionalFormatting sqref="C69">
    <cfRule type="cellIs" dxfId="661" priority="7188" stopIfTrue="1" operator="notEqual">
      <formula>2.152</formula>
    </cfRule>
  </conditionalFormatting>
  <conditionalFormatting sqref="D69">
    <cfRule type="cellIs" dxfId="660" priority="7189" stopIfTrue="1" operator="notEqual">
      <formula>"MGD"</formula>
    </cfRule>
  </conditionalFormatting>
  <conditionalFormatting sqref="E69">
    <cfRule type="cellIs" dxfId="659" priority="7190" stopIfTrue="1" operator="notEqual">
      <formula>0.819</formula>
    </cfRule>
  </conditionalFormatting>
  <conditionalFormatting sqref="F69">
    <cfRule type="cellIs" dxfId="658" priority="7191" stopIfTrue="1" operator="notEqual">
      <formula>"MGD"</formula>
    </cfRule>
  </conditionalFormatting>
  <conditionalFormatting sqref="G69">
    <cfRule type="expression" dxfId="657" priority="7192" stopIfTrue="1">
      <formula>NOT(ISBLANK($G$69))</formula>
    </cfRule>
  </conditionalFormatting>
  <conditionalFormatting sqref="H69">
    <cfRule type="expression" dxfId="656" priority="7193" stopIfTrue="1">
      <formula>NOT(ISBLANK($H$69))</formula>
    </cfRule>
  </conditionalFormatting>
  <conditionalFormatting sqref="I69">
    <cfRule type="expression" dxfId="655" priority="7194" stopIfTrue="1">
      <formula>NOT(ISBLANK($I$69))</formula>
    </cfRule>
  </conditionalFormatting>
  <conditionalFormatting sqref="J69">
    <cfRule type="expression" dxfId="654" priority="7195" stopIfTrue="1">
      <formula>NOT(ISBLANK($J$69))</formula>
    </cfRule>
  </conditionalFormatting>
  <conditionalFormatting sqref="K69">
    <cfRule type="expression" dxfId="653" priority="7196" stopIfTrue="1">
      <formula>NOT(ISBLANK($K$69))</formula>
    </cfRule>
  </conditionalFormatting>
  <conditionalFormatting sqref="L69">
    <cfRule type="expression" dxfId="652" priority="7197" stopIfTrue="1">
      <formula>NOT(ISBLANK($L$69))</formula>
    </cfRule>
  </conditionalFormatting>
  <conditionalFormatting sqref="M69">
    <cfRule type="expression" dxfId="651" priority="7198" stopIfTrue="1">
      <formula>NOT(ISBLANK($M$69))</formula>
    </cfRule>
  </conditionalFormatting>
  <conditionalFormatting sqref="N69">
    <cfRule type="expression" dxfId="650" priority="7199" stopIfTrue="1">
      <formula>NOT(ISBLANK($N$69))</formula>
    </cfRule>
  </conditionalFormatting>
  <conditionalFormatting sqref="O69">
    <cfRule type="expression" dxfId="649" priority="7200" stopIfTrue="1">
      <formula>NOT(ISBLANK($O$69))</formula>
    </cfRule>
  </conditionalFormatting>
  <conditionalFormatting sqref="P69">
    <cfRule type="expression" dxfId="648" priority="7201" stopIfTrue="1">
      <formula>NOT(ISBLANK($P$69))</formula>
    </cfRule>
  </conditionalFormatting>
  <conditionalFormatting sqref="Q69">
    <cfRule type="expression" dxfId="647" priority="7202" stopIfTrue="1">
      <formula>NOT(ISBLANK($Q$69))</formula>
    </cfRule>
  </conditionalFormatting>
  <conditionalFormatting sqref="R69">
    <cfRule type="expression" dxfId="646" priority="7203" stopIfTrue="1">
      <formula>NOT(ISBLANK($R$69))</formula>
    </cfRule>
  </conditionalFormatting>
  <conditionalFormatting sqref="S69">
    <cfRule type="expression" dxfId="645" priority="7204" stopIfTrue="1">
      <formula>NOT(ISBLANK($S$69))</formula>
    </cfRule>
  </conditionalFormatting>
  <conditionalFormatting sqref="T69">
    <cfRule type="expression" dxfId="644" priority="7205" stopIfTrue="1">
      <formula>NOT(ISBLANK($T$69))</formula>
    </cfRule>
  </conditionalFormatting>
  <conditionalFormatting sqref="U69">
    <cfRule type="expression" dxfId="643" priority="7206" stopIfTrue="1">
      <formula>NOT(ISBLANK($U$69))</formula>
    </cfRule>
  </conditionalFormatting>
  <conditionalFormatting sqref="A70">
    <cfRule type="cellIs" dxfId="642" priority="7210" stopIfTrue="1" operator="notEqual">
      <formula>8</formula>
    </cfRule>
  </conditionalFormatting>
  <conditionalFormatting sqref="B70">
    <cfRule type="cellIs" dxfId="641" priority="7211" stopIfTrue="1" operator="notEqual">
      <formula>6</formula>
    </cfRule>
  </conditionalFormatting>
  <conditionalFormatting sqref="C70">
    <cfRule type="cellIs" dxfId="640" priority="7212" stopIfTrue="1" operator="notEqual">
      <formula>7.365</formula>
    </cfRule>
  </conditionalFormatting>
  <conditionalFormatting sqref="D70">
    <cfRule type="cellIs" dxfId="639" priority="7213" stopIfTrue="1" operator="notEqual">
      <formula>"MGD"</formula>
    </cfRule>
  </conditionalFormatting>
  <conditionalFormatting sqref="E70">
    <cfRule type="cellIs" dxfId="638" priority="7214" stopIfTrue="1" operator="notEqual">
      <formula>3.2</formula>
    </cfRule>
  </conditionalFormatting>
  <conditionalFormatting sqref="F70">
    <cfRule type="cellIs" dxfId="637" priority="7215" stopIfTrue="1" operator="notEqual">
      <formula>"MGD"</formula>
    </cfRule>
  </conditionalFormatting>
  <conditionalFormatting sqref="G70">
    <cfRule type="expression" dxfId="636" priority="7216" stopIfTrue="1">
      <formula>NOT(ISBLANK($G$70))</formula>
    </cfRule>
  </conditionalFormatting>
  <conditionalFormatting sqref="H70">
    <cfRule type="expression" dxfId="635" priority="7217" stopIfTrue="1">
      <formula>NOT(ISBLANK($H$70))</formula>
    </cfRule>
  </conditionalFormatting>
  <conditionalFormatting sqref="I70">
    <cfRule type="expression" dxfId="634" priority="7218" stopIfTrue="1">
      <formula>NOT(ISBLANK($I$70))</formula>
    </cfRule>
  </conditionalFormatting>
  <conditionalFormatting sqref="J70">
    <cfRule type="expression" dxfId="633" priority="7219" stopIfTrue="1">
      <formula>NOT(ISBLANK($J$70))</formula>
    </cfRule>
  </conditionalFormatting>
  <conditionalFormatting sqref="K70">
    <cfRule type="expression" dxfId="632" priority="7220" stopIfTrue="1">
      <formula>NOT(ISBLANK($K$70))</formula>
    </cfRule>
  </conditionalFormatting>
  <conditionalFormatting sqref="L70">
    <cfRule type="expression" dxfId="631" priority="7221" stopIfTrue="1">
      <formula>NOT(ISBLANK($L$70))</formula>
    </cfRule>
  </conditionalFormatting>
  <conditionalFormatting sqref="M70">
    <cfRule type="expression" dxfId="630" priority="7222" stopIfTrue="1">
      <formula>NOT(ISBLANK($M$70))</formula>
    </cfRule>
  </conditionalFormatting>
  <conditionalFormatting sqref="N70">
    <cfRule type="expression" dxfId="629" priority="7223" stopIfTrue="1">
      <formula>NOT(ISBLANK($N$70))</formula>
    </cfRule>
  </conditionalFormatting>
  <conditionalFormatting sqref="O70">
    <cfRule type="expression" dxfId="628" priority="7224" stopIfTrue="1">
      <formula>NOT(ISBLANK($O$70))</formula>
    </cfRule>
  </conditionalFormatting>
  <conditionalFormatting sqref="P70">
    <cfRule type="expression" dxfId="627" priority="7225" stopIfTrue="1">
      <formula>NOT(ISBLANK($P$70))</formula>
    </cfRule>
  </conditionalFormatting>
  <conditionalFormatting sqref="Q70">
    <cfRule type="expression" dxfId="626" priority="7226" stopIfTrue="1">
      <formula>NOT(ISBLANK($Q$70))</formula>
    </cfRule>
  </conditionalFormatting>
  <conditionalFormatting sqref="R70">
    <cfRule type="expression" dxfId="625" priority="7227" stopIfTrue="1">
      <formula>NOT(ISBLANK($R$70))</formula>
    </cfRule>
  </conditionalFormatting>
  <conditionalFormatting sqref="S70">
    <cfRule type="expression" dxfId="624" priority="7228" stopIfTrue="1">
      <formula>NOT(ISBLANK($S$70))</formula>
    </cfRule>
  </conditionalFormatting>
  <conditionalFormatting sqref="T70">
    <cfRule type="expression" dxfId="623" priority="7229" stopIfTrue="1">
      <formula>NOT(ISBLANK($T$70))</formula>
    </cfRule>
  </conditionalFormatting>
  <conditionalFormatting sqref="U70">
    <cfRule type="expression" dxfId="622" priority="7230" stopIfTrue="1">
      <formula>NOT(ISBLANK($U$70))</formula>
    </cfRule>
  </conditionalFormatting>
  <conditionalFormatting sqref="A71">
    <cfRule type="cellIs" dxfId="621" priority="7234" stopIfTrue="1" operator="notEqual">
      <formula>8</formula>
    </cfRule>
  </conditionalFormatting>
  <conditionalFormatting sqref="B71">
    <cfRule type="cellIs" dxfId="620" priority="7235" stopIfTrue="1" operator="notEqual">
      <formula>7</formula>
    </cfRule>
  </conditionalFormatting>
  <conditionalFormatting sqref="C71">
    <cfRule type="cellIs" dxfId="619" priority="7236" stopIfTrue="1" operator="notEqual">
      <formula>22.614</formula>
    </cfRule>
  </conditionalFormatting>
  <conditionalFormatting sqref="D71">
    <cfRule type="cellIs" dxfId="618" priority="7237" stopIfTrue="1" operator="notEqual">
      <formula>"MGD"</formula>
    </cfRule>
  </conditionalFormatting>
  <conditionalFormatting sqref="E71">
    <cfRule type="cellIs" dxfId="617" priority="7238" stopIfTrue="1" operator="notEqual">
      <formula>11.066</formula>
    </cfRule>
  </conditionalFormatting>
  <conditionalFormatting sqref="F71">
    <cfRule type="cellIs" dxfId="616" priority="7239" stopIfTrue="1" operator="notEqual">
      <formula>"MGD"</formula>
    </cfRule>
  </conditionalFormatting>
  <conditionalFormatting sqref="G71">
    <cfRule type="expression" dxfId="615" priority="7240" stopIfTrue="1">
      <formula>NOT(ISBLANK($G$71))</formula>
    </cfRule>
  </conditionalFormatting>
  <conditionalFormatting sqref="H71">
    <cfRule type="expression" dxfId="614" priority="7241" stopIfTrue="1">
      <formula>NOT(ISBLANK($H$71))</formula>
    </cfRule>
  </conditionalFormatting>
  <conditionalFormatting sqref="I71">
    <cfRule type="expression" dxfId="613" priority="7242" stopIfTrue="1">
      <formula>NOT(ISBLANK($I$71))</formula>
    </cfRule>
  </conditionalFormatting>
  <conditionalFormatting sqref="J71">
    <cfRule type="expression" dxfId="612" priority="7243" stopIfTrue="1">
      <formula>NOT(ISBLANK($J$71))</formula>
    </cfRule>
  </conditionalFormatting>
  <conditionalFormatting sqref="K71">
    <cfRule type="expression" dxfId="611" priority="7244" stopIfTrue="1">
      <formula>NOT(ISBLANK($K$71))</formula>
    </cfRule>
  </conditionalFormatting>
  <conditionalFormatting sqref="L71">
    <cfRule type="expression" dxfId="610" priority="7245" stopIfTrue="1">
      <formula>NOT(ISBLANK($L$71))</formula>
    </cfRule>
  </conditionalFormatting>
  <conditionalFormatting sqref="M71">
    <cfRule type="expression" dxfId="609" priority="7246" stopIfTrue="1">
      <formula>NOT(ISBLANK($M$71))</formula>
    </cfRule>
  </conditionalFormatting>
  <conditionalFormatting sqref="N71">
    <cfRule type="expression" dxfId="608" priority="7247" stopIfTrue="1">
      <formula>NOT(ISBLANK($N$71))</formula>
    </cfRule>
  </conditionalFormatting>
  <conditionalFormatting sqref="O71">
    <cfRule type="expression" dxfId="607" priority="7248" stopIfTrue="1">
      <formula>NOT(ISBLANK($O$71))</formula>
    </cfRule>
  </conditionalFormatting>
  <conditionalFormatting sqref="P71">
    <cfRule type="expression" dxfId="606" priority="7249" stopIfTrue="1">
      <formula>NOT(ISBLANK($P$71))</formula>
    </cfRule>
  </conditionalFormatting>
  <conditionalFormatting sqref="Q71">
    <cfRule type="expression" dxfId="605" priority="7250" stopIfTrue="1">
      <formula>NOT(ISBLANK($Q$71))</formula>
    </cfRule>
  </conditionalFormatting>
  <conditionalFormatting sqref="R71">
    <cfRule type="expression" dxfId="604" priority="7251" stopIfTrue="1">
      <formula>NOT(ISBLANK($R$71))</formula>
    </cfRule>
  </conditionalFormatting>
  <conditionalFormatting sqref="S71">
    <cfRule type="expression" dxfId="603" priority="7252" stopIfTrue="1">
      <formula>NOT(ISBLANK($S$71))</formula>
    </cfRule>
  </conditionalFormatting>
  <conditionalFormatting sqref="T71">
    <cfRule type="expression" dxfId="602" priority="7253" stopIfTrue="1">
      <formula>NOT(ISBLANK($T$71))</formula>
    </cfRule>
  </conditionalFormatting>
  <conditionalFormatting sqref="U71">
    <cfRule type="expression" dxfId="601" priority="7254" stopIfTrue="1">
      <formula>NOT(ISBLANK($U$71))</formula>
    </cfRule>
  </conditionalFormatting>
  <conditionalFormatting sqref="A72">
    <cfRule type="cellIs" dxfId="600" priority="7258" stopIfTrue="1" operator="notEqual">
      <formula>8</formula>
    </cfRule>
  </conditionalFormatting>
  <conditionalFormatting sqref="B72">
    <cfRule type="cellIs" dxfId="599" priority="7259" stopIfTrue="1" operator="notEqual">
      <formula>8</formula>
    </cfRule>
  </conditionalFormatting>
  <conditionalFormatting sqref="C72">
    <cfRule type="cellIs" dxfId="598" priority="7260" stopIfTrue="1" operator="notEqual">
      <formula>75.072</formula>
    </cfRule>
  </conditionalFormatting>
  <conditionalFormatting sqref="D72">
    <cfRule type="cellIs" dxfId="597" priority="7261" stopIfTrue="1" operator="notEqual">
      <formula>"MGD"</formula>
    </cfRule>
  </conditionalFormatting>
  <conditionalFormatting sqref="E72">
    <cfRule type="cellIs" dxfId="596" priority="7262" stopIfTrue="1" operator="notEqual">
      <formula>37.536</formula>
    </cfRule>
  </conditionalFormatting>
  <conditionalFormatting sqref="F72">
    <cfRule type="cellIs" dxfId="595" priority="7263" stopIfTrue="1" operator="notEqual">
      <formula>"MGD"</formula>
    </cfRule>
  </conditionalFormatting>
  <conditionalFormatting sqref="G72">
    <cfRule type="expression" dxfId="594" priority="7264" stopIfTrue="1">
      <formula>NOT(ISBLANK($G$72))</formula>
    </cfRule>
  </conditionalFormatting>
  <conditionalFormatting sqref="H72">
    <cfRule type="expression" dxfId="593" priority="7265" stopIfTrue="1">
      <formula>NOT(ISBLANK($H$72))</formula>
    </cfRule>
  </conditionalFormatting>
  <conditionalFormatting sqref="I72">
    <cfRule type="expression" dxfId="592" priority="7266" stopIfTrue="1">
      <formula>NOT(ISBLANK($I$72))</formula>
    </cfRule>
  </conditionalFormatting>
  <conditionalFormatting sqref="J72">
    <cfRule type="expression" dxfId="591" priority="7267" stopIfTrue="1">
      <formula>NOT(ISBLANK($J$72))</formula>
    </cfRule>
  </conditionalFormatting>
  <conditionalFormatting sqref="K72">
    <cfRule type="expression" dxfId="590" priority="7268" stopIfTrue="1">
      <formula>NOT(ISBLANK($K$72))</formula>
    </cfRule>
  </conditionalFormatting>
  <conditionalFormatting sqref="L72">
    <cfRule type="expression" dxfId="589" priority="7269" stopIfTrue="1">
      <formula>NOT(ISBLANK($L$72))</formula>
    </cfRule>
  </conditionalFormatting>
  <conditionalFormatting sqref="M72">
    <cfRule type="expression" dxfId="588" priority="7270" stopIfTrue="1">
      <formula>NOT(ISBLANK($M$72))</formula>
    </cfRule>
  </conditionalFormatting>
  <conditionalFormatting sqref="N72">
    <cfRule type="expression" dxfId="587" priority="7271" stopIfTrue="1">
      <formula>NOT(ISBLANK($N$72))</formula>
    </cfRule>
  </conditionalFormatting>
  <conditionalFormatting sqref="O72">
    <cfRule type="expression" dxfId="586" priority="7272" stopIfTrue="1">
      <formula>NOT(ISBLANK($O$72))</formula>
    </cfRule>
  </conditionalFormatting>
  <conditionalFormatting sqref="P72">
    <cfRule type="expression" dxfId="585" priority="7273" stopIfTrue="1">
      <formula>NOT(ISBLANK($P$72))</formula>
    </cfRule>
  </conditionalFormatting>
  <conditionalFormatting sqref="Q72">
    <cfRule type="expression" dxfId="584" priority="7274" stopIfTrue="1">
      <formula>NOT(ISBLANK($Q$72))</formula>
    </cfRule>
  </conditionalFormatting>
  <conditionalFormatting sqref="R72">
    <cfRule type="expression" dxfId="583" priority="7275" stopIfTrue="1">
      <formula>NOT(ISBLANK($R$72))</formula>
    </cfRule>
  </conditionalFormatting>
  <conditionalFormatting sqref="S72">
    <cfRule type="expression" dxfId="582" priority="7276" stopIfTrue="1">
      <formula>NOT(ISBLANK($S$72))</formula>
    </cfRule>
  </conditionalFormatting>
  <conditionalFormatting sqref="T72">
    <cfRule type="expression" dxfId="581" priority="7277" stopIfTrue="1">
      <formula>NOT(ISBLANK($T$72))</formula>
    </cfRule>
  </conditionalFormatting>
  <conditionalFormatting sqref="U72">
    <cfRule type="expression" dxfId="580" priority="7278" stopIfTrue="1">
      <formula>NOT(ISBLANK($U$72))</formula>
    </cfRule>
  </conditionalFormatting>
  <conditionalFormatting sqref="A73">
    <cfRule type="cellIs" dxfId="579" priority="7282" stopIfTrue="1" operator="notEqual">
      <formula>9</formula>
    </cfRule>
  </conditionalFormatting>
  <conditionalFormatting sqref="B73">
    <cfRule type="cellIs" dxfId="578" priority="7283" stopIfTrue="1" operator="notEqual">
      <formula>1</formula>
    </cfRule>
  </conditionalFormatting>
  <conditionalFormatting sqref="C73">
    <cfRule type="cellIs" dxfId="577" priority="7284" stopIfTrue="1" operator="notEqual">
      <formula>0.03</formula>
    </cfRule>
  </conditionalFormatting>
  <conditionalFormatting sqref="D73">
    <cfRule type="cellIs" dxfId="576" priority="7285" stopIfTrue="1" operator="notEqual">
      <formula>"MGD"</formula>
    </cfRule>
  </conditionalFormatting>
  <conditionalFormatting sqref="E73">
    <cfRule type="cellIs" dxfId="575" priority="7286" stopIfTrue="1" operator="notEqual">
      <formula>0.007</formula>
    </cfRule>
  </conditionalFormatting>
  <conditionalFormatting sqref="F73">
    <cfRule type="cellIs" dxfId="574" priority="7287" stopIfTrue="1" operator="notEqual">
      <formula>"MGD"</formula>
    </cfRule>
  </conditionalFormatting>
  <conditionalFormatting sqref="G73">
    <cfRule type="expression" dxfId="573" priority="7288" stopIfTrue="1">
      <formula>NOT(ISBLANK($G$73))</formula>
    </cfRule>
  </conditionalFormatting>
  <conditionalFormatting sqref="H73">
    <cfRule type="expression" dxfId="572" priority="7289" stopIfTrue="1">
      <formula>NOT(ISBLANK($H$73))</formula>
    </cfRule>
  </conditionalFormatting>
  <conditionalFormatting sqref="I73">
    <cfRule type="expression" dxfId="571" priority="7290" stopIfTrue="1">
      <formula>NOT(ISBLANK($I$73))</formula>
    </cfRule>
  </conditionalFormatting>
  <conditionalFormatting sqref="J73">
    <cfRule type="expression" dxfId="570" priority="7291" stopIfTrue="1">
      <formula>NOT(ISBLANK($J$73))</formula>
    </cfRule>
  </conditionalFormatting>
  <conditionalFormatting sqref="K73">
    <cfRule type="expression" dxfId="569" priority="7292" stopIfTrue="1">
      <formula>NOT(ISBLANK($K$73))</formula>
    </cfRule>
  </conditionalFormatting>
  <conditionalFormatting sqref="L73">
    <cfRule type="expression" dxfId="568" priority="7293" stopIfTrue="1">
      <formula>NOT(ISBLANK($L$73))</formula>
    </cfRule>
  </conditionalFormatting>
  <conditionalFormatting sqref="M73">
    <cfRule type="expression" dxfId="567" priority="7294" stopIfTrue="1">
      <formula>NOT(ISBLANK($M$73))</formula>
    </cfRule>
  </conditionalFormatting>
  <conditionalFormatting sqref="N73">
    <cfRule type="expression" dxfId="566" priority="7295" stopIfTrue="1">
      <formula>NOT(ISBLANK($N$73))</formula>
    </cfRule>
  </conditionalFormatting>
  <conditionalFormatting sqref="O73">
    <cfRule type="expression" dxfId="565" priority="7296" stopIfTrue="1">
      <formula>NOT(ISBLANK($O$73))</formula>
    </cfRule>
  </conditionalFormatting>
  <conditionalFormatting sqref="P73">
    <cfRule type="expression" dxfId="564" priority="7297" stopIfTrue="1">
      <formula>NOT(ISBLANK($P$73))</formula>
    </cfRule>
  </conditionalFormatting>
  <conditionalFormatting sqref="Q73">
    <cfRule type="expression" dxfId="563" priority="7298" stopIfTrue="1">
      <formula>NOT(ISBLANK($Q$73))</formula>
    </cfRule>
  </conditionalFormatting>
  <conditionalFormatting sqref="R73">
    <cfRule type="expression" dxfId="562" priority="7299" stopIfTrue="1">
      <formula>NOT(ISBLANK($R$73))</formula>
    </cfRule>
  </conditionalFormatting>
  <conditionalFormatting sqref="S73">
    <cfRule type="expression" dxfId="561" priority="7300" stopIfTrue="1">
      <formula>NOT(ISBLANK($S$73))</formula>
    </cfRule>
  </conditionalFormatting>
  <conditionalFormatting sqref="T73">
    <cfRule type="expression" dxfId="560" priority="7301" stopIfTrue="1">
      <formula>NOT(ISBLANK($T$73))</formula>
    </cfRule>
  </conditionalFormatting>
  <conditionalFormatting sqref="U73">
    <cfRule type="expression" dxfId="559" priority="7302" stopIfTrue="1">
      <formula>NOT(ISBLANK($U$73))</formula>
    </cfRule>
  </conditionalFormatting>
  <conditionalFormatting sqref="A74">
    <cfRule type="cellIs" dxfId="558" priority="7306" stopIfTrue="1" operator="notEqual">
      <formula>9</formula>
    </cfRule>
  </conditionalFormatting>
  <conditionalFormatting sqref="B74">
    <cfRule type="cellIs" dxfId="557" priority="7307" stopIfTrue="1" operator="notEqual">
      <formula>2</formula>
    </cfRule>
  </conditionalFormatting>
  <conditionalFormatting sqref="C74">
    <cfRule type="cellIs" dxfId="556" priority="7308" stopIfTrue="1" operator="notEqual">
      <formula>0.124</formula>
    </cfRule>
  </conditionalFormatting>
  <conditionalFormatting sqref="D74">
    <cfRule type="cellIs" dxfId="555" priority="7309" stopIfTrue="1" operator="notEqual">
      <formula>"MGD"</formula>
    </cfRule>
  </conditionalFormatting>
  <conditionalFormatting sqref="E74">
    <cfRule type="cellIs" dxfId="554" priority="7310" stopIfTrue="1" operator="notEqual">
      <formula>0.035</formula>
    </cfRule>
  </conditionalFormatting>
  <conditionalFormatting sqref="F74">
    <cfRule type="cellIs" dxfId="553" priority="7311" stopIfTrue="1" operator="notEqual">
      <formula>"MGD"</formula>
    </cfRule>
  </conditionalFormatting>
  <conditionalFormatting sqref="G74">
    <cfRule type="expression" dxfId="552" priority="7312" stopIfTrue="1">
      <formula>NOT(ISBLANK($G$74))</formula>
    </cfRule>
  </conditionalFormatting>
  <conditionalFormatting sqref="H74">
    <cfRule type="expression" dxfId="551" priority="7313" stopIfTrue="1">
      <formula>NOT(ISBLANK($H$74))</formula>
    </cfRule>
  </conditionalFormatting>
  <conditionalFormatting sqref="I74">
    <cfRule type="expression" dxfId="550" priority="7314" stopIfTrue="1">
      <formula>NOT(ISBLANK($I$74))</formula>
    </cfRule>
  </conditionalFormatting>
  <conditionalFormatting sqref="J74">
    <cfRule type="expression" dxfId="549" priority="7315" stopIfTrue="1">
      <formula>NOT(ISBLANK($J$74))</formula>
    </cfRule>
  </conditionalFormatting>
  <conditionalFormatting sqref="K74">
    <cfRule type="expression" dxfId="548" priority="7316" stopIfTrue="1">
      <formula>NOT(ISBLANK($K$74))</formula>
    </cfRule>
  </conditionalFormatting>
  <conditionalFormatting sqref="L74">
    <cfRule type="expression" dxfId="547" priority="7317" stopIfTrue="1">
      <formula>NOT(ISBLANK($L$74))</formula>
    </cfRule>
  </conditionalFormatting>
  <conditionalFormatting sqref="M74">
    <cfRule type="expression" dxfId="546" priority="7318" stopIfTrue="1">
      <formula>NOT(ISBLANK($M$74))</formula>
    </cfRule>
  </conditionalFormatting>
  <conditionalFormatting sqref="N74">
    <cfRule type="expression" dxfId="545" priority="7319" stopIfTrue="1">
      <formula>NOT(ISBLANK($N$74))</formula>
    </cfRule>
  </conditionalFormatting>
  <conditionalFormatting sqref="O74">
    <cfRule type="expression" dxfId="544" priority="7320" stopIfTrue="1">
      <formula>NOT(ISBLANK($O$74))</formula>
    </cfRule>
  </conditionalFormatting>
  <conditionalFormatting sqref="P74">
    <cfRule type="expression" dxfId="543" priority="7321" stopIfTrue="1">
      <formula>NOT(ISBLANK($P$74))</formula>
    </cfRule>
  </conditionalFormatting>
  <conditionalFormatting sqref="Q74">
    <cfRule type="expression" dxfId="542" priority="7322" stopIfTrue="1">
      <formula>NOT(ISBLANK($Q$74))</formula>
    </cfRule>
  </conditionalFormatting>
  <conditionalFormatting sqref="R74">
    <cfRule type="expression" dxfId="541" priority="7323" stopIfTrue="1">
      <formula>NOT(ISBLANK($R$74))</formula>
    </cfRule>
  </conditionalFormatting>
  <conditionalFormatting sqref="S74">
    <cfRule type="expression" dxfId="540" priority="7324" stopIfTrue="1">
      <formula>NOT(ISBLANK($S$74))</formula>
    </cfRule>
  </conditionalFormatting>
  <conditionalFormatting sqref="T74">
    <cfRule type="expression" dxfId="539" priority="7325" stopIfTrue="1">
      <formula>NOT(ISBLANK($T$74))</formula>
    </cfRule>
  </conditionalFormatting>
  <conditionalFormatting sqref="U74">
    <cfRule type="expression" dxfId="538" priority="7326" stopIfTrue="1">
      <formula>NOT(ISBLANK($U$74))</formula>
    </cfRule>
  </conditionalFormatting>
  <conditionalFormatting sqref="A75">
    <cfRule type="cellIs" dxfId="537" priority="7330" stopIfTrue="1" operator="notEqual">
      <formula>9</formula>
    </cfRule>
  </conditionalFormatting>
  <conditionalFormatting sqref="B75">
    <cfRule type="cellIs" dxfId="536" priority="7331" stopIfTrue="1" operator="notEqual">
      <formula>3</formula>
    </cfRule>
  </conditionalFormatting>
  <conditionalFormatting sqref="C75">
    <cfRule type="cellIs" dxfId="535" priority="7332" stopIfTrue="1" operator="notEqual">
      <formula>0.305</formula>
    </cfRule>
  </conditionalFormatting>
  <conditionalFormatting sqref="D75">
    <cfRule type="cellIs" dxfId="534" priority="7333" stopIfTrue="1" operator="notEqual">
      <formula>"MGD"</formula>
    </cfRule>
  </conditionalFormatting>
  <conditionalFormatting sqref="E75">
    <cfRule type="cellIs" dxfId="533" priority="7334" stopIfTrue="1" operator="notEqual">
      <formula>0.094</formula>
    </cfRule>
  </conditionalFormatting>
  <conditionalFormatting sqref="F75">
    <cfRule type="cellIs" dxfId="532" priority="7335" stopIfTrue="1" operator="notEqual">
      <formula>"MGD"</formula>
    </cfRule>
  </conditionalFormatting>
  <conditionalFormatting sqref="G75">
    <cfRule type="expression" dxfId="531" priority="7336" stopIfTrue="1">
      <formula>NOT(ISBLANK($G$75))</formula>
    </cfRule>
  </conditionalFormatting>
  <conditionalFormatting sqref="H75">
    <cfRule type="expression" dxfId="530" priority="7337" stopIfTrue="1">
      <formula>NOT(ISBLANK($H$75))</formula>
    </cfRule>
  </conditionalFormatting>
  <conditionalFormatting sqref="I75">
    <cfRule type="expression" dxfId="529" priority="7338" stopIfTrue="1">
      <formula>NOT(ISBLANK($I$75))</formula>
    </cfRule>
  </conditionalFormatting>
  <conditionalFormatting sqref="J75">
    <cfRule type="expression" dxfId="528" priority="7339" stopIfTrue="1">
      <formula>NOT(ISBLANK($J$75))</formula>
    </cfRule>
  </conditionalFormatting>
  <conditionalFormatting sqref="K75">
    <cfRule type="expression" dxfId="527" priority="7340" stopIfTrue="1">
      <formula>NOT(ISBLANK($K$75))</formula>
    </cfRule>
  </conditionalFormatting>
  <conditionalFormatting sqref="L75">
    <cfRule type="expression" dxfId="526" priority="7341" stopIfTrue="1">
      <formula>NOT(ISBLANK($L$75))</formula>
    </cfRule>
  </conditionalFormatting>
  <conditionalFormatting sqref="M75">
    <cfRule type="expression" dxfId="525" priority="7342" stopIfTrue="1">
      <formula>NOT(ISBLANK($M$75))</formula>
    </cfRule>
  </conditionalFormatting>
  <conditionalFormatting sqref="N75">
    <cfRule type="expression" dxfId="524" priority="7343" stopIfTrue="1">
      <formula>NOT(ISBLANK($N$75))</formula>
    </cfRule>
  </conditionalFormatting>
  <conditionalFormatting sqref="O75">
    <cfRule type="expression" dxfId="523" priority="7344" stopIfTrue="1">
      <formula>NOT(ISBLANK($O$75))</formula>
    </cfRule>
  </conditionalFormatting>
  <conditionalFormatting sqref="P75">
    <cfRule type="expression" dxfId="522" priority="7345" stopIfTrue="1">
      <formula>NOT(ISBLANK($P$75))</formula>
    </cfRule>
  </conditionalFormatting>
  <conditionalFormatting sqref="Q75">
    <cfRule type="expression" dxfId="521" priority="7346" stopIfTrue="1">
      <formula>NOT(ISBLANK($Q$75))</formula>
    </cfRule>
  </conditionalFormatting>
  <conditionalFormatting sqref="R75">
    <cfRule type="expression" dxfId="520" priority="7347" stopIfTrue="1">
      <formula>NOT(ISBLANK($R$75))</formula>
    </cfRule>
  </conditionalFormatting>
  <conditionalFormatting sqref="S75">
    <cfRule type="expression" dxfId="519" priority="7348" stopIfTrue="1">
      <formula>NOT(ISBLANK($S$75))</formula>
    </cfRule>
  </conditionalFormatting>
  <conditionalFormatting sqref="T75">
    <cfRule type="expression" dxfId="518" priority="7349" stopIfTrue="1">
      <formula>NOT(ISBLANK($T$75))</formula>
    </cfRule>
  </conditionalFormatting>
  <conditionalFormatting sqref="U75">
    <cfRule type="expression" dxfId="517" priority="7350" stopIfTrue="1">
      <formula>NOT(ISBLANK($U$75))</formula>
    </cfRule>
  </conditionalFormatting>
  <conditionalFormatting sqref="A76">
    <cfRule type="cellIs" dxfId="516" priority="7354" stopIfTrue="1" operator="notEqual">
      <formula>9</formula>
    </cfRule>
  </conditionalFormatting>
  <conditionalFormatting sqref="B76">
    <cfRule type="cellIs" dxfId="515" priority="7355" stopIfTrue="1" operator="notEqual">
      <formula>4</formula>
    </cfRule>
  </conditionalFormatting>
  <conditionalFormatting sqref="C76">
    <cfRule type="cellIs" dxfId="514" priority="7356" stopIfTrue="1" operator="notEqual">
      <formula>0.74</formula>
    </cfRule>
  </conditionalFormatting>
  <conditionalFormatting sqref="D76">
    <cfRule type="cellIs" dxfId="513" priority="7357" stopIfTrue="1" operator="notEqual">
      <formula>"MGD"</formula>
    </cfRule>
  </conditionalFormatting>
  <conditionalFormatting sqref="E76">
    <cfRule type="cellIs" dxfId="512" priority="7358" stopIfTrue="1" operator="notEqual">
      <formula>0.251</formula>
    </cfRule>
  </conditionalFormatting>
  <conditionalFormatting sqref="F76">
    <cfRule type="cellIs" dxfId="511" priority="7359" stopIfTrue="1" operator="notEqual">
      <formula>"MGD"</formula>
    </cfRule>
  </conditionalFormatting>
  <conditionalFormatting sqref="G76">
    <cfRule type="expression" dxfId="510" priority="7360" stopIfTrue="1">
      <formula>NOT(ISBLANK($G$76))</formula>
    </cfRule>
  </conditionalFormatting>
  <conditionalFormatting sqref="H76">
    <cfRule type="expression" dxfId="509" priority="7361" stopIfTrue="1">
      <formula>NOT(ISBLANK($H$76))</formula>
    </cfRule>
  </conditionalFormatting>
  <conditionalFormatting sqref="I76">
    <cfRule type="expression" dxfId="508" priority="7362" stopIfTrue="1">
      <formula>NOT(ISBLANK($I$76))</formula>
    </cfRule>
  </conditionalFormatting>
  <conditionalFormatting sqref="J76">
    <cfRule type="expression" dxfId="507" priority="7363" stopIfTrue="1">
      <formula>NOT(ISBLANK($J$76))</formula>
    </cfRule>
  </conditionalFormatting>
  <conditionalFormatting sqref="K76">
    <cfRule type="expression" dxfId="506" priority="7364" stopIfTrue="1">
      <formula>NOT(ISBLANK($K$76))</formula>
    </cfRule>
  </conditionalFormatting>
  <conditionalFormatting sqref="L76">
    <cfRule type="expression" dxfId="505" priority="7365" stopIfTrue="1">
      <formula>NOT(ISBLANK($L$76))</formula>
    </cfRule>
  </conditionalFormatting>
  <conditionalFormatting sqref="M76">
    <cfRule type="expression" dxfId="504" priority="7366" stopIfTrue="1">
      <formula>NOT(ISBLANK($M$76))</formula>
    </cfRule>
  </conditionalFormatting>
  <conditionalFormatting sqref="N76">
    <cfRule type="expression" dxfId="503" priority="7367" stopIfTrue="1">
      <formula>NOT(ISBLANK($N$76))</formula>
    </cfRule>
  </conditionalFormatting>
  <conditionalFormatting sqref="O76">
    <cfRule type="expression" dxfId="502" priority="7368" stopIfTrue="1">
      <formula>NOT(ISBLANK($O$76))</formula>
    </cfRule>
  </conditionalFormatting>
  <conditionalFormatting sqref="P76">
    <cfRule type="expression" dxfId="501" priority="7369" stopIfTrue="1">
      <formula>NOT(ISBLANK($P$76))</formula>
    </cfRule>
  </conditionalFormatting>
  <conditionalFormatting sqref="Q76">
    <cfRule type="expression" dxfId="500" priority="7370" stopIfTrue="1">
      <formula>NOT(ISBLANK($Q$76))</formula>
    </cfRule>
  </conditionalFormatting>
  <conditionalFormatting sqref="R76">
    <cfRule type="expression" dxfId="499" priority="7371" stopIfTrue="1">
      <formula>NOT(ISBLANK($R$76))</formula>
    </cfRule>
  </conditionalFormatting>
  <conditionalFormatting sqref="S76">
    <cfRule type="expression" dxfId="498" priority="7372" stopIfTrue="1">
      <formula>NOT(ISBLANK($S$76))</formula>
    </cfRule>
  </conditionalFormatting>
  <conditionalFormatting sqref="T76">
    <cfRule type="expression" dxfId="497" priority="7373" stopIfTrue="1">
      <formula>NOT(ISBLANK($T$76))</formula>
    </cfRule>
  </conditionalFormatting>
  <conditionalFormatting sqref="U76">
    <cfRule type="expression" dxfId="496" priority="7374" stopIfTrue="1">
      <formula>NOT(ISBLANK($U$76))</formula>
    </cfRule>
  </conditionalFormatting>
  <conditionalFormatting sqref="A77">
    <cfRule type="cellIs" dxfId="495" priority="7378" stopIfTrue="1" operator="notEqual">
      <formula>9</formula>
    </cfRule>
  </conditionalFormatting>
  <conditionalFormatting sqref="B77">
    <cfRule type="cellIs" dxfId="494" priority="7379" stopIfTrue="1" operator="notEqual">
      <formula>5</formula>
    </cfRule>
  </conditionalFormatting>
  <conditionalFormatting sqref="C77">
    <cfRule type="cellIs" dxfId="493" priority="7380" stopIfTrue="1" operator="notEqual">
      <formula>2.152</formula>
    </cfRule>
  </conditionalFormatting>
  <conditionalFormatting sqref="D77">
    <cfRule type="cellIs" dxfId="492" priority="7381" stopIfTrue="1" operator="notEqual">
      <formula>"MGD"</formula>
    </cfRule>
  </conditionalFormatting>
  <conditionalFormatting sqref="E77">
    <cfRule type="cellIs" dxfId="491" priority="7382" stopIfTrue="1" operator="notEqual">
      <formula>0.819</formula>
    </cfRule>
  </conditionalFormatting>
  <conditionalFormatting sqref="F77">
    <cfRule type="cellIs" dxfId="490" priority="7383" stopIfTrue="1" operator="notEqual">
      <formula>"MGD"</formula>
    </cfRule>
  </conditionalFormatting>
  <conditionalFormatting sqref="G77">
    <cfRule type="expression" dxfId="489" priority="7384" stopIfTrue="1">
      <formula>NOT(ISBLANK($G$77))</formula>
    </cfRule>
  </conditionalFormatting>
  <conditionalFormatting sqref="H77">
    <cfRule type="expression" dxfId="488" priority="7385" stopIfTrue="1">
      <formula>NOT(ISBLANK($H$77))</formula>
    </cfRule>
  </conditionalFormatting>
  <conditionalFormatting sqref="I77">
    <cfRule type="expression" dxfId="487" priority="7386" stopIfTrue="1">
      <formula>NOT(ISBLANK($I$77))</formula>
    </cfRule>
  </conditionalFormatting>
  <conditionalFormatting sqref="J77">
    <cfRule type="expression" dxfId="486" priority="7387" stopIfTrue="1">
      <formula>NOT(ISBLANK($J$77))</formula>
    </cfRule>
  </conditionalFormatting>
  <conditionalFormatting sqref="K77">
    <cfRule type="expression" dxfId="485" priority="7388" stopIfTrue="1">
      <formula>NOT(ISBLANK($K$77))</formula>
    </cfRule>
  </conditionalFormatting>
  <conditionalFormatting sqref="L77">
    <cfRule type="expression" dxfId="484" priority="7389" stopIfTrue="1">
      <formula>NOT(ISBLANK($L$77))</formula>
    </cfRule>
  </conditionalFormatting>
  <conditionalFormatting sqref="M77">
    <cfRule type="expression" dxfId="483" priority="7390" stopIfTrue="1">
      <formula>NOT(ISBLANK($M$77))</formula>
    </cfRule>
  </conditionalFormatting>
  <conditionalFormatting sqref="N77">
    <cfRule type="expression" dxfId="482" priority="7391" stopIfTrue="1">
      <formula>NOT(ISBLANK($N$77))</formula>
    </cfRule>
  </conditionalFormatting>
  <conditionalFormatting sqref="O77">
    <cfRule type="expression" dxfId="481" priority="7392" stopIfTrue="1">
      <formula>NOT(ISBLANK($O$77))</formula>
    </cfRule>
  </conditionalFormatting>
  <conditionalFormatting sqref="P77">
    <cfRule type="expression" dxfId="480" priority="7393" stopIfTrue="1">
      <formula>NOT(ISBLANK($P$77))</formula>
    </cfRule>
  </conditionalFormatting>
  <conditionalFormatting sqref="Q77">
    <cfRule type="expression" dxfId="479" priority="7394" stopIfTrue="1">
      <formula>NOT(ISBLANK($Q$77))</formula>
    </cfRule>
  </conditionalFormatting>
  <conditionalFormatting sqref="R77">
    <cfRule type="expression" dxfId="478" priority="7395" stopIfTrue="1">
      <formula>NOT(ISBLANK($R$77))</formula>
    </cfRule>
  </conditionalFormatting>
  <conditionalFormatting sqref="S77">
    <cfRule type="expression" dxfId="477" priority="7396" stopIfTrue="1">
      <formula>NOT(ISBLANK($S$77))</formula>
    </cfRule>
  </conditionalFormatting>
  <conditionalFormatting sqref="T77">
    <cfRule type="expression" dxfId="476" priority="7397" stopIfTrue="1">
      <formula>NOT(ISBLANK($T$77))</formula>
    </cfRule>
  </conditionalFormatting>
  <conditionalFormatting sqref="U77">
    <cfRule type="expression" dxfId="475" priority="7398" stopIfTrue="1">
      <formula>NOT(ISBLANK($U$77))</formula>
    </cfRule>
  </conditionalFormatting>
  <conditionalFormatting sqref="A78">
    <cfRule type="cellIs" dxfId="474" priority="7402" stopIfTrue="1" operator="notEqual">
      <formula>9</formula>
    </cfRule>
  </conditionalFormatting>
  <conditionalFormatting sqref="B78">
    <cfRule type="cellIs" dxfId="473" priority="7403" stopIfTrue="1" operator="notEqual">
      <formula>6</formula>
    </cfRule>
  </conditionalFormatting>
  <conditionalFormatting sqref="C78">
    <cfRule type="cellIs" dxfId="472" priority="7404" stopIfTrue="1" operator="notEqual">
      <formula>7.365</formula>
    </cfRule>
  </conditionalFormatting>
  <conditionalFormatting sqref="D78">
    <cfRule type="cellIs" dxfId="471" priority="7405" stopIfTrue="1" operator="notEqual">
      <formula>"MGD"</formula>
    </cfRule>
  </conditionalFormatting>
  <conditionalFormatting sqref="E78">
    <cfRule type="cellIs" dxfId="470" priority="7406" stopIfTrue="1" operator="notEqual">
      <formula>3.2</formula>
    </cfRule>
  </conditionalFormatting>
  <conditionalFormatting sqref="F78">
    <cfRule type="cellIs" dxfId="469" priority="7407" stopIfTrue="1" operator="notEqual">
      <formula>"MGD"</formula>
    </cfRule>
  </conditionalFormatting>
  <conditionalFormatting sqref="G78">
    <cfRule type="expression" dxfId="468" priority="7408" stopIfTrue="1">
      <formula>NOT(ISBLANK($G$78))</formula>
    </cfRule>
  </conditionalFormatting>
  <conditionalFormatting sqref="H78">
    <cfRule type="expression" dxfId="467" priority="7409" stopIfTrue="1">
      <formula>NOT(ISBLANK($H$78))</formula>
    </cfRule>
  </conditionalFormatting>
  <conditionalFormatting sqref="I78">
    <cfRule type="expression" dxfId="466" priority="7410" stopIfTrue="1">
      <formula>NOT(ISBLANK($I$78))</formula>
    </cfRule>
  </conditionalFormatting>
  <conditionalFormatting sqref="J78">
    <cfRule type="expression" dxfId="465" priority="7411" stopIfTrue="1">
      <formula>NOT(ISBLANK($J$78))</formula>
    </cfRule>
  </conditionalFormatting>
  <conditionalFormatting sqref="K78">
    <cfRule type="expression" dxfId="464" priority="7412" stopIfTrue="1">
      <formula>NOT(ISBLANK($K$78))</formula>
    </cfRule>
  </conditionalFormatting>
  <conditionalFormatting sqref="L78">
    <cfRule type="expression" dxfId="463" priority="7413" stopIfTrue="1">
      <formula>NOT(ISBLANK($L$78))</formula>
    </cfRule>
  </conditionalFormatting>
  <conditionalFormatting sqref="M78">
    <cfRule type="expression" dxfId="462" priority="7414" stopIfTrue="1">
      <formula>NOT(ISBLANK($M$78))</formula>
    </cfRule>
  </conditionalFormatting>
  <conditionalFormatting sqref="N78">
    <cfRule type="expression" dxfId="461" priority="7415" stopIfTrue="1">
      <formula>NOT(ISBLANK($N$78))</formula>
    </cfRule>
  </conditionalFormatting>
  <conditionalFormatting sqref="O78">
    <cfRule type="expression" dxfId="460" priority="7416" stopIfTrue="1">
      <formula>NOT(ISBLANK($O$78))</formula>
    </cfRule>
  </conditionalFormatting>
  <conditionalFormatting sqref="P78">
    <cfRule type="expression" dxfId="459" priority="7417" stopIfTrue="1">
      <formula>NOT(ISBLANK($P$78))</formula>
    </cfRule>
  </conditionalFormatting>
  <conditionalFormatting sqref="Q78">
    <cfRule type="expression" dxfId="458" priority="7418" stopIfTrue="1">
      <formula>NOT(ISBLANK($Q$78))</formula>
    </cfRule>
  </conditionalFormatting>
  <conditionalFormatting sqref="R78">
    <cfRule type="expression" dxfId="457" priority="7419" stopIfTrue="1">
      <formula>NOT(ISBLANK($R$78))</formula>
    </cfRule>
  </conditionalFormatting>
  <conditionalFormatting sqref="S78">
    <cfRule type="expression" dxfId="456" priority="7420" stopIfTrue="1">
      <formula>NOT(ISBLANK($S$78))</formula>
    </cfRule>
  </conditionalFormatting>
  <conditionalFormatting sqref="T78">
    <cfRule type="expression" dxfId="455" priority="7421" stopIfTrue="1">
      <formula>NOT(ISBLANK($T$78))</formula>
    </cfRule>
  </conditionalFormatting>
  <conditionalFormatting sqref="U78">
    <cfRule type="expression" dxfId="454" priority="7422" stopIfTrue="1">
      <formula>NOT(ISBLANK($U$78))</formula>
    </cfRule>
  </conditionalFormatting>
  <conditionalFormatting sqref="A79">
    <cfRule type="cellIs" dxfId="453" priority="7426" stopIfTrue="1" operator="notEqual">
      <formula>9</formula>
    </cfRule>
  </conditionalFormatting>
  <conditionalFormatting sqref="B79">
    <cfRule type="cellIs" dxfId="452" priority="7427" stopIfTrue="1" operator="notEqual">
      <formula>7</formula>
    </cfRule>
  </conditionalFormatting>
  <conditionalFormatting sqref="C79">
    <cfRule type="cellIs" dxfId="451" priority="7428" stopIfTrue="1" operator="notEqual">
      <formula>22.614</formula>
    </cfRule>
  </conditionalFormatting>
  <conditionalFormatting sqref="D79">
    <cfRule type="cellIs" dxfId="450" priority="7429" stopIfTrue="1" operator="notEqual">
      <formula>"MGD"</formula>
    </cfRule>
  </conditionalFormatting>
  <conditionalFormatting sqref="E79">
    <cfRule type="cellIs" dxfId="449" priority="7430" stopIfTrue="1" operator="notEqual">
      <formula>11.066</formula>
    </cfRule>
  </conditionalFormatting>
  <conditionalFormatting sqref="F79">
    <cfRule type="cellIs" dxfId="448" priority="7431" stopIfTrue="1" operator="notEqual">
      <formula>"MGD"</formula>
    </cfRule>
  </conditionalFormatting>
  <conditionalFormatting sqref="G79">
    <cfRule type="expression" dxfId="447" priority="7432" stopIfTrue="1">
      <formula>NOT(ISBLANK($G$79))</formula>
    </cfRule>
  </conditionalFormatting>
  <conditionalFormatting sqref="H79">
    <cfRule type="expression" dxfId="446" priority="7433" stopIfTrue="1">
      <formula>NOT(ISBLANK($H$79))</formula>
    </cfRule>
  </conditionalFormatting>
  <conditionalFormatting sqref="I79">
    <cfRule type="expression" dxfId="445" priority="7434" stopIfTrue="1">
      <formula>NOT(ISBLANK($I$79))</formula>
    </cfRule>
  </conditionalFormatting>
  <conditionalFormatting sqref="J79">
    <cfRule type="expression" dxfId="444" priority="7435" stopIfTrue="1">
      <formula>NOT(ISBLANK($J$79))</formula>
    </cfRule>
  </conditionalFormatting>
  <conditionalFormatting sqref="K79">
    <cfRule type="expression" dxfId="443" priority="7436" stopIfTrue="1">
      <formula>NOT(ISBLANK($K$79))</formula>
    </cfRule>
  </conditionalFormatting>
  <conditionalFormatting sqref="L79">
    <cfRule type="expression" dxfId="442" priority="7437" stopIfTrue="1">
      <formula>NOT(ISBLANK($L$79))</formula>
    </cfRule>
  </conditionalFormatting>
  <conditionalFormatting sqref="M79">
    <cfRule type="expression" dxfId="441" priority="7438" stopIfTrue="1">
      <formula>NOT(ISBLANK($M$79))</formula>
    </cfRule>
  </conditionalFormatting>
  <conditionalFormatting sqref="N79">
    <cfRule type="expression" dxfId="440" priority="7439" stopIfTrue="1">
      <formula>NOT(ISBLANK($N$79))</formula>
    </cfRule>
  </conditionalFormatting>
  <conditionalFormatting sqref="O79">
    <cfRule type="expression" dxfId="439" priority="7440" stopIfTrue="1">
      <formula>NOT(ISBLANK($O$79))</formula>
    </cfRule>
  </conditionalFormatting>
  <conditionalFormatting sqref="P79">
    <cfRule type="expression" dxfId="438" priority="7441" stopIfTrue="1">
      <formula>NOT(ISBLANK($P$79))</formula>
    </cfRule>
  </conditionalFormatting>
  <conditionalFormatting sqref="Q79">
    <cfRule type="expression" dxfId="437" priority="7442" stopIfTrue="1">
      <formula>NOT(ISBLANK($Q$79))</formula>
    </cfRule>
  </conditionalFormatting>
  <conditionalFormatting sqref="R79">
    <cfRule type="expression" dxfId="436" priority="7443" stopIfTrue="1">
      <formula>NOT(ISBLANK($R$79))</formula>
    </cfRule>
  </conditionalFormatting>
  <conditionalFormatting sqref="S79">
    <cfRule type="expression" dxfId="435" priority="7444" stopIfTrue="1">
      <formula>NOT(ISBLANK($S$79))</formula>
    </cfRule>
  </conditionalFormatting>
  <conditionalFormatting sqref="T79">
    <cfRule type="expression" dxfId="434" priority="7445" stopIfTrue="1">
      <formula>NOT(ISBLANK($T$79))</formula>
    </cfRule>
  </conditionalFormatting>
  <conditionalFormatting sqref="U79">
    <cfRule type="expression" dxfId="433" priority="7446" stopIfTrue="1">
      <formula>NOT(ISBLANK($U$79))</formula>
    </cfRule>
  </conditionalFormatting>
  <conditionalFormatting sqref="A80">
    <cfRule type="cellIs" dxfId="432" priority="7450" stopIfTrue="1" operator="notEqual">
      <formula>9</formula>
    </cfRule>
  </conditionalFormatting>
  <conditionalFormatting sqref="B80">
    <cfRule type="cellIs" dxfId="431" priority="7451" stopIfTrue="1" operator="notEqual">
      <formula>8</formula>
    </cfRule>
  </conditionalFormatting>
  <conditionalFormatting sqref="C80">
    <cfRule type="cellIs" dxfId="430" priority="7452" stopIfTrue="1" operator="notEqual">
      <formula>75.072</formula>
    </cfRule>
  </conditionalFormatting>
  <conditionalFormatting sqref="D80">
    <cfRule type="cellIs" dxfId="429" priority="7453" stopIfTrue="1" operator="notEqual">
      <formula>"MGD"</formula>
    </cfRule>
  </conditionalFormatting>
  <conditionalFormatting sqref="E80">
    <cfRule type="cellIs" dxfId="428" priority="7454" stopIfTrue="1" operator="notEqual">
      <formula>37.536</formula>
    </cfRule>
  </conditionalFormatting>
  <conditionalFormatting sqref="F80">
    <cfRule type="cellIs" dxfId="427" priority="7455" stopIfTrue="1" operator="notEqual">
      <formula>"MGD"</formula>
    </cfRule>
  </conditionalFormatting>
  <conditionalFormatting sqref="G80">
    <cfRule type="expression" dxfId="426" priority="7456" stopIfTrue="1">
      <formula>NOT(ISBLANK($G$80))</formula>
    </cfRule>
  </conditionalFormatting>
  <conditionalFormatting sqref="H80">
    <cfRule type="expression" dxfId="425" priority="7457" stopIfTrue="1">
      <formula>NOT(ISBLANK($H$80))</formula>
    </cfRule>
  </conditionalFormatting>
  <conditionalFormatting sqref="I80">
    <cfRule type="expression" dxfId="424" priority="7458" stopIfTrue="1">
      <formula>NOT(ISBLANK($I$80))</formula>
    </cfRule>
  </conditionalFormatting>
  <conditionalFormatting sqref="J80">
    <cfRule type="expression" dxfId="423" priority="7459" stopIfTrue="1">
      <formula>NOT(ISBLANK($J$80))</formula>
    </cfRule>
  </conditionalFormatting>
  <conditionalFormatting sqref="K80">
    <cfRule type="expression" dxfId="422" priority="7460" stopIfTrue="1">
      <formula>NOT(ISBLANK($K$80))</formula>
    </cfRule>
  </conditionalFormatting>
  <conditionalFormatting sqref="L80">
    <cfRule type="expression" dxfId="421" priority="7461" stopIfTrue="1">
      <formula>NOT(ISBLANK($L$80))</formula>
    </cfRule>
  </conditionalFormatting>
  <conditionalFormatting sqref="M80">
    <cfRule type="expression" dxfId="420" priority="7462" stopIfTrue="1">
      <formula>NOT(ISBLANK($M$80))</formula>
    </cfRule>
  </conditionalFormatting>
  <conditionalFormatting sqref="N80">
    <cfRule type="expression" dxfId="419" priority="7463" stopIfTrue="1">
      <formula>NOT(ISBLANK($N$80))</formula>
    </cfRule>
  </conditionalFormatting>
  <conditionalFormatting sqref="O80">
    <cfRule type="expression" dxfId="418" priority="7464" stopIfTrue="1">
      <formula>NOT(ISBLANK($O$80))</formula>
    </cfRule>
  </conditionalFormatting>
  <conditionalFormatting sqref="P80">
    <cfRule type="expression" dxfId="417" priority="7465" stopIfTrue="1">
      <formula>NOT(ISBLANK($P$80))</formula>
    </cfRule>
  </conditionalFormatting>
  <conditionalFormatting sqref="Q80">
    <cfRule type="expression" dxfId="416" priority="7466" stopIfTrue="1">
      <formula>NOT(ISBLANK($Q$80))</formula>
    </cfRule>
  </conditionalFormatting>
  <conditionalFormatting sqref="R80">
    <cfRule type="expression" dxfId="415" priority="7467" stopIfTrue="1">
      <formula>NOT(ISBLANK($R$80))</formula>
    </cfRule>
  </conditionalFormatting>
  <conditionalFormatting sqref="S80">
    <cfRule type="expression" dxfId="414" priority="7468" stopIfTrue="1">
      <formula>NOT(ISBLANK($S$80))</formula>
    </cfRule>
  </conditionalFormatting>
  <conditionalFormatting sqref="T80">
    <cfRule type="expression" dxfId="413" priority="7469" stopIfTrue="1">
      <formula>NOT(ISBLANK($T$80))</formula>
    </cfRule>
  </conditionalFormatting>
  <conditionalFormatting sqref="U80">
    <cfRule type="expression" dxfId="412" priority="7470" stopIfTrue="1">
      <formula>NOT(ISBLANK($U$80))</formula>
    </cfRule>
  </conditionalFormatting>
  <conditionalFormatting sqref="A81">
    <cfRule type="cellIs" dxfId="411" priority="7474" stopIfTrue="1" operator="notEqual">
      <formula>10</formula>
    </cfRule>
  </conditionalFormatting>
  <conditionalFormatting sqref="B81">
    <cfRule type="cellIs" dxfId="410" priority="7475" stopIfTrue="1" operator="notEqual">
      <formula>1</formula>
    </cfRule>
  </conditionalFormatting>
  <conditionalFormatting sqref="C81">
    <cfRule type="cellIs" dxfId="409" priority="7476" stopIfTrue="1" operator="notEqual">
      <formula>0.03</formula>
    </cfRule>
  </conditionalFormatting>
  <conditionalFormatting sqref="D81">
    <cfRule type="cellIs" dxfId="408" priority="7477" stopIfTrue="1" operator="notEqual">
      <formula>"MGD"</formula>
    </cfRule>
  </conditionalFormatting>
  <conditionalFormatting sqref="E81">
    <cfRule type="cellIs" dxfId="407" priority="7478" stopIfTrue="1" operator="notEqual">
      <formula>0.007</formula>
    </cfRule>
  </conditionalFormatting>
  <conditionalFormatting sqref="F81">
    <cfRule type="cellIs" dxfId="406" priority="7479" stopIfTrue="1" operator="notEqual">
      <formula>"MGD"</formula>
    </cfRule>
  </conditionalFormatting>
  <conditionalFormatting sqref="G81">
    <cfRule type="expression" dxfId="405" priority="7480" stopIfTrue="1">
      <formula>NOT(ISBLANK($G$81))</formula>
    </cfRule>
  </conditionalFormatting>
  <conditionalFormatting sqref="H81">
    <cfRule type="expression" dxfId="404" priority="7481" stopIfTrue="1">
      <formula>NOT(ISBLANK($H$81))</formula>
    </cfRule>
  </conditionalFormatting>
  <conditionalFormatting sqref="I81">
    <cfRule type="expression" dxfId="403" priority="7482" stopIfTrue="1">
      <formula>NOT(ISBLANK($I$81))</formula>
    </cfRule>
  </conditionalFormatting>
  <conditionalFormatting sqref="J81">
    <cfRule type="expression" dxfId="402" priority="7483" stopIfTrue="1">
      <formula>NOT(ISBLANK($J$81))</formula>
    </cfRule>
  </conditionalFormatting>
  <conditionalFormatting sqref="K81">
    <cfRule type="expression" dxfId="401" priority="7484" stopIfTrue="1">
      <formula>NOT(ISBLANK($K$81))</formula>
    </cfRule>
  </conditionalFormatting>
  <conditionalFormatting sqref="L81">
    <cfRule type="expression" dxfId="400" priority="7485" stopIfTrue="1">
      <formula>NOT(ISBLANK($L$81))</formula>
    </cfRule>
  </conditionalFormatting>
  <conditionalFormatting sqref="M81">
    <cfRule type="expression" dxfId="399" priority="7486" stopIfTrue="1">
      <formula>NOT(ISBLANK($M$81))</formula>
    </cfRule>
  </conditionalFormatting>
  <conditionalFormatting sqref="N81">
    <cfRule type="expression" dxfId="398" priority="7487" stopIfTrue="1">
      <formula>NOT(ISBLANK($N$81))</formula>
    </cfRule>
  </conditionalFormatting>
  <conditionalFormatting sqref="O81">
    <cfRule type="expression" dxfId="397" priority="7488" stopIfTrue="1">
      <formula>NOT(ISBLANK($O$81))</formula>
    </cfRule>
  </conditionalFormatting>
  <conditionalFormatting sqref="P81">
    <cfRule type="expression" dxfId="396" priority="7489" stopIfTrue="1">
      <formula>NOT(ISBLANK($P$81))</formula>
    </cfRule>
  </conditionalFormatting>
  <conditionalFormatting sqref="Q81">
    <cfRule type="expression" dxfId="395" priority="7490" stopIfTrue="1">
      <formula>NOT(ISBLANK($Q$81))</formula>
    </cfRule>
  </conditionalFormatting>
  <conditionalFormatting sqref="R81">
    <cfRule type="expression" dxfId="394" priority="7491" stopIfTrue="1">
      <formula>NOT(ISBLANK($R$81))</formula>
    </cfRule>
  </conditionalFormatting>
  <conditionalFormatting sqref="S81">
    <cfRule type="expression" dxfId="393" priority="7492" stopIfTrue="1">
      <formula>NOT(ISBLANK($S$81))</formula>
    </cfRule>
  </conditionalFormatting>
  <conditionalFormatting sqref="T81">
    <cfRule type="expression" dxfId="392" priority="7493" stopIfTrue="1">
      <formula>NOT(ISBLANK($T$81))</formula>
    </cfRule>
  </conditionalFormatting>
  <conditionalFormatting sqref="U81">
    <cfRule type="expression" dxfId="391" priority="7494" stopIfTrue="1">
      <formula>NOT(ISBLANK($U$81))</formula>
    </cfRule>
  </conditionalFormatting>
  <conditionalFormatting sqref="A82">
    <cfRule type="cellIs" dxfId="390" priority="7498" stopIfTrue="1" operator="notEqual">
      <formula>10</formula>
    </cfRule>
  </conditionalFormatting>
  <conditionalFormatting sqref="B82">
    <cfRule type="cellIs" dxfId="389" priority="7499" stopIfTrue="1" operator="notEqual">
      <formula>2</formula>
    </cfRule>
  </conditionalFormatting>
  <conditionalFormatting sqref="C82">
    <cfRule type="cellIs" dxfId="388" priority="7500" stopIfTrue="1" operator="notEqual">
      <formula>0.124</formula>
    </cfRule>
  </conditionalFormatting>
  <conditionalFormatting sqref="D82">
    <cfRule type="cellIs" dxfId="387" priority="7501" stopIfTrue="1" operator="notEqual">
      <formula>"MGD"</formula>
    </cfRule>
  </conditionalFormatting>
  <conditionalFormatting sqref="E82">
    <cfRule type="cellIs" dxfId="386" priority="7502" stopIfTrue="1" operator="notEqual">
      <formula>0.035</formula>
    </cfRule>
  </conditionalFormatting>
  <conditionalFormatting sqref="F82">
    <cfRule type="cellIs" dxfId="385" priority="7503" stopIfTrue="1" operator="notEqual">
      <formula>"MGD"</formula>
    </cfRule>
  </conditionalFormatting>
  <conditionalFormatting sqref="G82">
    <cfRule type="expression" dxfId="384" priority="7504" stopIfTrue="1">
      <formula>NOT(ISBLANK($G$82))</formula>
    </cfRule>
  </conditionalFormatting>
  <conditionalFormatting sqref="H82">
    <cfRule type="expression" dxfId="383" priority="7505" stopIfTrue="1">
      <formula>NOT(ISBLANK($H$82))</formula>
    </cfRule>
  </conditionalFormatting>
  <conditionalFormatting sqref="I82">
    <cfRule type="expression" dxfId="382" priority="7506" stopIfTrue="1">
      <formula>NOT(ISBLANK($I$82))</formula>
    </cfRule>
  </conditionalFormatting>
  <conditionalFormatting sqref="J82">
    <cfRule type="expression" dxfId="381" priority="7507" stopIfTrue="1">
      <formula>NOT(ISBLANK($J$82))</formula>
    </cfRule>
  </conditionalFormatting>
  <conditionalFormatting sqref="K82">
    <cfRule type="expression" dxfId="380" priority="7508" stopIfTrue="1">
      <formula>NOT(ISBLANK($K$82))</formula>
    </cfRule>
  </conditionalFormatting>
  <conditionalFormatting sqref="L82">
    <cfRule type="expression" dxfId="379" priority="7509" stopIfTrue="1">
      <formula>NOT(ISBLANK($L$82))</formula>
    </cfRule>
  </conditionalFormatting>
  <conditionalFormatting sqref="M82">
    <cfRule type="expression" dxfId="378" priority="7510" stopIfTrue="1">
      <formula>NOT(ISBLANK($M$82))</formula>
    </cfRule>
  </conditionalFormatting>
  <conditionalFormatting sqref="N82">
    <cfRule type="expression" dxfId="377" priority="7511" stopIfTrue="1">
      <formula>NOT(ISBLANK($N$82))</formula>
    </cfRule>
  </conditionalFormatting>
  <conditionalFormatting sqref="O82">
    <cfRule type="expression" dxfId="376" priority="7512" stopIfTrue="1">
      <formula>NOT(ISBLANK($O$82))</formula>
    </cfRule>
  </conditionalFormatting>
  <conditionalFormatting sqref="P82">
    <cfRule type="expression" dxfId="375" priority="7513" stopIfTrue="1">
      <formula>NOT(ISBLANK($P$82))</formula>
    </cfRule>
  </conditionalFormatting>
  <conditionalFormatting sqref="Q82">
    <cfRule type="expression" dxfId="374" priority="7514" stopIfTrue="1">
      <formula>NOT(ISBLANK($Q$82))</formula>
    </cfRule>
  </conditionalFormatting>
  <conditionalFormatting sqref="R82">
    <cfRule type="expression" dxfId="373" priority="7515" stopIfTrue="1">
      <formula>NOT(ISBLANK($R$82))</formula>
    </cfRule>
  </conditionalFormatting>
  <conditionalFormatting sqref="S82">
    <cfRule type="expression" dxfId="372" priority="7516" stopIfTrue="1">
      <formula>NOT(ISBLANK($S$82))</formula>
    </cfRule>
  </conditionalFormatting>
  <conditionalFormatting sqref="T82">
    <cfRule type="expression" dxfId="371" priority="7517" stopIfTrue="1">
      <formula>NOT(ISBLANK($T$82))</formula>
    </cfRule>
  </conditionalFormatting>
  <conditionalFormatting sqref="U82">
    <cfRule type="expression" dxfId="370" priority="7518" stopIfTrue="1">
      <formula>NOT(ISBLANK($U$82))</formula>
    </cfRule>
  </conditionalFormatting>
  <conditionalFormatting sqref="A83">
    <cfRule type="cellIs" dxfId="369" priority="7522" stopIfTrue="1" operator="notEqual">
      <formula>10</formula>
    </cfRule>
  </conditionalFormatting>
  <conditionalFormatting sqref="B83">
    <cfRule type="cellIs" dxfId="368" priority="7523" stopIfTrue="1" operator="notEqual">
      <formula>3</formula>
    </cfRule>
  </conditionalFormatting>
  <conditionalFormatting sqref="C83">
    <cfRule type="cellIs" dxfId="367" priority="7524" stopIfTrue="1" operator="notEqual">
      <formula>0.305</formula>
    </cfRule>
  </conditionalFormatting>
  <conditionalFormatting sqref="D83">
    <cfRule type="cellIs" dxfId="366" priority="7525" stopIfTrue="1" operator="notEqual">
      <formula>"MGD"</formula>
    </cfRule>
  </conditionalFormatting>
  <conditionalFormatting sqref="E83">
    <cfRule type="cellIs" dxfId="365" priority="7526" stopIfTrue="1" operator="notEqual">
      <formula>0.094</formula>
    </cfRule>
  </conditionalFormatting>
  <conditionalFormatting sqref="F83">
    <cfRule type="cellIs" dxfId="364" priority="7527" stopIfTrue="1" operator="notEqual">
      <formula>"MGD"</formula>
    </cfRule>
  </conditionalFormatting>
  <conditionalFormatting sqref="G83">
    <cfRule type="expression" dxfId="363" priority="7528" stopIfTrue="1">
      <formula>NOT(ISBLANK($G$83))</formula>
    </cfRule>
  </conditionalFormatting>
  <conditionalFormatting sqref="H83">
    <cfRule type="expression" dxfId="362" priority="7529" stopIfTrue="1">
      <formula>NOT(ISBLANK($H$83))</formula>
    </cfRule>
  </conditionalFormatting>
  <conditionalFormatting sqref="I83">
    <cfRule type="expression" dxfId="361" priority="7530" stopIfTrue="1">
      <formula>NOT(ISBLANK($I$83))</formula>
    </cfRule>
  </conditionalFormatting>
  <conditionalFormatting sqref="J83">
    <cfRule type="expression" dxfId="360" priority="7531" stopIfTrue="1">
      <formula>NOT(ISBLANK($J$83))</formula>
    </cfRule>
  </conditionalFormatting>
  <conditionalFormatting sqref="K83">
    <cfRule type="expression" dxfId="359" priority="7532" stopIfTrue="1">
      <formula>NOT(ISBLANK($K$83))</formula>
    </cfRule>
  </conditionalFormatting>
  <conditionalFormatting sqref="L83">
    <cfRule type="expression" dxfId="358" priority="7533" stopIfTrue="1">
      <formula>NOT(ISBLANK($L$83))</formula>
    </cfRule>
  </conditionalFormatting>
  <conditionalFormatting sqref="M83">
    <cfRule type="expression" dxfId="357" priority="7534" stopIfTrue="1">
      <formula>NOT(ISBLANK($M$83))</formula>
    </cfRule>
  </conditionalFormatting>
  <conditionalFormatting sqref="N83">
    <cfRule type="expression" dxfId="356" priority="7535" stopIfTrue="1">
      <formula>NOT(ISBLANK($N$83))</formula>
    </cfRule>
  </conditionalFormatting>
  <conditionalFormatting sqref="O83">
    <cfRule type="expression" dxfId="355" priority="7536" stopIfTrue="1">
      <formula>NOT(ISBLANK($O$83))</formula>
    </cfRule>
  </conditionalFormatting>
  <conditionalFormatting sqref="P83">
    <cfRule type="expression" dxfId="354" priority="7537" stopIfTrue="1">
      <formula>NOT(ISBLANK($P$83))</formula>
    </cfRule>
  </conditionalFormatting>
  <conditionalFormatting sqref="Q83">
    <cfRule type="expression" dxfId="353" priority="7538" stopIfTrue="1">
      <formula>NOT(ISBLANK($Q$83))</formula>
    </cfRule>
  </conditionalFormatting>
  <conditionalFormatting sqref="R83">
    <cfRule type="expression" dxfId="352" priority="7539" stopIfTrue="1">
      <formula>NOT(ISBLANK($R$83))</formula>
    </cfRule>
  </conditionalFormatting>
  <conditionalFormatting sqref="S83">
    <cfRule type="expression" dxfId="351" priority="7540" stopIfTrue="1">
      <formula>NOT(ISBLANK($S$83))</formula>
    </cfRule>
  </conditionalFormatting>
  <conditionalFormatting sqref="T83">
    <cfRule type="expression" dxfId="350" priority="7541" stopIfTrue="1">
      <formula>NOT(ISBLANK($T$83))</formula>
    </cfRule>
  </conditionalFormatting>
  <conditionalFormatting sqref="U83">
    <cfRule type="expression" dxfId="349" priority="7542" stopIfTrue="1">
      <formula>NOT(ISBLANK($U$83))</formula>
    </cfRule>
  </conditionalFormatting>
  <conditionalFormatting sqref="A84">
    <cfRule type="cellIs" dxfId="348" priority="7546" stopIfTrue="1" operator="notEqual">
      <formula>10</formula>
    </cfRule>
  </conditionalFormatting>
  <conditionalFormatting sqref="B84">
    <cfRule type="cellIs" dxfId="347" priority="7547" stopIfTrue="1" operator="notEqual">
      <formula>4</formula>
    </cfRule>
  </conditionalFormatting>
  <conditionalFormatting sqref="C84">
    <cfRule type="cellIs" dxfId="346" priority="7548" stopIfTrue="1" operator="notEqual">
      <formula>0.74</formula>
    </cfRule>
  </conditionalFormatting>
  <conditionalFormatting sqref="D84">
    <cfRule type="cellIs" dxfId="345" priority="7549" stopIfTrue="1" operator="notEqual">
      <formula>"MGD"</formula>
    </cfRule>
  </conditionalFormatting>
  <conditionalFormatting sqref="E84">
    <cfRule type="cellIs" dxfId="344" priority="7550" stopIfTrue="1" operator="notEqual">
      <formula>0.251</formula>
    </cfRule>
  </conditionalFormatting>
  <conditionalFormatting sqref="F84">
    <cfRule type="cellIs" dxfId="343" priority="7551" stopIfTrue="1" operator="notEqual">
      <formula>"MGD"</formula>
    </cfRule>
  </conditionalFormatting>
  <conditionalFormatting sqref="G84">
    <cfRule type="expression" dxfId="342" priority="7552" stopIfTrue="1">
      <formula>NOT(ISBLANK($G$84))</formula>
    </cfRule>
  </conditionalFormatting>
  <conditionalFormatting sqref="H84">
    <cfRule type="expression" dxfId="341" priority="7553" stopIfTrue="1">
      <formula>NOT(ISBLANK($H$84))</formula>
    </cfRule>
  </conditionalFormatting>
  <conditionalFormatting sqref="I84">
    <cfRule type="expression" dxfId="340" priority="7554" stopIfTrue="1">
      <formula>NOT(ISBLANK($I$84))</formula>
    </cfRule>
  </conditionalFormatting>
  <conditionalFormatting sqref="J84">
    <cfRule type="expression" dxfId="339" priority="7555" stopIfTrue="1">
      <formula>NOT(ISBLANK($J$84))</formula>
    </cfRule>
  </conditionalFormatting>
  <conditionalFormatting sqref="K84">
    <cfRule type="expression" dxfId="338" priority="7556" stopIfTrue="1">
      <formula>NOT(ISBLANK($K$84))</formula>
    </cfRule>
  </conditionalFormatting>
  <conditionalFormatting sqref="L84">
    <cfRule type="expression" dxfId="337" priority="7557" stopIfTrue="1">
      <formula>NOT(ISBLANK($L$84))</formula>
    </cfRule>
  </conditionalFormatting>
  <conditionalFormatting sqref="M84">
    <cfRule type="expression" dxfId="336" priority="7558" stopIfTrue="1">
      <formula>NOT(ISBLANK($M$84))</formula>
    </cfRule>
  </conditionalFormatting>
  <conditionalFormatting sqref="N84">
    <cfRule type="expression" dxfId="335" priority="7559" stopIfTrue="1">
      <formula>NOT(ISBLANK($N$84))</formula>
    </cfRule>
  </conditionalFormatting>
  <conditionalFormatting sqref="O84">
    <cfRule type="expression" dxfId="334" priority="7560" stopIfTrue="1">
      <formula>NOT(ISBLANK($O$84))</formula>
    </cfRule>
  </conditionalFormatting>
  <conditionalFormatting sqref="P84">
    <cfRule type="expression" dxfId="333" priority="7561" stopIfTrue="1">
      <formula>NOT(ISBLANK($P$84))</formula>
    </cfRule>
  </conditionalFormatting>
  <conditionalFormatting sqref="Q84">
    <cfRule type="expression" dxfId="332" priority="7562" stopIfTrue="1">
      <formula>NOT(ISBLANK($Q$84))</formula>
    </cfRule>
  </conditionalFormatting>
  <conditionalFormatting sqref="R84">
    <cfRule type="expression" dxfId="331" priority="7563" stopIfTrue="1">
      <formula>NOT(ISBLANK($R$84))</formula>
    </cfRule>
  </conditionalFormatting>
  <conditionalFormatting sqref="S84">
    <cfRule type="expression" dxfId="330" priority="7564" stopIfTrue="1">
      <formula>NOT(ISBLANK($S$84))</formula>
    </cfRule>
  </conditionalFormatting>
  <conditionalFormatting sqref="T84">
    <cfRule type="expression" dxfId="329" priority="7565" stopIfTrue="1">
      <formula>NOT(ISBLANK($T$84))</formula>
    </cfRule>
  </conditionalFormatting>
  <conditionalFormatting sqref="U84">
    <cfRule type="expression" dxfId="328" priority="7566" stopIfTrue="1">
      <formula>NOT(ISBLANK($U$84))</formula>
    </cfRule>
  </conditionalFormatting>
  <conditionalFormatting sqref="A85">
    <cfRule type="cellIs" dxfId="327" priority="7570" stopIfTrue="1" operator="notEqual">
      <formula>10</formula>
    </cfRule>
  </conditionalFormatting>
  <conditionalFormatting sqref="B85">
    <cfRule type="cellIs" dxfId="326" priority="7571" stopIfTrue="1" operator="notEqual">
      <formula>5</formula>
    </cfRule>
  </conditionalFormatting>
  <conditionalFormatting sqref="C85">
    <cfRule type="cellIs" dxfId="325" priority="7572" stopIfTrue="1" operator="notEqual">
      <formula>2.152</formula>
    </cfRule>
  </conditionalFormatting>
  <conditionalFormatting sqref="D85">
    <cfRule type="cellIs" dxfId="324" priority="7573" stopIfTrue="1" operator="notEqual">
      <formula>"MGD"</formula>
    </cfRule>
  </conditionalFormatting>
  <conditionalFormatting sqref="E85">
    <cfRule type="cellIs" dxfId="323" priority="7574" stopIfTrue="1" operator="notEqual">
      <formula>0.819</formula>
    </cfRule>
  </conditionalFormatting>
  <conditionalFormatting sqref="F85">
    <cfRule type="cellIs" dxfId="322" priority="7575" stopIfTrue="1" operator="notEqual">
      <formula>"MGD"</formula>
    </cfRule>
  </conditionalFormatting>
  <conditionalFormatting sqref="G85">
    <cfRule type="expression" dxfId="321" priority="7576" stopIfTrue="1">
      <formula>NOT(ISBLANK($G$85))</formula>
    </cfRule>
  </conditionalFormatting>
  <conditionalFormatting sqref="H85">
    <cfRule type="expression" dxfId="320" priority="7577" stopIfTrue="1">
      <formula>NOT(ISBLANK($H$85))</formula>
    </cfRule>
  </conditionalFormatting>
  <conditionalFormatting sqref="I85">
    <cfRule type="expression" dxfId="319" priority="7578" stopIfTrue="1">
      <formula>NOT(ISBLANK($I$85))</formula>
    </cfRule>
  </conditionalFormatting>
  <conditionalFormatting sqref="J85">
    <cfRule type="expression" dxfId="318" priority="7579" stopIfTrue="1">
      <formula>NOT(ISBLANK($J$85))</formula>
    </cfRule>
  </conditionalFormatting>
  <conditionalFormatting sqref="K85">
    <cfRule type="expression" dxfId="317" priority="7580" stopIfTrue="1">
      <formula>NOT(ISBLANK($K$85))</formula>
    </cfRule>
  </conditionalFormatting>
  <conditionalFormatting sqref="L85">
    <cfRule type="expression" dxfId="316" priority="7581" stopIfTrue="1">
      <formula>NOT(ISBLANK($L$85))</formula>
    </cfRule>
  </conditionalFormatting>
  <conditionalFormatting sqref="M85">
    <cfRule type="expression" dxfId="315" priority="7582" stopIfTrue="1">
      <formula>NOT(ISBLANK($M$85))</formula>
    </cfRule>
  </conditionalFormatting>
  <conditionalFormatting sqref="N85">
    <cfRule type="expression" dxfId="314" priority="7583" stopIfTrue="1">
      <formula>NOT(ISBLANK($N$85))</formula>
    </cfRule>
  </conditionalFormatting>
  <conditionalFormatting sqref="O85">
    <cfRule type="expression" dxfId="313" priority="7584" stopIfTrue="1">
      <formula>NOT(ISBLANK($O$85))</formula>
    </cfRule>
  </conditionalFormatting>
  <conditionalFormatting sqref="P85">
    <cfRule type="expression" dxfId="312" priority="7585" stopIfTrue="1">
      <formula>NOT(ISBLANK($P$85))</formula>
    </cfRule>
  </conditionalFormatting>
  <conditionalFormatting sqref="Q85">
    <cfRule type="expression" dxfId="311" priority="7586" stopIfTrue="1">
      <formula>NOT(ISBLANK($Q$85))</formula>
    </cfRule>
  </conditionalFormatting>
  <conditionalFormatting sqref="R85">
    <cfRule type="expression" dxfId="310" priority="7587" stopIfTrue="1">
      <formula>NOT(ISBLANK($R$85))</formula>
    </cfRule>
  </conditionalFormatting>
  <conditionalFormatting sqref="S85">
    <cfRule type="expression" dxfId="309" priority="7588" stopIfTrue="1">
      <formula>NOT(ISBLANK($S$85))</formula>
    </cfRule>
  </conditionalFormatting>
  <conditionalFormatting sqref="T85">
    <cfRule type="expression" dxfId="308" priority="7589" stopIfTrue="1">
      <formula>NOT(ISBLANK($T$85))</formula>
    </cfRule>
  </conditionalFormatting>
  <conditionalFormatting sqref="U85">
    <cfRule type="expression" dxfId="307" priority="7590" stopIfTrue="1">
      <formula>NOT(ISBLANK($U$85))</formula>
    </cfRule>
  </conditionalFormatting>
  <conditionalFormatting sqref="A86">
    <cfRule type="cellIs" dxfId="306" priority="7594" stopIfTrue="1" operator="notEqual">
      <formula>10</formula>
    </cfRule>
  </conditionalFormatting>
  <conditionalFormatting sqref="B86">
    <cfRule type="cellIs" dxfId="305" priority="7595" stopIfTrue="1" operator="notEqual">
      <formula>6</formula>
    </cfRule>
  </conditionalFormatting>
  <conditionalFormatting sqref="C86">
    <cfRule type="cellIs" dxfId="304" priority="7596" stopIfTrue="1" operator="notEqual">
      <formula>7.365</formula>
    </cfRule>
  </conditionalFormatting>
  <conditionalFormatting sqref="D86">
    <cfRule type="cellIs" dxfId="303" priority="7597" stopIfTrue="1" operator="notEqual">
      <formula>"MGD"</formula>
    </cfRule>
  </conditionalFormatting>
  <conditionalFormatting sqref="E86">
    <cfRule type="cellIs" dxfId="302" priority="7598" stopIfTrue="1" operator="notEqual">
      <formula>3.2</formula>
    </cfRule>
  </conditionalFormatting>
  <conditionalFormatting sqref="F86">
    <cfRule type="cellIs" dxfId="301" priority="7599" stopIfTrue="1" operator="notEqual">
      <formula>"MGD"</formula>
    </cfRule>
  </conditionalFormatting>
  <conditionalFormatting sqref="G86">
    <cfRule type="expression" dxfId="300" priority="7600" stopIfTrue="1">
      <formula>NOT(ISBLANK($G$86))</formula>
    </cfRule>
  </conditionalFormatting>
  <conditionalFormatting sqref="H86">
    <cfRule type="expression" dxfId="299" priority="7601" stopIfTrue="1">
      <formula>NOT(ISBLANK($H$86))</formula>
    </cfRule>
  </conditionalFormatting>
  <conditionalFormatting sqref="I86">
    <cfRule type="expression" dxfId="298" priority="7602" stopIfTrue="1">
      <formula>NOT(ISBLANK($I$86))</formula>
    </cfRule>
  </conditionalFormatting>
  <conditionalFormatting sqref="J86">
    <cfRule type="expression" dxfId="297" priority="7603" stopIfTrue="1">
      <formula>NOT(ISBLANK($J$86))</formula>
    </cfRule>
  </conditionalFormatting>
  <conditionalFormatting sqref="K86">
    <cfRule type="expression" dxfId="296" priority="7604" stopIfTrue="1">
      <formula>NOT(ISBLANK($K$86))</formula>
    </cfRule>
  </conditionalFormatting>
  <conditionalFormatting sqref="L86">
    <cfRule type="expression" dxfId="295" priority="7605" stopIfTrue="1">
      <formula>NOT(ISBLANK($L$86))</formula>
    </cfRule>
  </conditionalFormatting>
  <conditionalFormatting sqref="M86">
    <cfRule type="expression" dxfId="294" priority="7606" stopIfTrue="1">
      <formula>NOT(ISBLANK($M$86))</formula>
    </cfRule>
  </conditionalFormatting>
  <conditionalFormatting sqref="N86">
    <cfRule type="expression" dxfId="293" priority="7607" stopIfTrue="1">
      <formula>NOT(ISBLANK($N$86))</formula>
    </cfRule>
  </conditionalFormatting>
  <conditionalFormatting sqref="O86">
    <cfRule type="expression" dxfId="292" priority="7608" stopIfTrue="1">
      <formula>NOT(ISBLANK($O$86))</formula>
    </cfRule>
  </conditionalFormatting>
  <conditionalFormatting sqref="P86">
    <cfRule type="expression" dxfId="291" priority="7609" stopIfTrue="1">
      <formula>NOT(ISBLANK($P$86))</formula>
    </cfRule>
  </conditionalFormatting>
  <conditionalFormatting sqref="Q86">
    <cfRule type="expression" dxfId="290" priority="7610" stopIfTrue="1">
      <formula>NOT(ISBLANK($Q$86))</formula>
    </cfRule>
  </conditionalFormatting>
  <conditionalFormatting sqref="R86">
    <cfRule type="expression" dxfId="289" priority="7611" stopIfTrue="1">
      <formula>NOT(ISBLANK($R$86))</formula>
    </cfRule>
  </conditionalFormatting>
  <conditionalFormatting sqref="S86">
    <cfRule type="expression" dxfId="288" priority="7612" stopIfTrue="1">
      <formula>NOT(ISBLANK($S$86))</formula>
    </cfRule>
  </conditionalFormatting>
  <conditionalFormatting sqref="T86">
    <cfRule type="expression" dxfId="287" priority="7613" stopIfTrue="1">
      <formula>NOT(ISBLANK($T$86))</formula>
    </cfRule>
  </conditionalFormatting>
  <conditionalFormatting sqref="U86">
    <cfRule type="expression" dxfId="286" priority="7614" stopIfTrue="1">
      <formula>NOT(ISBLANK($U$86))</formula>
    </cfRule>
  </conditionalFormatting>
  <conditionalFormatting sqref="A87">
    <cfRule type="cellIs" dxfId="285" priority="7618" stopIfTrue="1" operator="notEqual">
      <formula>10</formula>
    </cfRule>
  </conditionalFormatting>
  <conditionalFormatting sqref="B87">
    <cfRule type="cellIs" dxfId="284" priority="7619" stopIfTrue="1" operator="notEqual">
      <formula>7</formula>
    </cfRule>
  </conditionalFormatting>
  <conditionalFormatting sqref="C87">
    <cfRule type="cellIs" dxfId="283" priority="7620" stopIfTrue="1" operator="notEqual">
      <formula>22.614</formula>
    </cfRule>
  </conditionalFormatting>
  <conditionalFormatting sqref="D87">
    <cfRule type="cellIs" dxfId="282" priority="7621" stopIfTrue="1" operator="notEqual">
      <formula>"MGD"</formula>
    </cfRule>
  </conditionalFormatting>
  <conditionalFormatting sqref="E87">
    <cfRule type="cellIs" dxfId="281" priority="7622" stopIfTrue="1" operator="notEqual">
      <formula>11.066</formula>
    </cfRule>
  </conditionalFormatting>
  <conditionalFormatting sqref="F87">
    <cfRule type="cellIs" dxfId="280" priority="7623" stopIfTrue="1" operator="notEqual">
      <formula>"MGD"</formula>
    </cfRule>
  </conditionalFormatting>
  <conditionalFormatting sqref="G87">
    <cfRule type="expression" dxfId="279" priority="7624" stopIfTrue="1">
      <formula>NOT(ISBLANK($G$87))</formula>
    </cfRule>
  </conditionalFormatting>
  <conditionalFormatting sqref="H87">
    <cfRule type="expression" dxfId="278" priority="7625" stopIfTrue="1">
      <formula>NOT(ISBLANK($H$87))</formula>
    </cfRule>
  </conditionalFormatting>
  <conditionalFormatting sqref="I87">
    <cfRule type="expression" dxfId="277" priority="7626" stopIfTrue="1">
      <formula>NOT(ISBLANK($I$87))</formula>
    </cfRule>
  </conditionalFormatting>
  <conditionalFormatting sqref="J87">
    <cfRule type="expression" dxfId="276" priority="7627" stopIfTrue="1">
      <formula>NOT(ISBLANK($J$87))</formula>
    </cfRule>
  </conditionalFormatting>
  <conditionalFormatting sqref="K87">
    <cfRule type="expression" dxfId="275" priority="7628" stopIfTrue="1">
      <formula>NOT(ISBLANK($K$87))</formula>
    </cfRule>
  </conditionalFormatting>
  <conditionalFormatting sqref="L87">
    <cfRule type="expression" dxfId="274" priority="7629" stopIfTrue="1">
      <formula>NOT(ISBLANK($L$87))</formula>
    </cfRule>
  </conditionalFormatting>
  <conditionalFormatting sqref="M87">
    <cfRule type="expression" dxfId="273" priority="7630" stopIfTrue="1">
      <formula>NOT(ISBLANK($M$87))</formula>
    </cfRule>
  </conditionalFormatting>
  <conditionalFormatting sqref="N87">
    <cfRule type="expression" dxfId="272" priority="7631" stopIfTrue="1">
      <formula>NOT(ISBLANK($N$87))</formula>
    </cfRule>
  </conditionalFormatting>
  <conditionalFormatting sqref="O87">
    <cfRule type="expression" dxfId="271" priority="7632" stopIfTrue="1">
      <formula>NOT(ISBLANK($O$87))</formula>
    </cfRule>
  </conditionalFormatting>
  <conditionalFormatting sqref="P87">
    <cfRule type="expression" dxfId="270" priority="7633" stopIfTrue="1">
      <formula>NOT(ISBLANK($P$87))</formula>
    </cfRule>
  </conditionalFormatting>
  <conditionalFormatting sqref="Q87">
    <cfRule type="expression" dxfId="269" priority="7634" stopIfTrue="1">
      <formula>NOT(ISBLANK($Q$87))</formula>
    </cfRule>
  </conditionalFormatting>
  <conditionalFormatting sqref="R87">
    <cfRule type="expression" dxfId="268" priority="7635" stopIfTrue="1">
      <formula>NOT(ISBLANK($R$87))</formula>
    </cfRule>
  </conditionalFormatting>
  <conditionalFormatting sqref="S87">
    <cfRule type="expression" dxfId="267" priority="7636" stopIfTrue="1">
      <formula>NOT(ISBLANK($S$87))</formula>
    </cfRule>
  </conditionalFormatting>
  <conditionalFormatting sqref="T87">
    <cfRule type="expression" dxfId="266" priority="7637" stopIfTrue="1">
      <formula>NOT(ISBLANK($T$87))</formula>
    </cfRule>
  </conditionalFormatting>
  <conditionalFormatting sqref="U87">
    <cfRule type="expression" dxfId="265" priority="7638" stopIfTrue="1">
      <formula>NOT(ISBLANK($U$87))</formula>
    </cfRule>
  </conditionalFormatting>
  <conditionalFormatting sqref="A88">
    <cfRule type="cellIs" dxfId="264" priority="7642" stopIfTrue="1" operator="notEqual">
      <formula>10</formula>
    </cfRule>
  </conditionalFormatting>
  <conditionalFormatting sqref="B88">
    <cfRule type="cellIs" dxfId="263" priority="7643" stopIfTrue="1" operator="notEqual">
      <formula>8</formula>
    </cfRule>
  </conditionalFormatting>
  <conditionalFormatting sqref="C88">
    <cfRule type="cellIs" dxfId="262" priority="7644" stopIfTrue="1" operator="notEqual">
      <formula>75.072</formula>
    </cfRule>
  </conditionalFormatting>
  <conditionalFormatting sqref="D88">
    <cfRule type="cellIs" dxfId="261" priority="7645" stopIfTrue="1" operator="notEqual">
      <formula>"MGD"</formula>
    </cfRule>
  </conditionalFormatting>
  <conditionalFormatting sqref="E88">
    <cfRule type="cellIs" dxfId="260" priority="7646" stopIfTrue="1" operator="notEqual">
      <formula>37.536</formula>
    </cfRule>
  </conditionalFormatting>
  <conditionalFormatting sqref="F88">
    <cfRule type="cellIs" dxfId="259" priority="7647" stopIfTrue="1" operator="notEqual">
      <formula>"MGD"</formula>
    </cfRule>
  </conditionalFormatting>
  <conditionalFormatting sqref="G88">
    <cfRule type="expression" dxfId="258" priority="7648" stopIfTrue="1">
      <formula>NOT(ISBLANK($G$88))</formula>
    </cfRule>
  </conditionalFormatting>
  <conditionalFormatting sqref="H88">
    <cfRule type="expression" dxfId="257" priority="7649" stopIfTrue="1">
      <formula>NOT(ISBLANK($H$88))</formula>
    </cfRule>
  </conditionalFormatting>
  <conditionalFormatting sqref="I88">
    <cfRule type="expression" dxfId="256" priority="7650" stopIfTrue="1">
      <formula>NOT(ISBLANK($I$88))</formula>
    </cfRule>
  </conditionalFormatting>
  <conditionalFormatting sqref="J88">
    <cfRule type="expression" dxfId="255" priority="7651" stopIfTrue="1">
      <formula>NOT(ISBLANK($J$88))</formula>
    </cfRule>
  </conditionalFormatting>
  <conditionalFormatting sqref="K88">
    <cfRule type="expression" dxfId="254" priority="7652" stopIfTrue="1">
      <formula>NOT(ISBLANK($K$88))</formula>
    </cfRule>
  </conditionalFormatting>
  <conditionalFormatting sqref="L88">
    <cfRule type="expression" dxfId="253" priority="7653" stopIfTrue="1">
      <formula>NOT(ISBLANK($L$88))</formula>
    </cfRule>
  </conditionalFormatting>
  <conditionalFormatting sqref="M88">
    <cfRule type="expression" dxfId="252" priority="7654" stopIfTrue="1">
      <formula>NOT(ISBLANK($M$88))</formula>
    </cfRule>
  </conditionalFormatting>
  <conditionalFormatting sqref="N88">
    <cfRule type="expression" dxfId="251" priority="7655" stopIfTrue="1">
      <formula>NOT(ISBLANK($N$88))</formula>
    </cfRule>
  </conditionalFormatting>
  <conditionalFormatting sqref="O88">
    <cfRule type="expression" dxfId="250" priority="7656" stopIfTrue="1">
      <formula>NOT(ISBLANK($O$88))</formula>
    </cfRule>
  </conditionalFormatting>
  <conditionalFormatting sqref="P88">
    <cfRule type="expression" dxfId="249" priority="7657" stopIfTrue="1">
      <formula>NOT(ISBLANK($P$88))</formula>
    </cfRule>
  </conditionalFormatting>
  <conditionalFormatting sqref="Q88">
    <cfRule type="expression" dxfId="248" priority="7658" stopIfTrue="1">
      <formula>NOT(ISBLANK($Q$88))</formula>
    </cfRule>
  </conditionalFormatting>
  <conditionalFormatting sqref="R88">
    <cfRule type="expression" dxfId="247" priority="7659" stopIfTrue="1">
      <formula>NOT(ISBLANK($R$88))</formula>
    </cfRule>
  </conditionalFormatting>
  <conditionalFormatting sqref="S88">
    <cfRule type="expression" dxfId="246" priority="7660" stopIfTrue="1">
      <formula>NOT(ISBLANK($S$88))</formula>
    </cfRule>
  </conditionalFormatting>
  <conditionalFormatting sqref="T88">
    <cfRule type="expression" dxfId="245" priority="7661" stopIfTrue="1">
      <formula>NOT(ISBLANK($T$88))</formula>
    </cfRule>
  </conditionalFormatting>
  <conditionalFormatting sqref="U88">
    <cfRule type="expression" dxfId="244" priority="7662" stopIfTrue="1">
      <formula>NOT(ISBLANK($U$88))</formula>
    </cfRule>
  </conditionalFormatting>
  <conditionalFormatting sqref="V8">
    <cfRule type="cellIs" dxfId="243" priority="1" stopIfTrue="1" operator="notEqual">
      <formula>"include_buildings_I"</formula>
    </cfRule>
  </conditionalFormatting>
  <conditionalFormatting sqref="W8">
    <cfRule type="cellIs" dxfId="242" priority="2" stopIfTrue="1" operator="notEqual">
      <formula>"include_HVAC_I"</formula>
    </cfRule>
  </conditionalFormatting>
  <conditionalFormatting sqref="X8">
    <cfRule type="cellIs" dxfId="241" priority="3" stopIfTrue="1" operator="notEqual">
      <formula>"include_land_I"</formula>
    </cfRule>
  </conditionalFormatting>
  <conditionalFormatting sqref="V9">
    <cfRule type="expression" dxfId="240" priority="4" stopIfTrue="1">
      <formula>NOT(ISBLANK($V$9))</formula>
    </cfRule>
  </conditionalFormatting>
  <conditionalFormatting sqref="W9">
    <cfRule type="expression" dxfId="239" priority="5" stopIfTrue="1">
      <formula>NOT(ISBLANK($W$9))</formula>
    </cfRule>
  </conditionalFormatting>
  <conditionalFormatting sqref="X9">
    <cfRule type="expression" dxfId="238" priority="6" stopIfTrue="1">
      <formula>NOT(ISBLANK($X$9))</formula>
    </cfRule>
  </conditionalFormatting>
  <conditionalFormatting sqref="V10">
    <cfRule type="expression" dxfId="237" priority="7" stopIfTrue="1">
      <formula>NOT(ISBLANK($V$10))</formula>
    </cfRule>
  </conditionalFormatting>
  <conditionalFormatting sqref="W10">
    <cfRule type="expression" dxfId="236" priority="8" stopIfTrue="1">
      <formula>NOT(ISBLANK($W$10))</formula>
    </cfRule>
  </conditionalFormatting>
  <conditionalFormatting sqref="X10">
    <cfRule type="expression" dxfId="235" priority="9" stopIfTrue="1">
      <formula>NOT(ISBLANK($X$10))</formula>
    </cfRule>
  </conditionalFormatting>
  <conditionalFormatting sqref="V11">
    <cfRule type="expression" dxfId="234" priority="10" stopIfTrue="1">
      <formula>NOT(ISBLANK($V$11))</formula>
    </cfRule>
  </conditionalFormatting>
  <conditionalFormatting sqref="W11">
    <cfRule type="expression" dxfId="233" priority="11" stopIfTrue="1">
      <formula>NOT(ISBLANK($W$11))</formula>
    </cfRule>
  </conditionalFormatting>
  <conditionalFormatting sqref="X11">
    <cfRule type="expression" dxfId="232" priority="12" stopIfTrue="1">
      <formula>NOT(ISBLANK($X$11))</formula>
    </cfRule>
  </conditionalFormatting>
  <conditionalFormatting sqref="V12">
    <cfRule type="expression" dxfId="231" priority="13" stopIfTrue="1">
      <formula>NOT(ISBLANK($V$12))</formula>
    </cfRule>
  </conditionalFormatting>
  <conditionalFormatting sqref="W12">
    <cfRule type="expression" dxfId="230" priority="14" stopIfTrue="1">
      <formula>NOT(ISBLANK($W$12))</formula>
    </cfRule>
  </conditionalFormatting>
  <conditionalFormatting sqref="X12">
    <cfRule type="expression" dxfId="229" priority="15" stopIfTrue="1">
      <formula>NOT(ISBLANK($X$12))</formula>
    </cfRule>
  </conditionalFormatting>
  <conditionalFormatting sqref="V13">
    <cfRule type="expression" dxfId="228" priority="16" stopIfTrue="1">
      <formula>NOT(ISBLANK($V$13))</formula>
    </cfRule>
  </conditionalFormatting>
  <conditionalFormatting sqref="W13">
    <cfRule type="expression" dxfId="227" priority="17" stopIfTrue="1">
      <formula>NOT(ISBLANK($W$13))</formula>
    </cfRule>
  </conditionalFormatting>
  <conditionalFormatting sqref="X13">
    <cfRule type="expression" dxfId="226" priority="18" stopIfTrue="1">
      <formula>NOT(ISBLANK($X$13))</formula>
    </cfRule>
  </conditionalFormatting>
  <conditionalFormatting sqref="V14">
    <cfRule type="expression" dxfId="225" priority="19" stopIfTrue="1">
      <formula>NOT(ISBLANK($V$14))</formula>
    </cfRule>
  </conditionalFormatting>
  <conditionalFormatting sqref="W14">
    <cfRule type="expression" dxfId="224" priority="20" stopIfTrue="1">
      <formula>NOT(ISBLANK($W$14))</formula>
    </cfRule>
  </conditionalFormatting>
  <conditionalFormatting sqref="X14">
    <cfRule type="expression" dxfId="223" priority="21" stopIfTrue="1">
      <formula>NOT(ISBLANK($X$14))</formula>
    </cfRule>
  </conditionalFormatting>
  <conditionalFormatting sqref="V15">
    <cfRule type="expression" dxfId="222" priority="22" stopIfTrue="1">
      <formula>NOT(ISBLANK($V$15))</formula>
    </cfRule>
  </conditionalFormatting>
  <conditionalFormatting sqref="W15">
    <cfRule type="expression" dxfId="221" priority="23" stopIfTrue="1">
      <formula>NOT(ISBLANK($W$15))</formula>
    </cfRule>
  </conditionalFormatting>
  <conditionalFormatting sqref="X15">
    <cfRule type="expression" dxfId="220" priority="24" stopIfTrue="1">
      <formula>NOT(ISBLANK($X$15))</formula>
    </cfRule>
  </conditionalFormatting>
  <conditionalFormatting sqref="V16">
    <cfRule type="expression" dxfId="219" priority="25" stopIfTrue="1">
      <formula>NOT(ISBLANK($V$16))</formula>
    </cfRule>
  </conditionalFormatting>
  <conditionalFormatting sqref="W16">
    <cfRule type="expression" dxfId="218" priority="26" stopIfTrue="1">
      <formula>NOT(ISBLANK($W$16))</formula>
    </cfRule>
  </conditionalFormatting>
  <conditionalFormatting sqref="X16">
    <cfRule type="expression" dxfId="217" priority="27" stopIfTrue="1">
      <formula>NOT(ISBLANK($X$16))</formula>
    </cfRule>
  </conditionalFormatting>
  <conditionalFormatting sqref="V17">
    <cfRule type="expression" dxfId="216" priority="28" stopIfTrue="1">
      <formula>NOT(ISBLANK($V$17))</formula>
    </cfRule>
  </conditionalFormatting>
  <conditionalFormatting sqref="W17">
    <cfRule type="expression" dxfId="215" priority="29" stopIfTrue="1">
      <formula>NOT(ISBLANK($W$17))</formula>
    </cfRule>
  </conditionalFormatting>
  <conditionalFormatting sqref="X17">
    <cfRule type="expression" dxfId="214" priority="30" stopIfTrue="1">
      <formula>NOT(ISBLANK($X$17))</formula>
    </cfRule>
  </conditionalFormatting>
  <conditionalFormatting sqref="V18">
    <cfRule type="expression" dxfId="213" priority="31" stopIfTrue="1">
      <formula>NOT(ISBLANK($V$18))</formula>
    </cfRule>
  </conditionalFormatting>
  <conditionalFormatting sqref="W18">
    <cfRule type="expression" dxfId="212" priority="32" stopIfTrue="1">
      <formula>NOT(ISBLANK($W$18))</formula>
    </cfRule>
  </conditionalFormatting>
  <conditionalFormatting sqref="X18">
    <cfRule type="expression" dxfId="211" priority="33" stopIfTrue="1">
      <formula>NOT(ISBLANK($X$18))</formula>
    </cfRule>
  </conditionalFormatting>
  <conditionalFormatting sqref="V19">
    <cfRule type="expression" dxfId="210" priority="34" stopIfTrue="1">
      <formula>NOT(ISBLANK($V$19))</formula>
    </cfRule>
  </conditionalFormatting>
  <conditionalFormatting sqref="W19">
    <cfRule type="expression" dxfId="209" priority="35" stopIfTrue="1">
      <formula>NOT(ISBLANK($W$19))</formula>
    </cfRule>
  </conditionalFormatting>
  <conditionalFormatting sqref="X19">
    <cfRule type="expression" dxfId="208" priority="36" stopIfTrue="1">
      <formula>NOT(ISBLANK($X$19))</formula>
    </cfRule>
  </conditionalFormatting>
  <conditionalFormatting sqref="V20">
    <cfRule type="expression" dxfId="207" priority="37" stopIfTrue="1">
      <formula>NOT(ISBLANK($V$20))</formula>
    </cfRule>
  </conditionalFormatting>
  <conditionalFormatting sqref="W20">
    <cfRule type="expression" dxfId="206" priority="38" stopIfTrue="1">
      <formula>NOT(ISBLANK($W$20))</formula>
    </cfRule>
  </conditionalFormatting>
  <conditionalFormatting sqref="X20">
    <cfRule type="expression" dxfId="205" priority="39" stopIfTrue="1">
      <formula>NOT(ISBLANK($X$20))</formula>
    </cfRule>
  </conditionalFormatting>
  <conditionalFormatting sqref="V21">
    <cfRule type="expression" dxfId="204" priority="40" stopIfTrue="1">
      <formula>NOT(ISBLANK($V$21))</formula>
    </cfRule>
  </conditionalFormatting>
  <conditionalFormatting sqref="W21">
    <cfRule type="expression" dxfId="203" priority="41" stopIfTrue="1">
      <formula>NOT(ISBLANK($W$21))</formula>
    </cfRule>
  </conditionalFormatting>
  <conditionalFormatting sqref="X21">
    <cfRule type="expression" dxfId="202" priority="42" stopIfTrue="1">
      <formula>NOT(ISBLANK($X$21))</formula>
    </cfRule>
  </conditionalFormatting>
  <conditionalFormatting sqref="V22">
    <cfRule type="expression" dxfId="201" priority="43" stopIfTrue="1">
      <formula>NOT(ISBLANK($V$22))</formula>
    </cfRule>
  </conditionalFormatting>
  <conditionalFormatting sqref="W22">
    <cfRule type="expression" dxfId="200" priority="44" stopIfTrue="1">
      <formula>NOT(ISBLANK($W$22))</formula>
    </cfRule>
  </conditionalFormatting>
  <conditionalFormatting sqref="X22">
    <cfRule type="expression" dxfId="199" priority="45" stopIfTrue="1">
      <formula>NOT(ISBLANK($X$22))</formula>
    </cfRule>
  </conditionalFormatting>
  <conditionalFormatting sqref="V23">
    <cfRule type="expression" dxfId="198" priority="46" stopIfTrue="1">
      <formula>NOT(ISBLANK($V$23))</formula>
    </cfRule>
  </conditionalFormatting>
  <conditionalFormatting sqref="W23">
    <cfRule type="expression" dxfId="197" priority="47" stopIfTrue="1">
      <formula>NOT(ISBLANK($W$23))</formula>
    </cfRule>
  </conditionalFormatting>
  <conditionalFormatting sqref="X23">
    <cfRule type="expression" dxfId="196" priority="48" stopIfTrue="1">
      <formula>NOT(ISBLANK($X$23))</formula>
    </cfRule>
  </conditionalFormatting>
  <conditionalFormatting sqref="V24">
    <cfRule type="expression" dxfId="195" priority="49" stopIfTrue="1">
      <formula>NOT(ISBLANK($V$24))</formula>
    </cfRule>
  </conditionalFormatting>
  <conditionalFormatting sqref="W24">
    <cfRule type="expression" dxfId="194" priority="50" stopIfTrue="1">
      <formula>NOT(ISBLANK($W$24))</formula>
    </cfRule>
  </conditionalFormatting>
  <conditionalFormatting sqref="X24">
    <cfRule type="expression" dxfId="193" priority="51" stopIfTrue="1">
      <formula>NOT(ISBLANK($X$24))</formula>
    </cfRule>
  </conditionalFormatting>
  <conditionalFormatting sqref="V25">
    <cfRule type="expression" dxfId="192" priority="52" stopIfTrue="1">
      <formula>NOT(ISBLANK($V$25))</formula>
    </cfRule>
  </conditionalFormatting>
  <conditionalFormatting sqref="W25">
    <cfRule type="expression" dxfId="191" priority="53" stopIfTrue="1">
      <formula>NOT(ISBLANK($W$25))</formula>
    </cfRule>
  </conditionalFormatting>
  <conditionalFormatting sqref="X25">
    <cfRule type="expression" dxfId="190" priority="54" stopIfTrue="1">
      <formula>NOT(ISBLANK($X$25))</formula>
    </cfRule>
  </conditionalFormatting>
  <conditionalFormatting sqref="V26">
    <cfRule type="expression" dxfId="189" priority="55" stopIfTrue="1">
      <formula>NOT(ISBLANK($V$26))</formula>
    </cfRule>
  </conditionalFormatting>
  <conditionalFormatting sqref="W26">
    <cfRule type="expression" dxfId="188" priority="56" stopIfTrue="1">
      <formula>NOT(ISBLANK($W$26))</formula>
    </cfRule>
  </conditionalFormatting>
  <conditionalFormatting sqref="X26">
    <cfRule type="expression" dxfId="187" priority="57" stopIfTrue="1">
      <formula>NOT(ISBLANK($X$26))</formula>
    </cfRule>
  </conditionalFormatting>
  <conditionalFormatting sqref="V27">
    <cfRule type="expression" dxfId="186" priority="58" stopIfTrue="1">
      <formula>NOT(ISBLANK($V$27))</formula>
    </cfRule>
  </conditionalFormatting>
  <conditionalFormatting sqref="W27">
    <cfRule type="expression" dxfId="185" priority="59" stopIfTrue="1">
      <formula>NOT(ISBLANK($W$27))</formula>
    </cfRule>
  </conditionalFormatting>
  <conditionalFormatting sqref="X27">
    <cfRule type="expression" dxfId="184" priority="60" stopIfTrue="1">
      <formula>NOT(ISBLANK($X$27))</formula>
    </cfRule>
  </conditionalFormatting>
  <conditionalFormatting sqref="V28">
    <cfRule type="expression" dxfId="183" priority="61" stopIfTrue="1">
      <formula>NOT(ISBLANK($V$28))</formula>
    </cfRule>
  </conditionalFormatting>
  <conditionalFormatting sqref="W28">
    <cfRule type="expression" dxfId="182" priority="62" stopIfTrue="1">
      <formula>NOT(ISBLANK($W$28))</formula>
    </cfRule>
  </conditionalFormatting>
  <conditionalFormatting sqref="X28">
    <cfRule type="expression" dxfId="181" priority="63" stopIfTrue="1">
      <formula>NOT(ISBLANK($X$28))</formula>
    </cfRule>
  </conditionalFormatting>
  <conditionalFormatting sqref="V29">
    <cfRule type="expression" dxfId="180" priority="64" stopIfTrue="1">
      <formula>NOT(ISBLANK($V$29))</formula>
    </cfRule>
  </conditionalFormatting>
  <conditionalFormatting sqref="W29">
    <cfRule type="expression" dxfId="179" priority="65" stopIfTrue="1">
      <formula>NOT(ISBLANK($W$29))</formula>
    </cfRule>
  </conditionalFormatting>
  <conditionalFormatting sqref="X29">
    <cfRule type="expression" dxfId="178" priority="66" stopIfTrue="1">
      <formula>NOT(ISBLANK($X$29))</formula>
    </cfRule>
  </conditionalFormatting>
  <conditionalFormatting sqref="V30">
    <cfRule type="expression" dxfId="177" priority="67" stopIfTrue="1">
      <formula>NOT(ISBLANK($V$30))</formula>
    </cfRule>
  </conditionalFormatting>
  <conditionalFormatting sqref="W30">
    <cfRule type="expression" dxfId="176" priority="68" stopIfTrue="1">
      <formula>NOT(ISBLANK($W$30))</formula>
    </cfRule>
  </conditionalFormatting>
  <conditionalFormatting sqref="X30">
    <cfRule type="expression" dxfId="175" priority="69" stopIfTrue="1">
      <formula>NOT(ISBLANK($X$30))</formula>
    </cfRule>
  </conditionalFormatting>
  <conditionalFormatting sqref="V31">
    <cfRule type="expression" dxfId="174" priority="70" stopIfTrue="1">
      <formula>NOT(ISBLANK($V$31))</formula>
    </cfRule>
  </conditionalFormatting>
  <conditionalFormatting sqref="W31">
    <cfRule type="expression" dxfId="173" priority="71" stopIfTrue="1">
      <formula>NOT(ISBLANK($W$31))</formula>
    </cfRule>
  </conditionalFormatting>
  <conditionalFormatting sqref="X31">
    <cfRule type="expression" dxfId="172" priority="72" stopIfTrue="1">
      <formula>NOT(ISBLANK($X$31))</formula>
    </cfRule>
  </conditionalFormatting>
  <conditionalFormatting sqref="V32">
    <cfRule type="expression" dxfId="171" priority="73" stopIfTrue="1">
      <formula>NOT(ISBLANK($V$32))</formula>
    </cfRule>
  </conditionalFormatting>
  <conditionalFormatting sqref="W32">
    <cfRule type="expression" dxfId="170" priority="74" stopIfTrue="1">
      <formula>NOT(ISBLANK($W$32))</formula>
    </cfRule>
  </conditionalFormatting>
  <conditionalFormatting sqref="X32">
    <cfRule type="expression" dxfId="169" priority="75" stopIfTrue="1">
      <formula>NOT(ISBLANK($X$32))</formula>
    </cfRule>
  </conditionalFormatting>
  <conditionalFormatting sqref="V33">
    <cfRule type="expression" dxfId="168" priority="76" stopIfTrue="1">
      <formula>NOT(ISBLANK($V$33))</formula>
    </cfRule>
  </conditionalFormatting>
  <conditionalFormatting sqref="W33">
    <cfRule type="expression" dxfId="167" priority="77" stopIfTrue="1">
      <formula>NOT(ISBLANK($W$33))</formula>
    </cfRule>
  </conditionalFormatting>
  <conditionalFormatting sqref="X33">
    <cfRule type="expression" dxfId="166" priority="78" stopIfTrue="1">
      <formula>NOT(ISBLANK($X$33))</formula>
    </cfRule>
  </conditionalFormatting>
  <conditionalFormatting sqref="V34">
    <cfRule type="expression" dxfId="165" priority="79" stopIfTrue="1">
      <formula>NOT(ISBLANK($V$34))</formula>
    </cfRule>
  </conditionalFormatting>
  <conditionalFormatting sqref="W34">
    <cfRule type="expression" dxfId="164" priority="80" stopIfTrue="1">
      <formula>NOT(ISBLANK($W$34))</formula>
    </cfRule>
  </conditionalFormatting>
  <conditionalFormatting sqref="X34">
    <cfRule type="expression" dxfId="163" priority="81" stopIfTrue="1">
      <formula>NOT(ISBLANK($X$34))</formula>
    </cfRule>
  </conditionalFormatting>
  <conditionalFormatting sqref="V35">
    <cfRule type="expression" dxfId="162" priority="82" stopIfTrue="1">
      <formula>NOT(ISBLANK($V$35))</formula>
    </cfRule>
  </conditionalFormatting>
  <conditionalFormatting sqref="W35">
    <cfRule type="expression" dxfId="161" priority="83" stopIfTrue="1">
      <formula>NOT(ISBLANK($W$35))</formula>
    </cfRule>
  </conditionalFormatting>
  <conditionalFormatting sqref="X35">
    <cfRule type="expression" dxfId="160" priority="84" stopIfTrue="1">
      <formula>NOT(ISBLANK($X$35))</formula>
    </cfRule>
  </conditionalFormatting>
  <conditionalFormatting sqref="V36">
    <cfRule type="expression" dxfId="159" priority="85" stopIfTrue="1">
      <formula>NOT(ISBLANK($V$36))</formula>
    </cfRule>
  </conditionalFormatting>
  <conditionalFormatting sqref="W36">
    <cfRule type="expression" dxfId="158" priority="86" stopIfTrue="1">
      <formula>NOT(ISBLANK($W$36))</formula>
    </cfRule>
  </conditionalFormatting>
  <conditionalFormatting sqref="X36">
    <cfRule type="expression" dxfId="157" priority="87" stopIfTrue="1">
      <formula>NOT(ISBLANK($X$36))</formula>
    </cfRule>
  </conditionalFormatting>
  <conditionalFormatting sqref="V37">
    <cfRule type="expression" dxfId="156" priority="88" stopIfTrue="1">
      <formula>NOT(ISBLANK($V$37))</formula>
    </cfRule>
  </conditionalFormatting>
  <conditionalFormatting sqref="W37">
    <cfRule type="expression" dxfId="155" priority="89" stopIfTrue="1">
      <formula>NOT(ISBLANK($W$37))</formula>
    </cfRule>
  </conditionalFormatting>
  <conditionalFormatting sqref="X37">
    <cfRule type="expression" dxfId="154" priority="90" stopIfTrue="1">
      <formula>NOT(ISBLANK($X$37))</formula>
    </cfRule>
  </conditionalFormatting>
  <conditionalFormatting sqref="V38">
    <cfRule type="expression" dxfId="153" priority="91" stopIfTrue="1">
      <formula>NOT(ISBLANK($V$38))</formula>
    </cfRule>
  </conditionalFormatting>
  <conditionalFormatting sqref="W38">
    <cfRule type="expression" dxfId="152" priority="92" stopIfTrue="1">
      <formula>NOT(ISBLANK($W$38))</formula>
    </cfRule>
  </conditionalFormatting>
  <conditionalFormatting sqref="X38">
    <cfRule type="expression" dxfId="151" priority="93" stopIfTrue="1">
      <formula>NOT(ISBLANK($X$38))</formula>
    </cfRule>
  </conditionalFormatting>
  <conditionalFormatting sqref="V39">
    <cfRule type="expression" dxfId="150" priority="94" stopIfTrue="1">
      <formula>NOT(ISBLANK($V$39))</formula>
    </cfRule>
  </conditionalFormatting>
  <conditionalFormatting sqref="W39">
    <cfRule type="expression" dxfId="149" priority="95" stopIfTrue="1">
      <formula>NOT(ISBLANK($W$39))</formula>
    </cfRule>
  </conditionalFormatting>
  <conditionalFormatting sqref="X39">
    <cfRule type="expression" dxfId="148" priority="96" stopIfTrue="1">
      <formula>NOT(ISBLANK($X$39))</formula>
    </cfRule>
  </conditionalFormatting>
  <conditionalFormatting sqref="V40">
    <cfRule type="expression" dxfId="147" priority="97" stopIfTrue="1">
      <formula>NOT(ISBLANK($V$40))</formula>
    </cfRule>
  </conditionalFormatting>
  <conditionalFormatting sqref="W40">
    <cfRule type="expression" dxfId="146" priority="98" stopIfTrue="1">
      <formula>NOT(ISBLANK($W$40))</formula>
    </cfRule>
  </conditionalFormatting>
  <conditionalFormatting sqref="X40">
    <cfRule type="expression" dxfId="145" priority="99" stopIfTrue="1">
      <formula>NOT(ISBLANK($X$40))</formula>
    </cfRule>
  </conditionalFormatting>
  <conditionalFormatting sqref="V41">
    <cfRule type="expression" dxfId="144" priority="100" stopIfTrue="1">
      <formula>NOT(ISBLANK($V$41))</formula>
    </cfRule>
  </conditionalFormatting>
  <conditionalFormatting sqref="W41">
    <cfRule type="expression" dxfId="143" priority="101" stopIfTrue="1">
      <formula>NOT(ISBLANK($W$41))</formula>
    </cfRule>
  </conditionalFormatting>
  <conditionalFormatting sqref="X41">
    <cfRule type="expression" dxfId="142" priority="102" stopIfTrue="1">
      <formula>NOT(ISBLANK($X$41))</formula>
    </cfRule>
  </conditionalFormatting>
  <conditionalFormatting sqref="V42">
    <cfRule type="expression" dxfId="141" priority="103" stopIfTrue="1">
      <formula>NOT(ISBLANK($V$42))</formula>
    </cfRule>
  </conditionalFormatting>
  <conditionalFormatting sqref="W42">
    <cfRule type="expression" dxfId="140" priority="104" stopIfTrue="1">
      <formula>NOT(ISBLANK($W$42))</formula>
    </cfRule>
  </conditionalFormatting>
  <conditionalFormatting sqref="X42">
    <cfRule type="expression" dxfId="139" priority="105" stopIfTrue="1">
      <formula>NOT(ISBLANK($X$42))</formula>
    </cfRule>
  </conditionalFormatting>
  <conditionalFormatting sqref="V43">
    <cfRule type="expression" dxfId="138" priority="106" stopIfTrue="1">
      <formula>NOT(ISBLANK($V$43))</formula>
    </cfRule>
  </conditionalFormatting>
  <conditionalFormatting sqref="W43">
    <cfRule type="expression" dxfId="137" priority="107" stopIfTrue="1">
      <formula>NOT(ISBLANK($W$43))</formula>
    </cfRule>
  </conditionalFormatting>
  <conditionalFormatting sqref="X43">
    <cfRule type="expression" dxfId="136" priority="108" stopIfTrue="1">
      <formula>NOT(ISBLANK($X$43))</formula>
    </cfRule>
  </conditionalFormatting>
  <conditionalFormatting sqref="V44">
    <cfRule type="expression" dxfId="135" priority="109" stopIfTrue="1">
      <formula>NOT(ISBLANK($V$44))</formula>
    </cfRule>
  </conditionalFormatting>
  <conditionalFormatting sqref="W44">
    <cfRule type="expression" dxfId="134" priority="110" stopIfTrue="1">
      <formula>NOT(ISBLANK($W$44))</formula>
    </cfRule>
  </conditionalFormatting>
  <conditionalFormatting sqref="X44">
    <cfRule type="expression" dxfId="133" priority="111" stopIfTrue="1">
      <formula>NOT(ISBLANK($X$44))</formula>
    </cfRule>
  </conditionalFormatting>
  <conditionalFormatting sqref="V45">
    <cfRule type="expression" dxfId="132" priority="112" stopIfTrue="1">
      <formula>NOT(ISBLANK($V$45))</formula>
    </cfRule>
  </conditionalFormatting>
  <conditionalFormatting sqref="W45">
    <cfRule type="expression" dxfId="131" priority="113" stopIfTrue="1">
      <formula>NOT(ISBLANK($W$45))</formula>
    </cfRule>
  </conditionalFormatting>
  <conditionalFormatting sqref="X45">
    <cfRule type="expression" dxfId="130" priority="114" stopIfTrue="1">
      <formula>NOT(ISBLANK($X$45))</formula>
    </cfRule>
  </conditionalFormatting>
  <conditionalFormatting sqref="V46">
    <cfRule type="expression" dxfId="129" priority="115" stopIfTrue="1">
      <formula>NOT(ISBLANK($V$46))</formula>
    </cfRule>
  </conditionalFormatting>
  <conditionalFormatting sqref="W46">
    <cfRule type="expression" dxfId="128" priority="116" stopIfTrue="1">
      <formula>NOT(ISBLANK($W$46))</formula>
    </cfRule>
  </conditionalFormatting>
  <conditionalFormatting sqref="X46">
    <cfRule type="expression" dxfId="127" priority="117" stopIfTrue="1">
      <formula>NOT(ISBLANK($X$46))</formula>
    </cfRule>
  </conditionalFormatting>
  <conditionalFormatting sqref="V47">
    <cfRule type="expression" dxfId="126" priority="118" stopIfTrue="1">
      <formula>NOT(ISBLANK($V$47))</formula>
    </cfRule>
  </conditionalFormatting>
  <conditionalFormatting sqref="W47">
    <cfRule type="expression" dxfId="125" priority="119" stopIfTrue="1">
      <formula>NOT(ISBLANK($W$47))</formula>
    </cfRule>
  </conditionalFormatting>
  <conditionalFormatting sqref="X47">
    <cfRule type="expression" dxfId="124" priority="120" stopIfTrue="1">
      <formula>NOT(ISBLANK($X$47))</formula>
    </cfRule>
  </conditionalFormatting>
  <conditionalFormatting sqref="V48">
    <cfRule type="expression" dxfId="123" priority="121" stopIfTrue="1">
      <formula>NOT(ISBLANK($V$48))</formula>
    </cfRule>
  </conditionalFormatting>
  <conditionalFormatting sqref="W48">
    <cfRule type="expression" dxfId="122" priority="122" stopIfTrue="1">
      <formula>NOT(ISBLANK($W$48))</formula>
    </cfRule>
  </conditionalFormatting>
  <conditionalFormatting sqref="X48">
    <cfRule type="expression" dxfId="121" priority="123" stopIfTrue="1">
      <formula>NOT(ISBLANK($X$48))</formula>
    </cfRule>
  </conditionalFormatting>
  <conditionalFormatting sqref="V49">
    <cfRule type="expression" dxfId="120" priority="124" stopIfTrue="1">
      <formula>NOT(ISBLANK($V$49))</formula>
    </cfRule>
  </conditionalFormatting>
  <conditionalFormatting sqref="W49">
    <cfRule type="expression" dxfId="119" priority="125" stopIfTrue="1">
      <formula>NOT(ISBLANK($W$49))</formula>
    </cfRule>
  </conditionalFormatting>
  <conditionalFormatting sqref="X49">
    <cfRule type="expression" dxfId="118" priority="126" stopIfTrue="1">
      <formula>NOT(ISBLANK($X$49))</formula>
    </cfRule>
  </conditionalFormatting>
  <conditionalFormatting sqref="V50">
    <cfRule type="expression" dxfId="117" priority="127" stopIfTrue="1">
      <formula>NOT(ISBLANK($V$50))</formula>
    </cfRule>
  </conditionalFormatting>
  <conditionalFormatting sqref="W50">
    <cfRule type="expression" dxfId="116" priority="128" stopIfTrue="1">
      <formula>NOT(ISBLANK($W$50))</formula>
    </cfRule>
  </conditionalFormatting>
  <conditionalFormatting sqref="X50">
    <cfRule type="expression" dxfId="115" priority="129" stopIfTrue="1">
      <formula>NOT(ISBLANK($X$50))</formula>
    </cfRule>
  </conditionalFormatting>
  <conditionalFormatting sqref="V51">
    <cfRule type="expression" dxfId="114" priority="130" stopIfTrue="1">
      <formula>NOT(ISBLANK($V$51))</formula>
    </cfRule>
  </conditionalFormatting>
  <conditionalFormatting sqref="W51">
    <cfRule type="expression" dxfId="113" priority="131" stopIfTrue="1">
      <formula>NOT(ISBLANK($W$51))</formula>
    </cfRule>
  </conditionalFormatting>
  <conditionalFormatting sqref="X51">
    <cfRule type="expression" dxfId="112" priority="132" stopIfTrue="1">
      <formula>NOT(ISBLANK($X$51))</formula>
    </cfRule>
  </conditionalFormatting>
  <conditionalFormatting sqref="V52">
    <cfRule type="expression" dxfId="111" priority="133" stopIfTrue="1">
      <formula>NOT(ISBLANK($V$52))</formula>
    </cfRule>
  </conditionalFormatting>
  <conditionalFormatting sqref="W52">
    <cfRule type="expression" dxfId="110" priority="134" stopIfTrue="1">
      <formula>NOT(ISBLANK($W$52))</formula>
    </cfRule>
  </conditionalFormatting>
  <conditionalFormatting sqref="X52">
    <cfRule type="expression" dxfId="109" priority="135" stopIfTrue="1">
      <formula>NOT(ISBLANK($X$52))</formula>
    </cfRule>
  </conditionalFormatting>
  <conditionalFormatting sqref="V53">
    <cfRule type="expression" dxfId="108" priority="136" stopIfTrue="1">
      <formula>NOT(ISBLANK($V$53))</formula>
    </cfRule>
  </conditionalFormatting>
  <conditionalFormatting sqref="W53">
    <cfRule type="expression" dxfId="107" priority="137" stopIfTrue="1">
      <formula>NOT(ISBLANK($W$53))</formula>
    </cfRule>
  </conditionalFormatting>
  <conditionalFormatting sqref="X53">
    <cfRule type="expression" dxfId="106" priority="138" stopIfTrue="1">
      <formula>NOT(ISBLANK($X$53))</formula>
    </cfRule>
  </conditionalFormatting>
  <conditionalFormatting sqref="V54">
    <cfRule type="expression" dxfId="105" priority="139" stopIfTrue="1">
      <formula>NOT(ISBLANK($V$54))</formula>
    </cfRule>
  </conditionalFormatting>
  <conditionalFormatting sqref="W54">
    <cfRule type="expression" dxfId="104" priority="140" stopIfTrue="1">
      <formula>NOT(ISBLANK($W$54))</formula>
    </cfRule>
  </conditionalFormatting>
  <conditionalFormatting sqref="X54">
    <cfRule type="expression" dxfId="103" priority="141" stopIfTrue="1">
      <formula>NOT(ISBLANK($X$54))</formula>
    </cfRule>
  </conditionalFormatting>
  <conditionalFormatting sqref="V55">
    <cfRule type="expression" dxfId="102" priority="142" stopIfTrue="1">
      <formula>NOT(ISBLANK($V$55))</formula>
    </cfRule>
  </conditionalFormatting>
  <conditionalFormatting sqref="W55">
    <cfRule type="expression" dxfId="101" priority="143" stopIfTrue="1">
      <formula>NOT(ISBLANK($W$55))</formula>
    </cfRule>
  </conditionalFormatting>
  <conditionalFormatting sqref="X55">
    <cfRule type="expression" dxfId="100" priority="144" stopIfTrue="1">
      <formula>NOT(ISBLANK($X$55))</formula>
    </cfRule>
  </conditionalFormatting>
  <conditionalFormatting sqref="V56">
    <cfRule type="expression" dxfId="99" priority="145" stopIfTrue="1">
      <formula>NOT(ISBLANK($V$56))</formula>
    </cfRule>
  </conditionalFormatting>
  <conditionalFormatting sqref="W56">
    <cfRule type="expression" dxfId="98" priority="146" stopIfTrue="1">
      <formula>NOT(ISBLANK($W$56))</formula>
    </cfRule>
  </conditionalFormatting>
  <conditionalFormatting sqref="X56">
    <cfRule type="expression" dxfId="97" priority="147" stopIfTrue="1">
      <formula>NOT(ISBLANK($X$56))</formula>
    </cfRule>
  </conditionalFormatting>
  <conditionalFormatting sqref="V57">
    <cfRule type="expression" dxfId="96" priority="148" stopIfTrue="1">
      <formula>NOT(ISBLANK($V$57))</formula>
    </cfRule>
  </conditionalFormatting>
  <conditionalFormatting sqref="W57">
    <cfRule type="expression" dxfId="95" priority="149" stopIfTrue="1">
      <formula>NOT(ISBLANK($W$57))</formula>
    </cfRule>
  </conditionalFormatting>
  <conditionalFormatting sqref="X57">
    <cfRule type="expression" dxfId="94" priority="150" stopIfTrue="1">
      <formula>NOT(ISBLANK($X$57))</formula>
    </cfRule>
  </conditionalFormatting>
  <conditionalFormatting sqref="V58">
    <cfRule type="expression" dxfId="93" priority="151" stopIfTrue="1">
      <formula>NOT(ISBLANK($V$58))</formula>
    </cfRule>
  </conditionalFormatting>
  <conditionalFormatting sqref="W58">
    <cfRule type="expression" dxfId="92" priority="152" stopIfTrue="1">
      <formula>NOT(ISBLANK($W$58))</formula>
    </cfRule>
  </conditionalFormatting>
  <conditionalFormatting sqref="X58">
    <cfRule type="expression" dxfId="91" priority="153" stopIfTrue="1">
      <formula>NOT(ISBLANK($X$58))</formula>
    </cfRule>
  </conditionalFormatting>
  <conditionalFormatting sqref="V59">
    <cfRule type="expression" dxfId="90" priority="154" stopIfTrue="1">
      <formula>NOT(ISBLANK($V$59))</formula>
    </cfRule>
  </conditionalFormatting>
  <conditionalFormatting sqref="W59">
    <cfRule type="expression" dxfId="89" priority="155" stopIfTrue="1">
      <formula>NOT(ISBLANK($W$59))</formula>
    </cfRule>
  </conditionalFormatting>
  <conditionalFormatting sqref="X59">
    <cfRule type="expression" dxfId="88" priority="156" stopIfTrue="1">
      <formula>NOT(ISBLANK($X$59))</formula>
    </cfRule>
  </conditionalFormatting>
  <conditionalFormatting sqref="V60">
    <cfRule type="expression" dxfId="87" priority="157" stopIfTrue="1">
      <formula>NOT(ISBLANK($V$60))</formula>
    </cfRule>
  </conditionalFormatting>
  <conditionalFormatting sqref="W60">
    <cfRule type="expression" dxfId="86" priority="158" stopIfTrue="1">
      <formula>NOT(ISBLANK($W$60))</formula>
    </cfRule>
  </conditionalFormatting>
  <conditionalFormatting sqref="X60">
    <cfRule type="expression" dxfId="85" priority="159" stopIfTrue="1">
      <formula>NOT(ISBLANK($X$60))</formula>
    </cfRule>
  </conditionalFormatting>
  <conditionalFormatting sqref="V61">
    <cfRule type="expression" dxfId="84" priority="160" stopIfTrue="1">
      <formula>NOT(ISBLANK($V$61))</formula>
    </cfRule>
  </conditionalFormatting>
  <conditionalFormatting sqref="W61">
    <cfRule type="expression" dxfId="83" priority="161" stopIfTrue="1">
      <formula>NOT(ISBLANK($W$61))</formula>
    </cfRule>
  </conditionalFormatting>
  <conditionalFormatting sqref="X61">
    <cfRule type="expression" dxfId="82" priority="162" stopIfTrue="1">
      <formula>NOT(ISBLANK($X$61))</formula>
    </cfRule>
  </conditionalFormatting>
  <conditionalFormatting sqref="V62">
    <cfRule type="expression" dxfId="81" priority="163" stopIfTrue="1">
      <formula>NOT(ISBLANK($V$62))</formula>
    </cfRule>
  </conditionalFormatting>
  <conditionalFormatting sqref="W62">
    <cfRule type="expression" dxfId="80" priority="164" stopIfTrue="1">
      <formula>NOT(ISBLANK($W$62))</formula>
    </cfRule>
  </conditionalFormatting>
  <conditionalFormatting sqref="X62">
    <cfRule type="expression" dxfId="79" priority="165" stopIfTrue="1">
      <formula>NOT(ISBLANK($X$62))</formula>
    </cfRule>
  </conditionalFormatting>
  <conditionalFormatting sqref="V63">
    <cfRule type="expression" dxfId="78" priority="166" stopIfTrue="1">
      <formula>NOT(ISBLANK($V$63))</formula>
    </cfRule>
  </conditionalFormatting>
  <conditionalFormatting sqref="W63">
    <cfRule type="expression" dxfId="77" priority="167" stopIfTrue="1">
      <formula>NOT(ISBLANK($W$63))</formula>
    </cfRule>
  </conditionalFormatting>
  <conditionalFormatting sqref="X63">
    <cfRule type="expression" dxfId="76" priority="168" stopIfTrue="1">
      <formula>NOT(ISBLANK($X$63))</formula>
    </cfRule>
  </conditionalFormatting>
  <conditionalFormatting sqref="V64">
    <cfRule type="expression" dxfId="75" priority="169" stopIfTrue="1">
      <formula>NOT(ISBLANK($V$64))</formula>
    </cfRule>
  </conditionalFormatting>
  <conditionalFormatting sqref="W64">
    <cfRule type="expression" dxfId="74" priority="170" stopIfTrue="1">
      <formula>NOT(ISBLANK($W$64))</formula>
    </cfRule>
  </conditionalFormatting>
  <conditionalFormatting sqref="X64">
    <cfRule type="expression" dxfId="73" priority="171" stopIfTrue="1">
      <formula>NOT(ISBLANK($X$64))</formula>
    </cfRule>
  </conditionalFormatting>
  <conditionalFormatting sqref="V65">
    <cfRule type="expression" dxfId="72" priority="172" stopIfTrue="1">
      <formula>NOT(ISBLANK($V$65))</formula>
    </cfRule>
  </conditionalFormatting>
  <conditionalFormatting sqref="W65">
    <cfRule type="expression" dxfId="71" priority="173" stopIfTrue="1">
      <formula>NOT(ISBLANK($W$65))</formula>
    </cfRule>
  </conditionalFormatting>
  <conditionalFormatting sqref="X65">
    <cfRule type="expression" dxfId="70" priority="174" stopIfTrue="1">
      <formula>NOT(ISBLANK($X$65))</formula>
    </cfRule>
  </conditionalFormatting>
  <conditionalFormatting sqref="V66">
    <cfRule type="expression" dxfId="69" priority="175" stopIfTrue="1">
      <formula>NOT(ISBLANK($V$66))</formula>
    </cfRule>
  </conditionalFormatting>
  <conditionalFormatting sqref="W66">
    <cfRule type="expression" dxfId="68" priority="176" stopIfTrue="1">
      <formula>NOT(ISBLANK($W$66))</formula>
    </cfRule>
  </conditionalFormatting>
  <conditionalFormatting sqref="X66">
    <cfRule type="expression" dxfId="67" priority="177" stopIfTrue="1">
      <formula>NOT(ISBLANK($X$66))</formula>
    </cfRule>
  </conditionalFormatting>
  <conditionalFormatting sqref="V67">
    <cfRule type="expression" dxfId="66" priority="178" stopIfTrue="1">
      <formula>NOT(ISBLANK($V$67))</formula>
    </cfRule>
  </conditionalFormatting>
  <conditionalFormatting sqref="W67">
    <cfRule type="expression" dxfId="65" priority="179" stopIfTrue="1">
      <formula>NOT(ISBLANK($W$67))</formula>
    </cfRule>
  </conditionalFormatting>
  <conditionalFormatting sqref="X67">
    <cfRule type="expression" dxfId="64" priority="180" stopIfTrue="1">
      <formula>NOT(ISBLANK($X$67))</formula>
    </cfRule>
  </conditionalFormatting>
  <conditionalFormatting sqref="V68">
    <cfRule type="expression" dxfId="63" priority="181" stopIfTrue="1">
      <formula>NOT(ISBLANK($V$68))</formula>
    </cfRule>
  </conditionalFormatting>
  <conditionalFormatting sqref="W68">
    <cfRule type="expression" dxfId="62" priority="182" stopIfTrue="1">
      <formula>NOT(ISBLANK($W$68))</formula>
    </cfRule>
  </conditionalFormatting>
  <conditionalFormatting sqref="X68">
    <cfRule type="expression" dxfId="61" priority="183" stopIfTrue="1">
      <formula>NOT(ISBLANK($X$68))</formula>
    </cfRule>
  </conditionalFormatting>
  <conditionalFormatting sqref="V69">
    <cfRule type="expression" dxfId="60" priority="184" stopIfTrue="1">
      <formula>NOT(ISBLANK($V$69))</formula>
    </cfRule>
  </conditionalFormatting>
  <conditionalFormatting sqref="W69">
    <cfRule type="expression" dxfId="59" priority="185" stopIfTrue="1">
      <formula>NOT(ISBLANK($W$69))</formula>
    </cfRule>
  </conditionalFormatting>
  <conditionalFormatting sqref="X69">
    <cfRule type="expression" dxfId="58" priority="186" stopIfTrue="1">
      <formula>NOT(ISBLANK($X$69))</formula>
    </cfRule>
  </conditionalFormatting>
  <conditionalFormatting sqref="V70">
    <cfRule type="expression" dxfId="57" priority="187" stopIfTrue="1">
      <formula>NOT(ISBLANK($V$70))</formula>
    </cfRule>
  </conditionalFormatting>
  <conditionalFormatting sqref="W70">
    <cfRule type="expression" dxfId="56" priority="188" stopIfTrue="1">
      <formula>NOT(ISBLANK($W$70))</formula>
    </cfRule>
  </conditionalFormatting>
  <conditionalFormatting sqref="X70">
    <cfRule type="expression" dxfId="55" priority="189" stopIfTrue="1">
      <formula>NOT(ISBLANK($X$70))</formula>
    </cfRule>
  </conditionalFormatting>
  <conditionalFormatting sqref="V71">
    <cfRule type="expression" dxfId="54" priority="190" stopIfTrue="1">
      <formula>NOT(ISBLANK($V$71))</formula>
    </cfRule>
  </conditionalFormatting>
  <conditionalFormatting sqref="W71">
    <cfRule type="expression" dxfId="53" priority="191" stopIfTrue="1">
      <formula>NOT(ISBLANK($W$71))</formula>
    </cfRule>
  </conditionalFormatting>
  <conditionalFormatting sqref="X71">
    <cfRule type="expression" dxfId="52" priority="192" stopIfTrue="1">
      <formula>NOT(ISBLANK($X$71))</formula>
    </cfRule>
  </conditionalFormatting>
  <conditionalFormatting sqref="V72">
    <cfRule type="expression" dxfId="51" priority="193" stopIfTrue="1">
      <formula>NOT(ISBLANK($V$72))</formula>
    </cfRule>
  </conditionalFormatting>
  <conditionalFormatting sqref="W72">
    <cfRule type="expression" dxfId="50" priority="194" stopIfTrue="1">
      <formula>NOT(ISBLANK($W$72))</formula>
    </cfRule>
  </conditionalFormatting>
  <conditionalFormatting sqref="X72">
    <cfRule type="expression" dxfId="49" priority="195" stopIfTrue="1">
      <formula>NOT(ISBLANK($X$72))</formula>
    </cfRule>
  </conditionalFormatting>
  <conditionalFormatting sqref="V73">
    <cfRule type="expression" dxfId="48" priority="196" stopIfTrue="1">
      <formula>NOT(ISBLANK($V$73))</formula>
    </cfRule>
  </conditionalFormatting>
  <conditionalFormatting sqref="W73">
    <cfRule type="expression" dxfId="47" priority="197" stopIfTrue="1">
      <formula>NOT(ISBLANK($W$73))</formula>
    </cfRule>
  </conditionalFormatting>
  <conditionalFormatting sqref="X73">
    <cfRule type="expression" dxfId="46" priority="198" stopIfTrue="1">
      <formula>NOT(ISBLANK($X$73))</formula>
    </cfRule>
  </conditionalFormatting>
  <conditionalFormatting sqref="V74">
    <cfRule type="expression" dxfId="45" priority="199" stopIfTrue="1">
      <formula>NOT(ISBLANK($V$74))</formula>
    </cfRule>
  </conditionalFormatting>
  <conditionalFormatting sqref="W74">
    <cfRule type="expression" dxfId="44" priority="200" stopIfTrue="1">
      <formula>NOT(ISBLANK($W$74))</formula>
    </cfRule>
  </conditionalFormatting>
  <conditionalFormatting sqref="X74">
    <cfRule type="expression" dxfId="43" priority="201" stopIfTrue="1">
      <formula>NOT(ISBLANK($X$74))</formula>
    </cfRule>
  </conditionalFormatting>
  <conditionalFormatting sqref="V75">
    <cfRule type="expression" dxfId="42" priority="202" stopIfTrue="1">
      <formula>NOT(ISBLANK($V$75))</formula>
    </cfRule>
  </conditionalFormatting>
  <conditionalFormatting sqref="W75">
    <cfRule type="expression" dxfId="41" priority="203" stopIfTrue="1">
      <formula>NOT(ISBLANK($W$75))</formula>
    </cfRule>
  </conditionalFormatting>
  <conditionalFormatting sqref="X75">
    <cfRule type="expression" dxfId="40" priority="204" stopIfTrue="1">
      <formula>NOT(ISBLANK($X$75))</formula>
    </cfRule>
  </conditionalFormatting>
  <conditionalFormatting sqref="V76">
    <cfRule type="expression" dxfId="39" priority="205" stopIfTrue="1">
      <formula>NOT(ISBLANK($V$76))</formula>
    </cfRule>
  </conditionalFormatting>
  <conditionalFormatting sqref="W76">
    <cfRule type="expression" dxfId="38" priority="206" stopIfTrue="1">
      <formula>NOT(ISBLANK($W$76))</formula>
    </cfRule>
  </conditionalFormatting>
  <conditionalFormatting sqref="X76">
    <cfRule type="expression" dxfId="37" priority="207" stopIfTrue="1">
      <formula>NOT(ISBLANK($X$76))</formula>
    </cfRule>
  </conditionalFormatting>
  <conditionalFormatting sqref="V77">
    <cfRule type="expression" dxfId="36" priority="208" stopIfTrue="1">
      <formula>NOT(ISBLANK($V$77))</formula>
    </cfRule>
  </conditionalFormatting>
  <conditionalFormatting sqref="W77">
    <cfRule type="expression" dxfId="35" priority="209" stopIfTrue="1">
      <formula>NOT(ISBLANK($W$77))</formula>
    </cfRule>
  </conditionalFormatting>
  <conditionalFormatting sqref="X77">
    <cfRule type="expression" dxfId="34" priority="210" stopIfTrue="1">
      <formula>NOT(ISBLANK($X$77))</formula>
    </cfRule>
  </conditionalFormatting>
  <conditionalFormatting sqref="V78">
    <cfRule type="expression" dxfId="33" priority="211" stopIfTrue="1">
      <formula>NOT(ISBLANK($V$78))</formula>
    </cfRule>
  </conditionalFormatting>
  <conditionalFormatting sqref="W78">
    <cfRule type="expression" dxfId="32" priority="212" stopIfTrue="1">
      <formula>NOT(ISBLANK($W$78))</formula>
    </cfRule>
  </conditionalFormatting>
  <conditionalFormatting sqref="X78">
    <cfRule type="expression" dxfId="31" priority="213" stopIfTrue="1">
      <formula>NOT(ISBLANK($X$78))</formula>
    </cfRule>
  </conditionalFormatting>
  <conditionalFormatting sqref="V79">
    <cfRule type="expression" dxfId="30" priority="214" stopIfTrue="1">
      <formula>NOT(ISBLANK($V$79))</formula>
    </cfRule>
  </conditionalFormatting>
  <conditionalFormatting sqref="W79">
    <cfRule type="expression" dxfId="29" priority="215" stopIfTrue="1">
      <formula>NOT(ISBLANK($W$79))</formula>
    </cfRule>
  </conditionalFormatting>
  <conditionalFormatting sqref="X79">
    <cfRule type="expression" dxfId="28" priority="216" stopIfTrue="1">
      <formula>NOT(ISBLANK($X$79))</formula>
    </cfRule>
  </conditionalFormatting>
  <conditionalFormatting sqref="V80">
    <cfRule type="expression" dxfId="27" priority="217" stopIfTrue="1">
      <formula>NOT(ISBLANK($V$80))</formula>
    </cfRule>
  </conditionalFormatting>
  <conditionalFormatting sqref="W80">
    <cfRule type="expression" dxfId="26" priority="218" stopIfTrue="1">
      <formula>NOT(ISBLANK($W$80))</formula>
    </cfRule>
  </conditionalFormatting>
  <conditionalFormatting sqref="X80">
    <cfRule type="expression" dxfId="25" priority="219" stopIfTrue="1">
      <formula>NOT(ISBLANK($X$80))</formula>
    </cfRule>
  </conditionalFormatting>
  <conditionalFormatting sqref="V81">
    <cfRule type="expression" dxfId="24" priority="220" stopIfTrue="1">
      <formula>NOT(ISBLANK($V$81))</formula>
    </cfRule>
  </conditionalFormatting>
  <conditionalFormatting sqref="W81">
    <cfRule type="expression" dxfId="23" priority="221" stopIfTrue="1">
      <formula>NOT(ISBLANK($W$81))</formula>
    </cfRule>
  </conditionalFormatting>
  <conditionalFormatting sqref="X81">
    <cfRule type="expression" dxfId="22" priority="222" stopIfTrue="1">
      <formula>NOT(ISBLANK($X$81))</formula>
    </cfRule>
  </conditionalFormatting>
  <conditionalFormatting sqref="V82">
    <cfRule type="expression" dxfId="21" priority="223" stopIfTrue="1">
      <formula>NOT(ISBLANK($V$82))</formula>
    </cfRule>
  </conditionalFormatting>
  <conditionalFormatting sqref="W82">
    <cfRule type="expression" dxfId="20" priority="224" stopIfTrue="1">
      <formula>NOT(ISBLANK($W$82))</formula>
    </cfRule>
  </conditionalFormatting>
  <conditionalFormatting sqref="X82">
    <cfRule type="expression" dxfId="19" priority="225" stopIfTrue="1">
      <formula>NOT(ISBLANK($X$82))</formula>
    </cfRule>
  </conditionalFormatting>
  <conditionalFormatting sqref="V83">
    <cfRule type="expression" dxfId="18" priority="226" stopIfTrue="1">
      <formula>NOT(ISBLANK($V$83))</formula>
    </cfRule>
  </conditionalFormatting>
  <conditionalFormatting sqref="W83">
    <cfRule type="expression" dxfId="17" priority="227" stopIfTrue="1">
      <formula>NOT(ISBLANK($W$83))</formula>
    </cfRule>
  </conditionalFormatting>
  <conditionalFormatting sqref="X83">
    <cfRule type="expression" dxfId="16" priority="228" stopIfTrue="1">
      <formula>NOT(ISBLANK($X$83))</formula>
    </cfRule>
  </conditionalFormatting>
  <conditionalFormatting sqref="V84">
    <cfRule type="expression" dxfId="15" priority="229" stopIfTrue="1">
      <formula>NOT(ISBLANK($V$84))</formula>
    </cfRule>
  </conditionalFormatting>
  <conditionalFormatting sqref="W84">
    <cfRule type="expression" dxfId="14" priority="230" stopIfTrue="1">
      <formula>NOT(ISBLANK($W$84))</formula>
    </cfRule>
  </conditionalFormatting>
  <conditionalFormatting sqref="X84">
    <cfRule type="expression" dxfId="13" priority="231" stopIfTrue="1">
      <formula>NOT(ISBLANK($X$84))</formula>
    </cfRule>
  </conditionalFormatting>
  <conditionalFormatting sqref="V85">
    <cfRule type="expression" dxfId="12" priority="232" stopIfTrue="1">
      <formula>NOT(ISBLANK($V$85))</formula>
    </cfRule>
  </conditionalFormatting>
  <conditionalFormatting sqref="W85">
    <cfRule type="expression" dxfId="11" priority="233" stopIfTrue="1">
      <formula>NOT(ISBLANK($W$85))</formula>
    </cfRule>
  </conditionalFormatting>
  <conditionalFormatting sqref="X85">
    <cfRule type="expression" dxfId="10" priority="234" stopIfTrue="1">
      <formula>NOT(ISBLANK($X$85))</formula>
    </cfRule>
  </conditionalFormatting>
  <conditionalFormatting sqref="V86">
    <cfRule type="expression" dxfId="9" priority="235" stopIfTrue="1">
      <formula>NOT(ISBLANK($V$86))</formula>
    </cfRule>
  </conditionalFormatting>
  <conditionalFormatting sqref="W86">
    <cfRule type="expression" dxfId="8" priority="236" stopIfTrue="1">
      <formula>NOT(ISBLANK($W$86))</formula>
    </cfRule>
  </conditionalFormatting>
  <conditionalFormatting sqref="X86">
    <cfRule type="expression" dxfId="7" priority="237" stopIfTrue="1">
      <formula>NOT(ISBLANK($X$86))</formula>
    </cfRule>
  </conditionalFormatting>
  <conditionalFormatting sqref="V87">
    <cfRule type="expression" dxfId="6" priority="238" stopIfTrue="1">
      <formula>NOT(ISBLANK($V$87))</formula>
    </cfRule>
  </conditionalFormatting>
  <conditionalFormatting sqref="W87">
    <cfRule type="expression" dxfId="5" priority="239" stopIfTrue="1">
      <formula>NOT(ISBLANK($W$87))</formula>
    </cfRule>
  </conditionalFormatting>
  <conditionalFormatting sqref="X87">
    <cfRule type="expression" dxfId="4" priority="240" stopIfTrue="1">
      <formula>NOT(ISBLANK($X$87))</formula>
    </cfRule>
  </conditionalFormatting>
  <conditionalFormatting sqref="V88">
    <cfRule type="expression" dxfId="3" priority="241" stopIfTrue="1">
      <formula>NOT(ISBLANK($V$88))</formula>
    </cfRule>
  </conditionalFormatting>
  <conditionalFormatting sqref="W88">
    <cfRule type="expression" dxfId="2" priority="242" stopIfTrue="1">
      <formula>NOT(ISBLANK($W$88))</formula>
    </cfRule>
  </conditionalFormatting>
  <conditionalFormatting sqref="X88">
    <cfRule type="expression" dxfId="1" priority="243" stopIfTrue="1">
      <formula>NOT(ISBLANK($X$88))</formula>
    </cfRule>
  </conditionalFormatting>
  <dataValidations count="12">
    <dataValidation type="list" allowBlank="1" showInputMessage="1" showErrorMessage="1" error="Invalid selection. Please make a selection from the list." sqref="H9:H88" xr:uid="{00000000-0002-0000-0200-000000000000}">
      <formula1>redundancy_list</formula1>
    </dataValidation>
    <dataValidation type="list" allowBlank="1" showInputMessage="1" showErrorMessage="1" error="Invalid selection. Please make a selection from the list." sqref="I9:I88" xr:uid="{00000000-0002-0000-0200-000001000000}">
      <formula1>element_names</formula1>
    </dataValidation>
    <dataValidation type="list" allowBlank="1" showErrorMessage="1" error="Please select from the dropdown list." sqref="M9:M88" xr:uid="{00000000-0002-0000-0200-000002000000}">
      <formula1>pretreat_acid_list</formula1>
    </dataValidation>
    <dataValidation type="list" allowBlank="1" showErrorMessage="1" error="Please select from the dropdown list." sqref="O9:O88" xr:uid="{00000000-0002-0000-0200-000003000000}">
      <formula1>use_antiscalant_list</formula1>
    </dataValidation>
    <dataValidation type="list" allowBlank="1" showInputMessage="1" showErrorMessage="1" error="Please make a selection from the list." sqref="S9:S88" xr:uid="{00000000-0002-0000-0200-000004000000}">
      <formula1>solids_haz_list</formula1>
    </dataValidation>
    <dataValidation type="list" allowBlank="1" showInputMessage="1" showErrorMessage="1" error="Please make a selection from the list." sqref="R9:R88" xr:uid="{00000000-0002-0000-0200-000005000000}">
      <formula1>res_s1_opt_list</formula1>
    </dataValidation>
    <dataValidation type="list" allowBlank="1" showInputMessage="1" showErrorMessage="1" error="Please make a selection from the list." sqref="Q9:Q88" xr:uid="{00000000-0002-0000-0200-000006000000}">
      <formula1>res_s2_opt_list</formula1>
    </dataValidation>
    <dataValidation allowBlank="1" showInputMessage="1" showErrorMessage="1" error="Invalid selection. Please make a selection from the list." sqref="J9:J88" xr:uid="{00000000-0002-0000-0200-000007000000}"/>
    <dataValidation allowBlank="1" showInputMessage="1" showErrorMessage="1" error="Please make a selection from the list." sqref="P9:P88" xr:uid="{00000000-0002-0000-0200-000008000000}"/>
    <dataValidation type="list" allowBlank="1" showInputMessage="1" showErrorMessage="1" errorTitle="WBS RO-NF " error="Please make a selection from the dropdown list." sqref="T9:T88 V9:W68" xr:uid="{00000000-0002-0000-0200-000009000000}">
      <formula1>component_level_list</formula1>
    </dataValidation>
    <dataValidation type="list" allowBlank="1" showInputMessage="1" showErrorMessage="1" errorTitle="WBS RO-NF " error="Please make a selection from the dropdown list." sqref="U9:U88 X9:X68" xr:uid="{00000000-0002-0000-0200-00000A000000}">
      <formula1>auto_list</formula1>
    </dataValidation>
    <dataValidation type="list" allowBlank="1" showInputMessage="1" showErrorMessage="1" errorTitle="WBS RO-NF " error="Please make a selection from the dropdown list." sqref="V69:X88" xr:uid="{00000000-0002-0000-0200-00000B000000}">
      <formula1>yes_no_valid</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95" r:id="rId4" name="cmdFactoryDefaults">
              <controlPr defaultSize="0" print="0" autoFill="0" autoPict="0" macro="[0]!Sheet28.cmdFactoryDefaults_Click">
                <anchor moveWithCells="1" sizeWithCells="1">
                  <from>
                    <xdr:col>0</xdr:col>
                    <xdr:colOff>63500</xdr:colOff>
                    <xdr:row>2</xdr:row>
                    <xdr:rowOff>63500</xdr:rowOff>
                  </from>
                  <to>
                    <xdr:col>1</xdr:col>
                    <xdr:colOff>965200</xdr:colOff>
                    <xdr:row>4</xdr:row>
                    <xdr:rowOff>63500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9"/>
  <dimension ref="A1:Q283"/>
  <sheetViews>
    <sheetView workbookViewId="0">
      <pane ySplit="4" topLeftCell="A5" activePane="bottomLeft" state="frozen"/>
      <selection pane="bottomLeft"/>
    </sheetView>
  </sheetViews>
  <sheetFormatPr baseColWidth="10" defaultColWidth="9.1640625" defaultRowHeight="13"/>
  <cols>
    <col min="1" max="1" width="50.5" style="77" bestFit="1" customWidth="1"/>
    <col min="2" max="2" width="20.1640625" style="77" bestFit="1" customWidth="1"/>
    <col min="3" max="3" width="13.1640625" style="77" customWidth="1"/>
    <col min="4" max="4" width="9.5" style="77" bestFit="1" customWidth="1"/>
    <col min="5" max="5" width="9.1640625" style="77"/>
    <col min="6" max="11" width="9.5" style="77" bestFit="1" customWidth="1"/>
    <col min="12" max="12" width="12" style="77" bestFit="1" customWidth="1"/>
    <col min="13" max="13" width="12.5" style="77" bestFit="1" customWidth="1"/>
    <col min="14" max="17" width="9.5" style="77" bestFit="1" customWidth="1"/>
    <col min="18" max="16384" width="9.1640625" style="77"/>
  </cols>
  <sheetData>
    <row r="1" spans="1:17">
      <c r="A1" s="20" t="s">
        <v>5509</v>
      </c>
    </row>
    <row r="2" spans="1:17">
      <c r="A2" s="813" t="s">
        <v>5510</v>
      </c>
    </row>
    <row r="3" spans="1:17">
      <c r="A3" s="813"/>
    </row>
    <row r="4" spans="1:17" s="84" customFormat="1">
      <c r="A4" s="20" t="s">
        <v>5511</v>
      </c>
      <c r="B4" s="84" t="s">
        <v>1547</v>
      </c>
      <c r="C4" s="84" t="s">
        <v>1548</v>
      </c>
      <c r="D4" s="84" t="s">
        <v>1549</v>
      </c>
      <c r="E4" s="84" t="s">
        <v>1550</v>
      </c>
      <c r="F4" s="84">
        <v>2</v>
      </c>
      <c r="G4" s="84">
        <v>3</v>
      </c>
      <c r="H4" s="84">
        <v>4</v>
      </c>
      <c r="I4" s="84">
        <v>5</v>
      </c>
      <c r="J4" s="84">
        <v>6</v>
      </c>
      <c r="K4" s="84">
        <v>7</v>
      </c>
      <c r="L4" s="84">
        <v>8</v>
      </c>
      <c r="M4" s="84">
        <v>9</v>
      </c>
      <c r="N4" s="84">
        <v>10</v>
      </c>
      <c r="O4" s="84">
        <v>11</v>
      </c>
      <c r="P4" s="84">
        <v>16</v>
      </c>
      <c r="Q4" s="84">
        <v>17</v>
      </c>
    </row>
    <row r="5" spans="1:17">
      <c r="A5" s="264" t="s">
        <v>683</v>
      </c>
    </row>
    <row r="6" spans="1:17">
      <c r="A6" s="673" t="s">
        <v>4583</v>
      </c>
      <c r="B6" s="14" t="s">
        <v>4585</v>
      </c>
      <c r="C6" s="86">
        <f ca="1">IF(D6=0,0,IF(OR(D6&gt;P6,D6&lt;Q6),"contact vendor",F6*D6^G6+H6*LN(D6)+I6+J6*EXP(K6*D6)+L6*D6^3+M6*D6^2+N6*D6+O6))</f>
        <v>258.55539581699992</v>
      </c>
      <c r="D6" s="77">
        <f ca="1">feed_hdr_diam</f>
        <v>6</v>
      </c>
      <c r="E6" s="14" t="s">
        <v>2481</v>
      </c>
      <c r="F6" s="14">
        <f t="shared" ref="F6:Q8" si="0">VLOOKUP($E6,eq_table_cl,F$4,FALSE)</f>
        <v>0</v>
      </c>
      <c r="G6" s="14">
        <f t="shared" si="0"/>
        <v>0</v>
      </c>
      <c r="H6" s="14">
        <f t="shared" si="0"/>
        <v>0</v>
      </c>
      <c r="I6" s="14">
        <f t="shared" si="0"/>
        <v>0</v>
      </c>
      <c r="J6" s="14">
        <f t="shared" si="0"/>
        <v>0</v>
      </c>
      <c r="K6" s="14">
        <f t="shared" si="0"/>
        <v>0</v>
      </c>
      <c r="L6" s="14">
        <f t="shared" si="0"/>
        <v>4.8585111E-2</v>
      </c>
      <c r="M6" s="14">
        <f t="shared" si="0"/>
        <v>-2.5845256220000001</v>
      </c>
      <c r="N6" s="14">
        <f t="shared" si="0"/>
        <v>58.928328317999998</v>
      </c>
      <c r="O6" s="14">
        <f t="shared" si="0"/>
        <v>-12.466035675000001</v>
      </c>
      <c r="P6" s="14">
        <f t="shared" si="0"/>
        <v>48.1</v>
      </c>
      <c r="Q6" s="14">
        <f t="shared" si="0"/>
        <v>0</v>
      </c>
    </row>
    <row r="7" spans="1:17">
      <c r="A7" s="673" t="s">
        <v>4683</v>
      </c>
      <c r="B7" s="14" t="s">
        <v>4684</v>
      </c>
      <c r="C7" s="86">
        <f t="shared" ref="C7:C8" ca="1" si="1">IF(D7=0,0,IF(OR(D7&gt;P7,D7&lt;Q7),"contact vendor",F7*D7^G7+H7*LN(D7)+I7+J7*EXP(K7*D7)+L7*D7^3+M7*D7^2+N7*D7+O7))</f>
        <v>9.7294354409999997</v>
      </c>
      <c r="D7" s="77">
        <f ca="1">perm_hdr_diam</f>
        <v>6</v>
      </c>
      <c r="E7" s="14" t="s">
        <v>2479</v>
      </c>
      <c r="F7" s="14">
        <f t="shared" si="0"/>
        <v>0</v>
      </c>
      <c r="G7" s="14">
        <f t="shared" si="0"/>
        <v>0</v>
      </c>
      <c r="H7" s="14">
        <f t="shared" si="0"/>
        <v>0</v>
      </c>
      <c r="I7" s="14">
        <f t="shared" si="0"/>
        <v>0</v>
      </c>
      <c r="J7" s="14">
        <f t="shared" si="0"/>
        <v>0</v>
      </c>
      <c r="K7" s="14">
        <f t="shared" si="0"/>
        <v>0</v>
      </c>
      <c r="L7" s="14">
        <f t="shared" si="0"/>
        <v>0</v>
      </c>
      <c r="M7" s="14">
        <f t="shared" si="0"/>
        <v>9.7106987000000006E-2</v>
      </c>
      <c r="N7" s="14">
        <f t="shared" si="0"/>
        <v>0.800977414</v>
      </c>
      <c r="O7" s="14">
        <f t="shared" si="0"/>
        <v>1.427719425</v>
      </c>
      <c r="P7" s="14">
        <f t="shared" si="0"/>
        <v>48.1</v>
      </c>
      <c r="Q7" s="14">
        <f t="shared" si="0"/>
        <v>0</v>
      </c>
    </row>
    <row r="8" spans="1:17">
      <c r="A8" s="673" t="s">
        <v>4584</v>
      </c>
      <c r="B8" s="14" t="s">
        <v>4586</v>
      </c>
      <c r="C8" s="86">
        <f t="shared" ca="1" si="1"/>
        <v>258.55539581699992</v>
      </c>
      <c r="D8" s="77">
        <f ca="1">conc_hdr_diam</f>
        <v>6</v>
      </c>
      <c r="E8" s="14" t="s">
        <v>2481</v>
      </c>
      <c r="F8" s="14">
        <f t="shared" si="0"/>
        <v>0</v>
      </c>
      <c r="G8" s="14">
        <f t="shared" si="0"/>
        <v>0</v>
      </c>
      <c r="H8" s="14">
        <f t="shared" si="0"/>
        <v>0</v>
      </c>
      <c r="I8" s="14">
        <f t="shared" si="0"/>
        <v>0</v>
      </c>
      <c r="J8" s="14">
        <f t="shared" si="0"/>
        <v>0</v>
      </c>
      <c r="K8" s="14">
        <f t="shared" si="0"/>
        <v>0</v>
      </c>
      <c r="L8" s="14">
        <f t="shared" si="0"/>
        <v>4.8585111E-2</v>
      </c>
      <c r="M8" s="14">
        <f t="shared" si="0"/>
        <v>-2.5845256220000001</v>
      </c>
      <c r="N8" s="14">
        <f t="shared" si="0"/>
        <v>58.928328317999998</v>
      </c>
      <c r="O8" s="14">
        <f t="shared" si="0"/>
        <v>-12.466035675000001</v>
      </c>
      <c r="P8" s="14">
        <f t="shared" si="0"/>
        <v>48.1</v>
      </c>
      <c r="Q8" s="14">
        <f t="shared" si="0"/>
        <v>0</v>
      </c>
    </row>
    <row r="9" spans="1:17">
      <c r="A9" s="264" t="s">
        <v>1602</v>
      </c>
      <c r="C9" s="269"/>
    </row>
    <row r="10" spans="1:17">
      <c r="A10" s="265" t="s">
        <v>4154</v>
      </c>
      <c r="C10" s="269"/>
    </row>
    <row r="11" spans="1:17">
      <c r="A11" s="807" t="s">
        <v>5168</v>
      </c>
      <c r="B11" s="77" t="s">
        <v>1046</v>
      </c>
      <c r="C11" s="86">
        <f t="shared" ref="C11:C12" ca="1" si="2">IF(D11=0,0,IF(OR(D11&gt;P11,D11&lt;Q11),"contact vendor",F11*D11^G11+H11*LN(D11)+I11+J11*EXP(K11*D11)+L11*D11^3+M11*D11^2+N11*D11+O11))</f>
        <v>5541.1959969549998</v>
      </c>
      <c r="D11" s="77">
        <f ca="1">acid_tank_size</f>
        <v>2887</v>
      </c>
      <c r="E11" s="77" t="s">
        <v>3093</v>
      </c>
      <c r="F11" s="14">
        <f t="shared" ref="F11:Q12" si="3">VLOOKUP($E11,eq_table_cl,F$4,FALSE)</f>
        <v>0</v>
      </c>
      <c r="G11" s="14">
        <f t="shared" si="3"/>
        <v>0</v>
      </c>
      <c r="H11" s="14">
        <f t="shared" si="3"/>
        <v>0</v>
      </c>
      <c r="I11" s="14">
        <f t="shared" si="3"/>
        <v>0</v>
      </c>
      <c r="J11" s="14">
        <f t="shared" si="3"/>
        <v>0</v>
      </c>
      <c r="K11" s="14">
        <f t="shared" si="3"/>
        <v>0</v>
      </c>
      <c r="L11" s="14">
        <f t="shared" si="3"/>
        <v>0</v>
      </c>
      <c r="M11" s="14">
        <f t="shared" si="3"/>
        <v>1.89841E-4</v>
      </c>
      <c r="N11" s="14">
        <f t="shared" si="3"/>
        <v>1.125069329</v>
      </c>
      <c r="O11" s="14">
        <f t="shared" si="3"/>
        <v>710.83996240299996</v>
      </c>
      <c r="P11" s="14">
        <f t="shared" si="3"/>
        <v>6601</v>
      </c>
      <c r="Q11" s="14">
        <f t="shared" si="3"/>
        <v>0</v>
      </c>
    </row>
    <row r="12" spans="1:17">
      <c r="A12" s="266" t="s">
        <v>4155</v>
      </c>
      <c r="B12" s="77" t="s">
        <v>1047</v>
      </c>
      <c r="C12" s="86">
        <f t="shared" ca="1" si="2"/>
        <v>20984.780323507097</v>
      </c>
      <c r="D12" s="77">
        <f ca="1">acid_tank_size</f>
        <v>2887</v>
      </c>
      <c r="E12" s="77" t="s">
        <v>3094</v>
      </c>
      <c r="F12" s="14">
        <f t="shared" si="3"/>
        <v>259.35532937099998</v>
      </c>
      <c r="G12" s="14">
        <f t="shared" si="3"/>
        <v>0.55137656199999996</v>
      </c>
      <c r="H12" s="14">
        <f t="shared" si="3"/>
        <v>0</v>
      </c>
      <c r="I12" s="14">
        <f t="shared" si="3"/>
        <v>0</v>
      </c>
      <c r="J12" s="14">
        <f t="shared" si="3"/>
        <v>0</v>
      </c>
      <c r="K12" s="14">
        <f t="shared" si="3"/>
        <v>0</v>
      </c>
      <c r="L12" s="14">
        <f t="shared" si="3"/>
        <v>0</v>
      </c>
      <c r="M12" s="14">
        <f t="shared" si="3"/>
        <v>0</v>
      </c>
      <c r="N12" s="14">
        <f t="shared" si="3"/>
        <v>0</v>
      </c>
      <c r="O12" s="14">
        <f t="shared" si="3"/>
        <v>0</v>
      </c>
      <c r="P12" s="14">
        <f t="shared" si="3"/>
        <v>30001</v>
      </c>
      <c r="Q12" s="14">
        <f t="shared" si="3"/>
        <v>0</v>
      </c>
    </row>
    <row r="13" spans="1:17">
      <c r="A13" s="265" t="s">
        <v>4156</v>
      </c>
      <c r="C13" s="269"/>
    </row>
    <row r="14" spans="1:17">
      <c r="A14" s="807" t="s">
        <v>5168</v>
      </c>
      <c r="B14" s="77" t="s">
        <v>1048</v>
      </c>
      <c r="C14" s="86">
        <f t="shared" ref="C14:C16" si="4">IF(D14=0,0,IF(OR(D14&gt;P14,D14&lt;Q14),"contact vendor",F14*D14^G14+H14*LN(D14)+I14+J14*EXP(K14*D14)+L14*D14^3+M14*D14^2+N14*D14+O14))</f>
        <v>1025.9936825589998</v>
      </c>
      <c r="D14" s="77">
        <f>anti_tank_size</f>
        <v>268</v>
      </c>
      <c r="E14" s="77" t="s">
        <v>3093</v>
      </c>
      <c r="F14" s="14">
        <f t="shared" ref="F14:Q16" si="5">VLOOKUP($E14,eq_table_cl,F$4,FALSE)</f>
        <v>0</v>
      </c>
      <c r="G14" s="14">
        <f t="shared" si="5"/>
        <v>0</v>
      </c>
      <c r="H14" s="14">
        <f t="shared" si="5"/>
        <v>0</v>
      </c>
      <c r="I14" s="14">
        <f t="shared" si="5"/>
        <v>0</v>
      </c>
      <c r="J14" s="14">
        <f t="shared" si="5"/>
        <v>0</v>
      </c>
      <c r="K14" s="14">
        <f t="shared" si="5"/>
        <v>0</v>
      </c>
      <c r="L14" s="14">
        <f t="shared" si="5"/>
        <v>0</v>
      </c>
      <c r="M14" s="14">
        <f t="shared" si="5"/>
        <v>1.89841E-4</v>
      </c>
      <c r="N14" s="14">
        <f t="shared" si="5"/>
        <v>1.125069329</v>
      </c>
      <c r="O14" s="14">
        <f t="shared" si="5"/>
        <v>710.83996240299996</v>
      </c>
      <c r="P14" s="14">
        <f t="shared" si="5"/>
        <v>6601</v>
      </c>
      <c r="Q14" s="14">
        <f t="shared" si="5"/>
        <v>0</v>
      </c>
    </row>
    <row r="15" spans="1:17">
      <c r="A15" s="266" t="s">
        <v>4155</v>
      </c>
      <c r="B15" s="77" t="s">
        <v>1049</v>
      </c>
      <c r="C15" s="86">
        <f t="shared" si="4"/>
        <v>5658.6364316687659</v>
      </c>
      <c r="D15" s="77">
        <f>anti_tank_size</f>
        <v>268</v>
      </c>
      <c r="E15" s="77" t="s">
        <v>3094</v>
      </c>
      <c r="F15" s="14">
        <f t="shared" si="5"/>
        <v>259.35532937099998</v>
      </c>
      <c r="G15" s="14">
        <f t="shared" si="5"/>
        <v>0.55137656199999996</v>
      </c>
      <c r="H15" s="14">
        <f t="shared" si="5"/>
        <v>0</v>
      </c>
      <c r="I15" s="14">
        <f t="shared" si="5"/>
        <v>0</v>
      </c>
      <c r="J15" s="14">
        <f t="shared" si="5"/>
        <v>0</v>
      </c>
      <c r="K15" s="14">
        <f t="shared" si="5"/>
        <v>0</v>
      </c>
      <c r="L15" s="14">
        <f t="shared" si="5"/>
        <v>0</v>
      </c>
      <c r="M15" s="14">
        <f t="shared" si="5"/>
        <v>0</v>
      </c>
      <c r="N15" s="14">
        <f t="shared" si="5"/>
        <v>0</v>
      </c>
      <c r="O15" s="14">
        <f t="shared" si="5"/>
        <v>0</v>
      </c>
      <c r="P15" s="14">
        <f t="shared" si="5"/>
        <v>30001</v>
      </c>
      <c r="Q15" s="14">
        <f t="shared" si="5"/>
        <v>0</v>
      </c>
    </row>
    <row r="16" spans="1:17">
      <c r="A16" s="266" t="s">
        <v>2474</v>
      </c>
      <c r="B16" s="91" t="s">
        <v>5142</v>
      </c>
      <c r="C16" s="86">
        <f t="shared" si="4"/>
        <v>3364.648302255649</v>
      </c>
      <c r="D16" s="77">
        <f>anti_tank_size</f>
        <v>268</v>
      </c>
      <c r="E16" s="91" t="s">
        <v>5143</v>
      </c>
      <c r="F16" s="14">
        <f t="shared" si="5"/>
        <v>57.021589231</v>
      </c>
      <c r="G16" s="14">
        <f t="shared" si="5"/>
        <v>0.72932539100000005</v>
      </c>
      <c r="H16" s="14">
        <f t="shared" si="5"/>
        <v>0</v>
      </c>
      <c r="I16" s="14">
        <f t="shared" si="5"/>
        <v>0</v>
      </c>
      <c r="J16" s="14">
        <f t="shared" si="5"/>
        <v>0</v>
      </c>
      <c r="K16" s="14">
        <f t="shared" si="5"/>
        <v>0</v>
      </c>
      <c r="L16" s="14">
        <f t="shared" si="5"/>
        <v>0</v>
      </c>
      <c r="M16" s="14">
        <f t="shared" si="5"/>
        <v>0</v>
      </c>
      <c r="N16" s="14">
        <f t="shared" si="5"/>
        <v>0</v>
      </c>
      <c r="O16" s="14">
        <f t="shared" si="5"/>
        <v>0</v>
      </c>
      <c r="P16" s="14">
        <f t="shared" si="5"/>
        <v>30001</v>
      </c>
      <c r="Q16" s="14">
        <f t="shared" si="5"/>
        <v>0</v>
      </c>
    </row>
    <row r="17" spans="1:17">
      <c r="A17" s="265" t="s">
        <v>3498</v>
      </c>
      <c r="C17" s="86"/>
    </row>
    <row r="18" spans="1:17">
      <c r="A18" s="807" t="s">
        <v>5168</v>
      </c>
      <c r="B18" s="77" t="s">
        <v>3501</v>
      </c>
      <c r="C18" s="86">
        <f t="shared" ref="C18:C20" ca="1" si="6">IF(D18=0,0,IF(OR(D18&gt;P18,D18&lt;Q18),"contact vendor",F18*D18^G18+H18*LN(D18)+I18+J18*EXP(K18*D18)+L18*D18^3+M18*D18^2+N18*D18+O18))</f>
        <v>2610.142939543</v>
      </c>
      <c r="D18" s="77">
        <f ca="1">chem_tank_vol</f>
        <v>1371</v>
      </c>
      <c r="E18" s="77" t="s">
        <v>3093</v>
      </c>
      <c r="F18" s="14">
        <f t="shared" ref="F18:Q20" si="7">VLOOKUP($E18,eq_table_cl,F$4,FALSE)</f>
        <v>0</v>
      </c>
      <c r="G18" s="14">
        <f t="shared" si="7"/>
        <v>0</v>
      </c>
      <c r="H18" s="14">
        <f t="shared" si="7"/>
        <v>0</v>
      </c>
      <c r="I18" s="14">
        <f t="shared" si="7"/>
        <v>0</v>
      </c>
      <c r="J18" s="14">
        <f t="shared" si="7"/>
        <v>0</v>
      </c>
      <c r="K18" s="14">
        <f t="shared" si="7"/>
        <v>0</v>
      </c>
      <c r="L18" s="14">
        <f t="shared" si="7"/>
        <v>0</v>
      </c>
      <c r="M18" s="14">
        <f t="shared" si="7"/>
        <v>1.89841E-4</v>
      </c>
      <c r="N18" s="14">
        <f t="shared" si="7"/>
        <v>1.125069329</v>
      </c>
      <c r="O18" s="14">
        <f t="shared" si="7"/>
        <v>710.83996240299996</v>
      </c>
      <c r="P18" s="14">
        <f t="shared" si="7"/>
        <v>6601</v>
      </c>
      <c r="Q18" s="14">
        <f t="shared" si="7"/>
        <v>0</v>
      </c>
    </row>
    <row r="19" spans="1:17">
      <c r="A19" s="266" t="s">
        <v>4155</v>
      </c>
      <c r="B19" s="77" t="s">
        <v>3502</v>
      </c>
      <c r="C19" s="86">
        <f t="shared" ca="1" si="6"/>
        <v>13918.23302046312</v>
      </c>
      <c r="D19" s="77">
        <f ca="1">chem_tank_vol</f>
        <v>1371</v>
      </c>
      <c r="E19" s="77" t="s">
        <v>3094</v>
      </c>
      <c r="F19" s="14">
        <f t="shared" si="7"/>
        <v>259.35532937099998</v>
      </c>
      <c r="G19" s="14">
        <f t="shared" si="7"/>
        <v>0.55137656199999996</v>
      </c>
      <c r="H19" s="14">
        <f t="shared" si="7"/>
        <v>0</v>
      </c>
      <c r="I19" s="14">
        <f t="shared" si="7"/>
        <v>0</v>
      </c>
      <c r="J19" s="14">
        <f t="shared" si="7"/>
        <v>0</v>
      </c>
      <c r="K19" s="14">
        <f t="shared" si="7"/>
        <v>0</v>
      </c>
      <c r="L19" s="14">
        <f t="shared" si="7"/>
        <v>0</v>
      </c>
      <c r="M19" s="14">
        <f t="shared" si="7"/>
        <v>0</v>
      </c>
      <c r="N19" s="14">
        <f t="shared" si="7"/>
        <v>0</v>
      </c>
      <c r="O19" s="14">
        <f t="shared" si="7"/>
        <v>0</v>
      </c>
      <c r="P19" s="14">
        <f t="shared" si="7"/>
        <v>30001</v>
      </c>
      <c r="Q19" s="14">
        <f t="shared" si="7"/>
        <v>0</v>
      </c>
    </row>
    <row r="20" spans="1:17" s="229" customFormat="1">
      <c r="A20" s="266" t="s">
        <v>2474</v>
      </c>
      <c r="B20" s="92" t="s">
        <v>5144</v>
      </c>
      <c r="C20" s="86">
        <f t="shared" ca="1" si="6"/>
        <v>11065.228471178823</v>
      </c>
      <c r="D20" s="229">
        <f ca="1">chem_tank_vol</f>
        <v>1371</v>
      </c>
      <c r="E20" s="92" t="s">
        <v>5143</v>
      </c>
      <c r="F20" s="220">
        <f t="shared" si="7"/>
        <v>57.021589231</v>
      </c>
      <c r="G20" s="220">
        <f t="shared" si="7"/>
        <v>0.72932539100000005</v>
      </c>
      <c r="H20" s="220">
        <f t="shared" si="7"/>
        <v>0</v>
      </c>
      <c r="I20" s="220">
        <f t="shared" si="7"/>
        <v>0</v>
      </c>
      <c r="J20" s="220">
        <f t="shared" si="7"/>
        <v>0</v>
      </c>
      <c r="K20" s="220">
        <f t="shared" si="7"/>
        <v>0</v>
      </c>
      <c r="L20" s="220">
        <f t="shared" si="7"/>
        <v>0</v>
      </c>
      <c r="M20" s="220">
        <f t="shared" si="7"/>
        <v>0</v>
      </c>
      <c r="N20" s="220">
        <f t="shared" si="7"/>
        <v>0</v>
      </c>
      <c r="O20" s="220">
        <f t="shared" si="7"/>
        <v>0</v>
      </c>
      <c r="P20" s="220">
        <f t="shared" si="7"/>
        <v>30001</v>
      </c>
      <c r="Q20" s="220">
        <f t="shared" si="7"/>
        <v>0</v>
      </c>
    </row>
    <row r="21" spans="1:17">
      <c r="A21" s="265" t="s">
        <v>1255</v>
      </c>
      <c r="C21" s="269"/>
    </row>
    <row r="22" spans="1:17">
      <c r="A22" s="807" t="s">
        <v>5169</v>
      </c>
      <c r="B22" s="77" t="s">
        <v>1513</v>
      </c>
      <c r="C22" s="86">
        <f t="shared" ref="C22:C39" ca="1" si="8">IF(D22=0,0,IF(OR(D22&gt;P22,D22&lt;Q22),"contact vendor",F22*D22^G22+H22*LN(D22)+I22+J22*EXP(K22*D22)+L22*D22^3+M22*D22^2+N22*D22+O22))</f>
        <v>750.44994414299993</v>
      </c>
      <c r="D22" s="229">
        <f ca="1">clean_acid_store_tank_size</f>
        <v>35</v>
      </c>
      <c r="E22" s="77" t="s">
        <v>3093</v>
      </c>
      <c r="F22" s="14">
        <f t="shared" ref="F22:Q28" si="9">VLOOKUP($E22,eq_table_cl,F$4,FALSE)</f>
        <v>0</v>
      </c>
      <c r="G22" s="14">
        <f t="shared" si="9"/>
        <v>0</v>
      </c>
      <c r="H22" s="14">
        <f t="shared" si="9"/>
        <v>0</v>
      </c>
      <c r="I22" s="14">
        <f t="shared" si="9"/>
        <v>0</v>
      </c>
      <c r="J22" s="14">
        <f t="shared" si="9"/>
        <v>0</v>
      </c>
      <c r="K22" s="14">
        <f t="shared" si="9"/>
        <v>0</v>
      </c>
      <c r="L22" s="14">
        <f t="shared" si="9"/>
        <v>0</v>
      </c>
      <c r="M22" s="14">
        <f t="shared" si="9"/>
        <v>1.89841E-4</v>
      </c>
      <c r="N22" s="14">
        <f t="shared" si="9"/>
        <v>1.125069329</v>
      </c>
      <c r="O22" s="14">
        <f t="shared" si="9"/>
        <v>710.83996240299996</v>
      </c>
      <c r="P22" s="14">
        <f t="shared" si="9"/>
        <v>6601</v>
      </c>
      <c r="Q22" s="14">
        <f t="shared" si="9"/>
        <v>0</v>
      </c>
    </row>
    <row r="23" spans="1:17">
      <c r="A23" s="266" t="s">
        <v>1511</v>
      </c>
      <c r="B23" s="77" t="s">
        <v>1514</v>
      </c>
      <c r="C23" s="86">
        <f t="shared" ca="1" si="8"/>
        <v>1841.866319088369</v>
      </c>
      <c r="D23" s="229">
        <f ca="1">clean_acid_store_tank_size</f>
        <v>35</v>
      </c>
      <c r="E23" s="77" t="s">
        <v>3094</v>
      </c>
      <c r="F23" s="14">
        <f t="shared" si="9"/>
        <v>259.35532937099998</v>
      </c>
      <c r="G23" s="14">
        <f t="shared" si="9"/>
        <v>0.55137656199999996</v>
      </c>
      <c r="H23" s="14">
        <f t="shared" si="9"/>
        <v>0</v>
      </c>
      <c r="I23" s="14">
        <f t="shared" si="9"/>
        <v>0</v>
      </c>
      <c r="J23" s="14">
        <f t="shared" si="9"/>
        <v>0</v>
      </c>
      <c r="K23" s="14">
        <f t="shared" si="9"/>
        <v>0</v>
      </c>
      <c r="L23" s="14">
        <f t="shared" si="9"/>
        <v>0</v>
      </c>
      <c r="M23" s="14">
        <f t="shared" si="9"/>
        <v>0</v>
      </c>
      <c r="N23" s="14">
        <f t="shared" si="9"/>
        <v>0</v>
      </c>
      <c r="O23" s="14">
        <f t="shared" si="9"/>
        <v>0</v>
      </c>
      <c r="P23" s="14">
        <f t="shared" si="9"/>
        <v>30001</v>
      </c>
      <c r="Q23" s="14">
        <f t="shared" si="9"/>
        <v>0</v>
      </c>
    </row>
    <row r="24" spans="1:17">
      <c r="A24" s="807" t="s">
        <v>5171</v>
      </c>
      <c r="B24" s="77" t="s">
        <v>1516</v>
      </c>
      <c r="C24" s="86">
        <f t="shared" ca="1" si="8"/>
        <v>750.44994414299993</v>
      </c>
      <c r="D24" s="229">
        <f ca="1">clean_caustic_store_tank_size</f>
        <v>35</v>
      </c>
      <c r="E24" s="77" t="s">
        <v>3093</v>
      </c>
      <c r="F24" s="14">
        <f t="shared" si="9"/>
        <v>0</v>
      </c>
      <c r="G24" s="14">
        <f t="shared" si="9"/>
        <v>0</v>
      </c>
      <c r="H24" s="14">
        <f t="shared" si="9"/>
        <v>0</v>
      </c>
      <c r="I24" s="14">
        <f t="shared" si="9"/>
        <v>0</v>
      </c>
      <c r="J24" s="14">
        <f t="shared" si="9"/>
        <v>0</v>
      </c>
      <c r="K24" s="14">
        <f t="shared" si="9"/>
        <v>0</v>
      </c>
      <c r="L24" s="14">
        <f t="shared" si="9"/>
        <v>0</v>
      </c>
      <c r="M24" s="14">
        <f t="shared" si="9"/>
        <v>1.89841E-4</v>
      </c>
      <c r="N24" s="14">
        <f t="shared" si="9"/>
        <v>1.125069329</v>
      </c>
      <c r="O24" s="14">
        <f t="shared" si="9"/>
        <v>710.83996240299996</v>
      </c>
      <c r="P24" s="14">
        <f t="shared" si="9"/>
        <v>6601</v>
      </c>
      <c r="Q24" s="14">
        <f t="shared" si="9"/>
        <v>0</v>
      </c>
    </row>
    <row r="25" spans="1:17">
      <c r="A25" s="266" t="s">
        <v>1512</v>
      </c>
      <c r="B25" s="77" t="s">
        <v>1515</v>
      </c>
      <c r="C25" s="86">
        <f t="shared" ca="1" si="8"/>
        <v>1841.866319088369</v>
      </c>
      <c r="D25" s="229">
        <f ca="1">clean_caustic_store_tank_size</f>
        <v>35</v>
      </c>
      <c r="E25" s="77" t="s">
        <v>3094</v>
      </c>
      <c r="F25" s="14">
        <f t="shared" si="9"/>
        <v>259.35532937099998</v>
      </c>
      <c r="G25" s="14">
        <f t="shared" si="9"/>
        <v>0.55137656199999996</v>
      </c>
      <c r="H25" s="14">
        <f t="shared" si="9"/>
        <v>0</v>
      </c>
      <c r="I25" s="14">
        <f t="shared" si="9"/>
        <v>0</v>
      </c>
      <c r="J25" s="14">
        <f t="shared" si="9"/>
        <v>0</v>
      </c>
      <c r="K25" s="14">
        <f t="shared" si="9"/>
        <v>0</v>
      </c>
      <c r="L25" s="14">
        <f t="shared" si="9"/>
        <v>0</v>
      </c>
      <c r="M25" s="14">
        <f t="shared" si="9"/>
        <v>0</v>
      </c>
      <c r="N25" s="14">
        <f t="shared" si="9"/>
        <v>0</v>
      </c>
      <c r="O25" s="14">
        <f t="shared" si="9"/>
        <v>0</v>
      </c>
      <c r="P25" s="14">
        <f t="shared" si="9"/>
        <v>30001</v>
      </c>
      <c r="Q25" s="14">
        <f t="shared" si="9"/>
        <v>0</v>
      </c>
    </row>
    <row r="26" spans="1:17">
      <c r="A26" s="266" t="s">
        <v>5145</v>
      </c>
      <c r="B26" s="91" t="s">
        <v>5146</v>
      </c>
      <c r="C26" s="86">
        <f t="shared" ca="1" si="8"/>
        <v>762.37271976457305</v>
      </c>
      <c r="D26" s="229">
        <f ca="1">clean_caustic_store_tank_size</f>
        <v>35</v>
      </c>
      <c r="E26" s="91" t="s">
        <v>5143</v>
      </c>
      <c r="F26" s="14">
        <f t="shared" si="9"/>
        <v>57.021589231</v>
      </c>
      <c r="G26" s="14">
        <f t="shared" si="9"/>
        <v>0.72932539100000005</v>
      </c>
      <c r="H26" s="14">
        <f t="shared" si="9"/>
        <v>0</v>
      </c>
      <c r="I26" s="14">
        <f t="shared" si="9"/>
        <v>0</v>
      </c>
      <c r="J26" s="14">
        <f t="shared" si="9"/>
        <v>0</v>
      </c>
      <c r="K26" s="14">
        <f t="shared" si="9"/>
        <v>0</v>
      </c>
      <c r="L26" s="14">
        <f t="shared" si="9"/>
        <v>0</v>
      </c>
      <c r="M26" s="14">
        <f t="shared" si="9"/>
        <v>0</v>
      </c>
      <c r="N26" s="14">
        <f t="shared" si="9"/>
        <v>0</v>
      </c>
      <c r="O26" s="14">
        <f t="shared" si="9"/>
        <v>0</v>
      </c>
      <c r="P26" s="14">
        <f t="shared" si="9"/>
        <v>30001</v>
      </c>
      <c r="Q26" s="14">
        <f t="shared" si="9"/>
        <v>0</v>
      </c>
    </row>
    <row r="27" spans="1:17" s="14" customFormat="1">
      <c r="A27" s="221" t="s">
        <v>5043</v>
      </c>
      <c r="B27" s="14" t="s">
        <v>5045</v>
      </c>
      <c r="C27" s="86">
        <f t="shared" ca="1" si="8"/>
        <v>2170.4256533090002</v>
      </c>
      <c r="D27" s="14">
        <f ca="1">clean_caustic_store_tank_size</f>
        <v>35</v>
      </c>
      <c r="E27" s="14" t="s">
        <v>5045</v>
      </c>
      <c r="F27" s="14">
        <f t="shared" si="9"/>
        <v>0</v>
      </c>
      <c r="G27" s="14">
        <f t="shared" si="9"/>
        <v>0</v>
      </c>
      <c r="H27" s="14">
        <f t="shared" si="9"/>
        <v>0</v>
      </c>
      <c r="I27" s="14">
        <f t="shared" si="9"/>
        <v>0</v>
      </c>
      <c r="J27" s="14">
        <f t="shared" si="9"/>
        <v>0</v>
      </c>
      <c r="K27" s="14">
        <f t="shared" si="9"/>
        <v>0</v>
      </c>
      <c r="L27" s="14">
        <f t="shared" si="9"/>
        <v>0</v>
      </c>
      <c r="M27" s="14">
        <f t="shared" si="9"/>
        <v>2.0171999999999999E-5</v>
      </c>
      <c r="N27" s="14">
        <f t="shared" si="9"/>
        <v>0.19870423800000001</v>
      </c>
      <c r="O27" s="14">
        <f t="shared" si="9"/>
        <v>2163.4462942790001</v>
      </c>
      <c r="P27" s="14">
        <f t="shared" si="9"/>
        <v>30001</v>
      </c>
      <c r="Q27" s="14">
        <f t="shared" si="9"/>
        <v>0</v>
      </c>
    </row>
    <row r="28" spans="1:17" s="14" customFormat="1">
      <c r="A28" s="221" t="s">
        <v>5044</v>
      </c>
      <c r="B28" s="14" t="s">
        <v>5046</v>
      </c>
      <c r="C28" s="86">
        <f t="shared" ca="1" si="8"/>
        <v>207.42910580860845</v>
      </c>
      <c r="D28" s="14">
        <f ca="1">clean_caustic_store_tank_size</f>
        <v>35</v>
      </c>
      <c r="E28" s="14" t="s">
        <v>5046</v>
      </c>
      <c r="F28" s="14">
        <f t="shared" si="9"/>
        <v>21.046077051000001</v>
      </c>
      <c r="G28" s="14">
        <f t="shared" si="9"/>
        <v>0.64355877500000003</v>
      </c>
      <c r="H28" s="14">
        <f t="shared" si="9"/>
        <v>0</v>
      </c>
      <c r="I28" s="14">
        <f t="shared" si="9"/>
        <v>0</v>
      </c>
      <c r="J28" s="14">
        <f t="shared" si="9"/>
        <v>0</v>
      </c>
      <c r="K28" s="14">
        <f t="shared" si="9"/>
        <v>0</v>
      </c>
      <c r="L28" s="14">
        <f t="shared" si="9"/>
        <v>0</v>
      </c>
      <c r="M28" s="14">
        <f t="shared" si="9"/>
        <v>0</v>
      </c>
      <c r="N28" s="14">
        <f t="shared" si="9"/>
        <v>0</v>
      </c>
      <c r="O28" s="14">
        <f t="shared" si="9"/>
        <v>0</v>
      </c>
      <c r="P28" s="14">
        <f t="shared" si="9"/>
        <v>30001</v>
      </c>
      <c r="Q28" s="14">
        <f t="shared" si="9"/>
        <v>0</v>
      </c>
    </row>
    <row r="29" spans="1:17">
      <c r="A29" s="265" t="s">
        <v>452</v>
      </c>
    </row>
    <row r="30" spans="1:17">
      <c r="A30" s="266" t="s">
        <v>453</v>
      </c>
      <c r="B30" s="77" t="s">
        <v>456</v>
      </c>
      <c r="C30" s="86">
        <f t="shared" ca="1" si="8"/>
        <v>152624.41207122896</v>
      </c>
      <c r="D30" s="77">
        <f ca="1">htank_vol</f>
        <v>235364.50469560674</v>
      </c>
      <c r="E30" s="77" t="s">
        <v>457</v>
      </c>
      <c r="F30" s="14">
        <f t="shared" ref="F30:Q32" si="10">VLOOKUP($E30,eq_table_cl,F$4,FALSE)</f>
        <v>308.93713092600001</v>
      </c>
      <c r="G30" s="14">
        <f t="shared" si="10"/>
        <v>0.50146757099999995</v>
      </c>
      <c r="H30" s="14">
        <f t="shared" si="10"/>
        <v>0</v>
      </c>
      <c r="I30" s="14">
        <f t="shared" si="10"/>
        <v>0</v>
      </c>
      <c r="J30" s="14">
        <f t="shared" si="10"/>
        <v>0</v>
      </c>
      <c r="K30" s="14">
        <f t="shared" si="10"/>
        <v>0</v>
      </c>
      <c r="L30" s="14">
        <f t="shared" si="10"/>
        <v>0</v>
      </c>
      <c r="M30" s="14">
        <f t="shared" si="10"/>
        <v>0</v>
      </c>
      <c r="N30" s="14">
        <f t="shared" si="10"/>
        <v>0</v>
      </c>
      <c r="O30" s="14">
        <f t="shared" si="10"/>
        <v>0</v>
      </c>
      <c r="P30" s="14">
        <f t="shared" si="10"/>
        <v>289001</v>
      </c>
      <c r="Q30" s="14">
        <f t="shared" si="10"/>
        <v>0</v>
      </c>
    </row>
    <row r="31" spans="1:17">
      <c r="A31" s="266" t="s">
        <v>454</v>
      </c>
      <c r="B31" s="77" t="s">
        <v>458</v>
      </c>
      <c r="C31" s="86" t="str">
        <f t="shared" ca="1" si="8"/>
        <v>contact vendor</v>
      </c>
      <c r="D31" s="77">
        <f ca="1">htank_vol</f>
        <v>235364.50469560674</v>
      </c>
      <c r="E31" s="77" t="s">
        <v>459</v>
      </c>
      <c r="F31" s="14">
        <f t="shared" si="10"/>
        <v>135.281859973</v>
      </c>
      <c r="G31" s="14">
        <f t="shared" si="10"/>
        <v>0.66222618499999997</v>
      </c>
      <c r="H31" s="14">
        <f t="shared" si="10"/>
        <v>0</v>
      </c>
      <c r="I31" s="14">
        <f t="shared" si="10"/>
        <v>0</v>
      </c>
      <c r="J31" s="14">
        <f t="shared" si="10"/>
        <v>0</v>
      </c>
      <c r="K31" s="14">
        <f t="shared" si="10"/>
        <v>0</v>
      </c>
      <c r="L31" s="14">
        <f t="shared" si="10"/>
        <v>0</v>
      </c>
      <c r="M31" s="14">
        <f t="shared" si="10"/>
        <v>0</v>
      </c>
      <c r="N31" s="14">
        <f t="shared" si="10"/>
        <v>0</v>
      </c>
      <c r="O31" s="14">
        <f t="shared" si="10"/>
        <v>0</v>
      </c>
      <c r="P31" s="14">
        <f t="shared" si="10"/>
        <v>20001</v>
      </c>
      <c r="Q31" s="14">
        <f t="shared" si="10"/>
        <v>0</v>
      </c>
    </row>
    <row r="32" spans="1:17">
      <c r="A32" s="266" t="s">
        <v>455</v>
      </c>
      <c r="B32" s="77" t="s">
        <v>460</v>
      </c>
      <c r="C32" s="86" t="str">
        <f t="shared" ca="1" si="8"/>
        <v>contact vendor</v>
      </c>
      <c r="D32" s="77">
        <f ca="1">htank_vol</f>
        <v>235364.50469560674</v>
      </c>
      <c r="E32" s="77" t="s">
        <v>461</v>
      </c>
      <c r="F32" s="14">
        <f t="shared" si="10"/>
        <v>0</v>
      </c>
      <c r="G32" s="14">
        <f t="shared" si="10"/>
        <v>0</v>
      </c>
      <c r="H32" s="14">
        <f t="shared" si="10"/>
        <v>0</v>
      </c>
      <c r="I32" s="14">
        <f t="shared" si="10"/>
        <v>0</v>
      </c>
      <c r="J32" s="14">
        <f t="shared" si="10"/>
        <v>0</v>
      </c>
      <c r="K32" s="14">
        <f t="shared" si="10"/>
        <v>0</v>
      </c>
      <c r="L32" s="14">
        <f t="shared" si="10"/>
        <v>3E-9</v>
      </c>
      <c r="M32" s="14">
        <f t="shared" si="10"/>
        <v>-4.4866E-5</v>
      </c>
      <c r="N32" s="14">
        <f t="shared" si="10"/>
        <v>2.0973282219999998</v>
      </c>
      <c r="O32" s="14">
        <f t="shared" si="10"/>
        <v>434.23312942000001</v>
      </c>
      <c r="P32" s="14">
        <f t="shared" si="10"/>
        <v>16502</v>
      </c>
      <c r="Q32" s="14">
        <f t="shared" si="10"/>
        <v>0</v>
      </c>
    </row>
    <row r="33" spans="1:17" s="14" customFormat="1">
      <c r="A33" s="767" t="s">
        <v>5013</v>
      </c>
    </row>
    <row r="34" spans="1:17" s="14" customFormat="1">
      <c r="A34" s="633" t="s">
        <v>5170</v>
      </c>
      <c r="B34" s="28" t="s">
        <v>5030</v>
      </c>
      <c r="C34" s="86">
        <f t="shared" ca="1" si="8"/>
        <v>821.757901285</v>
      </c>
      <c r="D34" s="772">
        <f ca="1">acid_day_tank_vol</f>
        <v>97</v>
      </c>
      <c r="E34" s="14" t="s">
        <v>3093</v>
      </c>
      <c r="F34" s="14">
        <f t="shared" ref="F34:Q35" si="11">VLOOKUP($E34,eq_table_cl,F$4,FALSE)</f>
        <v>0</v>
      </c>
      <c r="G34" s="14">
        <f t="shared" si="11"/>
        <v>0</v>
      </c>
      <c r="H34" s="14">
        <f t="shared" si="11"/>
        <v>0</v>
      </c>
      <c r="I34" s="14">
        <f t="shared" si="11"/>
        <v>0</v>
      </c>
      <c r="J34" s="14">
        <f t="shared" si="11"/>
        <v>0</v>
      </c>
      <c r="K34" s="14">
        <f t="shared" si="11"/>
        <v>0</v>
      </c>
      <c r="L34" s="14">
        <f t="shared" si="11"/>
        <v>0</v>
      </c>
      <c r="M34" s="14">
        <f t="shared" si="11"/>
        <v>1.89841E-4</v>
      </c>
      <c r="N34" s="14">
        <f t="shared" si="11"/>
        <v>1.125069329</v>
      </c>
      <c r="O34" s="14">
        <f t="shared" si="11"/>
        <v>710.83996240299996</v>
      </c>
      <c r="P34" s="14">
        <f t="shared" si="11"/>
        <v>6601</v>
      </c>
      <c r="Q34" s="14">
        <f t="shared" si="11"/>
        <v>0</v>
      </c>
    </row>
    <row r="35" spans="1:17" s="14" customFormat="1">
      <c r="A35" s="221" t="s">
        <v>4155</v>
      </c>
      <c r="B35" s="28" t="s">
        <v>5031</v>
      </c>
      <c r="C35" s="86">
        <f t="shared" ca="1" si="8"/>
        <v>3231.1308425945081</v>
      </c>
      <c r="D35" s="772">
        <f ca="1">acid_day_tank_vol</f>
        <v>97</v>
      </c>
      <c r="E35" s="14" t="s">
        <v>3094</v>
      </c>
      <c r="F35" s="14">
        <f t="shared" si="11"/>
        <v>259.35532937099998</v>
      </c>
      <c r="G35" s="14">
        <f t="shared" si="11"/>
        <v>0.55137656199999996</v>
      </c>
      <c r="H35" s="14">
        <f t="shared" si="11"/>
        <v>0</v>
      </c>
      <c r="I35" s="14">
        <f t="shared" si="11"/>
        <v>0</v>
      </c>
      <c r="J35" s="14">
        <f t="shared" si="11"/>
        <v>0</v>
      </c>
      <c r="K35" s="14">
        <f t="shared" si="11"/>
        <v>0</v>
      </c>
      <c r="L35" s="14">
        <f t="shared" si="11"/>
        <v>0</v>
      </c>
      <c r="M35" s="14">
        <f t="shared" si="11"/>
        <v>0</v>
      </c>
      <c r="N35" s="14">
        <f t="shared" si="11"/>
        <v>0</v>
      </c>
      <c r="O35" s="14">
        <f t="shared" si="11"/>
        <v>0</v>
      </c>
      <c r="P35" s="14">
        <f t="shared" si="11"/>
        <v>30001</v>
      </c>
      <c r="Q35" s="14">
        <f t="shared" si="11"/>
        <v>0</v>
      </c>
    </row>
    <row r="36" spans="1:17">
      <c r="A36" s="767" t="s">
        <v>5015</v>
      </c>
      <c r="B36" s="14"/>
      <c r="C36" s="14"/>
      <c r="D36" s="768"/>
      <c r="E36" s="14"/>
    </row>
    <row r="37" spans="1:17">
      <c r="A37" s="633" t="s">
        <v>5170</v>
      </c>
      <c r="B37" s="28" t="s">
        <v>5032</v>
      </c>
      <c r="C37" s="86">
        <f t="shared" si="8"/>
        <v>720.98096348499996</v>
      </c>
      <c r="D37" s="772">
        <f>anti_day_tank_vol</f>
        <v>9</v>
      </c>
      <c r="E37" s="14" t="s">
        <v>3093</v>
      </c>
      <c r="F37" s="14">
        <f t="shared" ref="F37:Q39" si="12">VLOOKUP($E37,eq_table_cl,F$4,FALSE)</f>
        <v>0</v>
      </c>
      <c r="G37" s="14">
        <f t="shared" si="12"/>
        <v>0</v>
      </c>
      <c r="H37" s="14">
        <f t="shared" si="12"/>
        <v>0</v>
      </c>
      <c r="I37" s="14">
        <f t="shared" si="12"/>
        <v>0</v>
      </c>
      <c r="J37" s="14">
        <f t="shared" si="12"/>
        <v>0</v>
      </c>
      <c r="K37" s="14">
        <f t="shared" si="12"/>
        <v>0</v>
      </c>
      <c r="L37" s="14">
        <f t="shared" si="12"/>
        <v>0</v>
      </c>
      <c r="M37" s="14">
        <f t="shared" si="12"/>
        <v>1.89841E-4</v>
      </c>
      <c r="N37" s="14">
        <f t="shared" si="12"/>
        <v>1.125069329</v>
      </c>
      <c r="O37" s="14">
        <f t="shared" si="12"/>
        <v>710.83996240299996</v>
      </c>
      <c r="P37" s="14">
        <f t="shared" si="12"/>
        <v>6601</v>
      </c>
      <c r="Q37" s="14">
        <f t="shared" si="12"/>
        <v>0</v>
      </c>
    </row>
    <row r="38" spans="1:17">
      <c r="A38" s="221" t="s">
        <v>4155</v>
      </c>
      <c r="B38" s="28" t="s">
        <v>5033</v>
      </c>
      <c r="C38" s="86">
        <f t="shared" si="8"/>
        <v>871.04808582340024</v>
      </c>
      <c r="D38" s="772">
        <f>anti_day_tank_vol</f>
        <v>9</v>
      </c>
      <c r="E38" s="14" t="s">
        <v>3094</v>
      </c>
      <c r="F38" s="14">
        <f t="shared" si="12"/>
        <v>259.35532937099998</v>
      </c>
      <c r="G38" s="14">
        <f t="shared" si="12"/>
        <v>0.55137656199999996</v>
      </c>
      <c r="H38" s="14">
        <f t="shared" si="12"/>
        <v>0</v>
      </c>
      <c r="I38" s="14">
        <f t="shared" si="12"/>
        <v>0</v>
      </c>
      <c r="J38" s="14">
        <f t="shared" si="12"/>
        <v>0</v>
      </c>
      <c r="K38" s="14">
        <f t="shared" si="12"/>
        <v>0</v>
      </c>
      <c r="L38" s="14">
        <f t="shared" si="12"/>
        <v>0</v>
      </c>
      <c r="M38" s="14">
        <f t="shared" si="12"/>
        <v>0</v>
      </c>
      <c r="N38" s="14">
        <f t="shared" si="12"/>
        <v>0</v>
      </c>
      <c r="O38" s="14">
        <f t="shared" si="12"/>
        <v>0</v>
      </c>
      <c r="P38" s="14">
        <f t="shared" si="12"/>
        <v>30001</v>
      </c>
      <c r="Q38" s="14">
        <f t="shared" si="12"/>
        <v>0</v>
      </c>
    </row>
    <row r="39" spans="1:17">
      <c r="A39" s="221" t="s">
        <v>2474</v>
      </c>
      <c r="B39" s="28" t="s">
        <v>5147</v>
      </c>
      <c r="C39" s="86">
        <f t="shared" si="8"/>
        <v>283.13438073940387</v>
      </c>
      <c r="D39" s="772">
        <f>anti_day_tank_vol</f>
        <v>9</v>
      </c>
      <c r="E39" s="28" t="s">
        <v>5143</v>
      </c>
      <c r="F39" s="14">
        <f t="shared" si="12"/>
        <v>57.021589231</v>
      </c>
      <c r="G39" s="14">
        <f t="shared" si="12"/>
        <v>0.72932539100000005</v>
      </c>
      <c r="H39" s="14">
        <f t="shared" si="12"/>
        <v>0</v>
      </c>
      <c r="I39" s="14">
        <f t="shared" si="12"/>
        <v>0</v>
      </c>
      <c r="J39" s="14">
        <f t="shared" si="12"/>
        <v>0</v>
      </c>
      <c r="K39" s="14">
        <f t="shared" si="12"/>
        <v>0</v>
      </c>
      <c r="L39" s="14">
        <f t="shared" si="12"/>
        <v>0</v>
      </c>
      <c r="M39" s="14">
        <f t="shared" si="12"/>
        <v>0</v>
      </c>
      <c r="N39" s="14">
        <f t="shared" si="12"/>
        <v>0</v>
      </c>
      <c r="O39" s="14">
        <f t="shared" si="12"/>
        <v>0</v>
      </c>
      <c r="P39" s="14">
        <f t="shared" si="12"/>
        <v>30001</v>
      </c>
      <c r="Q39" s="14">
        <f t="shared" si="12"/>
        <v>0</v>
      </c>
    </row>
    <row r="40" spans="1:17">
      <c r="A40" s="140" t="s">
        <v>2202</v>
      </c>
    </row>
    <row r="41" spans="1:17">
      <c r="A41" s="228" t="s">
        <v>1266</v>
      </c>
    </row>
    <row r="42" spans="1:17">
      <c r="A42" s="278" t="s">
        <v>3468</v>
      </c>
      <c r="B42" s="14" t="s">
        <v>3503</v>
      </c>
      <c r="C42" s="86">
        <f t="shared" ref="C42:C46" ca="1" si="13">IF(D42=0,0,IF(OR(D42&gt;P42,D42&lt;Q42),"contact vendor",F42*D42^G42+H42*LN(D42)+I42+J42*EXP(K42*D42)+L42*D42^3+M42*D42^2+N42*D42+O42))</f>
        <v>99.794539544999992</v>
      </c>
      <c r="D42" s="77">
        <f ca="1">feed_hdr_diam</f>
        <v>6</v>
      </c>
      <c r="E42" s="14" t="s">
        <v>3474</v>
      </c>
      <c r="F42" s="14">
        <f t="shared" ref="F42:Q46" si="14">VLOOKUP($E42,eq_table_cl,F$4,FALSE)</f>
        <v>0</v>
      </c>
      <c r="G42" s="14">
        <f t="shared" si="14"/>
        <v>0</v>
      </c>
      <c r="H42" s="14">
        <f t="shared" si="14"/>
        <v>0</v>
      </c>
      <c r="I42" s="14">
        <f t="shared" si="14"/>
        <v>0</v>
      </c>
      <c r="J42" s="14">
        <f t="shared" si="14"/>
        <v>0</v>
      </c>
      <c r="K42" s="14">
        <f t="shared" si="14"/>
        <v>0</v>
      </c>
      <c r="L42" s="14">
        <f t="shared" si="14"/>
        <v>1.3009082E-2</v>
      </c>
      <c r="M42" s="14">
        <f t="shared" si="14"/>
        <v>-0.63853567099999997</v>
      </c>
      <c r="N42" s="14">
        <f t="shared" si="14"/>
        <v>18.152542467</v>
      </c>
      <c r="O42" s="14">
        <f t="shared" si="14"/>
        <v>11.056607186999999</v>
      </c>
      <c r="P42" s="14">
        <f t="shared" si="14"/>
        <v>48.1</v>
      </c>
      <c r="Q42" s="14">
        <f t="shared" si="14"/>
        <v>4</v>
      </c>
    </row>
    <row r="43" spans="1:17">
      <c r="A43" s="278" t="s">
        <v>473</v>
      </c>
      <c r="B43" s="14" t="s">
        <v>1417</v>
      </c>
      <c r="C43" s="86">
        <f t="shared" ca="1" si="13"/>
        <v>46.607783347999998</v>
      </c>
      <c r="D43" s="77">
        <f ca="1">feed_hdr_diam</f>
        <v>6</v>
      </c>
      <c r="E43" s="14" t="s">
        <v>2477</v>
      </c>
      <c r="F43" s="14">
        <f t="shared" si="14"/>
        <v>0</v>
      </c>
      <c r="G43" s="14">
        <f t="shared" si="14"/>
        <v>0</v>
      </c>
      <c r="H43" s="14">
        <f t="shared" si="14"/>
        <v>0</v>
      </c>
      <c r="I43" s="14">
        <f t="shared" si="14"/>
        <v>0</v>
      </c>
      <c r="J43" s="14">
        <f t="shared" si="14"/>
        <v>0</v>
      </c>
      <c r="K43" s="14">
        <f t="shared" si="14"/>
        <v>0</v>
      </c>
      <c r="L43" s="14">
        <f t="shared" si="14"/>
        <v>6.5072480000000002E-3</v>
      </c>
      <c r="M43" s="14">
        <f t="shared" si="14"/>
        <v>0.74408816600000005</v>
      </c>
      <c r="N43" s="14">
        <f t="shared" si="14"/>
        <v>2.9106427579999998</v>
      </c>
      <c r="O43" s="14">
        <f t="shared" si="14"/>
        <v>0.95118725599999998</v>
      </c>
      <c r="P43" s="14">
        <f t="shared" si="14"/>
        <v>18.100000000000001</v>
      </c>
      <c r="Q43" s="14">
        <f t="shared" si="14"/>
        <v>0</v>
      </c>
    </row>
    <row r="44" spans="1:17">
      <c r="A44" s="278" t="s">
        <v>474</v>
      </c>
      <c r="B44" s="14" t="s">
        <v>1418</v>
      </c>
      <c r="C44" s="86">
        <f t="shared" ca="1" si="13"/>
        <v>9.7294354409999997</v>
      </c>
      <c r="D44" s="77">
        <f ca="1">feed_hdr_diam</f>
        <v>6</v>
      </c>
      <c r="E44" s="14" t="s">
        <v>2479</v>
      </c>
      <c r="F44" s="14">
        <f t="shared" si="14"/>
        <v>0</v>
      </c>
      <c r="G44" s="14">
        <f t="shared" si="14"/>
        <v>0</v>
      </c>
      <c r="H44" s="14">
        <f t="shared" si="14"/>
        <v>0</v>
      </c>
      <c r="I44" s="14">
        <f t="shared" si="14"/>
        <v>0</v>
      </c>
      <c r="J44" s="14">
        <f t="shared" si="14"/>
        <v>0</v>
      </c>
      <c r="K44" s="14">
        <f t="shared" si="14"/>
        <v>0</v>
      </c>
      <c r="L44" s="14">
        <f t="shared" si="14"/>
        <v>0</v>
      </c>
      <c r="M44" s="14">
        <f t="shared" si="14"/>
        <v>9.7106987000000006E-2</v>
      </c>
      <c r="N44" s="14">
        <f t="shared" si="14"/>
        <v>0.800977414</v>
      </c>
      <c r="O44" s="14">
        <f t="shared" si="14"/>
        <v>1.427719425</v>
      </c>
      <c r="P44" s="14">
        <f t="shared" si="14"/>
        <v>48.1</v>
      </c>
      <c r="Q44" s="14">
        <f t="shared" si="14"/>
        <v>0</v>
      </c>
    </row>
    <row r="45" spans="1:17">
      <c r="A45" s="278" t="s">
        <v>2474</v>
      </c>
      <c r="B45" s="14" t="s">
        <v>1419</v>
      </c>
      <c r="C45" s="86">
        <f t="shared" ca="1" si="13"/>
        <v>258.55539581699992</v>
      </c>
      <c r="D45" s="77">
        <f ca="1">feed_hdr_diam</f>
        <v>6</v>
      </c>
      <c r="E45" s="14" t="s">
        <v>2481</v>
      </c>
      <c r="F45" s="14">
        <f t="shared" si="14"/>
        <v>0</v>
      </c>
      <c r="G45" s="14">
        <f t="shared" si="14"/>
        <v>0</v>
      </c>
      <c r="H45" s="14">
        <f t="shared" si="14"/>
        <v>0</v>
      </c>
      <c r="I45" s="14">
        <f t="shared" si="14"/>
        <v>0</v>
      </c>
      <c r="J45" s="14">
        <f t="shared" si="14"/>
        <v>0</v>
      </c>
      <c r="K45" s="14">
        <f t="shared" si="14"/>
        <v>0</v>
      </c>
      <c r="L45" s="14">
        <f t="shared" si="14"/>
        <v>4.8585111E-2</v>
      </c>
      <c r="M45" s="14">
        <f t="shared" si="14"/>
        <v>-2.5845256220000001</v>
      </c>
      <c r="N45" s="14">
        <f t="shared" si="14"/>
        <v>58.928328317999998</v>
      </c>
      <c r="O45" s="14">
        <f t="shared" si="14"/>
        <v>-12.466035675000001</v>
      </c>
      <c r="P45" s="14">
        <f t="shared" si="14"/>
        <v>48.1</v>
      </c>
      <c r="Q45" s="14">
        <f t="shared" si="14"/>
        <v>0</v>
      </c>
    </row>
    <row r="46" spans="1:17">
      <c r="A46" s="278" t="s">
        <v>2475</v>
      </c>
      <c r="B46" s="14" t="s">
        <v>1420</v>
      </c>
      <c r="C46" s="86">
        <f t="shared" ca="1" si="13"/>
        <v>108.71702273657689</v>
      </c>
      <c r="D46" s="77">
        <f ca="1">feed_hdr_diam</f>
        <v>6</v>
      </c>
      <c r="E46" s="14" t="s">
        <v>2245</v>
      </c>
      <c r="F46" s="14">
        <f t="shared" si="14"/>
        <v>20.769417377</v>
      </c>
      <c r="G46" s="14">
        <f t="shared" si="14"/>
        <v>0.92382198999999998</v>
      </c>
      <c r="H46" s="14">
        <f t="shared" si="14"/>
        <v>0</v>
      </c>
      <c r="I46" s="14">
        <f t="shared" si="14"/>
        <v>0</v>
      </c>
      <c r="J46" s="14">
        <f t="shared" si="14"/>
        <v>0</v>
      </c>
      <c r="K46" s="14">
        <f t="shared" si="14"/>
        <v>0</v>
      </c>
      <c r="L46" s="14">
        <f t="shared" si="14"/>
        <v>0</v>
      </c>
      <c r="M46" s="14">
        <f t="shared" si="14"/>
        <v>0</v>
      </c>
      <c r="N46" s="14">
        <f t="shared" si="14"/>
        <v>0</v>
      </c>
      <c r="O46" s="14">
        <f t="shared" si="14"/>
        <v>0</v>
      </c>
      <c r="P46" s="14">
        <f t="shared" si="14"/>
        <v>48.1</v>
      </c>
      <c r="Q46" s="14">
        <f t="shared" si="14"/>
        <v>0</v>
      </c>
    </row>
    <row r="47" spans="1:17">
      <c r="A47" s="228" t="s">
        <v>1267</v>
      </c>
    </row>
    <row r="48" spans="1:17">
      <c r="A48" s="278" t="s">
        <v>473</v>
      </c>
      <c r="B48" s="14" t="s">
        <v>1421</v>
      </c>
      <c r="C48" s="86">
        <f t="shared" ref="C48:C50" ca="1" si="15">IF(D48=0,0,IF(OR(D48&gt;P48,D48&lt;Q48),"contact vendor",F48*D48^G48+H48*LN(D48)+I48+J48*EXP(K48*D48)+L48*D48^3+M48*D48^2+N48*D48+O48))</f>
        <v>46.607783347999998</v>
      </c>
      <c r="D48" s="151">
        <f ca="1">perm_hdr_diam</f>
        <v>6</v>
      </c>
      <c r="E48" s="14" t="s">
        <v>2477</v>
      </c>
      <c r="F48" s="14">
        <f t="shared" ref="F48:Q50" si="16">VLOOKUP($E48,eq_table_cl,F$4,FALSE)</f>
        <v>0</v>
      </c>
      <c r="G48" s="14">
        <f t="shared" si="16"/>
        <v>0</v>
      </c>
      <c r="H48" s="14">
        <f t="shared" si="16"/>
        <v>0</v>
      </c>
      <c r="I48" s="14">
        <f t="shared" si="16"/>
        <v>0</v>
      </c>
      <c r="J48" s="14">
        <f t="shared" si="16"/>
        <v>0</v>
      </c>
      <c r="K48" s="14">
        <f t="shared" si="16"/>
        <v>0</v>
      </c>
      <c r="L48" s="14">
        <f t="shared" si="16"/>
        <v>6.5072480000000002E-3</v>
      </c>
      <c r="M48" s="14">
        <f t="shared" si="16"/>
        <v>0.74408816600000005</v>
      </c>
      <c r="N48" s="14">
        <f t="shared" si="16"/>
        <v>2.9106427579999998</v>
      </c>
      <c r="O48" s="14">
        <f t="shared" si="16"/>
        <v>0.95118725599999998</v>
      </c>
      <c r="P48" s="14">
        <f t="shared" si="16"/>
        <v>18.100000000000001</v>
      </c>
      <c r="Q48" s="14">
        <f t="shared" si="16"/>
        <v>0</v>
      </c>
    </row>
    <row r="49" spans="1:17">
      <c r="A49" s="278" t="s">
        <v>474</v>
      </c>
      <c r="B49" s="14" t="s">
        <v>1422</v>
      </c>
      <c r="C49" s="86">
        <f t="shared" ca="1" si="15"/>
        <v>9.7294354409999997</v>
      </c>
      <c r="D49" s="151">
        <f ca="1">perm_hdr_diam</f>
        <v>6</v>
      </c>
      <c r="E49" s="14" t="s">
        <v>2479</v>
      </c>
      <c r="F49" s="14">
        <f t="shared" si="16"/>
        <v>0</v>
      </c>
      <c r="G49" s="14">
        <f t="shared" si="16"/>
        <v>0</v>
      </c>
      <c r="H49" s="14">
        <f t="shared" si="16"/>
        <v>0</v>
      </c>
      <c r="I49" s="14">
        <f t="shared" si="16"/>
        <v>0</v>
      </c>
      <c r="J49" s="14">
        <f t="shared" si="16"/>
        <v>0</v>
      </c>
      <c r="K49" s="14">
        <f t="shared" si="16"/>
        <v>0</v>
      </c>
      <c r="L49" s="14">
        <f t="shared" si="16"/>
        <v>0</v>
      </c>
      <c r="M49" s="14">
        <f t="shared" si="16"/>
        <v>9.7106987000000006E-2</v>
      </c>
      <c r="N49" s="14">
        <f t="shared" si="16"/>
        <v>0.800977414</v>
      </c>
      <c r="O49" s="14">
        <f t="shared" si="16"/>
        <v>1.427719425</v>
      </c>
      <c r="P49" s="14">
        <f t="shared" si="16"/>
        <v>48.1</v>
      </c>
      <c r="Q49" s="14">
        <f t="shared" si="16"/>
        <v>0</v>
      </c>
    </row>
    <row r="50" spans="1:17">
      <c r="A50" s="278" t="s">
        <v>2474</v>
      </c>
      <c r="B50" s="14" t="s">
        <v>1423</v>
      </c>
      <c r="C50" s="86">
        <f t="shared" ca="1" si="15"/>
        <v>258.55539581699992</v>
      </c>
      <c r="D50" s="151">
        <f ca="1">perm_hdr_diam</f>
        <v>6</v>
      </c>
      <c r="E50" s="14" t="s">
        <v>2481</v>
      </c>
      <c r="F50" s="14">
        <f t="shared" si="16"/>
        <v>0</v>
      </c>
      <c r="G50" s="14">
        <f t="shared" si="16"/>
        <v>0</v>
      </c>
      <c r="H50" s="14">
        <f t="shared" si="16"/>
        <v>0</v>
      </c>
      <c r="I50" s="14">
        <f t="shared" si="16"/>
        <v>0</v>
      </c>
      <c r="J50" s="14">
        <f t="shared" si="16"/>
        <v>0</v>
      </c>
      <c r="K50" s="14">
        <f t="shared" si="16"/>
        <v>0</v>
      </c>
      <c r="L50" s="14">
        <f t="shared" si="16"/>
        <v>4.8585111E-2</v>
      </c>
      <c r="M50" s="14">
        <f t="shared" si="16"/>
        <v>-2.5845256220000001</v>
      </c>
      <c r="N50" s="14">
        <f t="shared" si="16"/>
        <v>58.928328317999998</v>
      </c>
      <c r="O50" s="14">
        <f t="shared" si="16"/>
        <v>-12.466035675000001</v>
      </c>
      <c r="P50" s="14">
        <f t="shared" si="16"/>
        <v>48.1</v>
      </c>
      <c r="Q50" s="14">
        <f t="shared" si="16"/>
        <v>0</v>
      </c>
    </row>
    <row r="51" spans="1:17">
      <c r="A51" s="945" t="s">
        <v>5581</v>
      </c>
    </row>
    <row r="52" spans="1:17">
      <c r="A52" s="278" t="s">
        <v>3468</v>
      </c>
      <c r="B52" s="14" t="s">
        <v>3469</v>
      </c>
      <c r="C52" s="86">
        <f t="shared" ref="C52:C56" si="17">IF(D52=0,0,IF(OR(D52&gt;P52,D52&lt;Q52),"contact vendor",F52*D52^G52+H52*LN(D52)+I52+J52*EXP(K52*D52)+L52*D52^3+M52*D52^2+N52*D52+O52))</f>
        <v>141.73754675700002</v>
      </c>
      <c r="D52" s="77">
        <f>in_out_pipe_diam</f>
        <v>10</v>
      </c>
      <c r="E52" s="14" t="s">
        <v>3474</v>
      </c>
      <c r="F52" s="14">
        <f t="shared" ref="F52:Q56" si="18">VLOOKUP($E52,eq_table_cl,F$4,FALSE)</f>
        <v>0</v>
      </c>
      <c r="G52" s="14">
        <f t="shared" si="18"/>
        <v>0</v>
      </c>
      <c r="H52" s="14">
        <f t="shared" si="18"/>
        <v>0</v>
      </c>
      <c r="I52" s="14">
        <f t="shared" si="18"/>
        <v>0</v>
      </c>
      <c r="J52" s="14">
        <f t="shared" si="18"/>
        <v>0</v>
      </c>
      <c r="K52" s="14">
        <f t="shared" si="18"/>
        <v>0</v>
      </c>
      <c r="L52" s="14">
        <f t="shared" si="18"/>
        <v>1.3009082E-2</v>
      </c>
      <c r="M52" s="14">
        <f t="shared" si="18"/>
        <v>-0.63853567099999997</v>
      </c>
      <c r="N52" s="14">
        <f t="shared" si="18"/>
        <v>18.152542467</v>
      </c>
      <c r="O52" s="14">
        <f t="shared" si="18"/>
        <v>11.056607186999999</v>
      </c>
      <c r="P52" s="14">
        <f t="shared" si="18"/>
        <v>48.1</v>
      </c>
      <c r="Q52" s="14">
        <f t="shared" si="18"/>
        <v>4</v>
      </c>
    </row>
    <row r="53" spans="1:17">
      <c r="A53" s="278" t="s">
        <v>473</v>
      </c>
      <c r="B53" s="14" t="s">
        <v>3470</v>
      </c>
      <c r="C53" s="86">
        <f t="shared" si="17"/>
        <v>110.97367943600001</v>
      </c>
      <c r="D53" s="77">
        <f>in_out_pipe_diam</f>
        <v>10</v>
      </c>
      <c r="E53" s="14" t="s">
        <v>2477</v>
      </c>
      <c r="F53" s="14">
        <f t="shared" si="18"/>
        <v>0</v>
      </c>
      <c r="G53" s="14">
        <f t="shared" si="18"/>
        <v>0</v>
      </c>
      <c r="H53" s="14">
        <f t="shared" si="18"/>
        <v>0</v>
      </c>
      <c r="I53" s="14">
        <f t="shared" si="18"/>
        <v>0</v>
      </c>
      <c r="J53" s="14">
        <f t="shared" si="18"/>
        <v>0</v>
      </c>
      <c r="K53" s="14">
        <f t="shared" si="18"/>
        <v>0</v>
      </c>
      <c r="L53" s="14">
        <f t="shared" si="18"/>
        <v>6.5072480000000002E-3</v>
      </c>
      <c r="M53" s="14">
        <f t="shared" si="18"/>
        <v>0.74408816600000005</v>
      </c>
      <c r="N53" s="14">
        <f t="shared" si="18"/>
        <v>2.9106427579999998</v>
      </c>
      <c r="O53" s="14">
        <f t="shared" si="18"/>
        <v>0.95118725599999998</v>
      </c>
      <c r="P53" s="14">
        <f t="shared" si="18"/>
        <v>18.100000000000001</v>
      </c>
      <c r="Q53" s="14">
        <f t="shared" si="18"/>
        <v>0</v>
      </c>
    </row>
    <row r="54" spans="1:17">
      <c r="A54" s="278" t="s">
        <v>474</v>
      </c>
      <c r="B54" s="14" t="s">
        <v>3471</v>
      </c>
      <c r="C54" s="86">
        <f t="shared" si="17"/>
        <v>19.148192264999999</v>
      </c>
      <c r="D54" s="77">
        <f>in_out_pipe_diam</f>
        <v>10</v>
      </c>
      <c r="E54" s="14" t="s">
        <v>2479</v>
      </c>
      <c r="F54" s="14">
        <f t="shared" si="18"/>
        <v>0</v>
      </c>
      <c r="G54" s="14">
        <f t="shared" si="18"/>
        <v>0</v>
      </c>
      <c r="H54" s="14">
        <f t="shared" si="18"/>
        <v>0</v>
      </c>
      <c r="I54" s="14">
        <f t="shared" si="18"/>
        <v>0</v>
      </c>
      <c r="J54" s="14">
        <f t="shared" si="18"/>
        <v>0</v>
      </c>
      <c r="K54" s="14">
        <f t="shared" si="18"/>
        <v>0</v>
      </c>
      <c r="L54" s="14">
        <f t="shared" si="18"/>
        <v>0</v>
      </c>
      <c r="M54" s="14">
        <f t="shared" si="18"/>
        <v>9.7106987000000006E-2</v>
      </c>
      <c r="N54" s="14">
        <f t="shared" si="18"/>
        <v>0.800977414</v>
      </c>
      <c r="O54" s="14">
        <f t="shared" si="18"/>
        <v>1.427719425</v>
      </c>
      <c r="P54" s="14">
        <f t="shared" si="18"/>
        <v>48.1</v>
      </c>
      <c r="Q54" s="14">
        <f t="shared" si="18"/>
        <v>0</v>
      </c>
    </row>
    <row r="55" spans="1:17">
      <c r="A55" s="278" t="s">
        <v>2474</v>
      </c>
      <c r="B55" s="14" t="s">
        <v>3472</v>
      </c>
      <c r="C55" s="86">
        <f t="shared" si="17"/>
        <v>366.94979630500001</v>
      </c>
      <c r="D55" s="77">
        <f>in_out_pipe_diam</f>
        <v>10</v>
      </c>
      <c r="E55" s="14" t="s">
        <v>2481</v>
      </c>
      <c r="F55" s="14">
        <f t="shared" si="18"/>
        <v>0</v>
      </c>
      <c r="G55" s="14">
        <f t="shared" si="18"/>
        <v>0</v>
      </c>
      <c r="H55" s="14">
        <f t="shared" si="18"/>
        <v>0</v>
      </c>
      <c r="I55" s="14">
        <f t="shared" si="18"/>
        <v>0</v>
      </c>
      <c r="J55" s="14">
        <f t="shared" si="18"/>
        <v>0</v>
      </c>
      <c r="K55" s="14">
        <f t="shared" si="18"/>
        <v>0</v>
      </c>
      <c r="L55" s="14">
        <f t="shared" si="18"/>
        <v>4.8585111E-2</v>
      </c>
      <c r="M55" s="14">
        <f t="shared" si="18"/>
        <v>-2.5845256220000001</v>
      </c>
      <c r="N55" s="14">
        <f t="shared" si="18"/>
        <v>58.928328317999998</v>
      </c>
      <c r="O55" s="14">
        <f t="shared" si="18"/>
        <v>-12.466035675000001</v>
      </c>
      <c r="P55" s="14">
        <f t="shared" si="18"/>
        <v>48.1</v>
      </c>
      <c r="Q55" s="14">
        <f t="shared" si="18"/>
        <v>0</v>
      </c>
    </row>
    <row r="56" spans="1:17">
      <c r="A56" s="278" t="s">
        <v>2475</v>
      </c>
      <c r="B56" s="14" t="s">
        <v>3473</v>
      </c>
      <c r="C56" s="86">
        <f t="shared" si="17"/>
        <v>174.27949943716169</v>
      </c>
      <c r="D56" s="77">
        <f>in_out_pipe_diam</f>
        <v>10</v>
      </c>
      <c r="E56" s="14" t="s">
        <v>2245</v>
      </c>
      <c r="F56" s="14">
        <f t="shared" si="18"/>
        <v>20.769417377</v>
      </c>
      <c r="G56" s="14">
        <f t="shared" si="18"/>
        <v>0.92382198999999998</v>
      </c>
      <c r="H56" s="14">
        <f t="shared" si="18"/>
        <v>0</v>
      </c>
      <c r="I56" s="14">
        <f t="shared" si="18"/>
        <v>0</v>
      </c>
      <c r="J56" s="14">
        <f t="shared" si="18"/>
        <v>0</v>
      </c>
      <c r="K56" s="14">
        <f t="shared" si="18"/>
        <v>0</v>
      </c>
      <c r="L56" s="14">
        <f t="shared" si="18"/>
        <v>0</v>
      </c>
      <c r="M56" s="14">
        <f t="shared" si="18"/>
        <v>0</v>
      </c>
      <c r="N56" s="14">
        <f t="shared" si="18"/>
        <v>0</v>
      </c>
      <c r="O56" s="14">
        <f t="shared" si="18"/>
        <v>0</v>
      </c>
      <c r="P56" s="14">
        <f t="shared" si="18"/>
        <v>48.1</v>
      </c>
      <c r="Q56" s="14">
        <f t="shared" si="18"/>
        <v>0</v>
      </c>
    </row>
    <row r="57" spans="1:17">
      <c r="A57" s="228" t="s">
        <v>1428</v>
      </c>
    </row>
    <row r="58" spans="1:17">
      <c r="A58" s="278" t="s">
        <v>473</v>
      </c>
      <c r="B58" s="14" t="s">
        <v>1429</v>
      </c>
      <c r="C58" s="86">
        <f t="shared" ref="C58:C60" ca="1" si="19">IF(D58=0,0,IF(OR(D58&gt;P58,D58&lt;Q58),"contact vendor",F58*D58^G58+H58*LN(D58)+I58+J58*EXP(K58*D58)+L58*D58^3+M58*D58^2+N58*D58+O58))</f>
        <v>24.915632816000002</v>
      </c>
      <c r="D58" s="77">
        <f ca="1">clean_pipe_diam</f>
        <v>4</v>
      </c>
      <c r="E58" s="14" t="s">
        <v>2477</v>
      </c>
      <c r="F58" s="14">
        <f t="shared" ref="F58:Q60" si="20">VLOOKUP($E58,eq_table_cl,F$4,FALSE)</f>
        <v>0</v>
      </c>
      <c r="G58" s="14">
        <f t="shared" si="20"/>
        <v>0</v>
      </c>
      <c r="H58" s="14">
        <f t="shared" si="20"/>
        <v>0</v>
      </c>
      <c r="I58" s="14">
        <f t="shared" si="20"/>
        <v>0</v>
      </c>
      <c r="J58" s="14">
        <f t="shared" si="20"/>
        <v>0</v>
      </c>
      <c r="K58" s="14">
        <f t="shared" si="20"/>
        <v>0</v>
      </c>
      <c r="L58" s="14">
        <f t="shared" si="20"/>
        <v>6.5072480000000002E-3</v>
      </c>
      <c r="M58" s="14">
        <f t="shared" si="20"/>
        <v>0.74408816600000005</v>
      </c>
      <c r="N58" s="14">
        <f t="shared" si="20"/>
        <v>2.9106427579999998</v>
      </c>
      <c r="O58" s="14">
        <f t="shared" si="20"/>
        <v>0.95118725599999998</v>
      </c>
      <c r="P58" s="14">
        <f t="shared" si="20"/>
        <v>18.100000000000001</v>
      </c>
      <c r="Q58" s="14">
        <f t="shared" si="20"/>
        <v>0</v>
      </c>
    </row>
    <row r="59" spans="1:17">
      <c r="A59" s="278" t="s">
        <v>474</v>
      </c>
      <c r="B59" s="14" t="s">
        <v>1430</v>
      </c>
      <c r="C59" s="86">
        <f t="shared" ca="1" si="19"/>
        <v>6.1853408730000004</v>
      </c>
      <c r="D59" s="77">
        <f ca="1">clean_pipe_diam</f>
        <v>4</v>
      </c>
      <c r="E59" s="14" t="s">
        <v>2479</v>
      </c>
      <c r="F59" s="14">
        <f t="shared" si="20"/>
        <v>0</v>
      </c>
      <c r="G59" s="14">
        <f t="shared" si="20"/>
        <v>0</v>
      </c>
      <c r="H59" s="14">
        <f t="shared" si="20"/>
        <v>0</v>
      </c>
      <c r="I59" s="14">
        <f t="shared" si="20"/>
        <v>0</v>
      </c>
      <c r="J59" s="14">
        <f t="shared" si="20"/>
        <v>0</v>
      </c>
      <c r="K59" s="14">
        <f t="shared" si="20"/>
        <v>0</v>
      </c>
      <c r="L59" s="14">
        <f t="shared" si="20"/>
        <v>0</v>
      </c>
      <c r="M59" s="14">
        <f t="shared" si="20"/>
        <v>9.7106987000000006E-2</v>
      </c>
      <c r="N59" s="14">
        <f t="shared" si="20"/>
        <v>0.800977414</v>
      </c>
      <c r="O59" s="14">
        <f t="shared" si="20"/>
        <v>1.427719425</v>
      </c>
      <c r="P59" s="14">
        <f t="shared" si="20"/>
        <v>48.1</v>
      </c>
      <c r="Q59" s="14">
        <f t="shared" si="20"/>
        <v>0</v>
      </c>
    </row>
    <row r="60" spans="1:17">
      <c r="A60" s="278" t="s">
        <v>2474</v>
      </c>
      <c r="B60" s="14" t="s">
        <v>1431</v>
      </c>
      <c r="C60" s="86">
        <f t="shared" ca="1" si="19"/>
        <v>185.004314749</v>
      </c>
      <c r="D60" s="77">
        <f ca="1">clean_pipe_diam</f>
        <v>4</v>
      </c>
      <c r="E60" s="14" t="s">
        <v>2481</v>
      </c>
      <c r="F60" s="14">
        <f t="shared" si="20"/>
        <v>0</v>
      </c>
      <c r="G60" s="14">
        <f t="shared" si="20"/>
        <v>0</v>
      </c>
      <c r="H60" s="14">
        <f t="shared" si="20"/>
        <v>0</v>
      </c>
      <c r="I60" s="14">
        <f t="shared" si="20"/>
        <v>0</v>
      </c>
      <c r="J60" s="14">
        <f t="shared" si="20"/>
        <v>0</v>
      </c>
      <c r="K60" s="14">
        <f t="shared" si="20"/>
        <v>0</v>
      </c>
      <c r="L60" s="14">
        <f t="shared" si="20"/>
        <v>4.8585111E-2</v>
      </c>
      <c r="M60" s="14">
        <f t="shared" si="20"/>
        <v>-2.5845256220000001</v>
      </c>
      <c r="N60" s="14">
        <f t="shared" si="20"/>
        <v>58.928328317999998</v>
      </c>
      <c r="O60" s="14">
        <f t="shared" si="20"/>
        <v>-12.466035675000001</v>
      </c>
      <c r="P60" s="14">
        <f t="shared" si="20"/>
        <v>48.1</v>
      </c>
      <c r="Q60" s="14">
        <f t="shared" si="20"/>
        <v>0</v>
      </c>
    </row>
    <row r="61" spans="1:17">
      <c r="A61" s="265" t="s">
        <v>472</v>
      </c>
    </row>
    <row r="62" spans="1:17">
      <c r="A62" s="263" t="s">
        <v>473</v>
      </c>
      <c r="B62" s="14" t="s">
        <v>2476</v>
      </c>
      <c r="C62" s="86">
        <f t="shared" ref="C62:C65" ca="1" si="21">IF(D62=0,0,IF(OR(D62&gt;P62,D62&lt;Q62),"contact vendor",F62*D62^G62+H62*LN(D62)+I62+J62*EXP(K62*D62)+L62*D62^3+M62*D62^2+N62*D62+O62))</f>
        <v>46.607783347999998</v>
      </c>
      <c r="D62" s="77">
        <f ca="1">res_pipe_diam</f>
        <v>6</v>
      </c>
      <c r="E62" s="14" t="s">
        <v>2477</v>
      </c>
      <c r="F62" s="14">
        <f t="shared" ref="F62:Q65" si="22">VLOOKUP($E62,eq_table_cl,F$4,FALSE)</f>
        <v>0</v>
      </c>
      <c r="G62" s="14">
        <f t="shared" si="22"/>
        <v>0</v>
      </c>
      <c r="H62" s="14">
        <f t="shared" si="22"/>
        <v>0</v>
      </c>
      <c r="I62" s="14">
        <f t="shared" si="22"/>
        <v>0</v>
      </c>
      <c r="J62" s="14">
        <f t="shared" si="22"/>
        <v>0</v>
      </c>
      <c r="K62" s="14">
        <f t="shared" si="22"/>
        <v>0</v>
      </c>
      <c r="L62" s="14">
        <f t="shared" si="22"/>
        <v>6.5072480000000002E-3</v>
      </c>
      <c r="M62" s="14">
        <f t="shared" si="22"/>
        <v>0.74408816600000005</v>
      </c>
      <c r="N62" s="14">
        <f t="shared" si="22"/>
        <v>2.9106427579999998</v>
      </c>
      <c r="O62" s="14">
        <f t="shared" si="22"/>
        <v>0.95118725599999998</v>
      </c>
      <c r="P62" s="14">
        <f t="shared" si="22"/>
        <v>18.100000000000001</v>
      </c>
      <c r="Q62" s="14">
        <f t="shared" si="22"/>
        <v>0</v>
      </c>
    </row>
    <row r="63" spans="1:17">
      <c r="A63" s="263" t="s">
        <v>474</v>
      </c>
      <c r="B63" s="14" t="s">
        <v>2478</v>
      </c>
      <c r="C63" s="86">
        <f t="shared" ca="1" si="21"/>
        <v>9.7294354409999997</v>
      </c>
      <c r="D63" s="77">
        <f ca="1">res_pipe_diam</f>
        <v>6</v>
      </c>
      <c r="E63" s="14" t="s">
        <v>2479</v>
      </c>
      <c r="F63" s="14">
        <f t="shared" si="22"/>
        <v>0</v>
      </c>
      <c r="G63" s="14">
        <f t="shared" si="22"/>
        <v>0</v>
      </c>
      <c r="H63" s="14">
        <f t="shared" si="22"/>
        <v>0</v>
      </c>
      <c r="I63" s="14">
        <f t="shared" si="22"/>
        <v>0</v>
      </c>
      <c r="J63" s="14">
        <f t="shared" si="22"/>
        <v>0</v>
      </c>
      <c r="K63" s="14">
        <f t="shared" si="22"/>
        <v>0</v>
      </c>
      <c r="L63" s="14">
        <f t="shared" si="22"/>
        <v>0</v>
      </c>
      <c r="M63" s="14">
        <f t="shared" si="22"/>
        <v>9.7106987000000006E-2</v>
      </c>
      <c r="N63" s="14">
        <f t="shared" si="22"/>
        <v>0.800977414</v>
      </c>
      <c r="O63" s="14">
        <f t="shared" si="22"/>
        <v>1.427719425</v>
      </c>
      <c r="P63" s="14">
        <f t="shared" si="22"/>
        <v>48.1</v>
      </c>
      <c r="Q63" s="14">
        <f t="shared" si="22"/>
        <v>0</v>
      </c>
    </row>
    <row r="64" spans="1:17">
      <c r="A64" s="263" t="s">
        <v>2474</v>
      </c>
      <c r="B64" s="14" t="s">
        <v>2480</v>
      </c>
      <c r="C64" s="86">
        <f t="shared" ca="1" si="21"/>
        <v>258.55539581699992</v>
      </c>
      <c r="D64" s="77">
        <f ca="1">res_pipe_diam</f>
        <v>6</v>
      </c>
      <c r="E64" s="14" t="s">
        <v>2481</v>
      </c>
      <c r="F64" s="14">
        <f t="shared" si="22"/>
        <v>0</v>
      </c>
      <c r="G64" s="14">
        <f t="shared" si="22"/>
        <v>0</v>
      </c>
      <c r="H64" s="14">
        <f t="shared" si="22"/>
        <v>0</v>
      </c>
      <c r="I64" s="14">
        <f t="shared" si="22"/>
        <v>0</v>
      </c>
      <c r="J64" s="14">
        <f t="shared" si="22"/>
        <v>0</v>
      </c>
      <c r="K64" s="14">
        <f t="shared" si="22"/>
        <v>0</v>
      </c>
      <c r="L64" s="14">
        <f t="shared" si="22"/>
        <v>4.8585111E-2</v>
      </c>
      <c r="M64" s="14">
        <f t="shared" si="22"/>
        <v>-2.5845256220000001</v>
      </c>
      <c r="N64" s="14">
        <f t="shared" si="22"/>
        <v>58.928328317999998</v>
      </c>
      <c r="O64" s="14">
        <f t="shared" si="22"/>
        <v>-12.466035675000001</v>
      </c>
      <c r="P64" s="14">
        <f t="shared" si="22"/>
        <v>48.1</v>
      </c>
      <c r="Q64" s="14">
        <f t="shared" si="22"/>
        <v>0</v>
      </c>
    </row>
    <row r="65" spans="1:17">
      <c r="A65" s="263" t="s">
        <v>2475</v>
      </c>
      <c r="B65" s="14" t="s">
        <v>2244</v>
      </c>
      <c r="C65" s="86">
        <f t="shared" ca="1" si="21"/>
        <v>108.71702273657689</v>
      </c>
      <c r="D65" s="77">
        <f ca="1">res_pipe_diam</f>
        <v>6</v>
      </c>
      <c r="E65" s="14" t="s">
        <v>2245</v>
      </c>
      <c r="F65" s="14">
        <f t="shared" si="22"/>
        <v>20.769417377</v>
      </c>
      <c r="G65" s="14">
        <f t="shared" si="22"/>
        <v>0.92382198999999998</v>
      </c>
      <c r="H65" s="14">
        <f t="shared" si="22"/>
        <v>0</v>
      </c>
      <c r="I65" s="14">
        <f t="shared" si="22"/>
        <v>0</v>
      </c>
      <c r="J65" s="14">
        <f t="shared" si="22"/>
        <v>0</v>
      </c>
      <c r="K65" s="14">
        <f t="shared" si="22"/>
        <v>0</v>
      </c>
      <c r="L65" s="14">
        <f t="shared" si="22"/>
        <v>0</v>
      </c>
      <c r="M65" s="14">
        <f t="shared" si="22"/>
        <v>0</v>
      </c>
      <c r="N65" s="14">
        <f t="shared" si="22"/>
        <v>0</v>
      </c>
      <c r="O65" s="14">
        <f t="shared" si="22"/>
        <v>0</v>
      </c>
      <c r="P65" s="14">
        <f t="shared" si="22"/>
        <v>48.1</v>
      </c>
      <c r="Q65" s="14">
        <f t="shared" si="22"/>
        <v>0</v>
      </c>
    </row>
    <row r="66" spans="1:17">
      <c r="A66" s="280" t="s">
        <v>1268</v>
      </c>
      <c r="B66" s="14"/>
      <c r="E66" s="14"/>
      <c r="F66" s="14"/>
      <c r="G66" s="14"/>
      <c r="H66" s="14"/>
      <c r="I66" s="14"/>
      <c r="J66" s="14"/>
      <c r="K66" s="14"/>
      <c r="L66" s="14"/>
      <c r="M66" s="14"/>
      <c r="N66" s="14"/>
      <c r="O66" s="14"/>
      <c r="P66" s="14"/>
      <c r="Q66" s="14"/>
    </row>
    <row r="67" spans="1:17">
      <c r="A67" s="281" t="s">
        <v>473</v>
      </c>
      <c r="B67" s="14" t="s">
        <v>1424</v>
      </c>
      <c r="C67" s="86">
        <f t="shared" ref="C67:C70" si="23">IF(D67=0,0,IF(OR(D67&gt;P67,D67&lt;Q67),"contact vendor",F67*D67^G67+H67*LN(D67)+I67+J67*EXP(K67*D67)+L67*D67^3+M67*D67^2+N67*D67+O67))</f>
        <v>0</v>
      </c>
      <c r="D67" s="229">
        <f>bp_pipe_diam</f>
        <v>0</v>
      </c>
      <c r="E67" s="14" t="s">
        <v>2477</v>
      </c>
      <c r="F67" s="14">
        <f t="shared" ref="F67:Q70" si="24">VLOOKUP($E67,eq_table_cl,F$4,FALSE)</f>
        <v>0</v>
      </c>
      <c r="G67" s="14">
        <f t="shared" si="24"/>
        <v>0</v>
      </c>
      <c r="H67" s="14">
        <f t="shared" si="24"/>
        <v>0</v>
      </c>
      <c r="I67" s="14">
        <f t="shared" si="24"/>
        <v>0</v>
      </c>
      <c r="J67" s="14">
        <f t="shared" si="24"/>
        <v>0</v>
      </c>
      <c r="K67" s="14">
        <f t="shared" si="24"/>
        <v>0</v>
      </c>
      <c r="L67" s="14">
        <f t="shared" si="24"/>
        <v>6.5072480000000002E-3</v>
      </c>
      <c r="M67" s="14">
        <f t="shared" si="24"/>
        <v>0.74408816600000005</v>
      </c>
      <c r="N67" s="14">
        <f t="shared" si="24"/>
        <v>2.9106427579999998</v>
      </c>
      <c r="O67" s="14">
        <f t="shared" si="24"/>
        <v>0.95118725599999998</v>
      </c>
      <c r="P67" s="14">
        <f t="shared" si="24"/>
        <v>18.100000000000001</v>
      </c>
      <c r="Q67" s="14">
        <f t="shared" si="24"/>
        <v>0</v>
      </c>
    </row>
    <row r="68" spans="1:17">
      <c r="A68" s="281" t="s">
        <v>474</v>
      </c>
      <c r="B68" s="14" t="s">
        <v>1425</v>
      </c>
      <c r="C68" s="86">
        <f t="shared" si="23"/>
        <v>0</v>
      </c>
      <c r="D68" s="229">
        <f>bp_pipe_diam</f>
        <v>0</v>
      </c>
      <c r="E68" s="14" t="s">
        <v>2479</v>
      </c>
      <c r="F68" s="14">
        <f t="shared" si="24"/>
        <v>0</v>
      </c>
      <c r="G68" s="14">
        <f t="shared" si="24"/>
        <v>0</v>
      </c>
      <c r="H68" s="14">
        <f t="shared" si="24"/>
        <v>0</v>
      </c>
      <c r="I68" s="14">
        <f t="shared" si="24"/>
        <v>0</v>
      </c>
      <c r="J68" s="14">
        <f t="shared" si="24"/>
        <v>0</v>
      </c>
      <c r="K68" s="14">
        <f t="shared" si="24"/>
        <v>0</v>
      </c>
      <c r="L68" s="14">
        <f t="shared" si="24"/>
        <v>0</v>
      </c>
      <c r="M68" s="14">
        <f t="shared" si="24"/>
        <v>9.7106987000000006E-2</v>
      </c>
      <c r="N68" s="14">
        <f t="shared" si="24"/>
        <v>0.800977414</v>
      </c>
      <c r="O68" s="14">
        <f t="shared" si="24"/>
        <v>1.427719425</v>
      </c>
      <c r="P68" s="14">
        <f t="shared" si="24"/>
        <v>48.1</v>
      </c>
      <c r="Q68" s="14">
        <f t="shared" si="24"/>
        <v>0</v>
      </c>
    </row>
    <row r="69" spans="1:17">
      <c r="A69" s="281" t="s">
        <v>2474</v>
      </c>
      <c r="B69" s="14" t="s">
        <v>1426</v>
      </c>
      <c r="C69" s="86">
        <f t="shared" si="23"/>
        <v>0</v>
      </c>
      <c r="D69" s="229">
        <f>bp_pipe_diam</f>
        <v>0</v>
      </c>
      <c r="E69" s="14" t="s">
        <v>2481</v>
      </c>
      <c r="F69" s="14">
        <f t="shared" si="24"/>
        <v>0</v>
      </c>
      <c r="G69" s="14">
        <f t="shared" si="24"/>
        <v>0</v>
      </c>
      <c r="H69" s="14">
        <f t="shared" si="24"/>
        <v>0</v>
      </c>
      <c r="I69" s="14">
        <f t="shared" si="24"/>
        <v>0</v>
      </c>
      <c r="J69" s="14">
        <f t="shared" si="24"/>
        <v>0</v>
      </c>
      <c r="K69" s="14">
        <f t="shared" si="24"/>
        <v>0</v>
      </c>
      <c r="L69" s="14">
        <f t="shared" si="24"/>
        <v>4.8585111E-2</v>
      </c>
      <c r="M69" s="14">
        <f t="shared" si="24"/>
        <v>-2.5845256220000001</v>
      </c>
      <c r="N69" s="14">
        <f t="shared" si="24"/>
        <v>58.928328317999998</v>
      </c>
      <c r="O69" s="14">
        <f t="shared" si="24"/>
        <v>-12.466035675000001</v>
      </c>
      <c r="P69" s="14">
        <f t="shared" si="24"/>
        <v>48.1</v>
      </c>
      <c r="Q69" s="14">
        <f t="shared" si="24"/>
        <v>0</v>
      </c>
    </row>
    <row r="70" spans="1:17">
      <c r="A70" s="281" t="s">
        <v>2475</v>
      </c>
      <c r="B70" s="14" t="s">
        <v>1427</v>
      </c>
      <c r="C70" s="86">
        <f t="shared" si="23"/>
        <v>0</v>
      </c>
      <c r="D70" s="229">
        <f>bp_pipe_diam</f>
        <v>0</v>
      </c>
      <c r="E70" s="14" t="s">
        <v>2245</v>
      </c>
      <c r="F70" s="14">
        <f t="shared" si="24"/>
        <v>20.769417377</v>
      </c>
      <c r="G70" s="14">
        <f t="shared" si="24"/>
        <v>0.92382198999999998</v>
      </c>
      <c r="H70" s="14">
        <f t="shared" si="24"/>
        <v>0</v>
      </c>
      <c r="I70" s="14">
        <f t="shared" si="24"/>
        <v>0</v>
      </c>
      <c r="J70" s="14">
        <f t="shared" si="24"/>
        <v>0</v>
      </c>
      <c r="K70" s="14">
        <f t="shared" si="24"/>
        <v>0</v>
      </c>
      <c r="L70" s="14">
        <f t="shared" si="24"/>
        <v>0</v>
      </c>
      <c r="M70" s="14">
        <f t="shared" si="24"/>
        <v>0</v>
      </c>
      <c r="N70" s="14">
        <f t="shared" si="24"/>
        <v>0</v>
      </c>
      <c r="O70" s="14">
        <f t="shared" si="24"/>
        <v>0</v>
      </c>
      <c r="P70" s="14">
        <f t="shared" si="24"/>
        <v>48.1</v>
      </c>
      <c r="Q70" s="14">
        <f t="shared" si="24"/>
        <v>0</v>
      </c>
    </row>
    <row r="71" spans="1:17">
      <c r="A71" s="140" t="s">
        <v>1605</v>
      </c>
    </row>
    <row r="72" spans="1:17">
      <c r="A72" s="265" t="s">
        <v>1265</v>
      </c>
    </row>
    <row r="73" spans="1:17">
      <c r="A73" s="281" t="s">
        <v>1604</v>
      </c>
      <c r="B73" s="77" t="s">
        <v>1432</v>
      </c>
      <c r="C73" s="86">
        <f t="shared" ref="C73:C102" ca="1" si="25">IF(D73=0,0,IF(OR(D73&gt;P73,D73&lt;Q73),"contact vendor",F73*D73^G73+H73*LN(D73)+I73+J73*EXP(K73*D73)+L73*D73^3+M73*D73^2+N73*D73+O73))</f>
        <v>656.06319532697046</v>
      </c>
      <c r="D73" s="77">
        <f ca="1">pretreat_acid_valve_size</f>
        <v>0.5</v>
      </c>
      <c r="E73" s="14" t="str">
        <f ca="1">IF(D73&gt;12,"pp_mov_eq_large","pp_mov_eq_small")</f>
        <v>pp_mov_eq_small</v>
      </c>
      <c r="F73" s="14">
        <f t="shared" ref="F73:Q82" ca="1" si="26">VLOOKUP($E73,eq_table_cl,F$4,FALSE)</f>
        <v>0</v>
      </c>
      <c r="G73" s="14">
        <f t="shared" ca="1" si="26"/>
        <v>0</v>
      </c>
      <c r="H73" s="14">
        <f t="shared" ca="1" si="26"/>
        <v>0</v>
      </c>
      <c r="I73" s="14">
        <f t="shared" ca="1" si="26"/>
        <v>0</v>
      </c>
      <c r="J73" s="14">
        <f t="shared" ca="1" si="26"/>
        <v>599.000620282</v>
      </c>
      <c r="K73" s="14">
        <f t="shared" ca="1" si="26"/>
        <v>0.18198897</v>
      </c>
      <c r="L73" s="14">
        <f t="shared" ca="1" si="26"/>
        <v>0</v>
      </c>
      <c r="M73" s="14">
        <f t="shared" ca="1" si="26"/>
        <v>0</v>
      </c>
      <c r="N73" s="14">
        <f t="shared" ca="1" si="26"/>
        <v>0</v>
      </c>
      <c r="O73" s="14">
        <f t="shared" ca="1" si="26"/>
        <v>0</v>
      </c>
      <c r="P73" s="14">
        <f t="shared" ca="1" si="26"/>
        <v>12</v>
      </c>
      <c r="Q73" s="14">
        <f t="shared" ca="1" si="26"/>
        <v>0</v>
      </c>
    </row>
    <row r="74" spans="1:17">
      <c r="A74" s="281" t="s">
        <v>1269</v>
      </c>
      <c r="B74" s="77" t="s">
        <v>1433</v>
      </c>
      <c r="C74" s="86">
        <f t="shared" ca="1" si="25"/>
        <v>1419.4889475299999</v>
      </c>
      <c r="D74" s="77">
        <f ca="1">pretreat_acid_valve_size</f>
        <v>0.5</v>
      </c>
      <c r="E74" s="14" t="s">
        <v>2248</v>
      </c>
      <c r="F74" s="14">
        <f t="shared" si="26"/>
        <v>0</v>
      </c>
      <c r="G74" s="14">
        <f t="shared" si="26"/>
        <v>0</v>
      </c>
      <c r="H74" s="14">
        <f t="shared" si="26"/>
        <v>0</v>
      </c>
      <c r="I74" s="14">
        <f t="shared" si="26"/>
        <v>0</v>
      </c>
      <c r="J74" s="14">
        <f t="shared" si="26"/>
        <v>0</v>
      </c>
      <c r="K74" s="14">
        <f t="shared" si="26"/>
        <v>0</v>
      </c>
      <c r="L74" s="14">
        <f t="shared" si="26"/>
        <v>1.4813451259999999</v>
      </c>
      <c r="M74" s="14">
        <f t="shared" si="26"/>
        <v>44.575825872999999</v>
      </c>
      <c r="N74" s="14">
        <f t="shared" si="26"/>
        <v>-42.850924452000001</v>
      </c>
      <c r="O74" s="14">
        <f t="shared" si="26"/>
        <v>1429.5852851469999</v>
      </c>
      <c r="P74" s="14">
        <f t="shared" si="26"/>
        <v>48.1</v>
      </c>
      <c r="Q74" s="14">
        <f t="shared" si="26"/>
        <v>0</v>
      </c>
    </row>
    <row r="75" spans="1:17">
      <c r="A75" s="281" t="s">
        <v>1270</v>
      </c>
      <c r="B75" s="77" t="s">
        <v>1434</v>
      </c>
      <c r="C75" s="86">
        <f t="shared" si="25"/>
        <v>656.06319532697046</v>
      </c>
      <c r="D75" s="77">
        <f>antiscalant_valve_size</f>
        <v>0.5</v>
      </c>
      <c r="E75" s="14" t="str">
        <f>IF(D75&gt;12,"pp_mov_eq_large","pp_mov_eq_small")</f>
        <v>pp_mov_eq_small</v>
      </c>
      <c r="F75" s="14">
        <f t="shared" si="26"/>
        <v>0</v>
      </c>
      <c r="G75" s="14">
        <f t="shared" si="26"/>
        <v>0</v>
      </c>
      <c r="H75" s="14">
        <f t="shared" si="26"/>
        <v>0</v>
      </c>
      <c r="I75" s="14">
        <f t="shared" si="26"/>
        <v>0</v>
      </c>
      <c r="J75" s="14">
        <f t="shared" si="26"/>
        <v>599.000620282</v>
      </c>
      <c r="K75" s="14">
        <f t="shared" si="26"/>
        <v>0.18198897</v>
      </c>
      <c r="L75" s="14">
        <f t="shared" si="26"/>
        <v>0</v>
      </c>
      <c r="M75" s="14">
        <f t="shared" si="26"/>
        <v>0</v>
      </c>
      <c r="N75" s="14">
        <f t="shared" si="26"/>
        <v>0</v>
      </c>
      <c r="O75" s="14">
        <f t="shared" si="26"/>
        <v>0</v>
      </c>
      <c r="P75" s="14">
        <f t="shared" si="26"/>
        <v>12</v>
      </c>
      <c r="Q75" s="14">
        <f t="shared" si="26"/>
        <v>0</v>
      </c>
    </row>
    <row r="76" spans="1:17">
      <c r="A76" s="281" t="s">
        <v>1271</v>
      </c>
      <c r="B76" s="77" t="s">
        <v>1435</v>
      </c>
      <c r="C76" s="86">
        <f t="shared" si="25"/>
        <v>1419.4889475299999</v>
      </c>
      <c r="D76" s="77">
        <f>antiscalant_valve_size</f>
        <v>0.5</v>
      </c>
      <c r="E76" s="14" t="s">
        <v>2248</v>
      </c>
      <c r="F76" s="14">
        <f t="shared" si="26"/>
        <v>0</v>
      </c>
      <c r="G76" s="14">
        <f t="shared" si="26"/>
        <v>0</v>
      </c>
      <c r="H76" s="14">
        <f t="shared" si="26"/>
        <v>0</v>
      </c>
      <c r="I76" s="14">
        <f t="shared" si="26"/>
        <v>0</v>
      </c>
      <c r="J76" s="14">
        <f t="shared" si="26"/>
        <v>0</v>
      </c>
      <c r="K76" s="14">
        <f t="shared" si="26"/>
        <v>0</v>
      </c>
      <c r="L76" s="14">
        <f t="shared" si="26"/>
        <v>1.4813451259999999</v>
      </c>
      <c r="M76" s="14">
        <f t="shared" si="26"/>
        <v>44.575825872999999</v>
      </c>
      <c r="N76" s="14">
        <f t="shared" si="26"/>
        <v>-42.850924452000001</v>
      </c>
      <c r="O76" s="14">
        <f t="shared" si="26"/>
        <v>1429.5852851469999</v>
      </c>
      <c r="P76" s="14">
        <f t="shared" si="26"/>
        <v>48.1</v>
      </c>
      <c r="Q76" s="14">
        <f t="shared" si="26"/>
        <v>0</v>
      </c>
    </row>
    <row r="77" spans="1:17">
      <c r="A77" s="281" t="s">
        <v>164</v>
      </c>
      <c r="B77" s="77" t="s">
        <v>1436</v>
      </c>
      <c r="C77" s="86">
        <f t="shared" ca="1" si="25"/>
        <v>1785.0406260455554</v>
      </c>
      <c r="D77" s="77">
        <f ca="1">feed_valve_size</f>
        <v>6</v>
      </c>
      <c r="E77" s="14" t="str">
        <f ca="1">IF(D77&gt;12,"pp_mov_eq_large","pp_mov_eq_small")</f>
        <v>pp_mov_eq_small</v>
      </c>
      <c r="F77" s="14">
        <f t="shared" ca="1" si="26"/>
        <v>0</v>
      </c>
      <c r="G77" s="14">
        <f t="shared" ca="1" si="26"/>
        <v>0</v>
      </c>
      <c r="H77" s="14">
        <f t="shared" ca="1" si="26"/>
        <v>0</v>
      </c>
      <c r="I77" s="14">
        <f t="shared" ca="1" si="26"/>
        <v>0</v>
      </c>
      <c r="J77" s="14">
        <f t="shared" ca="1" si="26"/>
        <v>599.000620282</v>
      </c>
      <c r="K77" s="14">
        <f t="shared" ca="1" si="26"/>
        <v>0.18198897</v>
      </c>
      <c r="L77" s="14">
        <f t="shared" ca="1" si="26"/>
        <v>0</v>
      </c>
      <c r="M77" s="14">
        <f t="shared" ca="1" si="26"/>
        <v>0</v>
      </c>
      <c r="N77" s="14">
        <f t="shared" ca="1" si="26"/>
        <v>0</v>
      </c>
      <c r="O77" s="14">
        <f t="shared" ca="1" si="26"/>
        <v>0</v>
      </c>
      <c r="P77" s="14">
        <f t="shared" ca="1" si="26"/>
        <v>12</v>
      </c>
      <c r="Q77" s="14">
        <f t="shared" ca="1" si="26"/>
        <v>0</v>
      </c>
    </row>
    <row r="78" spans="1:17">
      <c r="A78" s="281" t="s">
        <v>609</v>
      </c>
      <c r="B78" s="77" t="s">
        <v>1437</v>
      </c>
      <c r="C78" s="86">
        <f t="shared" ca="1" si="25"/>
        <v>3097.1800170789998</v>
      </c>
      <c r="D78" s="77">
        <f ca="1">feed_valve_size</f>
        <v>6</v>
      </c>
      <c r="E78" s="14" t="s">
        <v>2248</v>
      </c>
      <c r="F78" s="14">
        <f t="shared" si="26"/>
        <v>0</v>
      </c>
      <c r="G78" s="14">
        <f t="shared" si="26"/>
        <v>0</v>
      </c>
      <c r="H78" s="14">
        <f t="shared" si="26"/>
        <v>0</v>
      </c>
      <c r="I78" s="14">
        <f t="shared" si="26"/>
        <v>0</v>
      </c>
      <c r="J78" s="14">
        <f t="shared" si="26"/>
        <v>0</v>
      </c>
      <c r="K78" s="14">
        <f t="shared" si="26"/>
        <v>0</v>
      </c>
      <c r="L78" s="14">
        <f t="shared" si="26"/>
        <v>1.4813451259999999</v>
      </c>
      <c r="M78" s="14">
        <f t="shared" si="26"/>
        <v>44.575825872999999</v>
      </c>
      <c r="N78" s="14">
        <f t="shared" si="26"/>
        <v>-42.850924452000001</v>
      </c>
      <c r="O78" s="14">
        <f t="shared" si="26"/>
        <v>1429.5852851469999</v>
      </c>
      <c r="P78" s="14">
        <f t="shared" si="26"/>
        <v>48.1</v>
      </c>
      <c r="Q78" s="14">
        <f t="shared" si="26"/>
        <v>0</v>
      </c>
    </row>
    <row r="79" spans="1:17">
      <c r="A79" s="281" t="s">
        <v>610</v>
      </c>
      <c r="B79" s="77" t="s">
        <v>1438</v>
      </c>
      <c r="C79" s="86">
        <f t="shared" ca="1" si="25"/>
        <v>6662.6239318830012</v>
      </c>
      <c r="D79" s="77">
        <f ca="1">feed_valve_size</f>
        <v>6</v>
      </c>
      <c r="E79" s="14" t="s">
        <v>2471</v>
      </c>
      <c r="F79" s="14">
        <f t="shared" si="26"/>
        <v>0</v>
      </c>
      <c r="G79" s="14">
        <f t="shared" si="26"/>
        <v>0</v>
      </c>
      <c r="H79" s="14">
        <f t="shared" si="26"/>
        <v>0</v>
      </c>
      <c r="I79" s="14">
        <f t="shared" si="26"/>
        <v>0</v>
      </c>
      <c r="J79" s="14">
        <f t="shared" si="26"/>
        <v>0</v>
      </c>
      <c r="K79" s="14">
        <f t="shared" si="26"/>
        <v>0</v>
      </c>
      <c r="L79" s="14">
        <f t="shared" si="26"/>
        <v>0</v>
      </c>
      <c r="M79" s="14">
        <f t="shared" si="26"/>
        <v>0</v>
      </c>
      <c r="N79" s="14">
        <f t="shared" si="26"/>
        <v>1304.6120832720001</v>
      </c>
      <c r="O79" s="14">
        <f t="shared" si="26"/>
        <v>-1165.0485677490001</v>
      </c>
      <c r="P79" s="14">
        <f t="shared" si="26"/>
        <v>48.1</v>
      </c>
      <c r="Q79" s="14">
        <f t="shared" si="26"/>
        <v>1</v>
      </c>
    </row>
    <row r="80" spans="1:17">
      <c r="A80" s="281" t="s">
        <v>4705</v>
      </c>
      <c r="B80" s="77" t="s">
        <v>4707</v>
      </c>
      <c r="C80" s="86">
        <f t="shared" ca="1" si="25"/>
        <v>3097.1800170789998</v>
      </c>
      <c r="D80" s="77">
        <f ca="1">conc_valve_size</f>
        <v>6</v>
      </c>
      <c r="E80" s="14" t="s">
        <v>2248</v>
      </c>
      <c r="F80" s="14">
        <f t="shared" si="26"/>
        <v>0</v>
      </c>
      <c r="G80" s="14">
        <f t="shared" si="26"/>
        <v>0</v>
      </c>
      <c r="H80" s="14">
        <f t="shared" si="26"/>
        <v>0</v>
      </c>
      <c r="I80" s="14">
        <f t="shared" si="26"/>
        <v>0</v>
      </c>
      <c r="J80" s="14">
        <f t="shared" si="26"/>
        <v>0</v>
      </c>
      <c r="K80" s="14">
        <f t="shared" si="26"/>
        <v>0</v>
      </c>
      <c r="L80" s="14">
        <f t="shared" si="26"/>
        <v>1.4813451259999999</v>
      </c>
      <c r="M80" s="14">
        <f t="shared" si="26"/>
        <v>44.575825872999999</v>
      </c>
      <c r="N80" s="14">
        <f t="shared" si="26"/>
        <v>-42.850924452000001</v>
      </c>
      <c r="O80" s="14">
        <f t="shared" si="26"/>
        <v>1429.5852851469999</v>
      </c>
      <c r="P80" s="14">
        <f t="shared" si="26"/>
        <v>48.1</v>
      </c>
      <c r="Q80" s="14">
        <f t="shared" si="26"/>
        <v>0</v>
      </c>
    </row>
    <row r="81" spans="1:17">
      <c r="A81" s="281" t="s">
        <v>4706</v>
      </c>
      <c r="B81" s="77" t="s">
        <v>4708</v>
      </c>
      <c r="C81" s="86">
        <f t="shared" ca="1" si="25"/>
        <v>6662.6239318830012</v>
      </c>
      <c r="D81" s="77">
        <f ca="1">conc_valve_size</f>
        <v>6</v>
      </c>
      <c r="E81" s="14" t="s">
        <v>2471</v>
      </c>
      <c r="F81" s="14">
        <f t="shared" si="26"/>
        <v>0</v>
      </c>
      <c r="G81" s="14">
        <f t="shared" si="26"/>
        <v>0</v>
      </c>
      <c r="H81" s="14">
        <f t="shared" si="26"/>
        <v>0</v>
      </c>
      <c r="I81" s="14">
        <f t="shared" si="26"/>
        <v>0</v>
      </c>
      <c r="J81" s="14">
        <f t="shared" si="26"/>
        <v>0</v>
      </c>
      <c r="K81" s="14">
        <f t="shared" si="26"/>
        <v>0</v>
      </c>
      <c r="L81" s="14">
        <f t="shared" si="26"/>
        <v>0</v>
      </c>
      <c r="M81" s="14">
        <f t="shared" si="26"/>
        <v>0</v>
      </c>
      <c r="N81" s="14">
        <f t="shared" si="26"/>
        <v>1304.6120832720001</v>
      </c>
      <c r="O81" s="14">
        <f t="shared" si="26"/>
        <v>-1165.0485677490001</v>
      </c>
      <c r="P81" s="14">
        <f t="shared" si="26"/>
        <v>48.1</v>
      </c>
      <c r="Q81" s="14">
        <f t="shared" si="26"/>
        <v>1</v>
      </c>
    </row>
    <row r="82" spans="1:17">
      <c r="A82" s="281" t="s">
        <v>5034</v>
      </c>
      <c r="B82" s="77" t="s">
        <v>5035</v>
      </c>
      <c r="C82" s="86">
        <f t="shared" ca="1" si="25"/>
        <v>1785.0406260455554</v>
      </c>
      <c r="D82" s="77">
        <f ca="1">conc_valve_size</f>
        <v>6</v>
      </c>
      <c r="E82" s="14" t="str">
        <f ca="1">IF(D82&gt;12,"pp_mov_eq_large","pp_mov_eq_small")</f>
        <v>pp_mov_eq_small</v>
      </c>
      <c r="F82" s="14">
        <f t="shared" ca="1" si="26"/>
        <v>0</v>
      </c>
      <c r="G82" s="14">
        <f t="shared" ca="1" si="26"/>
        <v>0</v>
      </c>
      <c r="H82" s="14">
        <f t="shared" ca="1" si="26"/>
        <v>0</v>
      </c>
      <c r="I82" s="14">
        <f t="shared" ca="1" si="26"/>
        <v>0</v>
      </c>
      <c r="J82" s="14">
        <f t="shared" ca="1" si="26"/>
        <v>599.000620282</v>
      </c>
      <c r="K82" s="14">
        <f t="shared" ca="1" si="26"/>
        <v>0.18198897</v>
      </c>
      <c r="L82" s="14">
        <f t="shared" ca="1" si="26"/>
        <v>0</v>
      </c>
      <c r="M82" s="14">
        <f t="shared" ca="1" si="26"/>
        <v>0</v>
      </c>
      <c r="N82" s="14">
        <f t="shared" ca="1" si="26"/>
        <v>0</v>
      </c>
      <c r="O82" s="14">
        <f t="shared" ca="1" si="26"/>
        <v>0</v>
      </c>
      <c r="P82" s="14">
        <f t="shared" ca="1" si="26"/>
        <v>12</v>
      </c>
      <c r="Q82" s="14">
        <f t="shared" ca="1" si="26"/>
        <v>0</v>
      </c>
    </row>
    <row r="83" spans="1:17">
      <c r="A83" s="281" t="s">
        <v>611</v>
      </c>
      <c r="B83" s="77" t="s">
        <v>1439</v>
      </c>
      <c r="C83" s="86">
        <f t="shared" si="25"/>
        <v>656.06319532697046</v>
      </c>
      <c r="D83" s="77">
        <f>boost_valve_2_diam</f>
        <v>0.5</v>
      </c>
      <c r="E83" s="14" t="str">
        <f>IF(D83&gt;12,"pp_mov_eq_large","pp_mov_eq_small")</f>
        <v>pp_mov_eq_small</v>
      </c>
      <c r="F83" s="14">
        <f t="shared" ref="F83:Q92" si="27">VLOOKUP($E83,eq_table_cl,F$4,FALSE)</f>
        <v>0</v>
      </c>
      <c r="G83" s="14">
        <f t="shared" si="27"/>
        <v>0</v>
      </c>
      <c r="H83" s="14">
        <f t="shared" si="27"/>
        <v>0</v>
      </c>
      <c r="I83" s="14">
        <f t="shared" si="27"/>
        <v>0</v>
      </c>
      <c r="J83" s="14">
        <f t="shared" si="27"/>
        <v>599.000620282</v>
      </c>
      <c r="K83" s="14">
        <f t="shared" si="27"/>
        <v>0.18198897</v>
      </c>
      <c r="L83" s="14">
        <f t="shared" si="27"/>
        <v>0</v>
      </c>
      <c r="M83" s="14">
        <f t="shared" si="27"/>
        <v>0</v>
      </c>
      <c r="N83" s="14">
        <f t="shared" si="27"/>
        <v>0</v>
      </c>
      <c r="O83" s="14">
        <f t="shared" si="27"/>
        <v>0</v>
      </c>
      <c r="P83" s="14">
        <f t="shared" si="27"/>
        <v>12</v>
      </c>
      <c r="Q83" s="14">
        <f t="shared" si="27"/>
        <v>0</v>
      </c>
    </row>
    <row r="84" spans="1:17">
      <c r="A84" s="281" t="s">
        <v>612</v>
      </c>
      <c r="B84" s="77" t="s">
        <v>1440</v>
      </c>
      <c r="C84" s="86">
        <f t="shared" si="25"/>
        <v>1419.4889475299999</v>
      </c>
      <c r="D84" s="77">
        <f>boost_valve_2_diam</f>
        <v>0.5</v>
      </c>
      <c r="E84" s="14" t="s">
        <v>2248</v>
      </c>
      <c r="F84" s="14">
        <f t="shared" si="27"/>
        <v>0</v>
      </c>
      <c r="G84" s="14">
        <f t="shared" si="27"/>
        <v>0</v>
      </c>
      <c r="H84" s="14">
        <f t="shared" si="27"/>
        <v>0</v>
      </c>
      <c r="I84" s="14">
        <f t="shared" si="27"/>
        <v>0</v>
      </c>
      <c r="J84" s="14">
        <f t="shared" si="27"/>
        <v>0</v>
      </c>
      <c r="K84" s="14">
        <f t="shared" si="27"/>
        <v>0</v>
      </c>
      <c r="L84" s="14">
        <f t="shared" si="27"/>
        <v>1.4813451259999999</v>
      </c>
      <c r="M84" s="14">
        <f t="shared" si="27"/>
        <v>44.575825872999999</v>
      </c>
      <c r="N84" s="14">
        <f t="shared" si="27"/>
        <v>-42.850924452000001</v>
      </c>
      <c r="O84" s="14">
        <f t="shared" si="27"/>
        <v>1429.5852851469999</v>
      </c>
      <c r="P84" s="14">
        <f t="shared" si="27"/>
        <v>48.1</v>
      </c>
      <c r="Q84" s="14">
        <f t="shared" si="27"/>
        <v>0</v>
      </c>
    </row>
    <row r="85" spans="1:17">
      <c r="A85" s="281" t="s">
        <v>1454</v>
      </c>
      <c r="B85" s="77" t="s">
        <v>1456</v>
      </c>
      <c r="C85" s="86" t="str">
        <f t="shared" si="25"/>
        <v>contact vendor</v>
      </c>
      <c r="D85" s="77">
        <f>boost_valve_2_diam</f>
        <v>0.5</v>
      </c>
      <c r="E85" s="14" t="s">
        <v>2471</v>
      </c>
      <c r="F85" s="14">
        <f t="shared" si="27"/>
        <v>0</v>
      </c>
      <c r="G85" s="14">
        <f t="shared" si="27"/>
        <v>0</v>
      </c>
      <c r="H85" s="14">
        <f t="shared" si="27"/>
        <v>0</v>
      </c>
      <c r="I85" s="14">
        <f t="shared" si="27"/>
        <v>0</v>
      </c>
      <c r="J85" s="14">
        <f t="shared" si="27"/>
        <v>0</v>
      </c>
      <c r="K85" s="14">
        <f t="shared" si="27"/>
        <v>0</v>
      </c>
      <c r="L85" s="14">
        <f t="shared" si="27"/>
        <v>0</v>
      </c>
      <c r="M85" s="14">
        <f t="shared" si="27"/>
        <v>0</v>
      </c>
      <c r="N85" s="14">
        <f t="shared" si="27"/>
        <v>1304.6120832720001</v>
      </c>
      <c r="O85" s="14">
        <f t="shared" si="27"/>
        <v>-1165.0485677490001</v>
      </c>
      <c r="P85" s="14">
        <f t="shared" si="27"/>
        <v>48.1</v>
      </c>
      <c r="Q85" s="14">
        <f t="shared" si="27"/>
        <v>1</v>
      </c>
    </row>
    <row r="86" spans="1:17">
      <c r="A86" s="281" t="s">
        <v>613</v>
      </c>
      <c r="B86" s="77" t="s">
        <v>1441</v>
      </c>
      <c r="C86" s="86">
        <f t="shared" si="25"/>
        <v>656.06319532697046</v>
      </c>
      <c r="D86" s="77">
        <f>boost_valve_3_diam</f>
        <v>0.5</v>
      </c>
      <c r="E86" s="14" t="str">
        <f>IF(D86&gt;12,"pp_mov_eq_large","pp_mov_eq_small")</f>
        <v>pp_mov_eq_small</v>
      </c>
      <c r="F86" s="14">
        <f t="shared" si="27"/>
        <v>0</v>
      </c>
      <c r="G86" s="14">
        <f t="shared" si="27"/>
        <v>0</v>
      </c>
      <c r="H86" s="14">
        <f t="shared" si="27"/>
        <v>0</v>
      </c>
      <c r="I86" s="14">
        <f t="shared" si="27"/>
        <v>0</v>
      </c>
      <c r="J86" s="14">
        <f t="shared" si="27"/>
        <v>599.000620282</v>
      </c>
      <c r="K86" s="14">
        <f t="shared" si="27"/>
        <v>0.18198897</v>
      </c>
      <c r="L86" s="14">
        <f t="shared" si="27"/>
        <v>0</v>
      </c>
      <c r="M86" s="14">
        <f t="shared" si="27"/>
        <v>0</v>
      </c>
      <c r="N86" s="14">
        <f t="shared" si="27"/>
        <v>0</v>
      </c>
      <c r="O86" s="14">
        <f t="shared" si="27"/>
        <v>0</v>
      </c>
      <c r="P86" s="14">
        <f t="shared" si="27"/>
        <v>12</v>
      </c>
      <c r="Q86" s="14">
        <f t="shared" si="27"/>
        <v>0</v>
      </c>
    </row>
    <row r="87" spans="1:17">
      <c r="A87" s="281" t="s">
        <v>614</v>
      </c>
      <c r="B87" s="77" t="s">
        <v>1442</v>
      </c>
      <c r="C87" s="86">
        <f t="shared" si="25"/>
        <v>1419.4889475299999</v>
      </c>
      <c r="D87" s="77">
        <f>boost_valve_3_diam</f>
        <v>0.5</v>
      </c>
      <c r="E87" s="14" t="s">
        <v>2248</v>
      </c>
      <c r="F87" s="14">
        <f t="shared" si="27"/>
        <v>0</v>
      </c>
      <c r="G87" s="14">
        <f t="shared" si="27"/>
        <v>0</v>
      </c>
      <c r="H87" s="14">
        <f t="shared" si="27"/>
        <v>0</v>
      </c>
      <c r="I87" s="14">
        <f t="shared" si="27"/>
        <v>0</v>
      </c>
      <c r="J87" s="14">
        <f t="shared" si="27"/>
        <v>0</v>
      </c>
      <c r="K87" s="14">
        <f t="shared" si="27"/>
        <v>0</v>
      </c>
      <c r="L87" s="14">
        <f t="shared" si="27"/>
        <v>1.4813451259999999</v>
      </c>
      <c r="M87" s="14">
        <f t="shared" si="27"/>
        <v>44.575825872999999</v>
      </c>
      <c r="N87" s="14">
        <f t="shared" si="27"/>
        <v>-42.850924452000001</v>
      </c>
      <c r="O87" s="14">
        <f t="shared" si="27"/>
        <v>1429.5852851469999</v>
      </c>
      <c r="P87" s="14">
        <f t="shared" si="27"/>
        <v>48.1</v>
      </c>
      <c r="Q87" s="14">
        <f t="shared" si="27"/>
        <v>0</v>
      </c>
    </row>
    <row r="88" spans="1:17">
      <c r="A88" s="281" t="s">
        <v>1455</v>
      </c>
      <c r="B88" s="77" t="s">
        <v>1457</v>
      </c>
      <c r="C88" s="86" t="str">
        <f t="shared" si="25"/>
        <v>contact vendor</v>
      </c>
      <c r="D88" s="77">
        <f>boost_valve_3_diam</f>
        <v>0.5</v>
      </c>
      <c r="E88" s="14" t="s">
        <v>2471</v>
      </c>
      <c r="F88" s="14">
        <f t="shared" si="27"/>
        <v>0</v>
      </c>
      <c r="G88" s="14">
        <f t="shared" si="27"/>
        <v>0</v>
      </c>
      <c r="H88" s="14">
        <f t="shared" si="27"/>
        <v>0</v>
      </c>
      <c r="I88" s="14">
        <f t="shared" si="27"/>
        <v>0</v>
      </c>
      <c r="J88" s="14">
        <f t="shared" si="27"/>
        <v>0</v>
      </c>
      <c r="K88" s="14">
        <f t="shared" si="27"/>
        <v>0</v>
      </c>
      <c r="L88" s="14">
        <f t="shared" si="27"/>
        <v>0</v>
      </c>
      <c r="M88" s="14">
        <f t="shared" si="27"/>
        <v>0</v>
      </c>
      <c r="N88" s="14">
        <f t="shared" si="27"/>
        <v>1304.6120832720001</v>
      </c>
      <c r="O88" s="14">
        <f t="shared" si="27"/>
        <v>-1165.0485677490001</v>
      </c>
      <c r="P88" s="14">
        <f t="shared" si="27"/>
        <v>48.1</v>
      </c>
      <c r="Q88" s="14">
        <f t="shared" si="27"/>
        <v>1</v>
      </c>
    </row>
    <row r="89" spans="1:17">
      <c r="A89" s="281" t="s">
        <v>615</v>
      </c>
      <c r="B89" s="77" t="s">
        <v>1443</v>
      </c>
      <c r="C89" s="86">
        <f t="shared" si="25"/>
        <v>1785.0406260455554</v>
      </c>
      <c r="D89" s="77">
        <f>perm_valve_1_diam</f>
        <v>6</v>
      </c>
      <c r="E89" s="14" t="str">
        <f>IF(D89&gt;12,"pp_mov_eq_large","pp_mov_eq_small")</f>
        <v>pp_mov_eq_small</v>
      </c>
      <c r="F89" s="14">
        <f t="shared" si="27"/>
        <v>0</v>
      </c>
      <c r="G89" s="14">
        <f t="shared" si="27"/>
        <v>0</v>
      </c>
      <c r="H89" s="14">
        <f t="shared" si="27"/>
        <v>0</v>
      </c>
      <c r="I89" s="14">
        <f t="shared" si="27"/>
        <v>0</v>
      </c>
      <c r="J89" s="14">
        <f t="shared" si="27"/>
        <v>599.000620282</v>
      </c>
      <c r="K89" s="14">
        <f t="shared" si="27"/>
        <v>0.18198897</v>
      </c>
      <c r="L89" s="14">
        <f t="shared" si="27"/>
        <v>0</v>
      </c>
      <c r="M89" s="14">
        <f t="shared" si="27"/>
        <v>0</v>
      </c>
      <c r="N89" s="14">
        <f t="shared" si="27"/>
        <v>0</v>
      </c>
      <c r="O89" s="14">
        <f t="shared" si="27"/>
        <v>0</v>
      </c>
      <c r="P89" s="14">
        <f t="shared" si="27"/>
        <v>12</v>
      </c>
      <c r="Q89" s="14">
        <f t="shared" si="27"/>
        <v>0</v>
      </c>
    </row>
    <row r="90" spans="1:17">
      <c r="A90" s="281" t="s">
        <v>616</v>
      </c>
      <c r="B90" s="77" t="s">
        <v>1444</v>
      </c>
      <c r="C90" s="86">
        <f t="shared" si="25"/>
        <v>3097.1800170789998</v>
      </c>
      <c r="D90" s="77">
        <f>perm_valve_1_diam</f>
        <v>6</v>
      </c>
      <c r="E90" s="14" t="s">
        <v>2248</v>
      </c>
      <c r="F90" s="14">
        <f t="shared" si="27"/>
        <v>0</v>
      </c>
      <c r="G90" s="14">
        <f t="shared" si="27"/>
        <v>0</v>
      </c>
      <c r="H90" s="14">
        <f t="shared" si="27"/>
        <v>0</v>
      </c>
      <c r="I90" s="14">
        <f t="shared" si="27"/>
        <v>0</v>
      </c>
      <c r="J90" s="14">
        <f t="shared" si="27"/>
        <v>0</v>
      </c>
      <c r="K90" s="14">
        <f t="shared" si="27"/>
        <v>0</v>
      </c>
      <c r="L90" s="14">
        <f t="shared" si="27"/>
        <v>1.4813451259999999</v>
      </c>
      <c r="M90" s="14">
        <f t="shared" si="27"/>
        <v>44.575825872999999</v>
      </c>
      <c r="N90" s="14">
        <f t="shared" si="27"/>
        <v>-42.850924452000001</v>
      </c>
      <c r="O90" s="14">
        <f t="shared" si="27"/>
        <v>1429.5852851469999</v>
      </c>
      <c r="P90" s="14">
        <f t="shared" si="27"/>
        <v>48.1</v>
      </c>
      <c r="Q90" s="14">
        <f t="shared" si="27"/>
        <v>0</v>
      </c>
    </row>
    <row r="91" spans="1:17">
      <c r="A91" s="281" t="s">
        <v>1528</v>
      </c>
      <c r="B91" s="77" t="s">
        <v>1445</v>
      </c>
      <c r="C91" s="86">
        <f t="shared" si="25"/>
        <v>1240.4363770220834</v>
      </c>
      <c r="D91" s="77">
        <f>perm_valve_2_diam</f>
        <v>4</v>
      </c>
      <c r="E91" s="14" t="str">
        <f>IF(D91&gt;12,"pp_mov_eq_large","pp_mov_eq_small")</f>
        <v>pp_mov_eq_small</v>
      </c>
      <c r="F91" s="14">
        <f t="shared" si="27"/>
        <v>0</v>
      </c>
      <c r="G91" s="14">
        <f t="shared" si="27"/>
        <v>0</v>
      </c>
      <c r="H91" s="14">
        <f t="shared" si="27"/>
        <v>0</v>
      </c>
      <c r="I91" s="14">
        <f t="shared" si="27"/>
        <v>0</v>
      </c>
      <c r="J91" s="14">
        <f t="shared" si="27"/>
        <v>599.000620282</v>
      </c>
      <c r="K91" s="14">
        <f t="shared" si="27"/>
        <v>0.18198897</v>
      </c>
      <c r="L91" s="14">
        <f t="shared" si="27"/>
        <v>0</v>
      </c>
      <c r="M91" s="14">
        <f t="shared" si="27"/>
        <v>0</v>
      </c>
      <c r="N91" s="14">
        <f t="shared" si="27"/>
        <v>0</v>
      </c>
      <c r="O91" s="14">
        <f t="shared" si="27"/>
        <v>0</v>
      </c>
      <c r="P91" s="14">
        <f t="shared" si="27"/>
        <v>12</v>
      </c>
      <c r="Q91" s="14">
        <f t="shared" si="27"/>
        <v>0</v>
      </c>
    </row>
    <row r="92" spans="1:17">
      <c r="A92" s="281" t="s">
        <v>1529</v>
      </c>
      <c r="B92" s="77" t="s">
        <v>1446</v>
      </c>
      <c r="C92" s="86">
        <f t="shared" si="25"/>
        <v>2066.2008893709999</v>
      </c>
      <c r="D92" s="77">
        <f>perm_valve_2_diam</f>
        <v>4</v>
      </c>
      <c r="E92" s="14" t="s">
        <v>2248</v>
      </c>
      <c r="F92" s="14">
        <f t="shared" si="27"/>
        <v>0</v>
      </c>
      <c r="G92" s="14">
        <f t="shared" si="27"/>
        <v>0</v>
      </c>
      <c r="H92" s="14">
        <f t="shared" si="27"/>
        <v>0</v>
      </c>
      <c r="I92" s="14">
        <f t="shared" si="27"/>
        <v>0</v>
      </c>
      <c r="J92" s="14">
        <f t="shared" si="27"/>
        <v>0</v>
      </c>
      <c r="K92" s="14">
        <f t="shared" si="27"/>
        <v>0</v>
      </c>
      <c r="L92" s="14">
        <f t="shared" si="27"/>
        <v>1.4813451259999999</v>
      </c>
      <c r="M92" s="14">
        <f t="shared" si="27"/>
        <v>44.575825872999999</v>
      </c>
      <c r="N92" s="14">
        <f t="shared" si="27"/>
        <v>-42.850924452000001</v>
      </c>
      <c r="O92" s="14">
        <f t="shared" si="27"/>
        <v>1429.5852851469999</v>
      </c>
      <c r="P92" s="14">
        <f t="shared" si="27"/>
        <v>48.1</v>
      </c>
      <c r="Q92" s="14">
        <f t="shared" si="27"/>
        <v>0</v>
      </c>
    </row>
    <row r="93" spans="1:17">
      <c r="A93" s="281" t="s">
        <v>1530</v>
      </c>
      <c r="B93" s="77" t="s">
        <v>1447</v>
      </c>
      <c r="C93" s="86">
        <f t="shared" si="25"/>
        <v>0</v>
      </c>
      <c r="D93" s="77">
        <f>perm_valve_3_diam</f>
        <v>0</v>
      </c>
      <c r="E93" s="14" t="str">
        <f>IF(D93&gt;12,"pp_mov_eq_large","pp_mov_eq_small")</f>
        <v>pp_mov_eq_small</v>
      </c>
      <c r="F93" s="14">
        <f t="shared" ref="F93:Q102" si="28">VLOOKUP($E93,eq_table_cl,F$4,FALSE)</f>
        <v>0</v>
      </c>
      <c r="G93" s="14">
        <f t="shared" si="28"/>
        <v>0</v>
      </c>
      <c r="H93" s="14">
        <f t="shared" si="28"/>
        <v>0</v>
      </c>
      <c r="I93" s="14">
        <f t="shared" si="28"/>
        <v>0</v>
      </c>
      <c r="J93" s="14">
        <f t="shared" si="28"/>
        <v>599.000620282</v>
      </c>
      <c r="K93" s="14">
        <f t="shared" si="28"/>
        <v>0.18198897</v>
      </c>
      <c r="L93" s="14">
        <f t="shared" si="28"/>
        <v>0</v>
      </c>
      <c r="M93" s="14">
        <f t="shared" si="28"/>
        <v>0</v>
      </c>
      <c r="N93" s="14">
        <f t="shared" si="28"/>
        <v>0</v>
      </c>
      <c r="O93" s="14">
        <f t="shared" si="28"/>
        <v>0</v>
      </c>
      <c r="P93" s="14">
        <f t="shared" si="28"/>
        <v>12</v>
      </c>
      <c r="Q93" s="14">
        <f t="shared" si="28"/>
        <v>0</v>
      </c>
    </row>
    <row r="94" spans="1:17">
      <c r="A94" s="281" t="s">
        <v>1531</v>
      </c>
      <c r="B94" s="77" t="s">
        <v>1448</v>
      </c>
      <c r="C94" s="86">
        <f t="shared" si="25"/>
        <v>0</v>
      </c>
      <c r="D94" s="77">
        <f>perm_valve_3_diam</f>
        <v>0</v>
      </c>
      <c r="E94" s="14" t="s">
        <v>2248</v>
      </c>
      <c r="F94" s="14">
        <f t="shared" si="28"/>
        <v>0</v>
      </c>
      <c r="G94" s="14">
        <f t="shared" si="28"/>
        <v>0</v>
      </c>
      <c r="H94" s="14">
        <f t="shared" si="28"/>
        <v>0</v>
      </c>
      <c r="I94" s="14">
        <f t="shared" si="28"/>
        <v>0</v>
      </c>
      <c r="J94" s="14">
        <f t="shared" si="28"/>
        <v>0</v>
      </c>
      <c r="K94" s="14">
        <f t="shared" si="28"/>
        <v>0</v>
      </c>
      <c r="L94" s="14">
        <f t="shared" si="28"/>
        <v>1.4813451259999999</v>
      </c>
      <c r="M94" s="14">
        <f t="shared" si="28"/>
        <v>44.575825872999999</v>
      </c>
      <c r="N94" s="14">
        <f t="shared" si="28"/>
        <v>-42.850924452000001</v>
      </c>
      <c r="O94" s="14">
        <f t="shared" si="28"/>
        <v>1429.5852851469999</v>
      </c>
      <c r="P94" s="14">
        <f t="shared" si="28"/>
        <v>48.1</v>
      </c>
      <c r="Q94" s="14">
        <f t="shared" si="28"/>
        <v>0</v>
      </c>
    </row>
    <row r="95" spans="1:17">
      <c r="A95" s="281" t="s">
        <v>1532</v>
      </c>
      <c r="B95" s="77" t="s">
        <v>1449</v>
      </c>
      <c r="C95" s="86">
        <f t="shared" ca="1" si="25"/>
        <v>1240.4363770220834</v>
      </c>
      <c r="D95" s="77">
        <f ca="1">clean_valve_size</f>
        <v>4</v>
      </c>
      <c r="E95" s="14" t="str">
        <f ca="1">IF(D95&gt;12,"pp_mov_eq_large","pp_mov_eq_small")</f>
        <v>pp_mov_eq_small</v>
      </c>
      <c r="F95" s="14">
        <f t="shared" ca="1" si="28"/>
        <v>0</v>
      </c>
      <c r="G95" s="14">
        <f t="shared" ca="1" si="28"/>
        <v>0</v>
      </c>
      <c r="H95" s="14">
        <f t="shared" ca="1" si="28"/>
        <v>0</v>
      </c>
      <c r="I95" s="14">
        <f t="shared" ca="1" si="28"/>
        <v>0</v>
      </c>
      <c r="J95" s="14">
        <f t="shared" ca="1" si="28"/>
        <v>599.000620282</v>
      </c>
      <c r="K95" s="14">
        <f t="shared" ca="1" si="28"/>
        <v>0.18198897</v>
      </c>
      <c r="L95" s="14">
        <f t="shared" ca="1" si="28"/>
        <v>0</v>
      </c>
      <c r="M95" s="14">
        <f t="shared" ca="1" si="28"/>
        <v>0</v>
      </c>
      <c r="N95" s="14">
        <f t="shared" ca="1" si="28"/>
        <v>0</v>
      </c>
      <c r="O95" s="14">
        <f t="shared" ca="1" si="28"/>
        <v>0</v>
      </c>
      <c r="P95" s="14">
        <f t="shared" ca="1" si="28"/>
        <v>12</v>
      </c>
      <c r="Q95" s="14">
        <f t="shared" ca="1" si="28"/>
        <v>0</v>
      </c>
    </row>
    <row r="96" spans="1:17">
      <c r="A96" s="281" t="s">
        <v>1533</v>
      </c>
      <c r="B96" s="77" t="s">
        <v>1450</v>
      </c>
      <c r="C96" s="86">
        <f t="shared" ca="1" si="25"/>
        <v>2066.2008893709999</v>
      </c>
      <c r="D96" s="77">
        <f ca="1">clean_valve_size</f>
        <v>4</v>
      </c>
      <c r="E96" s="14" t="s">
        <v>2248</v>
      </c>
      <c r="F96" s="14">
        <f t="shared" si="28"/>
        <v>0</v>
      </c>
      <c r="G96" s="14">
        <f t="shared" si="28"/>
        <v>0</v>
      </c>
      <c r="H96" s="14">
        <f t="shared" si="28"/>
        <v>0</v>
      </c>
      <c r="I96" s="14">
        <f t="shared" si="28"/>
        <v>0</v>
      </c>
      <c r="J96" s="14">
        <f t="shared" si="28"/>
        <v>0</v>
      </c>
      <c r="K96" s="14">
        <f t="shared" si="28"/>
        <v>0</v>
      </c>
      <c r="L96" s="14">
        <f t="shared" si="28"/>
        <v>1.4813451259999999</v>
      </c>
      <c r="M96" s="14">
        <f t="shared" si="28"/>
        <v>44.575825872999999</v>
      </c>
      <c r="N96" s="14">
        <f t="shared" si="28"/>
        <v>-42.850924452000001</v>
      </c>
      <c r="O96" s="14">
        <f t="shared" si="28"/>
        <v>1429.5852851469999</v>
      </c>
      <c r="P96" s="14">
        <f t="shared" si="28"/>
        <v>48.1</v>
      </c>
      <c r="Q96" s="14">
        <f t="shared" si="28"/>
        <v>0</v>
      </c>
    </row>
    <row r="97" spans="1:17">
      <c r="A97" s="281" t="s">
        <v>1537</v>
      </c>
      <c r="B97" s="14" t="s">
        <v>1451</v>
      </c>
      <c r="C97" s="86">
        <f t="shared" si="25"/>
        <v>0</v>
      </c>
      <c r="D97" s="77">
        <f>bypass_valve_size</f>
        <v>0</v>
      </c>
      <c r="E97" s="14" t="str">
        <f>IF(D97&gt;12,"pp_mov_eq_large","pp_mov_eq_small")</f>
        <v>pp_mov_eq_small</v>
      </c>
      <c r="F97" s="14">
        <f t="shared" si="28"/>
        <v>0</v>
      </c>
      <c r="G97" s="14">
        <f t="shared" si="28"/>
        <v>0</v>
      </c>
      <c r="H97" s="14">
        <f t="shared" si="28"/>
        <v>0</v>
      </c>
      <c r="I97" s="14">
        <f t="shared" si="28"/>
        <v>0</v>
      </c>
      <c r="J97" s="14">
        <f t="shared" si="28"/>
        <v>599.000620282</v>
      </c>
      <c r="K97" s="14">
        <f t="shared" si="28"/>
        <v>0.18198897</v>
      </c>
      <c r="L97" s="14">
        <f t="shared" si="28"/>
        <v>0</v>
      </c>
      <c r="M97" s="14">
        <f t="shared" si="28"/>
        <v>0</v>
      </c>
      <c r="N97" s="14">
        <f t="shared" si="28"/>
        <v>0</v>
      </c>
      <c r="O97" s="14">
        <f t="shared" si="28"/>
        <v>0</v>
      </c>
      <c r="P97" s="14">
        <f t="shared" si="28"/>
        <v>12</v>
      </c>
      <c r="Q97" s="14">
        <f t="shared" si="28"/>
        <v>0</v>
      </c>
    </row>
    <row r="98" spans="1:17">
      <c r="A98" s="281" t="s">
        <v>1538</v>
      </c>
      <c r="B98" s="14" t="s">
        <v>1452</v>
      </c>
      <c r="C98" s="86">
        <f t="shared" si="25"/>
        <v>0</v>
      </c>
      <c r="D98" s="77">
        <f>bypass_valve_size</f>
        <v>0</v>
      </c>
      <c r="E98" s="14" t="s">
        <v>2248</v>
      </c>
      <c r="F98" s="14">
        <f t="shared" si="28"/>
        <v>0</v>
      </c>
      <c r="G98" s="14">
        <f t="shared" si="28"/>
        <v>0</v>
      </c>
      <c r="H98" s="14">
        <f t="shared" si="28"/>
        <v>0</v>
      </c>
      <c r="I98" s="14">
        <f t="shared" si="28"/>
        <v>0</v>
      </c>
      <c r="J98" s="14">
        <f t="shared" si="28"/>
        <v>0</v>
      </c>
      <c r="K98" s="14">
        <f t="shared" si="28"/>
        <v>0</v>
      </c>
      <c r="L98" s="14">
        <f t="shared" si="28"/>
        <v>1.4813451259999999</v>
      </c>
      <c r="M98" s="14">
        <f t="shared" si="28"/>
        <v>44.575825872999999</v>
      </c>
      <c r="N98" s="14">
        <f t="shared" si="28"/>
        <v>-42.850924452000001</v>
      </c>
      <c r="O98" s="14">
        <f t="shared" si="28"/>
        <v>1429.5852851469999</v>
      </c>
      <c r="P98" s="14">
        <f t="shared" si="28"/>
        <v>48.1</v>
      </c>
      <c r="Q98" s="14">
        <f t="shared" si="28"/>
        <v>0</v>
      </c>
    </row>
    <row r="99" spans="1:17">
      <c r="A99" s="281" t="s">
        <v>1601</v>
      </c>
      <c r="B99" s="14" t="s">
        <v>1453</v>
      </c>
      <c r="C99" s="86">
        <f t="shared" si="25"/>
        <v>0</v>
      </c>
      <c r="D99" s="77">
        <f>bypass_valve_size</f>
        <v>0</v>
      </c>
      <c r="E99" s="14" t="s">
        <v>2471</v>
      </c>
      <c r="F99" s="14">
        <f t="shared" si="28"/>
        <v>0</v>
      </c>
      <c r="G99" s="14">
        <f t="shared" si="28"/>
        <v>0</v>
      </c>
      <c r="H99" s="14">
        <f t="shared" si="28"/>
        <v>0</v>
      </c>
      <c r="I99" s="14">
        <f t="shared" si="28"/>
        <v>0</v>
      </c>
      <c r="J99" s="14">
        <f t="shared" si="28"/>
        <v>0</v>
      </c>
      <c r="K99" s="14">
        <f t="shared" si="28"/>
        <v>0</v>
      </c>
      <c r="L99" s="14">
        <f t="shared" si="28"/>
        <v>0</v>
      </c>
      <c r="M99" s="14">
        <f t="shared" si="28"/>
        <v>0</v>
      </c>
      <c r="N99" s="14">
        <f t="shared" si="28"/>
        <v>1304.6120832720001</v>
      </c>
      <c r="O99" s="14">
        <f t="shared" si="28"/>
        <v>-1165.0485677490001</v>
      </c>
      <c r="P99" s="14">
        <f t="shared" si="28"/>
        <v>48.1</v>
      </c>
      <c r="Q99" s="14">
        <f t="shared" si="28"/>
        <v>1</v>
      </c>
    </row>
    <row r="100" spans="1:17">
      <c r="A100" s="278" t="s">
        <v>1534</v>
      </c>
      <c r="B100" s="14" t="s">
        <v>2246</v>
      </c>
      <c r="C100" s="86">
        <f t="shared" ca="1" si="25"/>
        <v>1785.0406260455554</v>
      </c>
      <c r="D100" s="77">
        <f ca="1">res_valve_size</f>
        <v>6</v>
      </c>
      <c r="E100" s="14" t="str">
        <f ca="1">IF(D100&gt;12,"pp_mov_eq_large","pp_mov_eq_small")</f>
        <v>pp_mov_eq_small</v>
      </c>
      <c r="F100" s="14">
        <f t="shared" ca="1" si="28"/>
        <v>0</v>
      </c>
      <c r="G100" s="14">
        <f t="shared" ca="1" si="28"/>
        <v>0</v>
      </c>
      <c r="H100" s="14">
        <f t="shared" ca="1" si="28"/>
        <v>0</v>
      </c>
      <c r="I100" s="14">
        <f t="shared" ca="1" si="28"/>
        <v>0</v>
      </c>
      <c r="J100" s="14">
        <f t="shared" ca="1" si="28"/>
        <v>599.000620282</v>
      </c>
      <c r="K100" s="14">
        <f t="shared" ca="1" si="28"/>
        <v>0.18198897</v>
      </c>
      <c r="L100" s="14">
        <f t="shared" ca="1" si="28"/>
        <v>0</v>
      </c>
      <c r="M100" s="14">
        <f t="shared" ca="1" si="28"/>
        <v>0</v>
      </c>
      <c r="N100" s="14">
        <f t="shared" ca="1" si="28"/>
        <v>0</v>
      </c>
      <c r="O100" s="14">
        <f t="shared" ca="1" si="28"/>
        <v>0</v>
      </c>
      <c r="P100" s="14">
        <f t="shared" ca="1" si="28"/>
        <v>12</v>
      </c>
      <c r="Q100" s="14">
        <f t="shared" ca="1" si="28"/>
        <v>0</v>
      </c>
    </row>
    <row r="101" spans="1:17">
      <c r="A101" s="251" t="s">
        <v>1535</v>
      </c>
      <c r="B101" s="14" t="s">
        <v>2247</v>
      </c>
      <c r="C101" s="86">
        <f t="shared" ca="1" si="25"/>
        <v>3097.1800170789998</v>
      </c>
      <c r="D101" s="77">
        <f ca="1">res_valve_size</f>
        <v>6</v>
      </c>
      <c r="E101" s="14" t="s">
        <v>2248</v>
      </c>
      <c r="F101" s="14">
        <f t="shared" si="28"/>
        <v>0</v>
      </c>
      <c r="G101" s="14">
        <f t="shared" si="28"/>
        <v>0</v>
      </c>
      <c r="H101" s="14">
        <f t="shared" si="28"/>
        <v>0</v>
      </c>
      <c r="I101" s="14">
        <f t="shared" si="28"/>
        <v>0</v>
      </c>
      <c r="J101" s="14">
        <f t="shared" si="28"/>
        <v>0</v>
      </c>
      <c r="K101" s="14">
        <f t="shared" si="28"/>
        <v>0</v>
      </c>
      <c r="L101" s="14">
        <f t="shared" si="28"/>
        <v>1.4813451259999999</v>
      </c>
      <c r="M101" s="14">
        <f t="shared" si="28"/>
        <v>44.575825872999999</v>
      </c>
      <c r="N101" s="14">
        <f t="shared" si="28"/>
        <v>-42.850924452000001</v>
      </c>
      <c r="O101" s="14">
        <f t="shared" si="28"/>
        <v>1429.5852851469999</v>
      </c>
      <c r="P101" s="14">
        <f t="shared" si="28"/>
        <v>48.1</v>
      </c>
      <c r="Q101" s="14">
        <f t="shared" si="28"/>
        <v>0</v>
      </c>
    </row>
    <row r="102" spans="1:17">
      <c r="A102" s="251" t="s">
        <v>1536</v>
      </c>
      <c r="B102" s="14" t="s">
        <v>2249</v>
      </c>
      <c r="C102" s="86">
        <f t="shared" ca="1" si="25"/>
        <v>6662.6239318830012</v>
      </c>
      <c r="D102" s="77">
        <f ca="1">res_valve_size</f>
        <v>6</v>
      </c>
      <c r="E102" s="14" t="s">
        <v>2471</v>
      </c>
      <c r="F102" s="14">
        <f t="shared" si="28"/>
        <v>0</v>
      </c>
      <c r="G102" s="14">
        <f t="shared" si="28"/>
        <v>0</v>
      </c>
      <c r="H102" s="14">
        <f t="shared" si="28"/>
        <v>0</v>
      </c>
      <c r="I102" s="14">
        <f t="shared" si="28"/>
        <v>0</v>
      </c>
      <c r="J102" s="14">
        <f t="shared" si="28"/>
        <v>0</v>
      </c>
      <c r="K102" s="14">
        <f t="shared" si="28"/>
        <v>0</v>
      </c>
      <c r="L102" s="14">
        <f t="shared" si="28"/>
        <v>0</v>
      </c>
      <c r="M102" s="14">
        <f t="shared" si="28"/>
        <v>0</v>
      </c>
      <c r="N102" s="14">
        <f t="shared" si="28"/>
        <v>1304.6120832720001</v>
      </c>
      <c r="O102" s="14">
        <f t="shared" si="28"/>
        <v>-1165.0485677490001</v>
      </c>
      <c r="P102" s="14">
        <f t="shared" si="28"/>
        <v>48.1</v>
      </c>
      <c r="Q102" s="14">
        <f t="shared" si="28"/>
        <v>1</v>
      </c>
    </row>
    <row r="103" spans="1:17">
      <c r="A103" s="265" t="s">
        <v>3526</v>
      </c>
    </row>
    <row r="104" spans="1:17">
      <c r="A104" s="1081" t="s">
        <v>5539</v>
      </c>
      <c r="B104" s="14" t="s">
        <v>1480</v>
      </c>
      <c r="C104" s="86">
        <f t="shared" ref="C104:C135" si="29">IF(D104=0,0,IF(OR(D104&gt;P104,D104&lt;Q104),"contact vendor",F104*D104^G104+H104*LN(D104)+I104+J104*EXP(K104*D104)+L104*D104^3+M104*D104^2+N104*D104+O104))</f>
        <v>1775.3570923089999</v>
      </c>
      <c r="D104" s="77">
        <f>in_valve_size</f>
        <v>10</v>
      </c>
      <c r="E104" s="14" t="str">
        <f>IF(D104&gt;12,"pp_man_eq_large","pp_man_eq_small")</f>
        <v>pp_man_eq_small</v>
      </c>
      <c r="F104" s="14">
        <f t="shared" ref="F104:Q113" si="30">VLOOKUP($E104,eq_table_cl,F$4,FALSE)</f>
        <v>0</v>
      </c>
      <c r="G104" s="14">
        <f t="shared" si="30"/>
        <v>0</v>
      </c>
      <c r="H104" s="14">
        <f t="shared" si="30"/>
        <v>0</v>
      </c>
      <c r="I104" s="14">
        <f t="shared" si="30"/>
        <v>0</v>
      </c>
      <c r="J104" s="14">
        <f t="shared" si="30"/>
        <v>0</v>
      </c>
      <c r="K104" s="14">
        <f t="shared" si="30"/>
        <v>0</v>
      </c>
      <c r="L104" s="14">
        <f t="shared" si="30"/>
        <v>0</v>
      </c>
      <c r="M104" s="14">
        <f t="shared" si="30"/>
        <v>12.117823524</v>
      </c>
      <c r="N104" s="14">
        <f t="shared" si="30"/>
        <v>45.057729000000002</v>
      </c>
      <c r="O104" s="14">
        <f t="shared" si="30"/>
        <v>112.997449909</v>
      </c>
      <c r="P104" s="14">
        <f t="shared" si="30"/>
        <v>12</v>
      </c>
      <c r="Q104" s="14">
        <f t="shared" si="30"/>
        <v>0</v>
      </c>
    </row>
    <row r="105" spans="1:17">
      <c r="A105" s="1081" t="s">
        <v>5540</v>
      </c>
      <c r="B105" s="14" t="s">
        <v>1481</v>
      </c>
      <c r="C105" s="86">
        <f t="shared" si="29"/>
        <v>2292.5888431361109</v>
      </c>
      <c r="D105" s="77">
        <f>in_valve_size</f>
        <v>10</v>
      </c>
      <c r="E105" s="14" t="s">
        <v>1481</v>
      </c>
      <c r="F105" s="14">
        <f t="shared" si="30"/>
        <v>271.98316458599999</v>
      </c>
      <c r="G105" s="14">
        <f t="shared" si="30"/>
        <v>0.92578415199999997</v>
      </c>
      <c r="H105" s="14">
        <f t="shared" si="30"/>
        <v>0</v>
      </c>
      <c r="I105" s="14">
        <f t="shared" si="30"/>
        <v>0</v>
      </c>
      <c r="J105" s="14">
        <f t="shared" si="30"/>
        <v>0</v>
      </c>
      <c r="K105" s="14">
        <f t="shared" si="30"/>
        <v>0</v>
      </c>
      <c r="L105" s="14">
        <f t="shared" si="30"/>
        <v>0</v>
      </c>
      <c r="M105" s="14">
        <f t="shared" si="30"/>
        <v>0</v>
      </c>
      <c r="N105" s="14">
        <f t="shared" si="30"/>
        <v>0</v>
      </c>
      <c r="O105" s="14">
        <f t="shared" si="30"/>
        <v>0</v>
      </c>
      <c r="P105" s="14">
        <f t="shared" si="30"/>
        <v>12.1</v>
      </c>
      <c r="Q105" s="14">
        <f t="shared" si="30"/>
        <v>0</v>
      </c>
    </row>
    <row r="106" spans="1:17">
      <c r="A106" s="1081" t="s">
        <v>5544</v>
      </c>
      <c r="B106" s="14" t="s">
        <v>1482</v>
      </c>
      <c r="C106" s="86">
        <f t="shared" si="29"/>
        <v>2467.6673917276885</v>
      </c>
      <c r="D106" s="77">
        <f>in_valve_size</f>
        <v>10</v>
      </c>
      <c r="E106" s="14" t="str">
        <f>IF(D106&gt;12,"ci_bfv_eq_large","ci_bfv_eq_small")</f>
        <v>ci_bfv_eq_small</v>
      </c>
      <c r="F106" s="14">
        <f t="shared" si="30"/>
        <v>221.77653215199999</v>
      </c>
      <c r="G106" s="14">
        <f t="shared" si="30"/>
        <v>1.0463710340000001</v>
      </c>
      <c r="H106" s="14">
        <f t="shared" si="30"/>
        <v>0</v>
      </c>
      <c r="I106" s="14">
        <f t="shared" si="30"/>
        <v>0</v>
      </c>
      <c r="J106" s="14">
        <f t="shared" si="30"/>
        <v>0</v>
      </c>
      <c r="K106" s="14">
        <f t="shared" si="30"/>
        <v>0</v>
      </c>
      <c r="L106" s="14">
        <f t="shared" si="30"/>
        <v>0</v>
      </c>
      <c r="M106" s="14">
        <f t="shared" si="30"/>
        <v>0</v>
      </c>
      <c r="N106" s="14">
        <f t="shared" si="30"/>
        <v>0</v>
      </c>
      <c r="O106" s="14">
        <f t="shared" si="30"/>
        <v>0</v>
      </c>
      <c r="P106" s="14">
        <f t="shared" si="30"/>
        <v>12</v>
      </c>
      <c r="Q106" s="14">
        <f t="shared" si="30"/>
        <v>1</v>
      </c>
    </row>
    <row r="107" spans="1:17">
      <c r="A107" s="281" t="s">
        <v>1604</v>
      </c>
      <c r="B107" s="77" t="s">
        <v>1458</v>
      </c>
      <c r="C107" s="86">
        <f t="shared" ca="1" si="29"/>
        <v>138.55577029</v>
      </c>
      <c r="D107" s="77">
        <f ca="1">pretreat_acid_valve_size</f>
        <v>0.5</v>
      </c>
      <c r="E107" s="14" t="str">
        <f ca="1">IF(D107&gt;12,"pp_man_eq_large","pp_man_eq_small")</f>
        <v>pp_man_eq_small</v>
      </c>
      <c r="F107" s="14">
        <f t="shared" ca="1" si="30"/>
        <v>0</v>
      </c>
      <c r="G107" s="14">
        <f t="shared" ca="1" si="30"/>
        <v>0</v>
      </c>
      <c r="H107" s="14">
        <f t="shared" ca="1" si="30"/>
        <v>0</v>
      </c>
      <c r="I107" s="14">
        <f t="shared" ca="1" si="30"/>
        <v>0</v>
      </c>
      <c r="J107" s="14">
        <f t="shared" ca="1" si="30"/>
        <v>0</v>
      </c>
      <c r="K107" s="14">
        <f t="shared" ca="1" si="30"/>
        <v>0</v>
      </c>
      <c r="L107" s="14">
        <f t="shared" ca="1" si="30"/>
        <v>0</v>
      </c>
      <c r="M107" s="14">
        <f t="shared" ca="1" si="30"/>
        <v>12.117823524</v>
      </c>
      <c r="N107" s="14">
        <f t="shared" ca="1" si="30"/>
        <v>45.057729000000002</v>
      </c>
      <c r="O107" s="14">
        <f t="shared" ca="1" si="30"/>
        <v>112.997449909</v>
      </c>
      <c r="P107" s="14">
        <f t="shared" ca="1" si="30"/>
        <v>12</v>
      </c>
      <c r="Q107" s="14">
        <f t="shared" ca="1" si="30"/>
        <v>0</v>
      </c>
    </row>
    <row r="108" spans="1:17">
      <c r="A108" s="281" t="s">
        <v>1269</v>
      </c>
      <c r="B108" s="77" t="s">
        <v>1459</v>
      </c>
      <c r="C108" s="86">
        <f t="shared" ca="1" si="29"/>
        <v>143.17039505495234</v>
      </c>
      <c r="D108" s="77">
        <f ca="1">pretreat_acid_valve_size</f>
        <v>0.5</v>
      </c>
      <c r="E108" s="14" t="s">
        <v>1481</v>
      </c>
      <c r="F108" s="14">
        <f t="shared" si="30"/>
        <v>271.98316458599999</v>
      </c>
      <c r="G108" s="14">
        <f t="shared" si="30"/>
        <v>0.92578415199999997</v>
      </c>
      <c r="H108" s="14">
        <f t="shared" si="30"/>
        <v>0</v>
      </c>
      <c r="I108" s="14">
        <f t="shared" si="30"/>
        <v>0</v>
      </c>
      <c r="J108" s="14">
        <f t="shared" si="30"/>
        <v>0</v>
      </c>
      <c r="K108" s="14">
        <f t="shared" si="30"/>
        <v>0</v>
      </c>
      <c r="L108" s="14">
        <f t="shared" si="30"/>
        <v>0</v>
      </c>
      <c r="M108" s="14">
        <f t="shared" si="30"/>
        <v>0</v>
      </c>
      <c r="N108" s="14">
        <f t="shared" si="30"/>
        <v>0</v>
      </c>
      <c r="O108" s="14">
        <f t="shared" si="30"/>
        <v>0</v>
      </c>
      <c r="P108" s="14">
        <f t="shared" si="30"/>
        <v>12.1</v>
      </c>
      <c r="Q108" s="14">
        <f t="shared" si="30"/>
        <v>0</v>
      </c>
    </row>
    <row r="109" spans="1:17">
      <c r="A109" s="281" t="s">
        <v>1270</v>
      </c>
      <c r="B109" s="77" t="s">
        <v>1460</v>
      </c>
      <c r="C109" s="86">
        <f t="shared" si="29"/>
        <v>138.55577029</v>
      </c>
      <c r="D109" s="77">
        <f>antiscalant_valve_size</f>
        <v>0.5</v>
      </c>
      <c r="E109" s="14" t="str">
        <f>IF(D109&gt;12,"pp_man_eq_large","pp_man_eq_small")</f>
        <v>pp_man_eq_small</v>
      </c>
      <c r="F109" s="14">
        <f t="shared" si="30"/>
        <v>0</v>
      </c>
      <c r="G109" s="14">
        <f t="shared" si="30"/>
        <v>0</v>
      </c>
      <c r="H109" s="14">
        <f t="shared" si="30"/>
        <v>0</v>
      </c>
      <c r="I109" s="14">
        <f t="shared" si="30"/>
        <v>0</v>
      </c>
      <c r="J109" s="14">
        <f t="shared" si="30"/>
        <v>0</v>
      </c>
      <c r="K109" s="14">
        <f t="shared" si="30"/>
        <v>0</v>
      </c>
      <c r="L109" s="14">
        <f t="shared" si="30"/>
        <v>0</v>
      </c>
      <c r="M109" s="14">
        <f t="shared" si="30"/>
        <v>12.117823524</v>
      </c>
      <c r="N109" s="14">
        <f t="shared" si="30"/>
        <v>45.057729000000002</v>
      </c>
      <c r="O109" s="14">
        <f t="shared" si="30"/>
        <v>112.997449909</v>
      </c>
      <c r="P109" s="14">
        <f t="shared" si="30"/>
        <v>12</v>
      </c>
      <c r="Q109" s="14">
        <f t="shared" si="30"/>
        <v>0</v>
      </c>
    </row>
    <row r="110" spans="1:17">
      <c r="A110" s="281" t="s">
        <v>1271</v>
      </c>
      <c r="B110" s="77" t="s">
        <v>1461</v>
      </c>
      <c r="C110" s="86">
        <f t="shared" si="29"/>
        <v>143.17039505495234</v>
      </c>
      <c r="D110" s="77">
        <f>antiscalant_valve_size</f>
        <v>0.5</v>
      </c>
      <c r="E110" s="14" t="s">
        <v>1481</v>
      </c>
      <c r="F110" s="14">
        <f t="shared" si="30"/>
        <v>271.98316458599999</v>
      </c>
      <c r="G110" s="14">
        <f t="shared" si="30"/>
        <v>0.92578415199999997</v>
      </c>
      <c r="H110" s="14">
        <f t="shared" si="30"/>
        <v>0</v>
      </c>
      <c r="I110" s="14">
        <f t="shared" si="30"/>
        <v>0</v>
      </c>
      <c r="J110" s="14">
        <f t="shared" si="30"/>
        <v>0</v>
      </c>
      <c r="K110" s="14">
        <f t="shared" si="30"/>
        <v>0</v>
      </c>
      <c r="L110" s="14">
        <f t="shared" si="30"/>
        <v>0</v>
      </c>
      <c r="M110" s="14">
        <f t="shared" si="30"/>
        <v>0</v>
      </c>
      <c r="N110" s="14">
        <f t="shared" si="30"/>
        <v>0</v>
      </c>
      <c r="O110" s="14">
        <f t="shared" si="30"/>
        <v>0</v>
      </c>
      <c r="P110" s="14">
        <f t="shared" si="30"/>
        <v>12.1</v>
      </c>
      <c r="Q110" s="14">
        <f t="shared" si="30"/>
        <v>0</v>
      </c>
    </row>
    <row r="111" spans="1:17">
      <c r="A111" s="281" t="s">
        <v>164</v>
      </c>
      <c r="B111" s="77" t="s">
        <v>1462</v>
      </c>
      <c r="C111" s="86">
        <f t="shared" ca="1" si="29"/>
        <v>819.58547077300011</v>
      </c>
      <c r="D111" s="77">
        <f ca="1">feed_valve_size</f>
        <v>6</v>
      </c>
      <c r="E111" s="14" t="str">
        <f ca="1">IF(D111&gt;12,"pp_man_eq_large","pp_man_eq_small")</f>
        <v>pp_man_eq_small</v>
      </c>
      <c r="F111" s="14">
        <f t="shared" ca="1" si="30"/>
        <v>0</v>
      </c>
      <c r="G111" s="14">
        <f t="shared" ca="1" si="30"/>
        <v>0</v>
      </c>
      <c r="H111" s="14">
        <f t="shared" ca="1" si="30"/>
        <v>0</v>
      </c>
      <c r="I111" s="14">
        <f t="shared" ca="1" si="30"/>
        <v>0</v>
      </c>
      <c r="J111" s="14">
        <f t="shared" ca="1" si="30"/>
        <v>0</v>
      </c>
      <c r="K111" s="14">
        <f t="shared" ca="1" si="30"/>
        <v>0</v>
      </c>
      <c r="L111" s="14">
        <f t="shared" ca="1" si="30"/>
        <v>0</v>
      </c>
      <c r="M111" s="14">
        <f t="shared" ca="1" si="30"/>
        <v>12.117823524</v>
      </c>
      <c r="N111" s="14">
        <f t="shared" ca="1" si="30"/>
        <v>45.057729000000002</v>
      </c>
      <c r="O111" s="14">
        <f t="shared" ca="1" si="30"/>
        <v>112.997449909</v>
      </c>
      <c r="P111" s="14">
        <f t="shared" ca="1" si="30"/>
        <v>12</v>
      </c>
      <c r="Q111" s="14">
        <f t="shared" ca="1" si="30"/>
        <v>0</v>
      </c>
    </row>
    <row r="112" spans="1:17">
      <c r="A112" s="281" t="s">
        <v>609</v>
      </c>
      <c r="B112" s="77" t="s">
        <v>1463</v>
      </c>
      <c r="C112" s="86">
        <f t="shared" ca="1" si="29"/>
        <v>1428.7035309109294</v>
      </c>
      <c r="D112" s="77">
        <f ca="1">feed_valve_size</f>
        <v>6</v>
      </c>
      <c r="E112" s="14" t="s">
        <v>1481</v>
      </c>
      <c r="F112" s="14">
        <f t="shared" si="30"/>
        <v>271.98316458599999</v>
      </c>
      <c r="G112" s="14">
        <f t="shared" si="30"/>
        <v>0.92578415199999997</v>
      </c>
      <c r="H112" s="14">
        <f t="shared" si="30"/>
        <v>0</v>
      </c>
      <c r="I112" s="14">
        <f t="shared" si="30"/>
        <v>0</v>
      </c>
      <c r="J112" s="14">
        <f t="shared" si="30"/>
        <v>0</v>
      </c>
      <c r="K112" s="14">
        <f t="shared" si="30"/>
        <v>0</v>
      </c>
      <c r="L112" s="14">
        <f t="shared" si="30"/>
        <v>0</v>
      </c>
      <c r="M112" s="14">
        <f t="shared" si="30"/>
        <v>0</v>
      </c>
      <c r="N112" s="14">
        <f t="shared" si="30"/>
        <v>0</v>
      </c>
      <c r="O112" s="14">
        <f t="shared" si="30"/>
        <v>0</v>
      </c>
      <c r="P112" s="14">
        <f t="shared" si="30"/>
        <v>12.1</v>
      </c>
      <c r="Q112" s="14">
        <f t="shared" si="30"/>
        <v>0</v>
      </c>
    </row>
    <row r="113" spans="1:17">
      <c r="A113" s="281" t="s">
        <v>610</v>
      </c>
      <c r="B113" s="77" t="s">
        <v>1483</v>
      </c>
      <c r="C113" s="86">
        <f t="shared" ca="1" si="29"/>
        <v>1445.9408146195228</v>
      </c>
      <c r="D113" s="77">
        <f ca="1">feed_valve_size</f>
        <v>6</v>
      </c>
      <c r="E113" s="14" t="str">
        <f ca="1">IF(D113&gt;12,"ci_bfv_eq_large","ci_bfv_eq_small")</f>
        <v>ci_bfv_eq_small</v>
      </c>
      <c r="F113" s="14">
        <f t="shared" ca="1" si="30"/>
        <v>221.77653215199999</v>
      </c>
      <c r="G113" s="14">
        <f t="shared" ca="1" si="30"/>
        <v>1.0463710340000001</v>
      </c>
      <c r="H113" s="14">
        <f t="shared" ca="1" si="30"/>
        <v>0</v>
      </c>
      <c r="I113" s="14">
        <f t="shared" ca="1" si="30"/>
        <v>0</v>
      </c>
      <c r="J113" s="14">
        <f t="shared" ca="1" si="30"/>
        <v>0</v>
      </c>
      <c r="K113" s="14">
        <f t="shared" ca="1" si="30"/>
        <v>0</v>
      </c>
      <c r="L113" s="14">
        <f t="shared" ca="1" si="30"/>
        <v>0</v>
      </c>
      <c r="M113" s="14">
        <f t="shared" ca="1" si="30"/>
        <v>0</v>
      </c>
      <c r="N113" s="14">
        <f t="shared" ca="1" si="30"/>
        <v>0</v>
      </c>
      <c r="O113" s="14">
        <f t="shared" ca="1" si="30"/>
        <v>0</v>
      </c>
      <c r="P113" s="14">
        <f t="shared" ca="1" si="30"/>
        <v>12</v>
      </c>
      <c r="Q113" s="14">
        <f t="shared" ca="1" si="30"/>
        <v>1</v>
      </c>
    </row>
    <row r="114" spans="1:17">
      <c r="A114" s="281" t="s">
        <v>4705</v>
      </c>
      <c r="B114" s="77" t="s">
        <v>4731</v>
      </c>
      <c r="C114" s="86">
        <f t="shared" ca="1" si="29"/>
        <v>1428.7035309109294</v>
      </c>
      <c r="D114" s="77">
        <f ca="1">conc_valve_size</f>
        <v>6</v>
      </c>
      <c r="E114" s="14" t="s">
        <v>1481</v>
      </c>
      <c r="F114" s="14">
        <f t="shared" ref="F114:Q123" si="31">VLOOKUP($E114,eq_table_cl,F$4,FALSE)</f>
        <v>271.98316458599999</v>
      </c>
      <c r="G114" s="14">
        <f t="shared" si="31"/>
        <v>0.92578415199999997</v>
      </c>
      <c r="H114" s="14">
        <f t="shared" si="31"/>
        <v>0</v>
      </c>
      <c r="I114" s="14">
        <f t="shared" si="31"/>
        <v>0</v>
      </c>
      <c r="J114" s="14">
        <f t="shared" si="31"/>
        <v>0</v>
      </c>
      <c r="K114" s="14">
        <f t="shared" si="31"/>
        <v>0</v>
      </c>
      <c r="L114" s="14">
        <f t="shared" si="31"/>
        <v>0</v>
      </c>
      <c r="M114" s="14">
        <f t="shared" si="31"/>
        <v>0</v>
      </c>
      <c r="N114" s="14">
        <f t="shared" si="31"/>
        <v>0</v>
      </c>
      <c r="O114" s="14">
        <f t="shared" si="31"/>
        <v>0</v>
      </c>
      <c r="P114" s="14">
        <f t="shared" si="31"/>
        <v>12.1</v>
      </c>
      <c r="Q114" s="14">
        <f t="shared" si="31"/>
        <v>0</v>
      </c>
    </row>
    <row r="115" spans="1:17">
      <c r="A115" s="281" t="s">
        <v>4706</v>
      </c>
      <c r="B115" s="77" t="s">
        <v>4732</v>
      </c>
      <c r="C115" s="86">
        <f t="shared" ca="1" si="29"/>
        <v>1445.9408146195228</v>
      </c>
      <c r="D115" s="77">
        <f ca="1">conc_valve_size</f>
        <v>6</v>
      </c>
      <c r="E115" s="14" t="str">
        <f ca="1">IF(D115&gt;12,"ci_bfv_eq_large","ci_bfv_eq_small")</f>
        <v>ci_bfv_eq_small</v>
      </c>
      <c r="F115" s="14">
        <f t="shared" ca="1" si="31"/>
        <v>221.77653215199999</v>
      </c>
      <c r="G115" s="14">
        <f t="shared" ca="1" si="31"/>
        <v>1.0463710340000001</v>
      </c>
      <c r="H115" s="14">
        <f t="shared" ca="1" si="31"/>
        <v>0</v>
      </c>
      <c r="I115" s="14">
        <f t="shared" ca="1" si="31"/>
        <v>0</v>
      </c>
      <c r="J115" s="14">
        <f t="shared" ca="1" si="31"/>
        <v>0</v>
      </c>
      <c r="K115" s="14">
        <f t="shared" ca="1" si="31"/>
        <v>0</v>
      </c>
      <c r="L115" s="14">
        <f t="shared" ca="1" si="31"/>
        <v>0</v>
      </c>
      <c r="M115" s="14">
        <f t="shared" ca="1" si="31"/>
        <v>0</v>
      </c>
      <c r="N115" s="14">
        <f t="shared" ca="1" si="31"/>
        <v>0</v>
      </c>
      <c r="O115" s="14">
        <f t="shared" ca="1" si="31"/>
        <v>0</v>
      </c>
      <c r="P115" s="14">
        <f t="shared" ca="1" si="31"/>
        <v>12</v>
      </c>
      <c r="Q115" s="14">
        <f t="shared" ca="1" si="31"/>
        <v>1</v>
      </c>
    </row>
    <row r="116" spans="1:17">
      <c r="A116" s="281" t="s">
        <v>611</v>
      </c>
      <c r="B116" s="77" t="s">
        <v>1464</v>
      </c>
      <c r="C116" s="86">
        <f t="shared" si="29"/>
        <v>138.55577029</v>
      </c>
      <c r="D116" s="77">
        <f>boost_valve_2_diam</f>
        <v>0.5</v>
      </c>
      <c r="E116" s="14" t="str">
        <f>IF(D116&gt;12,"pp_man_eq_large","pp_man_eq_small")</f>
        <v>pp_man_eq_small</v>
      </c>
      <c r="F116" s="14">
        <f t="shared" si="31"/>
        <v>0</v>
      </c>
      <c r="G116" s="14">
        <f t="shared" si="31"/>
        <v>0</v>
      </c>
      <c r="H116" s="14">
        <f t="shared" si="31"/>
        <v>0</v>
      </c>
      <c r="I116" s="14">
        <f t="shared" si="31"/>
        <v>0</v>
      </c>
      <c r="J116" s="14">
        <f t="shared" si="31"/>
        <v>0</v>
      </c>
      <c r="K116" s="14">
        <f t="shared" si="31"/>
        <v>0</v>
      </c>
      <c r="L116" s="14">
        <f t="shared" si="31"/>
        <v>0</v>
      </c>
      <c r="M116" s="14">
        <f t="shared" si="31"/>
        <v>12.117823524</v>
      </c>
      <c r="N116" s="14">
        <f t="shared" si="31"/>
        <v>45.057729000000002</v>
      </c>
      <c r="O116" s="14">
        <f t="shared" si="31"/>
        <v>112.997449909</v>
      </c>
      <c r="P116" s="14">
        <f t="shared" si="31"/>
        <v>12</v>
      </c>
      <c r="Q116" s="14">
        <f t="shared" si="31"/>
        <v>0</v>
      </c>
    </row>
    <row r="117" spans="1:17">
      <c r="A117" s="281" t="s">
        <v>612</v>
      </c>
      <c r="B117" s="77" t="s">
        <v>1465</v>
      </c>
      <c r="C117" s="86">
        <f t="shared" si="29"/>
        <v>143.17039505495234</v>
      </c>
      <c r="D117" s="77">
        <f>boost_valve_2_diam</f>
        <v>0.5</v>
      </c>
      <c r="E117" s="14" t="s">
        <v>1481</v>
      </c>
      <c r="F117" s="14">
        <f t="shared" si="31"/>
        <v>271.98316458599999</v>
      </c>
      <c r="G117" s="14">
        <f t="shared" si="31"/>
        <v>0.92578415199999997</v>
      </c>
      <c r="H117" s="14">
        <f t="shared" si="31"/>
        <v>0</v>
      </c>
      <c r="I117" s="14">
        <f t="shared" si="31"/>
        <v>0</v>
      </c>
      <c r="J117" s="14">
        <f t="shared" si="31"/>
        <v>0</v>
      </c>
      <c r="K117" s="14">
        <f t="shared" si="31"/>
        <v>0</v>
      </c>
      <c r="L117" s="14">
        <f t="shared" si="31"/>
        <v>0</v>
      </c>
      <c r="M117" s="14">
        <f t="shared" si="31"/>
        <v>0</v>
      </c>
      <c r="N117" s="14">
        <f t="shared" si="31"/>
        <v>0</v>
      </c>
      <c r="O117" s="14">
        <f t="shared" si="31"/>
        <v>0</v>
      </c>
      <c r="P117" s="14">
        <f t="shared" si="31"/>
        <v>12.1</v>
      </c>
      <c r="Q117" s="14">
        <f t="shared" si="31"/>
        <v>0</v>
      </c>
    </row>
    <row r="118" spans="1:17">
      <c r="A118" s="281" t="s">
        <v>1454</v>
      </c>
      <c r="B118" s="77" t="s">
        <v>1484</v>
      </c>
      <c r="C118" s="86" t="str">
        <f t="shared" si="29"/>
        <v>contact vendor</v>
      </c>
      <c r="D118" s="77">
        <f>boost_valve_2_diam</f>
        <v>0.5</v>
      </c>
      <c r="E118" s="14" t="str">
        <f>IF(D118&gt;12,"ci_bfv_eq_large","ci_bfv_eq_small")</f>
        <v>ci_bfv_eq_small</v>
      </c>
      <c r="F118" s="14">
        <f t="shared" si="31"/>
        <v>221.77653215199999</v>
      </c>
      <c r="G118" s="14">
        <f t="shared" si="31"/>
        <v>1.0463710340000001</v>
      </c>
      <c r="H118" s="14">
        <f t="shared" si="31"/>
        <v>0</v>
      </c>
      <c r="I118" s="14">
        <f t="shared" si="31"/>
        <v>0</v>
      </c>
      <c r="J118" s="14">
        <f t="shared" si="31"/>
        <v>0</v>
      </c>
      <c r="K118" s="14">
        <f t="shared" si="31"/>
        <v>0</v>
      </c>
      <c r="L118" s="14">
        <f t="shared" si="31"/>
        <v>0</v>
      </c>
      <c r="M118" s="14">
        <f t="shared" si="31"/>
        <v>0</v>
      </c>
      <c r="N118" s="14">
        <f t="shared" si="31"/>
        <v>0</v>
      </c>
      <c r="O118" s="14">
        <f t="shared" si="31"/>
        <v>0</v>
      </c>
      <c r="P118" s="14">
        <f t="shared" si="31"/>
        <v>12</v>
      </c>
      <c r="Q118" s="14">
        <f t="shared" si="31"/>
        <v>1</v>
      </c>
    </row>
    <row r="119" spans="1:17">
      <c r="A119" s="281" t="s">
        <v>613</v>
      </c>
      <c r="B119" s="77" t="s">
        <v>1466</v>
      </c>
      <c r="C119" s="86">
        <f t="shared" si="29"/>
        <v>138.55577029</v>
      </c>
      <c r="D119" s="77">
        <f>boost_valve_3_diam</f>
        <v>0.5</v>
      </c>
      <c r="E119" s="14" t="str">
        <f>IF(D119&gt;12,"pp_man_eq_large","pp_man_eq_small")</f>
        <v>pp_man_eq_small</v>
      </c>
      <c r="F119" s="14">
        <f t="shared" si="31"/>
        <v>0</v>
      </c>
      <c r="G119" s="14">
        <f t="shared" si="31"/>
        <v>0</v>
      </c>
      <c r="H119" s="14">
        <f t="shared" si="31"/>
        <v>0</v>
      </c>
      <c r="I119" s="14">
        <f t="shared" si="31"/>
        <v>0</v>
      </c>
      <c r="J119" s="14">
        <f t="shared" si="31"/>
        <v>0</v>
      </c>
      <c r="K119" s="14">
        <f t="shared" si="31"/>
        <v>0</v>
      </c>
      <c r="L119" s="14">
        <f t="shared" si="31"/>
        <v>0</v>
      </c>
      <c r="M119" s="14">
        <f t="shared" si="31"/>
        <v>12.117823524</v>
      </c>
      <c r="N119" s="14">
        <f t="shared" si="31"/>
        <v>45.057729000000002</v>
      </c>
      <c r="O119" s="14">
        <f t="shared" si="31"/>
        <v>112.997449909</v>
      </c>
      <c r="P119" s="14">
        <f t="shared" si="31"/>
        <v>12</v>
      </c>
      <c r="Q119" s="14">
        <f t="shared" si="31"/>
        <v>0</v>
      </c>
    </row>
    <row r="120" spans="1:17">
      <c r="A120" s="281" t="s">
        <v>614</v>
      </c>
      <c r="B120" s="77" t="s">
        <v>1467</v>
      </c>
      <c r="C120" s="86">
        <f t="shared" si="29"/>
        <v>143.17039505495234</v>
      </c>
      <c r="D120" s="77">
        <f>boost_valve_3_diam</f>
        <v>0.5</v>
      </c>
      <c r="E120" s="14" t="s">
        <v>1481</v>
      </c>
      <c r="F120" s="14">
        <f t="shared" si="31"/>
        <v>271.98316458599999</v>
      </c>
      <c r="G120" s="14">
        <f t="shared" si="31"/>
        <v>0.92578415199999997</v>
      </c>
      <c r="H120" s="14">
        <f t="shared" si="31"/>
        <v>0</v>
      </c>
      <c r="I120" s="14">
        <f t="shared" si="31"/>
        <v>0</v>
      </c>
      <c r="J120" s="14">
        <f t="shared" si="31"/>
        <v>0</v>
      </c>
      <c r="K120" s="14">
        <f t="shared" si="31"/>
        <v>0</v>
      </c>
      <c r="L120" s="14">
        <f t="shared" si="31"/>
        <v>0</v>
      </c>
      <c r="M120" s="14">
        <f t="shared" si="31"/>
        <v>0</v>
      </c>
      <c r="N120" s="14">
        <f t="shared" si="31"/>
        <v>0</v>
      </c>
      <c r="O120" s="14">
        <f t="shared" si="31"/>
        <v>0</v>
      </c>
      <c r="P120" s="14">
        <f t="shared" si="31"/>
        <v>12.1</v>
      </c>
      <c r="Q120" s="14">
        <f t="shared" si="31"/>
        <v>0</v>
      </c>
    </row>
    <row r="121" spans="1:17">
      <c r="A121" s="281" t="s">
        <v>1455</v>
      </c>
      <c r="B121" s="77" t="s">
        <v>1485</v>
      </c>
      <c r="C121" s="86" t="str">
        <f t="shared" si="29"/>
        <v>contact vendor</v>
      </c>
      <c r="D121" s="77">
        <f>boost_valve_3_diam</f>
        <v>0.5</v>
      </c>
      <c r="E121" s="14" t="str">
        <f>IF(D121&gt;12,"ci_bfv_eq_large","ci_bfv_eq_small")</f>
        <v>ci_bfv_eq_small</v>
      </c>
      <c r="F121" s="14">
        <f t="shared" si="31"/>
        <v>221.77653215199999</v>
      </c>
      <c r="G121" s="14">
        <f t="shared" si="31"/>
        <v>1.0463710340000001</v>
      </c>
      <c r="H121" s="14">
        <f t="shared" si="31"/>
        <v>0</v>
      </c>
      <c r="I121" s="14">
        <f t="shared" si="31"/>
        <v>0</v>
      </c>
      <c r="J121" s="14">
        <f t="shared" si="31"/>
        <v>0</v>
      </c>
      <c r="K121" s="14">
        <f t="shared" si="31"/>
        <v>0</v>
      </c>
      <c r="L121" s="14">
        <f t="shared" si="31"/>
        <v>0</v>
      </c>
      <c r="M121" s="14">
        <f t="shared" si="31"/>
        <v>0</v>
      </c>
      <c r="N121" s="14">
        <f t="shared" si="31"/>
        <v>0</v>
      </c>
      <c r="O121" s="14">
        <f t="shared" si="31"/>
        <v>0</v>
      </c>
      <c r="P121" s="14">
        <f t="shared" si="31"/>
        <v>12</v>
      </c>
      <c r="Q121" s="14">
        <f t="shared" si="31"/>
        <v>1</v>
      </c>
    </row>
    <row r="122" spans="1:17">
      <c r="A122" s="281" t="s">
        <v>615</v>
      </c>
      <c r="B122" s="77" t="s">
        <v>1468</v>
      </c>
      <c r="C122" s="86">
        <f t="shared" si="29"/>
        <v>819.58547077300011</v>
      </c>
      <c r="D122" s="77">
        <f>perm_valve_1_diam</f>
        <v>6</v>
      </c>
      <c r="E122" s="14" t="str">
        <f>IF(D122&gt;12,"pp_man_eq_large","pp_man_eq_small")</f>
        <v>pp_man_eq_small</v>
      </c>
      <c r="F122" s="14">
        <f t="shared" si="31"/>
        <v>0</v>
      </c>
      <c r="G122" s="14">
        <f t="shared" si="31"/>
        <v>0</v>
      </c>
      <c r="H122" s="14">
        <f t="shared" si="31"/>
        <v>0</v>
      </c>
      <c r="I122" s="14">
        <f t="shared" si="31"/>
        <v>0</v>
      </c>
      <c r="J122" s="14">
        <f t="shared" si="31"/>
        <v>0</v>
      </c>
      <c r="K122" s="14">
        <f t="shared" si="31"/>
        <v>0</v>
      </c>
      <c r="L122" s="14">
        <f t="shared" si="31"/>
        <v>0</v>
      </c>
      <c r="M122" s="14">
        <f t="shared" si="31"/>
        <v>12.117823524</v>
      </c>
      <c r="N122" s="14">
        <f t="shared" si="31"/>
        <v>45.057729000000002</v>
      </c>
      <c r="O122" s="14">
        <f t="shared" si="31"/>
        <v>112.997449909</v>
      </c>
      <c r="P122" s="14">
        <f t="shared" si="31"/>
        <v>12</v>
      </c>
      <c r="Q122" s="14">
        <f t="shared" si="31"/>
        <v>0</v>
      </c>
    </row>
    <row r="123" spans="1:17">
      <c r="A123" s="281" t="s">
        <v>616</v>
      </c>
      <c r="B123" s="77" t="s">
        <v>1469</v>
      </c>
      <c r="C123" s="86">
        <f t="shared" si="29"/>
        <v>1428.7035309109294</v>
      </c>
      <c r="D123" s="77">
        <f>perm_valve_1_diam</f>
        <v>6</v>
      </c>
      <c r="E123" s="14" t="s">
        <v>1481</v>
      </c>
      <c r="F123" s="14">
        <f t="shared" si="31"/>
        <v>271.98316458599999</v>
      </c>
      <c r="G123" s="14">
        <f t="shared" si="31"/>
        <v>0.92578415199999997</v>
      </c>
      <c r="H123" s="14">
        <f t="shared" si="31"/>
        <v>0</v>
      </c>
      <c r="I123" s="14">
        <f t="shared" si="31"/>
        <v>0</v>
      </c>
      <c r="J123" s="14">
        <f t="shared" si="31"/>
        <v>0</v>
      </c>
      <c r="K123" s="14">
        <f t="shared" si="31"/>
        <v>0</v>
      </c>
      <c r="L123" s="14">
        <f t="shared" si="31"/>
        <v>0</v>
      </c>
      <c r="M123" s="14">
        <f t="shared" si="31"/>
        <v>0</v>
      </c>
      <c r="N123" s="14">
        <f t="shared" si="31"/>
        <v>0</v>
      </c>
      <c r="O123" s="14">
        <f t="shared" si="31"/>
        <v>0</v>
      </c>
      <c r="P123" s="14">
        <f t="shared" si="31"/>
        <v>12.1</v>
      </c>
      <c r="Q123" s="14">
        <f t="shared" si="31"/>
        <v>0</v>
      </c>
    </row>
    <row r="124" spans="1:17">
      <c r="A124" s="281" t="s">
        <v>1528</v>
      </c>
      <c r="B124" s="77" t="s">
        <v>1470</v>
      </c>
      <c r="C124" s="86">
        <f t="shared" si="29"/>
        <v>487.11354229300002</v>
      </c>
      <c r="D124" s="77">
        <f>perm_valve_2_diam</f>
        <v>4</v>
      </c>
      <c r="E124" s="14" t="str">
        <f>IF(D124&gt;12,"pp_man_eq_large","pp_man_eq_small")</f>
        <v>pp_man_eq_small</v>
      </c>
      <c r="F124" s="14">
        <f t="shared" ref="F124:Q135" si="32">VLOOKUP($E124,eq_table_cl,F$4,FALSE)</f>
        <v>0</v>
      </c>
      <c r="G124" s="14">
        <f t="shared" si="32"/>
        <v>0</v>
      </c>
      <c r="H124" s="14">
        <f t="shared" si="32"/>
        <v>0</v>
      </c>
      <c r="I124" s="14">
        <f t="shared" si="32"/>
        <v>0</v>
      </c>
      <c r="J124" s="14">
        <f t="shared" si="32"/>
        <v>0</v>
      </c>
      <c r="K124" s="14">
        <f t="shared" si="32"/>
        <v>0</v>
      </c>
      <c r="L124" s="14">
        <f t="shared" si="32"/>
        <v>0</v>
      </c>
      <c r="M124" s="14">
        <f t="shared" si="32"/>
        <v>12.117823524</v>
      </c>
      <c r="N124" s="14">
        <f t="shared" si="32"/>
        <v>45.057729000000002</v>
      </c>
      <c r="O124" s="14">
        <f t="shared" si="32"/>
        <v>112.997449909</v>
      </c>
      <c r="P124" s="14">
        <f t="shared" si="32"/>
        <v>12</v>
      </c>
      <c r="Q124" s="14">
        <f t="shared" si="32"/>
        <v>0</v>
      </c>
    </row>
    <row r="125" spans="1:17">
      <c r="A125" s="281" t="s">
        <v>1529</v>
      </c>
      <c r="B125" s="77" t="s">
        <v>1471</v>
      </c>
      <c r="C125" s="86">
        <f t="shared" si="29"/>
        <v>981.56625867975288</v>
      </c>
      <c r="D125" s="77">
        <f>perm_valve_2_diam</f>
        <v>4</v>
      </c>
      <c r="E125" s="14" t="s">
        <v>1481</v>
      </c>
      <c r="F125" s="14">
        <f t="shared" si="32"/>
        <v>271.98316458599999</v>
      </c>
      <c r="G125" s="14">
        <f t="shared" si="32"/>
        <v>0.92578415199999997</v>
      </c>
      <c r="H125" s="14">
        <f t="shared" si="32"/>
        <v>0</v>
      </c>
      <c r="I125" s="14">
        <f t="shared" si="32"/>
        <v>0</v>
      </c>
      <c r="J125" s="14">
        <f t="shared" si="32"/>
        <v>0</v>
      </c>
      <c r="K125" s="14">
        <f t="shared" si="32"/>
        <v>0</v>
      </c>
      <c r="L125" s="14">
        <f t="shared" si="32"/>
        <v>0</v>
      </c>
      <c r="M125" s="14">
        <f t="shared" si="32"/>
        <v>0</v>
      </c>
      <c r="N125" s="14">
        <f t="shared" si="32"/>
        <v>0</v>
      </c>
      <c r="O125" s="14">
        <f t="shared" si="32"/>
        <v>0</v>
      </c>
      <c r="P125" s="14">
        <f t="shared" si="32"/>
        <v>12.1</v>
      </c>
      <c r="Q125" s="14">
        <f t="shared" si="32"/>
        <v>0</v>
      </c>
    </row>
    <row r="126" spans="1:17">
      <c r="A126" s="281" t="s">
        <v>1530</v>
      </c>
      <c r="B126" s="77" t="s">
        <v>1472</v>
      </c>
      <c r="C126" s="86">
        <f t="shared" si="29"/>
        <v>0</v>
      </c>
      <c r="D126" s="77">
        <f>perm_valve_3_diam</f>
        <v>0</v>
      </c>
      <c r="E126" s="14" t="str">
        <f>IF(D126&gt;12,"pp_man_eq_large","pp_man_eq_small")</f>
        <v>pp_man_eq_small</v>
      </c>
      <c r="F126" s="14">
        <f t="shared" si="32"/>
        <v>0</v>
      </c>
      <c r="G126" s="14">
        <f t="shared" si="32"/>
        <v>0</v>
      </c>
      <c r="H126" s="14">
        <f t="shared" si="32"/>
        <v>0</v>
      </c>
      <c r="I126" s="14">
        <f t="shared" si="32"/>
        <v>0</v>
      </c>
      <c r="J126" s="14">
        <f t="shared" si="32"/>
        <v>0</v>
      </c>
      <c r="K126" s="14">
        <f t="shared" si="32"/>
        <v>0</v>
      </c>
      <c r="L126" s="14">
        <f t="shared" si="32"/>
        <v>0</v>
      </c>
      <c r="M126" s="14">
        <f t="shared" si="32"/>
        <v>12.117823524</v>
      </c>
      <c r="N126" s="14">
        <f t="shared" si="32"/>
        <v>45.057729000000002</v>
      </c>
      <c r="O126" s="14">
        <f t="shared" si="32"/>
        <v>112.997449909</v>
      </c>
      <c r="P126" s="14">
        <f t="shared" si="32"/>
        <v>12</v>
      </c>
      <c r="Q126" s="14">
        <f t="shared" si="32"/>
        <v>0</v>
      </c>
    </row>
    <row r="127" spans="1:17">
      <c r="A127" s="281" t="s">
        <v>1531</v>
      </c>
      <c r="B127" s="77" t="s">
        <v>1473</v>
      </c>
      <c r="C127" s="86">
        <f t="shared" si="29"/>
        <v>0</v>
      </c>
      <c r="D127" s="77">
        <f>perm_valve_3_diam</f>
        <v>0</v>
      </c>
      <c r="E127" s="14" t="s">
        <v>1481</v>
      </c>
      <c r="F127" s="14">
        <f t="shared" si="32"/>
        <v>271.98316458599999</v>
      </c>
      <c r="G127" s="14">
        <f t="shared" si="32"/>
        <v>0.92578415199999997</v>
      </c>
      <c r="H127" s="14">
        <f t="shared" si="32"/>
        <v>0</v>
      </c>
      <c r="I127" s="14">
        <f t="shared" si="32"/>
        <v>0</v>
      </c>
      <c r="J127" s="14">
        <f t="shared" si="32"/>
        <v>0</v>
      </c>
      <c r="K127" s="14">
        <f t="shared" si="32"/>
        <v>0</v>
      </c>
      <c r="L127" s="14">
        <f t="shared" si="32"/>
        <v>0</v>
      </c>
      <c r="M127" s="14">
        <f t="shared" si="32"/>
        <v>0</v>
      </c>
      <c r="N127" s="14">
        <f t="shared" si="32"/>
        <v>0</v>
      </c>
      <c r="O127" s="14">
        <f t="shared" si="32"/>
        <v>0</v>
      </c>
      <c r="P127" s="14">
        <f t="shared" si="32"/>
        <v>12.1</v>
      </c>
      <c r="Q127" s="14">
        <f t="shared" si="32"/>
        <v>0</v>
      </c>
    </row>
    <row r="128" spans="1:17">
      <c r="A128" s="281" t="s">
        <v>1532</v>
      </c>
      <c r="B128" s="77" t="s">
        <v>1474</v>
      </c>
      <c r="C128" s="86">
        <f t="shared" ca="1" si="29"/>
        <v>487.11354229300002</v>
      </c>
      <c r="D128" s="77">
        <f ca="1">clean_valve_size</f>
        <v>4</v>
      </c>
      <c r="E128" s="14" t="str">
        <f ca="1">IF(D128&gt;12,"pp_man_eq_large","pp_man_eq_small")</f>
        <v>pp_man_eq_small</v>
      </c>
      <c r="F128" s="14">
        <f t="shared" ca="1" si="32"/>
        <v>0</v>
      </c>
      <c r="G128" s="14">
        <f t="shared" ca="1" si="32"/>
        <v>0</v>
      </c>
      <c r="H128" s="14">
        <f t="shared" ca="1" si="32"/>
        <v>0</v>
      </c>
      <c r="I128" s="14">
        <f t="shared" ca="1" si="32"/>
        <v>0</v>
      </c>
      <c r="J128" s="14">
        <f t="shared" ca="1" si="32"/>
        <v>0</v>
      </c>
      <c r="K128" s="14">
        <f t="shared" ca="1" si="32"/>
        <v>0</v>
      </c>
      <c r="L128" s="14">
        <f t="shared" ca="1" si="32"/>
        <v>0</v>
      </c>
      <c r="M128" s="14">
        <f t="shared" ca="1" si="32"/>
        <v>12.117823524</v>
      </c>
      <c r="N128" s="14">
        <f t="shared" ca="1" si="32"/>
        <v>45.057729000000002</v>
      </c>
      <c r="O128" s="14">
        <f t="shared" ca="1" si="32"/>
        <v>112.997449909</v>
      </c>
      <c r="P128" s="14">
        <f t="shared" ca="1" si="32"/>
        <v>12</v>
      </c>
      <c r="Q128" s="14">
        <f t="shared" ca="1" si="32"/>
        <v>0</v>
      </c>
    </row>
    <row r="129" spans="1:17">
      <c r="A129" s="281" t="s">
        <v>1533</v>
      </c>
      <c r="B129" s="77" t="s">
        <v>1475</v>
      </c>
      <c r="C129" s="86">
        <f t="shared" ca="1" si="29"/>
        <v>981.56625867975288</v>
      </c>
      <c r="D129" s="77">
        <f ca="1">clean_valve_size</f>
        <v>4</v>
      </c>
      <c r="E129" s="14" t="s">
        <v>1481</v>
      </c>
      <c r="F129" s="14">
        <f t="shared" si="32"/>
        <v>271.98316458599999</v>
      </c>
      <c r="G129" s="14">
        <f t="shared" si="32"/>
        <v>0.92578415199999997</v>
      </c>
      <c r="H129" s="14">
        <f t="shared" si="32"/>
        <v>0</v>
      </c>
      <c r="I129" s="14">
        <f t="shared" si="32"/>
        <v>0</v>
      </c>
      <c r="J129" s="14">
        <f t="shared" si="32"/>
        <v>0</v>
      </c>
      <c r="K129" s="14">
        <f t="shared" si="32"/>
        <v>0</v>
      </c>
      <c r="L129" s="14">
        <f t="shared" si="32"/>
        <v>0</v>
      </c>
      <c r="M129" s="14">
        <f t="shared" si="32"/>
        <v>0</v>
      </c>
      <c r="N129" s="14">
        <f t="shared" si="32"/>
        <v>0</v>
      </c>
      <c r="O129" s="14">
        <f t="shared" si="32"/>
        <v>0</v>
      </c>
      <c r="P129" s="14">
        <f t="shared" si="32"/>
        <v>12.1</v>
      </c>
      <c r="Q129" s="14">
        <f t="shared" si="32"/>
        <v>0</v>
      </c>
    </row>
    <row r="130" spans="1:17">
      <c r="A130" s="281" t="s">
        <v>1537</v>
      </c>
      <c r="B130" s="14" t="s">
        <v>1476</v>
      </c>
      <c r="C130" s="86">
        <f t="shared" si="29"/>
        <v>0</v>
      </c>
      <c r="D130" s="77">
        <f>bypass_valve_size</f>
        <v>0</v>
      </c>
      <c r="E130" s="14" t="str">
        <f>IF(D130&gt;12,"pp_man_eq_large","pp_man_eq_small")</f>
        <v>pp_man_eq_small</v>
      </c>
      <c r="F130" s="14">
        <f t="shared" si="32"/>
        <v>0</v>
      </c>
      <c r="G130" s="14">
        <f t="shared" si="32"/>
        <v>0</v>
      </c>
      <c r="H130" s="14">
        <f t="shared" si="32"/>
        <v>0</v>
      </c>
      <c r="I130" s="14">
        <f t="shared" si="32"/>
        <v>0</v>
      </c>
      <c r="J130" s="14">
        <f t="shared" si="32"/>
        <v>0</v>
      </c>
      <c r="K130" s="14">
        <f t="shared" si="32"/>
        <v>0</v>
      </c>
      <c r="L130" s="14">
        <f t="shared" si="32"/>
        <v>0</v>
      </c>
      <c r="M130" s="14">
        <f t="shared" si="32"/>
        <v>12.117823524</v>
      </c>
      <c r="N130" s="14">
        <f t="shared" si="32"/>
        <v>45.057729000000002</v>
      </c>
      <c r="O130" s="14">
        <f t="shared" si="32"/>
        <v>112.997449909</v>
      </c>
      <c r="P130" s="14">
        <f t="shared" si="32"/>
        <v>12</v>
      </c>
      <c r="Q130" s="14">
        <f t="shared" si="32"/>
        <v>0</v>
      </c>
    </row>
    <row r="131" spans="1:17">
      <c r="A131" s="281" t="s">
        <v>1538</v>
      </c>
      <c r="B131" s="14" t="s">
        <v>1477</v>
      </c>
      <c r="C131" s="86">
        <f t="shared" si="29"/>
        <v>0</v>
      </c>
      <c r="D131" s="77">
        <f>bypass_valve_size</f>
        <v>0</v>
      </c>
      <c r="E131" s="14" t="s">
        <v>1481</v>
      </c>
      <c r="F131" s="14">
        <f t="shared" si="32"/>
        <v>271.98316458599999</v>
      </c>
      <c r="G131" s="14">
        <f t="shared" si="32"/>
        <v>0.92578415199999997</v>
      </c>
      <c r="H131" s="14">
        <f t="shared" si="32"/>
        <v>0</v>
      </c>
      <c r="I131" s="14">
        <f t="shared" si="32"/>
        <v>0</v>
      </c>
      <c r="J131" s="14">
        <f t="shared" si="32"/>
        <v>0</v>
      </c>
      <c r="K131" s="14">
        <f t="shared" si="32"/>
        <v>0</v>
      </c>
      <c r="L131" s="14">
        <f t="shared" si="32"/>
        <v>0</v>
      </c>
      <c r="M131" s="14">
        <f t="shared" si="32"/>
        <v>0</v>
      </c>
      <c r="N131" s="14">
        <f t="shared" si="32"/>
        <v>0</v>
      </c>
      <c r="O131" s="14">
        <f t="shared" si="32"/>
        <v>0</v>
      </c>
      <c r="P131" s="14">
        <f t="shared" si="32"/>
        <v>12.1</v>
      </c>
      <c r="Q131" s="14">
        <f t="shared" si="32"/>
        <v>0</v>
      </c>
    </row>
    <row r="132" spans="1:17">
      <c r="A132" s="281" t="s">
        <v>1601</v>
      </c>
      <c r="B132" s="14" t="s">
        <v>1486</v>
      </c>
      <c r="C132" s="86">
        <f t="shared" si="29"/>
        <v>0</v>
      </c>
      <c r="D132" s="77">
        <f>bypass_valve_size</f>
        <v>0</v>
      </c>
      <c r="E132" s="14" t="str">
        <f>IF(D132&gt;12,"ci_bfv_eq_large","ci_bfv_eq_small")</f>
        <v>ci_bfv_eq_small</v>
      </c>
      <c r="F132" s="14">
        <f t="shared" si="32"/>
        <v>221.77653215199999</v>
      </c>
      <c r="G132" s="14">
        <f t="shared" si="32"/>
        <v>1.0463710340000001</v>
      </c>
      <c r="H132" s="14">
        <f t="shared" si="32"/>
        <v>0</v>
      </c>
      <c r="I132" s="14">
        <f t="shared" si="32"/>
        <v>0</v>
      </c>
      <c r="J132" s="14">
        <f t="shared" si="32"/>
        <v>0</v>
      </c>
      <c r="K132" s="14">
        <f t="shared" si="32"/>
        <v>0</v>
      </c>
      <c r="L132" s="14">
        <f t="shared" si="32"/>
        <v>0</v>
      </c>
      <c r="M132" s="14">
        <f t="shared" si="32"/>
        <v>0</v>
      </c>
      <c r="N132" s="14">
        <f t="shared" si="32"/>
        <v>0</v>
      </c>
      <c r="O132" s="14">
        <f t="shared" si="32"/>
        <v>0</v>
      </c>
      <c r="P132" s="14">
        <f t="shared" si="32"/>
        <v>12</v>
      </c>
      <c r="Q132" s="14">
        <f t="shared" si="32"/>
        <v>1</v>
      </c>
    </row>
    <row r="133" spans="1:17">
      <c r="A133" s="278" t="s">
        <v>1534</v>
      </c>
      <c r="B133" s="14" t="s">
        <v>1478</v>
      </c>
      <c r="C133" s="86">
        <f t="shared" ca="1" si="29"/>
        <v>819.58547077300011</v>
      </c>
      <c r="D133" s="77">
        <f ca="1">res_valve_size</f>
        <v>6</v>
      </c>
      <c r="E133" s="14" t="str">
        <f ca="1">IF(D133&gt;12,"pp_man_eq_large","pp_man_eq_small")</f>
        <v>pp_man_eq_small</v>
      </c>
      <c r="F133" s="14">
        <f t="shared" ca="1" si="32"/>
        <v>0</v>
      </c>
      <c r="G133" s="14">
        <f t="shared" ca="1" si="32"/>
        <v>0</v>
      </c>
      <c r="H133" s="14">
        <f t="shared" ca="1" si="32"/>
        <v>0</v>
      </c>
      <c r="I133" s="14">
        <f t="shared" ca="1" si="32"/>
        <v>0</v>
      </c>
      <c r="J133" s="14">
        <f t="shared" ca="1" si="32"/>
        <v>0</v>
      </c>
      <c r="K133" s="14">
        <f t="shared" ca="1" si="32"/>
        <v>0</v>
      </c>
      <c r="L133" s="14">
        <f t="shared" ca="1" si="32"/>
        <v>0</v>
      </c>
      <c r="M133" s="14">
        <f t="shared" ca="1" si="32"/>
        <v>12.117823524</v>
      </c>
      <c r="N133" s="14">
        <f t="shared" ca="1" si="32"/>
        <v>45.057729000000002</v>
      </c>
      <c r="O133" s="14">
        <f t="shared" ca="1" si="32"/>
        <v>112.997449909</v>
      </c>
      <c r="P133" s="14">
        <f t="shared" ca="1" si="32"/>
        <v>12</v>
      </c>
      <c r="Q133" s="14">
        <f t="shared" ca="1" si="32"/>
        <v>0</v>
      </c>
    </row>
    <row r="134" spans="1:17">
      <c r="A134" s="251" t="s">
        <v>1535</v>
      </c>
      <c r="B134" s="14" t="s">
        <v>1479</v>
      </c>
      <c r="C134" s="86">
        <f t="shared" ca="1" si="29"/>
        <v>1428.7035309109294</v>
      </c>
      <c r="D134" s="77">
        <f ca="1">res_valve_size</f>
        <v>6</v>
      </c>
      <c r="E134" s="14" t="s">
        <v>1481</v>
      </c>
      <c r="F134" s="14">
        <f t="shared" si="32"/>
        <v>271.98316458599999</v>
      </c>
      <c r="G134" s="14">
        <f t="shared" si="32"/>
        <v>0.92578415199999997</v>
      </c>
      <c r="H134" s="14">
        <f t="shared" si="32"/>
        <v>0</v>
      </c>
      <c r="I134" s="14">
        <f t="shared" si="32"/>
        <v>0</v>
      </c>
      <c r="J134" s="14">
        <f t="shared" si="32"/>
        <v>0</v>
      </c>
      <c r="K134" s="14">
        <f t="shared" si="32"/>
        <v>0</v>
      </c>
      <c r="L134" s="14">
        <f t="shared" si="32"/>
        <v>0</v>
      </c>
      <c r="M134" s="14">
        <f t="shared" si="32"/>
        <v>0</v>
      </c>
      <c r="N134" s="14">
        <f t="shared" si="32"/>
        <v>0</v>
      </c>
      <c r="O134" s="14">
        <f t="shared" si="32"/>
        <v>0</v>
      </c>
      <c r="P134" s="14">
        <f t="shared" si="32"/>
        <v>12.1</v>
      </c>
      <c r="Q134" s="14">
        <f t="shared" si="32"/>
        <v>0</v>
      </c>
    </row>
    <row r="135" spans="1:17">
      <c r="A135" s="251" t="s">
        <v>1536</v>
      </c>
      <c r="B135" s="14" t="s">
        <v>1487</v>
      </c>
      <c r="C135" s="86">
        <f t="shared" ca="1" si="29"/>
        <v>1445.9408146195228</v>
      </c>
      <c r="D135" s="77">
        <f ca="1">res_valve_size</f>
        <v>6</v>
      </c>
      <c r="E135" s="14" t="str">
        <f ca="1">IF(D135&gt;12,"ci_bfv_eq_large","ci_bfv_eq_small")</f>
        <v>ci_bfv_eq_small</v>
      </c>
      <c r="F135" s="14">
        <f t="shared" ca="1" si="32"/>
        <v>221.77653215199999</v>
      </c>
      <c r="G135" s="14">
        <f t="shared" ca="1" si="32"/>
        <v>1.0463710340000001</v>
      </c>
      <c r="H135" s="14">
        <f t="shared" ca="1" si="32"/>
        <v>0</v>
      </c>
      <c r="I135" s="14">
        <f t="shared" ca="1" si="32"/>
        <v>0</v>
      </c>
      <c r="J135" s="14">
        <f t="shared" ca="1" si="32"/>
        <v>0</v>
      </c>
      <c r="K135" s="14">
        <f t="shared" ca="1" si="32"/>
        <v>0</v>
      </c>
      <c r="L135" s="14">
        <f t="shared" ca="1" si="32"/>
        <v>0</v>
      </c>
      <c r="M135" s="14">
        <f t="shared" ca="1" si="32"/>
        <v>0</v>
      </c>
      <c r="N135" s="14">
        <f t="shared" ca="1" si="32"/>
        <v>0</v>
      </c>
      <c r="O135" s="14">
        <f t="shared" ca="1" si="32"/>
        <v>0</v>
      </c>
      <c r="P135" s="14">
        <f t="shared" ca="1" si="32"/>
        <v>12</v>
      </c>
      <c r="Q135" s="14">
        <f t="shared" ca="1" si="32"/>
        <v>1</v>
      </c>
    </row>
    <row r="136" spans="1:17">
      <c r="A136" s="228" t="s">
        <v>1603</v>
      </c>
    </row>
    <row r="137" spans="1:17">
      <c r="A137" s="266" t="s">
        <v>1534</v>
      </c>
      <c r="B137" s="14" t="s">
        <v>2472</v>
      </c>
      <c r="C137" s="86">
        <f t="shared" ref="C137:C151" ca="1" si="33">IF(D137=0,0,IF(OR(D137&gt;P137,D137&lt;Q137),"contact vendor",F137*D137^G137+H137*LN(D137)+I137+J137*EXP(K137*D137)+L137*D137^3+M137*D137^2+N137*D137+O137))</f>
        <v>1226.2284409620001</v>
      </c>
      <c r="D137" s="77">
        <f ca="1">res_valve_size</f>
        <v>6</v>
      </c>
      <c r="E137" s="14" t="s">
        <v>2473</v>
      </c>
      <c r="F137" s="14">
        <f t="shared" ref="F137:Q151" si="34">VLOOKUP($E137,eq_table_cl,F$4,FALSE)</f>
        <v>0</v>
      </c>
      <c r="G137" s="14">
        <f t="shared" si="34"/>
        <v>0</v>
      </c>
      <c r="H137" s="14">
        <f t="shared" si="34"/>
        <v>0</v>
      </c>
      <c r="I137" s="14">
        <f t="shared" si="34"/>
        <v>0</v>
      </c>
      <c r="J137" s="14">
        <f t="shared" si="34"/>
        <v>0</v>
      </c>
      <c r="K137" s="14">
        <f t="shared" si="34"/>
        <v>0</v>
      </c>
      <c r="L137" s="14">
        <f t="shared" si="34"/>
        <v>0</v>
      </c>
      <c r="M137" s="14">
        <f t="shared" si="34"/>
        <v>23.867181313</v>
      </c>
      <c r="N137" s="14">
        <f t="shared" si="34"/>
        <v>53.974127154000001</v>
      </c>
      <c r="O137" s="14">
        <f t="shared" si="34"/>
        <v>43.165150769999997</v>
      </c>
      <c r="P137" s="14">
        <f t="shared" si="34"/>
        <v>12.1</v>
      </c>
      <c r="Q137" s="14">
        <f t="shared" si="34"/>
        <v>0</v>
      </c>
    </row>
    <row r="138" spans="1:17">
      <c r="A138" s="263" t="s">
        <v>1535</v>
      </c>
      <c r="B138" s="14" t="s">
        <v>4128</v>
      </c>
      <c r="C138" s="86">
        <f t="shared" ca="1" si="33"/>
        <v>2809.4367461900001</v>
      </c>
      <c r="D138" s="77">
        <f ca="1">res_valve_size</f>
        <v>6</v>
      </c>
      <c r="E138" s="14" t="s">
        <v>4129</v>
      </c>
      <c r="F138" s="14">
        <f t="shared" si="34"/>
        <v>0</v>
      </c>
      <c r="G138" s="14">
        <f t="shared" si="34"/>
        <v>0</v>
      </c>
      <c r="H138" s="14">
        <f t="shared" si="34"/>
        <v>0</v>
      </c>
      <c r="I138" s="14">
        <f t="shared" si="34"/>
        <v>0</v>
      </c>
      <c r="J138" s="14">
        <f t="shared" si="34"/>
        <v>0</v>
      </c>
      <c r="K138" s="14">
        <f t="shared" si="34"/>
        <v>0</v>
      </c>
      <c r="L138" s="14">
        <f t="shared" si="34"/>
        <v>0</v>
      </c>
      <c r="M138" s="14">
        <f t="shared" si="34"/>
        <v>43.739370735000001</v>
      </c>
      <c r="N138" s="14">
        <f t="shared" si="34"/>
        <v>186.790998664</v>
      </c>
      <c r="O138" s="14">
        <f t="shared" si="34"/>
        <v>114.073407746</v>
      </c>
      <c r="P138" s="14">
        <f t="shared" si="34"/>
        <v>48.1</v>
      </c>
      <c r="Q138" s="14">
        <f t="shared" si="34"/>
        <v>0</v>
      </c>
    </row>
    <row r="139" spans="1:17">
      <c r="A139" s="263" t="s">
        <v>1536</v>
      </c>
      <c r="B139" s="14" t="s">
        <v>4130</v>
      </c>
      <c r="C139" s="86">
        <f t="shared" ca="1" si="33"/>
        <v>2862.6188274380002</v>
      </c>
      <c r="D139" s="77">
        <f ca="1">res_valve_size</f>
        <v>6</v>
      </c>
      <c r="E139" s="14" t="s">
        <v>4131</v>
      </c>
      <c r="F139" s="14">
        <f t="shared" si="34"/>
        <v>0</v>
      </c>
      <c r="G139" s="14">
        <f t="shared" si="34"/>
        <v>0</v>
      </c>
      <c r="H139" s="14">
        <f t="shared" si="34"/>
        <v>0</v>
      </c>
      <c r="I139" s="14">
        <f t="shared" si="34"/>
        <v>0</v>
      </c>
      <c r="J139" s="14">
        <f t="shared" si="34"/>
        <v>0</v>
      </c>
      <c r="K139" s="14">
        <f t="shared" si="34"/>
        <v>0</v>
      </c>
      <c r="L139" s="14">
        <f t="shared" si="34"/>
        <v>3.240756524</v>
      </c>
      <c r="M139" s="14">
        <f t="shared" si="34"/>
        <v>50.118205304</v>
      </c>
      <c r="N139" s="14">
        <f t="shared" si="34"/>
        <v>-32.545647099999996</v>
      </c>
      <c r="O139" s="14">
        <f t="shared" si="34"/>
        <v>553.63390991000006</v>
      </c>
      <c r="P139" s="14">
        <f t="shared" si="34"/>
        <v>24.1</v>
      </c>
      <c r="Q139" s="14">
        <f t="shared" si="34"/>
        <v>2</v>
      </c>
    </row>
    <row r="140" spans="1:17">
      <c r="A140" s="281" t="s">
        <v>5548</v>
      </c>
      <c r="B140" s="14" t="s">
        <v>1488</v>
      </c>
      <c r="C140" s="86">
        <f t="shared" si="33"/>
        <v>2969.62455361</v>
      </c>
      <c r="D140" s="77">
        <f>in_valve_size</f>
        <v>10</v>
      </c>
      <c r="E140" s="14" t="s">
        <v>2473</v>
      </c>
      <c r="F140" s="14">
        <f t="shared" si="34"/>
        <v>0</v>
      </c>
      <c r="G140" s="14">
        <f t="shared" si="34"/>
        <v>0</v>
      </c>
      <c r="H140" s="14">
        <f t="shared" si="34"/>
        <v>0</v>
      </c>
      <c r="I140" s="14">
        <f t="shared" si="34"/>
        <v>0</v>
      </c>
      <c r="J140" s="14">
        <f t="shared" si="34"/>
        <v>0</v>
      </c>
      <c r="K140" s="14">
        <f t="shared" si="34"/>
        <v>0</v>
      </c>
      <c r="L140" s="14">
        <f t="shared" si="34"/>
        <v>0</v>
      </c>
      <c r="M140" s="14">
        <f t="shared" si="34"/>
        <v>23.867181313</v>
      </c>
      <c r="N140" s="14">
        <f t="shared" si="34"/>
        <v>53.974127154000001</v>
      </c>
      <c r="O140" s="14">
        <f t="shared" si="34"/>
        <v>43.165150769999997</v>
      </c>
      <c r="P140" s="14">
        <f t="shared" si="34"/>
        <v>12.1</v>
      </c>
      <c r="Q140" s="14">
        <f t="shared" si="34"/>
        <v>0</v>
      </c>
    </row>
    <row r="141" spans="1:17">
      <c r="A141" s="281" t="s">
        <v>5549</v>
      </c>
      <c r="B141" s="14" t="s">
        <v>1489</v>
      </c>
      <c r="C141" s="86">
        <f t="shared" si="33"/>
        <v>6355.9204678860006</v>
      </c>
      <c r="D141" s="77">
        <f>in_valve_size</f>
        <v>10</v>
      </c>
      <c r="E141" s="14" t="s">
        <v>4129</v>
      </c>
      <c r="F141" s="14">
        <f t="shared" si="34"/>
        <v>0</v>
      </c>
      <c r="G141" s="14">
        <f t="shared" si="34"/>
        <v>0</v>
      </c>
      <c r="H141" s="14">
        <f t="shared" si="34"/>
        <v>0</v>
      </c>
      <c r="I141" s="14">
        <f t="shared" si="34"/>
        <v>0</v>
      </c>
      <c r="J141" s="14">
        <f t="shared" si="34"/>
        <v>0</v>
      </c>
      <c r="K141" s="14">
        <f t="shared" si="34"/>
        <v>0</v>
      </c>
      <c r="L141" s="14">
        <f t="shared" si="34"/>
        <v>0</v>
      </c>
      <c r="M141" s="14">
        <f t="shared" si="34"/>
        <v>43.739370735000001</v>
      </c>
      <c r="N141" s="14">
        <f t="shared" si="34"/>
        <v>186.790998664</v>
      </c>
      <c r="O141" s="14">
        <f t="shared" si="34"/>
        <v>114.073407746</v>
      </c>
      <c r="P141" s="14">
        <f t="shared" si="34"/>
        <v>48.1</v>
      </c>
      <c r="Q141" s="14">
        <f t="shared" si="34"/>
        <v>0</v>
      </c>
    </row>
    <row r="142" spans="1:17">
      <c r="A142" s="281" t="s">
        <v>5550</v>
      </c>
      <c r="B142" s="14" t="s">
        <v>1490</v>
      </c>
      <c r="C142" s="86">
        <f t="shared" si="33"/>
        <v>8480.7544933100016</v>
      </c>
      <c r="D142" s="77">
        <f>in_valve_size</f>
        <v>10</v>
      </c>
      <c r="E142" s="14" t="s">
        <v>4131</v>
      </c>
      <c r="F142" s="14">
        <f t="shared" si="34"/>
        <v>0</v>
      </c>
      <c r="G142" s="14">
        <f t="shared" si="34"/>
        <v>0</v>
      </c>
      <c r="H142" s="14">
        <f t="shared" si="34"/>
        <v>0</v>
      </c>
      <c r="I142" s="14">
        <f t="shared" si="34"/>
        <v>0</v>
      </c>
      <c r="J142" s="14">
        <f t="shared" si="34"/>
        <v>0</v>
      </c>
      <c r="K142" s="14">
        <f t="shared" si="34"/>
        <v>0</v>
      </c>
      <c r="L142" s="14">
        <f t="shared" si="34"/>
        <v>3.240756524</v>
      </c>
      <c r="M142" s="14">
        <f t="shared" si="34"/>
        <v>50.118205304</v>
      </c>
      <c r="N142" s="14">
        <f t="shared" si="34"/>
        <v>-32.545647099999996</v>
      </c>
      <c r="O142" s="14">
        <f t="shared" si="34"/>
        <v>553.63390991000006</v>
      </c>
      <c r="P142" s="14">
        <f t="shared" si="34"/>
        <v>24.1</v>
      </c>
      <c r="Q142" s="14">
        <f t="shared" si="34"/>
        <v>2</v>
      </c>
    </row>
    <row r="143" spans="1:17">
      <c r="A143" s="281" t="s">
        <v>1537</v>
      </c>
      <c r="B143" s="14" t="s">
        <v>2766</v>
      </c>
      <c r="C143" s="86">
        <f t="shared" si="33"/>
        <v>0</v>
      </c>
      <c r="D143" s="77">
        <f>bypass_valve_size</f>
        <v>0</v>
      </c>
      <c r="E143" s="14" t="s">
        <v>2473</v>
      </c>
      <c r="F143" s="14">
        <f t="shared" si="34"/>
        <v>0</v>
      </c>
      <c r="G143" s="14">
        <f t="shared" si="34"/>
        <v>0</v>
      </c>
      <c r="H143" s="14">
        <f t="shared" si="34"/>
        <v>0</v>
      </c>
      <c r="I143" s="14">
        <f t="shared" si="34"/>
        <v>0</v>
      </c>
      <c r="J143" s="14">
        <f t="shared" si="34"/>
        <v>0</v>
      </c>
      <c r="K143" s="14">
        <f t="shared" si="34"/>
        <v>0</v>
      </c>
      <c r="L143" s="14">
        <f t="shared" si="34"/>
        <v>0</v>
      </c>
      <c r="M143" s="14">
        <f t="shared" si="34"/>
        <v>23.867181313</v>
      </c>
      <c r="N143" s="14">
        <f t="shared" si="34"/>
        <v>53.974127154000001</v>
      </c>
      <c r="O143" s="14">
        <f t="shared" si="34"/>
        <v>43.165150769999997</v>
      </c>
      <c r="P143" s="14">
        <f t="shared" si="34"/>
        <v>12.1</v>
      </c>
      <c r="Q143" s="14">
        <f t="shared" si="34"/>
        <v>0</v>
      </c>
    </row>
    <row r="144" spans="1:17">
      <c r="A144" s="281" t="s">
        <v>1538</v>
      </c>
      <c r="B144" s="14" t="s">
        <v>2767</v>
      </c>
      <c r="C144" s="86">
        <f t="shared" si="33"/>
        <v>0</v>
      </c>
      <c r="D144" s="77">
        <f>bypass_valve_size</f>
        <v>0</v>
      </c>
      <c r="E144" s="14" t="s">
        <v>4129</v>
      </c>
      <c r="F144" s="14">
        <f t="shared" si="34"/>
        <v>0</v>
      </c>
      <c r="G144" s="14">
        <f t="shared" si="34"/>
        <v>0</v>
      </c>
      <c r="H144" s="14">
        <f t="shared" si="34"/>
        <v>0</v>
      </c>
      <c r="I144" s="14">
        <f t="shared" si="34"/>
        <v>0</v>
      </c>
      <c r="J144" s="14">
        <f t="shared" si="34"/>
        <v>0</v>
      </c>
      <c r="K144" s="14">
        <f t="shared" si="34"/>
        <v>0</v>
      </c>
      <c r="L144" s="14">
        <f t="shared" si="34"/>
        <v>0</v>
      </c>
      <c r="M144" s="14">
        <f t="shared" si="34"/>
        <v>43.739370735000001</v>
      </c>
      <c r="N144" s="14">
        <f t="shared" si="34"/>
        <v>186.790998664</v>
      </c>
      <c r="O144" s="14">
        <f t="shared" si="34"/>
        <v>114.073407746</v>
      </c>
      <c r="P144" s="14">
        <f t="shared" si="34"/>
        <v>48.1</v>
      </c>
      <c r="Q144" s="14">
        <f t="shared" si="34"/>
        <v>0</v>
      </c>
    </row>
    <row r="145" spans="1:17">
      <c r="A145" s="281" t="s">
        <v>1601</v>
      </c>
      <c r="B145" s="14" t="s">
        <v>2768</v>
      </c>
      <c r="C145" s="86">
        <f t="shared" si="33"/>
        <v>0</v>
      </c>
      <c r="D145" s="77">
        <f>bypass_valve_size</f>
        <v>0</v>
      </c>
      <c r="E145" s="14" t="s">
        <v>4131</v>
      </c>
      <c r="F145" s="14">
        <f t="shared" si="34"/>
        <v>0</v>
      </c>
      <c r="G145" s="14">
        <f t="shared" si="34"/>
        <v>0</v>
      </c>
      <c r="H145" s="14">
        <f t="shared" si="34"/>
        <v>0</v>
      </c>
      <c r="I145" s="14">
        <f t="shared" si="34"/>
        <v>0</v>
      </c>
      <c r="J145" s="14">
        <f t="shared" si="34"/>
        <v>0</v>
      </c>
      <c r="K145" s="14">
        <f t="shared" si="34"/>
        <v>0</v>
      </c>
      <c r="L145" s="14">
        <f t="shared" si="34"/>
        <v>3.240756524</v>
      </c>
      <c r="M145" s="14">
        <f t="shared" si="34"/>
        <v>50.118205304</v>
      </c>
      <c r="N145" s="14">
        <f t="shared" si="34"/>
        <v>-32.545647099999996</v>
      </c>
      <c r="O145" s="14">
        <f t="shared" si="34"/>
        <v>553.63390991000006</v>
      </c>
      <c r="P145" s="14">
        <f t="shared" si="34"/>
        <v>24.1</v>
      </c>
      <c r="Q145" s="14">
        <f t="shared" si="34"/>
        <v>2</v>
      </c>
    </row>
    <row r="146" spans="1:17">
      <c r="A146" s="281" t="s">
        <v>5094</v>
      </c>
      <c r="B146" s="28" t="s">
        <v>5096</v>
      </c>
      <c r="C146" s="86">
        <f t="shared" ca="1" si="33"/>
        <v>1226.2284409620001</v>
      </c>
      <c r="D146" s="77">
        <f ca="1">feed_valve_size</f>
        <v>6</v>
      </c>
      <c r="E146" s="14" t="s">
        <v>2473</v>
      </c>
      <c r="F146" s="14">
        <f t="shared" si="34"/>
        <v>0</v>
      </c>
      <c r="G146" s="14">
        <f t="shared" si="34"/>
        <v>0</v>
      </c>
      <c r="H146" s="14">
        <f t="shared" si="34"/>
        <v>0</v>
      </c>
      <c r="I146" s="14">
        <f t="shared" si="34"/>
        <v>0</v>
      </c>
      <c r="J146" s="14">
        <f t="shared" si="34"/>
        <v>0</v>
      </c>
      <c r="K146" s="14">
        <f t="shared" si="34"/>
        <v>0</v>
      </c>
      <c r="L146" s="14">
        <f t="shared" si="34"/>
        <v>0</v>
      </c>
      <c r="M146" s="14">
        <f t="shared" si="34"/>
        <v>23.867181313</v>
      </c>
      <c r="N146" s="14">
        <f t="shared" si="34"/>
        <v>53.974127154000001</v>
      </c>
      <c r="O146" s="14">
        <f t="shared" si="34"/>
        <v>43.165150769999997</v>
      </c>
      <c r="P146" s="14">
        <f t="shared" si="34"/>
        <v>12.1</v>
      </c>
      <c r="Q146" s="14">
        <f t="shared" si="34"/>
        <v>0</v>
      </c>
    </row>
    <row r="147" spans="1:17">
      <c r="A147" s="281" t="s">
        <v>4569</v>
      </c>
      <c r="B147" s="28" t="s">
        <v>5097</v>
      </c>
      <c r="C147" s="86">
        <f t="shared" ca="1" si="33"/>
        <v>2809.4367461900001</v>
      </c>
      <c r="D147" s="77">
        <f ca="1">feed_valve_size</f>
        <v>6</v>
      </c>
      <c r="E147" s="14" t="s">
        <v>4129</v>
      </c>
      <c r="F147" s="14">
        <f t="shared" si="34"/>
        <v>0</v>
      </c>
      <c r="G147" s="14">
        <f t="shared" si="34"/>
        <v>0</v>
      </c>
      <c r="H147" s="14">
        <f t="shared" si="34"/>
        <v>0</v>
      </c>
      <c r="I147" s="14">
        <f t="shared" si="34"/>
        <v>0</v>
      </c>
      <c r="J147" s="14">
        <f t="shared" si="34"/>
        <v>0</v>
      </c>
      <c r="K147" s="14">
        <f t="shared" si="34"/>
        <v>0</v>
      </c>
      <c r="L147" s="14">
        <f t="shared" si="34"/>
        <v>0</v>
      </c>
      <c r="M147" s="14">
        <f t="shared" si="34"/>
        <v>43.739370735000001</v>
      </c>
      <c r="N147" s="14">
        <f t="shared" si="34"/>
        <v>186.790998664</v>
      </c>
      <c r="O147" s="14">
        <f t="shared" si="34"/>
        <v>114.073407746</v>
      </c>
      <c r="P147" s="14">
        <f t="shared" si="34"/>
        <v>48.1</v>
      </c>
      <c r="Q147" s="14">
        <f t="shared" si="34"/>
        <v>0</v>
      </c>
    </row>
    <row r="148" spans="1:17">
      <c r="A148" s="281" t="s">
        <v>5095</v>
      </c>
      <c r="B148" s="28" t="s">
        <v>5098</v>
      </c>
      <c r="C148" s="86">
        <f t="shared" ca="1" si="33"/>
        <v>2862.6188274380002</v>
      </c>
      <c r="D148" s="77">
        <f ca="1">feed_valve_size</f>
        <v>6</v>
      </c>
      <c r="E148" s="14" t="s">
        <v>4131</v>
      </c>
      <c r="F148" s="14">
        <f t="shared" si="34"/>
        <v>0</v>
      </c>
      <c r="G148" s="14">
        <f t="shared" si="34"/>
        <v>0</v>
      </c>
      <c r="H148" s="14">
        <f t="shared" si="34"/>
        <v>0</v>
      </c>
      <c r="I148" s="14">
        <f t="shared" si="34"/>
        <v>0</v>
      </c>
      <c r="J148" s="14">
        <f t="shared" si="34"/>
        <v>0</v>
      </c>
      <c r="K148" s="14">
        <f t="shared" si="34"/>
        <v>0</v>
      </c>
      <c r="L148" s="14">
        <f t="shared" si="34"/>
        <v>3.240756524</v>
      </c>
      <c r="M148" s="14">
        <f t="shared" si="34"/>
        <v>50.118205304</v>
      </c>
      <c r="N148" s="14">
        <f t="shared" si="34"/>
        <v>-32.545647099999996</v>
      </c>
      <c r="O148" s="14">
        <f t="shared" si="34"/>
        <v>553.63390991000006</v>
      </c>
      <c r="P148" s="14">
        <f t="shared" si="34"/>
        <v>24.1</v>
      </c>
      <c r="Q148" s="14">
        <f t="shared" si="34"/>
        <v>2</v>
      </c>
    </row>
    <row r="149" spans="1:17">
      <c r="A149" s="281" t="s">
        <v>1532</v>
      </c>
      <c r="B149" s="28" t="s">
        <v>5099</v>
      </c>
      <c r="C149" s="86">
        <f t="shared" ca="1" si="33"/>
        <v>640.93656039399991</v>
      </c>
      <c r="D149" s="77">
        <f ca="1">clean_valve_size</f>
        <v>4</v>
      </c>
      <c r="E149" s="14" t="s">
        <v>2473</v>
      </c>
      <c r="F149" s="14">
        <f t="shared" si="34"/>
        <v>0</v>
      </c>
      <c r="G149" s="14">
        <f t="shared" si="34"/>
        <v>0</v>
      </c>
      <c r="H149" s="14">
        <f t="shared" si="34"/>
        <v>0</v>
      </c>
      <c r="I149" s="14">
        <f t="shared" si="34"/>
        <v>0</v>
      </c>
      <c r="J149" s="14">
        <f t="shared" si="34"/>
        <v>0</v>
      </c>
      <c r="K149" s="14">
        <f t="shared" si="34"/>
        <v>0</v>
      </c>
      <c r="L149" s="14">
        <f t="shared" si="34"/>
        <v>0</v>
      </c>
      <c r="M149" s="14">
        <f t="shared" si="34"/>
        <v>23.867181313</v>
      </c>
      <c r="N149" s="14">
        <f t="shared" si="34"/>
        <v>53.974127154000001</v>
      </c>
      <c r="O149" s="14">
        <f t="shared" si="34"/>
        <v>43.165150769999997</v>
      </c>
      <c r="P149" s="14">
        <f t="shared" si="34"/>
        <v>12.1</v>
      </c>
      <c r="Q149" s="14">
        <f t="shared" si="34"/>
        <v>0</v>
      </c>
    </row>
    <row r="150" spans="1:17">
      <c r="A150" s="281" t="s">
        <v>1533</v>
      </c>
      <c r="B150" s="28" t="s">
        <v>5100</v>
      </c>
      <c r="C150" s="86">
        <f t="shared" ca="1" si="33"/>
        <v>1561.067334162</v>
      </c>
      <c r="D150" s="77">
        <f ca="1">clean_valve_size</f>
        <v>4</v>
      </c>
      <c r="E150" s="14" t="s">
        <v>4129</v>
      </c>
      <c r="F150" s="14">
        <f t="shared" si="34"/>
        <v>0</v>
      </c>
      <c r="G150" s="14">
        <f t="shared" si="34"/>
        <v>0</v>
      </c>
      <c r="H150" s="14">
        <f t="shared" si="34"/>
        <v>0</v>
      </c>
      <c r="I150" s="14">
        <f t="shared" si="34"/>
        <v>0</v>
      </c>
      <c r="J150" s="14">
        <f t="shared" si="34"/>
        <v>0</v>
      </c>
      <c r="K150" s="14">
        <f t="shared" si="34"/>
        <v>0</v>
      </c>
      <c r="L150" s="14">
        <f t="shared" si="34"/>
        <v>0</v>
      </c>
      <c r="M150" s="14">
        <f t="shared" si="34"/>
        <v>43.739370735000001</v>
      </c>
      <c r="N150" s="14">
        <f t="shared" si="34"/>
        <v>186.790998664</v>
      </c>
      <c r="O150" s="14">
        <f t="shared" si="34"/>
        <v>114.073407746</v>
      </c>
      <c r="P150" s="14">
        <f t="shared" si="34"/>
        <v>48.1</v>
      </c>
      <c r="Q150" s="14">
        <f t="shared" si="34"/>
        <v>0</v>
      </c>
    </row>
    <row r="151" spans="1:17">
      <c r="A151" s="281" t="s">
        <v>5093</v>
      </c>
      <c r="B151" s="28" t="s">
        <v>5101</v>
      </c>
      <c r="C151" s="86">
        <f t="shared" ca="1" si="33"/>
        <v>1432.7510239100002</v>
      </c>
      <c r="D151" s="77">
        <f ca="1">clean_valve_size</f>
        <v>4</v>
      </c>
      <c r="E151" s="14" t="s">
        <v>4131</v>
      </c>
      <c r="F151" s="14">
        <f t="shared" si="34"/>
        <v>0</v>
      </c>
      <c r="G151" s="14">
        <f t="shared" si="34"/>
        <v>0</v>
      </c>
      <c r="H151" s="14">
        <f t="shared" si="34"/>
        <v>0</v>
      </c>
      <c r="I151" s="14">
        <f t="shared" si="34"/>
        <v>0</v>
      </c>
      <c r="J151" s="14">
        <f t="shared" si="34"/>
        <v>0</v>
      </c>
      <c r="K151" s="14">
        <f t="shared" si="34"/>
        <v>0</v>
      </c>
      <c r="L151" s="14">
        <f t="shared" si="34"/>
        <v>3.240756524</v>
      </c>
      <c r="M151" s="14">
        <f t="shared" si="34"/>
        <v>50.118205304</v>
      </c>
      <c r="N151" s="14">
        <f t="shared" si="34"/>
        <v>-32.545647099999996</v>
      </c>
      <c r="O151" s="14">
        <f t="shared" si="34"/>
        <v>553.63390991000006</v>
      </c>
      <c r="P151" s="14">
        <f t="shared" si="34"/>
        <v>24.1</v>
      </c>
      <c r="Q151" s="14">
        <f t="shared" si="34"/>
        <v>2</v>
      </c>
    </row>
    <row r="152" spans="1:17">
      <c r="A152" s="264" t="s">
        <v>3742</v>
      </c>
    </row>
    <row r="153" spans="1:17">
      <c r="A153" s="265" t="s">
        <v>1606</v>
      </c>
    </row>
    <row r="154" spans="1:17">
      <c r="A154" s="281" t="s">
        <v>1608</v>
      </c>
      <c r="B154" s="28" t="s">
        <v>2769</v>
      </c>
      <c r="C154" s="86">
        <f t="shared" ref="C154:C155" ca="1" si="35">IF(D154=0,0,IF(OR(D154&gt;P154,D154&lt;Q154),"contact vendor",F154*D154^G154+H154*LN(D154)+I154+J154*EXP(K154*D154)+L154*D154^3+M154*D154^2+N154*D154+O154))</f>
        <v>3287.4408262041247</v>
      </c>
      <c r="D154" s="77">
        <f ca="1">acid_mpump_rating</f>
        <v>5.011805289372874</v>
      </c>
      <c r="E154" s="28" t="s">
        <v>2776</v>
      </c>
      <c r="F154" s="14">
        <f t="shared" ref="F154:Q155" si="36">VLOOKUP($E154,eq_table_cl,F$4,FALSE)</f>
        <v>0</v>
      </c>
      <c r="G154" s="14">
        <f t="shared" si="36"/>
        <v>0</v>
      </c>
      <c r="H154" s="14">
        <f t="shared" si="36"/>
        <v>0</v>
      </c>
      <c r="I154" s="14">
        <f t="shared" si="36"/>
        <v>0</v>
      </c>
      <c r="J154" s="14">
        <f t="shared" si="36"/>
        <v>0</v>
      </c>
      <c r="K154" s="14">
        <f t="shared" si="36"/>
        <v>0</v>
      </c>
      <c r="L154" s="14">
        <f t="shared" si="36"/>
        <v>5.8459699999999996E-4</v>
      </c>
      <c r="M154" s="14">
        <f t="shared" si="36"/>
        <v>-0.31291286000000001</v>
      </c>
      <c r="N154" s="14">
        <f t="shared" si="36"/>
        <v>58.800444323000001</v>
      </c>
      <c r="O154" s="14">
        <f t="shared" si="36"/>
        <v>3000.5306602579999</v>
      </c>
      <c r="P154" s="14">
        <f t="shared" si="36"/>
        <v>132.01</v>
      </c>
      <c r="Q154" s="14">
        <f t="shared" si="36"/>
        <v>0</v>
      </c>
    </row>
    <row r="155" spans="1:17">
      <c r="A155" s="281" t="s">
        <v>1609</v>
      </c>
      <c r="B155" s="28" t="s">
        <v>2770</v>
      </c>
      <c r="C155" s="86">
        <f t="shared" ca="1" si="35"/>
        <v>1510.3590105806197</v>
      </c>
      <c r="D155" s="77">
        <f ca="1">acid_mpump_rating</f>
        <v>5.011805289372874</v>
      </c>
      <c r="E155" s="28" t="s">
        <v>2777</v>
      </c>
      <c r="F155" s="14">
        <f t="shared" si="36"/>
        <v>0</v>
      </c>
      <c r="G155" s="14">
        <f t="shared" si="36"/>
        <v>0</v>
      </c>
      <c r="H155" s="14">
        <f t="shared" si="36"/>
        <v>0</v>
      </c>
      <c r="I155" s="14">
        <f t="shared" si="36"/>
        <v>0</v>
      </c>
      <c r="J155" s="14">
        <f t="shared" si="36"/>
        <v>1147.9723958510001</v>
      </c>
      <c r="K155" s="14">
        <f t="shared" si="36"/>
        <v>5.4740779000000003E-2</v>
      </c>
      <c r="L155" s="14">
        <f t="shared" si="36"/>
        <v>0</v>
      </c>
      <c r="M155" s="14">
        <f t="shared" si="36"/>
        <v>0</v>
      </c>
      <c r="N155" s="14">
        <f t="shared" si="36"/>
        <v>0</v>
      </c>
      <c r="O155" s="14">
        <f t="shared" si="36"/>
        <v>0</v>
      </c>
      <c r="P155" s="14">
        <f t="shared" si="36"/>
        <v>21.01</v>
      </c>
      <c r="Q155" s="14">
        <f t="shared" si="36"/>
        <v>0</v>
      </c>
    </row>
    <row r="156" spans="1:17">
      <c r="A156" s="265" t="s">
        <v>1607</v>
      </c>
      <c r="E156" s="28"/>
    </row>
    <row r="157" spans="1:17">
      <c r="A157" s="281" t="s">
        <v>1608</v>
      </c>
      <c r="B157" s="28" t="s">
        <v>2771</v>
      </c>
      <c r="C157" s="86">
        <f t="shared" ref="C157:C196" si="37">IF(D157=0,0,IF(OR(D157&gt;P157,D157&lt;Q157),"contact vendor",F157*D157^G157+H157*LN(D157)+I157+J157*EXP(K157*D157)+L157*D157^3+M157*D157^2+N157*D157+O157))</f>
        <v>3027.7355410332716</v>
      </c>
      <c r="D157" s="77">
        <f>anti_mpump_rating</f>
        <v>0.46380832665161215</v>
      </c>
      <c r="E157" s="28" t="s">
        <v>2776</v>
      </c>
      <c r="F157" s="14">
        <f t="shared" ref="F157:Q161" si="38">VLOOKUP($E157,eq_table_cl,F$4,FALSE)</f>
        <v>0</v>
      </c>
      <c r="G157" s="14">
        <f t="shared" si="38"/>
        <v>0</v>
      </c>
      <c r="H157" s="14">
        <f t="shared" si="38"/>
        <v>0</v>
      </c>
      <c r="I157" s="14">
        <f t="shared" si="38"/>
        <v>0</v>
      </c>
      <c r="J157" s="14">
        <f t="shared" si="38"/>
        <v>0</v>
      </c>
      <c r="K157" s="14">
        <f t="shared" si="38"/>
        <v>0</v>
      </c>
      <c r="L157" s="14">
        <f t="shared" si="38"/>
        <v>5.8459699999999996E-4</v>
      </c>
      <c r="M157" s="14">
        <f t="shared" si="38"/>
        <v>-0.31291286000000001</v>
      </c>
      <c r="N157" s="14">
        <f t="shared" si="38"/>
        <v>58.800444323000001</v>
      </c>
      <c r="O157" s="14">
        <f t="shared" si="38"/>
        <v>3000.5306602579999</v>
      </c>
      <c r="P157" s="14">
        <f t="shared" si="38"/>
        <v>132.01</v>
      </c>
      <c r="Q157" s="14">
        <f t="shared" si="38"/>
        <v>0</v>
      </c>
    </row>
    <row r="158" spans="1:17">
      <c r="A158" s="281" t="s">
        <v>1610</v>
      </c>
      <c r="B158" s="28" t="s">
        <v>2772</v>
      </c>
      <c r="C158" s="86">
        <f t="shared" si="37"/>
        <v>3459.0168842991816</v>
      </c>
      <c r="D158" s="77">
        <f>anti_mpump_rating</f>
        <v>0.46380832665161215</v>
      </c>
      <c r="E158" s="28" t="s">
        <v>2778</v>
      </c>
      <c r="F158" s="14">
        <f t="shared" si="38"/>
        <v>0</v>
      </c>
      <c r="G158" s="14">
        <f t="shared" si="38"/>
        <v>0</v>
      </c>
      <c r="H158" s="14">
        <f t="shared" si="38"/>
        <v>0</v>
      </c>
      <c r="I158" s="14">
        <f t="shared" si="38"/>
        <v>0</v>
      </c>
      <c r="J158" s="14">
        <f t="shared" si="38"/>
        <v>0</v>
      </c>
      <c r="K158" s="14">
        <f t="shared" si="38"/>
        <v>0</v>
      </c>
      <c r="L158" s="14">
        <f t="shared" si="38"/>
        <v>0</v>
      </c>
      <c r="M158" s="14">
        <f t="shared" si="38"/>
        <v>-0.19761578099999999</v>
      </c>
      <c r="N158" s="14">
        <f t="shared" si="38"/>
        <v>60.928056216999998</v>
      </c>
      <c r="O158" s="14">
        <f t="shared" si="38"/>
        <v>3430.8004552430002</v>
      </c>
      <c r="P158" s="14">
        <f t="shared" si="38"/>
        <v>132.01</v>
      </c>
      <c r="Q158" s="14">
        <f t="shared" si="38"/>
        <v>0</v>
      </c>
    </row>
    <row r="159" spans="1:17">
      <c r="A159" s="281" t="s">
        <v>1609</v>
      </c>
      <c r="B159" s="28" t="s">
        <v>2773</v>
      </c>
      <c r="C159" s="86">
        <f t="shared" si="37"/>
        <v>1177.4916802635855</v>
      </c>
      <c r="D159" s="77">
        <f>anti_mpump_rating</f>
        <v>0.46380832665161215</v>
      </c>
      <c r="E159" s="28" t="s">
        <v>2777</v>
      </c>
      <c r="F159" s="14">
        <f t="shared" si="38"/>
        <v>0</v>
      </c>
      <c r="G159" s="14">
        <f t="shared" si="38"/>
        <v>0</v>
      </c>
      <c r="H159" s="14">
        <f t="shared" si="38"/>
        <v>0</v>
      </c>
      <c r="I159" s="14">
        <f t="shared" si="38"/>
        <v>0</v>
      </c>
      <c r="J159" s="14">
        <f t="shared" si="38"/>
        <v>1147.9723958510001</v>
      </c>
      <c r="K159" s="14">
        <f t="shared" si="38"/>
        <v>5.4740779000000003E-2</v>
      </c>
      <c r="L159" s="14">
        <f t="shared" si="38"/>
        <v>0</v>
      </c>
      <c r="M159" s="14">
        <f t="shared" si="38"/>
        <v>0</v>
      </c>
      <c r="N159" s="14">
        <f t="shared" si="38"/>
        <v>0</v>
      </c>
      <c r="O159" s="14">
        <f t="shared" si="38"/>
        <v>0</v>
      </c>
      <c r="P159" s="14">
        <f t="shared" si="38"/>
        <v>21.01</v>
      </c>
      <c r="Q159" s="14">
        <f t="shared" si="38"/>
        <v>0</v>
      </c>
    </row>
    <row r="160" spans="1:17">
      <c r="A160" s="281" t="s">
        <v>1611</v>
      </c>
      <c r="B160" s="28" t="s">
        <v>2774</v>
      </c>
      <c r="C160" s="86">
        <f t="shared" si="37"/>
        <v>2069.1970027429188</v>
      </c>
      <c r="D160" s="77">
        <f>anti_mpump_rating</f>
        <v>0.46380832665161215</v>
      </c>
      <c r="E160" s="28" t="s">
        <v>2779</v>
      </c>
      <c r="F160" s="14">
        <f t="shared" si="38"/>
        <v>2305.9222008940001</v>
      </c>
      <c r="G160" s="14">
        <f t="shared" si="38"/>
        <v>0.140989643</v>
      </c>
      <c r="H160" s="14">
        <f t="shared" si="38"/>
        <v>0</v>
      </c>
      <c r="I160" s="14">
        <f t="shared" si="38"/>
        <v>0</v>
      </c>
      <c r="J160" s="14">
        <f t="shared" si="38"/>
        <v>0</v>
      </c>
      <c r="K160" s="14">
        <f t="shared" si="38"/>
        <v>0</v>
      </c>
      <c r="L160" s="14">
        <f t="shared" si="38"/>
        <v>0</v>
      </c>
      <c r="M160" s="14">
        <f t="shared" si="38"/>
        <v>0</v>
      </c>
      <c r="N160" s="14">
        <f t="shared" si="38"/>
        <v>0</v>
      </c>
      <c r="O160" s="14">
        <f t="shared" si="38"/>
        <v>0</v>
      </c>
      <c r="P160" s="14">
        <f t="shared" si="38"/>
        <v>21.01</v>
      </c>
      <c r="Q160" s="14">
        <f t="shared" si="38"/>
        <v>0</v>
      </c>
    </row>
    <row r="161" spans="1:17">
      <c r="A161" s="265" t="s">
        <v>525</v>
      </c>
      <c r="B161" s="77" t="s">
        <v>2582</v>
      </c>
      <c r="C161" s="86">
        <f t="shared" si="37"/>
        <v>0</v>
      </c>
      <c r="D161" s="77">
        <f>bp_pump_rating</f>
        <v>0</v>
      </c>
      <c r="E161" s="77" t="s">
        <v>1552</v>
      </c>
      <c r="F161" s="14">
        <f t="shared" si="38"/>
        <v>0</v>
      </c>
      <c r="G161" s="14">
        <f t="shared" si="38"/>
        <v>0</v>
      </c>
      <c r="H161" s="14">
        <f t="shared" si="38"/>
        <v>0</v>
      </c>
      <c r="I161" s="14">
        <f t="shared" si="38"/>
        <v>0</v>
      </c>
      <c r="J161" s="14">
        <f t="shared" si="38"/>
        <v>0</v>
      </c>
      <c r="K161" s="14">
        <f t="shared" si="38"/>
        <v>0</v>
      </c>
      <c r="L161" s="14">
        <f t="shared" si="38"/>
        <v>0</v>
      </c>
      <c r="M161" s="14">
        <f t="shared" si="38"/>
        <v>-6.7002999999999995E-4</v>
      </c>
      <c r="N161" s="14">
        <f t="shared" si="38"/>
        <v>14.809014980000001</v>
      </c>
      <c r="O161" s="14">
        <f t="shared" si="38"/>
        <v>4093.494684836</v>
      </c>
      <c r="P161" s="14">
        <f t="shared" si="38"/>
        <v>10001</v>
      </c>
      <c r="Q161" s="14">
        <f t="shared" si="38"/>
        <v>0</v>
      </c>
    </row>
    <row r="162" spans="1:17">
      <c r="A162" s="1080" t="s">
        <v>3077</v>
      </c>
      <c r="B162" s="77" t="s">
        <v>5536</v>
      </c>
      <c r="C162" s="86">
        <f ca="1">VLOOKUP(CONCATENATE("Feed Water - ", inf_pump_class),$A$163:$C$169,3,FALSE)</f>
        <v>38548.002875207392</v>
      </c>
      <c r="F162" s="14"/>
      <c r="G162" s="14"/>
      <c r="H162" s="14"/>
      <c r="I162" s="14"/>
      <c r="J162" s="14"/>
      <c r="K162" s="14"/>
      <c r="L162" s="14"/>
      <c r="M162" s="14"/>
      <c r="N162" s="14"/>
      <c r="O162" s="14"/>
      <c r="P162" s="14"/>
      <c r="Q162" s="14"/>
    </row>
    <row r="163" spans="1:17">
      <c r="A163" s="807" t="s">
        <v>5597</v>
      </c>
      <c r="C163" s="86" t="str">
        <f t="shared" ca="1" si="37"/>
        <v>contact vendor</v>
      </c>
      <c r="D163" s="77">
        <f t="shared" ref="D163:D169" ca="1" si="39">inf_pump_gpm</f>
        <v>1235.8335375742395</v>
      </c>
      <c r="E163" s="77" t="s">
        <v>5604</v>
      </c>
      <c r="F163" s="14">
        <f>VLOOKUP($E163,eq_table_cl,'Cost Equations'!F$4,FALSE)</f>
        <v>1519.5593954139999</v>
      </c>
      <c r="G163" s="14">
        <f>VLOOKUP($E163,eq_table_cl,'Cost Equations'!G$4,FALSE)</f>
        <v>0.44311756899999999</v>
      </c>
      <c r="H163" s="14">
        <f>VLOOKUP($E163,eq_table_cl,'Cost Equations'!H$4,FALSE)</f>
        <v>0</v>
      </c>
      <c r="I163" s="14">
        <f>VLOOKUP($E163,eq_table_cl,'Cost Equations'!I$4,FALSE)</f>
        <v>0</v>
      </c>
      <c r="J163" s="14">
        <f>VLOOKUP($E163,eq_table_cl,'Cost Equations'!J$4,FALSE)</f>
        <v>0</v>
      </c>
      <c r="K163" s="14">
        <f>VLOOKUP($E163,eq_table_cl,'Cost Equations'!K$4,FALSE)</f>
        <v>0</v>
      </c>
      <c r="L163" s="14">
        <f>VLOOKUP($E163,eq_table_cl,'Cost Equations'!L$4,FALSE)</f>
        <v>0</v>
      </c>
      <c r="M163" s="14">
        <f>VLOOKUP($E163,eq_table_cl,'Cost Equations'!M$4,FALSE)</f>
        <v>0</v>
      </c>
      <c r="N163" s="14">
        <f>VLOOKUP($E163,eq_table_cl,'Cost Equations'!N$4,FALSE)</f>
        <v>0</v>
      </c>
      <c r="O163" s="14">
        <f>VLOOKUP($E163,eq_table_cl,'Cost Equations'!O$4,FALSE)</f>
        <v>0</v>
      </c>
      <c r="P163" s="14">
        <f>VLOOKUP($E163,eq_table_cl,'Cost Equations'!P$4,FALSE)</f>
        <v>500.1</v>
      </c>
      <c r="Q163" s="14">
        <f>VLOOKUP($E163,eq_table_cl,'Cost Equations'!Q$4,FALSE)</f>
        <v>0</v>
      </c>
    </row>
    <row r="164" spans="1:17">
      <c r="A164" s="807" t="s">
        <v>5596</v>
      </c>
      <c r="C164" s="86">
        <f t="shared" ca="1" si="37"/>
        <v>38548.002875207392</v>
      </c>
      <c r="D164" s="77">
        <f t="shared" ca="1" si="39"/>
        <v>1235.8335375742395</v>
      </c>
      <c r="E164" s="151" t="s">
        <v>5603</v>
      </c>
      <c r="F164" s="14">
        <f>VLOOKUP($E164,eq_table_cl,'Cost Equations'!F$4,FALSE)</f>
        <v>1976.6355754589999</v>
      </c>
      <c r="G164" s="14">
        <f>VLOOKUP($E164,eq_table_cl,'Cost Equations'!G$4,FALSE)</f>
        <v>0.41723543800000001</v>
      </c>
      <c r="H164" s="14">
        <f>VLOOKUP($E164,eq_table_cl,'Cost Equations'!H$4,FALSE)</f>
        <v>0</v>
      </c>
      <c r="I164" s="14">
        <f>VLOOKUP($E164,eq_table_cl,'Cost Equations'!I$4,FALSE)</f>
        <v>0</v>
      </c>
      <c r="J164" s="14">
        <f>VLOOKUP($E164,eq_table_cl,'Cost Equations'!J$4,FALSE)</f>
        <v>0</v>
      </c>
      <c r="K164" s="14">
        <f>VLOOKUP($E164,eq_table_cl,'Cost Equations'!K$4,FALSE)</f>
        <v>0</v>
      </c>
      <c r="L164" s="14">
        <f>VLOOKUP($E164,eq_table_cl,'Cost Equations'!L$4,FALSE)</f>
        <v>0</v>
      </c>
      <c r="M164" s="14">
        <f>VLOOKUP($E164,eq_table_cl,'Cost Equations'!M$4,FALSE)</f>
        <v>0</v>
      </c>
      <c r="N164" s="14">
        <f>VLOOKUP($E164,eq_table_cl,'Cost Equations'!N$4,FALSE)</f>
        <v>0</v>
      </c>
      <c r="O164" s="14">
        <f>VLOOKUP($E164,eq_table_cl,'Cost Equations'!O$4,FALSE)</f>
        <v>0</v>
      </c>
      <c r="P164" s="14">
        <f>VLOOKUP($E164,eq_table_cl,'Cost Equations'!P$4,FALSE)</f>
        <v>2000.1</v>
      </c>
      <c r="Q164" s="14">
        <f>VLOOKUP($E164,eq_table_cl,'Cost Equations'!Q$4,FALSE)</f>
        <v>0</v>
      </c>
    </row>
    <row r="165" spans="1:17">
      <c r="A165" s="807" t="s">
        <v>5598</v>
      </c>
      <c r="C165" s="86">
        <f t="shared" ca="1" si="37"/>
        <v>93781.899241490741</v>
      </c>
      <c r="D165" s="77">
        <f t="shared" ca="1" si="39"/>
        <v>1235.8335375742395</v>
      </c>
      <c r="E165" s="151" t="s">
        <v>5605</v>
      </c>
      <c r="F165" s="14">
        <f>VLOOKUP($E165,eq_table_cl,'Cost Equations'!F$4,FALSE)</f>
        <v>0</v>
      </c>
      <c r="G165" s="14">
        <f>VLOOKUP($E165,eq_table_cl,'Cost Equations'!G$4,FALSE)</f>
        <v>0</v>
      </c>
      <c r="H165" s="14">
        <f>VLOOKUP($E165,eq_table_cl,'Cost Equations'!H$4,FALSE)</f>
        <v>0</v>
      </c>
      <c r="I165" s="14">
        <f>VLOOKUP($E165,eq_table_cl,'Cost Equations'!I$4,FALSE)</f>
        <v>0</v>
      </c>
      <c r="J165" s="14">
        <f>VLOOKUP($E165,eq_table_cl,'Cost Equations'!J$4,FALSE)</f>
        <v>0</v>
      </c>
      <c r="K165" s="14">
        <f>VLOOKUP($E165,eq_table_cl,'Cost Equations'!K$4,FALSE)</f>
        <v>0</v>
      </c>
      <c r="L165" s="14">
        <f>VLOOKUP($E165,eq_table_cl,'Cost Equations'!L$4,FALSE)</f>
        <v>0</v>
      </c>
      <c r="M165" s="14">
        <f>VLOOKUP($E165,eq_table_cl,'Cost Equations'!M$4,FALSE)</f>
        <v>0</v>
      </c>
      <c r="N165" s="14">
        <f>VLOOKUP($E165,eq_table_cl,'Cost Equations'!N$4,FALSE)</f>
        <v>72.107578773</v>
      </c>
      <c r="O165" s="14">
        <f>VLOOKUP($E165,eq_table_cl,'Cost Equations'!O$4,FALSE)</f>
        <v>4668.9350805410004</v>
      </c>
      <c r="P165" s="14">
        <f>VLOOKUP($E165,eq_table_cl,'Cost Equations'!P$4,FALSE)</f>
        <v>2000.1</v>
      </c>
      <c r="Q165" s="14">
        <f>VLOOKUP($E165,eq_table_cl,'Cost Equations'!Q$4,FALSE)</f>
        <v>0</v>
      </c>
    </row>
    <row r="166" spans="1:17">
      <c r="A166" s="807" t="s">
        <v>5599</v>
      </c>
      <c r="C166" s="86">
        <f t="shared" ca="1" si="37"/>
        <v>131665.70451111888</v>
      </c>
      <c r="D166" s="77">
        <f t="shared" ca="1" si="39"/>
        <v>1235.8335375742395</v>
      </c>
      <c r="E166" s="151" t="s">
        <v>5606</v>
      </c>
      <c r="F166" s="14">
        <f>VLOOKUP($E166,eq_table_cl,'Cost Equations'!F$4,FALSE)</f>
        <v>0</v>
      </c>
      <c r="G166" s="14">
        <f>VLOOKUP($E166,eq_table_cl,'Cost Equations'!G$4,FALSE)</f>
        <v>0</v>
      </c>
      <c r="H166" s="14">
        <f>VLOOKUP($E166,eq_table_cl,'Cost Equations'!H$4,FALSE)</f>
        <v>0</v>
      </c>
      <c r="I166" s="14">
        <f>VLOOKUP($E166,eq_table_cl,'Cost Equations'!I$4,FALSE)</f>
        <v>0</v>
      </c>
      <c r="J166" s="14">
        <f>VLOOKUP($E166,eq_table_cl,'Cost Equations'!J$4,FALSE)</f>
        <v>0</v>
      </c>
      <c r="K166" s="14">
        <f>VLOOKUP($E166,eq_table_cl,'Cost Equations'!K$4,FALSE)</f>
        <v>0</v>
      </c>
      <c r="L166" s="14">
        <f>VLOOKUP($E166,eq_table_cl,'Cost Equations'!L$4,FALSE)</f>
        <v>0</v>
      </c>
      <c r="M166" s="14">
        <f>VLOOKUP($E166,eq_table_cl,'Cost Equations'!M$4,FALSE)</f>
        <v>-2.8111870000000001E-2</v>
      </c>
      <c r="N166" s="14">
        <f>VLOOKUP($E166,eq_table_cl,'Cost Equations'!N$4,FALSE)</f>
        <v>138.497637586</v>
      </c>
      <c r="O166" s="14">
        <f>VLOOKUP($E166,eq_table_cl,'Cost Equations'!O$4,FALSE)</f>
        <v>3440.5033408099998</v>
      </c>
      <c r="P166" s="14">
        <f>VLOOKUP($E166,eq_table_cl,'Cost Equations'!P$4,FALSE)</f>
        <v>2000.1</v>
      </c>
      <c r="Q166" s="14">
        <f>VLOOKUP($E166,eq_table_cl,'Cost Equations'!Q$4,FALSE)</f>
        <v>0</v>
      </c>
    </row>
    <row r="167" spans="1:17">
      <c r="A167" s="807" t="s">
        <v>5600</v>
      </c>
      <c r="C167" s="86" t="str">
        <f t="shared" ca="1" si="37"/>
        <v>contact vendor</v>
      </c>
      <c r="D167" s="77">
        <f t="shared" ca="1" si="39"/>
        <v>1235.8335375742395</v>
      </c>
      <c r="E167" s="151" t="s">
        <v>5607</v>
      </c>
      <c r="F167" s="14">
        <f>VLOOKUP($E167,eq_table_cl,'Cost Equations'!F$4,FALSE)</f>
        <v>0</v>
      </c>
      <c r="G167" s="14">
        <f>VLOOKUP($E167,eq_table_cl,'Cost Equations'!G$4,FALSE)</f>
        <v>0</v>
      </c>
      <c r="H167" s="14">
        <f>VLOOKUP($E167,eq_table_cl,'Cost Equations'!H$4,FALSE)</f>
        <v>0</v>
      </c>
      <c r="I167" s="14">
        <f>VLOOKUP($E167,eq_table_cl,'Cost Equations'!I$4,FALSE)</f>
        <v>0</v>
      </c>
      <c r="J167" s="14">
        <f>VLOOKUP($E167,eq_table_cl,'Cost Equations'!J$4,FALSE)</f>
        <v>0</v>
      </c>
      <c r="K167" s="14">
        <f>VLOOKUP($E167,eq_table_cl,'Cost Equations'!K$4,FALSE)</f>
        <v>0</v>
      </c>
      <c r="L167" s="14">
        <f>VLOOKUP($E167,eq_table_cl,'Cost Equations'!L$4,FALSE)</f>
        <v>0</v>
      </c>
      <c r="M167" s="14">
        <f>VLOOKUP($E167,eq_table_cl,'Cost Equations'!M$4,FALSE)</f>
        <v>-0.32797716599999999</v>
      </c>
      <c r="N167" s="14">
        <f>VLOOKUP($E167,eq_table_cl,'Cost Equations'!N$4,FALSE)</f>
        <v>232.563202193</v>
      </c>
      <c r="O167" s="14">
        <f>VLOOKUP($E167,eq_table_cl,'Cost Equations'!O$4,FALSE)</f>
        <v>3389.3015626460001</v>
      </c>
      <c r="P167" s="14">
        <f>VLOOKUP($E167,eq_table_cl,'Cost Equations'!P$4,FALSE)</f>
        <v>250.1</v>
      </c>
      <c r="Q167" s="14">
        <f>VLOOKUP($E167,eq_table_cl,'Cost Equations'!Q$4,FALSE)</f>
        <v>0</v>
      </c>
    </row>
    <row r="168" spans="1:17">
      <c r="A168" s="807" t="s">
        <v>5601</v>
      </c>
      <c r="C168" s="86" t="str">
        <f t="shared" ca="1" si="37"/>
        <v>contact vendor</v>
      </c>
      <c r="D168" s="77">
        <f t="shared" ca="1" si="39"/>
        <v>1235.8335375742395</v>
      </c>
      <c r="E168" s="151" t="s">
        <v>5608</v>
      </c>
      <c r="F168" s="14">
        <f>VLOOKUP($E168,eq_table_cl,'Cost Equations'!F$4,FALSE)</f>
        <v>1526.907357395</v>
      </c>
      <c r="G168" s="14">
        <f>VLOOKUP($E168,eq_table_cl,'Cost Equations'!G$4,FALSE)</f>
        <v>0.61024054000000005</v>
      </c>
      <c r="H168" s="14">
        <f>VLOOKUP($E168,eq_table_cl,'Cost Equations'!H$4,FALSE)</f>
        <v>0</v>
      </c>
      <c r="I168" s="14">
        <f>VLOOKUP($E168,eq_table_cl,'Cost Equations'!I$4,FALSE)</f>
        <v>0</v>
      </c>
      <c r="J168" s="14">
        <f>VLOOKUP($E168,eq_table_cl,'Cost Equations'!J$4,FALSE)</f>
        <v>0</v>
      </c>
      <c r="K168" s="14">
        <f>VLOOKUP($E168,eq_table_cl,'Cost Equations'!K$4,FALSE)</f>
        <v>0</v>
      </c>
      <c r="L168" s="14">
        <f>VLOOKUP($E168,eq_table_cl,'Cost Equations'!L$4,FALSE)</f>
        <v>0</v>
      </c>
      <c r="M168" s="14">
        <f>VLOOKUP($E168,eq_table_cl,'Cost Equations'!M$4,FALSE)</f>
        <v>0</v>
      </c>
      <c r="N168" s="14">
        <f>VLOOKUP($E168,eq_table_cl,'Cost Equations'!N$4,FALSE)</f>
        <v>0</v>
      </c>
      <c r="O168" s="14">
        <f>VLOOKUP($E168,eq_table_cl,'Cost Equations'!O$4,FALSE)</f>
        <v>0</v>
      </c>
      <c r="P168" s="14">
        <f>VLOOKUP($E168,eq_table_cl,'Cost Equations'!P$4,FALSE)</f>
        <v>225.1</v>
      </c>
      <c r="Q168" s="14">
        <f>VLOOKUP($E168,eq_table_cl,'Cost Equations'!Q$4,FALSE)</f>
        <v>0</v>
      </c>
    </row>
    <row r="169" spans="1:17">
      <c r="A169" s="807" t="s">
        <v>5602</v>
      </c>
      <c r="C169" s="86" t="str">
        <f t="shared" ca="1" si="37"/>
        <v>contact vendor</v>
      </c>
      <c r="D169" s="77">
        <f t="shared" ca="1" si="39"/>
        <v>1235.8335375742395</v>
      </c>
      <c r="E169" s="151" t="s">
        <v>5609</v>
      </c>
      <c r="F169" s="14">
        <f>VLOOKUP($E169,eq_table_cl,'Cost Equations'!F$4,FALSE)</f>
        <v>3021.4372028819998</v>
      </c>
      <c r="G169" s="14">
        <f>VLOOKUP($E169,eq_table_cl,'Cost Equations'!G$4,FALSE)</f>
        <v>0.51326787299999999</v>
      </c>
      <c r="H169" s="14">
        <f>VLOOKUP($E169,eq_table_cl,'Cost Equations'!H$4,FALSE)</f>
        <v>0</v>
      </c>
      <c r="I169" s="14">
        <f>VLOOKUP($E169,eq_table_cl,'Cost Equations'!I$4,FALSE)</f>
        <v>0</v>
      </c>
      <c r="J169" s="14">
        <f>VLOOKUP($E169,eq_table_cl,'Cost Equations'!J$4,FALSE)</f>
        <v>0</v>
      </c>
      <c r="K169" s="14">
        <f>VLOOKUP($E169,eq_table_cl,'Cost Equations'!K$4,FALSE)</f>
        <v>0</v>
      </c>
      <c r="L169" s="14">
        <f>VLOOKUP($E169,eq_table_cl,'Cost Equations'!L$4,FALSE)</f>
        <v>0</v>
      </c>
      <c r="M169" s="14">
        <f>VLOOKUP($E169,eq_table_cl,'Cost Equations'!M$4,FALSE)</f>
        <v>0</v>
      </c>
      <c r="N169" s="14">
        <f>VLOOKUP($E169,eq_table_cl,'Cost Equations'!N$4,FALSE)</f>
        <v>0</v>
      </c>
      <c r="O169" s="14">
        <f>VLOOKUP($E169,eq_table_cl,'Cost Equations'!O$4,FALSE)</f>
        <v>0</v>
      </c>
      <c r="P169" s="14">
        <f>VLOOKUP($E169,eq_table_cl,'Cost Equations'!P$4,FALSE)</f>
        <v>185.1</v>
      </c>
      <c r="Q169" s="14">
        <f>VLOOKUP($E169,eq_table_cl,'Cost Equations'!Q$4,FALSE)</f>
        <v>0</v>
      </c>
    </row>
    <row r="170" spans="1:17">
      <c r="A170" s="1080" t="s">
        <v>1757</v>
      </c>
      <c r="B170" s="77" t="s">
        <v>5537</v>
      </c>
      <c r="C170" s="86">
        <f>VLOOKUP(CONCATENATE("Booster pumps, stage 2 - ", inf_pump_class),$A$171:$C$177,3,FALSE)</f>
        <v>0</v>
      </c>
      <c r="F170" s="14"/>
      <c r="G170" s="14"/>
      <c r="H170" s="14"/>
      <c r="I170" s="14"/>
      <c r="J170" s="14"/>
      <c r="K170" s="14"/>
      <c r="L170" s="14"/>
      <c r="M170" s="14"/>
      <c r="N170" s="14"/>
      <c r="O170" s="14"/>
      <c r="P170" s="14"/>
      <c r="Q170" s="14"/>
    </row>
    <row r="171" spans="1:17">
      <c r="A171" s="807" t="s">
        <v>5610</v>
      </c>
      <c r="C171" s="86">
        <f t="shared" si="37"/>
        <v>0</v>
      </c>
      <c r="D171" s="77">
        <f t="shared" ref="D171:D177" si="40">boost_pump_2_gpm</f>
        <v>0</v>
      </c>
      <c r="E171" s="77" t="s">
        <v>5604</v>
      </c>
      <c r="F171" s="14">
        <f>VLOOKUP($E171,eq_table_cl,'Cost Equations'!F$4,FALSE)</f>
        <v>1519.5593954139999</v>
      </c>
      <c r="G171" s="14">
        <f>VLOOKUP($E171,eq_table_cl,'Cost Equations'!G$4,FALSE)</f>
        <v>0.44311756899999999</v>
      </c>
      <c r="H171" s="14">
        <f>VLOOKUP($E171,eq_table_cl,'Cost Equations'!H$4,FALSE)</f>
        <v>0</v>
      </c>
      <c r="I171" s="14">
        <f>VLOOKUP($E171,eq_table_cl,'Cost Equations'!I$4,FALSE)</f>
        <v>0</v>
      </c>
      <c r="J171" s="14">
        <f>VLOOKUP($E171,eq_table_cl,'Cost Equations'!J$4,FALSE)</f>
        <v>0</v>
      </c>
      <c r="K171" s="14">
        <f>VLOOKUP($E171,eq_table_cl,'Cost Equations'!K$4,FALSE)</f>
        <v>0</v>
      </c>
      <c r="L171" s="14">
        <f>VLOOKUP($E171,eq_table_cl,'Cost Equations'!L$4,FALSE)</f>
        <v>0</v>
      </c>
      <c r="M171" s="14">
        <f>VLOOKUP($E171,eq_table_cl,'Cost Equations'!M$4,FALSE)</f>
        <v>0</v>
      </c>
      <c r="N171" s="14">
        <f>VLOOKUP($E171,eq_table_cl,'Cost Equations'!N$4,FALSE)</f>
        <v>0</v>
      </c>
      <c r="O171" s="14">
        <f>VLOOKUP($E171,eq_table_cl,'Cost Equations'!O$4,FALSE)</f>
        <v>0</v>
      </c>
      <c r="P171" s="14">
        <f>VLOOKUP($E171,eq_table_cl,'Cost Equations'!P$4,FALSE)</f>
        <v>500.1</v>
      </c>
      <c r="Q171" s="14">
        <f>VLOOKUP($E171,eq_table_cl,'Cost Equations'!Q$4,FALSE)</f>
        <v>0</v>
      </c>
    </row>
    <row r="172" spans="1:17">
      <c r="A172" s="807" t="s">
        <v>5611</v>
      </c>
      <c r="C172" s="86">
        <f t="shared" si="37"/>
        <v>0</v>
      </c>
      <c r="D172" s="77">
        <f t="shared" si="40"/>
        <v>0</v>
      </c>
      <c r="E172" s="151" t="s">
        <v>5603</v>
      </c>
      <c r="F172" s="14">
        <f>VLOOKUP($E172,eq_table_cl,'Cost Equations'!F$4,FALSE)</f>
        <v>1976.6355754589999</v>
      </c>
      <c r="G172" s="14">
        <f>VLOOKUP($E172,eq_table_cl,'Cost Equations'!G$4,FALSE)</f>
        <v>0.41723543800000001</v>
      </c>
      <c r="H172" s="14">
        <f>VLOOKUP($E172,eq_table_cl,'Cost Equations'!H$4,FALSE)</f>
        <v>0</v>
      </c>
      <c r="I172" s="14">
        <f>VLOOKUP($E172,eq_table_cl,'Cost Equations'!I$4,FALSE)</f>
        <v>0</v>
      </c>
      <c r="J172" s="14">
        <f>VLOOKUP($E172,eq_table_cl,'Cost Equations'!J$4,FALSE)</f>
        <v>0</v>
      </c>
      <c r="K172" s="14">
        <f>VLOOKUP($E172,eq_table_cl,'Cost Equations'!K$4,FALSE)</f>
        <v>0</v>
      </c>
      <c r="L172" s="14">
        <f>VLOOKUP($E172,eq_table_cl,'Cost Equations'!L$4,FALSE)</f>
        <v>0</v>
      </c>
      <c r="M172" s="14">
        <f>VLOOKUP($E172,eq_table_cl,'Cost Equations'!M$4,FALSE)</f>
        <v>0</v>
      </c>
      <c r="N172" s="14">
        <f>VLOOKUP($E172,eq_table_cl,'Cost Equations'!N$4,FALSE)</f>
        <v>0</v>
      </c>
      <c r="O172" s="14">
        <f>VLOOKUP($E172,eq_table_cl,'Cost Equations'!O$4,FALSE)</f>
        <v>0</v>
      </c>
      <c r="P172" s="14">
        <f>VLOOKUP($E172,eq_table_cl,'Cost Equations'!P$4,FALSE)</f>
        <v>2000.1</v>
      </c>
      <c r="Q172" s="14">
        <f>VLOOKUP($E172,eq_table_cl,'Cost Equations'!Q$4,FALSE)</f>
        <v>0</v>
      </c>
    </row>
    <row r="173" spans="1:17">
      <c r="A173" s="807" t="s">
        <v>5612</v>
      </c>
      <c r="C173" s="86">
        <f t="shared" si="37"/>
        <v>0</v>
      </c>
      <c r="D173" s="77">
        <f t="shared" si="40"/>
        <v>0</v>
      </c>
      <c r="E173" s="151" t="s">
        <v>5605</v>
      </c>
      <c r="F173" s="14">
        <f>VLOOKUP($E173,eq_table_cl,'Cost Equations'!F$4,FALSE)</f>
        <v>0</v>
      </c>
      <c r="G173" s="14">
        <f>VLOOKUP($E173,eq_table_cl,'Cost Equations'!G$4,FALSE)</f>
        <v>0</v>
      </c>
      <c r="H173" s="14">
        <f>VLOOKUP($E173,eq_table_cl,'Cost Equations'!H$4,FALSE)</f>
        <v>0</v>
      </c>
      <c r="I173" s="14">
        <f>VLOOKUP($E173,eq_table_cl,'Cost Equations'!I$4,FALSE)</f>
        <v>0</v>
      </c>
      <c r="J173" s="14">
        <f>VLOOKUP($E173,eq_table_cl,'Cost Equations'!J$4,FALSE)</f>
        <v>0</v>
      </c>
      <c r="K173" s="14">
        <f>VLOOKUP($E173,eq_table_cl,'Cost Equations'!K$4,FALSE)</f>
        <v>0</v>
      </c>
      <c r="L173" s="14">
        <f>VLOOKUP($E173,eq_table_cl,'Cost Equations'!L$4,FALSE)</f>
        <v>0</v>
      </c>
      <c r="M173" s="14">
        <f>VLOOKUP($E173,eq_table_cl,'Cost Equations'!M$4,FALSE)</f>
        <v>0</v>
      </c>
      <c r="N173" s="14">
        <f>VLOOKUP($E173,eq_table_cl,'Cost Equations'!N$4,FALSE)</f>
        <v>72.107578773</v>
      </c>
      <c r="O173" s="14">
        <f>VLOOKUP($E173,eq_table_cl,'Cost Equations'!O$4,FALSE)</f>
        <v>4668.9350805410004</v>
      </c>
      <c r="P173" s="14">
        <f>VLOOKUP($E173,eq_table_cl,'Cost Equations'!P$4,FALSE)</f>
        <v>2000.1</v>
      </c>
      <c r="Q173" s="14">
        <f>VLOOKUP($E173,eq_table_cl,'Cost Equations'!Q$4,FALSE)</f>
        <v>0</v>
      </c>
    </row>
    <row r="174" spans="1:17">
      <c r="A174" s="807" t="s">
        <v>5613</v>
      </c>
      <c r="C174" s="86">
        <f t="shared" si="37"/>
        <v>0</v>
      </c>
      <c r="D174" s="77">
        <f t="shared" si="40"/>
        <v>0</v>
      </c>
      <c r="E174" s="151" t="s">
        <v>5606</v>
      </c>
      <c r="F174" s="14">
        <f>VLOOKUP($E174,eq_table_cl,'Cost Equations'!F$4,FALSE)</f>
        <v>0</v>
      </c>
      <c r="G174" s="14">
        <f>VLOOKUP($E174,eq_table_cl,'Cost Equations'!G$4,FALSE)</f>
        <v>0</v>
      </c>
      <c r="H174" s="14">
        <f>VLOOKUP($E174,eq_table_cl,'Cost Equations'!H$4,FALSE)</f>
        <v>0</v>
      </c>
      <c r="I174" s="14">
        <f>VLOOKUP($E174,eq_table_cl,'Cost Equations'!I$4,FALSE)</f>
        <v>0</v>
      </c>
      <c r="J174" s="14">
        <f>VLOOKUP($E174,eq_table_cl,'Cost Equations'!J$4,FALSE)</f>
        <v>0</v>
      </c>
      <c r="K174" s="14">
        <f>VLOOKUP($E174,eq_table_cl,'Cost Equations'!K$4,FALSE)</f>
        <v>0</v>
      </c>
      <c r="L174" s="14">
        <f>VLOOKUP($E174,eq_table_cl,'Cost Equations'!L$4,FALSE)</f>
        <v>0</v>
      </c>
      <c r="M174" s="14">
        <f>VLOOKUP($E174,eq_table_cl,'Cost Equations'!M$4,FALSE)</f>
        <v>-2.8111870000000001E-2</v>
      </c>
      <c r="N174" s="14">
        <f>VLOOKUP($E174,eq_table_cl,'Cost Equations'!N$4,FALSE)</f>
        <v>138.497637586</v>
      </c>
      <c r="O174" s="14">
        <f>VLOOKUP($E174,eq_table_cl,'Cost Equations'!O$4,FALSE)</f>
        <v>3440.5033408099998</v>
      </c>
      <c r="P174" s="14">
        <f>VLOOKUP($E174,eq_table_cl,'Cost Equations'!P$4,FALSE)</f>
        <v>2000.1</v>
      </c>
      <c r="Q174" s="14">
        <f>VLOOKUP($E174,eq_table_cl,'Cost Equations'!Q$4,FALSE)</f>
        <v>0</v>
      </c>
    </row>
    <row r="175" spans="1:17">
      <c r="A175" s="807" t="s">
        <v>5614</v>
      </c>
      <c r="C175" s="86">
        <f t="shared" si="37"/>
        <v>0</v>
      </c>
      <c r="D175" s="77">
        <f t="shared" si="40"/>
        <v>0</v>
      </c>
      <c r="E175" s="151" t="s">
        <v>5607</v>
      </c>
      <c r="F175" s="14">
        <f>VLOOKUP($E175,eq_table_cl,'Cost Equations'!F$4,FALSE)</f>
        <v>0</v>
      </c>
      <c r="G175" s="14">
        <f>VLOOKUP($E175,eq_table_cl,'Cost Equations'!G$4,FALSE)</f>
        <v>0</v>
      </c>
      <c r="H175" s="14">
        <f>VLOOKUP($E175,eq_table_cl,'Cost Equations'!H$4,FALSE)</f>
        <v>0</v>
      </c>
      <c r="I175" s="14">
        <f>VLOOKUP($E175,eq_table_cl,'Cost Equations'!I$4,FALSE)</f>
        <v>0</v>
      </c>
      <c r="J175" s="14">
        <f>VLOOKUP($E175,eq_table_cl,'Cost Equations'!J$4,FALSE)</f>
        <v>0</v>
      </c>
      <c r="K175" s="14">
        <f>VLOOKUP($E175,eq_table_cl,'Cost Equations'!K$4,FALSE)</f>
        <v>0</v>
      </c>
      <c r="L175" s="14">
        <f>VLOOKUP($E175,eq_table_cl,'Cost Equations'!L$4,FALSE)</f>
        <v>0</v>
      </c>
      <c r="M175" s="14">
        <f>VLOOKUP($E175,eq_table_cl,'Cost Equations'!M$4,FALSE)</f>
        <v>-0.32797716599999999</v>
      </c>
      <c r="N175" s="14">
        <f>VLOOKUP($E175,eq_table_cl,'Cost Equations'!N$4,FALSE)</f>
        <v>232.563202193</v>
      </c>
      <c r="O175" s="14">
        <f>VLOOKUP($E175,eq_table_cl,'Cost Equations'!O$4,FALSE)</f>
        <v>3389.3015626460001</v>
      </c>
      <c r="P175" s="14">
        <f>VLOOKUP($E175,eq_table_cl,'Cost Equations'!P$4,FALSE)</f>
        <v>250.1</v>
      </c>
      <c r="Q175" s="14">
        <f>VLOOKUP($E175,eq_table_cl,'Cost Equations'!Q$4,FALSE)</f>
        <v>0</v>
      </c>
    </row>
    <row r="176" spans="1:17">
      <c r="A176" s="807" t="s">
        <v>5615</v>
      </c>
      <c r="C176" s="86">
        <f t="shared" si="37"/>
        <v>0</v>
      </c>
      <c r="D176" s="77">
        <f t="shared" si="40"/>
        <v>0</v>
      </c>
      <c r="E176" s="151" t="s">
        <v>5608</v>
      </c>
      <c r="F176" s="14">
        <f>VLOOKUP($E176,eq_table_cl,'Cost Equations'!F$4,FALSE)</f>
        <v>1526.907357395</v>
      </c>
      <c r="G176" s="14">
        <f>VLOOKUP($E176,eq_table_cl,'Cost Equations'!G$4,FALSE)</f>
        <v>0.61024054000000005</v>
      </c>
      <c r="H176" s="14">
        <f>VLOOKUP($E176,eq_table_cl,'Cost Equations'!H$4,FALSE)</f>
        <v>0</v>
      </c>
      <c r="I176" s="14">
        <f>VLOOKUP($E176,eq_table_cl,'Cost Equations'!I$4,FALSE)</f>
        <v>0</v>
      </c>
      <c r="J176" s="14">
        <f>VLOOKUP($E176,eq_table_cl,'Cost Equations'!J$4,FALSE)</f>
        <v>0</v>
      </c>
      <c r="K176" s="14">
        <f>VLOOKUP($E176,eq_table_cl,'Cost Equations'!K$4,FALSE)</f>
        <v>0</v>
      </c>
      <c r="L176" s="14">
        <f>VLOOKUP($E176,eq_table_cl,'Cost Equations'!L$4,FALSE)</f>
        <v>0</v>
      </c>
      <c r="M176" s="14">
        <f>VLOOKUP($E176,eq_table_cl,'Cost Equations'!M$4,FALSE)</f>
        <v>0</v>
      </c>
      <c r="N176" s="14">
        <f>VLOOKUP($E176,eq_table_cl,'Cost Equations'!N$4,FALSE)</f>
        <v>0</v>
      </c>
      <c r="O176" s="14">
        <f>VLOOKUP($E176,eq_table_cl,'Cost Equations'!O$4,FALSE)</f>
        <v>0</v>
      </c>
      <c r="P176" s="14">
        <f>VLOOKUP($E176,eq_table_cl,'Cost Equations'!P$4,FALSE)</f>
        <v>225.1</v>
      </c>
      <c r="Q176" s="14">
        <f>VLOOKUP($E176,eq_table_cl,'Cost Equations'!Q$4,FALSE)</f>
        <v>0</v>
      </c>
    </row>
    <row r="177" spans="1:17">
      <c r="A177" s="807" t="s">
        <v>5616</v>
      </c>
      <c r="C177" s="86">
        <f t="shared" si="37"/>
        <v>0</v>
      </c>
      <c r="D177" s="77">
        <f t="shared" si="40"/>
        <v>0</v>
      </c>
      <c r="E177" s="151" t="s">
        <v>5609</v>
      </c>
      <c r="F177" s="14">
        <f>VLOOKUP($E177,eq_table_cl,'Cost Equations'!F$4,FALSE)</f>
        <v>3021.4372028819998</v>
      </c>
      <c r="G177" s="14">
        <f>VLOOKUP($E177,eq_table_cl,'Cost Equations'!G$4,FALSE)</f>
        <v>0.51326787299999999</v>
      </c>
      <c r="H177" s="14">
        <f>VLOOKUP($E177,eq_table_cl,'Cost Equations'!H$4,FALSE)</f>
        <v>0</v>
      </c>
      <c r="I177" s="14">
        <f>VLOOKUP($E177,eq_table_cl,'Cost Equations'!I$4,FALSE)</f>
        <v>0</v>
      </c>
      <c r="J177" s="14">
        <f>VLOOKUP($E177,eq_table_cl,'Cost Equations'!J$4,FALSE)</f>
        <v>0</v>
      </c>
      <c r="K177" s="14">
        <f>VLOOKUP($E177,eq_table_cl,'Cost Equations'!K$4,FALSE)</f>
        <v>0</v>
      </c>
      <c r="L177" s="14">
        <f>VLOOKUP($E177,eq_table_cl,'Cost Equations'!L$4,FALSE)</f>
        <v>0</v>
      </c>
      <c r="M177" s="14">
        <f>VLOOKUP($E177,eq_table_cl,'Cost Equations'!M$4,FALSE)</f>
        <v>0</v>
      </c>
      <c r="N177" s="14">
        <f>VLOOKUP($E177,eq_table_cl,'Cost Equations'!N$4,FALSE)</f>
        <v>0</v>
      </c>
      <c r="O177" s="14">
        <f>VLOOKUP($E177,eq_table_cl,'Cost Equations'!O$4,FALSE)</f>
        <v>0</v>
      </c>
      <c r="P177" s="14">
        <f>VLOOKUP($E177,eq_table_cl,'Cost Equations'!P$4,FALSE)</f>
        <v>185.1</v>
      </c>
      <c r="Q177" s="14">
        <f>VLOOKUP($E177,eq_table_cl,'Cost Equations'!Q$4,FALSE)</f>
        <v>0</v>
      </c>
    </row>
    <row r="178" spans="1:17">
      <c r="A178" s="1080" t="s">
        <v>1758</v>
      </c>
      <c r="B178" s="77" t="s">
        <v>5538</v>
      </c>
      <c r="C178" s="86">
        <f>VLOOKUP(CONCATENATE("Booster pumps, stage 3 - ", inf_pump_class),$A$179:$C$185,3,FALSE)</f>
        <v>0</v>
      </c>
      <c r="F178" s="14"/>
      <c r="G178" s="14"/>
      <c r="H178" s="14"/>
      <c r="I178" s="14"/>
      <c r="J178" s="14"/>
      <c r="K178" s="14"/>
      <c r="L178" s="14"/>
      <c r="M178" s="14"/>
      <c r="N178" s="14"/>
      <c r="O178" s="14"/>
      <c r="P178" s="14"/>
      <c r="Q178" s="14"/>
    </row>
    <row r="179" spans="1:17">
      <c r="A179" s="807" t="s">
        <v>5617</v>
      </c>
      <c r="C179" s="86">
        <f t="shared" si="37"/>
        <v>0</v>
      </c>
      <c r="D179" s="77">
        <f t="shared" ref="D179:D185" si="41">boost_pump_3_gpm</f>
        <v>0</v>
      </c>
      <c r="E179" s="77" t="s">
        <v>5604</v>
      </c>
      <c r="F179" s="14">
        <f>VLOOKUP($E179,eq_table_cl,'Cost Equations'!F$4,FALSE)</f>
        <v>1519.5593954139999</v>
      </c>
      <c r="G179" s="14">
        <f>VLOOKUP($E179,eq_table_cl,'Cost Equations'!G$4,FALSE)</f>
        <v>0.44311756899999999</v>
      </c>
      <c r="H179" s="14">
        <f>VLOOKUP($E179,eq_table_cl,'Cost Equations'!H$4,FALSE)</f>
        <v>0</v>
      </c>
      <c r="I179" s="14">
        <f>VLOOKUP($E179,eq_table_cl,'Cost Equations'!I$4,FALSE)</f>
        <v>0</v>
      </c>
      <c r="J179" s="14">
        <f>VLOOKUP($E179,eq_table_cl,'Cost Equations'!J$4,FALSE)</f>
        <v>0</v>
      </c>
      <c r="K179" s="14">
        <f>VLOOKUP($E179,eq_table_cl,'Cost Equations'!K$4,FALSE)</f>
        <v>0</v>
      </c>
      <c r="L179" s="14">
        <f>VLOOKUP($E179,eq_table_cl,'Cost Equations'!L$4,FALSE)</f>
        <v>0</v>
      </c>
      <c r="M179" s="14">
        <f>VLOOKUP($E179,eq_table_cl,'Cost Equations'!M$4,FALSE)</f>
        <v>0</v>
      </c>
      <c r="N179" s="14">
        <f>VLOOKUP($E179,eq_table_cl,'Cost Equations'!N$4,FALSE)</f>
        <v>0</v>
      </c>
      <c r="O179" s="14">
        <f>VLOOKUP($E179,eq_table_cl,'Cost Equations'!O$4,FALSE)</f>
        <v>0</v>
      </c>
      <c r="P179" s="14">
        <f>VLOOKUP($E179,eq_table_cl,'Cost Equations'!P$4,FALSE)</f>
        <v>500.1</v>
      </c>
      <c r="Q179" s="14">
        <f>VLOOKUP($E179,eq_table_cl,'Cost Equations'!Q$4,FALSE)</f>
        <v>0</v>
      </c>
    </row>
    <row r="180" spans="1:17">
      <c r="A180" s="807" t="s">
        <v>5618</v>
      </c>
      <c r="C180" s="86">
        <f t="shared" si="37"/>
        <v>0</v>
      </c>
      <c r="D180" s="77">
        <f t="shared" si="41"/>
        <v>0</v>
      </c>
      <c r="E180" s="151" t="s">
        <v>5603</v>
      </c>
      <c r="F180" s="14">
        <f>VLOOKUP($E180,eq_table_cl,'Cost Equations'!F$4,FALSE)</f>
        <v>1976.6355754589999</v>
      </c>
      <c r="G180" s="14">
        <f>VLOOKUP($E180,eq_table_cl,'Cost Equations'!G$4,FALSE)</f>
        <v>0.41723543800000001</v>
      </c>
      <c r="H180" s="14">
        <f>VLOOKUP($E180,eq_table_cl,'Cost Equations'!H$4,FALSE)</f>
        <v>0</v>
      </c>
      <c r="I180" s="14">
        <f>VLOOKUP($E180,eq_table_cl,'Cost Equations'!I$4,FALSE)</f>
        <v>0</v>
      </c>
      <c r="J180" s="14">
        <f>VLOOKUP($E180,eq_table_cl,'Cost Equations'!J$4,FALSE)</f>
        <v>0</v>
      </c>
      <c r="K180" s="14">
        <f>VLOOKUP($E180,eq_table_cl,'Cost Equations'!K$4,FALSE)</f>
        <v>0</v>
      </c>
      <c r="L180" s="14">
        <f>VLOOKUP($E180,eq_table_cl,'Cost Equations'!L$4,FALSE)</f>
        <v>0</v>
      </c>
      <c r="M180" s="14">
        <f>VLOOKUP($E180,eq_table_cl,'Cost Equations'!M$4,FALSE)</f>
        <v>0</v>
      </c>
      <c r="N180" s="14">
        <f>VLOOKUP($E180,eq_table_cl,'Cost Equations'!N$4,FALSE)</f>
        <v>0</v>
      </c>
      <c r="O180" s="14">
        <f>VLOOKUP($E180,eq_table_cl,'Cost Equations'!O$4,FALSE)</f>
        <v>0</v>
      </c>
      <c r="P180" s="14">
        <f>VLOOKUP($E180,eq_table_cl,'Cost Equations'!P$4,FALSE)</f>
        <v>2000.1</v>
      </c>
      <c r="Q180" s="14">
        <f>VLOOKUP($E180,eq_table_cl,'Cost Equations'!Q$4,FALSE)</f>
        <v>0</v>
      </c>
    </row>
    <row r="181" spans="1:17">
      <c r="A181" s="807" t="s">
        <v>5619</v>
      </c>
      <c r="C181" s="86">
        <f t="shared" si="37"/>
        <v>0</v>
      </c>
      <c r="D181" s="77">
        <f t="shared" si="41"/>
        <v>0</v>
      </c>
      <c r="E181" s="151" t="s">
        <v>5605</v>
      </c>
      <c r="F181" s="14">
        <f>VLOOKUP($E181,eq_table_cl,'Cost Equations'!F$4,FALSE)</f>
        <v>0</v>
      </c>
      <c r="G181" s="14">
        <f>VLOOKUP($E181,eq_table_cl,'Cost Equations'!G$4,FALSE)</f>
        <v>0</v>
      </c>
      <c r="H181" s="14">
        <f>VLOOKUP($E181,eq_table_cl,'Cost Equations'!H$4,FALSE)</f>
        <v>0</v>
      </c>
      <c r="I181" s="14">
        <f>VLOOKUP($E181,eq_table_cl,'Cost Equations'!I$4,FALSE)</f>
        <v>0</v>
      </c>
      <c r="J181" s="14">
        <f>VLOOKUP($E181,eq_table_cl,'Cost Equations'!J$4,FALSE)</f>
        <v>0</v>
      </c>
      <c r="K181" s="14">
        <f>VLOOKUP($E181,eq_table_cl,'Cost Equations'!K$4,FALSE)</f>
        <v>0</v>
      </c>
      <c r="L181" s="14">
        <f>VLOOKUP($E181,eq_table_cl,'Cost Equations'!L$4,FALSE)</f>
        <v>0</v>
      </c>
      <c r="M181" s="14">
        <f>VLOOKUP($E181,eq_table_cl,'Cost Equations'!M$4,FALSE)</f>
        <v>0</v>
      </c>
      <c r="N181" s="14">
        <f>VLOOKUP($E181,eq_table_cl,'Cost Equations'!N$4,FALSE)</f>
        <v>72.107578773</v>
      </c>
      <c r="O181" s="14">
        <f>VLOOKUP($E181,eq_table_cl,'Cost Equations'!O$4,FALSE)</f>
        <v>4668.9350805410004</v>
      </c>
      <c r="P181" s="14">
        <f>VLOOKUP($E181,eq_table_cl,'Cost Equations'!P$4,FALSE)</f>
        <v>2000.1</v>
      </c>
      <c r="Q181" s="14">
        <f>VLOOKUP($E181,eq_table_cl,'Cost Equations'!Q$4,FALSE)</f>
        <v>0</v>
      </c>
    </row>
    <row r="182" spans="1:17">
      <c r="A182" s="807" t="s">
        <v>5620</v>
      </c>
      <c r="C182" s="86">
        <f t="shared" si="37"/>
        <v>0</v>
      </c>
      <c r="D182" s="77">
        <f t="shared" si="41"/>
        <v>0</v>
      </c>
      <c r="E182" s="151" t="s">
        <v>5606</v>
      </c>
      <c r="F182" s="14">
        <f>VLOOKUP($E182,eq_table_cl,'Cost Equations'!F$4,FALSE)</f>
        <v>0</v>
      </c>
      <c r="G182" s="14">
        <f>VLOOKUP($E182,eq_table_cl,'Cost Equations'!G$4,FALSE)</f>
        <v>0</v>
      </c>
      <c r="H182" s="14">
        <f>VLOOKUP($E182,eq_table_cl,'Cost Equations'!H$4,FALSE)</f>
        <v>0</v>
      </c>
      <c r="I182" s="14">
        <f>VLOOKUP($E182,eq_table_cl,'Cost Equations'!I$4,FALSE)</f>
        <v>0</v>
      </c>
      <c r="J182" s="14">
        <f>VLOOKUP($E182,eq_table_cl,'Cost Equations'!J$4,FALSE)</f>
        <v>0</v>
      </c>
      <c r="K182" s="14">
        <f>VLOOKUP($E182,eq_table_cl,'Cost Equations'!K$4,FALSE)</f>
        <v>0</v>
      </c>
      <c r="L182" s="14">
        <f>VLOOKUP($E182,eq_table_cl,'Cost Equations'!L$4,FALSE)</f>
        <v>0</v>
      </c>
      <c r="M182" s="14">
        <f>VLOOKUP($E182,eq_table_cl,'Cost Equations'!M$4,FALSE)</f>
        <v>-2.8111870000000001E-2</v>
      </c>
      <c r="N182" s="14">
        <f>VLOOKUP($E182,eq_table_cl,'Cost Equations'!N$4,FALSE)</f>
        <v>138.497637586</v>
      </c>
      <c r="O182" s="14">
        <f>VLOOKUP($E182,eq_table_cl,'Cost Equations'!O$4,FALSE)</f>
        <v>3440.5033408099998</v>
      </c>
      <c r="P182" s="14">
        <f>VLOOKUP($E182,eq_table_cl,'Cost Equations'!P$4,FALSE)</f>
        <v>2000.1</v>
      </c>
      <c r="Q182" s="14">
        <f>VLOOKUP($E182,eq_table_cl,'Cost Equations'!Q$4,FALSE)</f>
        <v>0</v>
      </c>
    </row>
    <row r="183" spans="1:17">
      <c r="A183" s="807" t="s">
        <v>5621</v>
      </c>
      <c r="C183" s="86">
        <f t="shared" si="37"/>
        <v>0</v>
      </c>
      <c r="D183" s="77">
        <f t="shared" si="41"/>
        <v>0</v>
      </c>
      <c r="E183" s="151" t="s">
        <v>5607</v>
      </c>
      <c r="F183" s="14">
        <f>VLOOKUP($E183,eq_table_cl,'Cost Equations'!F$4,FALSE)</f>
        <v>0</v>
      </c>
      <c r="G183" s="14">
        <f>VLOOKUP($E183,eq_table_cl,'Cost Equations'!G$4,FALSE)</f>
        <v>0</v>
      </c>
      <c r="H183" s="14">
        <f>VLOOKUP($E183,eq_table_cl,'Cost Equations'!H$4,FALSE)</f>
        <v>0</v>
      </c>
      <c r="I183" s="14">
        <f>VLOOKUP($E183,eq_table_cl,'Cost Equations'!I$4,FALSE)</f>
        <v>0</v>
      </c>
      <c r="J183" s="14">
        <f>VLOOKUP($E183,eq_table_cl,'Cost Equations'!J$4,FALSE)</f>
        <v>0</v>
      </c>
      <c r="K183" s="14">
        <f>VLOOKUP($E183,eq_table_cl,'Cost Equations'!K$4,FALSE)</f>
        <v>0</v>
      </c>
      <c r="L183" s="14">
        <f>VLOOKUP($E183,eq_table_cl,'Cost Equations'!L$4,FALSE)</f>
        <v>0</v>
      </c>
      <c r="M183" s="14">
        <f>VLOOKUP($E183,eq_table_cl,'Cost Equations'!M$4,FALSE)</f>
        <v>-0.32797716599999999</v>
      </c>
      <c r="N183" s="14">
        <f>VLOOKUP($E183,eq_table_cl,'Cost Equations'!N$4,FALSE)</f>
        <v>232.563202193</v>
      </c>
      <c r="O183" s="14">
        <f>VLOOKUP($E183,eq_table_cl,'Cost Equations'!O$4,FALSE)</f>
        <v>3389.3015626460001</v>
      </c>
      <c r="P183" s="14">
        <f>VLOOKUP($E183,eq_table_cl,'Cost Equations'!P$4,FALSE)</f>
        <v>250.1</v>
      </c>
      <c r="Q183" s="14">
        <f>VLOOKUP($E183,eq_table_cl,'Cost Equations'!Q$4,FALSE)</f>
        <v>0</v>
      </c>
    </row>
    <row r="184" spans="1:17">
      <c r="A184" s="807" t="s">
        <v>5622</v>
      </c>
      <c r="C184" s="86">
        <f t="shared" si="37"/>
        <v>0</v>
      </c>
      <c r="D184" s="77">
        <f t="shared" si="41"/>
        <v>0</v>
      </c>
      <c r="E184" s="151" t="s">
        <v>5608</v>
      </c>
      <c r="F184" s="14">
        <f>VLOOKUP($E184,eq_table_cl,'Cost Equations'!F$4,FALSE)</f>
        <v>1526.907357395</v>
      </c>
      <c r="G184" s="14">
        <f>VLOOKUP($E184,eq_table_cl,'Cost Equations'!G$4,FALSE)</f>
        <v>0.61024054000000005</v>
      </c>
      <c r="H184" s="14">
        <f>VLOOKUP($E184,eq_table_cl,'Cost Equations'!H$4,FALSE)</f>
        <v>0</v>
      </c>
      <c r="I184" s="14">
        <f>VLOOKUP($E184,eq_table_cl,'Cost Equations'!I$4,FALSE)</f>
        <v>0</v>
      </c>
      <c r="J184" s="14">
        <f>VLOOKUP($E184,eq_table_cl,'Cost Equations'!J$4,FALSE)</f>
        <v>0</v>
      </c>
      <c r="K184" s="14">
        <f>VLOOKUP($E184,eq_table_cl,'Cost Equations'!K$4,FALSE)</f>
        <v>0</v>
      </c>
      <c r="L184" s="14">
        <f>VLOOKUP($E184,eq_table_cl,'Cost Equations'!L$4,FALSE)</f>
        <v>0</v>
      </c>
      <c r="M184" s="14">
        <f>VLOOKUP($E184,eq_table_cl,'Cost Equations'!M$4,FALSE)</f>
        <v>0</v>
      </c>
      <c r="N184" s="14">
        <f>VLOOKUP($E184,eq_table_cl,'Cost Equations'!N$4,FALSE)</f>
        <v>0</v>
      </c>
      <c r="O184" s="14">
        <f>VLOOKUP($E184,eq_table_cl,'Cost Equations'!O$4,FALSE)</f>
        <v>0</v>
      </c>
      <c r="P184" s="14">
        <f>VLOOKUP($E184,eq_table_cl,'Cost Equations'!P$4,FALSE)</f>
        <v>225.1</v>
      </c>
      <c r="Q184" s="14">
        <f>VLOOKUP($E184,eq_table_cl,'Cost Equations'!Q$4,FALSE)</f>
        <v>0</v>
      </c>
    </row>
    <row r="185" spans="1:17">
      <c r="A185" s="807" t="s">
        <v>5623</v>
      </c>
      <c r="C185" s="86">
        <f t="shared" si="37"/>
        <v>0</v>
      </c>
      <c r="D185" s="77">
        <f t="shared" si="41"/>
        <v>0</v>
      </c>
      <c r="E185" s="151" t="s">
        <v>5609</v>
      </c>
      <c r="F185" s="14">
        <f>VLOOKUP($E185,eq_table_cl,'Cost Equations'!F$4,FALSE)</f>
        <v>3021.4372028819998</v>
      </c>
      <c r="G185" s="14">
        <f>VLOOKUP($E185,eq_table_cl,'Cost Equations'!G$4,FALSE)</f>
        <v>0.51326787299999999</v>
      </c>
      <c r="H185" s="14">
        <f>VLOOKUP($E185,eq_table_cl,'Cost Equations'!H$4,FALSE)</f>
        <v>0</v>
      </c>
      <c r="I185" s="14">
        <f>VLOOKUP($E185,eq_table_cl,'Cost Equations'!I$4,FALSE)</f>
        <v>0</v>
      </c>
      <c r="J185" s="14">
        <f>VLOOKUP($E185,eq_table_cl,'Cost Equations'!J$4,FALSE)</f>
        <v>0</v>
      </c>
      <c r="K185" s="14">
        <f>VLOOKUP($E185,eq_table_cl,'Cost Equations'!K$4,FALSE)</f>
        <v>0</v>
      </c>
      <c r="L185" s="14">
        <f>VLOOKUP($E185,eq_table_cl,'Cost Equations'!L$4,FALSE)</f>
        <v>0</v>
      </c>
      <c r="M185" s="14">
        <f>VLOOKUP($E185,eq_table_cl,'Cost Equations'!M$4,FALSE)</f>
        <v>0</v>
      </c>
      <c r="N185" s="14">
        <f>VLOOKUP($E185,eq_table_cl,'Cost Equations'!N$4,FALSE)</f>
        <v>0</v>
      </c>
      <c r="O185" s="14">
        <f>VLOOKUP($E185,eq_table_cl,'Cost Equations'!O$4,FALSE)</f>
        <v>0</v>
      </c>
      <c r="P185" s="14">
        <f>VLOOKUP($E185,eq_table_cl,'Cost Equations'!P$4,FALSE)</f>
        <v>185.1</v>
      </c>
      <c r="Q185" s="14">
        <f>VLOOKUP($E185,eq_table_cl,'Cost Equations'!Q$4,FALSE)</f>
        <v>0</v>
      </c>
    </row>
    <row r="186" spans="1:17">
      <c r="A186" s="265" t="s">
        <v>3485</v>
      </c>
      <c r="B186" s="77" t="s">
        <v>3265</v>
      </c>
      <c r="C186" s="86">
        <f t="shared" ca="1" si="37"/>
        <v>369.50995692200001</v>
      </c>
      <c r="D186" s="77">
        <f ca="1">chem_pump_rating</f>
        <v>175</v>
      </c>
      <c r="E186" s="14" t="s">
        <v>2775</v>
      </c>
      <c r="F186" s="14">
        <f t="shared" ref="F186:Q188" si="42">VLOOKUP($E186,eq_table_cl,F$4,FALSE)</f>
        <v>0</v>
      </c>
      <c r="G186" s="14">
        <f t="shared" si="42"/>
        <v>0</v>
      </c>
      <c r="H186" s="14">
        <f t="shared" si="42"/>
        <v>0</v>
      </c>
      <c r="I186" s="14">
        <f t="shared" si="42"/>
        <v>0</v>
      </c>
      <c r="J186" s="14">
        <f t="shared" si="42"/>
        <v>0</v>
      </c>
      <c r="K186" s="14">
        <f t="shared" si="42"/>
        <v>0</v>
      </c>
      <c r="L186" s="14">
        <f t="shared" si="42"/>
        <v>6.9999999999999998E-9</v>
      </c>
      <c r="M186" s="14">
        <f t="shared" si="42"/>
        <v>-8.4886E-5</v>
      </c>
      <c r="N186" s="14">
        <f t="shared" si="42"/>
        <v>0.69704597199999996</v>
      </c>
      <c r="O186" s="14">
        <f t="shared" si="42"/>
        <v>250.089029947</v>
      </c>
      <c r="P186" s="14">
        <f t="shared" si="42"/>
        <v>12180.01</v>
      </c>
      <c r="Q186" s="14">
        <f t="shared" si="42"/>
        <v>0</v>
      </c>
    </row>
    <row r="187" spans="1:17">
      <c r="A187" s="265" t="s">
        <v>4134</v>
      </c>
      <c r="B187" s="77" t="s">
        <v>4135</v>
      </c>
      <c r="C187" s="86">
        <f t="shared" ca="1" si="37"/>
        <v>15882.564886169301</v>
      </c>
      <c r="D187" s="77">
        <f ca="1">res_pump_rating</f>
        <v>827.01954347814251</v>
      </c>
      <c r="E187" s="77" t="s">
        <v>1552</v>
      </c>
      <c r="F187" s="14">
        <f t="shared" si="42"/>
        <v>0</v>
      </c>
      <c r="G187" s="14">
        <f t="shared" si="42"/>
        <v>0</v>
      </c>
      <c r="H187" s="14">
        <f t="shared" si="42"/>
        <v>0</v>
      </c>
      <c r="I187" s="14">
        <f t="shared" si="42"/>
        <v>0</v>
      </c>
      <c r="J187" s="14">
        <f t="shared" si="42"/>
        <v>0</v>
      </c>
      <c r="K187" s="14">
        <f t="shared" si="42"/>
        <v>0</v>
      </c>
      <c r="L187" s="14">
        <f t="shared" si="42"/>
        <v>0</v>
      </c>
      <c r="M187" s="14">
        <f t="shared" si="42"/>
        <v>-6.7002999999999995E-4</v>
      </c>
      <c r="N187" s="14">
        <f t="shared" si="42"/>
        <v>14.809014980000001</v>
      </c>
      <c r="O187" s="14">
        <f t="shared" si="42"/>
        <v>4093.494684836</v>
      </c>
      <c r="P187" s="14">
        <f t="shared" si="42"/>
        <v>10001</v>
      </c>
      <c r="Q187" s="14">
        <f t="shared" si="42"/>
        <v>0</v>
      </c>
    </row>
    <row r="188" spans="1:17">
      <c r="A188" s="265" t="s">
        <v>4010</v>
      </c>
      <c r="B188" s="77" t="s">
        <v>4013</v>
      </c>
      <c r="C188" s="86">
        <f t="shared" si="37"/>
        <v>0</v>
      </c>
      <c r="D188" s="77">
        <f>well_pump_rating</f>
        <v>0</v>
      </c>
      <c r="E188" s="77" t="s">
        <v>4014</v>
      </c>
      <c r="F188" s="14">
        <f t="shared" si="42"/>
        <v>0</v>
      </c>
      <c r="G188" s="14">
        <f t="shared" si="42"/>
        <v>0</v>
      </c>
      <c r="H188" s="14">
        <f t="shared" si="42"/>
        <v>0</v>
      </c>
      <c r="I188" s="14">
        <f t="shared" si="42"/>
        <v>0</v>
      </c>
      <c r="J188" s="14">
        <f t="shared" si="42"/>
        <v>0</v>
      </c>
      <c r="K188" s="14">
        <f t="shared" si="42"/>
        <v>0</v>
      </c>
      <c r="L188" s="14">
        <f t="shared" si="42"/>
        <v>0</v>
      </c>
      <c r="M188" s="14">
        <f t="shared" si="42"/>
        <v>0</v>
      </c>
      <c r="N188" s="14">
        <f t="shared" si="42"/>
        <v>13.743826180999999</v>
      </c>
      <c r="O188" s="14">
        <f t="shared" si="42"/>
        <v>4278.8929318689998</v>
      </c>
      <c r="P188" s="14">
        <f t="shared" si="42"/>
        <v>2001</v>
      </c>
      <c r="Q188" s="14">
        <f t="shared" si="42"/>
        <v>0</v>
      </c>
    </row>
    <row r="189" spans="1:17">
      <c r="A189" s="264" t="s">
        <v>1257</v>
      </c>
    </row>
    <row r="190" spans="1:17">
      <c r="A190" s="265" t="s">
        <v>1258</v>
      </c>
      <c r="B190" s="77" t="s">
        <v>339</v>
      </c>
      <c r="C190" s="86">
        <f t="shared" si="37"/>
        <v>22813.242029879595</v>
      </c>
      <c r="D190" s="77">
        <f>filter_size</f>
        <v>1.423680235285524</v>
      </c>
      <c r="E190" s="77" t="s">
        <v>339</v>
      </c>
      <c r="F190" s="14">
        <f t="shared" ref="F190:Q190" si="43">VLOOKUP($E190,eq_table_cl,F$4,FALSE)</f>
        <v>17326.162772510001</v>
      </c>
      <c r="G190" s="14">
        <f t="shared" si="43"/>
        <v>0.77884561100000005</v>
      </c>
      <c r="H190" s="14">
        <f t="shared" si="43"/>
        <v>0</v>
      </c>
      <c r="I190" s="14">
        <f t="shared" si="43"/>
        <v>0</v>
      </c>
      <c r="J190" s="14">
        <f t="shared" si="43"/>
        <v>0</v>
      </c>
      <c r="K190" s="14">
        <f t="shared" si="43"/>
        <v>0</v>
      </c>
      <c r="L190" s="14">
        <f t="shared" si="43"/>
        <v>0</v>
      </c>
      <c r="M190" s="14">
        <f t="shared" si="43"/>
        <v>0</v>
      </c>
      <c r="N190" s="14">
        <f t="shared" si="43"/>
        <v>0</v>
      </c>
      <c r="O190" s="14">
        <f t="shared" si="43"/>
        <v>0</v>
      </c>
      <c r="P190" s="14">
        <f t="shared" si="43"/>
        <v>4.3210000000000006</v>
      </c>
      <c r="Q190" s="14">
        <f t="shared" si="43"/>
        <v>0</v>
      </c>
    </row>
    <row r="191" spans="1:17">
      <c r="A191" s="265" t="s">
        <v>1259</v>
      </c>
      <c r="C191"/>
      <c r="D191"/>
      <c r="E191"/>
    </row>
    <row r="192" spans="1:17">
      <c r="A192" s="281" t="s">
        <v>1502</v>
      </c>
      <c r="B192" s="77" t="s">
        <v>1506</v>
      </c>
      <c r="C192" s="86">
        <f t="shared" ca="1" si="37"/>
        <v>7612.6201300400007</v>
      </c>
      <c r="D192" s="229">
        <f ca="1">sec_screen_flow</f>
        <v>875</v>
      </c>
      <c r="E192" s="14" t="s">
        <v>4329</v>
      </c>
      <c r="F192" s="14">
        <f t="shared" ref="F192:Q196" si="44">VLOOKUP($E192,eq_table_cl,F$4,FALSE)</f>
        <v>0</v>
      </c>
      <c r="G192" s="14">
        <f t="shared" si="44"/>
        <v>0</v>
      </c>
      <c r="H192" s="14">
        <f t="shared" si="44"/>
        <v>0</v>
      </c>
      <c r="I192" s="14">
        <f t="shared" si="44"/>
        <v>0</v>
      </c>
      <c r="J192" s="14">
        <f t="shared" si="44"/>
        <v>0</v>
      </c>
      <c r="K192" s="14">
        <f t="shared" si="44"/>
        <v>0</v>
      </c>
      <c r="L192" s="14">
        <f t="shared" si="44"/>
        <v>-1.54E-7</v>
      </c>
      <c r="M192" s="14">
        <f t="shared" si="44"/>
        <v>1.9173980000000001E-3</v>
      </c>
      <c r="N192" s="14">
        <f t="shared" si="44"/>
        <v>5.4419935410000004</v>
      </c>
      <c r="O192" s="14">
        <f t="shared" si="44"/>
        <v>1486.0359066650001</v>
      </c>
      <c r="P192" s="14">
        <f t="shared" si="44"/>
        <v>6001</v>
      </c>
      <c r="Q192" s="14">
        <f t="shared" si="44"/>
        <v>0</v>
      </c>
    </row>
    <row r="193" spans="1:17">
      <c r="A193" s="281" t="s">
        <v>1503</v>
      </c>
      <c r="B193" s="77" t="s">
        <v>4328</v>
      </c>
      <c r="C193" s="86">
        <f t="shared" ca="1" si="37"/>
        <v>22063.528997624002</v>
      </c>
      <c r="D193" s="229">
        <f ca="1">sec_screen_flow</f>
        <v>875</v>
      </c>
      <c r="E193" s="14" t="s">
        <v>4330</v>
      </c>
      <c r="F193" s="14">
        <f t="shared" si="44"/>
        <v>0</v>
      </c>
      <c r="G193" s="14">
        <f t="shared" si="44"/>
        <v>0</v>
      </c>
      <c r="H193" s="14">
        <f t="shared" si="44"/>
        <v>0</v>
      </c>
      <c r="I193" s="14">
        <f t="shared" si="44"/>
        <v>0</v>
      </c>
      <c r="J193" s="14">
        <f t="shared" si="44"/>
        <v>0</v>
      </c>
      <c r="K193" s="14">
        <f t="shared" si="44"/>
        <v>0</v>
      </c>
      <c r="L193" s="14">
        <f t="shared" si="44"/>
        <v>-6.8599999999999998E-7</v>
      </c>
      <c r="M193" s="14">
        <f t="shared" si="44"/>
        <v>6.2010559999999999E-3</v>
      </c>
      <c r="N193" s="14">
        <f t="shared" si="44"/>
        <v>14.473026512000001</v>
      </c>
      <c r="O193" s="14">
        <f t="shared" si="44"/>
        <v>5111.5137058740002</v>
      </c>
      <c r="P193" s="14">
        <f t="shared" si="44"/>
        <v>6001</v>
      </c>
      <c r="Q193" s="14">
        <f t="shared" si="44"/>
        <v>0</v>
      </c>
    </row>
    <row r="194" spans="1:17">
      <c r="A194" s="265" t="s">
        <v>1260</v>
      </c>
      <c r="B194" s="77" t="s">
        <v>2780</v>
      </c>
      <c r="C194" s="86">
        <f t="shared" ca="1" si="37"/>
        <v>20743.19015774428</v>
      </c>
      <c r="D194" s="229">
        <f ca="1">clean_cart_filter_flow</f>
        <v>1.26</v>
      </c>
      <c r="E194" s="77" t="s">
        <v>339</v>
      </c>
      <c r="F194" s="14">
        <f t="shared" si="44"/>
        <v>17326.162772510001</v>
      </c>
      <c r="G194" s="14">
        <f t="shared" si="44"/>
        <v>0.77884561100000005</v>
      </c>
      <c r="H194" s="14">
        <f t="shared" si="44"/>
        <v>0</v>
      </c>
      <c r="I194" s="14">
        <f t="shared" si="44"/>
        <v>0</v>
      </c>
      <c r="J194" s="14">
        <f t="shared" si="44"/>
        <v>0</v>
      </c>
      <c r="K194" s="14">
        <f t="shared" si="44"/>
        <v>0</v>
      </c>
      <c r="L194" s="14">
        <f t="shared" si="44"/>
        <v>0</v>
      </c>
      <c r="M194" s="14">
        <f t="shared" si="44"/>
        <v>0</v>
      </c>
      <c r="N194" s="14">
        <f t="shared" si="44"/>
        <v>0</v>
      </c>
      <c r="O194" s="14">
        <f t="shared" si="44"/>
        <v>0</v>
      </c>
      <c r="P194" s="14">
        <f t="shared" si="44"/>
        <v>4.3210000000000006</v>
      </c>
      <c r="Q194" s="14">
        <f t="shared" si="44"/>
        <v>0</v>
      </c>
    </row>
    <row r="195" spans="1:17">
      <c r="A195" s="279" t="s">
        <v>2066</v>
      </c>
      <c r="B195" s="77" t="s">
        <v>3737</v>
      </c>
      <c r="C195" s="86">
        <f t="shared" si="37"/>
        <v>250.28159589667504</v>
      </c>
      <c r="D195" s="77">
        <f>filter_size</f>
        <v>1.423680235285524</v>
      </c>
      <c r="E195" s="77" t="s">
        <v>3737</v>
      </c>
      <c r="F195" s="14">
        <f t="shared" si="44"/>
        <v>237.34079770899999</v>
      </c>
      <c r="G195" s="14">
        <f t="shared" si="44"/>
        <v>0.15029104200000001</v>
      </c>
      <c r="H195" s="14">
        <f t="shared" si="44"/>
        <v>0</v>
      </c>
      <c r="I195" s="14">
        <f t="shared" si="44"/>
        <v>0</v>
      </c>
      <c r="J195" s="14">
        <f t="shared" si="44"/>
        <v>0</v>
      </c>
      <c r="K195" s="14">
        <f t="shared" si="44"/>
        <v>0</v>
      </c>
      <c r="L195" s="14">
        <f t="shared" si="44"/>
        <v>0</v>
      </c>
      <c r="M195" s="14">
        <f t="shared" si="44"/>
        <v>0</v>
      </c>
      <c r="N195" s="14">
        <f t="shared" si="44"/>
        <v>0</v>
      </c>
      <c r="O195" s="14">
        <f t="shared" si="44"/>
        <v>0</v>
      </c>
      <c r="P195" s="14">
        <f t="shared" si="44"/>
        <v>5</v>
      </c>
      <c r="Q195" s="14">
        <f t="shared" si="44"/>
        <v>0</v>
      </c>
    </row>
    <row r="196" spans="1:17">
      <c r="A196" s="1020" t="s">
        <v>3736</v>
      </c>
      <c r="B196" s="77" t="s">
        <v>3738</v>
      </c>
      <c r="C196" s="86">
        <f t="shared" si="37"/>
        <v>282.84913279128847</v>
      </c>
      <c r="D196" s="77">
        <f>filter_size</f>
        <v>1.423680235285524</v>
      </c>
      <c r="E196" s="77" t="s">
        <v>3738</v>
      </c>
      <c r="F196" s="14">
        <f t="shared" si="44"/>
        <v>270.52007973799999</v>
      </c>
      <c r="G196" s="14">
        <f t="shared" si="44"/>
        <v>0.12616540600000001</v>
      </c>
      <c r="H196" s="14">
        <f t="shared" si="44"/>
        <v>0</v>
      </c>
      <c r="I196" s="14">
        <f t="shared" si="44"/>
        <v>0</v>
      </c>
      <c r="J196" s="14">
        <f t="shared" si="44"/>
        <v>0</v>
      </c>
      <c r="K196" s="14">
        <f t="shared" si="44"/>
        <v>0</v>
      </c>
      <c r="L196" s="14">
        <f t="shared" si="44"/>
        <v>0</v>
      </c>
      <c r="M196" s="14">
        <f t="shared" si="44"/>
        <v>0</v>
      </c>
      <c r="N196" s="14">
        <f t="shared" si="44"/>
        <v>0</v>
      </c>
      <c r="O196" s="14">
        <f t="shared" si="44"/>
        <v>0</v>
      </c>
      <c r="P196" s="14">
        <f t="shared" si="44"/>
        <v>5</v>
      </c>
      <c r="Q196" s="14">
        <f t="shared" si="44"/>
        <v>0</v>
      </c>
    </row>
    <row r="197" spans="1:17">
      <c r="A197" s="264" t="s">
        <v>1256</v>
      </c>
    </row>
    <row r="198" spans="1:17" s="229" customFormat="1">
      <c r="A198" s="1019" t="s">
        <v>1208</v>
      </c>
    </row>
    <row r="199" spans="1:17" s="229" customFormat="1">
      <c r="A199" s="141" t="s">
        <v>4136</v>
      </c>
      <c r="B199" s="229" t="s">
        <v>1551</v>
      </c>
    </row>
    <row r="200" spans="1:17" s="229" customFormat="1">
      <c r="A200" s="141" t="s">
        <v>4137</v>
      </c>
      <c r="B200" s="229" t="s">
        <v>1551</v>
      </c>
    </row>
    <row r="201" spans="1:17">
      <c r="A201" s="141" t="s">
        <v>3837</v>
      </c>
      <c r="B201" s="14" t="s">
        <v>479</v>
      </c>
      <c r="C201" s="86">
        <f t="shared" ref="C201:C202" si="45">IF(D201=0,0,IF(OR(D201&gt;P201,D201&lt;Q201),"contact vendor",F201*D201^G201+H201*LN(D201)+I201+J201*EXP(K201*D201)+L201*D201^3+M201*D201^2+N201*D201+O201))</f>
        <v>0</v>
      </c>
      <c r="D201" s="14">
        <f>res_transfer_rate</f>
        <v>0</v>
      </c>
      <c r="E201" s="14" t="s">
        <v>480</v>
      </c>
      <c r="F201" s="14">
        <f t="shared" ref="F201:Q202" si="46">VLOOKUP($E201,eq_table_cl,F$4,FALSE)</f>
        <v>0</v>
      </c>
      <c r="G201" s="14">
        <f t="shared" si="46"/>
        <v>0</v>
      </c>
      <c r="H201" s="14">
        <f t="shared" si="46"/>
        <v>0</v>
      </c>
      <c r="I201" s="14">
        <f t="shared" si="46"/>
        <v>0</v>
      </c>
      <c r="J201" s="14">
        <f t="shared" si="46"/>
        <v>0</v>
      </c>
      <c r="K201" s="14">
        <f t="shared" si="46"/>
        <v>0</v>
      </c>
      <c r="L201" s="14">
        <f t="shared" si="46"/>
        <v>0</v>
      </c>
      <c r="M201" s="14">
        <f t="shared" si="46"/>
        <v>-5.3099999999999998E-7</v>
      </c>
      <c r="N201" s="14">
        <f t="shared" si="46"/>
        <v>0.21637999499999999</v>
      </c>
      <c r="O201" s="14">
        <f t="shared" si="46"/>
        <v>1726.1361602259999</v>
      </c>
      <c r="P201" s="14">
        <f t="shared" si="46"/>
        <v>108290</v>
      </c>
      <c r="Q201" s="14">
        <f t="shared" si="46"/>
        <v>0</v>
      </c>
    </row>
    <row r="202" spans="1:17">
      <c r="A202" s="141" t="s">
        <v>478</v>
      </c>
      <c r="B202" s="14" t="s">
        <v>481</v>
      </c>
      <c r="C202" s="86" t="str">
        <f t="shared" si="45"/>
        <v>contact vendor</v>
      </c>
      <c r="D202" s="14" t="str">
        <f>res_eductor_size</f>
        <v>NA</v>
      </c>
      <c r="E202" s="14" t="s">
        <v>482</v>
      </c>
      <c r="F202" s="14">
        <f t="shared" si="46"/>
        <v>0</v>
      </c>
      <c r="G202" s="14">
        <f t="shared" si="46"/>
        <v>0</v>
      </c>
      <c r="H202" s="14">
        <f t="shared" si="46"/>
        <v>0</v>
      </c>
      <c r="I202" s="14">
        <f t="shared" si="46"/>
        <v>0</v>
      </c>
      <c r="J202" s="14">
        <f t="shared" si="46"/>
        <v>0</v>
      </c>
      <c r="K202" s="14">
        <f t="shared" si="46"/>
        <v>0</v>
      </c>
      <c r="L202" s="14">
        <f t="shared" si="46"/>
        <v>0</v>
      </c>
      <c r="M202" s="14">
        <f t="shared" si="46"/>
        <v>22.470786887999999</v>
      </c>
      <c r="N202" s="14">
        <f t="shared" si="46"/>
        <v>2229.8918400309999</v>
      </c>
      <c r="O202" s="14">
        <f t="shared" si="46"/>
        <v>-1911.930587201</v>
      </c>
      <c r="P202" s="14">
        <f t="shared" si="46"/>
        <v>8.1</v>
      </c>
      <c r="Q202" s="14">
        <f t="shared" si="46"/>
        <v>1.5</v>
      </c>
    </row>
    <row r="203" spans="1:17">
      <c r="A203" s="264" t="s">
        <v>1262</v>
      </c>
    </row>
    <row r="204" spans="1:17">
      <c r="A204" s="265" t="s">
        <v>1209</v>
      </c>
      <c r="B204" s="77" t="s">
        <v>1306</v>
      </c>
      <c r="C204" s="86">
        <f t="shared" ref="C204" ca="1" si="47">IF(D204=0,0,IF(OR(D204&gt;P204,D204&lt;Q204),"contact vendor",F204*D204^G204+H204*LN(D204)+I204+J204*EXP(K204*D204)+L204*D204^3+M204*D204^2+N204*D204+O204))</f>
        <v>4453.5469752924082</v>
      </c>
      <c r="D204" s="14">
        <f ca="1">heater_power</f>
        <v>15.186461538461538</v>
      </c>
      <c r="E204" s="229" t="s">
        <v>1306</v>
      </c>
      <c r="F204" s="14">
        <f t="shared" ref="F204:Q204" si="48">VLOOKUP($E204,eq_table_cl,F$4,FALSE)</f>
        <v>0</v>
      </c>
      <c r="G204" s="14">
        <f t="shared" si="48"/>
        <v>0</v>
      </c>
      <c r="H204" s="14">
        <f t="shared" si="48"/>
        <v>0</v>
      </c>
      <c r="I204" s="14">
        <f t="shared" si="48"/>
        <v>0</v>
      </c>
      <c r="J204" s="14">
        <f t="shared" si="48"/>
        <v>0</v>
      </c>
      <c r="K204" s="14">
        <f t="shared" si="48"/>
        <v>0</v>
      </c>
      <c r="L204" s="14">
        <f t="shared" si="48"/>
        <v>0</v>
      </c>
      <c r="M204" s="14">
        <f t="shared" si="48"/>
        <v>-5.0253943779999997</v>
      </c>
      <c r="N204" s="14">
        <f t="shared" si="48"/>
        <v>333.55284361299999</v>
      </c>
      <c r="O204" s="14">
        <f t="shared" si="48"/>
        <v>547.05928521800001</v>
      </c>
      <c r="P204" s="14">
        <f t="shared" si="48"/>
        <v>24.1</v>
      </c>
      <c r="Q204" s="14">
        <f t="shared" si="48"/>
        <v>0</v>
      </c>
    </row>
    <row r="205" spans="1:17">
      <c r="A205" s="264" t="s">
        <v>1261</v>
      </c>
    </row>
    <row r="206" spans="1:17" s="14" customFormat="1">
      <c r="A206" s="1090" t="s">
        <v>5580</v>
      </c>
    </row>
    <row r="207" spans="1:17" s="14" customFormat="1">
      <c r="A207" s="221" t="s">
        <v>3708</v>
      </c>
      <c r="B207" s="14" t="s">
        <v>2781</v>
      </c>
      <c r="C207" s="86">
        <f t="shared" ref="C207:C210" si="49">IF(D207=0,0,IF(OR(D207&gt;P207,D207&lt;Q207),"contact vendor",F207*D207^G207+H207*LN(D207)+I207+J207*EXP(K207*D207)+L207*D207^3+M207*D207^2+N207*D207+O207))</f>
        <v>4626.8161419190001</v>
      </c>
      <c r="D207" s="14">
        <f>in_meter_size</f>
        <v>10</v>
      </c>
      <c r="E207" s="14" t="s">
        <v>4133</v>
      </c>
      <c r="F207" s="14">
        <f t="shared" ref="F207:Q210" si="50">VLOOKUP($E207,eq_table_cl,F$4,FALSE)</f>
        <v>0</v>
      </c>
      <c r="G207" s="14">
        <f t="shared" si="50"/>
        <v>0</v>
      </c>
      <c r="H207" s="14">
        <f t="shared" si="50"/>
        <v>0</v>
      </c>
      <c r="I207" s="14">
        <f t="shared" si="50"/>
        <v>0</v>
      </c>
      <c r="J207" s="14">
        <f t="shared" si="50"/>
        <v>0</v>
      </c>
      <c r="K207" s="14">
        <f t="shared" si="50"/>
        <v>0</v>
      </c>
      <c r="L207" s="14">
        <f t="shared" si="50"/>
        <v>0.290528801</v>
      </c>
      <c r="M207" s="14">
        <f t="shared" si="50"/>
        <v>-20.141018838000001</v>
      </c>
      <c r="N207" s="14">
        <f t="shared" si="50"/>
        <v>567.62280550399998</v>
      </c>
      <c r="O207" s="14">
        <f t="shared" si="50"/>
        <v>674.16116967899995</v>
      </c>
      <c r="P207" s="14">
        <f t="shared" si="50"/>
        <v>60.1</v>
      </c>
      <c r="Q207" s="14">
        <f t="shared" si="50"/>
        <v>0</v>
      </c>
    </row>
    <row r="208" spans="1:17" s="14" customFormat="1">
      <c r="A208" s="221" t="s">
        <v>3709</v>
      </c>
      <c r="B208" s="14" t="s">
        <v>3710</v>
      </c>
      <c r="C208" s="86">
        <f t="shared" si="49"/>
        <v>6008.2861197009997</v>
      </c>
      <c r="D208" s="14">
        <f>in_meter_size</f>
        <v>10</v>
      </c>
      <c r="E208" s="14" t="s">
        <v>3711</v>
      </c>
      <c r="F208" s="14">
        <f t="shared" si="50"/>
        <v>0</v>
      </c>
      <c r="G208" s="14">
        <f t="shared" si="50"/>
        <v>0</v>
      </c>
      <c r="H208" s="14">
        <f t="shared" si="50"/>
        <v>0</v>
      </c>
      <c r="I208" s="14">
        <f t="shared" si="50"/>
        <v>0</v>
      </c>
      <c r="J208" s="14">
        <f t="shared" si="50"/>
        <v>0</v>
      </c>
      <c r="K208" s="14">
        <f t="shared" si="50"/>
        <v>0</v>
      </c>
      <c r="L208" s="14">
        <f t="shared" si="50"/>
        <v>0.48667437299999999</v>
      </c>
      <c r="M208" s="14">
        <f t="shared" si="50"/>
        <v>-19.177375645000001</v>
      </c>
      <c r="N208" s="14">
        <f t="shared" si="50"/>
        <v>593.88035160699997</v>
      </c>
      <c r="O208" s="14">
        <f t="shared" si="50"/>
        <v>1500.545795131</v>
      </c>
      <c r="P208" s="14">
        <f t="shared" si="50"/>
        <v>36.1</v>
      </c>
      <c r="Q208" s="14">
        <f t="shared" si="50"/>
        <v>0</v>
      </c>
    </row>
    <row r="209" spans="1:17" s="14" customFormat="1">
      <c r="A209" s="221" t="s">
        <v>3712</v>
      </c>
      <c r="B209" s="14" t="s">
        <v>3713</v>
      </c>
      <c r="C209" s="86">
        <f t="shared" si="49"/>
        <v>4013.0326495740001</v>
      </c>
      <c r="D209" s="14">
        <f>in_meter_size</f>
        <v>10</v>
      </c>
      <c r="E209" s="14" t="s">
        <v>3714</v>
      </c>
      <c r="F209" s="14">
        <f t="shared" si="50"/>
        <v>0</v>
      </c>
      <c r="G209" s="14">
        <f t="shared" si="50"/>
        <v>0</v>
      </c>
      <c r="H209" s="14">
        <f t="shared" si="50"/>
        <v>0</v>
      </c>
      <c r="I209" s="14">
        <f t="shared" si="50"/>
        <v>0</v>
      </c>
      <c r="J209" s="14">
        <f t="shared" si="50"/>
        <v>0</v>
      </c>
      <c r="K209" s="14">
        <f t="shared" si="50"/>
        <v>0</v>
      </c>
      <c r="L209" s="14">
        <f t="shared" si="50"/>
        <v>-8.9659137E-2</v>
      </c>
      <c r="M209" s="14">
        <f t="shared" si="50"/>
        <v>7.3814192910000003</v>
      </c>
      <c r="N209" s="14">
        <f t="shared" si="50"/>
        <v>135.40877886999999</v>
      </c>
      <c r="O209" s="14">
        <f t="shared" si="50"/>
        <v>2010.462068774</v>
      </c>
      <c r="P209" s="14">
        <f t="shared" si="50"/>
        <v>48.1</v>
      </c>
      <c r="Q209" s="14">
        <f t="shared" si="50"/>
        <v>0</v>
      </c>
    </row>
    <row r="210" spans="1:17" s="14" customFormat="1">
      <c r="A210" s="221" t="s">
        <v>3715</v>
      </c>
      <c r="B210" s="14" t="s">
        <v>3716</v>
      </c>
      <c r="C210" s="86">
        <f t="shared" si="49"/>
        <v>8445.7466193210003</v>
      </c>
      <c r="D210" s="14">
        <f>in_meter_size</f>
        <v>10</v>
      </c>
      <c r="E210" s="14" t="s">
        <v>3717</v>
      </c>
      <c r="F210" s="14">
        <f t="shared" si="50"/>
        <v>0</v>
      </c>
      <c r="G210" s="14">
        <f t="shared" si="50"/>
        <v>0</v>
      </c>
      <c r="H210" s="14">
        <f t="shared" si="50"/>
        <v>0</v>
      </c>
      <c r="I210" s="14">
        <f t="shared" si="50"/>
        <v>0</v>
      </c>
      <c r="J210" s="14">
        <f t="shared" si="50"/>
        <v>0</v>
      </c>
      <c r="K210" s="14">
        <f t="shared" si="50"/>
        <v>0</v>
      </c>
      <c r="L210" s="14">
        <f t="shared" si="50"/>
        <v>8.7416773000000003E-2</v>
      </c>
      <c r="M210" s="14">
        <f t="shared" si="50"/>
        <v>3.727367106</v>
      </c>
      <c r="N210" s="14">
        <f t="shared" si="50"/>
        <v>488.19409208000002</v>
      </c>
      <c r="O210" s="14">
        <f t="shared" si="50"/>
        <v>3103.652214921</v>
      </c>
      <c r="P210" s="14">
        <f t="shared" si="50"/>
        <v>36.1</v>
      </c>
      <c r="Q210" s="14">
        <f t="shared" si="50"/>
        <v>0</v>
      </c>
    </row>
    <row r="211" spans="1:17" s="14" customFormat="1">
      <c r="A211" s="575" t="s">
        <v>4511</v>
      </c>
    </row>
    <row r="212" spans="1:17">
      <c r="A212" s="221" t="s">
        <v>3708</v>
      </c>
      <c r="B212" s="14" t="s">
        <v>2782</v>
      </c>
      <c r="C212" s="86">
        <f t="shared" ref="C212:C215" ca="1" si="51">IF(D212=0,0,IF(OR(D212&gt;P212,D212&lt;Q212),"contact vendor",F212*D212^G212+H212*LN(D212)+I212+J212*EXP(K212*D212)+L212*D212^3+M212*D212^2+N212*D212+O212))</f>
        <v>3417.5755455509998</v>
      </c>
      <c r="D212" s="77">
        <f ca="1">feed_meter_size</f>
        <v>6</v>
      </c>
      <c r="E212" s="14" t="s">
        <v>4133</v>
      </c>
      <c r="F212" s="14">
        <f t="shared" ref="F212:Q215" si="52">VLOOKUP($E212,eq_table_cl,F$4,FALSE)</f>
        <v>0</v>
      </c>
      <c r="G212" s="14">
        <f t="shared" si="52"/>
        <v>0</v>
      </c>
      <c r="H212" s="14">
        <f t="shared" si="52"/>
        <v>0</v>
      </c>
      <c r="I212" s="14">
        <f t="shared" si="52"/>
        <v>0</v>
      </c>
      <c r="J212" s="14">
        <f t="shared" si="52"/>
        <v>0</v>
      </c>
      <c r="K212" s="14">
        <f t="shared" si="52"/>
        <v>0</v>
      </c>
      <c r="L212" s="14">
        <f t="shared" si="52"/>
        <v>0.290528801</v>
      </c>
      <c r="M212" s="14">
        <f t="shared" si="52"/>
        <v>-20.141018838000001</v>
      </c>
      <c r="N212" s="14">
        <f t="shared" si="52"/>
        <v>567.62280550399998</v>
      </c>
      <c r="O212" s="14">
        <f t="shared" si="52"/>
        <v>674.16116967899995</v>
      </c>
      <c r="P212" s="14">
        <f t="shared" si="52"/>
        <v>60.1</v>
      </c>
      <c r="Q212" s="14">
        <f t="shared" si="52"/>
        <v>0</v>
      </c>
    </row>
    <row r="213" spans="1:17">
      <c r="A213" s="221" t="s">
        <v>3709</v>
      </c>
      <c r="B213" s="14" t="s">
        <v>3726</v>
      </c>
      <c r="C213" s="86">
        <f t="shared" ca="1" si="51"/>
        <v>4478.5640461209996</v>
      </c>
      <c r="D213" s="77">
        <f ca="1">feed_meter_size</f>
        <v>6</v>
      </c>
      <c r="E213" s="14" t="s">
        <v>3711</v>
      </c>
      <c r="F213" s="14">
        <f t="shared" si="52"/>
        <v>0</v>
      </c>
      <c r="G213" s="14">
        <f t="shared" si="52"/>
        <v>0</v>
      </c>
      <c r="H213" s="14">
        <f t="shared" si="52"/>
        <v>0</v>
      </c>
      <c r="I213" s="14">
        <f t="shared" si="52"/>
        <v>0</v>
      </c>
      <c r="J213" s="14">
        <f t="shared" si="52"/>
        <v>0</v>
      </c>
      <c r="K213" s="14">
        <f t="shared" si="52"/>
        <v>0</v>
      </c>
      <c r="L213" s="14">
        <f t="shared" si="52"/>
        <v>0.48667437299999999</v>
      </c>
      <c r="M213" s="14">
        <f t="shared" si="52"/>
        <v>-19.177375645000001</v>
      </c>
      <c r="N213" s="14">
        <f t="shared" si="52"/>
        <v>593.88035160699997</v>
      </c>
      <c r="O213" s="14">
        <f t="shared" si="52"/>
        <v>1500.545795131</v>
      </c>
      <c r="P213" s="14">
        <f t="shared" si="52"/>
        <v>36.1</v>
      </c>
      <c r="Q213" s="14">
        <f t="shared" si="52"/>
        <v>0</v>
      </c>
    </row>
    <row r="214" spans="1:17">
      <c r="A214" s="221" t="s">
        <v>3712</v>
      </c>
      <c r="B214" s="14" t="s">
        <v>3727</v>
      </c>
      <c r="C214" s="86">
        <f t="shared" ca="1" si="51"/>
        <v>3069.2794628780002</v>
      </c>
      <c r="D214" s="77">
        <f ca="1">feed_meter_size</f>
        <v>6</v>
      </c>
      <c r="E214" s="14" t="s">
        <v>3714</v>
      </c>
      <c r="F214" s="14">
        <f t="shared" si="52"/>
        <v>0</v>
      </c>
      <c r="G214" s="14">
        <f t="shared" si="52"/>
        <v>0</v>
      </c>
      <c r="H214" s="14">
        <f t="shared" si="52"/>
        <v>0</v>
      </c>
      <c r="I214" s="14">
        <f t="shared" si="52"/>
        <v>0</v>
      </c>
      <c r="J214" s="14">
        <f t="shared" si="52"/>
        <v>0</v>
      </c>
      <c r="K214" s="14">
        <f t="shared" si="52"/>
        <v>0</v>
      </c>
      <c r="L214" s="14">
        <f t="shared" si="52"/>
        <v>-8.9659137E-2</v>
      </c>
      <c r="M214" s="14">
        <f t="shared" si="52"/>
        <v>7.3814192910000003</v>
      </c>
      <c r="N214" s="14">
        <f t="shared" si="52"/>
        <v>135.40877886999999</v>
      </c>
      <c r="O214" s="14">
        <f t="shared" si="52"/>
        <v>2010.462068774</v>
      </c>
      <c r="P214" s="14">
        <f t="shared" si="52"/>
        <v>48.1</v>
      </c>
      <c r="Q214" s="14">
        <f t="shared" si="52"/>
        <v>0</v>
      </c>
    </row>
    <row r="215" spans="1:17">
      <c r="A215" s="221" t="s">
        <v>3715</v>
      </c>
      <c r="B215" s="14" t="s">
        <v>3728</v>
      </c>
      <c r="C215" s="86">
        <f t="shared" ca="1" si="51"/>
        <v>6185.8840061850005</v>
      </c>
      <c r="D215" s="77">
        <f ca="1">feed_meter_size</f>
        <v>6</v>
      </c>
      <c r="E215" s="14" t="s">
        <v>3717</v>
      </c>
      <c r="F215" s="14">
        <f t="shared" si="52"/>
        <v>0</v>
      </c>
      <c r="G215" s="14">
        <f t="shared" si="52"/>
        <v>0</v>
      </c>
      <c r="H215" s="14">
        <f t="shared" si="52"/>
        <v>0</v>
      </c>
      <c r="I215" s="14">
        <f t="shared" si="52"/>
        <v>0</v>
      </c>
      <c r="J215" s="14">
        <f t="shared" si="52"/>
        <v>0</v>
      </c>
      <c r="K215" s="14">
        <f t="shared" si="52"/>
        <v>0</v>
      </c>
      <c r="L215" s="14">
        <f t="shared" si="52"/>
        <v>8.7416773000000003E-2</v>
      </c>
      <c r="M215" s="14">
        <f t="shared" si="52"/>
        <v>3.727367106</v>
      </c>
      <c r="N215" s="14">
        <f t="shared" si="52"/>
        <v>488.19409208000002</v>
      </c>
      <c r="O215" s="14">
        <f t="shared" si="52"/>
        <v>3103.652214921</v>
      </c>
      <c r="P215" s="14">
        <f t="shared" si="52"/>
        <v>36.1</v>
      </c>
      <c r="Q215" s="14">
        <f t="shared" si="52"/>
        <v>0</v>
      </c>
    </row>
    <row r="216" spans="1:17" s="14" customFormat="1">
      <c r="A216" s="575" t="s">
        <v>4512</v>
      </c>
    </row>
    <row r="217" spans="1:17">
      <c r="A217" s="221" t="s">
        <v>3708</v>
      </c>
      <c r="B217" s="14" t="s">
        <v>2783</v>
      </c>
      <c r="C217" s="86">
        <f t="shared" ref="C217:C220" ca="1" si="53">IF(D217=0,0,IF(OR(D217&gt;P217,D217&lt;Q217),"contact vendor",F217*D217^G217+H217*LN(D217)+I217+J217*EXP(K217*D217)+L217*D217^3+M217*D217^2+N217*D217+O217))</f>
        <v>3417.5755455509998</v>
      </c>
      <c r="D217" s="77">
        <f ca="1">perm_meter_size</f>
        <v>6</v>
      </c>
      <c r="E217" s="14" t="s">
        <v>4133</v>
      </c>
      <c r="F217" s="14">
        <f t="shared" ref="F217:Q220" si="54">VLOOKUP($E217,eq_table_cl,F$4,FALSE)</f>
        <v>0</v>
      </c>
      <c r="G217" s="14">
        <f t="shared" si="54"/>
        <v>0</v>
      </c>
      <c r="H217" s="14">
        <f t="shared" si="54"/>
        <v>0</v>
      </c>
      <c r="I217" s="14">
        <f t="shared" si="54"/>
        <v>0</v>
      </c>
      <c r="J217" s="14">
        <f t="shared" si="54"/>
        <v>0</v>
      </c>
      <c r="K217" s="14">
        <f t="shared" si="54"/>
        <v>0</v>
      </c>
      <c r="L217" s="14">
        <f t="shared" si="54"/>
        <v>0.290528801</v>
      </c>
      <c r="M217" s="14">
        <f t="shared" si="54"/>
        <v>-20.141018838000001</v>
      </c>
      <c r="N217" s="14">
        <f t="shared" si="54"/>
        <v>567.62280550399998</v>
      </c>
      <c r="O217" s="14">
        <f t="shared" si="54"/>
        <v>674.16116967899995</v>
      </c>
      <c r="P217" s="14">
        <f t="shared" si="54"/>
        <v>60.1</v>
      </c>
      <c r="Q217" s="14">
        <f t="shared" si="54"/>
        <v>0</v>
      </c>
    </row>
    <row r="218" spans="1:17">
      <c r="A218" s="221" t="s">
        <v>3709</v>
      </c>
      <c r="B218" s="14" t="s">
        <v>3729</v>
      </c>
      <c r="C218" s="86">
        <f t="shared" ca="1" si="53"/>
        <v>4478.5640461209996</v>
      </c>
      <c r="D218" s="77">
        <f ca="1">perm_meter_size</f>
        <v>6</v>
      </c>
      <c r="E218" s="14" t="s">
        <v>3711</v>
      </c>
      <c r="F218" s="14">
        <f t="shared" si="54"/>
        <v>0</v>
      </c>
      <c r="G218" s="14">
        <f t="shared" si="54"/>
        <v>0</v>
      </c>
      <c r="H218" s="14">
        <f t="shared" si="54"/>
        <v>0</v>
      </c>
      <c r="I218" s="14">
        <f t="shared" si="54"/>
        <v>0</v>
      </c>
      <c r="J218" s="14">
        <f t="shared" si="54"/>
        <v>0</v>
      </c>
      <c r="K218" s="14">
        <f t="shared" si="54"/>
        <v>0</v>
      </c>
      <c r="L218" s="14">
        <f t="shared" si="54"/>
        <v>0.48667437299999999</v>
      </c>
      <c r="M218" s="14">
        <f t="shared" si="54"/>
        <v>-19.177375645000001</v>
      </c>
      <c r="N218" s="14">
        <f t="shared" si="54"/>
        <v>593.88035160699997</v>
      </c>
      <c r="O218" s="14">
        <f t="shared" si="54"/>
        <v>1500.545795131</v>
      </c>
      <c r="P218" s="14">
        <f t="shared" si="54"/>
        <v>36.1</v>
      </c>
      <c r="Q218" s="14">
        <f t="shared" si="54"/>
        <v>0</v>
      </c>
    </row>
    <row r="219" spans="1:17">
      <c r="A219" s="221" t="s">
        <v>3712</v>
      </c>
      <c r="B219" s="14" t="s">
        <v>3730</v>
      </c>
      <c r="C219" s="86">
        <f t="shared" ca="1" si="53"/>
        <v>3069.2794628780002</v>
      </c>
      <c r="D219" s="77">
        <f ca="1">perm_meter_size</f>
        <v>6</v>
      </c>
      <c r="E219" s="14" t="s">
        <v>3714</v>
      </c>
      <c r="F219" s="14">
        <f t="shared" si="54"/>
        <v>0</v>
      </c>
      <c r="G219" s="14">
        <f t="shared" si="54"/>
        <v>0</v>
      </c>
      <c r="H219" s="14">
        <f t="shared" si="54"/>
        <v>0</v>
      </c>
      <c r="I219" s="14">
        <f t="shared" si="54"/>
        <v>0</v>
      </c>
      <c r="J219" s="14">
        <f t="shared" si="54"/>
        <v>0</v>
      </c>
      <c r="K219" s="14">
        <f t="shared" si="54"/>
        <v>0</v>
      </c>
      <c r="L219" s="14">
        <f t="shared" si="54"/>
        <v>-8.9659137E-2</v>
      </c>
      <c r="M219" s="14">
        <f t="shared" si="54"/>
        <v>7.3814192910000003</v>
      </c>
      <c r="N219" s="14">
        <f t="shared" si="54"/>
        <v>135.40877886999999</v>
      </c>
      <c r="O219" s="14">
        <f t="shared" si="54"/>
        <v>2010.462068774</v>
      </c>
      <c r="P219" s="14">
        <f t="shared" si="54"/>
        <v>48.1</v>
      </c>
      <c r="Q219" s="14">
        <f t="shared" si="54"/>
        <v>0</v>
      </c>
    </row>
    <row r="220" spans="1:17">
      <c r="A220" s="221" t="s">
        <v>3715</v>
      </c>
      <c r="B220" s="14" t="s">
        <v>3731</v>
      </c>
      <c r="C220" s="86">
        <f t="shared" ca="1" si="53"/>
        <v>6185.8840061850005</v>
      </c>
      <c r="D220" s="77">
        <f ca="1">perm_meter_size</f>
        <v>6</v>
      </c>
      <c r="E220" s="14" t="s">
        <v>3717</v>
      </c>
      <c r="F220" s="14">
        <f t="shared" si="54"/>
        <v>0</v>
      </c>
      <c r="G220" s="14">
        <f t="shared" si="54"/>
        <v>0</v>
      </c>
      <c r="H220" s="14">
        <f t="shared" si="54"/>
        <v>0</v>
      </c>
      <c r="I220" s="14">
        <f t="shared" si="54"/>
        <v>0</v>
      </c>
      <c r="J220" s="14">
        <f t="shared" si="54"/>
        <v>0</v>
      </c>
      <c r="K220" s="14">
        <f t="shared" si="54"/>
        <v>0</v>
      </c>
      <c r="L220" s="14">
        <f t="shared" si="54"/>
        <v>8.7416773000000003E-2</v>
      </c>
      <c r="M220" s="14">
        <f t="shared" si="54"/>
        <v>3.727367106</v>
      </c>
      <c r="N220" s="14">
        <f t="shared" si="54"/>
        <v>488.19409208000002</v>
      </c>
      <c r="O220" s="14">
        <f t="shared" si="54"/>
        <v>3103.652214921</v>
      </c>
      <c r="P220" s="14">
        <f t="shared" si="54"/>
        <v>36.1</v>
      </c>
      <c r="Q220" s="14">
        <f t="shared" si="54"/>
        <v>0</v>
      </c>
    </row>
    <row r="221" spans="1:17" s="14" customFormat="1">
      <c r="A221" s="575" t="s">
        <v>4510</v>
      </c>
    </row>
    <row r="222" spans="1:17">
      <c r="A222" s="221" t="s">
        <v>3708</v>
      </c>
      <c r="B222" s="14" t="s">
        <v>4518</v>
      </c>
      <c r="C222" s="86">
        <f t="shared" ref="C222:C225" ca="1" si="55">IF(D222=0,0,IF(OR(D222&gt;P222,D222&lt;Q222),"contact vendor",F222*D222^G222+H222*LN(D222)+I222+J222*EXP(K222*D222)+L222*D222^3+M222*D222^2+N222*D222+O222))</f>
        <v>3417.5755455509998</v>
      </c>
      <c r="D222" s="77">
        <f ca="1">conc_meter_size</f>
        <v>6</v>
      </c>
      <c r="E222" s="14" t="s">
        <v>4133</v>
      </c>
      <c r="F222" s="14">
        <f t="shared" ref="F222:Q225" si="56">VLOOKUP($E222,eq_table_cl,F$4,FALSE)</f>
        <v>0</v>
      </c>
      <c r="G222" s="14">
        <f t="shared" si="56"/>
        <v>0</v>
      </c>
      <c r="H222" s="14">
        <f t="shared" si="56"/>
        <v>0</v>
      </c>
      <c r="I222" s="14">
        <f t="shared" si="56"/>
        <v>0</v>
      </c>
      <c r="J222" s="14">
        <f t="shared" si="56"/>
        <v>0</v>
      </c>
      <c r="K222" s="14">
        <f t="shared" si="56"/>
        <v>0</v>
      </c>
      <c r="L222" s="14">
        <f t="shared" si="56"/>
        <v>0.290528801</v>
      </c>
      <c r="M222" s="14">
        <f t="shared" si="56"/>
        <v>-20.141018838000001</v>
      </c>
      <c r="N222" s="14">
        <f t="shared" si="56"/>
        <v>567.62280550399998</v>
      </c>
      <c r="O222" s="14">
        <f t="shared" si="56"/>
        <v>674.16116967899995</v>
      </c>
      <c r="P222" s="14">
        <f t="shared" si="56"/>
        <v>60.1</v>
      </c>
      <c r="Q222" s="14">
        <f t="shared" si="56"/>
        <v>0</v>
      </c>
    </row>
    <row r="223" spans="1:17">
      <c r="A223" s="221" t="s">
        <v>3709</v>
      </c>
      <c r="B223" s="14" t="s">
        <v>4519</v>
      </c>
      <c r="C223" s="86">
        <f t="shared" ca="1" si="55"/>
        <v>4478.5640461209996</v>
      </c>
      <c r="D223" s="77">
        <f ca="1">conc_meter_size</f>
        <v>6</v>
      </c>
      <c r="E223" s="14" t="s">
        <v>3711</v>
      </c>
      <c r="F223" s="14">
        <f t="shared" si="56"/>
        <v>0</v>
      </c>
      <c r="G223" s="14">
        <f t="shared" si="56"/>
        <v>0</v>
      </c>
      <c r="H223" s="14">
        <f t="shared" si="56"/>
        <v>0</v>
      </c>
      <c r="I223" s="14">
        <f t="shared" si="56"/>
        <v>0</v>
      </c>
      <c r="J223" s="14">
        <f t="shared" si="56"/>
        <v>0</v>
      </c>
      <c r="K223" s="14">
        <f t="shared" si="56"/>
        <v>0</v>
      </c>
      <c r="L223" s="14">
        <f t="shared" si="56"/>
        <v>0.48667437299999999</v>
      </c>
      <c r="M223" s="14">
        <f t="shared" si="56"/>
        <v>-19.177375645000001</v>
      </c>
      <c r="N223" s="14">
        <f t="shared" si="56"/>
        <v>593.88035160699997</v>
      </c>
      <c r="O223" s="14">
        <f t="shared" si="56"/>
        <v>1500.545795131</v>
      </c>
      <c r="P223" s="14">
        <f t="shared" si="56"/>
        <v>36.1</v>
      </c>
      <c r="Q223" s="14">
        <f t="shared" si="56"/>
        <v>0</v>
      </c>
    </row>
    <row r="224" spans="1:17">
      <c r="A224" s="221" t="s">
        <v>3712</v>
      </c>
      <c r="B224" s="14" t="s">
        <v>4520</v>
      </c>
      <c r="C224" s="86">
        <f t="shared" ca="1" si="55"/>
        <v>3069.2794628780002</v>
      </c>
      <c r="D224" s="77">
        <f ca="1">conc_meter_size</f>
        <v>6</v>
      </c>
      <c r="E224" s="14" t="s">
        <v>3714</v>
      </c>
      <c r="F224" s="14">
        <f t="shared" si="56"/>
        <v>0</v>
      </c>
      <c r="G224" s="14">
        <f t="shared" si="56"/>
        <v>0</v>
      </c>
      <c r="H224" s="14">
        <f t="shared" si="56"/>
        <v>0</v>
      </c>
      <c r="I224" s="14">
        <f t="shared" si="56"/>
        <v>0</v>
      </c>
      <c r="J224" s="14">
        <f t="shared" si="56"/>
        <v>0</v>
      </c>
      <c r="K224" s="14">
        <f t="shared" si="56"/>
        <v>0</v>
      </c>
      <c r="L224" s="14">
        <f t="shared" si="56"/>
        <v>-8.9659137E-2</v>
      </c>
      <c r="M224" s="14">
        <f t="shared" si="56"/>
        <v>7.3814192910000003</v>
      </c>
      <c r="N224" s="14">
        <f t="shared" si="56"/>
        <v>135.40877886999999</v>
      </c>
      <c r="O224" s="14">
        <f t="shared" si="56"/>
        <v>2010.462068774</v>
      </c>
      <c r="P224" s="14">
        <f t="shared" si="56"/>
        <v>48.1</v>
      </c>
      <c r="Q224" s="14">
        <f t="shared" si="56"/>
        <v>0</v>
      </c>
    </row>
    <row r="225" spans="1:17">
      <c r="A225" s="221" t="s">
        <v>3715</v>
      </c>
      <c r="B225" s="14" t="s">
        <v>4521</v>
      </c>
      <c r="C225" s="86">
        <f t="shared" ca="1" si="55"/>
        <v>6185.8840061850005</v>
      </c>
      <c r="D225" s="77">
        <f ca="1">conc_meter_size</f>
        <v>6</v>
      </c>
      <c r="E225" s="14" t="s">
        <v>3717</v>
      </c>
      <c r="F225" s="14">
        <f t="shared" si="56"/>
        <v>0</v>
      </c>
      <c r="G225" s="14">
        <f t="shared" si="56"/>
        <v>0</v>
      </c>
      <c r="H225" s="14">
        <f t="shared" si="56"/>
        <v>0</v>
      </c>
      <c r="I225" s="14">
        <f t="shared" si="56"/>
        <v>0</v>
      </c>
      <c r="J225" s="14">
        <f t="shared" si="56"/>
        <v>0</v>
      </c>
      <c r="K225" s="14">
        <f t="shared" si="56"/>
        <v>0</v>
      </c>
      <c r="L225" s="14">
        <f t="shared" si="56"/>
        <v>8.7416773000000003E-2</v>
      </c>
      <c r="M225" s="14">
        <f t="shared" si="56"/>
        <v>3.727367106</v>
      </c>
      <c r="N225" s="14">
        <f t="shared" si="56"/>
        <v>488.19409208000002</v>
      </c>
      <c r="O225" s="14">
        <f t="shared" si="56"/>
        <v>3103.652214921</v>
      </c>
      <c r="P225" s="14">
        <f t="shared" si="56"/>
        <v>36.1</v>
      </c>
      <c r="Q225" s="14">
        <f t="shared" si="56"/>
        <v>0</v>
      </c>
    </row>
    <row r="226" spans="1:17" s="14" customFormat="1">
      <c r="A226" s="575" t="s">
        <v>3718</v>
      </c>
    </row>
    <row r="227" spans="1:17">
      <c r="A227" s="221" t="s">
        <v>3708</v>
      </c>
      <c r="B227" s="14" t="s">
        <v>2784</v>
      </c>
      <c r="C227" s="86">
        <f t="shared" ref="C227:C230" ca="1" si="57">IF(D227=0,0,IF(OR(D227&gt;P227,D227&lt;Q227),"contact vendor",F227*D227^G227+H227*LN(D227)+I227+J227*EXP(K227*D227)+L227*D227^3+M227*D227^2+N227*D227+O227))</f>
        <v>2640.9899335509999</v>
      </c>
      <c r="D227" s="77">
        <f ca="1">clean_meter_size</f>
        <v>4</v>
      </c>
      <c r="E227" s="14" t="s">
        <v>4133</v>
      </c>
      <c r="F227" s="14">
        <f t="shared" ref="F227:Q230" si="58">VLOOKUP($E227,eq_table_cl,F$4,FALSE)</f>
        <v>0</v>
      </c>
      <c r="G227" s="14">
        <f t="shared" si="58"/>
        <v>0</v>
      </c>
      <c r="H227" s="14">
        <f t="shared" si="58"/>
        <v>0</v>
      </c>
      <c r="I227" s="14">
        <f t="shared" si="58"/>
        <v>0</v>
      </c>
      <c r="J227" s="14">
        <f t="shared" si="58"/>
        <v>0</v>
      </c>
      <c r="K227" s="14">
        <f t="shared" si="58"/>
        <v>0</v>
      </c>
      <c r="L227" s="14">
        <f t="shared" si="58"/>
        <v>0.290528801</v>
      </c>
      <c r="M227" s="14">
        <f t="shared" si="58"/>
        <v>-20.141018838000001</v>
      </c>
      <c r="N227" s="14">
        <f t="shared" si="58"/>
        <v>567.62280550399998</v>
      </c>
      <c r="O227" s="14">
        <f t="shared" si="58"/>
        <v>674.16116967899995</v>
      </c>
      <c r="P227" s="14">
        <f t="shared" si="58"/>
        <v>60.1</v>
      </c>
      <c r="Q227" s="14">
        <f t="shared" si="58"/>
        <v>0</v>
      </c>
    </row>
    <row r="228" spans="1:17">
      <c r="A228" s="221" t="s">
        <v>3709</v>
      </c>
      <c r="B228" s="14" t="s">
        <v>3723</v>
      </c>
      <c r="C228" s="86">
        <f t="shared" ca="1" si="57"/>
        <v>3600.3763511109996</v>
      </c>
      <c r="D228" s="77">
        <f ca="1">clean_meter_size</f>
        <v>4</v>
      </c>
      <c r="E228" s="14" t="s">
        <v>3711</v>
      </c>
      <c r="F228" s="14">
        <f t="shared" si="58"/>
        <v>0</v>
      </c>
      <c r="G228" s="14">
        <f t="shared" si="58"/>
        <v>0</v>
      </c>
      <c r="H228" s="14">
        <f t="shared" si="58"/>
        <v>0</v>
      </c>
      <c r="I228" s="14">
        <f t="shared" si="58"/>
        <v>0</v>
      </c>
      <c r="J228" s="14">
        <f t="shared" si="58"/>
        <v>0</v>
      </c>
      <c r="K228" s="14">
        <f t="shared" si="58"/>
        <v>0</v>
      </c>
      <c r="L228" s="14">
        <f t="shared" si="58"/>
        <v>0.48667437299999999</v>
      </c>
      <c r="M228" s="14">
        <f t="shared" si="58"/>
        <v>-19.177375645000001</v>
      </c>
      <c r="N228" s="14">
        <f t="shared" si="58"/>
        <v>593.88035160699997</v>
      </c>
      <c r="O228" s="14">
        <f t="shared" si="58"/>
        <v>1500.545795131</v>
      </c>
      <c r="P228" s="14">
        <f t="shared" si="58"/>
        <v>36.1</v>
      </c>
      <c r="Q228" s="14">
        <f t="shared" si="58"/>
        <v>0</v>
      </c>
    </row>
    <row r="229" spans="1:17">
      <c r="A229" s="221" t="s">
        <v>3712</v>
      </c>
      <c r="B229" s="14" t="s">
        <v>3724</v>
      </c>
      <c r="C229" s="86">
        <f t="shared" ca="1" si="57"/>
        <v>2664.4617081420001</v>
      </c>
      <c r="D229" s="77">
        <f ca="1">clean_meter_size</f>
        <v>4</v>
      </c>
      <c r="E229" s="14" t="s">
        <v>3714</v>
      </c>
      <c r="F229" s="14">
        <f t="shared" si="58"/>
        <v>0</v>
      </c>
      <c r="G229" s="14">
        <f t="shared" si="58"/>
        <v>0</v>
      </c>
      <c r="H229" s="14">
        <f t="shared" si="58"/>
        <v>0</v>
      </c>
      <c r="I229" s="14">
        <f t="shared" si="58"/>
        <v>0</v>
      </c>
      <c r="J229" s="14">
        <f t="shared" si="58"/>
        <v>0</v>
      </c>
      <c r="K229" s="14">
        <f t="shared" si="58"/>
        <v>0</v>
      </c>
      <c r="L229" s="14">
        <f t="shared" si="58"/>
        <v>-8.9659137E-2</v>
      </c>
      <c r="M229" s="14">
        <f t="shared" si="58"/>
        <v>7.3814192910000003</v>
      </c>
      <c r="N229" s="14">
        <f t="shared" si="58"/>
        <v>135.40877886999999</v>
      </c>
      <c r="O229" s="14">
        <f t="shared" si="58"/>
        <v>2010.462068774</v>
      </c>
      <c r="P229" s="14">
        <f t="shared" si="58"/>
        <v>48.1</v>
      </c>
      <c r="Q229" s="14">
        <f t="shared" si="58"/>
        <v>0</v>
      </c>
    </row>
    <row r="230" spans="1:17">
      <c r="A230" s="221" t="s">
        <v>3715</v>
      </c>
      <c r="B230" s="14" t="s">
        <v>3725</v>
      </c>
      <c r="C230" s="86">
        <f t="shared" ca="1" si="57"/>
        <v>5121.6611304090002</v>
      </c>
      <c r="D230" s="77">
        <f ca="1">clean_meter_size</f>
        <v>4</v>
      </c>
      <c r="E230" s="14" t="s">
        <v>3717</v>
      </c>
      <c r="F230" s="14">
        <f t="shared" si="58"/>
        <v>0</v>
      </c>
      <c r="G230" s="14">
        <f t="shared" si="58"/>
        <v>0</v>
      </c>
      <c r="H230" s="14">
        <f t="shared" si="58"/>
        <v>0</v>
      </c>
      <c r="I230" s="14">
        <f t="shared" si="58"/>
        <v>0</v>
      </c>
      <c r="J230" s="14">
        <f t="shared" si="58"/>
        <v>0</v>
      </c>
      <c r="K230" s="14">
        <f t="shared" si="58"/>
        <v>0</v>
      </c>
      <c r="L230" s="14">
        <f t="shared" si="58"/>
        <v>8.7416773000000003E-2</v>
      </c>
      <c r="M230" s="14">
        <f t="shared" si="58"/>
        <v>3.727367106</v>
      </c>
      <c r="N230" s="14">
        <f t="shared" si="58"/>
        <v>488.19409208000002</v>
      </c>
      <c r="O230" s="14">
        <f t="shared" si="58"/>
        <v>3103.652214921</v>
      </c>
      <c r="P230" s="14">
        <f t="shared" si="58"/>
        <v>36.1</v>
      </c>
      <c r="Q230" s="14">
        <f t="shared" si="58"/>
        <v>0</v>
      </c>
    </row>
    <row r="231" spans="1:17" s="14" customFormat="1">
      <c r="A231" s="575" t="s">
        <v>3719</v>
      </c>
    </row>
    <row r="232" spans="1:17" s="14" customFormat="1">
      <c r="A232" s="221" t="s">
        <v>3708</v>
      </c>
      <c r="B232" s="14" t="s">
        <v>4132</v>
      </c>
      <c r="C232" s="86">
        <f t="shared" ref="C232:C235" ca="1" si="59">IF(D232=0,0,IF(OR(D232&gt;P232,D232&lt;Q232),"contact vendor",F232*D232^G232+H232*LN(D232)+I232+J232*EXP(K232*D232)+L232*D232^3+M232*D232^2+N232*D232+O232))</f>
        <v>3417.5755455509998</v>
      </c>
      <c r="D232" s="14">
        <f ca="1">res_meter_size</f>
        <v>6</v>
      </c>
      <c r="E232" s="14" t="s">
        <v>4133</v>
      </c>
      <c r="F232" s="14">
        <f t="shared" ref="F232:Q235" si="60">VLOOKUP($E232,eq_table_cl,F$4,FALSE)</f>
        <v>0</v>
      </c>
      <c r="G232" s="14">
        <f t="shared" si="60"/>
        <v>0</v>
      </c>
      <c r="H232" s="14">
        <f t="shared" si="60"/>
        <v>0</v>
      </c>
      <c r="I232" s="14">
        <f t="shared" si="60"/>
        <v>0</v>
      </c>
      <c r="J232" s="14">
        <f t="shared" si="60"/>
        <v>0</v>
      </c>
      <c r="K232" s="14">
        <f t="shared" si="60"/>
        <v>0</v>
      </c>
      <c r="L232" s="14">
        <f t="shared" si="60"/>
        <v>0.290528801</v>
      </c>
      <c r="M232" s="14">
        <f t="shared" si="60"/>
        <v>-20.141018838000001</v>
      </c>
      <c r="N232" s="14">
        <f t="shared" si="60"/>
        <v>567.62280550399998</v>
      </c>
      <c r="O232" s="14">
        <f t="shared" si="60"/>
        <v>674.16116967899995</v>
      </c>
      <c r="P232" s="14">
        <f t="shared" si="60"/>
        <v>60.1</v>
      </c>
      <c r="Q232" s="14">
        <f t="shared" si="60"/>
        <v>0</v>
      </c>
    </row>
    <row r="233" spans="1:17" s="14" customFormat="1">
      <c r="A233" s="221" t="s">
        <v>3709</v>
      </c>
      <c r="B233" s="14" t="s">
        <v>3720</v>
      </c>
      <c r="C233" s="86">
        <f t="shared" ca="1" si="59"/>
        <v>4478.5640461209996</v>
      </c>
      <c r="D233" s="14">
        <f ca="1">res_meter_size</f>
        <v>6</v>
      </c>
      <c r="E233" s="14" t="s">
        <v>3711</v>
      </c>
      <c r="F233" s="14">
        <f t="shared" si="60"/>
        <v>0</v>
      </c>
      <c r="G233" s="14">
        <f t="shared" si="60"/>
        <v>0</v>
      </c>
      <c r="H233" s="14">
        <f t="shared" si="60"/>
        <v>0</v>
      </c>
      <c r="I233" s="14">
        <f t="shared" si="60"/>
        <v>0</v>
      </c>
      <c r="J233" s="14">
        <f t="shared" si="60"/>
        <v>0</v>
      </c>
      <c r="K233" s="14">
        <f t="shared" si="60"/>
        <v>0</v>
      </c>
      <c r="L233" s="14">
        <f t="shared" si="60"/>
        <v>0.48667437299999999</v>
      </c>
      <c r="M233" s="14">
        <f t="shared" si="60"/>
        <v>-19.177375645000001</v>
      </c>
      <c r="N233" s="14">
        <f t="shared" si="60"/>
        <v>593.88035160699997</v>
      </c>
      <c r="O233" s="14">
        <f t="shared" si="60"/>
        <v>1500.545795131</v>
      </c>
      <c r="P233" s="14">
        <f t="shared" si="60"/>
        <v>36.1</v>
      </c>
      <c r="Q233" s="14">
        <f t="shared" si="60"/>
        <v>0</v>
      </c>
    </row>
    <row r="234" spans="1:17" s="14" customFormat="1">
      <c r="A234" s="221" t="s">
        <v>3712</v>
      </c>
      <c r="B234" s="14" t="s">
        <v>3721</v>
      </c>
      <c r="C234" s="86">
        <f t="shared" ca="1" si="59"/>
        <v>3069.2794628780002</v>
      </c>
      <c r="D234" s="14">
        <f ca="1">res_meter_size</f>
        <v>6</v>
      </c>
      <c r="E234" s="14" t="s">
        <v>3714</v>
      </c>
      <c r="F234" s="14">
        <f t="shared" si="60"/>
        <v>0</v>
      </c>
      <c r="G234" s="14">
        <f t="shared" si="60"/>
        <v>0</v>
      </c>
      <c r="H234" s="14">
        <f t="shared" si="60"/>
        <v>0</v>
      </c>
      <c r="I234" s="14">
        <f t="shared" si="60"/>
        <v>0</v>
      </c>
      <c r="J234" s="14">
        <f t="shared" si="60"/>
        <v>0</v>
      </c>
      <c r="K234" s="14">
        <f t="shared" si="60"/>
        <v>0</v>
      </c>
      <c r="L234" s="14">
        <f t="shared" si="60"/>
        <v>-8.9659137E-2</v>
      </c>
      <c r="M234" s="14">
        <f t="shared" si="60"/>
        <v>7.3814192910000003</v>
      </c>
      <c r="N234" s="14">
        <f t="shared" si="60"/>
        <v>135.40877886999999</v>
      </c>
      <c r="O234" s="14">
        <f t="shared" si="60"/>
        <v>2010.462068774</v>
      </c>
      <c r="P234" s="14">
        <f t="shared" si="60"/>
        <v>48.1</v>
      </c>
      <c r="Q234" s="14">
        <f t="shared" si="60"/>
        <v>0</v>
      </c>
    </row>
    <row r="235" spans="1:17" s="14" customFormat="1">
      <c r="A235" s="221" t="s">
        <v>3715</v>
      </c>
      <c r="B235" s="14" t="s">
        <v>3722</v>
      </c>
      <c r="C235" s="86">
        <f t="shared" ca="1" si="59"/>
        <v>6185.8840061850005</v>
      </c>
      <c r="D235" s="14">
        <f ca="1">res_meter_size</f>
        <v>6</v>
      </c>
      <c r="E235" s="14" t="s">
        <v>3717</v>
      </c>
      <c r="F235" s="14">
        <f t="shared" si="60"/>
        <v>0</v>
      </c>
      <c r="G235" s="14">
        <f t="shared" si="60"/>
        <v>0</v>
      </c>
      <c r="H235" s="14">
        <f t="shared" si="60"/>
        <v>0</v>
      </c>
      <c r="I235" s="14">
        <f t="shared" si="60"/>
        <v>0</v>
      </c>
      <c r="J235" s="14">
        <f t="shared" si="60"/>
        <v>0</v>
      </c>
      <c r="K235" s="14">
        <f t="shared" si="60"/>
        <v>0</v>
      </c>
      <c r="L235" s="14">
        <f t="shared" si="60"/>
        <v>8.7416773000000003E-2</v>
      </c>
      <c r="M235" s="14">
        <f t="shared" si="60"/>
        <v>3.727367106</v>
      </c>
      <c r="N235" s="14">
        <f t="shared" si="60"/>
        <v>488.19409208000002</v>
      </c>
      <c r="O235" s="14">
        <f t="shared" si="60"/>
        <v>3103.652214921</v>
      </c>
      <c r="P235" s="14">
        <f t="shared" si="60"/>
        <v>36.1</v>
      </c>
      <c r="Q235" s="14">
        <f t="shared" si="60"/>
        <v>0</v>
      </c>
    </row>
    <row r="236" spans="1:17">
      <c r="A236" s="767" t="s">
        <v>5024</v>
      </c>
      <c r="B236" s="14"/>
      <c r="C236" s="14"/>
      <c r="D236" s="768"/>
      <c r="E236" s="14"/>
    </row>
    <row r="237" spans="1:17">
      <c r="A237" s="769" t="s">
        <v>4138</v>
      </c>
      <c r="B237" s="14" t="s">
        <v>1551</v>
      </c>
      <c r="C237" s="14"/>
      <c r="D237" s="768"/>
      <c r="E237" s="14"/>
    </row>
    <row r="238" spans="1:17">
      <c r="A238" s="769" t="s">
        <v>4139</v>
      </c>
      <c r="B238" s="14" t="s">
        <v>5025</v>
      </c>
      <c r="C238" s="86">
        <f t="shared" ref="C238:C239" si="61">IF(D238=0,0,IF(OR(D238&gt;P238,D238&lt;Q238),"contact vendor",F238*D238^G238+H238*LN(D238)+I238+J238*EXP(K238*D238)+L238*D238^3+M238*D238^2+N238*D238+O238))</f>
        <v>0</v>
      </c>
      <c r="D238" s="770">
        <f>cmix_size</f>
        <v>0</v>
      </c>
      <c r="E238" s="14" t="s">
        <v>4140</v>
      </c>
      <c r="F238" s="14">
        <f t="shared" ref="F238:Q239" si="62">VLOOKUP($E238,eq_table_cl,F$4,FALSE)</f>
        <v>3220.9800634899998</v>
      </c>
      <c r="G238" s="14">
        <f t="shared" si="62"/>
        <v>0.14804462199999999</v>
      </c>
      <c r="H238" s="14">
        <f t="shared" si="62"/>
        <v>0</v>
      </c>
      <c r="I238" s="14">
        <f t="shared" si="62"/>
        <v>0</v>
      </c>
      <c r="J238" s="14">
        <f t="shared" si="62"/>
        <v>0</v>
      </c>
      <c r="K238" s="14">
        <f t="shared" si="62"/>
        <v>0</v>
      </c>
      <c r="L238" s="14">
        <f t="shared" si="62"/>
        <v>0</v>
      </c>
      <c r="M238" s="14">
        <f t="shared" si="62"/>
        <v>0</v>
      </c>
      <c r="N238" s="14">
        <f t="shared" si="62"/>
        <v>0</v>
      </c>
      <c r="O238" s="14">
        <f t="shared" si="62"/>
        <v>0</v>
      </c>
      <c r="P238" s="14">
        <f t="shared" si="62"/>
        <v>4.0999999999999996</v>
      </c>
      <c r="Q238" s="14">
        <f t="shared" si="62"/>
        <v>0</v>
      </c>
    </row>
    <row r="239" spans="1:17">
      <c r="A239" s="221" t="s">
        <v>1348</v>
      </c>
      <c r="B239" s="14" t="s">
        <v>5026</v>
      </c>
      <c r="C239" s="86">
        <f t="shared" si="61"/>
        <v>0</v>
      </c>
      <c r="D239" s="770">
        <f>cmix_size</f>
        <v>0</v>
      </c>
      <c r="E239" s="14" t="s">
        <v>1349</v>
      </c>
      <c r="F239" s="14">
        <f t="shared" si="62"/>
        <v>0</v>
      </c>
      <c r="G239" s="14">
        <f t="shared" si="62"/>
        <v>0</v>
      </c>
      <c r="H239" s="14">
        <f t="shared" si="62"/>
        <v>0</v>
      </c>
      <c r="I239" s="14">
        <f t="shared" si="62"/>
        <v>0</v>
      </c>
      <c r="J239" s="14">
        <f t="shared" si="62"/>
        <v>0</v>
      </c>
      <c r="K239" s="14">
        <f t="shared" si="62"/>
        <v>0</v>
      </c>
      <c r="L239" s="14">
        <f t="shared" si="62"/>
        <v>0</v>
      </c>
      <c r="M239" s="14">
        <f t="shared" si="62"/>
        <v>0</v>
      </c>
      <c r="N239" s="14">
        <f t="shared" si="62"/>
        <v>1053.0249738949999</v>
      </c>
      <c r="O239" s="14">
        <f t="shared" si="62"/>
        <v>4010.0161733059999</v>
      </c>
      <c r="P239" s="14">
        <f t="shared" si="62"/>
        <v>110</v>
      </c>
      <c r="Q239" s="14">
        <f t="shared" si="62"/>
        <v>0</v>
      </c>
    </row>
    <row r="240" spans="1:17">
      <c r="A240" s="767" t="s">
        <v>5027</v>
      </c>
      <c r="B240" s="14"/>
      <c r="C240" s="14"/>
      <c r="D240" s="768"/>
      <c r="E240" s="14"/>
    </row>
    <row r="241" spans="1:17">
      <c r="A241" s="769" t="s">
        <v>4138</v>
      </c>
      <c r="B241" s="14" t="s">
        <v>1551</v>
      </c>
      <c r="C241" s="14"/>
      <c r="D241" s="768"/>
      <c r="E241" s="14"/>
    </row>
    <row r="242" spans="1:17">
      <c r="A242" s="769" t="s">
        <v>4139</v>
      </c>
      <c r="B242" s="14" t="s">
        <v>5028</v>
      </c>
      <c r="C242" s="86">
        <f t="shared" ref="C242:C243" si="63">IF(D242=0,0,IF(OR(D242&gt;P242,D242&lt;Q242),"contact vendor",F242*D242^G242+H242*LN(D242)+I242+J242*EXP(K242*D242)+L242*D242^3+M242*D242^2+N242*D242+O242))</f>
        <v>0</v>
      </c>
      <c r="D242" s="771">
        <f>dmix_size</f>
        <v>0</v>
      </c>
      <c r="E242" s="14" t="s">
        <v>4140</v>
      </c>
      <c r="F242" s="14">
        <f t="shared" ref="F242:Q243" si="64">VLOOKUP($E242,eq_table_cl,F$4,FALSE)</f>
        <v>3220.9800634899998</v>
      </c>
      <c r="G242" s="14">
        <f t="shared" si="64"/>
        <v>0.14804462199999999</v>
      </c>
      <c r="H242" s="14">
        <f t="shared" si="64"/>
        <v>0</v>
      </c>
      <c r="I242" s="14">
        <f t="shared" si="64"/>
        <v>0</v>
      </c>
      <c r="J242" s="14">
        <f t="shared" si="64"/>
        <v>0</v>
      </c>
      <c r="K242" s="14">
        <f t="shared" si="64"/>
        <v>0</v>
      </c>
      <c r="L242" s="14">
        <f t="shared" si="64"/>
        <v>0</v>
      </c>
      <c r="M242" s="14">
        <f t="shared" si="64"/>
        <v>0</v>
      </c>
      <c r="N242" s="14">
        <f t="shared" si="64"/>
        <v>0</v>
      </c>
      <c r="O242" s="14">
        <f t="shared" si="64"/>
        <v>0</v>
      </c>
      <c r="P242" s="14">
        <f t="shared" si="64"/>
        <v>4.0999999999999996</v>
      </c>
      <c r="Q242" s="14">
        <f t="shared" si="64"/>
        <v>0</v>
      </c>
    </row>
    <row r="243" spans="1:17">
      <c r="A243" s="221" t="s">
        <v>1348</v>
      </c>
      <c r="B243" s="14" t="s">
        <v>5029</v>
      </c>
      <c r="C243" s="86">
        <f t="shared" si="63"/>
        <v>0</v>
      </c>
      <c r="D243" s="771">
        <f>dmix_size</f>
        <v>0</v>
      </c>
      <c r="E243" s="14" t="s">
        <v>1349</v>
      </c>
      <c r="F243" s="14">
        <f t="shared" si="64"/>
        <v>0</v>
      </c>
      <c r="G243" s="14">
        <f t="shared" si="64"/>
        <v>0</v>
      </c>
      <c r="H243" s="14">
        <f t="shared" si="64"/>
        <v>0</v>
      </c>
      <c r="I243" s="14">
        <f t="shared" si="64"/>
        <v>0</v>
      </c>
      <c r="J243" s="14">
        <f t="shared" si="64"/>
        <v>0</v>
      </c>
      <c r="K243" s="14">
        <f t="shared" si="64"/>
        <v>0</v>
      </c>
      <c r="L243" s="14">
        <f t="shared" si="64"/>
        <v>0</v>
      </c>
      <c r="M243" s="14">
        <f t="shared" si="64"/>
        <v>0</v>
      </c>
      <c r="N243" s="14">
        <f t="shared" si="64"/>
        <v>1053.0249738949999</v>
      </c>
      <c r="O243" s="14">
        <f t="shared" si="64"/>
        <v>4010.0161733059999</v>
      </c>
      <c r="P243" s="14">
        <f t="shared" si="64"/>
        <v>110</v>
      </c>
      <c r="Q243" s="14">
        <f t="shared" si="64"/>
        <v>0</v>
      </c>
    </row>
    <row r="244" spans="1:17" s="14" customFormat="1">
      <c r="A244" s="721" t="s">
        <v>4875</v>
      </c>
      <c r="C244" s="722"/>
      <c r="F244" s="14" t="str">
        <f t="shared" ref="F244:Q245" si="65">IF(LEN($E244)=0,"",VLOOKUP($E244,eq_table_cl,F$7,FALSE))</f>
        <v/>
      </c>
      <c r="G244" s="14" t="str">
        <f t="shared" si="65"/>
        <v/>
      </c>
      <c r="H244" s="14" t="str">
        <f t="shared" si="65"/>
        <v/>
      </c>
      <c r="I244" s="14" t="str">
        <f t="shared" si="65"/>
        <v/>
      </c>
      <c r="J244" s="14" t="str">
        <f t="shared" si="65"/>
        <v/>
      </c>
      <c r="K244" s="14" t="str">
        <f t="shared" si="65"/>
        <v/>
      </c>
      <c r="L244" s="14" t="str">
        <f t="shared" si="65"/>
        <v/>
      </c>
      <c r="M244" s="14" t="str">
        <f t="shared" si="65"/>
        <v/>
      </c>
      <c r="N244" s="14" t="str">
        <f t="shared" si="65"/>
        <v/>
      </c>
      <c r="O244" s="14" t="str">
        <f t="shared" si="65"/>
        <v/>
      </c>
      <c r="P244" s="14" t="str">
        <f t="shared" si="65"/>
        <v/>
      </c>
      <c r="Q244" s="14" t="str">
        <f t="shared" si="65"/>
        <v/>
      </c>
    </row>
    <row r="245" spans="1:17" s="14" customFormat="1">
      <c r="A245" s="575" t="s">
        <v>4321</v>
      </c>
      <c r="C245" s="722"/>
      <c r="F245" s="14" t="str">
        <f t="shared" si="65"/>
        <v/>
      </c>
      <c r="G245" s="14" t="str">
        <f t="shared" si="65"/>
        <v/>
      </c>
      <c r="H245" s="14" t="str">
        <f t="shared" si="65"/>
        <v/>
      </c>
      <c r="I245" s="14" t="str">
        <f t="shared" si="65"/>
        <v/>
      </c>
      <c r="J245" s="14" t="str">
        <f t="shared" si="65"/>
        <v/>
      </c>
      <c r="K245" s="14" t="str">
        <f t="shared" si="65"/>
        <v/>
      </c>
      <c r="L245" s="14" t="str">
        <f t="shared" si="65"/>
        <v/>
      </c>
      <c r="M245" s="14" t="str">
        <f t="shared" si="65"/>
        <v/>
      </c>
      <c r="N245" s="14" t="str">
        <f t="shared" si="65"/>
        <v/>
      </c>
      <c r="O245" s="14" t="str">
        <f t="shared" si="65"/>
        <v/>
      </c>
      <c r="P245" s="14" t="str">
        <f t="shared" si="65"/>
        <v/>
      </c>
      <c r="Q245" s="14" t="str">
        <f t="shared" si="65"/>
        <v/>
      </c>
    </row>
    <row r="246" spans="1:17" s="14" customFormat="1">
      <c r="A246" s="14" t="s">
        <v>4876</v>
      </c>
      <c r="B246" s="14" t="s">
        <v>4877</v>
      </c>
      <c r="C246" s="86">
        <f t="shared" ref="C246:C248" ca="1" si="66">IF(D246=0,0,IF(OR(D246&gt;P246,D246&lt;Q246),"contact vendor",F246*D246^G246+H246*LN(D246)+I246+J246*EXP(K246*D246)+L246*D246^3+M246*D246^2+N246*D246+O246))</f>
        <v>84.199223946596675</v>
      </c>
      <c r="D246" s="14">
        <f ca="1">build1_fp</f>
        <v>1080</v>
      </c>
      <c r="E246" s="14" t="s">
        <v>4878</v>
      </c>
      <c r="F246" s="14">
        <f t="shared" ref="F246:Q255" si="67">IF(LEN($E246)=0,"",VLOOKUP($E246,eq_table_cl,F$4,FALSE))</f>
        <v>163.72087260199999</v>
      </c>
      <c r="G246" s="14">
        <f t="shared" si="67"/>
        <v>-9.5204622000000003E-2</v>
      </c>
      <c r="H246" s="14">
        <f t="shared" si="67"/>
        <v>0</v>
      </c>
      <c r="I246" s="14">
        <f t="shared" si="67"/>
        <v>0</v>
      </c>
      <c r="J246" s="14">
        <f t="shared" si="67"/>
        <v>0</v>
      </c>
      <c r="K246" s="14">
        <f t="shared" si="67"/>
        <v>0</v>
      </c>
      <c r="L246" s="14">
        <f t="shared" si="67"/>
        <v>0</v>
      </c>
      <c r="M246" s="14">
        <f t="shared" si="67"/>
        <v>0</v>
      </c>
      <c r="N246" s="14">
        <f t="shared" si="67"/>
        <v>0</v>
      </c>
      <c r="O246" s="14">
        <f t="shared" si="67"/>
        <v>0</v>
      </c>
      <c r="P246" s="14">
        <f t="shared" si="67"/>
        <v>200000.1</v>
      </c>
      <c r="Q246" s="14">
        <f t="shared" si="67"/>
        <v>0</v>
      </c>
    </row>
    <row r="247" spans="1:17" s="14" customFormat="1">
      <c r="A247" s="14" t="s">
        <v>4879</v>
      </c>
      <c r="B247" s="14" t="s">
        <v>4880</v>
      </c>
      <c r="C247" s="86">
        <f t="shared" ca="1" si="66"/>
        <v>101.10212936983636</v>
      </c>
      <c r="D247" s="14">
        <f ca="1">build1_fp</f>
        <v>1080</v>
      </c>
      <c r="E247" s="14" t="s">
        <v>4881</v>
      </c>
      <c r="F247" s="14">
        <f t="shared" si="67"/>
        <v>198.02119383900001</v>
      </c>
      <c r="G247" s="14">
        <f t="shared" si="67"/>
        <v>-9.6244836E-2</v>
      </c>
      <c r="H247" s="14">
        <f t="shared" si="67"/>
        <v>0</v>
      </c>
      <c r="I247" s="14">
        <f t="shared" si="67"/>
        <v>0</v>
      </c>
      <c r="J247" s="14">
        <f t="shared" si="67"/>
        <v>0</v>
      </c>
      <c r="K247" s="14">
        <f t="shared" si="67"/>
        <v>0</v>
      </c>
      <c r="L247" s="14">
        <f t="shared" si="67"/>
        <v>0</v>
      </c>
      <c r="M247" s="14">
        <f t="shared" si="67"/>
        <v>0</v>
      </c>
      <c r="N247" s="14">
        <f t="shared" si="67"/>
        <v>0</v>
      </c>
      <c r="O247" s="14">
        <f t="shared" si="67"/>
        <v>0</v>
      </c>
      <c r="P247" s="14">
        <f t="shared" si="67"/>
        <v>200000.1</v>
      </c>
      <c r="Q247" s="14">
        <f t="shared" si="67"/>
        <v>0</v>
      </c>
    </row>
    <row r="248" spans="1:17" s="14" customFormat="1">
      <c r="A248" s="14" t="s">
        <v>4882</v>
      </c>
      <c r="B248" s="14" t="s">
        <v>4883</v>
      </c>
      <c r="C248" s="86">
        <f t="shared" ca="1" si="66"/>
        <v>145.62967758819175</v>
      </c>
      <c r="D248" s="14">
        <f ca="1">build1_fp</f>
        <v>1080</v>
      </c>
      <c r="E248" s="14" t="s">
        <v>4884</v>
      </c>
      <c r="F248" s="14">
        <f t="shared" si="67"/>
        <v>378.41221851</v>
      </c>
      <c r="G248" s="14">
        <f t="shared" si="67"/>
        <v>-0.13671524199999999</v>
      </c>
      <c r="H248" s="14">
        <f t="shared" si="67"/>
        <v>0</v>
      </c>
      <c r="I248" s="14">
        <f t="shared" si="67"/>
        <v>0</v>
      </c>
      <c r="J248" s="14">
        <f t="shared" si="67"/>
        <v>0</v>
      </c>
      <c r="K248" s="14">
        <f t="shared" si="67"/>
        <v>0</v>
      </c>
      <c r="L248" s="14">
        <f t="shared" si="67"/>
        <v>0</v>
      </c>
      <c r="M248" s="14">
        <f t="shared" si="67"/>
        <v>0</v>
      </c>
      <c r="N248" s="14">
        <f t="shared" si="67"/>
        <v>0</v>
      </c>
      <c r="O248" s="14">
        <f t="shared" si="67"/>
        <v>0</v>
      </c>
      <c r="P248" s="14">
        <f t="shared" si="67"/>
        <v>200000.1</v>
      </c>
      <c r="Q248" s="14">
        <f t="shared" si="67"/>
        <v>0</v>
      </c>
    </row>
    <row r="249" spans="1:17" s="14" customFormat="1">
      <c r="A249" s="575" t="s">
        <v>4885</v>
      </c>
      <c r="C249" s="722"/>
      <c r="F249" s="14" t="str">
        <f t="shared" si="67"/>
        <v/>
      </c>
      <c r="G249" s="14" t="str">
        <f t="shared" si="67"/>
        <v/>
      </c>
      <c r="H249" s="14" t="str">
        <f t="shared" si="67"/>
        <v/>
      </c>
      <c r="I249" s="14" t="str">
        <f t="shared" si="67"/>
        <v/>
      </c>
      <c r="J249" s="14" t="str">
        <f t="shared" si="67"/>
        <v/>
      </c>
      <c r="K249" s="14" t="str">
        <f t="shared" si="67"/>
        <v/>
      </c>
      <c r="L249" s="14" t="str">
        <f t="shared" si="67"/>
        <v/>
      </c>
      <c r="M249" s="14" t="str">
        <f t="shared" si="67"/>
        <v/>
      </c>
      <c r="N249" s="14" t="str">
        <f t="shared" si="67"/>
        <v/>
      </c>
      <c r="O249" s="14" t="str">
        <f t="shared" si="67"/>
        <v/>
      </c>
      <c r="P249" s="14" t="str">
        <f t="shared" si="67"/>
        <v/>
      </c>
      <c r="Q249" s="14" t="str">
        <f t="shared" si="67"/>
        <v/>
      </c>
    </row>
    <row r="250" spans="1:17" s="14" customFormat="1">
      <c r="A250" s="14" t="s">
        <v>3695</v>
      </c>
      <c r="B250" s="14" t="s">
        <v>4886</v>
      </c>
      <c r="C250" s="86">
        <f t="shared" ref="C250:C254" ca="1" si="68">IF(D250=0,0,IF(OR(D250&gt;P250,D250&lt;Q250),"contact vendor",F250*D250^G250+H250*LN(D250)+I250+J250*EXP(K250*D250)+L250*D250^3+M250*D250^2+N250*D250+O250))</f>
        <v>26458.508840204904</v>
      </c>
      <c r="D250" s="14">
        <f ca="1">build1_heat_mbh/build1_zones</f>
        <v>59.26055724003978</v>
      </c>
      <c r="E250" s="14" t="s">
        <v>4887</v>
      </c>
      <c r="F250" s="14">
        <f t="shared" si="67"/>
        <v>1144.4973268870001</v>
      </c>
      <c r="G250" s="14">
        <f t="shared" si="67"/>
        <v>0.76939132899999996</v>
      </c>
      <c r="H250" s="14">
        <f t="shared" si="67"/>
        <v>0</v>
      </c>
      <c r="I250" s="14">
        <f t="shared" si="67"/>
        <v>0</v>
      </c>
      <c r="J250" s="14">
        <f t="shared" si="67"/>
        <v>0</v>
      </c>
      <c r="K250" s="14">
        <f t="shared" si="67"/>
        <v>0</v>
      </c>
      <c r="L250" s="14">
        <f t="shared" si="67"/>
        <v>0</v>
      </c>
      <c r="M250" s="14">
        <f t="shared" si="67"/>
        <v>0</v>
      </c>
      <c r="N250" s="14">
        <f t="shared" si="67"/>
        <v>0</v>
      </c>
      <c r="O250" s="14">
        <f t="shared" si="67"/>
        <v>0</v>
      </c>
      <c r="P250" s="14">
        <f t="shared" si="67"/>
        <v>6148.1</v>
      </c>
      <c r="Q250" s="14">
        <f t="shared" si="67"/>
        <v>0</v>
      </c>
    </row>
    <row r="251" spans="1:17" s="14" customFormat="1">
      <c r="A251" s="14" t="s">
        <v>3696</v>
      </c>
      <c r="B251" s="14" t="s">
        <v>4888</v>
      </c>
      <c r="C251" s="86">
        <f t="shared" ca="1" si="68"/>
        <v>18949.143692504371</v>
      </c>
      <c r="D251" s="14">
        <f ca="1">build1_heat_mbh/build1_zones</f>
        <v>59.26055724003978</v>
      </c>
      <c r="E251" s="14" t="s">
        <v>4889</v>
      </c>
      <c r="F251" s="14">
        <f t="shared" si="67"/>
        <v>884.952743048</v>
      </c>
      <c r="G251" s="14">
        <f t="shared" si="67"/>
        <v>0.75061779799999995</v>
      </c>
      <c r="H251" s="14">
        <f t="shared" si="67"/>
        <v>0</v>
      </c>
      <c r="I251" s="14">
        <f t="shared" si="67"/>
        <v>0</v>
      </c>
      <c r="J251" s="14">
        <f t="shared" si="67"/>
        <v>0</v>
      </c>
      <c r="K251" s="14">
        <f t="shared" si="67"/>
        <v>0</v>
      </c>
      <c r="L251" s="14">
        <f t="shared" si="67"/>
        <v>0</v>
      </c>
      <c r="M251" s="14">
        <f t="shared" si="67"/>
        <v>0</v>
      </c>
      <c r="N251" s="14">
        <f t="shared" si="67"/>
        <v>0</v>
      </c>
      <c r="O251" s="14">
        <f t="shared" si="67"/>
        <v>0</v>
      </c>
      <c r="P251" s="14">
        <f t="shared" si="67"/>
        <v>5032.1000000000004</v>
      </c>
      <c r="Q251" s="14">
        <f t="shared" si="67"/>
        <v>0</v>
      </c>
    </row>
    <row r="252" spans="1:17" s="14" customFormat="1">
      <c r="A252" s="14" t="s">
        <v>3635</v>
      </c>
      <c r="B252" s="14" t="s">
        <v>4890</v>
      </c>
      <c r="C252" s="86">
        <f t="shared" ca="1" si="68"/>
        <v>18949.143692504371</v>
      </c>
      <c r="D252" s="14">
        <f ca="1">build1_heat_mbh/build1_zones</f>
        <v>59.26055724003978</v>
      </c>
      <c r="E252" s="14" t="s">
        <v>4891</v>
      </c>
      <c r="F252" s="14">
        <f t="shared" si="67"/>
        <v>884.952743048</v>
      </c>
      <c r="G252" s="14">
        <f t="shared" si="67"/>
        <v>0.75061779799999995</v>
      </c>
      <c r="H252" s="14">
        <f t="shared" si="67"/>
        <v>0</v>
      </c>
      <c r="I252" s="14">
        <f t="shared" si="67"/>
        <v>0</v>
      </c>
      <c r="J252" s="14">
        <f t="shared" si="67"/>
        <v>0</v>
      </c>
      <c r="K252" s="14">
        <f t="shared" si="67"/>
        <v>0</v>
      </c>
      <c r="L252" s="14">
        <f t="shared" si="67"/>
        <v>0</v>
      </c>
      <c r="M252" s="14">
        <f t="shared" si="67"/>
        <v>0</v>
      </c>
      <c r="N252" s="14">
        <f t="shared" si="67"/>
        <v>0</v>
      </c>
      <c r="O252" s="14">
        <f t="shared" si="67"/>
        <v>0</v>
      </c>
      <c r="P252" s="14">
        <f t="shared" si="67"/>
        <v>5032.1000000000004</v>
      </c>
      <c r="Q252" s="14">
        <f t="shared" si="67"/>
        <v>0</v>
      </c>
    </row>
    <row r="253" spans="1:17" s="14" customFormat="1">
      <c r="A253" s="14" t="s">
        <v>2161</v>
      </c>
      <c r="B253" s="14" t="s">
        <v>4892</v>
      </c>
      <c r="C253" s="86">
        <f t="shared" ca="1" si="68"/>
        <v>21713.977277743437</v>
      </c>
      <c r="D253" s="14">
        <f ca="1">build1_heat_mbh/build1_zones</f>
        <v>59.26055724003978</v>
      </c>
      <c r="E253" s="14" t="s">
        <v>4893</v>
      </c>
      <c r="F253" s="14">
        <f t="shared" si="67"/>
        <v>1161.335000027</v>
      </c>
      <c r="G253" s="14">
        <f t="shared" si="67"/>
        <v>0.71739984700000003</v>
      </c>
      <c r="H253" s="14">
        <f t="shared" si="67"/>
        <v>0</v>
      </c>
      <c r="I253" s="14">
        <f t="shared" si="67"/>
        <v>0</v>
      </c>
      <c r="J253" s="14">
        <f t="shared" si="67"/>
        <v>0</v>
      </c>
      <c r="K253" s="14">
        <f t="shared" si="67"/>
        <v>0</v>
      </c>
      <c r="L253" s="14">
        <f t="shared" si="67"/>
        <v>0</v>
      </c>
      <c r="M253" s="14">
        <f t="shared" si="67"/>
        <v>0</v>
      </c>
      <c r="N253" s="14">
        <f t="shared" si="67"/>
        <v>0</v>
      </c>
      <c r="O253" s="14">
        <f t="shared" si="67"/>
        <v>0</v>
      </c>
      <c r="P253" s="14">
        <f t="shared" si="67"/>
        <v>3350.1</v>
      </c>
      <c r="Q253" s="14">
        <f t="shared" si="67"/>
        <v>0</v>
      </c>
    </row>
    <row r="254" spans="1:17" s="14" customFormat="1">
      <c r="A254" s="14" t="s">
        <v>2162</v>
      </c>
      <c r="B254" s="14" t="s">
        <v>4894</v>
      </c>
      <c r="C254" s="86">
        <f t="shared" ca="1" si="68"/>
        <v>21713.977277743437</v>
      </c>
      <c r="D254" s="14">
        <f ca="1">build1_heat_mbh/build1_zones</f>
        <v>59.26055724003978</v>
      </c>
      <c r="E254" s="14" t="s">
        <v>4895</v>
      </c>
      <c r="F254" s="14">
        <f t="shared" si="67"/>
        <v>1161.335000027</v>
      </c>
      <c r="G254" s="14">
        <f t="shared" si="67"/>
        <v>0.71739984700000003</v>
      </c>
      <c r="H254" s="14">
        <f t="shared" si="67"/>
        <v>0</v>
      </c>
      <c r="I254" s="14">
        <f t="shared" si="67"/>
        <v>0</v>
      </c>
      <c r="J254" s="14">
        <f t="shared" si="67"/>
        <v>0</v>
      </c>
      <c r="K254" s="14">
        <f t="shared" si="67"/>
        <v>0</v>
      </c>
      <c r="L254" s="14">
        <f t="shared" si="67"/>
        <v>0</v>
      </c>
      <c r="M254" s="14">
        <f t="shared" si="67"/>
        <v>0</v>
      </c>
      <c r="N254" s="14">
        <f t="shared" si="67"/>
        <v>0</v>
      </c>
      <c r="O254" s="14">
        <f t="shared" si="67"/>
        <v>0</v>
      </c>
      <c r="P254" s="14">
        <f t="shared" si="67"/>
        <v>3350.1</v>
      </c>
      <c r="Q254" s="14">
        <f t="shared" si="67"/>
        <v>0</v>
      </c>
    </row>
    <row r="255" spans="1:17" s="14" customFormat="1">
      <c r="A255" s="575" t="s">
        <v>4896</v>
      </c>
      <c r="C255" s="722"/>
      <c r="F255" s="14" t="str">
        <f t="shared" si="67"/>
        <v/>
      </c>
      <c r="G255" s="14" t="str">
        <f t="shared" si="67"/>
        <v/>
      </c>
      <c r="H255" s="14" t="str">
        <f t="shared" si="67"/>
        <v/>
      </c>
      <c r="I255" s="14" t="str">
        <f t="shared" si="67"/>
        <v/>
      </c>
      <c r="J255" s="14" t="str">
        <f t="shared" si="67"/>
        <v/>
      </c>
      <c r="K255" s="14" t="str">
        <f t="shared" si="67"/>
        <v/>
      </c>
      <c r="L255" s="14" t="str">
        <f t="shared" si="67"/>
        <v/>
      </c>
      <c r="M255" s="14" t="str">
        <f t="shared" si="67"/>
        <v/>
      </c>
      <c r="N255" s="14" t="str">
        <f t="shared" si="67"/>
        <v/>
      </c>
      <c r="O255" s="14" t="str">
        <f t="shared" si="67"/>
        <v/>
      </c>
      <c r="P255" s="14" t="str">
        <f t="shared" si="67"/>
        <v/>
      </c>
      <c r="Q255" s="14" t="str">
        <f t="shared" si="67"/>
        <v/>
      </c>
    </row>
    <row r="256" spans="1:17" s="14" customFormat="1">
      <c r="A256" s="14" t="s">
        <v>4897</v>
      </c>
      <c r="B256" s="14" t="s">
        <v>4898</v>
      </c>
      <c r="C256" s="86">
        <f t="shared" ref="C256:C257" ca="1" si="69">IF(D256=0,0,IF(OR(D256&gt;P256,D256&lt;Q256),"contact vendor",F256*D256^G256+H256*LN(D256)+I256+J256*EXP(K256*D256)+L256*D256^3+M256*D256^2+N256*D256+O256))</f>
        <v>45093.206565135653</v>
      </c>
      <c r="D256" s="14">
        <f ca="1">build1_cooling_tons/build1_zones</f>
        <v>13.342541108303919</v>
      </c>
      <c r="E256" s="14" t="s">
        <v>4899</v>
      </c>
      <c r="F256" s="14">
        <f t="shared" ref="F256:Q261" si="70">IF(LEN($E256)=0,"",VLOOKUP($E256,eq_table_cl,F$4,FALSE))</f>
        <v>2490.0166433280001</v>
      </c>
      <c r="G256" s="14">
        <f t="shared" si="70"/>
        <v>1.117904172</v>
      </c>
      <c r="H256" s="14">
        <f t="shared" si="70"/>
        <v>0</v>
      </c>
      <c r="I256" s="14">
        <f t="shared" si="70"/>
        <v>0</v>
      </c>
      <c r="J256" s="14">
        <f t="shared" si="70"/>
        <v>0</v>
      </c>
      <c r="K256" s="14">
        <f t="shared" si="70"/>
        <v>0</v>
      </c>
      <c r="L256" s="14">
        <f t="shared" si="70"/>
        <v>0</v>
      </c>
      <c r="M256" s="14">
        <f t="shared" si="70"/>
        <v>0</v>
      </c>
      <c r="N256" s="14">
        <f t="shared" si="70"/>
        <v>0</v>
      </c>
      <c r="O256" s="14">
        <f t="shared" si="70"/>
        <v>0</v>
      </c>
      <c r="P256" s="14">
        <f t="shared" si="70"/>
        <v>113.33</v>
      </c>
      <c r="Q256" s="14">
        <f t="shared" si="70"/>
        <v>0</v>
      </c>
    </row>
    <row r="257" spans="1:17" s="14" customFormat="1">
      <c r="A257" s="14" t="s">
        <v>3694</v>
      </c>
      <c r="B257" s="14" t="s">
        <v>4900</v>
      </c>
      <c r="C257" s="86">
        <f t="shared" ca="1" si="69"/>
        <v>19750.960768479101</v>
      </c>
      <c r="D257" s="14">
        <f ca="1">build1_cooling_tons/build1_zones</f>
        <v>13.342541108303919</v>
      </c>
      <c r="E257" s="14" t="str">
        <f ca="1">IF(D257&gt;12,"hvac_hp_eq_large","hvac_hp_eq_small")</f>
        <v>hvac_hp_eq_large</v>
      </c>
      <c r="F257" s="14">
        <f t="shared" ca="1" si="70"/>
        <v>2416.5109401350001</v>
      </c>
      <c r="G257" s="14">
        <f t="shared" ca="1" si="70"/>
        <v>0.81084980699999998</v>
      </c>
      <c r="H257" s="14">
        <f t="shared" ca="1" si="70"/>
        <v>0</v>
      </c>
      <c r="I257" s="14">
        <f t="shared" ca="1" si="70"/>
        <v>0</v>
      </c>
      <c r="J257" s="14">
        <f t="shared" ca="1" si="70"/>
        <v>0</v>
      </c>
      <c r="K257" s="14">
        <f t="shared" ca="1" si="70"/>
        <v>0</v>
      </c>
      <c r="L257" s="14">
        <f t="shared" ca="1" si="70"/>
        <v>0</v>
      </c>
      <c r="M257" s="14">
        <f t="shared" ca="1" si="70"/>
        <v>0</v>
      </c>
      <c r="N257" s="14">
        <f t="shared" ca="1" si="70"/>
        <v>0</v>
      </c>
      <c r="O257" s="14">
        <f t="shared" ca="1" si="70"/>
        <v>0</v>
      </c>
      <c r="P257" s="14">
        <f t="shared" ca="1" si="70"/>
        <v>50.01</v>
      </c>
      <c r="Q257" s="14">
        <f t="shared" ca="1" si="70"/>
        <v>12</v>
      </c>
    </row>
    <row r="258" spans="1:17" s="14" customFormat="1">
      <c r="A258" s="575" t="s">
        <v>1629</v>
      </c>
      <c r="C258" s="722"/>
      <c r="F258" s="14" t="str">
        <f t="shared" si="70"/>
        <v/>
      </c>
      <c r="G258" s="14" t="str">
        <f t="shared" si="70"/>
        <v/>
      </c>
      <c r="H258" s="14" t="str">
        <f t="shared" si="70"/>
        <v/>
      </c>
      <c r="I258" s="14" t="str">
        <f t="shared" si="70"/>
        <v/>
      </c>
      <c r="J258" s="14" t="str">
        <f t="shared" si="70"/>
        <v/>
      </c>
      <c r="K258" s="14" t="str">
        <f t="shared" si="70"/>
        <v/>
      </c>
      <c r="L258" s="14" t="str">
        <f t="shared" si="70"/>
        <v/>
      </c>
      <c r="M258" s="14" t="str">
        <f t="shared" si="70"/>
        <v/>
      </c>
      <c r="N258" s="14" t="str">
        <f t="shared" si="70"/>
        <v/>
      </c>
      <c r="O258" s="14" t="str">
        <f t="shared" si="70"/>
        <v/>
      </c>
      <c r="P258" s="14" t="str">
        <f t="shared" si="70"/>
        <v/>
      </c>
      <c r="Q258" s="14" t="str">
        <f t="shared" si="70"/>
        <v/>
      </c>
    </row>
    <row r="259" spans="1:17" s="14" customFormat="1">
      <c r="A259" s="14" t="s">
        <v>4876</v>
      </c>
      <c r="B259" s="14" t="s">
        <v>4901</v>
      </c>
      <c r="C259" s="86">
        <f t="shared" ref="C259:C261" ca="1" si="71">IF(D259=0,0,IF(OR(D259&gt;P259,D259&lt;Q259),"contact vendor",F259*D259^G259+H259*LN(D259)+I259+J259*EXP(K259*D259)+L259*D259^3+M259*D259^2+N259*D259+O259))</f>
        <v>66.378313534228965</v>
      </c>
      <c r="D259" s="14">
        <f ca="1">build2_fp</f>
        <v>13130</v>
      </c>
      <c r="E259" s="14" t="s">
        <v>4878</v>
      </c>
      <c r="F259" s="14">
        <f t="shared" si="70"/>
        <v>163.72087260199999</v>
      </c>
      <c r="G259" s="14">
        <f t="shared" si="70"/>
        <v>-9.5204622000000003E-2</v>
      </c>
      <c r="H259" s="14">
        <f t="shared" si="70"/>
        <v>0</v>
      </c>
      <c r="I259" s="14">
        <f t="shared" si="70"/>
        <v>0</v>
      </c>
      <c r="J259" s="14">
        <f t="shared" si="70"/>
        <v>0</v>
      </c>
      <c r="K259" s="14">
        <f t="shared" si="70"/>
        <v>0</v>
      </c>
      <c r="L259" s="14">
        <f t="shared" si="70"/>
        <v>0</v>
      </c>
      <c r="M259" s="14">
        <f t="shared" si="70"/>
        <v>0</v>
      </c>
      <c r="N259" s="14">
        <f t="shared" si="70"/>
        <v>0</v>
      </c>
      <c r="O259" s="14">
        <f t="shared" si="70"/>
        <v>0</v>
      </c>
      <c r="P259" s="14">
        <f t="shared" si="70"/>
        <v>200000.1</v>
      </c>
      <c r="Q259" s="14">
        <f t="shared" si="70"/>
        <v>0</v>
      </c>
    </row>
    <row r="260" spans="1:17" s="14" customFormat="1">
      <c r="A260" s="14" t="s">
        <v>4879</v>
      </c>
      <c r="B260" s="14" t="s">
        <v>4902</v>
      </c>
      <c r="C260" s="86">
        <f t="shared" ca="1" si="71"/>
        <v>79.496857484729517</v>
      </c>
      <c r="D260" s="14">
        <f ca="1">build2_fp</f>
        <v>13130</v>
      </c>
      <c r="E260" s="14" t="s">
        <v>4881</v>
      </c>
      <c r="F260" s="14">
        <f t="shared" si="70"/>
        <v>198.02119383900001</v>
      </c>
      <c r="G260" s="14">
        <f t="shared" si="70"/>
        <v>-9.6244836E-2</v>
      </c>
      <c r="H260" s="14">
        <f t="shared" si="70"/>
        <v>0</v>
      </c>
      <c r="I260" s="14">
        <f t="shared" si="70"/>
        <v>0</v>
      </c>
      <c r="J260" s="14">
        <f t="shared" si="70"/>
        <v>0</v>
      </c>
      <c r="K260" s="14">
        <f t="shared" si="70"/>
        <v>0</v>
      </c>
      <c r="L260" s="14">
        <f t="shared" si="70"/>
        <v>0</v>
      </c>
      <c r="M260" s="14">
        <f t="shared" si="70"/>
        <v>0</v>
      </c>
      <c r="N260" s="14">
        <f t="shared" si="70"/>
        <v>0</v>
      </c>
      <c r="O260" s="14">
        <f t="shared" si="70"/>
        <v>0</v>
      </c>
      <c r="P260" s="14">
        <f t="shared" si="70"/>
        <v>200000.1</v>
      </c>
      <c r="Q260" s="14">
        <f t="shared" si="70"/>
        <v>0</v>
      </c>
    </row>
    <row r="261" spans="1:17" s="14" customFormat="1">
      <c r="A261" s="14" t="s">
        <v>4882</v>
      </c>
      <c r="B261" s="14" t="s">
        <v>4903</v>
      </c>
      <c r="C261" s="86">
        <f t="shared" ca="1" si="71"/>
        <v>103.49886618707968</v>
      </c>
      <c r="D261" s="14">
        <f ca="1">build2_fp</f>
        <v>13130</v>
      </c>
      <c r="E261" s="14" t="s">
        <v>4884</v>
      </c>
      <c r="F261" s="14">
        <f t="shared" si="70"/>
        <v>378.41221851</v>
      </c>
      <c r="G261" s="14">
        <f t="shared" si="70"/>
        <v>-0.13671524199999999</v>
      </c>
      <c r="H261" s="14">
        <f t="shared" si="70"/>
        <v>0</v>
      </c>
      <c r="I261" s="14">
        <f t="shared" si="70"/>
        <v>0</v>
      </c>
      <c r="J261" s="14">
        <f t="shared" si="70"/>
        <v>0</v>
      </c>
      <c r="K261" s="14">
        <f t="shared" si="70"/>
        <v>0</v>
      </c>
      <c r="L261" s="14">
        <f t="shared" si="70"/>
        <v>0</v>
      </c>
      <c r="M261" s="14">
        <f t="shared" si="70"/>
        <v>0</v>
      </c>
      <c r="N261" s="14">
        <f t="shared" si="70"/>
        <v>0</v>
      </c>
      <c r="O261" s="14">
        <f t="shared" si="70"/>
        <v>0</v>
      </c>
      <c r="P261" s="14">
        <f t="shared" si="70"/>
        <v>200000.1</v>
      </c>
      <c r="Q261" s="14">
        <f t="shared" si="70"/>
        <v>0</v>
      </c>
    </row>
    <row r="262" spans="1:17" s="14" customFormat="1">
      <c r="A262" s="575" t="s">
        <v>4885</v>
      </c>
      <c r="C262" s="722"/>
    </row>
    <row r="263" spans="1:17" s="14" customFormat="1">
      <c r="A263" s="14" t="s">
        <v>3695</v>
      </c>
      <c r="B263" s="14" t="s">
        <v>4904</v>
      </c>
      <c r="C263" s="86">
        <f t="shared" ref="C263:C267" ca="1" si="72">IF(D263=0,0,IF(OR(D263&gt;P263,D263&lt;Q263),"contact vendor",F263*D263^G263+H263*LN(D263)+I263+J263*EXP(K263*D263)+L263*D263^3+M263*D263^2+N263*D263+O263))</f>
        <v>107716.86455291814</v>
      </c>
      <c r="D263" s="14">
        <f ca="1">IF(build2_zones=0,0,build2_heat_mbh/build2_zones)</f>
        <v>367.48038398633548</v>
      </c>
      <c r="E263" s="14" t="s">
        <v>4887</v>
      </c>
      <c r="F263" s="14">
        <f t="shared" ref="F263:Q274" si="73">IF(LEN($E263)=0,"",VLOOKUP($E263,eq_table_cl,F$4,FALSE))</f>
        <v>1144.4973268870001</v>
      </c>
      <c r="G263" s="14">
        <f t="shared" si="73"/>
        <v>0.76939132899999996</v>
      </c>
      <c r="H263" s="14">
        <f t="shared" si="73"/>
        <v>0</v>
      </c>
      <c r="I263" s="14">
        <f t="shared" si="73"/>
        <v>0</v>
      </c>
      <c r="J263" s="14">
        <f t="shared" si="73"/>
        <v>0</v>
      </c>
      <c r="K263" s="14">
        <f t="shared" si="73"/>
        <v>0</v>
      </c>
      <c r="L263" s="14">
        <f t="shared" si="73"/>
        <v>0</v>
      </c>
      <c r="M263" s="14">
        <f t="shared" si="73"/>
        <v>0</v>
      </c>
      <c r="N263" s="14">
        <f t="shared" si="73"/>
        <v>0</v>
      </c>
      <c r="O263" s="14">
        <f t="shared" si="73"/>
        <v>0</v>
      </c>
      <c r="P263" s="14">
        <f t="shared" si="73"/>
        <v>6148.1</v>
      </c>
      <c r="Q263" s="14">
        <f t="shared" si="73"/>
        <v>0</v>
      </c>
    </row>
    <row r="264" spans="1:17" s="14" customFormat="1">
      <c r="A264" s="14" t="s">
        <v>3696</v>
      </c>
      <c r="B264" s="14" t="s">
        <v>4905</v>
      </c>
      <c r="C264" s="86">
        <f t="shared" ca="1" si="72"/>
        <v>74547.056065174125</v>
      </c>
      <c r="D264" s="14">
        <f ca="1">IF(build2_zones=0,0,build2_heat_mbh/build2_zones)</f>
        <v>367.48038398633548</v>
      </c>
      <c r="E264" s="14" t="s">
        <v>4889</v>
      </c>
      <c r="F264" s="14">
        <f t="shared" si="73"/>
        <v>884.952743048</v>
      </c>
      <c r="G264" s="14">
        <f t="shared" si="73"/>
        <v>0.75061779799999995</v>
      </c>
      <c r="H264" s="14">
        <f t="shared" si="73"/>
        <v>0</v>
      </c>
      <c r="I264" s="14">
        <f t="shared" si="73"/>
        <v>0</v>
      </c>
      <c r="J264" s="14">
        <f t="shared" si="73"/>
        <v>0</v>
      </c>
      <c r="K264" s="14">
        <f t="shared" si="73"/>
        <v>0</v>
      </c>
      <c r="L264" s="14">
        <f t="shared" si="73"/>
        <v>0</v>
      </c>
      <c r="M264" s="14">
        <f t="shared" si="73"/>
        <v>0</v>
      </c>
      <c r="N264" s="14">
        <f t="shared" si="73"/>
        <v>0</v>
      </c>
      <c r="O264" s="14">
        <f t="shared" si="73"/>
        <v>0</v>
      </c>
      <c r="P264" s="14">
        <f t="shared" si="73"/>
        <v>5032.1000000000004</v>
      </c>
      <c r="Q264" s="14">
        <f t="shared" si="73"/>
        <v>0</v>
      </c>
    </row>
    <row r="265" spans="1:17" s="14" customFormat="1">
      <c r="A265" s="14" t="s">
        <v>3635</v>
      </c>
      <c r="B265" s="14" t="s">
        <v>4906</v>
      </c>
      <c r="C265" s="86">
        <f t="shared" ca="1" si="72"/>
        <v>74547.056065174125</v>
      </c>
      <c r="D265" s="14">
        <f ca="1">IF(build2_zones=0,0,build2_heat_mbh/build2_zones)</f>
        <v>367.48038398633548</v>
      </c>
      <c r="E265" s="14" t="s">
        <v>4891</v>
      </c>
      <c r="F265" s="14">
        <f t="shared" si="73"/>
        <v>884.952743048</v>
      </c>
      <c r="G265" s="14">
        <f t="shared" si="73"/>
        <v>0.75061779799999995</v>
      </c>
      <c r="H265" s="14">
        <f t="shared" si="73"/>
        <v>0</v>
      </c>
      <c r="I265" s="14">
        <f t="shared" si="73"/>
        <v>0</v>
      </c>
      <c r="J265" s="14">
        <f t="shared" si="73"/>
        <v>0</v>
      </c>
      <c r="K265" s="14">
        <f t="shared" si="73"/>
        <v>0</v>
      </c>
      <c r="L265" s="14">
        <f t="shared" si="73"/>
        <v>0</v>
      </c>
      <c r="M265" s="14">
        <f t="shared" si="73"/>
        <v>0</v>
      </c>
      <c r="N265" s="14">
        <f t="shared" si="73"/>
        <v>0</v>
      </c>
      <c r="O265" s="14">
        <f t="shared" si="73"/>
        <v>0</v>
      </c>
      <c r="P265" s="14">
        <f t="shared" si="73"/>
        <v>5032.1000000000004</v>
      </c>
      <c r="Q265" s="14">
        <f t="shared" si="73"/>
        <v>0</v>
      </c>
    </row>
    <row r="266" spans="1:17" s="14" customFormat="1">
      <c r="A266" s="14" t="s">
        <v>2161</v>
      </c>
      <c r="B266" s="14" t="s">
        <v>4907</v>
      </c>
      <c r="C266" s="86">
        <f t="shared" ca="1" si="72"/>
        <v>80400.011316847929</v>
      </c>
      <c r="D266" s="14">
        <f ca="1">IF(build2_zones=0,0,build2_heat_mbh/build2_zones)</f>
        <v>367.48038398633548</v>
      </c>
      <c r="E266" s="14" t="s">
        <v>4893</v>
      </c>
      <c r="F266" s="14">
        <f t="shared" si="73"/>
        <v>1161.335000027</v>
      </c>
      <c r="G266" s="14">
        <f t="shared" si="73"/>
        <v>0.71739984700000003</v>
      </c>
      <c r="H266" s="14">
        <f t="shared" si="73"/>
        <v>0</v>
      </c>
      <c r="I266" s="14">
        <f t="shared" si="73"/>
        <v>0</v>
      </c>
      <c r="J266" s="14">
        <f t="shared" si="73"/>
        <v>0</v>
      </c>
      <c r="K266" s="14">
        <f t="shared" si="73"/>
        <v>0</v>
      </c>
      <c r="L266" s="14">
        <f t="shared" si="73"/>
        <v>0</v>
      </c>
      <c r="M266" s="14">
        <f t="shared" si="73"/>
        <v>0</v>
      </c>
      <c r="N266" s="14">
        <f t="shared" si="73"/>
        <v>0</v>
      </c>
      <c r="O266" s="14">
        <f t="shared" si="73"/>
        <v>0</v>
      </c>
      <c r="P266" s="14">
        <f t="shared" si="73"/>
        <v>3350.1</v>
      </c>
      <c r="Q266" s="14">
        <f t="shared" si="73"/>
        <v>0</v>
      </c>
    </row>
    <row r="267" spans="1:17" s="14" customFormat="1">
      <c r="A267" s="14" t="s">
        <v>2162</v>
      </c>
      <c r="B267" s="14" t="s">
        <v>4908</v>
      </c>
      <c r="C267" s="86">
        <f t="shared" ca="1" si="72"/>
        <v>80400.011316847929</v>
      </c>
      <c r="D267" s="14">
        <f ca="1">IF(build2_zones=0,0,build2_heat_mbh/build2_zones)</f>
        <v>367.48038398633548</v>
      </c>
      <c r="E267" s="14" t="s">
        <v>4895</v>
      </c>
      <c r="F267" s="14">
        <f t="shared" si="73"/>
        <v>1161.335000027</v>
      </c>
      <c r="G267" s="14">
        <f t="shared" si="73"/>
        <v>0.71739984700000003</v>
      </c>
      <c r="H267" s="14">
        <f t="shared" si="73"/>
        <v>0</v>
      </c>
      <c r="I267" s="14">
        <f t="shared" si="73"/>
        <v>0</v>
      </c>
      <c r="J267" s="14">
        <f t="shared" si="73"/>
        <v>0</v>
      </c>
      <c r="K267" s="14">
        <f t="shared" si="73"/>
        <v>0</v>
      </c>
      <c r="L267" s="14">
        <f t="shared" si="73"/>
        <v>0</v>
      </c>
      <c r="M267" s="14">
        <f t="shared" si="73"/>
        <v>0</v>
      </c>
      <c r="N267" s="14">
        <f t="shared" si="73"/>
        <v>0</v>
      </c>
      <c r="O267" s="14">
        <f t="shared" si="73"/>
        <v>0</v>
      </c>
      <c r="P267" s="14">
        <f t="shared" si="73"/>
        <v>3350.1</v>
      </c>
      <c r="Q267" s="14">
        <f t="shared" si="73"/>
        <v>0</v>
      </c>
    </row>
    <row r="268" spans="1:17" s="14" customFormat="1">
      <c r="A268" s="575" t="s">
        <v>4896</v>
      </c>
      <c r="C268" s="722"/>
      <c r="F268" s="14" t="str">
        <f t="shared" si="73"/>
        <v/>
      </c>
      <c r="G268" s="14" t="str">
        <f t="shared" si="73"/>
        <v/>
      </c>
      <c r="H268" s="14" t="str">
        <f t="shared" si="73"/>
        <v/>
      </c>
      <c r="I268" s="14" t="str">
        <f t="shared" si="73"/>
        <v/>
      </c>
      <c r="J268" s="14" t="str">
        <f t="shared" si="73"/>
        <v/>
      </c>
      <c r="K268" s="14" t="str">
        <f t="shared" si="73"/>
        <v/>
      </c>
      <c r="L268" s="14" t="str">
        <f t="shared" si="73"/>
        <v/>
      </c>
      <c r="M268" s="14" t="str">
        <f t="shared" si="73"/>
        <v/>
      </c>
      <c r="N268" s="14" t="str">
        <f t="shared" si="73"/>
        <v/>
      </c>
      <c r="O268" s="14" t="str">
        <f t="shared" si="73"/>
        <v/>
      </c>
      <c r="P268" s="14" t="str">
        <f t="shared" si="73"/>
        <v/>
      </c>
      <c r="Q268" s="14" t="str">
        <f t="shared" si="73"/>
        <v/>
      </c>
    </row>
    <row r="269" spans="1:17" s="14" customFormat="1">
      <c r="A269" s="14" t="s">
        <v>4897</v>
      </c>
      <c r="B269" s="14" t="s">
        <v>4909</v>
      </c>
      <c r="C269" s="86">
        <f t="shared" ref="C269:C270" ca="1" si="74">IF(D269=0,0,IF(OR(D269&gt;P269,D269&lt;Q269),"contact vendor",F269*D269^G269+H269*LN(D269)+I269+J269*EXP(K269*D269)+L269*D269^3+M269*D269^2+N269*D269+O269))</f>
        <v>30536.145884051635</v>
      </c>
      <c r="D269" s="14">
        <f ca="1">IF(build2_zones=0,0,build2_cooling_tons/build2_zones)</f>
        <v>9.414499077565381</v>
      </c>
      <c r="E269" s="14" t="s">
        <v>4899</v>
      </c>
      <c r="F269" s="14">
        <f t="shared" si="73"/>
        <v>2490.0166433280001</v>
      </c>
      <c r="G269" s="14">
        <f t="shared" si="73"/>
        <v>1.117904172</v>
      </c>
      <c r="H269" s="14">
        <f t="shared" si="73"/>
        <v>0</v>
      </c>
      <c r="I269" s="14">
        <f t="shared" si="73"/>
        <v>0</v>
      </c>
      <c r="J269" s="14">
        <f t="shared" si="73"/>
        <v>0</v>
      </c>
      <c r="K269" s="14">
        <f t="shared" si="73"/>
        <v>0</v>
      </c>
      <c r="L269" s="14">
        <f t="shared" si="73"/>
        <v>0</v>
      </c>
      <c r="M269" s="14">
        <f t="shared" si="73"/>
        <v>0</v>
      </c>
      <c r="N269" s="14">
        <f t="shared" si="73"/>
        <v>0</v>
      </c>
      <c r="O269" s="14">
        <f t="shared" si="73"/>
        <v>0</v>
      </c>
      <c r="P269" s="14">
        <f t="shared" si="73"/>
        <v>113.33</v>
      </c>
      <c r="Q269" s="14">
        <f t="shared" si="73"/>
        <v>0</v>
      </c>
    </row>
    <row r="270" spans="1:17" s="14" customFormat="1">
      <c r="A270" s="14" t="s">
        <v>3694</v>
      </c>
      <c r="B270" s="14" t="s">
        <v>4910</v>
      </c>
      <c r="C270" s="86">
        <f t="shared" ca="1" si="74"/>
        <v>11595.082390486532</v>
      </c>
      <c r="D270" s="14">
        <f ca="1">IF(build2_zones=0,0,build2_cooling_tons/build2_zones)</f>
        <v>9.414499077565381</v>
      </c>
      <c r="E270" s="14" t="str">
        <f ca="1">IF(D270&gt;12,"hvac_hp_eq_large","hvac_hp_eq_small")</f>
        <v>hvac_hp_eq_small</v>
      </c>
      <c r="F270" s="14">
        <f t="shared" ca="1" si="73"/>
        <v>3571.6003625200001</v>
      </c>
      <c r="G270" s="14">
        <f t="shared" ca="1" si="73"/>
        <v>0.52517194700000003</v>
      </c>
      <c r="H270" s="14">
        <f t="shared" ca="1" si="73"/>
        <v>0</v>
      </c>
      <c r="I270" s="14">
        <f t="shared" ca="1" si="73"/>
        <v>0</v>
      </c>
      <c r="J270" s="14">
        <f t="shared" ca="1" si="73"/>
        <v>0</v>
      </c>
      <c r="K270" s="14">
        <f t="shared" ca="1" si="73"/>
        <v>0</v>
      </c>
      <c r="L270" s="14">
        <f t="shared" ca="1" si="73"/>
        <v>0</v>
      </c>
      <c r="M270" s="14">
        <f t="shared" ca="1" si="73"/>
        <v>0</v>
      </c>
      <c r="N270" s="14">
        <f t="shared" ca="1" si="73"/>
        <v>0</v>
      </c>
      <c r="O270" s="14">
        <f t="shared" ca="1" si="73"/>
        <v>0</v>
      </c>
      <c r="P270" s="14">
        <f t="shared" ca="1" si="73"/>
        <v>12</v>
      </c>
      <c r="Q270" s="14">
        <f t="shared" ca="1" si="73"/>
        <v>0</v>
      </c>
    </row>
    <row r="271" spans="1:17" s="14" customFormat="1">
      <c r="A271" s="575" t="s">
        <v>1630</v>
      </c>
      <c r="C271" s="722"/>
      <c r="F271" s="14" t="str">
        <f t="shared" si="73"/>
        <v/>
      </c>
      <c r="G271" s="14" t="str">
        <f t="shared" si="73"/>
        <v/>
      </c>
      <c r="H271" s="14" t="str">
        <f t="shared" si="73"/>
        <v/>
      </c>
      <c r="I271" s="14" t="str">
        <f t="shared" si="73"/>
        <v/>
      </c>
      <c r="J271" s="14" t="str">
        <f t="shared" si="73"/>
        <v/>
      </c>
      <c r="K271" s="14" t="str">
        <f t="shared" si="73"/>
        <v/>
      </c>
      <c r="L271" s="14" t="str">
        <f t="shared" si="73"/>
        <v/>
      </c>
      <c r="M271" s="14" t="str">
        <f t="shared" si="73"/>
        <v/>
      </c>
      <c r="N271" s="14" t="str">
        <f t="shared" si="73"/>
        <v/>
      </c>
      <c r="O271" s="14" t="str">
        <f t="shared" si="73"/>
        <v/>
      </c>
      <c r="P271" s="14" t="str">
        <f t="shared" si="73"/>
        <v/>
      </c>
      <c r="Q271" s="14" t="str">
        <f t="shared" si="73"/>
        <v/>
      </c>
    </row>
    <row r="272" spans="1:17" s="14" customFormat="1">
      <c r="A272" s="14" t="s">
        <v>4876</v>
      </c>
      <c r="B272" s="14" t="s">
        <v>4951</v>
      </c>
      <c r="C272" s="86">
        <f t="shared" ref="C272:C274" ca="1" si="75">IF(D272=0,0,IF(OR(D272&gt;P272,D272&lt;Q272),"contact vendor",F272*D272^G272+H272*LN(D272)+I272+J272*EXP(K272*D272)+L272*D272^3+M272*D272^2+N272*D272+O272))</f>
        <v>0</v>
      </c>
      <c r="D272" s="14">
        <f ca="1">build3_fp</f>
        <v>0</v>
      </c>
      <c r="E272" s="14" t="s">
        <v>4878</v>
      </c>
      <c r="F272" s="14">
        <f t="shared" si="73"/>
        <v>163.72087260199999</v>
      </c>
      <c r="G272" s="14">
        <f t="shared" si="73"/>
        <v>-9.5204622000000003E-2</v>
      </c>
      <c r="H272" s="14">
        <f t="shared" si="73"/>
        <v>0</v>
      </c>
      <c r="I272" s="14">
        <f t="shared" si="73"/>
        <v>0</v>
      </c>
      <c r="J272" s="14">
        <f t="shared" si="73"/>
        <v>0</v>
      </c>
      <c r="K272" s="14">
        <f t="shared" si="73"/>
        <v>0</v>
      </c>
      <c r="L272" s="14">
        <f t="shared" si="73"/>
        <v>0</v>
      </c>
      <c r="M272" s="14">
        <f t="shared" si="73"/>
        <v>0</v>
      </c>
      <c r="N272" s="14">
        <f t="shared" si="73"/>
        <v>0</v>
      </c>
      <c r="O272" s="14">
        <f t="shared" si="73"/>
        <v>0</v>
      </c>
      <c r="P272" s="14">
        <f t="shared" si="73"/>
        <v>200000.1</v>
      </c>
      <c r="Q272" s="14">
        <f t="shared" si="73"/>
        <v>0</v>
      </c>
    </row>
    <row r="273" spans="1:17" s="14" customFormat="1">
      <c r="A273" s="14" t="s">
        <v>4879</v>
      </c>
      <c r="B273" s="14" t="s">
        <v>4952</v>
      </c>
      <c r="C273" s="86">
        <f t="shared" ca="1" si="75"/>
        <v>0</v>
      </c>
      <c r="D273" s="14">
        <f ca="1">build3_fp</f>
        <v>0</v>
      </c>
      <c r="E273" s="14" t="s">
        <v>4881</v>
      </c>
      <c r="F273" s="14">
        <f t="shared" si="73"/>
        <v>198.02119383900001</v>
      </c>
      <c r="G273" s="14">
        <f t="shared" si="73"/>
        <v>-9.6244836E-2</v>
      </c>
      <c r="H273" s="14">
        <f t="shared" si="73"/>
        <v>0</v>
      </c>
      <c r="I273" s="14">
        <f t="shared" si="73"/>
        <v>0</v>
      </c>
      <c r="J273" s="14">
        <f t="shared" si="73"/>
        <v>0</v>
      </c>
      <c r="K273" s="14">
        <f t="shared" si="73"/>
        <v>0</v>
      </c>
      <c r="L273" s="14">
        <f t="shared" si="73"/>
        <v>0</v>
      </c>
      <c r="M273" s="14">
        <f t="shared" si="73"/>
        <v>0</v>
      </c>
      <c r="N273" s="14">
        <f t="shared" si="73"/>
        <v>0</v>
      </c>
      <c r="O273" s="14">
        <f t="shared" si="73"/>
        <v>0</v>
      </c>
      <c r="P273" s="14">
        <f t="shared" si="73"/>
        <v>200000.1</v>
      </c>
      <c r="Q273" s="14">
        <f t="shared" si="73"/>
        <v>0</v>
      </c>
    </row>
    <row r="274" spans="1:17" s="14" customFormat="1">
      <c r="A274" s="14" t="s">
        <v>4882</v>
      </c>
      <c r="B274" s="14" t="s">
        <v>4953</v>
      </c>
      <c r="C274" s="86">
        <f t="shared" ca="1" si="75"/>
        <v>0</v>
      </c>
      <c r="D274" s="14">
        <f ca="1">build3_fp</f>
        <v>0</v>
      </c>
      <c r="E274" s="14" t="s">
        <v>4884</v>
      </c>
      <c r="F274" s="14">
        <f t="shared" si="73"/>
        <v>378.41221851</v>
      </c>
      <c r="G274" s="14">
        <f t="shared" si="73"/>
        <v>-0.13671524199999999</v>
      </c>
      <c r="H274" s="14">
        <f t="shared" si="73"/>
        <v>0</v>
      </c>
      <c r="I274" s="14">
        <f t="shared" si="73"/>
        <v>0</v>
      </c>
      <c r="J274" s="14">
        <f t="shared" si="73"/>
        <v>0</v>
      </c>
      <c r="K274" s="14">
        <f t="shared" si="73"/>
        <v>0</v>
      </c>
      <c r="L274" s="14">
        <f t="shared" si="73"/>
        <v>0</v>
      </c>
      <c r="M274" s="14">
        <f t="shared" si="73"/>
        <v>0</v>
      </c>
      <c r="N274" s="14">
        <f t="shared" si="73"/>
        <v>0</v>
      </c>
      <c r="O274" s="14">
        <f t="shared" si="73"/>
        <v>0</v>
      </c>
      <c r="P274" s="14">
        <f t="shared" si="73"/>
        <v>200000.1</v>
      </c>
      <c r="Q274" s="14">
        <f t="shared" si="73"/>
        <v>0</v>
      </c>
    </row>
    <row r="275" spans="1:17" s="14" customFormat="1">
      <c r="A275" s="575" t="s">
        <v>4885</v>
      </c>
      <c r="C275" s="722"/>
    </row>
    <row r="276" spans="1:17" s="14" customFormat="1">
      <c r="A276" s="14" t="s">
        <v>3695</v>
      </c>
      <c r="B276" s="14" t="s">
        <v>4954</v>
      </c>
      <c r="C276" s="86">
        <f t="shared" ref="C276:C280" ca="1" si="76">IF(D276=0,0,IF(OR(D276&gt;P276,D276&lt;Q276),"contact vendor",F276*D276^G276+H276*LN(D276)+I276+J276*EXP(K276*D276)+L276*D276^3+M276*D276^2+N276*D276+O276))</f>
        <v>0</v>
      </c>
      <c r="D276" s="14">
        <f ca="1">IF(build3_zones=0,0,build3_heat_mbh/build3_zones)</f>
        <v>0</v>
      </c>
      <c r="E276" s="14" t="s">
        <v>4887</v>
      </c>
      <c r="F276" s="14">
        <f t="shared" ref="F276:Q283" si="77">IF(LEN($E276)=0,"",VLOOKUP($E276,eq_table_cl,F$4,FALSE))</f>
        <v>1144.4973268870001</v>
      </c>
      <c r="G276" s="14">
        <f t="shared" si="77"/>
        <v>0.76939132899999996</v>
      </c>
      <c r="H276" s="14">
        <f t="shared" si="77"/>
        <v>0</v>
      </c>
      <c r="I276" s="14">
        <f t="shared" si="77"/>
        <v>0</v>
      </c>
      <c r="J276" s="14">
        <f t="shared" si="77"/>
        <v>0</v>
      </c>
      <c r="K276" s="14">
        <f t="shared" si="77"/>
        <v>0</v>
      </c>
      <c r="L276" s="14">
        <f t="shared" si="77"/>
        <v>0</v>
      </c>
      <c r="M276" s="14">
        <f t="shared" si="77"/>
        <v>0</v>
      </c>
      <c r="N276" s="14">
        <f t="shared" si="77"/>
        <v>0</v>
      </c>
      <c r="O276" s="14">
        <f t="shared" si="77"/>
        <v>0</v>
      </c>
      <c r="P276" s="14">
        <f t="shared" si="77"/>
        <v>6148.1</v>
      </c>
      <c r="Q276" s="14">
        <f t="shared" si="77"/>
        <v>0</v>
      </c>
    </row>
    <row r="277" spans="1:17" s="14" customFormat="1">
      <c r="A277" s="14" t="s">
        <v>3696</v>
      </c>
      <c r="B277" s="14" t="s">
        <v>4955</v>
      </c>
      <c r="C277" s="86">
        <f t="shared" ca="1" si="76"/>
        <v>0</v>
      </c>
      <c r="D277" s="14">
        <f ca="1">IF(build3_zones=0,0,build3_heat_mbh/build3_zones)</f>
        <v>0</v>
      </c>
      <c r="E277" s="14" t="s">
        <v>4889</v>
      </c>
      <c r="F277" s="14">
        <f t="shared" si="77"/>
        <v>884.952743048</v>
      </c>
      <c r="G277" s="14">
        <f t="shared" si="77"/>
        <v>0.75061779799999995</v>
      </c>
      <c r="H277" s="14">
        <f t="shared" si="77"/>
        <v>0</v>
      </c>
      <c r="I277" s="14">
        <f t="shared" si="77"/>
        <v>0</v>
      </c>
      <c r="J277" s="14">
        <f t="shared" si="77"/>
        <v>0</v>
      </c>
      <c r="K277" s="14">
        <f t="shared" si="77"/>
        <v>0</v>
      </c>
      <c r="L277" s="14">
        <f t="shared" si="77"/>
        <v>0</v>
      </c>
      <c r="M277" s="14">
        <f t="shared" si="77"/>
        <v>0</v>
      </c>
      <c r="N277" s="14">
        <f t="shared" si="77"/>
        <v>0</v>
      </c>
      <c r="O277" s="14">
        <f t="shared" si="77"/>
        <v>0</v>
      </c>
      <c r="P277" s="14">
        <f t="shared" si="77"/>
        <v>5032.1000000000004</v>
      </c>
      <c r="Q277" s="14">
        <f t="shared" si="77"/>
        <v>0</v>
      </c>
    </row>
    <row r="278" spans="1:17" s="14" customFormat="1">
      <c r="A278" s="14" t="s">
        <v>3635</v>
      </c>
      <c r="B278" s="14" t="s">
        <v>4956</v>
      </c>
      <c r="C278" s="86">
        <f t="shared" ca="1" si="76"/>
        <v>0</v>
      </c>
      <c r="D278" s="14">
        <f ca="1">IF(build3_zones=0,0,build3_heat_mbh/build3_zones)</f>
        <v>0</v>
      </c>
      <c r="E278" s="14" t="s">
        <v>4891</v>
      </c>
      <c r="F278" s="14">
        <f t="shared" si="77"/>
        <v>884.952743048</v>
      </c>
      <c r="G278" s="14">
        <f t="shared" si="77"/>
        <v>0.75061779799999995</v>
      </c>
      <c r="H278" s="14">
        <f t="shared" si="77"/>
        <v>0</v>
      </c>
      <c r="I278" s="14">
        <f t="shared" si="77"/>
        <v>0</v>
      </c>
      <c r="J278" s="14">
        <f t="shared" si="77"/>
        <v>0</v>
      </c>
      <c r="K278" s="14">
        <f t="shared" si="77"/>
        <v>0</v>
      </c>
      <c r="L278" s="14">
        <f t="shared" si="77"/>
        <v>0</v>
      </c>
      <c r="M278" s="14">
        <f t="shared" si="77"/>
        <v>0</v>
      </c>
      <c r="N278" s="14">
        <f t="shared" si="77"/>
        <v>0</v>
      </c>
      <c r="O278" s="14">
        <f t="shared" si="77"/>
        <v>0</v>
      </c>
      <c r="P278" s="14">
        <f t="shared" si="77"/>
        <v>5032.1000000000004</v>
      </c>
      <c r="Q278" s="14">
        <f t="shared" si="77"/>
        <v>0</v>
      </c>
    </row>
    <row r="279" spans="1:17" s="14" customFormat="1">
      <c r="A279" s="14" t="s">
        <v>2161</v>
      </c>
      <c r="B279" s="14" t="s">
        <v>4957</v>
      </c>
      <c r="C279" s="86">
        <f t="shared" ca="1" si="76"/>
        <v>0</v>
      </c>
      <c r="D279" s="14">
        <f ca="1">IF(build3_zones=0,0,build3_heat_mbh/build3_zones)</f>
        <v>0</v>
      </c>
      <c r="E279" s="14" t="s">
        <v>4893</v>
      </c>
      <c r="F279" s="14">
        <f t="shared" si="77"/>
        <v>1161.335000027</v>
      </c>
      <c r="G279" s="14">
        <f t="shared" si="77"/>
        <v>0.71739984700000003</v>
      </c>
      <c r="H279" s="14">
        <f t="shared" si="77"/>
        <v>0</v>
      </c>
      <c r="I279" s="14">
        <f t="shared" si="77"/>
        <v>0</v>
      </c>
      <c r="J279" s="14">
        <f t="shared" si="77"/>
        <v>0</v>
      </c>
      <c r="K279" s="14">
        <f t="shared" si="77"/>
        <v>0</v>
      </c>
      <c r="L279" s="14">
        <f t="shared" si="77"/>
        <v>0</v>
      </c>
      <c r="M279" s="14">
        <f t="shared" si="77"/>
        <v>0</v>
      </c>
      <c r="N279" s="14">
        <f t="shared" si="77"/>
        <v>0</v>
      </c>
      <c r="O279" s="14">
        <f t="shared" si="77"/>
        <v>0</v>
      </c>
      <c r="P279" s="14">
        <f t="shared" si="77"/>
        <v>3350.1</v>
      </c>
      <c r="Q279" s="14">
        <f t="shared" si="77"/>
        <v>0</v>
      </c>
    </row>
    <row r="280" spans="1:17" s="14" customFormat="1">
      <c r="A280" s="14" t="s">
        <v>2162</v>
      </c>
      <c r="B280" s="14" t="s">
        <v>4958</v>
      </c>
      <c r="C280" s="86">
        <f t="shared" ca="1" si="76"/>
        <v>0</v>
      </c>
      <c r="D280" s="14">
        <f ca="1">IF(build3_zones=0,0,build3_heat_mbh/build3_zones)</f>
        <v>0</v>
      </c>
      <c r="E280" s="14" t="s">
        <v>4895</v>
      </c>
      <c r="F280" s="14">
        <f t="shared" si="77"/>
        <v>1161.335000027</v>
      </c>
      <c r="G280" s="14">
        <f t="shared" si="77"/>
        <v>0.71739984700000003</v>
      </c>
      <c r="H280" s="14">
        <f t="shared" si="77"/>
        <v>0</v>
      </c>
      <c r="I280" s="14">
        <f t="shared" si="77"/>
        <v>0</v>
      </c>
      <c r="J280" s="14">
        <f t="shared" si="77"/>
        <v>0</v>
      </c>
      <c r="K280" s="14">
        <f t="shared" si="77"/>
        <v>0</v>
      </c>
      <c r="L280" s="14">
        <f t="shared" si="77"/>
        <v>0</v>
      </c>
      <c r="M280" s="14">
        <f t="shared" si="77"/>
        <v>0</v>
      </c>
      <c r="N280" s="14">
        <f t="shared" si="77"/>
        <v>0</v>
      </c>
      <c r="O280" s="14">
        <f t="shared" si="77"/>
        <v>0</v>
      </c>
      <c r="P280" s="14">
        <f t="shared" si="77"/>
        <v>3350.1</v>
      </c>
      <c r="Q280" s="14">
        <f t="shared" si="77"/>
        <v>0</v>
      </c>
    </row>
    <row r="281" spans="1:17" s="14" customFormat="1">
      <c r="A281" s="575" t="s">
        <v>4896</v>
      </c>
      <c r="C281" s="722"/>
      <c r="F281" s="14" t="str">
        <f t="shared" si="77"/>
        <v/>
      </c>
      <c r="G281" s="14" t="str">
        <f t="shared" si="77"/>
        <v/>
      </c>
      <c r="H281" s="14" t="str">
        <f t="shared" si="77"/>
        <v/>
      </c>
      <c r="I281" s="14" t="str">
        <f t="shared" si="77"/>
        <v/>
      </c>
      <c r="J281" s="14" t="str">
        <f t="shared" si="77"/>
        <v/>
      </c>
      <c r="K281" s="14" t="str">
        <f t="shared" si="77"/>
        <v/>
      </c>
      <c r="L281" s="14" t="str">
        <f t="shared" si="77"/>
        <v/>
      </c>
      <c r="M281" s="14" t="str">
        <f t="shared" si="77"/>
        <v/>
      </c>
      <c r="N281" s="14" t="str">
        <f t="shared" si="77"/>
        <v/>
      </c>
      <c r="O281" s="14" t="str">
        <f t="shared" si="77"/>
        <v/>
      </c>
      <c r="P281" s="14" t="str">
        <f t="shared" si="77"/>
        <v/>
      </c>
      <c r="Q281" s="14" t="str">
        <f t="shared" si="77"/>
        <v/>
      </c>
    </row>
    <row r="282" spans="1:17" s="14" customFormat="1">
      <c r="A282" s="14" t="s">
        <v>4897</v>
      </c>
      <c r="B282" s="14" t="s">
        <v>4959</v>
      </c>
      <c r="C282" s="86">
        <f t="shared" ref="C282:C283" ca="1" si="78">IF(D282=0,0,IF(OR(D282&gt;P282,D282&lt;Q282),"contact vendor",F282*D282^G282+H282*LN(D282)+I282+J282*EXP(K282*D282)+L282*D282^3+M282*D282^2+N282*D282+O282))</f>
        <v>0</v>
      </c>
      <c r="D282" s="14">
        <f ca="1">IF(build3_zones=0,0,build3_cooling_tons/build3_zones)</f>
        <v>0</v>
      </c>
      <c r="E282" s="14" t="s">
        <v>4899</v>
      </c>
      <c r="F282" s="14">
        <f t="shared" si="77"/>
        <v>2490.0166433280001</v>
      </c>
      <c r="G282" s="14">
        <f t="shared" si="77"/>
        <v>1.117904172</v>
      </c>
      <c r="H282" s="14">
        <f t="shared" si="77"/>
        <v>0</v>
      </c>
      <c r="I282" s="14">
        <f t="shared" si="77"/>
        <v>0</v>
      </c>
      <c r="J282" s="14">
        <f t="shared" si="77"/>
        <v>0</v>
      </c>
      <c r="K282" s="14">
        <f t="shared" si="77"/>
        <v>0</v>
      </c>
      <c r="L282" s="14">
        <f t="shared" si="77"/>
        <v>0</v>
      </c>
      <c r="M282" s="14">
        <f t="shared" si="77"/>
        <v>0</v>
      </c>
      <c r="N282" s="14">
        <f t="shared" si="77"/>
        <v>0</v>
      </c>
      <c r="O282" s="14">
        <f t="shared" si="77"/>
        <v>0</v>
      </c>
      <c r="P282" s="14">
        <f t="shared" si="77"/>
        <v>113.33</v>
      </c>
      <c r="Q282" s="14">
        <f t="shared" si="77"/>
        <v>0</v>
      </c>
    </row>
    <row r="283" spans="1:17" s="14" customFormat="1">
      <c r="A283" s="14" t="s">
        <v>3694</v>
      </c>
      <c r="B283" s="14" t="s">
        <v>4960</v>
      </c>
      <c r="C283" s="86">
        <f t="shared" ca="1" si="78"/>
        <v>0</v>
      </c>
      <c r="D283" s="14">
        <f ca="1">IF(build3_zones=0,0,build3_cooling_tons/build3_zones)</f>
        <v>0</v>
      </c>
      <c r="E283" s="14" t="str">
        <f ca="1">IF(D283&gt;12,"hvac_hp_eq_large","hvac_hp_eq_small")</f>
        <v>hvac_hp_eq_small</v>
      </c>
      <c r="F283" s="14">
        <f t="shared" ca="1" si="77"/>
        <v>3571.6003625200001</v>
      </c>
      <c r="G283" s="14">
        <f t="shared" ca="1" si="77"/>
        <v>0.52517194700000003</v>
      </c>
      <c r="H283" s="14">
        <f t="shared" ca="1" si="77"/>
        <v>0</v>
      </c>
      <c r="I283" s="14">
        <f t="shared" ca="1" si="77"/>
        <v>0</v>
      </c>
      <c r="J283" s="14">
        <f t="shared" ca="1" si="77"/>
        <v>0</v>
      </c>
      <c r="K283" s="14">
        <f t="shared" ca="1" si="77"/>
        <v>0</v>
      </c>
      <c r="L283" s="14">
        <f t="shared" ca="1" si="77"/>
        <v>0</v>
      </c>
      <c r="M283" s="14">
        <f t="shared" ca="1" si="77"/>
        <v>0</v>
      </c>
      <c r="N283" s="14">
        <f t="shared" ca="1" si="77"/>
        <v>0</v>
      </c>
      <c r="O283" s="14">
        <f t="shared" ca="1" si="77"/>
        <v>0</v>
      </c>
      <c r="P283" s="14">
        <f t="shared" ca="1" si="77"/>
        <v>12</v>
      </c>
      <c r="Q283" s="14">
        <f t="shared" ca="1" si="77"/>
        <v>0</v>
      </c>
    </row>
  </sheetData>
  <phoneticPr fontId="0" type="noConversion"/>
  <pageMargins left="0.75" right="0.75" top="1" bottom="1" header="0.5" footer="0.5"/>
  <pageSetup orientation="portrait" horizontalDpi="90" verticalDpi="9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4DC76-D220-4CB2-8C1C-B1D4BDDF80B1}">
  <dimension ref="A1:V70"/>
  <sheetViews>
    <sheetView workbookViewId="0">
      <pane ySplit="6" topLeftCell="A7" activePane="bottomLeft" state="frozen"/>
      <selection pane="bottomLeft"/>
    </sheetView>
  </sheetViews>
  <sheetFormatPr baseColWidth="10" defaultColWidth="9.1640625" defaultRowHeight="13"/>
  <cols>
    <col min="1" max="16384" width="9.1640625" style="555"/>
  </cols>
  <sheetData>
    <row r="1" spans="1:22">
      <c r="A1" s="63" t="s">
        <v>6501</v>
      </c>
      <c r="B1" s="633"/>
      <c r="C1" s="1193"/>
      <c r="D1" s="220"/>
      <c r="E1" s="220"/>
      <c r="F1" s="220"/>
      <c r="G1" s="220"/>
      <c r="H1" s="220"/>
      <c r="I1" s="220"/>
      <c r="J1" s="220"/>
      <c r="K1" s="220"/>
      <c r="L1" s="1194"/>
      <c r="M1" s="220"/>
      <c r="N1" s="220"/>
      <c r="O1" s="1203"/>
      <c r="P1" s="220"/>
      <c r="Q1" s="220"/>
      <c r="R1" s="220"/>
      <c r="S1" s="220"/>
      <c r="T1" s="220"/>
      <c r="U1" s="220"/>
      <c r="V1" s="220"/>
    </row>
    <row r="2" spans="1:22">
      <c r="A2" s="976" t="s">
        <v>5510</v>
      </c>
      <c r="B2" s="633"/>
      <c r="C2" s="1193"/>
      <c r="D2" s="220"/>
      <c r="E2" s="220"/>
      <c r="F2" s="220"/>
      <c r="G2" s="220"/>
      <c r="H2" s="220"/>
      <c r="I2" s="220"/>
      <c r="J2" s="220"/>
      <c r="K2" s="220"/>
      <c r="L2" s="1194"/>
      <c r="M2" s="220"/>
      <c r="N2" s="220"/>
      <c r="O2" s="1203"/>
      <c r="P2" s="220"/>
      <c r="Q2" s="220"/>
      <c r="R2" s="220"/>
      <c r="S2" s="220"/>
      <c r="T2" s="220"/>
      <c r="U2" s="220"/>
      <c r="V2" s="220"/>
    </row>
    <row r="3" spans="1:22">
      <c r="A3" s="220"/>
      <c r="B3" s="220"/>
      <c r="C3" s="455"/>
      <c r="D3" s="220"/>
      <c r="E3" s="220"/>
      <c r="F3" s="220"/>
      <c r="G3" s="220"/>
      <c r="H3" s="220"/>
      <c r="I3" s="220"/>
      <c r="J3" s="220"/>
      <c r="K3" s="220"/>
      <c r="L3" s="1194"/>
      <c r="M3" s="220"/>
      <c r="N3" s="220"/>
      <c r="O3" s="1203"/>
      <c r="P3" s="220"/>
      <c r="Q3" s="220"/>
      <c r="R3" s="220"/>
      <c r="S3" s="220"/>
      <c r="T3" s="220"/>
      <c r="U3" s="220"/>
      <c r="V3" s="220"/>
    </row>
    <row r="4" spans="1:22">
      <c r="A4" s="63"/>
      <c r="B4" s="220"/>
      <c r="C4" s="220"/>
      <c r="D4" s="220"/>
      <c r="E4" s="220"/>
      <c r="F4" s="220"/>
      <c r="G4" s="220"/>
      <c r="H4" s="220"/>
      <c r="I4" s="220"/>
      <c r="J4" s="220"/>
      <c r="K4" s="220"/>
      <c r="L4" s="1194"/>
      <c r="M4" s="220"/>
      <c r="N4" s="220"/>
      <c r="O4" s="1203"/>
      <c r="P4" s="220"/>
      <c r="Q4" s="220"/>
      <c r="R4" s="220"/>
      <c r="S4" s="220"/>
      <c r="T4" s="220"/>
      <c r="U4" s="220"/>
      <c r="V4" s="220"/>
    </row>
    <row r="5" spans="1:22">
      <c r="A5" s="220"/>
      <c r="B5" s="633" t="s">
        <v>6393</v>
      </c>
      <c r="C5" s="220"/>
      <c r="D5" s="220" t="s">
        <v>6394</v>
      </c>
      <c r="E5" s="220"/>
      <c r="F5" s="220" t="s">
        <v>6395</v>
      </c>
      <c r="G5" s="220"/>
      <c r="H5" s="220" t="s">
        <v>6396</v>
      </c>
      <c r="I5" s="220"/>
      <c r="J5" s="220"/>
      <c r="K5" s="220"/>
      <c r="L5" s="1204" t="s">
        <v>6397</v>
      </c>
      <c r="M5" s="220"/>
      <c r="N5" s="220"/>
      <c r="O5" s="1203"/>
      <c r="P5" s="220"/>
      <c r="Q5" s="220"/>
      <c r="R5" s="220"/>
      <c r="S5" s="220"/>
      <c r="T5" s="220"/>
      <c r="U5" s="220"/>
      <c r="V5" s="220"/>
    </row>
    <row r="6" spans="1:22">
      <c r="A6" s="554" t="s">
        <v>1550</v>
      </c>
      <c r="B6" s="554" t="s">
        <v>6398</v>
      </c>
      <c r="C6" s="554" t="s">
        <v>6399</v>
      </c>
      <c r="D6" s="554" t="s">
        <v>6400</v>
      </c>
      <c r="E6" s="554" t="s">
        <v>6401</v>
      </c>
      <c r="F6" s="554" t="s">
        <v>6402</v>
      </c>
      <c r="G6" s="554" t="s">
        <v>6403</v>
      </c>
      <c r="H6" s="554" t="s">
        <v>6404</v>
      </c>
      <c r="I6" s="554" t="s">
        <v>6405</v>
      </c>
      <c r="J6" s="554" t="s">
        <v>6406</v>
      </c>
      <c r="K6" s="554" t="s">
        <v>6407</v>
      </c>
      <c r="L6" s="1205" t="s">
        <v>6408</v>
      </c>
      <c r="M6" s="554" t="s">
        <v>6409</v>
      </c>
      <c r="N6" s="554" t="s">
        <v>6410</v>
      </c>
      <c r="O6" s="1206" t="s">
        <v>6411</v>
      </c>
      <c r="P6" s="554" t="s">
        <v>6412</v>
      </c>
      <c r="Q6" s="554" t="s">
        <v>6502</v>
      </c>
      <c r="R6" s="220"/>
      <c r="S6" s="220"/>
      <c r="T6" s="220"/>
      <c r="U6" s="220"/>
      <c r="V6" s="220"/>
    </row>
    <row r="7" spans="1:22">
      <c r="A7" s="220" t="s">
        <v>4330</v>
      </c>
      <c r="B7" s="277">
        <v>0</v>
      </c>
      <c r="C7" s="277">
        <v>0</v>
      </c>
      <c r="D7" s="277">
        <v>0</v>
      </c>
      <c r="E7" s="277">
        <v>0</v>
      </c>
      <c r="F7" s="277">
        <v>0</v>
      </c>
      <c r="G7" s="277">
        <v>0</v>
      </c>
      <c r="H7" s="1191">
        <v>-6.8599999999999998E-7</v>
      </c>
      <c r="I7" s="1191">
        <v>6.2010559999999999E-3</v>
      </c>
      <c r="J7" s="1191">
        <v>14.473026512000001</v>
      </c>
      <c r="K7" s="1191">
        <v>5111.5137058740002</v>
      </c>
      <c r="L7" s="1194">
        <v>0.32270943953517589</v>
      </c>
      <c r="M7" s="220"/>
      <c r="N7" s="220" t="s">
        <v>6467</v>
      </c>
      <c r="O7" s="1203">
        <v>0.73797042107586375</v>
      </c>
      <c r="P7" s="220">
        <v>6001</v>
      </c>
      <c r="Q7" s="220">
        <v>0</v>
      </c>
      <c r="R7" s="220"/>
      <c r="S7" s="220"/>
      <c r="T7" s="220"/>
      <c r="U7" s="220"/>
      <c r="V7" s="220"/>
    </row>
    <row r="8" spans="1:22">
      <c r="A8" s="220" t="s">
        <v>4884</v>
      </c>
      <c r="B8" s="1191">
        <v>378.41221851</v>
      </c>
      <c r="C8" s="1191">
        <v>-0.13671524199999999</v>
      </c>
      <c r="D8" s="277">
        <v>0</v>
      </c>
      <c r="E8" s="277">
        <v>0</v>
      </c>
      <c r="F8" s="277">
        <v>0</v>
      </c>
      <c r="G8" s="277">
        <v>0</v>
      </c>
      <c r="H8" s="277">
        <v>0</v>
      </c>
      <c r="I8" s="277">
        <v>0</v>
      </c>
      <c r="J8" s="277">
        <v>0</v>
      </c>
      <c r="K8" s="277">
        <v>0</v>
      </c>
      <c r="L8" s="1194">
        <v>4.0372546378012256E-2</v>
      </c>
      <c r="M8" s="220"/>
      <c r="N8" s="220" t="s">
        <v>6474</v>
      </c>
      <c r="O8" s="1203">
        <v>0.95319947666108407</v>
      </c>
      <c r="P8" s="220">
        <v>200000.1</v>
      </c>
      <c r="Q8" s="220">
        <v>0</v>
      </c>
      <c r="R8" s="220"/>
      <c r="S8" s="220"/>
      <c r="T8" s="220"/>
      <c r="U8" s="220"/>
      <c r="V8" s="220"/>
    </row>
    <row r="9" spans="1:22">
      <c r="A9" s="220" t="s">
        <v>4878</v>
      </c>
      <c r="B9" s="1191">
        <v>163.72087260199999</v>
      </c>
      <c r="C9" s="1191">
        <v>-9.5204622000000003E-2</v>
      </c>
      <c r="D9" s="277">
        <v>0</v>
      </c>
      <c r="E9" s="277">
        <v>0</v>
      </c>
      <c r="F9" s="277">
        <v>0</v>
      </c>
      <c r="G9" s="277">
        <v>0</v>
      </c>
      <c r="H9" s="277">
        <v>0</v>
      </c>
      <c r="I9" s="277">
        <v>0</v>
      </c>
      <c r="J9" s="277">
        <v>0</v>
      </c>
      <c r="K9" s="277">
        <v>0</v>
      </c>
      <c r="L9" s="1194">
        <v>2.4871309850656418E-2</v>
      </c>
      <c r="M9" s="220"/>
      <c r="N9" s="220" t="s">
        <v>6472</v>
      </c>
      <c r="O9" s="1203">
        <v>0.96700830313985342</v>
      </c>
      <c r="P9" s="220">
        <v>200000.1</v>
      </c>
      <c r="Q9" s="220">
        <v>0</v>
      </c>
      <c r="R9" s="220"/>
      <c r="S9" s="220"/>
      <c r="T9" s="220"/>
      <c r="U9" s="220"/>
      <c r="V9" s="220"/>
    </row>
    <row r="10" spans="1:22">
      <c r="A10" s="220" t="s">
        <v>4881</v>
      </c>
      <c r="B10" s="1191">
        <v>198.02119383900001</v>
      </c>
      <c r="C10" s="1191">
        <v>-9.6244836E-2</v>
      </c>
      <c r="D10" s="277">
        <v>0</v>
      </c>
      <c r="E10" s="277">
        <v>0</v>
      </c>
      <c r="F10" s="277">
        <v>0</v>
      </c>
      <c r="G10" s="277">
        <v>0</v>
      </c>
      <c r="H10" s="277">
        <v>0</v>
      </c>
      <c r="I10" s="277">
        <v>0</v>
      </c>
      <c r="J10" s="277">
        <v>0</v>
      </c>
      <c r="K10" s="277">
        <v>0</v>
      </c>
      <c r="L10" s="1194">
        <v>2.5881342871107462E-2</v>
      </c>
      <c r="M10" s="220"/>
      <c r="N10" s="220" t="s">
        <v>6473</v>
      </c>
      <c r="O10" s="1203">
        <v>0.96588495619097448</v>
      </c>
      <c r="P10" s="220">
        <v>200000.1</v>
      </c>
      <c r="Q10" s="220">
        <v>0</v>
      </c>
      <c r="R10" s="220"/>
      <c r="S10" s="220"/>
      <c r="T10" s="220"/>
      <c r="U10" s="220"/>
      <c r="V10" s="220"/>
    </row>
    <row r="11" spans="1:22">
      <c r="A11" s="220" t="s">
        <v>339</v>
      </c>
      <c r="B11" s="1191">
        <v>17326.162772510001</v>
      </c>
      <c r="C11" s="1191">
        <v>0.77884561100000005</v>
      </c>
      <c r="D11" s="277">
        <v>0</v>
      </c>
      <c r="E11" s="277">
        <v>0</v>
      </c>
      <c r="F11" s="277">
        <v>0</v>
      </c>
      <c r="G11" s="277">
        <v>0</v>
      </c>
      <c r="H11" s="277">
        <v>0</v>
      </c>
      <c r="I11" s="277">
        <v>0</v>
      </c>
      <c r="J11" s="277">
        <v>0</v>
      </c>
      <c r="K11" s="277">
        <v>0</v>
      </c>
      <c r="L11" s="1194">
        <v>0.29717462490552343</v>
      </c>
      <c r="M11" s="220"/>
      <c r="N11" s="220" t="s">
        <v>6468</v>
      </c>
      <c r="O11" s="1203">
        <v>0.72136468843182233</v>
      </c>
      <c r="P11" s="220">
        <v>4.3210000000000006</v>
      </c>
      <c r="Q11" s="220">
        <v>0</v>
      </c>
      <c r="R11" s="220"/>
      <c r="S11" s="220"/>
      <c r="T11" s="220"/>
      <c r="U11" s="220"/>
      <c r="V11" s="220"/>
    </row>
    <row r="12" spans="1:22">
      <c r="A12" s="220" t="s">
        <v>3737</v>
      </c>
      <c r="B12" s="1191">
        <v>237.34079770899999</v>
      </c>
      <c r="C12" s="1191">
        <v>0.15029104200000001</v>
      </c>
      <c r="D12" s="277">
        <v>0</v>
      </c>
      <c r="E12" s="277">
        <v>0</v>
      </c>
      <c r="F12" s="277">
        <v>0</v>
      </c>
      <c r="G12" s="277">
        <v>0</v>
      </c>
      <c r="H12" s="277">
        <v>0</v>
      </c>
      <c r="I12" s="277">
        <v>0</v>
      </c>
      <c r="J12" s="277">
        <v>0</v>
      </c>
      <c r="K12" s="277">
        <v>0</v>
      </c>
      <c r="L12" s="1194">
        <v>0.11905772145918647</v>
      </c>
      <c r="M12" s="220"/>
      <c r="N12" s="220" t="s">
        <v>6469</v>
      </c>
      <c r="O12" s="1203">
        <v>0.71075020258084587</v>
      </c>
      <c r="P12" s="220">
        <v>5</v>
      </c>
      <c r="Q12" s="220">
        <v>0</v>
      </c>
      <c r="R12" s="220"/>
      <c r="S12" s="220"/>
      <c r="T12" s="220"/>
      <c r="U12" s="220"/>
      <c r="V12" s="220"/>
    </row>
    <row r="13" spans="1:22">
      <c r="A13" s="220" t="s">
        <v>3738</v>
      </c>
      <c r="B13" s="1191">
        <v>270.52007973799999</v>
      </c>
      <c r="C13" s="1191">
        <v>0.12616540600000001</v>
      </c>
      <c r="D13" s="277">
        <v>0</v>
      </c>
      <c r="E13" s="277">
        <v>0</v>
      </c>
      <c r="F13" s="277">
        <v>0</v>
      </c>
      <c r="G13" s="277">
        <v>0</v>
      </c>
      <c r="H13" s="277">
        <v>0</v>
      </c>
      <c r="I13" s="277">
        <v>0</v>
      </c>
      <c r="J13" s="277">
        <v>0</v>
      </c>
      <c r="K13" s="277">
        <v>0</v>
      </c>
      <c r="L13" s="1194">
        <v>9.981721750723041E-2</v>
      </c>
      <c r="M13" s="220"/>
      <c r="N13" s="220" t="s">
        <v>6470</v>
      </c>
      <c r="O13" s="1203">
        <v>0.72434873143127887</v>
      </c>
      <c r="P13" s="220">
        <v>5</v>
      </c>
      <c r="Q13" s="220">
        <v>0</v>
      </c>
      <c r="R13" s="220"/>
      <c r="S13" s="220"/>
      <c r="T13" s="220"/>
      <c r="U13" s="220"/>
      <c r="V13" s="220"/>
    </row>
    <row r="14" spans="1:22">
      <c r="A14" s="220" t="s">
        <v>2775</v>
      </c>
      <c r="B14" s="277">
        <v>0</v>
      </c>
      <c r="C14" s="277">
        <v>0</v>
      </c>
      <c r="D14" s="277">
        <v>0</v>
      </c>
      <c r="E14" s="277">
        <v>0</v>
      </c>
      <c r="F14" s="277">
        <v>0</v>
      </c>
      <c r="G14" s="277">
        <v>0</v>
      </c>
      <c r="H14" s="1191">
        <v>6.9999999999999998E-9</v>
      </c>
      <c r="I14" s="1191">
        <v>-8.4886E-5</v>
      </c>
      <c r="J14" s="1191">
        <v>0.69704597199999996</v>
      </c>
      <c r="K14" s="1191">
        <v>250.089029947</v>
      </c>
      <c r="L14" s="1194">
        <v>0.14359948261272082</v>
      </c>
      <c r="M14" s="220"/>
      <c r="N14" s="220" t="s">
        <v>6449</v>
      </c>
      <c r="O14" s="1203">
        <v>0.96727662628593147</v>
      </c>
      <c r="P14" s="220">
        <v>12180.01</v>
      </c>
      <c r="Q14" s="220">
        <v>0</v>
      </c>
      <c r="R14" s="220"/>
      <c r="S14" s="220"/>
      <c r="T14" s="220"/>
      <c r="U14" s="220"/>
      <c r="V14" s="220"/>
    </row>
    <row r="15" spans="1:22">
      <c r="A15" s="220" t="s">
        <v>6439</v>
      </c>
      <c r="B15" s="277">
        <v>0</v>
      </c>
      <c r="C15" s="277">
        <v>0</v>
      </c>
      <c r="D15" s="277">
        <v>0</v>
      </c>
      <c r="E15" s="277">
        <v>0</v>
      </c>
      <c r="F15" s="277">
        <v>0</v>
      </c>
      <c r="G15" s="277">
        <v>0</v>
      </c>
      <c r="H15" s="1191">
        <v>1.500986001</v>
      </c>
      <c r="I15" s="1191">
        <v>-137.11144950400001</v>
      </c>
      <c r="J15" s="1191">
        <v>4591.2435827480003</v>
      </c>
      <c r="K15" s="1191">
        <v>-36246.272177972001</v>
      </c>
      <c r="L15" s="1194">
        <v>0.10118956633106969</v>
      </c>
      <c r="M15" s="220"/>
      <c r="N15" s="220" t="s">
        <v>6440</v>
      </c>
      <c r="O15" s="1203">
        <v>0.94922030750420328</v>
      </c>
      <c r="P15" s="220">
        <v>48.1</v>
      </c>
      <c r="Q15" s="220">
        <v>14</v>
      </c>
      <c r="R15" s="220"/>
      <c r="S15" s="220"/>
      <c r="T15" s="220"/>
      <c r="U15" s="220"/>
      <c r="V15" s="220"/>
    </row>
    <row r="16" spans="1:22">
      <c r="A16" s="220" t="s">
        <v>6437</v>
      </c>
      <c r="B16" s="1191">
        <v>221.77653215199999</v>
      </c>
      <c r="C16" s="1191">
        <v>1.0463710340000001</v>
      </c>
      <c r="D16" s="277">
        <v>0</v>
      </c>
      <c r="E16" s="277">
        <v>0</v>
      </c>
      <c r="F16" s="277">
        <v>0</v>
      </c>
      <c r="G16" s="277">
        <v>0</v>
      </c>
      <c r="H16" s="277">
        <v>0</v>
      </c>
      <c r="I16" s="277">
        <v>0</v>
      </c>
      <c r="J16" s="277">
        <v>0</v>
      </c>
      <c r="K16" s="277">
        <v>0</v>
      </c>
      <c r="L16" s="1194">
        <v>0.19940134150122094</v>
      </c>
      <c r="M16" s="220"/>
      <c r="N16" s="220" t="s">
        <v>6438</v>
      </c>
      <c r="O16" s="1203">
        <v>0.94954224445418201</v>
      </c>
      <c r="P16" s="220">
        <v>12</v>
      </c>
      <c r="Q16" s="220">
        <v>1</v>
      </c>
      <c r="R16" s="220"/>
      <c r="S16" s="220"/>
      <c r="T16" s="220"/>
      <c r="U16" s="220"/>
      <c r="V16" s="220"/>
    </row>
    <row r="17" spans="1:22">
      <c r="A17" s="220" t="s">
        <v>4131</v>
      </c>
      <c r="B17" s="277">
        <v>0</v>
      </c>
      <c r="C17" s="277">
        <v>0</v>
      </c>
      <c r="D17" s="277">
        <v>0</v>
      </c>
      <c r="E17" s="277">
        <v>0</v>
      </c>
      <c r="F17" s="277">
        <v>0</v>
      </c>
      <c r="G17" s="277">
        <v>0</v>
      </c>
      <c r="H17" s="1191">
        <v>3.240756524</v>
      </c>
      <c r="I17" s="1191">
        <v>50.118205304</v>
      </c>
      <c r="J17" s="1191">
        <v>-32.545647099999996</v>
      </c>
      <c r="K17" s="1191">
        <v>553.63390991000006</v>
      </c>
      <c r="L17" s="1194">
        <v>0.12711337788421534</v>
      </c>
      <c r="M17" s="220"/>
      <c r="N17" s="220" t="s">
        <v>6443</v>
      </c>
      <c r="O17" s="1203">
        <v>0.95706868872522688</v>
      </c>
      <c r="P17" s="220">
        <v>24.1</v>
      </c>
      <c r="Q17" s="220">
        <v>2</v>
      </c>
      <c r="R17" s="220"/>
      <c r="S17" s="220"/>
      <c r="T17" s="220"/>
      <c r="U17" s="220"/>
      <c r="V17" s="220"/>
    </row>
    <row r="18" spans="1:22">
      <c r="A18" s="220" t="s">
        <v>2471</v>
      </c>
      <c r="B18" s="277">
        <v>0</v>
      </c>
      <c r="C18" s="277">
        <v>0</v>
      </c>
      <c r="D18" s="277">
        <v>0</v>
      </c>
      <c r="E18" s="277">
        <v>0</v>
      </c>
      <c r="F18" s="277">
        <v>0</v>
      </c>
      <c r="G18" s="277">
        <v>0</v>
      </c>
      <c r="H18" s="277">
        <v>0</v>
      </c>
      <c r="I18" s="277">
        <v>0</v>
      </c>
      <c r="J18" s="1191">
        <v>1304.6120832720001</v>
      </c>
      <c r="K18" s="1191">
        <v>-1165.0485677490001</v>
      </c>
      <c r="L18" s="1194">
        <v>0.34948104502507477</v>
      </c>
      <c r="M18" s="220"/>
      <c r="N18" s="220" t="s">
        <v>6431</v>
      </c>
      <c r="O18" s="1203">
        <v>0.94241839597621901</v>
      </c>
      <c r="P18" s="220">
        <v>48.1</v>
      </c>
      <c r="Q18" s="220">
        <v>1</v>
      </c>
      <c r="R18" s="220"/>
      <c r="S18" s="220"/>
      <c r="T18" s="220"/>
      <c r="U18" s="220"/>
      <c r="V18" s="220"/>
    </row>
    <row r="19" spans="1:22">
      <c r="A19" s="220" t="s">
        <v>2477</v>
      </c>
      <c r="B19" s="277">
        <v>0</v>
      </c>
      <c r="C19" s="277">
        <v>0</v>
      </c>
      <c r="D19" s="277">
        <v>0</v>
      </c>
      <c r="E19" s="277">
        <v>0</v>
      </c>
      <c r="F19" s="277">
        <v>0</v>
      </c>
      <c r="G19" s="277">
        <v>0</v>
      </c>
      <c r="H19" s="1191">
        <v>6.5072480000000002E-3</v>
      </c>
      <c r="I19" s="1191">
        <v>0.74408816600000005</v>
      </c>
      <c r="J19" s="1191">
        <v>2.9106427579999998</v>
      </c>
      <c r="K19" s="1191">
        <v>0.95118725599999998</v>
      </c>
      <c r="L19" s="1194">
        <v>9.2730127969551934E-2</v>
      </c>
      <c r="M19" s="220"/>
      <c r="N19" s="220" t="s">
        <v>6422</v>
      </c>
      <c r="O19" s="1203">
        <v>0.97997834929612926</v>
      </c>
      <c r="P19" s="220">
        <v>18.100000000000001</v>
      </c>
      <c r="Q19" s="220">
        <v>0</v>
      </c>
      <c r="R19" s="220"/>
      <c r="S19" s="220"/>
      <c r="T19" s="220"/>
      <c r="U19" s="220"/>
      <c r="V19" s="220"/>
    </row>
    <row r="20" spans="1:22">
      <c r="A20" s="220" t="s">
        <v>5045</v>
      </c>
      <c r="B20" s="277">
        <v>0</v>
      </c>
      <c r="C20" s="277">
        <v>0</v>
      </c>
      <c r="D20" s="277">
        <v>0</v>
      </c>
      <c r="E20" s="277">
        <v>0</v>
      </c>
      <c r="F20" s="277">
        <v>0</v>
      </c>
      <c r="G20" s="277">
        <v>0</v>
      </c>
      <c r="H20" s="277">
        <v>0</v>
      </c>
      <c r="I20" s="1191">
        <v>2.0171999999999999E-5</v>
      </c>
      <c r="J20" s="1191">
        <v>0.19870423800000001</v>
      </c>
      <c r="K20" s="1191">
        <v>2163.4462942790001</v>
      </c>
      <c r="L20" s="1194">
        <v>0.11129269293675889</v>
      </c>
      <c r="M20" s="220"/>
      <c r="N20" s="220" t="s">
        <v>6420</v>
      </c>
      <c r="O20" s="1203">
        <v>0.89312285324987883</v>
      </c>
      <c r="P20" s="220">
        <v>30001</v>
      </c>
      <c r="Q20" s="220">
        <v>0</v>
      </c>
      <c r="R20" s="220"/>
      <c r="S20" s="220"/>
      <c r="T20" s="220"/>
      <c r="U20" s="220"/>
      <c r="V20" s="220"/>
    </row>
    <row r="21" spans="1:22">
      <c r="A21" s="220" t="s">
        <v>5046</v>
      </c>
      <c r="B21" s="1191">
        <v>21.046077051000001</v>
      </c>
      <c r="C21" s="1191">
        <v>0.64355877500000003</v>
      </c>
      <c r="D21" s="277">
        <v>0</v>
      </c>
      <c r="E21" s="277">
        <v>0</v>
      </c>
      <c r="F21" s="277">
        <v>0</v>
      </c>
      <c r="G21" s="277">
        <v>0</v>
      </c>
      <c r="H21" s="277">
        <v>0</v>
      </c>
      <c r="I21" s="277">
        <v>0</v>
      </c>
      <c r="J21" s="277">
        <v>0</v>
      </c>
      <c r="K21" s="277">
        <v>0</v>
      </c>
      <c r="L21" s="1194">
        <v>5.7718878460621133E-2</v>
      </c>
      <c r="M21" s="220"/>
      <c r="N21" s="220" t="s">
        <v>6419</v>
      </c>
      <c r="O21" s="1203">
        <v>0.98973564414699278</v>
      </c>
      <c r="P21" s="220">
        <v>30001</v>
      </c>
      <c r="Q21" s="220">
        <v>0</v>
      </c>
      <c r="R21" s="220"/>
      <c r="S21" s="220"/>
      <c r="T21" s="220"/>
      <c r="U21" s="220"/>
      <c r="V21" s="220"/>
    </row>
    <row r="22" spans="1:22">
      <c r="A22" s="220" t="s">
        <v>3474</v>
      </c>
      <c r="B22" s="1207">
        <v>0</v>
      </c>
      <c r="C22" s="277">
        <v>0</v>
      </c>
      <c r="D22" s="277">
        <v>0</v>
      </c>
      <c r="E22" s="277">
        <v>0</v>
      </c>
      <c r="F22" s="277">
        <v>0</v>
      </c>
      <c r="G22" s="277">
        <v>0</v>
      </c>
      <c r="H22" s="1191">
        <v>1.3009082E-2</v>
      </c>
      <c r="I22" s="1191">
        <v>-0.63853567099999997</v>
      </c>
      <c r="J22" s="1191">
        <v>18.152542467</v>
      </c>
      <c r="K22" s="1191">
        <v>11.056607186999999</v>
      </c>
      <c r="L22" s="1194">
        <v>8.2838949266919329E-2</v>
      </c>
      <c r="M22" s="220"/>
      <c r="N22" s="220" t="s">
        <v>6421</v>
      </c>
      <c r="O22" s="1203">
        <v>0.99257213725669535</v>
      </c>
      <c r="P22" s="220">
        <v>48.1</v>
      </c>
      <c r="Q22" s="220">
        <v>4</v>
      </c>
      <c r="R22" s="220"/>
      <c r="S22" s="220"/>
      <c r="T22" s="220"/>
      <c r="U22" s="220"/>
      <c r="V22" s="220"/>
    </row>
    <row r="23" spans="1:22">
      <c r="A23" s="220" t="s">
        <v>459</v>
      </c>
      <c r="B23" s="1191">
        <v>135.281859973</v>
      </c>
      <c r="C23" s="1191">
        <v>0.66222618499999997</v>
      </c>
      <c r="D23" s="277">
        <v>0</v>
      </c>
      <c r="E23" s="277">
        <v>0</v>
      </c>
      <c r="F23" s="277">
        <v>0</v>
      </c>
      <c r="G23" s="277">
        <v>0</v>
      </c>
      <c r="H23" s="277">
        <v>0</v>
      </c>
      <c r="I23" s="277">
        <v>0</v>
      </c>
      <c r="J23" s="277">
        <v>0</v>
      </c>
      <c r="K23" s="277">
        <v>0</v>
      </c>
      <c r="L23" s="1194">
        <v>0.56626731611720127</v>
      </c>
      <c r="M23" s="220"/>
      <c r="N23" s="220" t="s">
        <v>6414</v>
      </c>
      <c r="O23" s="1203">
        <v>0.79467834835124995</v>
      </c>
      <c r="P23" s="220">
        <v>20001</v>
      </c>
      <c r="Q23" s="220">
        <v>0</v>
      </c>
      <c r="R23" s="220"/>
      <c r="S23" s="220"/>
      <c r="T23" s="220"/>
      <c r="U23" s="220"/>
      <c r="V23" s="220"/>
    </row>
    <row r="24" spans="1:22">
      <c r="A24" s="633" t="s">
        <v>3094</v>
      </c>
      <c r="B24" s="1102">
        <v>259.35532937099998</v>
      </c>
      <c r="C24" s="1191">
        <v>0.55137656199999996</v>
      </c>
      <c r="D24" s="277">
        <v>0</v>
      </c>
      <c r="E24" s="277">
        <v>0</v>
      </c>
      <c r="F24" s="277">
        <v>0</v>
      </c>
      <c r="G24" s="277">
        <v>0</v>
      </c>
      <c r="H24" s="277">
        <v>0</v>
      </c>
      <c r="I24" s="277">
        <v>0</v>
      </c>
      <c r="J24" s="277">
        <v>0</v>
      </c>
      <c r="K24" s="277">
        <v>0</v>
      </c>
      <c r="L24" s="1194">
        <v>0.37258732877875211</v>
      </c>
      <c r="M24" s="220"/>
      <c r="N24" s="220" t="s">
        <v>6417</v>
      </c>
      <c r="O24" s="1203">
        <v>0.65985747035876607</v>
      </c>
      <c r="P24" s="220">
        <v>30001</v>
      </c>
      <c r="Q24" s="220">
        <v>0</v>
      </c>
      <c r="R24" s="220"/>
      <c r="S24" s="220"/>
      <c r="T24" s="220"/>
      <c r="U24" s="220"/>
      <c r="V24" s="220"/>
    </row>
    <row r="25" spans="1:22">
      <c r="A25" s="220" t="s">
        <v>480</v>
      </c>
      <c r="B25" s="277">
        <v>0</v>
      </c>
      <c r="C25" s="277">
        <v>0</v>
      </c>
      <c r="D25" s="277">
        <v>0</v>
      </c>
      <c r="E25" s="277">
        <v>0</v>
      </c>
      <c r="F25" s="277">
        <v>0</v>
      </c>
      <c r="G25" s="277">
        <v>0</v>
      </c>
      <c r="H25" s="277">
        <v>0</v>
      </c>
      <c r="I25" s="1191">
        <v>-5.3099999999999998E-7</v>
      </c>
      <c r="J25" s="1191">
        <v>0.21637999499999999</v>
      </c>
      <c r="K25" s="1191">
        <v>1726.1361602259999</v>
      </c>
      <c r="L25" s="1194">
        <v>0.13634459989196074</v>
      </c>
      <c r="M25" s="220"/>
      <c r="N25" s="220" t="s">
        <v>6450</v>
      </c>
      <c r="O25" s="1203">
        <v>0.88989336622886217</v>
      </c>
      <c r="P25" s="220">
        <v>108290</v>
      </c>
      <c r="Q25" s="220">
        <v>0</v>
      </c>
      <c r="R25" s="220"/>
      <c r="S25" s="220"/>
      <c r="T25" s="220"/>
      <c r="U25" s="220"/>
      <c r="V25" s="220"/>
    </row>
    <row r="26" spans="1:22">
      <c r="A26" s="220" t="s">
        <v>461</v>
      </c>
      <c r="B26" s="277">
        <v>0</v>
      </c>
      <c r="C26" s="277">
        <v>0</v>
      </c>
      <c r="D26" s="277">
        <v>0</v>
      </c>
      <c r="E26" s="277">
        <v>0</v>
      </c>
      <c r="F26" s="277">
        <v>0</v>
      </c>
      <c r="G26" s="277">
        <v>0</v>
      </c>
      <c r="H26" s="1191">
        <v>3E-9</v>
      </c>
      <c r="I26" s="1191">
        <v>-4.4866E-5</v>
      </c>
      <c r="J26" s="1191">
        <v>2.0973282219999998</v>
      </c>
      <c r="K26" s="1191">
        <v>434.23312942000001</v>
      </c>
      <c r="L26" s="1194">
        <v>0.15508350270168716</v>
      </c>
      <c r="M26" s="220"/>
      <c r="N26" s="220" t="s">
        <v>6415</v>
      </c>
      <c r="O26" s="1203">
        <v>0.89583196859918646</v>
      </c>
      <c r="P26" s="220">
        <v>16502</v>
      </c>
      <c r="Q26" s="220">
        <v>0</v>
      </c>
      <c r="R26" s="220"/>
      <c r="S26" s="220"/>
      <c r="T26" s="220"/>
      <c r="U26" s="220"/>
      <c r="V26" s="220"/>
    </row>
    <row r="27" spans="1:22">
      <c r="A27" s="220" t="s">
        <v>4899</v>
      </c>
      <c r="B27" s="1191">
        <v>2490.0166433280001</v>
      </c>
      <c r="C27" s="1191">
        <v>1.117904172</v>
      </c>
      <c r="D27" s="277">
        <v>0</v>
      </c>
      <c r="E27" s="277">
        <v>0</v>
      </c>
      <c r="F27" s="277">
        <v>0</v>
      </c>
      <c r="G27" s="277">
        <v>0</v>
      </c>
      <c r="H27" s="277">
        <v>0</v>
      </c>
      <c r="I27" s="277">
        <v>0</v>
      </c>
      <c r="J27" s="277">
        <v>0</v>
      </c>
      <c r="K27" s="277">
        <v>0</v>
      </c>
      <c r="L27" s="1194">
        <v>2.9060052999028089E-2</v>
      </c>
      <c r="M27" s="220"/>
      <c r="N27" s="220" t="s">
        <v>6475</v>
      </c>
      <c r="O27" s="1203">
        <v>0.99708569616381693</v>
      </c>
      <c r="P27" s="220">
        <v>113.33</v>
      </c>
      <c r="Q27" s="220">
        <v>0</v>
      </c>
      <c r="R27" s="220"/>
      <c r="S27" s="220"/>
      <c r="T27" s="220"/>
      <c r="U27" s="220"/>
      <c r="V27" s="220"/>
    </row>
    <row r="28" spans="1:22">
      <c r="A28" s="220" t="s">
        <v>4887</v>
      </c>
      <c r="B28" s="1191">
        <v>1144.4973268870001</v>
      </c>
      <c r="C28" s="1191">
        <v>0.76939132899999996</v>
      </c>
      <c r="D28" s="277">
        <v>0</v>
      </c>
      <c r="E28" s="277">
        <v>0</v>
      </c>
      <c r="F28" s="277">
        <v>0</v>
      </c>
      <c r="G28" s="277">
        <v>0</v>
      </c>
      <c r="H28" s="277">
        <v>0</v>
      </c>
      <c r="I28" s="277">
        <v>0</v>
      </c>
      <c r="J28" s="277">
        <v>0</v>
      </c>
      <c r="K28" s="277">
        <v>0</v>
      </c>
      <c r="L28" s="1194">
        <v>0.21824709010560447</v>
      </c>
      <c r="M28" s="220"/>
      <c r="N28" s="220" t="s">
        <v>6476</v>
      </c>
      <c r="O28" s="1203">
        <v>0.98363308354833745</v>
      </c>
      <c r="P28" s="220">
        <v>6148.1</v>
      </c>
      <c r="Q28" s="220">
        <v>0</v>
      </c>
      <c r="R28" s="220"/>
      <c r="S28" s="220"/>
      <c r="T28" s="220"/>
      <c r="U28" s="220"/>
      <c r="V28" s="220"/>
    </row>
    <row r="29" spans="1:22">
      <c r="A29" s="220" t="s">
        <v>4891</v>
      </c>
      <c r="B29" s="1191">
        <v>884.952743048</v>
      </c>
      <c r="C29" s="1191">
        <v>0.75061779799999995</v>
      </c>
      <c r="D29" s="277">
        <v>0</v>
      </c>
      <c r="E29" s="277">
        <v>0</v>
      </c>
      <c r="F29" s="277">
        <v>0</v>
      </c>
      <c r="G29" s="277">
        <v>0</v>
      </c>
      <c r="H29" s="277">
        <v>0</v>
      </c>
      <c r="I29" s="277">
        <v>0</v>
      </c>
      <c r="J29" s="277">
        <v>0</v>
      </c>
      <c r="K29" s="277">
        <v>0</v>
      </c>
      <c r="L29" s="1194">
        <v>0.11117046204521347</v>
      </c>
      <c r="M29" s="220"/>
      <c r="N29" s="220" t="s">
        <v>6478</v>
      </c>
      <c r="O29" s="1203">
        <v>0.97378468247658279</v>
      </c>
      <c r="P29" s="220">
        <v>5032.1000000000004</v>
      </c>
      <c r="Q29" s="220">
        <v>0</v>
      </c>
      <c r="R29" s="220"/>
      <c r="S29" s="220"/>
      <c r="T29" s="220"/>
      <c r="U29" s="220"/>
      <c r="V29" s="220"/>
    </row>
    <row r="30" spans="1:22">
      <c r="A30" s="220" t="s">
        <v>4889</v>
      </c>
      <c r="B30" s="1191">
        <v>884.952743048</v>
      </c>
      <c r="C30" s="1191">
        <v>0.75061779799999995</v>
      </c>
      <c r="D30" s="277">
        <v>0</v>
      </c>
      <c r="E30" s="277">
        <v>0</v>
      </c>
      <c r="F30" s="277">
        <v>0</v>
      </c>
      <c r="G30" s="277">
        <v>0</v>
      </c>
      <c r="H30" s="277">
        <v>0</v>
      </c>
      <c r="I30" s="277">
        <v>0</v>
      </c>
      <c r="J30" s="277">
        <v>0</v>
      </c>
      <c r="K30" s="277">
        <v>0</v>
      </c>
      <c r="L30" s="1194">
        <v>0.11117046204521347</v>
      </c>
      <c r="M30" s="220"/>
      <c r="N30" s="220" t="s">
        <v>6477</v>
      </c>
      <c r="O30" s="1203">
        <v>0.97378468247658279</v>
      </c>
      <c r="P30" s="220">
        <v>5032.1000000000004</v>
      </c>
      <c r="Q30" s="220">
        <v>0</v>
      </c>
      <c r="R30" s="220"/>
      <c r="S30" s="220"/>
      <c r="T30" s="220"/>
      <c r="U30" s="220"/>
      <c r="V30" s="220"/>
    </row>
    <row r="31" spans="1:22">
      <c r="A31" s="220" t="s">
        <v>6483</v>
      </c>
      <c r="B31" s="1191">
        <v>2416.5109401350001</v>
      </c>
      <c r="C31" s="1191">
        <v>0.81084980699999998</v>
      </c>
      <c r="D31" s="277">
        <v>0</v>
      </c>
      <c r="E31" s="277">
        <v>0</v>
      </c>
      <c r="F31" s="277">
        <v>0</v>
      </c>
      <c r="G31" s="277">
        <v>0</v>
      </c>
      <c r="H31" s="277">
        <v>0</v>
      </c>
      <c r="I31" s="277">
        <v>0</v>
      </c>
      <c r="J31" s="277">
        <v>0</v>
      </c>
      <c r="K31" s="277">
        <v>0</v>
      </c>
      <c r="L31" s="1194">
        <v>6.3748011821242526E-2</v>
      </c>
      <c r="M31" s="220"/>
      <c r="N31" s="220" t="s">
        <v>6484</v>
      </c>
      <c r="O31" s="1203">
        <v>0.98438546621794643</v>
      </c>
      <c r="P31" s="220">
        <v>50.01</v>
      </c>
      <c r="Q31" s="220">
        <v>12</v>
      </c>
      <c r="R31" s="220"/>
      <c r="S31" s="220"/>
      <c r="T31" s="220"/>
      <c r="U31" s="220"/>
      <c r="V31" s="220"/>
    </row>
    <row r="32" spans="1:22">
      <c r="A32" s="220" t="s">
        <v>6481</v>
      </c>
      <c r="B32" s="1191">
        <v>3571.6003625200001</v>
      </c>
      <c r="C32" s="1191">
        <v>0.52517194700000003</v>
      </c>
      <c r="D32" s="277">
        <v>0</v>
      </c>
      <c r="E32" s="277">
        <v>0</v>
      </c>
      <c r="F32" s="277">
        <v>0</v>
      </c>
      <c r="G32" s="277">
        <v>0</v>
      </c>
      <c r="H32" s="277">
        <v>0</v>
      </c>
      <c r="I32" s="277">
        <v>0</v>
      </c>
      <c r="J32" s="277">
        <v>0</v>
      </c>
      <c r="K32" s="277">
        <v>0</v>
      </c>
      <c r="L32" s="1194">
        <v>0.20178190920126421</v>
      </c>
      <c r="M32" s="220"/>
      <c r="N32" s="220" t="s">
        <v>6482</v>
      </c>
      <c r="O32" s="1203">
        <v>0.80101943972733713</v>
      </c>
      <c r="P32" s="220">
        <v>12</v>
      </c>
      <c r="Q32" s="220">
        <v>0</v>
      </c>
      <c r="R32" s="220"/>
      <c r="S32" s="220"/>
      <c r="T32" s="220"/>
      <c r="U32" s="220"/>
      <c r="V32" s="220"/>
    </row>
    <row r="33" spans="1:22">
      <c r="A33" s="220" t="s">
        <v>4895</v>
      </c>
      <c r="B33" s="1191">
        <v>1161.335000027</v>
      </c>
      <c r="C33" s="1191">
        <v>0.71739984700000003</v>
      </c>
      <c r="D33" s="277">
        <v>0</v>
      </c>
      <c r="E33" s="277">
        <v>0</v>
      </c>
      <c r="F33" s="277">
        <v>0</v>
      </c>
      <c r="G33" s="277">
        <v>0</v>
      </c>
      <c r="H33" s="277">
        <v>0</v>
      </c>
      <c r="I33" s="277">
        <v>0</v>
      </c>
      <c r="J33" s="277">
        <v>0</v>
      </c>
      <c r="K33" s="277">
        <v>0</v>
      </c>
      <c r="L33" s="1194">
        <v>8.9610663880693747E-2</v>
      </c>
      <c r="M33" s="220"/>
      <c r="N33" s="220" t="s">
        <v>6480</v>
      </c>
      <c r="O33" s="1203">
        <v>0.98579513413093556</v>
      </c>
      <c r="P33" s="220">
        <v>3350.1</v>
      </c>
      <c r="Q33" s="220">
        <v>0</v>
      </c>
      <c r="R33" s="220"/>
      <c r="S33" s="220"/>
      <c r="T33" s="220"/>
      <c r="U33" s="220"/>
      <c r="V33" s="220"/>
    </row>
    <row r="34" spans="1:22">
      <c r="A34" s="220" t="s">
        <v>4893</v>
      </c>
      <c r="B34" s="1191">
        <v>1161.335000027</v>
      </c>
      <c r="C34" s="1191">
        <v>0.71739984700000003</v>
      </c>
      <c r="D34" s="277">
        <v>0</v>
      </c>
      <c r="E34" s="277">
        <v>0</v>
      </c>
      <c r="F34" s="277">
        <v>0</v>
      </c>
      <c r="G34" s="277">
        <v>0</v>
      </c>
      <c r="H34" s="277">
        <v>0</v>
      </c>
      <c r="I34" s="277">
        <v>0</v>
      </c>
      <c r="J34" s="277">
        <v>0</v>
      </c>
      <c r="K34" s="277">
        <v>0</v>
      </c>
      <c r="L34" s="1194">
        <v>8.9610663880693747E-2</v>
      </c>
      <c r="M34" s="220"/>
      <c r="N34" s="220" t="s">
        <v>6479</v>
      </c>
      <c r="O34" s="1203">
        <v>0.98579513413093556</v>
      </c>
      <c r="P34" s="220">
        <v>3350.1</v>
      </c>
      <c r="Q34" s="220">
        <v>0</v>
      </c>
      <c r="R34" s="220"/>
      <c r="S34" s="220"/>
      <c r="T34" s="220"/>
      <c r="U34" s="220"/>
      <c r="V34" s="220"/>
    </row>
    <row r="35" spans="1:22">
      <c r="A35" s="220" t="s">
        <v>1349</v>
      </c>
      <c r="B35" s="277">
        <v>0</v>
      </c>
      <c r="C35" s="277">
        <v>0</v>
      </c>
      <c r="D35" s="277">
        <v>0</v>
      </c>
      <c r="E35" s="277">
        <v>0</v>
      </c>
      <c r="F35" s="277">
        <v>0</v>
      </c>
      <c r="G35" s="277">
        <v>0</v>
      </c>
      <c r="H35" s="277">
        <v>0</v>
      </c>
      <c r="I35" s="277">
        <v>0</v>
      </c>
      <c r="J35" s="1191">
        <v>1053.0249738949999</v>
      </c>
      <c r="K35" s="1191">
        <v>4010.0161733059999</v>
      </c>
      <c r="L35" s="1194">
        <v>6.537073818864049E-2</v>
      </c>
      <c r="M35" s="220"/>
      <c r="N35" s="220" t="s">
        <v>6460</v>
      </c>
      <c r="O35" s="1203">
        <v>0.9846598234923809</v>
      </c>
      <c r="P35" s="220">
        <v>110</v>
      </c>
      <c r="Q35" s="220">
        <v>0</v>
      </c>
      <c r="R35" s="220"/>
      <c r="S35" s="220"/>
      <c r="T35" s="220"/>
      <c r="U35" s="220"/>
      <c r="V35" s="220"/>
    </row>
    <row r="36" spans="1:22">
      <c r="A36" s="220" t="s">
        <v>4014</v>
      </c>
      <c r="B36" s="277">
        <v>0</v>
      </c>
      <c r="C36" s="277">
        <v>0</v>
      </c>
      <c r="D36" s="277">
        <v>0</v>
      </c>
      <c r="E36" s="277">
        <v>0</v>
      </c>
      <c r="F36" s="277">
        <v>0</v>
      </c>
      <c r="G36" s="277">
        <v>0</v>
      </c>
      <c r="H36" s="277">
        <v>0</v>
      </c>
      <c r="I36" s="277">
        <v>0</v>
      </c>
      <c r="J36" s="1191">
        <v>13.743826180999999</v>
      </c>
      <c r="K36" s="1191">
        <v>4278.8929318689998</v>
      </c>
      <c r="L36" s="1194">
        <v>0.24412968842278338</v>
      </c>
      <c r="M36" s="220"/>
      <c r="N36" s="220" t="s">
        <v>6451</v>
      </c>
      <c r="O36" s="1203">
        <v>0.81510982055639669</v>
      </c>
      <c r="P36" s="220">
        <v>2001</v>
      </c>
      <c r="Q36" s="220">
        <v>0</v>
      </c>
      <c r="R36" s="220"/>
      <c r="S36" s="220"/>
      <c r="T36" s="220"/>
      <c r="U36" s="220"/>
      <c r="V36" s="220"/>
    </row>
    <row r="37" spans="1:22">
      <c r="A37" s="220" t="s">
        <v>3717</v>
      </c>
      <c r="B37" s="277">
        <v>0</v>
      </c>
      <c r="C37" s="277">
        <v>0</v>
      </c>
      <c r="D37" s="277">
        <v>0</v>
      </c>
      <c r="E37" s="277">
        <v>0</v>
      </c>
      <c r="F37" s="277">
        <v>0</v>
      </c>
      <c r="G37" s="277">
        <v>0</v>
      </c>
      <c r="H37" s="1191">
        <v>8.7416773000000003E-2</v>
      </c>
      <c r="I37" s="1191">
        <v>3.727367106</v>
      </c>
      <c r="J37" s="1191">
        <v>488.19409208000002</v>
      </c>
      <c r="K37" s="1191">
        <v>3103.652214921</v>
      </c>
      <c r="L37" s="1194">
        <v>0.15420855763774652</v>
      </c>
      <c r="M37" s="220"/>
      <c r="N37" s="220" t="s">
        <v>6465</v>
      </c>
      <c r="O37" s="1203">
        <v>0.95974019025607282</v>
      </c>
      <c r="P37" s="220">
        <v>36.1</v>
      </c>
      <c r="Q37" s="220">
        <v>0</v>
      </c>
      <c r="R37" s="220"/>
      <c r="S37" s="220"/>
      <c r="T37" s="220"/>
      <c r="U37" s="220"/>
      <c r="V37" s="220"/>
    </row>
    <row r="38" spans="1:22">
      <c r="A38" s="220" t="s">
        <v>4140</v>
      </c>
      <c r="B38" s="1191">
        <v>3220.9800634899998</v>
      </c>
      <c r="C38" s="1191">
        <v>0.14804462199999999</v>
      </c>
      <c r="D38" s="277">
        <v>0</v>
      </c>
      <c r="E38" s="277">
        <v>0</v>
      </c>
      <c r="F38" s="277">
        <v>0</v>
      </c>
      <c r="G38" s="277">
        <v>0</v>
      </c>
      <c r="H38" s="277">
        <v>0</v>
      </c>
      <c r="I38" s="277">
        <v>0</v>
      </c>
      <c r="J38" s="277">
        <v>0</v>
      </c>
      <c r="K38" s="277">
        <v>0</v>
      </c>
      <c r="L38" s="1194">
        <v>0.10096714189868675</v>
      </c>
      <c r="M38" s="220"/>
      <c r="N38" s="220" t="s">
        <v>6459</v>
      </c>
      <c r="O38" s="1203">
        <v>0.57579712716736775</v>
      </c>
      <c r="P38" s="220">
        <v>4.0999999999999996</v>
      </c>
      <c r="Q38" s="220">
        <v>0</v>
      </c>
      <c r="R38" s="220"/>
      <c r="S38" s="220"/>
      <c r="T38" s="220"/>
      <c r="U38" s="220"/>
      <c r="V38" s="220"/>
    </row>
    <row r="39" spans="1:22">
      <c r="A39" s="220" t="s">
        <v>4133</v>
      </c>
      <c r="B39" s="277">
        <v>0</v>
      </c>
      <c r="C39" s="277">
        <v>0</v>
      </c>
      <c r="D39" s="277">
        <v>0</v>
      </c>
      <c r="E39" s="277">
        <v>0</v>
      </c>
      <c r="F39" s="277">
        <v>0</v>
      </c>
      <c r="G39" s="277">
        <v>0</v>
      </c>
      <c r="H39" s="1191">
        <v>0.290528801</v>
      </c>
      <c r="I39" s="1191">
        <v>-20.141018838000001</v>
      </c>
      <c r="J39" s="1191">
        <v>567.62280550399998</v>
      </c>
      <c r="K39" s="1191">
        <v>674.16116967899995</v>
      </c>
      <c r="L39" s="1194">
        <v>8.7926571657932578E-2</v>
      </c>
      <c r="M39" s="220"/>
      <c r="N39" s="220" t="s">
        <v>6462</v>
      </c>
      <c r="O39" s="1203">
        <v>0.99588591793663983</v>
      </c>
      <c r="P39" s="220">
        <v>60.1</v>
      </c>
      <c r="Q39" s="220">
        <v>0</v>
      </c>
      <c r="R39" s="220"/>
      <c r="S39" s="220"/>
      <c r="T39" s="220"/>
      <c r="U39" s="220"/>
      <c r="V39" s="220"/>
    </row>
    <row r="40" spans="1:22">
      <c r="A40" s="220" t="s">
        <v>3093</v>
      </c>
      <c r="B40" s="277">
        <v>0</v>
      </c>
      <c r="C40" s="277">
        <v>0</v>
      </c>
      <c r="D40" s="277">
        <v>0</v>
      </c>
      <c r="E40" s="277">
        <v>0</v>
      </c>
      <c r="F40" s="277">
        <v>0</v>
      </c>
      <c r="G40" s="277">
        <v>0</v>
      </c>
      <c r="H40" s="277">
        <v>0</v>
      </c>
      <c r="I40" s="1191">
        <v>1.89841E-4</v>
      </c>
      <c r="J40" s="1191">
        <v>1.125069329</v>
      </c>
      <c r="K40" s="1191">
        <v>710.83996240299996</v>
      </c>
      <c r="L40" s="1194">
        <v>0.19181540196500685</v>
      </c>
      <c r="M40" s="220"/>
      <c r="N40" s="220" t="s">
        <v>6416</v>
      </c>
      <c r="O40" s="1203">
        <v>0.9665490920876908</v>
      </c>
      <c r="P40" s="220">
        <v>6601</v>
      </c>
      <c r="Q40" s="220">
        <v>0</v>
      </c>
      <c r="R40" s="220"/>
      <c r="S40" s="220"/>
      <c r="T40" s="220"/>
      <c r="U40" s="220"/>
      <c r="V40" s="220"/>
    </row>
    <row r="41" spans="1:22">
      <c r="A41" s="220" t="s">
        <v>2473</v>
      </c>
      <c r="B41" s="277">
        <v>0</v>
      </c>
      <c r="C41" s="277">
        <v>0</v>
      </c>
      <c r="D41" s="277">
        <v>0</v>
      </c>
      <c r="E41" s="277">
        <v>0</v>
      </c>
      <c r="F41" s="277">
        <v>0</v>
      </c>
      <c r="G41" s="277">
        <v>0</v>
      </c>
      <c r="H41" s="277">
        <v>0</v>
      </c>
      <c r="I41" s="1191">
        <v>23.867181313</v>
      </c>
      <c r="J41" s="1191">
        <v>53.974127154000001</v>
      </c>
      <c r="K41" s="1191">
        <v>43.165150769999997</v>
      </c>
      <c r="L41" s="1194">
        <v>0.1427349787694592</v>
      </c>
      <c r="M41" s="220"/>
      <c r="N41" s="220" t="s">
        <v>6442</v>
      </c>
      <c r="O41" s="1203">
        <v>0.93375154994717469</v>
      </c>
      <c r="P41" s="220">
        <v>12.1</v>
      </c>
      <c r="Q41" s="220">
        <v>0</v>
      </c>
      <c r="R41" s="220"/>
      <c r="S41" s="220"/>
      <c r="T41" s="220"/>
      <c r="U41" s="220"/>
      <c r="V41" s="220"/>
    </row>
    <row r="42" spans="1:22">
      <c r="A42" s="220" t="s">
        <v>6432</v>
      </c>
      <c r="B42" s="277">
        <v>0</v>
      </c>
      <c r="C42" s="277">
        <v>0</v>
      </c>
      <c r="D42" s="277">
        <v>0</v>
      </c>
      <c r="E42" s="277">
        <v>0</v>
      </c>
      <c r="F42" s="277">
        <v>0</v>
      </c>
      <c r="G42" s="277">
        <v>0</v>
      </c>
      <c r="H42" s="277">
        <v>0</v>
      </c>
      <c r="I42" s="277">
        <v>0</v>
      </c>
      <c r="J42" s="1191">
        <v>2553.3443597519999</v>
      </c>
      <c r="K42" s="1191">
        <v>-25690.347540136001</v>
      </c>
      <c r="L42" s="1194">
        <v>0.1288535088310907</v>
      </c>
      <c r="M42" s="220"/>
      <c r="N42" s="220" t="s">
        <v>6433</v>
      </c>
      <c r="O42" s="1203">
        <v>0.81137657813383668</v>
      </c>
      <c r="P42" s="220">
        <v>24.1</v>
      </c>
      <c r="Q42" s="220">
        <v>14</v>
      </c>
      <c r="R42" s="220"/>
      <c r="S42" s="220"/>
      <c r="T42" s="220"/>
      <c r="U42" s="220"/>
      <c r="V42" s="220"/>
    </row>
    <row r="43" spans="1:22">
      <c r="A43" s="220" t="s">
        <v>6434</v>
      </c>
      <c r="B43" s="277">
        <v>0</v>
      </c>
      <c r="C43" s="277">
        <v>0</v>
      </c>
      <c r="D43" s="277">
        <v>0</v>
      </c>
      <c r="E43" s="277">
        <v>0</v>
      </c>
      <c r="F43" s="277">
        <v>0</v>
      </c>
      <c r="G43" s="277">
        <v>0</v>
      </c>
      <c r="H43" s="277">
        <v>0</v>
      </c>
      <c r="I43" s="1191">
        <v>12.117823524</v>
      </c>
      <c r="J43" s="1191">
        <v>45.057729000000002</v>
      </c>
      <c r="K43" s="1191">
        <v>112.997449909</v>
      </c>
      <c r="L43" s="1194">
        <v>0.25566288048231928</v>
      </c>
      <c r="M43" s="220"/>
      <c r="N43" s="220" t="s">
        <v>6435</v>
      </c>
      <c r="O43" s="1203">
        <v>0.86317684069618528</v>
      </c>
      <c r="P43" s="220">
        <v>12</v>
      </c>
      <c r="Q43" s="220">
        <v>0</v>
      </c>
      <c r="R43" s="220"/>
      <c r="S43" s="220"/>
      <c r="T43" s="220"/>
      <c r="U43" s="220"/>
      <c r="V43" s="220"/>
    </row>
    <row r="44" spans="1:22">
      <c r="A44" s="220" t="s">
        <v>6426</v>
      </c>
      <c r="B44" s="277">
        <v>0</v>
      </c>
      <c r="C44" s="277">
        <v>0</v>
      </c>
      <c r="D44" s="277">
        <v>0</v>
      </c>
      <c r="E44" s="277">
        <v>0</v>
      </c>
      <c r="F44" s="277">
        <v>0</v>
      </c>
      <c r="G44" s="277">
        <v>0</v>
      </c>
      <c r="H44" s="277">
        <v>0</v>
      </c>
      <c r="I44" s="277">
        <v>0</v>
      </c>
      <c r="J44" s="1191">
        <v>2443.3800723099998</v>
      </c>
      <c r="K44" s="1191">
        <v>-21582.792424030999</v>
      </c>
      <c r="L44" s="1194">
        <v>0.10606175481157647</v>
      </c>
      <c r="M44" s="220"/>
      <c r="N44" s="220" t="s">
        <v>6427</v>
      </c>
      <c r="O44" s="1203">
        <v>0.84845770106442142</v>
      </c>
      <c r="P44" s="220">
        <v>24.1</v>
      </c>
      <c r="Q44" s="220">
        <v>14</v>
      </c>
      <c r="R44" s="220"/>
      <c r="S44" s="220"/>
      <c r="T44" s="220"/>
      <c r="U44" s="220"/>
      <c r="V44" s="220"/>
    </row>
    <row r="45" spans="1:22">
      <c r="A45" s="220" t="s">
        <v>6428</v>
      </c>
      <c r="B45" s="277">
        <v>0</v>
      </c>
      <c r="C45" s="277">
        <v>0</v>
      </c>
      <c r="D45" s="277">
        <v>0</v>
      </c>
      <c r="E45" s="277">
        <v>0</v>
      </c>
      <c r="F45" s="1191">
        <v>599.000620282</v>
      </c>
      <c r="G45" s="1191">
        <v>0.18198897</v>
      </c>
      <c r="H45" s="277">
        <v>0</v>
      </c>
      <c r="I45" s="277">
        <v>0</v>
      </c>
      <c r="J45" s="277">
        <v>0</v>
      </c>
      <c r="K45" s="277">
        <v>0</v>
      </c>
      <c r="L45" s="1194">
        <v>0.1044259768556962</v>
      </c>
      <c r="M45" s="220"/>
      <c r="N45" s="220" t="s">
        <v>6429</v>
      </c>
      <c r="O45" s="1203">
        <v>0.97980463453751598</v>
      </c>
      <c r="P45" s="220">
        <v>12</v>
      </c>
      <c r="Q45" s="220">
        <v>0</v>
      </c>
      <c r="R45" s="220"/>
      <c r="S45" s="220"/>
      <c r="T45" s="220"/>
      <c r="U45" s="220"/>
      <c r="V45" s="220"/>
    </row>
    <row r="46" spans="1:22">
      <c r="A46" s="220" t="s">
        <v>3711</v>
      </c>
      <c r="B46" s="277">
        <v>0</v>
      </c>
      <c r="C46" s="277">
        <v>0</v>
      </c>
      <c r="D46" s="277">
        <v>0</v>
      </c>
      <c r="E46" s="277">
        <v>0</v>
      </c>
      <c r="F46" s="277">
        <v>0</v>
      </c>
      <c r="G46" s="277">
        <v>0</v>
      </c>
      <c r="H46" s="1191">
        <v>0.48667437299999999</v>
      </c>
      <c r="I46" s="1191">
        <v>-19.177375645000001</v>
      </c>
      <c r="J46" s="1191">
        <v>593.88035160699997</v>
      </c>
      <c r="K46" s="1191">
        <v>1500.545795131</v>
      </c>
      <c r="L46" s="1194">
        <v>4.521517984937741E-2</v>
      </c>
      <c r="M46" s="220"/>
      <c r="N46" s="220" t="s">
        <v>6464</v>
      </c>
      <c r="O46" s="1203">
        <v>0.99578400826432001</v>
      </c>
      <c r="P46" s="220">
        <v>36.1</v>
      </c>
      <c r="Q46" s="220">
        <v>0</v>
      </c>
      <c r="R46" s="220"/>
      <c r="S46" s="220"/>
      <c r="T46" s="220"/>
      <c r="U46" s="220"/>
      <c r="V46" s="220"/>
    </row>
    <row r="47" spans="1:22">
      <c r="A47" s="220" t="s">
        <v>1306</v>
      </c>
      <c r="B47" s="277">
        <v>0</v>
      </c>
      <c r="C47" s="277">
        <v>0</v>
      </c>
      <c r="D47" s="277">
        <v>0</v>
      </c>
      <c r="E47" s="277">
        <v>0</v>
      </c>
      <c r="F47" s="277">
        <v>0</v>
      </c>
      <c r="G47" s="277">
        <v>0</v>
      </c>
      <c r="H47" s="277">
        <v>0</v>
      </c>
      <c r="I47" s="1191">
        <v>-5.0253943779999997</v>
      </c>
      <c r="J47" s="1191">
        <v>333.55284361299999</v>
      </c>
      <c r="K47" s="1191">
        <v>547.05928521800001</v>
      </c>
      <c r="L47" s="1194">
        <v>8.8552984416126426E-2</v>
      </c>
      <c r="M47" s="220"/>
      <c r="N47" s="220" t="s">
        <v>6471</v>
      </c>
      <c r="O47" s="1203">
        <v>0.98448185588522552</v>
      </c>
      <c r="P47" s="220">
        <v>24.1</v>
      </c>
      <c r="Q47" s="220">
        <v>0</v>
      </c>
      <c r="R47" s="220"/>
      <c r="S47" s="220"/>
      <c r="T47" s="220"/>
      <c r="U47" s="220"/>
      <c r="V47" s="220"/>
    </row>
    <row r="48" spans="1:22">
      <c r="A48" s="220" t="s">
        <v>1552</v>
      </c>
      <c r="B48" s="277">
        <v>0</v>
      </c>
      <c r="C48" s="277">
        <v>0</v>
      </c>
      <c r="D48" s="277">
        <v>0</v>
      </c>
      <c r="E48" s="277">
        <v>0</v>
      </c>
      <c r="F48" s="277">
        <v>0</v>
      </c>
      <c r="G48" s="277">
        <v>0</v>
      </c>
      <c r="H48" s="277">
        <v>0</v>
      </c>
      <c r="I48" s="1191">
        <v>-6.7002999999999995E-4</v>
      </c>
      <c r="J48" s="1191">
        <v>14.809014980000001</v>
      </c>
      <c r="K48" s="1191">
        <v>4093.494684836</v>
      </c>
      <c r="L48" s="1194">
        <v>0.16787720556525074</v>
      </c>
      <c r="M48" s="220"/>
      <c r="N48" s="220" t="s">
        <v>6444</v>
      </c>
      <c r="O48" s="1203">
        <v>0.95812431183124169</v>
      </c>
      <c r="P48" s="220">
        <v>10001</v>
      </c>
      <c r="Q48" s="220">
        <v>0</v>
      </c>
      <c r="R48" s="220"/>
      <c r="S48" s="220"/>
      <c r="T48" s="220"/>
      <c r="U48" s="220"/>
      <c r="V48" s="220"/>
    </row>
    <row r="49" spans="1:22">
      <c r="A49" s="220" t="s">
        <v>2777</v>
      </c>
      <c r="B49" s="277">
        <v>0</v>
      </c>
      <c r="C49" s="277">
        <v>0</v>
      </c>
      <c r="D49" s="277">
        <v>0</v>
      </c>
      <c r="E49" s="277">
        <v>0</v>
      </c>
      <c r="F49" s="1191">
        <v>1147.9723958510001</v>
      </c>
      <c r="G49" s="1191">
        <v>5.4740779000000003E-2</v>
      </c>
      <c r="H49" s="277">
        <v>0</v>
      </c>
      <c r="I49" s="277">
        <v>0</v>
      </c>
      <c r="J49" s="277">
        <v>0</v>
      </c>
      <c r="K49" s="277">
        <v>0</v>
      </c>
      <c r="L49" s="1194">
        <v>0.39676137270947814</v>
      </c>
      <c r="M49" s="220"/>
      <c r="N49" s="220" t="s">
        <v>6447</v>
      </c>
      <c r="O49" s="1203">
        <v>0.62162919975925868</v>
      </c>
      <c r="P49" s="220">
        <v>21.01</v>
      </c>
      <c r="Q49" s="220">
        <v>0</v>
      </c>
      <c r="R49" s="220"/>
      <c r="S49" s="220"/>
      <c r="T49" s="220"/>
      <c r="U49" s="220"/>
      <c r="V49" s="220"/>
    </row>
    <row r="50" spans="1:22">
      <c r="A50" s="220" t="s">
        <v>2776</v>
      </c>
      <c r="B50" s="277">
        <v>0</v>
      </c>
      <c r="C50" s="277">
        <v>0</v>
      </c>
      <c r="D50" s="277">
        <v>0</v>
      </c>
      <c r="E50" s="277">
        <v>0</v>
      </c>
      <c r="F50" s="277">
        <v>0</v>
      </c>
      <c r="G50" s="277">
        <v>0</v>
      </c>
      <c r="H50" s="1191">
        <v>5.8459699999999996E-4</v>
      </c>
      <c r="I50" s="1191">
        <v>-0.31291286000000001</v>
      </c>
      <c r="J50" s="1191">
        <v>58.800444323000001</v>
      </c>
      <c r="K50" s="1191">
        <v>3000.5306602579999</v>
      </c>
      <c r="L50" s="1194">
        <v>5.9121223134457057E-2</v>
      </c>
      <c r="M50" s="220"/>
      <c r="N50" s="220" t="s">
        <v>6445</v>
      </c>
      <c r="O50" s="1203">
        <v>0.95805697100435294</v>
      </c>
      <c r="P50" s="220">
        <v>132.01</v>
      </c>
      <c r="Q50" s="220">
        <v>0</v>
      </c>
      <c r="R50" s="220"/>
      <c r="S50" s="220"/>
      <c r="T50" s="220"/>
      <c r="U50" s="220"/>
      <c r="V50" s="220"/>
    </row>
    <row r="51" spans="1:22">
      <c r="A51" s="220" t="s">
        <v>2479</v>
      </c>
      <c r="B51" s="277">
        <v>0</v>
      </c>
      <c r="C51" s="277">
        <v>0</v>
      </c>
      <c r="D51" s="277">
        <v>0</v>
      </c>
      <c r="E51" s="277">
        <v>0</v>
      </c>
      <c r="F51" s="277">
        <v>0</v>
      </c>
      <c r="G51" s="277">
        <v>0</v>
      </c>
      <c r="H51" s="277">
        <v>0</v>
      </c>
      <c r="I51" s="1191">
        <v>9.7106987000000006E-2</v>
      </c>
      <c r="J51" s="1191">
        <v>0.800977414</v>
      </c>
      <c r="K51" s="1191">
        <v>1.427719425</v>
      </c>
      <c r="L51" s="1194">
        <v>0.19469475172443332</v>
      </c>
      <c r="M51" s="220"/>
      <c r="N51" s="1208" t="s">
        <v>6423</v>
      </c>
      <c r="O51" s="1203">
        <v>0.99750218963449888</v>
      </c>
      <c r="P51" s="220">
        <v>48.1</v>
      </c>
      <c r="Q51" s="220">
        <v>0</v>
      </c>
      <c r="R51" s="220"/>
      <c r="S51" s="220"/>
      <c r="T51" s="220"/>
      <c r="U51" s="220"/>
      <c r="V51" s="220"/>
    </row>
    <row r="52" spans="1:22">
      <c r="A52" s="220" t="s">
        <v>5604</v>
      </c>
      <c r="B52" s="1191">
        <v>1519.5593954139999</v>
      </c>
      <c r="C52" s="1191">
        <v>0.44311756899999999</v>
      </c>
      <c r="D52" s="277">
        <v>0</v>
      </c>
      <c r="E52" s="277">
        <v>0</v>
      </c>
      <c r="F52" s="277">
        <v>0</v>
      </c>
      <c r="G52" s="277">
        <v>0</v>
      </c>
      <c r="H52" s="277">
        <v>0</v>
      </c>
      <c r="I52" s="277">
        <v>0</v>
      </c>
      <c r="J52" s="277">
        <v>0</v>
      </c>
      <c r="K52" s="277">
        <v>0</v>
      </c>
      <c r="L52" s="1194">
        <v>0.2133195212762603</v>
      </c>
      <c r="M52" s="220"/>
      <c r="N52" s="220" t="s">
        <v>6452</v>
      </c>
      <c r="O52" s="1203">
        <v>0.91590348151519607</v>
      </c>
      <c r="P52" s="220">
        <v>500.1</v>
      </c>
      <c r="Q52" s="220">
        <v>0</v>
      </c>
      <c r="R52" s="220"/>
      <c r="S52" s="220"/>
      <c r="T52" s="220"/>
      <c r="U52" s="220"/>
      <c r="V52" s="220"/>
    </row>
    <row r="53" spans="1:22">
      <c r="A53" s="220" t="s">
        <v>5603</v>
      </c>
      <c r="B53" s="1191">
        <v>1976.6355754589999</v>
      </c>
      <c r="C53" s="1191">
        <v>0.41723543800000001</v>
      </c>
      <c r="D53" s="277">
        <v>0</v>
      </c>
      <c r="E53" s="277">
        <v>0</v>
      </c>
      <c r="F53" s="277">
        <v>0</v>
      </c>
      <c r="G53" s="277">
        <v>0</v>
      </c>
      <c r="H53" s="277">
        <v>0</v>
      </c>
      <c r="I53" s="277">
        <v>0</v>
      </c>
      <c r="J53" s="277">
        <v>0</v>
      </c>
      <c r="K53" s="277">
        <v>0</v>
      </c>
      <c r="L53" s="1194">
        <v>0.2393085697913106</v>
      </c>
      <c r="M53" s="220"/>
      <c r="N53" s="220" t="s">
        <v>6453</v>
      </c>
      <c r="O53" s="1203">
        <v>0.77313218418984353</v>
      </c>
      <c r="P53" s="220">
        <v>2000.1</v>
      </c>
      <c r="Q53" s="220">
        <v>0</v>
      </c>
      <c r="R53" s="220"/>
      <c r="S53" s="220"/>
      <c r="T53" s="220"/>
      <c r="U53" s="220"/>
      <c r="V53" s="220"/>
    </row>
    <row r="54" spans="1:22">
      <c r="A54" s="220" t="s">
        <v>5605</v>
      </c>
      <c r="B54" s="277">
        <v>0</v>
      </c>
      <c r="C54" s="277">
        <v>0</v>
      </c>
      <c r="D54" s="277">
        <v>0</v>
      </c>
      <c r="E54" s="277">
        <v>0</v>
      </c>
      <c r="F54" s="277">
        <v>0</v>
      </c>
      <c r="G54" s="277">
        <v>0</v>
      </c>
      <c r="H54" s="277">
        <v>0</v>
      </c>
      <c r="I54" s="277">
        <v>0</v>
      </c>
      <c r="J54" s="1191">
        <v>72.107578773</v>
      </c>
      <c r="K54" s="1191">
        <v>4668.9350805410004</v>
      </c>
      <c r="L54" s="1194">
        <v>0.27286347493220853</v>
      </c>
      <c r="M54" s="220"/>
      <c r="N54" s="220" t="s">
        <v>6454</v>
      </c>
      <c r="O54" s="1203">
        <v>0.97095008362194879</v>
      </c>
      <c r="P54" s="220">
        <v>2000.1</v>
      </c>
      <c r="Q54" s="220">
        <v>0</v>
      </c>
      <c r="R54" s="220"/>
      <c r="S54" s="220"/>
      <c r="T54" s="220"/>
      <c r="U54" s="220"/>
      <c r="V54" s="220"/>
    </row>
    <row r="55" spans="1:22">
      <c r="A55" s="220" t="s">
        <v>5606</v>
      </c>
      <c r="B55" s="277">
        <v>0</v>
      </c>
      <c r="C55" s="277">
        <v>0</v>
      </c>
      <c r="D55" s="277">
        <v>0</v>
      </c>
      <c r="E55" s="277">
        <v>0</v>
      </c>
      <c r="F55" s="277">
        <v>0</v>
      </c>
      <c r="G55" s="277">
        <v>0</v>
      </c>
      <c r="H55" s="277">
        <v>0</v>
      </c>
      <c r="I55" s="1191">
        <v>-2.8111870000000001E-2</v>
      </c>
      <c r="J55" s="1191">
        <v>138.497637586</v>
      </c>
      <c r="K55" s="1191">
        <v>3440.5033408099998</v>
      </c>
      <c r="L55" s="1194">
        <v>0.21937416786598979</v>
      </c>
      <c r="M55" s="220"/>
      <c r="N55" s="220" t="s">
        <v>6455</v>
      </c>
      <c r="O55" s="1203">
        <v>0.98966246282997439</v>
      </c>
      <c r="P55" s="220">
        <v>2000.1</v>
      </c>
      <c r="Q55" s="220">
        <v>0</v>
      </c>
      <c r="R55" s="220"/>
      <c r="S55" s="220"/>
      <c r="T55" s="220"/>
      <c r="U55" s="220"/>
      <c r="V55" s="220"/>
    </row>
    <row r="56" spans="1:22">
      <c r="A56" s="220" t="s">
        <v>5607</v>
      </c>
      <c r="B56" s="277">
        <v>0</v>
      </c>
      <c r="C56" s="277">
        <v>0</v>
      </c>
      <c r="D56" s="277">
        <v>0</v>
      </c>
      <c r="E56" s="277">
        <v>0</v>
      </c>
      <c r="F56" s="277">
        <v>0</v>
      </c>
      <c r="G56" s="277">
        <v>0</v>
      </c>
      <c r="H56" s="277">
        <v>0</v>
      </c>
      <c r="I56" s="1191">
        <v>-0.32797716599999999</v>
      </c>
      <c r="J56" s="1191">
        <v>232.563202193</v>
      </c>
      <c r="K56" s="1191">
        <v>3389.3015626460001</v>
      </c>
      <c r="L56" s="1194">
        <v>0.21117776627626691</v>
      </c>
      <c r="M56" s="220"/>
      <c r="N56" s="220" t="s">
        <v>6456</v>
      </c>
      <c r="O56" s="1203">
        <v>0.85818710033282541</v>
      </c>
      <c r="P56" s="220">
        <v>250.1</v>
      </c>
      <c r="Q56" s="220">
        <v>0</v>
      </c>
      <c r="R56" s="220"/>
      <c r="S56" s="220"/>
      <c r="T56" s="220"/>
      <c r="U56" s="220"/>
      <c r="V56" s="220"/>
    </row>
    <row r="57" spans="1:22">
      <c r="A57" s="220" t="s">
        <v>5608</v>
      </c>
      <c r="B57" s="1191">
        <v>1526.907357395</v>
      </c>
      <c r="C57" s="1191">
        <v>0.61024054000000005</v>
      </c>
      <c r="D57" s="277">
        <v>0</v>
      </c>
      <c r="E57" s="277">
        <v>0</v>
      </c>
      <c r="F57" s="277">
        <v>0</v>
      </c>
      <c r="G57" s="277">
        <v>0</v>
      </c>
      <c r="H57" s="277">
        <v>0</v>
      </c>
      <c r="I57" s="277">
        <v>0</v>
      </c>
      <c r="J57" s="277">
        <v>0</v>
      </c>
      <c r="K57" s="277">
        <v>0</v>
      </c>
      <c r="L57" s="1194">
        <v>0.29913452404767105</v>
      </c>
      <c r="M57" s="220"/>
      <c r="N57" s="220" t="s">
        <v>6457</v>
      </c>
      <c r="O57" s="1203">
        <v>0.90891963403729581</v>
      </c>
      <c r="P57" s="220">
        <v>225.1</v>
      </c>
      <c r="Q57" s="220">
        <v>0</v>
      </c>
      <c r="R57" s="220"/>
      <c r="S57" s="220"/>
      <c r="T57" s="220"/>
      <c r="U57" s="220"/>
      <c r="V57" s="220"/>
    </row>
    <row r="58" spans="1:22">
      <c r="A58" s="220" t="s">
        <v>5609</v>
      </c>
      <c r="B58" s="1191">
        <v>3021.4372028819998</v>
      </c>
      <c r="C58" s="1191">
        <v>0.51326787299999999</v>
      </c>
      <c r="D58" s="277">
        <v>0</v>
      </c>
      <c r="E58" s="277">
        <v>0</v>
      </c>
      <c r="F58" s="277">
        <v>0</v>
      </c>
      <c r="G58" s="277">
        <v>0</v>
      </c>
      <c r="H58" s="277">
        <v>0</v>
      </c>
      <c r="I58" s="277">
        <v>0</v>
      </c>
      <c r="J58" s="277">
        <v>0</v>
      </c>
      <c r="K58" s="277">
        <v>0</v>
      </c>
      <c r="L58" s="1194">
        <v>0.10317276383790089</v>
      </c>
      <c r="M58" s="220"/>
      <c r="N58" s="220" t="s">
        <v>6458</v>
      </c>
      <c r="O58" s="1203">
        <v>0.91793425116209904</v>
      </c>
      <c r="P58" s="220">
        <v>185.1</v>
      </c>
      <c r="Q58" s="220">
        <v>0</v>
      </c>
      <c r="R58" s="220"/>
      <c r="S58" s="220"/>
      <c r="T58" s="220"/>
      <c r="U58" s="220"/>
      <c r="V58" s="220"/>
    </row>
    <row r="59" spans="1:22">
      <c r="A59" s="220" t="s">
        <v>482</v>
      </c>
      <c r="B59" s="277">
        <v>0</v>
      </c>
      <c r="C59" s="277">
        <v>0</v>
      </c>
      <c r="D59" s="277">
        <v>0</v>
      </c>
      <c r="E59" s="277">
        <v>0</v>
      </c>
      <c r="F59" s="277">
        <v>0</v>
      </c>
      <c r="G59" s="277">
        <v>0</v>
      </c>
      <c r="H59" s="277">
        <v>0</v>
      </c>
      <c r="I59" s="1191">
        <v>22.470786887999999</v>
      </c>
      <c r="J59" s="1191">
        <v>2229.8918400309999</v>
      </c>
      <c r="K59" s="1191">
        <v>-1911.930587201</v>
      </c>
      <c r="L59" s="1194">
        <v>0.10253211443061497</v>
      </c>
      <c r="M59" s="220"/>
      <c r="N59" s="220" t="s">
        <v>6461</v>
      </c>
      <c r="O59" s="1203">
        <v>0.97755716442117768</v>
      </c>
      <c r="P59" s="220">
        <v>8.1</v>
      </c>
      <c r="Q59" s="220">
        <v>1.5</v>
      </c>
      <c r="R59" s="220"/>
      <c r="S59" s="220"/>
      <c r="T59" s="220"/>
      <c r="U59" s="220"/>
      <c r="V59" s="220"/>
    </row>
    <row r="60" spans="1:22">
      <c r="A60" s="220" t="s">
        <v>4329</v>
      </c>
      <c r="B60" s="277">
        <v>0</v>
      </c>
      <c r="C60" s="277">
        <v>0</v>
      </c>
      <c r="D60" s="277">
        <v>0</v>
      </c>
      <c r="E60" s="277">
        <v>0</v>
      </c>
      <c r="F60" s="277">
        <v>0</v>
      </c>
      <c r="G60" s="277">
        <v>0</v>
      </c>
      <c r="H60" s="1191">
        <v>-1.54E-7</v>
      </c>
      <c r="I60" s="1191">
        <v>1.9173980000000001E-3</v>
      </c>
      <c r="J60" s="1191">
        <v>5.4419935410000004</v>
      </c>
      <c r="K60" s="1191">
        <v>1486.0359066650001</v>
      </c>
      <c r="L60" s="1194">
        <v>0.50282619477457702</v>
      </c>
      <c r="M60" s="220"/>
      <c r="N60" s="220" t="s">
        <v>6466</v>
      </c>
      <c r="O60" s="1203">
        <v>0.92001161728168235</v>
      </c>
      <c r="P60" s="220">
        <v>6001</v>
      </c>
      <c r="Q60" s="220">
        <v>0</v>
      </c>
      <c r="R60" s="220"/>
      <c r="S60" s="220"/>
      <c r="T60" s="220"/>
      <c r="U60" s="220"/>
      <c r="V60" s="220"/>
    </row>
    <row r="61" spans="1:22">
      <c r="A61" s="220" t="s">
        <v>4129</v>
      </c>
      <c r="B61" s="277">
        <v>0</v>
      </c>
      <c r="C61" s="277">
        <v>0</v>
      </c>
      <c r="D61" s="277">
        <v>0</v>
      </c>
      <c r="E61" s="277">
        <v>0</v>
      </c>
      <c r="F61" s="277">
        <v>0</v>
      </c>
      <c r="G61" s="277">
        <v>0</v>
      </c>
      <c r="H61" s="277">
        <v>0</v>
      </c>
      <c r="I61" s="1191">
        <v>43.739370735000001</v>
      </c>
      <c r="J61" s="1191">
        <v>186.790998664</v>
      </c>
      <c r="K61" s="1191">
        <v>114.073407746</v>
      </c>
      <c r="L61" s="1194">
        <v>0.22117751729640323</v>
      </c>
      <c r="M61" s="220"/>
      <c r="N61" s="220" t="s">
        <v>6441</v>
      </c>
      <c r="O61" s="1203">
        <v>0.98072611838110124</v>
      </c>
      <c r="P61" s="220">
        <v>48.1</v>
      </c>
      <c r="Q61" s="220">
        <v>0</v>
      </c>
      <c r="R61" s="220"/>
      <c r="S61" s="220"/>
      <c r="T61" s="220"/>
      <c r="U61" s="220"/>
      <c r="V61" s="220"/>
    </row>
    <row r="62" spans="1:22">
      <c r="A62" s="220" t="s">
        <v>5143</v>
      </c>
      <c r="B62" s="1191">
        <v>57.021589231</v>
      </c>
      <c r="C62" s="1191">
        <v>0.72932539100000005</v>
      </c>
      <c r="D62" s="277">
        <v>0</v>
      </c>
      <c r="E62" s="277">
        <v>0</v>
      </c>
      <c r="F62" s="277">
        <v>0</v>
      </c>
      <c r="G62" s="277">
        <v>0</v>
      </c>
      <c r="H62" s="277">
        <v>0</v>
      </c>
      <c r="I62" s="277">
        <v>0</v>
      </c>
      <c r="J62" s="277">
        <v>0</v>
      </c>
      <c r="K62" s="277">
        <v>0</v>
      </c>
      <c r="L62" s="1194">
        <v>6.872076181729754E-2</v>
      </c>
      <c r="M62" s="220"/>
      <c r="N62" s="220" t="s">
        <v>6418</v>
      </c>
      <c r="O62" s="1203">
        <v>0.99494997588312595</v>
      </c>
      <c r="P62" s="220">
        <v>30001</v>
      </c>
      <c r="Q62" s="220">
        <v>0</v>
      </c>
      <c r="R62" s="220"/>
      <c r="S62" s="220"/>
      <c r="T62" s="220"/>
      <c r="U62" s="220"/>
      <c r="V62" s="220"/>
    </row>
    <row r="63" spans="1:22">
      <c r="A63" s="220" t="s">
        <v>2779</v>
      </c>
      <c r="B63" s="1191">
        <v>2305.9222008940001</v>
      </c>
      <c r="C63" s="1191">
        <v>0.140989643</v>
      </c>
      <c r="D63" s="277">
        <v>0</v>
      </c>
      <c r="E63" s="277">
        <v>0</v>
      </c>
      <c r="F63" s="277">
        <v>0</v>
      </c>
      <c r="G63" s="277">
        <v>0</v>
      </c>
      <c r="H63" s="277">
        <v>0</v>
      </c>
      <c r="I63" s="277">
        <v>0</v>
      </c>
      <c r="J63" s="277">
        <v>0</v>
      </c>
      <c r="K63" s="277">
        <v>0</v>
      </c>
      <c r="L63" s="1194">
        <v>0.19379304652600138</v>
      </c>
      <c r="M63" s="220"/>
      <c r="N63" s="220" t="s">
        <v>6448</v>
      </c>
      <c r="O63" s="1203">
        <v>0.40093386922936991</v>
      </c>
      <c r="P63" s="220">
        <v>21.01</v>
      </c>
      <c r="Q63" s="220">
        <v>0</v>
      </c>
      <c r="R63" s="220"/>
      <c r="S63" s="220"/>
      <c r="T63" s="220"/>
      <c r="U63" s="220"/>
      <c r="V63" s="220"/>
    </row>
    <row r="64" spans="1:22">
      <c r="A64" s="220" t="s">
        <v>1481</v>
      </c>
      <c r="B64" s="1191">
        <v>271.98316458599999</v>
      </c>
      <c r="C64" s="1191">
        <v>0.92578415199999997</v>
      </c>
      <c r="D64" s="277">
        <v>0</v>
      </c>
      <c r="E64" s="277">
        <v>0</v>
      </c>
      <c r="F64" s="277">
        <v>0</v>
      </c>
      <c r="G64" s="277">
        <v>0</v>
      </c>
      <c r="H64" s="277">
        <v>0</v>
      </c>
      <c r="I64" s="277">
        <v>0</v>
      </c>
      <c r="J64" s="277">
        <v>0</v>
      </c>
      <c r="K64" s="277">
        <v>0</v>
      </c>
      <c r="L64" s="1194">
        <v>0.19376804452462798</v>
      </c>
      <c r="M64" s="220"/>
      <c r="N64" s="220" t="s">
        <v>6436</v>
      </c>
      <c r="O64" s="1203">
        <v>0.8807162518733741</v>
      </c>
      <c r="P64" s="220">
        <v>12.1</v>
      </c>
      <c r="Q64" s="220">
        <v>0</v>
      </c>
      <c r="R64" s="220"/>
      <c r="S64" s="220"/>
      <c r="T64" s="220"/>
      <c r="U64" s="220"/>
      <c r="V64" s="220"/>
    </row>
    <row r="65" spans="1:22">
      <c r="A65" s="220" t="s">
        <v>2778</v>
      </c>
      <c r="B65" s="277">
        <v>0</v>
      </c>
      <c r="C65" s="277">
        <v>0</v>
      </c>
      <c r="D65" s="277">
        <v>0</v>
      </c>
      <c r="E65" s="277">
        <v>0</v>
      </c>
      <c r="F65" s="277">
        <v>0</v>
      </c>
      <c r="G65" s="277">
        <v>0</v>
      </c>
      <c r="H65" s="277">
        <v>0</v>
      </c>
      <c r="I65" s="1191">
        <v>-0.19761578099999999</v>
      </c>
      <c r="J65" s="1191">
        <v>60.928056216999998</v>
      </c>
      <c r="K65" s="1191">
        <v>3430.8004552430002</v>
      </c>
      <c r="L65" s="1194">
        <v>5.3382527173068531E-2</v>
      </c>
      <c r="M65" s="220"/>
      <c r="N65" s="220" t="s">
        <v>6446</v>
      </c>
      <c r="O65" s="1203">
        <v>0.97321402756132269</v>
      </c>
      <c r="P65" s="220">
        <v>132.01</v>
      </c>
      <c r="Q65" s="220">
        <v>0</v>
      </c>
      <c r="R65" s="220"/>
      <c r="S65" s="220"/>
      <c r="T65" s="220"/>
      <c r="U65" s="220"/>
      <c r="V65" s="220"/>
    </row>
    <row r="66" spans="1:22">
      <c r="A66" s="220" t="s">
        <v>2248</v>
      </c>
      <c r="B66" s="277">
        <v>0</v>
      </c>
      <c r="C66" s="277">
        <v>0</v>
      </c>
      <c r="D66" s="277">
        <v>0</v>
      </c>
      <c r="E66" s="277">
        <v>0</v>
      </c>
      <c r="F66" s="277">
        <v>0</v>
      </c>
      <c r="G66" s="277">
        <v>0</v>
      </c>
      <c r="H66" s="1191">
        <v>1.4813451259999999</v>
      </c>
      <c r="I66" s="1191">
        <v>44.575825872999999</v>
      </c>
      <c r="J66" s="1191">
        <v>-42.850924452000001</v>
      </c>
      <c r="K66" s="1191">
        <v>1429.5852851469999</v>
      </c>
      <c r="L66" s="1194">
        <v>0.27548354444948392</v>
      </c>
      <c r="M66" s="220"/>
      <c r="N66" s="220" t="s">
        <v>6430</v>
      </c>
      <c r="O66" s="1203">
        <v>0.93859465845858792</v>
      </c>
      <c r="P66" s="220">
        <v>48.1</v>
      </c>
      <c r="Q66" s="220">
        <v>0</v>
      </c>
      <c r="R66" s="220"/>
      <c r="S66" s="220"/>
      <c r="T66" s="220"/>
      <c r="U66" s="220"/>
      <c r="V66" s="220"/>
    </row>
    <row r="67" spans="1:22">
      <c r="A67" s="220" t="s">
        <v>2481</v>
      </c>
      <c r="B67" s="277">
        <v>0</v>
      </c>
      <c r="C67" s="277">
        <v>0</v>
      </c>
      <c r="D67" s="277">
        <v>0</v>
      </c>
      <c r="E67" s="277">
        <v>0</v>
      </c>
      <c r="F67" s="277">
        <v>0</v>
      </c>
      <c r="G67" s="277">
        <v>0</v>
      </c>
      <c r="H67" s="1191">
        <v>4.8585111E-2</v>
      </c>
      <c r="I67" s="1191">
        <v>-2.5845256220000001</v>
      </c>
      <c r="J67" s="1191">
        <v>58.928328317999998</v>
      </c>
      <c r="K67" s="1191">
        <v>-12.466035675000001</v>
      </c>
      <c r="L67" s="1194">
        <v>0.25605913422579951</v>
      </c>
      <c r="M67" s="220"/>
      <c r="N67" s="220" t="s">
        <v>6424</v>
      </c>
      <c r="O67" s="1203">
        <v>0.93646598728443631</v>
      </c>
      <c r="P67" s="220">
        <v>48.1</v>
      </c>
      <c r="Q67" s="220">
        <v>0</v>
      </c>
      <c r="R67" s="220"/>
      <c r="S67" s="220"/>
      <c r="T67" s="220"/>
      <c r="U67" s="220"/>
      <c r="V67" s="220"/>
    </row>
    <row r="68" spans="1:22">
      <c r="A68" s="220" t="s">
        <v>457</v>
      </c>
      <c r="B68" s="1191">
        <v>308.93713092600001</v>
      </c>
      <c r="C68" s="1191">
        <v>0.50146757099999995</v>
      </c>
      <c r="D68" s="277">
        <v>0</v>
      </c>
      <c r="E68" s="277">
        <v>0</v>
      </c>
      <c r="F68" s="277">
        <v>0</v>
      </c>
      <c r="G68" s="277">
        <v>0</v>
      </c>
      <c r="H68" s="277">
        <v>0</v>
      </c>
      <c r="I68" s="277">
        <v>0</v>
      </c>
      <c r="J68" s="277">
        <v>0</v>
      </c>
      <c r="K68" s="277">
        <v>0</v>
      </c>
      <c r="L68" s="1194">
        <v>0.20490922198574954</v>
      </c>
      <c r="M68" s="220"/>
      <c r="N68" s="220" t="s">
        <v>6413</v>
      </c>
      <c r="O68" s="1203">
        <v>0.95117028776390522</v>
      </c>
      <c r="P68" s="220">
        <v>289001</v>
      </c>
      <c r="Q68" s="220">
        <v>0</v>
      </c>
      <c r="R68" s="220"/>
      <c r="S68" s="220"/>
      <c r="T68" s="220"/>
      <c r="U68" s="220"/>
      <c r="V68" s="220"/>
    </row>
    <row r="69" spans="1:22">
      <c r="A69" s="220" t="s">
        <v>2245</v>
      </c>
      <c r="B69" s="1191">
        <v>20.769417377</v>
      </c>
      <c r="C69" s="1191">
        <v>0.92382198999999998</v>
      </c>
      <c r="D69" s="277">
        <v>0</v>
      </c>
      <c r="E69" s="277">
        <v>0</v>
      </c>
      <c r="F69" s="277">
        <v>0</v>
      </c>
      <c r="G69" s="277">
        <v>0</v>
      </c>
      <c r="H69" s="277">
        <v>0</v>
      </c>
      <c r="I69" s="277">
        <v>0</v>
      </c>
      <c r="J69" s="277">
        <v>0</v>
      </c>
      <c r="K69" s="277">
        <v>0</v>
      </c>
      <c r="L69" s="1194">
        <v>0.42911927902362179</v>
      </c>
      <c r="M69" s="220"/>
      <c r="N69" s="220" t="s">
        <v>6425</v>
      </c>
      <c r="O69" s="1203">
        <v>0.39930452928082849</v>
      </c>
      <c r="P69" s="220">
        <v>48.1</v>
      </c>
      <c r="Q69" s="220">
        <v>0</v>
      </c>
      <c r="R69" s="220"/>
      <c r="S69" s="220"/>
      <c r="T69" s="220"/>
      <c r="U69" s="220"/>
      <c r="V69" s="220"/>
    </row>
    <row r="70" spans="1:22">
      <c r="A70" s="220" t="s">
        <v>3714</v>
      </c>
      <c r="B70" s="277">
        <v>0</v>
      </c>
      <c r="C70" s="277">
        <v>0</v>
      </c>
      <c r="D70" s="277">
        <v>0</v>
      </c>
      <c r="E70" s="277">
        <v>0</v>
      </c>
      <c r="F70" s="277">
        <v>0</v>
      </c>
      <c r="G70" s="277">
        <v>0</v>
      </c>
      <c r="H70" s="1191">
        <v>-8.9659137E-2</v>
      </c>
      <c r="I70" s="1191">
        <v>7.3814192910000003</v>
      </c>
      <c r="J70" s="1191">
        <v>135.40877886999999</v>
      </c>
      <c r="K70" s="1191">
        <v>2010.462068774</v>
      </c>
      <c r="L70" s="1194">
        <v>7.9589033678493251E-2</v>
      </c>
      <c r="M70" s="220"/>
      <c r="N70" s="220" t="s">
        <v>6463</v>
      </c>
      <c r="O70" s="1203">
        <v>0.98202299755210409</v>
      </c>
      <c r="P70" s="220">
        <v>48.1</v>
      </c>
      <c r="Q70" s="220">
        <v>0</v>
      </c>
      <c r="R70" s="220"/>
      <c r="S70" s="220"/>
      <c r="T70" s="220"/>
      <c r="U70" s="220"/>
      <c r="V70" s="220"/>
    </row>
  </sheetData>
  <sortState xmlns:xlrd2="http://schemas.microsoft.com/office/spreadsheetml/2017/richdata2" ref="A7:Q70">
    <sortCondition ref="A7:A70"/>
  </sortState>
  <phoneticPr fontId="70" type="noConversion"/>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FE25-5B8B-4DC7-BC86-3F34CBB05580}">
  <dimension ref="A1:O343"/>
  <sheetViews>
    <sheetView workbookViewId="0">
      <pane ySplit="2" topLeftCell="A3" activePane="bottomLeft" state="frozen"/>
      <selection pane="bottomLeft"/>
    </sheetView>
  </sheetViews>
  <sheetFormatPr baseColWidth="10" defaultColWidth="9.1640625" defaultRowHeight="13"/>
  <cols>
    <col min="1" max="1" width="39.6640625" style="555" customWidth="1"/>
    <col min="2" max="2" width="28.6640625" style="555" customWidth="1"/>
    <col min="3" max="3" width="16.5" style="555" customWidth="1"/>
    <col min="4" max="4" width="22" style="555" customWidth="1"/>
    <col min="5" max="5" width="11.5" style="555" customWidth="1"/>
    <col min="6" max="7" width="11.6640625" style="555" customWidth="1"/>
    <col min="8" max="16384" width="9.1640625" style="555"/>
  </cols>
  <sheetData>
    <row r="1" spans="1:8">
      <c r="A1" s="63" t="s">
        <v>6184</v>
      </c>
    </row>
    <row r="2" spans="1:8">
      <c r="A2" s="976" t="s">
        <v>6500</v>
      </c>
    </row>
    <row r="4" spans="1:8" s="220" customFormat="1">
      <c r="A4" s="63" t="s">
        <v>6185</v>
      </c>
      <c r="B4" s="633"/>
      <c r="C4" s="633"/>
      <c r="D4" s="633"/>
      <c r="E4" s="633"/>
    </row>
    <row r="5" spans="1:8" s="220" customFormat="1">
      <c r="A5" s="220" t="s">
        <v>6186</v>
      </c>
      <c r="B5" s="220" t="s">
        <v>6187</v>
      </c>
      <c r="C5" s="220" t="s">
        <v>6188</v>
      </c>
    </row>
    <row r="6" spans="1:8" s="220" customFormat="1">
      <c r="A6" s="1189">
        <v>0</v>
      </c>
      <c r="B6" s="220" t="s">
        <v>6189</v>
      </c>
      <c r="C6" s="1190">
        <v>0.09</v>
      </c>
    </row>
    <row r="7" spans="1:8" s="220" customFormat="1">
      <c r="A7" s="1189">
        <v>250000</v>
      </c>
      <c r="B7" s="220" t="s">
        <v>6190</v>
      </c>
      <c r="C7" s="1190">
        <v>0.08</v>
      </c>
    </row>
    <row r="8" spans="1:8" s="220" customFormat="1">
      <c r="A8" s="1189">
        <v>500000</v>
      </c>
      <c r="B8" s="220" t="s">
        <v>6191</v>
      </c>
      <c r="C8" s="1190">
        <v>7.0000000000000007E-2</v>
      </c>
    </row>
    <row r="9" spans="1:8" s="220" customFormat="1">
      <c r="A9" s="1189">
        <v>1000000</v>
      </c>
      <c r="B9" s="220" t="s">
        <v>6192</v>
      </c>
      <c r="C9" s="1190">
        <v>6.2E-2</v>
      </c>
    </row>
    <row r="10" spans="1:8" s="220" customFormat="1">
      <c r="A10" s="1189">
        <v>5000000</v>
      </c>
      <c r="B10" s="220" t="s">
        <v>6193</v>
      </c>
      <c r="C10" s="1190">
        <v>5.2999999999999999E-2</v>
      </c>
    </row>
    <row r="11" spans="1:8" s="220" customFormat="1">
      <c r="A11" s="1189">
        <v>10000000</v>
      </c>
      <c r="B11" s="220" t="s">
        <v>6194</v>
      </c>
      <c r="C11" s="1190">
        <v>4.9000000000000002E-2</v>
      </c>
    </row>
    <row r="12" spans="1:8" s="220" customFormat="1">
      <c r="A12" s="1189">
        <v>50000000</v>
      </c>
      <c r="B12" s="220" t="s">
        <v>6195</v>
      </c>
      <c r="C12" s="1190">
        <v>4.4999999999999998E-2</v>
      </c>
    </row>
    <row r="15" spans="1:8" s="220" customFormat="1">
      <c r="A15" s="63" t="s">
        <v>6196</v>
      </c>
      <c r="E15" s="1170"/>
      <c r="F15" s="1170"/>
      <c r="H15" s="46" t="s">
        <v>6197</v>
      </c>
    </row>
    <row r="16" spans="1:8" s="220" customFormat="1">
      <c r="A16" s="538" t="s">
        <v>6198</v>
      </c>
      <c r="B16" s="538" t="s">
        <v>6199</v>
      </c>
      <c r="C16" s="538" t="s">
        <v>6200</v>
      </c>
      <c r="D16" s="538" t="s">
        <v>6201</v>
      </c>
      <c r="E16" s="538" t="s">
        <v>6202</v>
      </c>
      <c r="F16" s="538" t="s">
        <v>6203</v>
      </c>
      <c r="G16" s="538" t="s">
        <v>6204</v>
      </c>
      <c r="H16" s="538"/>
    </row>
    <row r="17" spans="1:8" s="220" customFormat="1">
      <c r="A17" s="220">
        <v>0</v>
      </c>
      <c r="B17" s="220">
        <v>0.05</v>
      </c>
      <c r="C17" s="466">
        <v>15</v>
      </c>
      <c r="D17" s="466">
        <v>15</v>
      </c>
      <c r="E17" s="1191">
        <v>1.25</v>
      </c>
      <c r="F17" s="1191">
        <v>1.25</v>
      </c>
      <c r="G17" s="1191">
        <v>1</v>
      </c>
      <c r="H17" s="1191"/>
    </row>
    <row r="18" spans="1:8" s="220" customFormat="1">
      <c r="A18" s="220">
        <v>5.0999999999999997E-2</v>
      </c>
      <c r="B18" s="220">
        <v>0.1</v>
      </c>
      <c r="C18" s="466">
        <v>15</v>
      </c>
      <c r="D18" s="466">
        <v>15</v>
      </c>
      <c r="E18" s="1191">
        <v>1.25</v>
      </c>
      <c r="F18" s="1191">
        <v>1.25</v>
      </c>
      <c r="G18" s="1191">
        <v>1</v>
      </c>
      <c r="H18" s="1191"/>
    </row>
    <row r="19" spans="1:8" s="220" customFormat="1">
      <c r="A19" s="220">
        <v>0.10100000000000001</v>
      </c>
      <c r="B19" s="220">
        <v>0.2</v>
      </c>
      <c r="C19" s="466">
        <v>18</v>
      </c>
      <c r="D19" s="466">
        <v>18</v>
      </c>
      <c r="E19" s="1191">
        <v>1.5</v>
      </c>
      <c r="F19" s="1191">
        <v>1.5</v>
      </c>
      <c r="G19" s="1191">
        <v>1</v>
      </c>
      <c r="H19" s="1191"/>
    </row>
    <row r="20" spans="1:8" s="220" customFormat="1">
      <c r="A20" s="220">
        <v>0.20100000000000001</v>
      </c>
      <c r="B20" s="220">
        <v>0.5</v>
      </c>
      <c r="C20" s="466">
        <v>25</v>
      </c>
      <c r="D20" s="466">
        <v>25</v>
      </c>
      <c r="E20" s="1191">
        <v>2.0833333333333335</v>
      </c>
      <c r="F20" s="1191">
        <v>2.0833333333333335</v>
      </c>
      <c r="G20" s="1191">
        <v>3</v>
      </c>
      <c r="H20" s="1191"/>
    </row>
    <row r="21" spans="1:8" s="220" customFormat="1">
      <c r="A21" s="220">
        <v>0.501</v>
      </c>
      <c r="B21" s="220">
        <v>1</v>
      </c>
      <c r="C21" s="466">
        <v>32</v>
      </c>
      <c r="D21" s="466">
        <v>32</v>
      </c>
      <c r="E21" s="1191">
        <v>2.6666666666666665</v>
      </c>
      <c r="F21" s="1191">
        <v>2.6666666666666665</v>
      </c>
      <c r="G21" s="1191">
        <v>5</v>
      </c>
      <c r="H21" s="1191"/>
    </row>
    <row r="22" spans="1:8" s="220" customFormat="1">
      <c r="A22" s="220">
        <v>1.0009999999999999</v>
      </c>
      <c r="B22" s="220">
        <v>2</v>
      </c>
      <c r="C22" s="466">
        <v>42</v>
      </c>
      <c r="D22" s="466">
        <v>42</v>
      </c>
      <c r="E22" s="1191">
        <v>3.5</v>
      </c>
      <c r="F22" s="1191">
        <v>3.5</v>
      </c>
      <c r="G22" s="1191">
        <v>8</v>
      </c>
      <c r="H22" s="1191"/>
    </row>
    <row r="23" spans="1:8" s="220" customFormat="1">
      <c r="A23" s="220">
        <v>2.0009999999999999</v>
      </c>
      <c r="B23" s="220">
        <v>5</v>
      </c>
      <c r="C23" s="466">
        <v>92.95</v>
      </c>
      <c r="D23" s="466">
        <v>22</v>
      </c>
      <c r="E23" s="1191">
        <v>7.7458333333333336</v>
      </c>
      <c r="F23" s="1191">
        <v>1.8333333333333333</v>
      </c>
      <c r="G23" s="1191">
        <v>20</v>
      </c>
      <c r="H23" s="1191"/>
    </row>
    <row r="26" spans="1:8" s="220" customFormat="1">
      <c r="A26" s="63" t="s">
        <v>6205</v>
      </c>
    </row>
    <row r="27" spans="1:8" s="220" customFormat="1">
      <c r="A27" s="554" t="s">
        <v>5693</v>
      </c>
      <c r="B27" s="554" t="s">
        <v>6206</v>
      </c>
      <c r="C27" s="554" t="s">
        <v>2961</v>
      </c>
    </row>
    <row r="28" spans="1:8" s="220" customFormat="1" ht="14">
      <c r="A28" s="633" t="s">
        <v>5701</v>
      </c>
      <c r="B28" s="455">
        <v>50000</v>
      </c>
      <c r="C28" s="633" t="s">
        <v>4312</v>
      </c>
      <c r="D28" s="1192" t="s">
        <v>6207</v>
      </c>
      <c r="E28" s="1192"/>
    </row>
    <row r="29" spans="1:8" s="220" customFormat="1" ht="14">
      <c r="A29" s="633" t="s">
        <v>6208</v>
      </c>
      <c r="B29" s="455">
        <v>50000</v>
      </c>
      <c r="C29" s="633" t="s">
        <v>4312</v>
      </c>
      <c r="D29" s="1192" t="s">
        <v>6209</v>
      </c>
      <c r="E29" s="1192"/>
    </row>
    <row r="30" spans="1:8" s="220" customFormat="1" ht="14">
      <c r="A30" s="633" t="s">
        <v>5702</v>
      </c>
      <c r="B30" s="455">
        <v>0</v>
      </c>
      <c r="C30" s="633" t="s">
        <v>4312</v>
      </c>
      <c r="D30" s="1192" t="s">
        <v>6210</v>
      </c>
    </row>
    <row r="31" spans="1:8" s="220" customFormat="1" ht="14">
      <c r="A31" s="633" t="s">
        <v>5703</v>
      </c>
      <c r="B31" s="455">
        <v>2000</v>
      </c>
      <c r="C31" s="633" t="s">
        <v>4312</v>
      </c>
      <c r="D31" s="1192" t="s">
        <v>6211</v>
      </c>
    </row>
    <row r="32" spans="1:8" s="220" customFormat="1" ht="14">
      <c r="A32" s="633" t="s">
        <v>6212</v>
      </c>
      <c r="B32" s="455">
        <v>2000</v>
      </c>
      <c r="C32" s="633" t="s">
        <v>4312</v>
      </c>
      <c r="D32" s="1192" t="s">
        <v>6209</v>
      </c>
    </row>
    <row r="33" spans="1:4" s="220" customFormat="1" ht="14">
      <c r="A33" s="633" t="s">
        <v>5704</v>
      </c>
      <c r="B33" s="455">
        <v>0</v>
      </c>
      <c r="C33" s="633" t="s">
        <v>4312</v>
      </c>
      <c r="D33" s="1192" t="s">
        <v>6213</v>
      </c>
    </row>
    <row r="34" spans="1:4" s="220" customFormat="1" ht="14">
      <c r="A34" s="633" t="s">
        <v>5710</v>
      </c>
      <c r="B34" s="455">
        <v>2000</v>
      </c>
      <c r="C34" s="633" t="s">
        <v>4312</v>
      </c>
      <c r="D34" s="1192" t="s">
        <v>6214</v>
      </c>
    </row>
    <row r="35" spans="1:4" s="220" customFormat="1" ht="14">
      <c r="A35" s="633" t="s">
        <v>5711</v>
      </c>
      <c r="B35" s="455">
        <v>500</v>
      </c>
      <c r="C35" s="633" t="s">
        <v>4312</v>
      </c>
      <c r="D35" s="1192" t="s">
        <v>6215</v>
      </c>
    </row>
    <row r="36" spans="1:4" s="220" customFormat="1" ht="14">
      <c r="A36" s="633" t="s">
        <v>5712</v>
      </c>
      <c r="B36" s="455">
        <v>0</v>
      </c>
      <c r="C36" s="633" t="s">
        <v>4312</v>
      </c>
      <c r="D36" s="1192" t="s">
        <v>6216</v>
      </c>
    </row>
    <row r="37" spans="1:4" s="220" customFormat="1" ht="14">
      <c r="A37" s="633" t="s">
        <v>5713</v>
      </c>
      <c r="B37" s="455">
        <v>17710</v>
      </c>
      <c r="C37" s="633" t="s">
        <v>4312</v>
      </c>
      <c r="D37" s="1192" t="s">
        <v>6217</v>
      </c>
    </row>
    <row r="38" spans="1:4" s="220" customFormat="1" ht="14">
      <c r="A38" s="633" t="s">
        <v>5714</v>
      </c>
      <c r="B38" s="455">
        <v>1771</v>
      </c>
      <c r="C38" s="633" t="s">
        <v>4312</v>
      </c>
      <c r="D38" s="1192" t="s">
        <v>6218</v>
      </c>
    </row>
    <row r="39" spans="1:4" s="220" customFormat="1" ht="14">
      <c r="A39" s="633" t="s">
        <v>5715</v>
      </c>
      <c r="B39" s="455">
        <v>0</v>
      </c>
      <c r="C39" s="633" t="s">
        <v>4312</v>
      </c>
      <c r="D39" s="1192" t="s">
        <v>6219</v>
      </c>
    </row>
    <row r="40" spans="1:4" s="220" customFormat="1" ht="14">
      <c r="A40" s="633" t="s">
        <v>5716</v>
      </c>
      <c r="B40" s="455">
        <v>50000</v>
      </c>
      <c r="C40" s="633" t="s">
        <v>4312</v>
      </c>
      <c r="D40" s="1192" t="s">
        <v>6220</v>
      </c>
    </row>
    <row r="41" spans="1:4" s="220" customFormat="1" ht="14">
      <c r="A41" s="633" t="s">
        <v>6221</v>
      </c>
      <c r="B41" s="455">
        <v>50000</v>
      </c>
      <c r="C41" s="633" t="s">
        <v>4312</v>
      </c>
      <c r="D41" s="1192" t="s">
        <v>6209</v>
      </c>
    </row>
    <row r="42" spans="1:4" s="220" customFormat="1" ht="14">
      <c r="A42" s="633" t="s">
        <v>5717</v>
      </c>
      <c r="B42" s="455">
        <v>0</v>
      </c>
      <c r="C42" s="633" t="s">
        <v>4312</v>
      </c>
      <c r="D42" s="1192" t="s">
        <v>6222</v>
      </c>
    </row>
    <row r="43" spans="1:4" s="220" customFormat="1" ht="14">
      <c r="A43" s="633" t="s">
        <v>5718</v>
      </c>
      <c r="B43" s="1193">
        <v>1</v>
      </c>
      <c r="C43" s="633" t="s">
        <v>1846</v>
      </c>
      <c r="D43" s="1192" t="s">
        <v>6223</v>
      </c>
    </row>
    <row r="44" spans="1:4" s="220" customFormat="1" ht="14">
      <c r="A44" s="633" t="s">
        <v>5719</v>
      </c>
      <c r="B44" s="1193">
        <v>0.5</v>
      </c>
      <c r="C44" s="633" t="s">
        <v>1846</v>
      </c>
      <c r="D44" s="1192" t="s">
        <v>6224</v>
      </c>
    </row>
    <row r="45" spans="1:4" s="220" customFormat="1" ht="14">
      <c r="A45" s="633" t="s">
        <v>5720</v>
      </c>
      <c r="B45" s="455">
        <v>0</v>
      </c>
      <c r="C45" s="633" t="s">
        <v>1846</v>
      </c>
      <c r="D45" s="1192" t="s">
        <v>6225</v>
      </c>
    </row>
    <row r="46" spans="1:4" s="220" customFormat="1" ht="14">
      <c r="A46" s="633" t="s">
        <v>5723</v>
      </c>
      <c r="B46" s="455">
        <v>44000</v>
      </c>
      <c r="C46" s="633" t="s">
        <v>4312</v>
      </c>
      <c r="D46" s="1192" t="s">
        <v>6226</v>
      </c>
    </row>
    <row r="47" spans="1:4" s="220" customFormat="1" ht="14">
      <c r="A47" s="633" t="s">
        <v>5724</v>
      </c>
      <c r="B47" s="455">
        <v>3621.75</v>
      </c>
      <c r="C47" s="633" t="s">
        <v>4312</v>
      </c>
      <c r="D47" s="1192" t="s">
        <v>6227</v>
      </c>
    </row>
    <row r="48" spans="1:4" s="220" customFormat="1" ht="14">
      <c r="A48" s="633" t="s">
        <v>5725</v>
      </c>
      <c r="B48" s="455">
        <v>0</v>
      </c>
      <c r="C48" s="633" t="s">
        <v>4312</v>
      </c>
      <c r="D48" s="1192"/>
    </row>
    <row r="49" spans="1:4" s="220" customFormat="1" ht="14">
      <c r="A49" s="633" t="s">
        <v>5726</v>
      </c>
      <c r="B49" s="455">
        <v>44000</v>
      </c>
      <c r="C49" s="633" t="s">
        <v>4312</v>
      </c>
      <c r="D49" s="1192" t="s">
        <v>6226</v>
      </c>
    </row>
    <row r="50" spans="1:4" s="220" customFormat="1" ht="14">
      <c r="A50" s="633" t="s">
        <v>6228</v>
      </c>
      <c r="B50" s="455">
        <v>44000</v>
      </c>
      <c r="C50" s="633" t="s">
        <v>4312</v>
      </c>
      <c r="D50" s="1192" t="s">
        <v>6209</v>
      </c>
    </row>
    <row r="51" spans="1:4" s="220" customFormat="1" ht="14">
      <c r="A51" s="633" t="s">
        <v>5727</v>
      </c>
      <c r="B51" s="455">
        <v>0</v>
      </c>
      <c r="C51" s="633" t="s">
        <v>4312</v>
      </c>
      <c r="D51" s="1192"/>
    </row>
    <row r="52" spans="1:4" s="220" customFormat="1" ht="14">
      <c r="A52" s="633" t="s">
        <v>5728</v>
      </c>
      <c r="B52" s="455">
        <v>19800</v>
      </c>
      <c r="C52" s="220" t="s">
        <v>4312</v>
      </c>
      <c r="D52" s="1192" t="s">
        <v>6229</v>
      </c>
    </row>
    <row r="53" spans="1:4" s="220" customFormat="1" ht="14">
      <c r="A53" s="633" t="s">
        <v>6230</v>
      </c>
      <c r="B53" s="455">
        <v>5445</v>
      </c>
      <c r="C53" s="220" t="s">
        <v>4312</v>
      </c>
      <c r="D53" s="1192" t="s">
        <v>6209</v>
      </c>
    </row>
    <row r="54" spans="1:4" s="220" customFormat="1" ht="14">
      <c r="A54" s="633" t="s">
        <v>5729</v>
      </c>
      <c r="B54" s="455">
        <v>0</v>
      </c>
      <c r="C54" s="220" t="s">
        <v>4312</v>
      </c>
      <c r="D54" s="1192" t="s">
        <v>6231</v>
      </c>
    </row>
    <row r="55" spans="1:4" s="220" customFormat="1" ht="14">
      <c r="A55" s="220" t="s">
        <v>5735</v>
      </c>
      <c r="B55" s="455">
        <v>27500</v>
      </c>
      <c r="C55" s="220" t="s">
        <v>4312</v>
      </c>
      <c r="D55" s="1192" t="s">
        <v>6232</v>
      </c>
    </row>
    <row r="56" spans="1:4" s="220" customFormat="1" ht="14">
      <c r="A56" s="220" t="s">
        <v>5736</v>
      </c>
      <c r="B56" s="455">
        <v>5000</v>
      </c>
      <c r="C56" s="220" t="s">
        <v>4312</v>
      </c>
      <c r="D56" s="1192" t="s">
        <v>6233</v>
      </c>
    </row>
    <row r="57" spans="1:4" s="220" customFormat="1" ht="14">
      <c r="A57" s="220" t="s">
        <v>5737</v>
      </c>
      <c r="B57" s="455">
        <v>0</v>
      </c>
      <c r="C57" s="220" t="s">
        <v>4312</v>
      </c>
      <c r="D57" s="1192" t="s">
        <v>6234</v>
      </c>
    </row>
    <row r="58" spans="1:4" s="220" customFormat="1" ht="14">
      <c r="A58" s="633" t="s">
        <v>5741</v>
      </c>
      <c r="B58" s="455">
        <v>25436.999999999996</v>
      </c>
      <c r="C58" s="220" t="s">
        <v>4312</v>
      </c>
      <c r="D58" s="1192" t="s">
        <v>6235</v>
      </c>
    </row>
    <row r="59" spans="1:4" s="220" customFormat="1" ht="14">
      <c r="A59" s="633" t="s">
        <v>5742</v>
      </c>
      <c r="B59" s="455">
        <v>5000</v>
      </c>
      <c r="C59" s="220" t="s">
        <v>4312</v>
      </c>
      <c r="D59" s="1192" t="s">
        <v>6236</v>
      </c>
    </row>
    <row r="60" spans="1:4" s="220" customFormat="1" ht="14">
      <c r="A60" s="633" t="s">
        <v>5743</v>
      </c>
      <c r="B60" s="455">
        <v>0</v>
      </c>
      <c r="C60" s="220" t="s">
        <v>4312</v>
      </c>
      <c r="D60" s="1192" t="s">
        <v>6237</v>
      </c>
    </row>
    <row r="61" spans="1:4" s="220" customFormat="1" ht="14">
      <c r="A61" s="633" t="s">
        <v>5744</v>
      </c>
      <c r="B61" s="455">
        <v>21317.039999999997</v>
      </c>
      <c r="C61" s="220" t="s">
        <v>4312</v>
      </c>
      <c r="D61" s="1192" t="s">
        <v>6238</v>
      </c>
    </row>
    <row r="62" spans="1:4" s="220" customFormat="1" ht="14">
      <c r="A62" s="633" t="s">
        <v>5745</v>
      </c>
      <c r="B62" s="455">
        <v>4000</v>
      </c>
      <c r="C62" s="220" t="s">
        <v>4312</v>
      </c>
      <c r="D62" s="1192" t="s">
        <v>6239</v>
      </c>
    </row>
    <row r="63" spans="1:4" s="220" customFormat="1" ht="14">
      <c r="A63" s="633" t="s">
        <v>5746</v>
      </c>
      <c r="B63" s="455">
        <v>0</v>
      </c>
      <c r="C63" s="220" t="s">
        <v>4312</v>
      </c>
      <c r="D63" s="1192"/>
    </row>
    <row r="64" spans="1:4" s="220" customFormat="1" ht="14">
      <c r="A64" s="220" t="s">
        <v>5747</v>
      </c>
      <c r="B64" s="455">
        <v>2000</v>
      </c>
      <c r="C64" s="220" t="s">
        <v>4311</v>
      </c>
      <c r="D64" s="1192" t="s">
        <v>6240</v>
      </c>
    </row>
    <row r="65" spans="1:5" s="220" customFormat="1" ht="14">
      <c r="A65" s="220" t="s">
        <v>5748</v>
      </c>
      <c r="B65" s="455">
        <v>550</v>
      </c>
      <c r="C65" s="220" t="s">
        <v>4311</v>
      </c>
      <c r="D65" s="1192" t="s">
        <v>6241</v>
      </c>
    </row>
    <row r="66" spans="1:5" s="220" customFormat="1" ht="14">
      <c r="A66" s="220" t="s">
        <v>5749</v>
      </c>
      <c r="B66" s="455">
        <v>0</v>
      </c>
      <c r="C66" s="220" t="s">
        <v>4311</v>
      </c>
      <c r="D66" s="1192" t="s">
        <v>6242</v>
      </c>
    </row>
    <row r="67" spans="1:5" s="220" customFormat="1" ht="14">
      <c r="A67" s="633" t="s">
        <v>5750</v>
      </c>
      <c r="B67" s="455">
        <v>28427.723999999998</v>
      </c>
      <c r="C67" s="633" t="s">
        <v>4312</v>
      </c>
      <c r="D67" s="1192" t="s">
        <v>6243</v>
      </c>
    </row>
    <row r="68" spans="1:5" s="220" customFormat="1" ht="14">
      <c r="A68" s="633" t="s">
        <v>6244</v>
      </c>
      <c r="B68" s="455">
        <v>28427.723999999998</v>
      </c>
      <c r="C68" s="633" t="s">
        <v>4312</v>
      </c>
      <c r="D68" s="1192" t="s">
        <v>6209</v>
      </c>
    </row>
    <row r="69" spans="1:5" s="220" customFormat="1" ht="14">
      <c r="A69" s="633" t="s">
        <v>5751</v>
      </c>
      <c r="B69" s="455">
        <v>0</v>
      </c>
      <c r="C69" s="633" t="s">
        <v>4312</v>
      </c>
      <c r="D69" s="1192"/>
    </row>
    <row r="70" spans="1:5" s="220" customFormat="1" ht="14">
      <c r="A70" s="220" t="s">
        <v>5753</v>
      </c>
      <c r="B70" s="455">
        <v>2000</v>
      </c>
      <c r="C70" s="220" t="s">
        <v>4311</v>
      </c>
      <c r="D70" s="1192" t="s">
        <v>6245</v>
      </c>
    </row>
    <row r="71" spans="1:5" s="220" customFormat="1" ht="14">
      <c r="A71" s="220" t="s">
        <v>5754</v>
      </c>
      <c r="B71" s="455">
        <v>500</v>
      </c>
      <c r="C71" s="220" t="s">
        <v>4311</v>
      </c>
      <c r="D71" s="1192" t="s">
        <v>6246</v>
      </c>
    </row>
    <row r="72" spans="1:5" s="220" customFormat="1" ht="14">
      <c r="A72" s="220" t="s">
        <v>5755</v>
      </c>
      <c r="B72" s="455">
        <v>0</v>
      </c>
      <c r="C72" s="220" t="s">
        <v>4311</v>
      </c>
      <c r="D72" s="1192" t="s">
        <v>6237</v>
      </c>
    </row>
    <row r="75" spans="1:5" s="220" customFormat="1">
      <c r="A75" s="63" t="s">
        <v>6247</v>
      </c>
      <c r="B75" s="633"/>
      <c r="C75" s="633"/>
      <c r="D75" s="633"/>
      <c r="E75" s="633"/>
    </row>
    <row r="76" spans="1:5" s="220" customFormat="1">
      <c r="A76" s="220" t="s">
        <v>6186</v>
      </c>
      <c r="B76" s="220" t="s">
        <v>6187</v>
      </c>
      <c r="C76" s="220" t="s">
        <v>3304</v>
      </c>
    </row>
    <row r="77" spans="1:5" s="220" customFormat="1">
      <c r="A77" s="1189">
        <v>0</v>
      </c>
      <c r="B77" s="220" t="s">
        <v>6248</v>
      </c>
      <c r="C77" s="1190">
        <v>0.1</v>
      </c>
    </row>
    <row r="78" spans="1:5" s="220" customFormat="1">
      <c r="A78" s="1189">
        <v>100000</v>
      </c>
      <c r="B78" s="220" t="s">
        <v>6249</v>
      </c>
      <c r="C78" s="1190">
        <v>0.09</v>
      </c>
    </row>
    <row r="79" spans="1:5" s="220" customFormat="1">
      <c r="A79" s="1189">
        <v>250000</v>
      </c>
      <c r="B79" s="220" t="s">
        <v>6250</v>
      </c>
      <c r="C79" s="1190">
        <v>0.06</v>
      </c>
    </row>
    <row r="80" spans="1:5" s="220" customFormat="1">
      <c r="A80" s="1189">
        <v>1000000</v>
      </c>
      <c r="B80" s="220" t="s">
        <v>6192</v>
      </c>
      <c r="C80" s="1190">
        <v>0.05</v>
      </c>
    </row>
    <row r="81" spans="1:5" s="220" customFormat="1">
      <c r="A81" s="1189">
        <v>5000000</v>
      </c>
      <c r="B81" s="220" t="s">
        <v>6193</v>
      </c>
      <c r="C81" s="1190">
        <v>0.04</v>
      </c>
    </row>
    <row r="82" spans="1:5" s="220" customFormat="1">
      <c r="A82" s="1189">
        <v>10000000</v>
      </c>
      <c r="B82" s="220" t="s">
        <v>6251</v>
      </c>
      <c r="C82" s="1190">
        <v>3.2000000000000001E-2</v>
      </c>
    </row>
    <row r="85" spans="1:5" s="220" customFormat="1">
      <c r="A85" s="63" t="s">
        <v>6252</v>
      </c>
      <c r="B85" s="633"/>
      <c r="C85" s="633"/>
      <c r="D85" s="633"/>
      <c r="E85" s="633"/>
    </row>
    <row r="86" spans="1:5" s="220" customFormat="1">
      <c r="A86" s="220" t="s">
        <v>6253</v>
      </c>
      <c r="B86" s="220" t="s">
        <v>6187</v>
      </c>
      <c r="C86" s="220" t="s">
        <v>6254</v>
      </c>
    </row>
    <row r="87" spans="1:5" s="220" customFormat="1">
      <c r="A87" s="1189">
        <v>0</v>
      </c>
      <c r="B87" s="538" t="s">
        <v>6255</v>
      </c>
      <c r="C87" s="1194">
        <v>6.7000000000000004E-2</v>
      </c>
      <c r="E87" s="1194"/>
    </row>
    <row r="88" spans="1:5" s="220" customFormat="1">
      <c r="A88" s="1189">
        <v>500000</v>
      </c>
      <c r="B88" s="538" t="s">
        <v>6256</v>
      </c>
      <c r="C88" s="1194">
        <v>5.8000000000000003E-2</v>
      </c>
      <c r="E88" s="1194"/>
    </row>
    <row r="89" spans="1:5" s="220" customFormat="1">
      <c r="A89" s="1189">
        <v>3000000</v>
      </c>
      <c r="B89" s="538" t="s">
        <v>6257</v>
      </c>
      <c r="C89" s="1194">
        <v>4.9000000000000002E-2</v>
      </c>
      <c r="E89" s="1194"/>
    </row>
    <row r="90" spans="1:5" s="220" customFormat="1">
      <c r="A90" s="1189">
        <v>15000000</v>
      </c>
      <c r="B90" s="538" t="s">
        <v>6258</v>
      </c>
      <c r="C90" s="1194">
        <v>4.1000000000000002E-2</v>
      </c>
      <c r="E90" s="1194"/>
    </row>
    <row r="91" spans="1:5" s="220" customFormat="1">
      <c r="A91" s="1189">
        <v>50000000</v>
      </c>
      <c r="B91" s="538" t="s">
        <v>6259</v>
      </c>
      <c r="C91" s="1194">
        <v>3.2000000000000001E-2</v>
      </c>
      <c r="E91" s="1194"/>
    </row>
    <row r="92" spans="1:5" s="220" customFormat="1">
      <c r="A92" s="1189">
        <v>100000000</v>
      </c>
      <c r="B92" s="538" t="s">
        <v>6260</v>
      </c>
      <c r="C92" s="1194">
        <v>5.8000000000000003E-2</v>
      </c>
      <c r="E92" s="1194"/>
    </row>
    <row r="95" spans="1:5" s="220" customFormat="1">
      <c r="A95" s="63" t="s">
        <v>6261</v>
      </c>
    </row>
    <row r="96" spans="1:5" s="220" customFormat="1">
      <c r="A96" s="63" t="s">
        <v>6262</v>
      </c>
      <c r="B96" s="63" t="s">
        <v>6263</v>
      </c>
    </row>
    <row r="97" spans="1:3" s="220" customFormat="1">
      <c r="A97" s="220">
        <v>0</v>
      </c>
      <c r="B97" s="220">
        <v>1.5</v>
      </c>
      <c r="C97" s="46"/>
    </row>
    <row r="98" spans="1:3" s="220" customFormat="1">
      <c r="A98" s="1195">
        <v>6.95</v>
      </c>
      <c r="B98" s="220">
        <v>2</v>
      </c>
      <c r="C98" s="455"/>
    </row>
    <row r="99" spans="1:3" s="220" customFormat="1">
      <c r="A99" s="1195">
        <v>13.1</v>
      </c>
      <c r="B99" s="220">
        <v>2.5</v>
      </c>
      <c r="C99" s="455"/>
    </row>
    <row r="100" spans="1:3" s="220" customFormat="1">
      <c r="A100" s="1195">
        <v>22.2</v>
      </c>
      <c r="B100" s="220">
        <v>3</v>
      </c>
      <c r="C100" s="455"/>
    </row>
    <row r="101" spans="1:3" s="220" customFormat="1">
      <c r="A101" s="1195">
        <v>33</v>
      </c>
      <c r="B101" s="220">
        <v>4</v>
      </c>
      <c r="C101" s="455"/>
    </row>
    <row r="102" spans="1:3" s="220" customFormat="1">
      <c r="A102" s="1195">
        <v>39.200000000000003</v>
      </c>
      <c r="B102" s="220">
        <v>6</v>
      </c>
      <c r="C102" s="455"/>
    </row>
    <row r="103" spans="1:3" s="220" customFormat="1">
      <c r="A103" s="1195">
        <v>53.5</v>
      </c>
      <c r="B103" s="220">
        <v>8</v>
      </c>
      <c r="C103" s="455"/>
    </row>
    <row r="106" spans="1:3" s="220" customFormat="1">
      <c r="A106" s="63" t="s">
        <v>6264</v>
      </c>
    </row>
    <row r="107" spans="1:3" s="220" customFormat="1">
      <c r="A107" s="220" t="s">
        <v>6265</v>
      </c>
      <c r="B107" s="220" t="s">
        <v>6266</v>
      </c>
      <c r="C107" s="220" t="s">
        <v>6267</v>
      </c>
    </row>
    <row r="108" spans="1:3" s="220" customFormat="1">
      <c r="A108" s="220">
        <v>0</v>
      </c>
      <c r="B108" s="220">
        <v>10</v>
      </c>
      <c r="C108" s="220">
        <v>17</v>
      </c>
    </row>
    <row r="109" spans="1:3" s="220" customFormat="1">
      <c r="A109" s="220">
        <v>11</v>
      </c>
      <c r="B109" s="220">
        <v>50</v>
      </c>
      <c r="C109" s="220">
        <v>30</v>
      </c>
    </row>
    <row r="110" spans="1:3" s="220" customFormat="1">
      <c r="A110" s="220">
        <v>51</v>
      </c>
      <c r="B110" s="220">
        <v>100</v>
      </c>
      <c r="C110" s="220">
        <v>40</v>
      </c>
    </row>
    <row r="113" spans="1:4" s="220" customFormat="1">
      <c r="A113" s="63" t="s">
        <v>6268</v>
      </c>
    </row>
    <row r="114" spans="1:4" s="220" customFormat="1">
      <c r="A114" s="220" t="s">
        <v>6269</v>
      </c>
      <c r="B114" s="220" t="s">
        <v>6270</v>
      </c>
      <c r="C114" s="220" t="s">
        <v>6271</v>
      </c>
      <c r="D114" s="220" t="s">
        <v>6272</v>
      </c>
    </row>
    <row r="115" spans="1:4" s="220" customFormat="1">
      <c r="A115" s="1196">
        <v>0.02</v>
      </c>
      <c r="B115" s="220">
        <v>1.0118</v>
      </c>
      <c r="C115" s="220">
        <v>1.2629999999999999</v>
      </c>
      <c r="D115" s="220">
        <v>0.16889999999999999</v>
      </c>
    </row>
    <row r="116" spans="1:4" s="220" customFormat="1">
      <c r="A116" s="1196">
        <v>0.75</v>
      </c>
      <c r="B116" s="220">
        <v>1.6692</v>
      </c>
      <c r="C116" s="220">
        <v>78.150000000000006</v>
      </c>
      <c r="D116" s="220">
        <v>10.45</v>
      </c>
    </row>
    <row r="117" spans="1:4" s="220" customFormat="1">
      <c r="A117" s="1196">
        <v>0.76</v>
      </c>
      <c r="B117" s="220">
        <v>1.681</v>
      </c>
      <c r="C117" s="220">
        <v>79.75</v>
      </c>
      <c r="D117" s="220">
        <v>10.66</v>
      </c>
    </row>
    <row r="118" spans="1:4" s="220" customFormat="1">
      <c r="A118" s="1196">
        <v>0.77</v>
      </c>
      <c r="B118" s="220">
        <v>1.6927000000000001</v>
      </c>
      <c r="C118" s="220">
        <v>81.37</v>
      </c>
      <c r="D118" s="220">
        <v>10.88</v>
      </c>
    </row>
    <row r="119" spans="1:4" s="220" customFormat="1">
      <c r="A119" s="1196">
        <v>0.78</v>
      </c>
      <c r="B119" s="220">
        <v>1.7042999999999999</v>
      </c>
      <c r="C119" s="220">
        <v>82.99</v>
      </c>
      <c r="D119" s="220">
        <v>11.09</v>
      </c>
    </row>
    <row r="120" spans="1:4" s="220" customFormat="1">
      <c r="A120" s="1196">
        <v>0.79</v>
      </c>
      <c r="B120" s="220">
        <v>1.7158</v>
      </c>
      <c r="C120" s="220">
        <v>84.62</v>
      </c>
      <c r="D120" s="220">
        <v>11.31</v>
      </c>
    </row>
    <row r="121" spans="1:4" s="220" customFormat="1">
      <c r="A121" s="1196">
        <v>0.8</v>
      </c>
      <c r="B121" s="220">
        <v>1.7272000000000001</v>
      </c>
      <c r="C121" s="220">
        <v>86.26</v>
      </c>
      <c r="D121" s="220">
        <v>11.53</v>
      </c>
    </row>
    <row r="122" spans="1:4" s="220" customFormat="1">
      <c r="A122" s="1196">
        <v>0.81</v>
      </c>
      <c r="B122" s="220">
        <v>1.7383</v>
      </c>
      <c r="C122" s="220">
        <v>87.9</v>
      </c>
      <c r="D122" s="220">
        <v>11.75</v>
      </c>
    </row>
    <row r="123" spans="1:4" s="220" customFormat="1">
      <c r="A123" s="1196">
        <v>0.82</v>
      </c>
      <c r="B123" s="220">
        <v>1.7491000000000001</v>
      </c>
      <c r="C123" s="220">
        <v>89.54</v>
      </c>
      <c r="D123" s="220">
        <v>11.97</v>
      </c>
    </row>
    <row r="124" spans="1:4" s="220" customFormat="1">
      <c r="A124" s="1196">
        <v>0.83</v>
      </c>
      <c r="B124" s="220">
        <v>1.7594000000000001</v>
      </c>
      <c r="C124" s="220">
        <v>91.16</v>
      </c>
      <c r="D124" s="220">
        <v>12.19</v>
      </c>
    </row>
    <row r="125" spans="1:4" s="220" customFormat="1">
      <c r="A125" s="1196">
        <v>0.84</v>
      </c>
      <c r="B125" s="220">
        <v>1.7693000000000001</v>
      </c>
      <c r="C125" s="220">
        <v>92.78</v>
      </c>
      <c r="D125" s="220">
        <v>12.4</v>
      </c>
    </row>
    <row r="126" spans="1:4" s="220" customFormat="1">
      <c r="A126" s="1196">
        <v>0.85</v>
      </c>
      <c r="B126" s="220">
        <v>1.7786</v>
      </c>
      <c r="C126" s="220">
        <v>94.38</v>
      </c>
      <c r="D126" s="220">
        <v>12.62</v>
      </c>
    </row>
    <row r="127" spans="1:4" s="220" customFormat="1">
      <c r="A127" s="1196">
        <v>0.86</v>
      </c>
      <c r="B127" s="220">
        <v>1.7871999999999999</v>
      </c>
      <c r="C127" s="220">
        <v>95.95</v>
      </c>
      <c r="D127" s="220">
        <v>12.83</v>
      </c>
    </row>
    <row r="128" spans="1:4" s="220" customFormat="1">
      <c r="A128" s="1196">
        <v>0.87</v>
      </c>
      <c r="B128" s="220">
        <v>1.7950999999999999</v>
      </c>
      <c r="C128" s="220">
        <v>97.49</v>
      </c>
      <c r="D128" s="220">
        <v>13.03</v>
      </c>
    </row>
    <row r="129" spans="1:4" s="220" customFormat="1">
      <c r="A129" s="1196">
        <v>0.88</v>
      </c>
      <c r="B129" s="220">
        <v>1.8022</v>
      </c>
      <c r="C129" s="220">
        <v>99.01</v>
      </c>
      <c r="D129" s="220">
        <v>13.23</v>
      </c>
    </row>
    <row r="130" spans="1:4" s="220" customFormat="1">
      <c r="A130" s="1196">
        <v>0.89</v>
      </c>
      <c r="B130" s="220">
        <v>1.8087</v>
      </c>
      <c r="C130" s="220">
        <v>100.5</v>
      </c>
      <c r="D130" s="220">
        <v>13.43</v>
      </c>
    </row>
    <row r="131" spans="1:4" s="220" customFormat="1">
      <c r="A131" s="1196">
        <v>0.9</v>
      </c>
      <c r="B131" s="220">
        <v>1.8144</v>
      </c>
      <c r="C131" s="220">
        <v>101.9</v>
      </c>
      <c r="D131" s="220">
        <v>13.63</v>
      </c>
    </row>
    <row r="132" spans="1:4" s="220" customFormat="1">
      <c r="A132" s="1196">
        <v>0.91</v>
      </c>
      <c r="B132" s="220">
        <v>1.8194999999999999</v>
      </c>
      <c r="C132" s="220">
        <v>103.4</v>
      </c>
      <c r="D132" s="220">
        <v>13.82</v>
      </c>
    </row>
    <row r="133" spans="1:4" s="220" customFormat="1">
      <c r="A133" s="1196">
        <v>0.92</v>
      </c>
      <c r="B133" s="220">
        <v>1.8240000000000001</v>
      </c>
      <c r="C133" s="220">
        <v>104.8</v>
      </c>
      <c r="D133" s="220">
        <v>14</v>
      </c>
    </row>
    <row r="134" spans="1:4" s="220" customFormat="1">
      <c r="A134" s="1196">
        <v>0.93</v>
      </c>
      <c r="B134" s="220">
        <v>1.8279000000000001</v>
      </c>
      <c r="C134" s="220">
        <v>106.1</v>
      </c>
      <c r="D134" s="220">
        <v>14.19</v>
      </c>
    </row>
    <row r="135" spans="1:4" s="220" customFormat="1">
      <c r="A135" s="1196">
        <v>0.94</v>
      </c>
      <c r="B135" s="220">
        <v>1.8311999999999999</v>
      </c>
      <c r="C135" s="220">
        <v>107.5</v>
      </c>
      <c r="D135" s="220">
        <v>14.36</v>
      </c>
    </row>
    <row r="136" spans="1:4" s="220" customFormat="1">
      <c r="A136" s="1196">
        <v>0.95</v>
      </c>
      <c r="B136" s="220">
        <v>1.8337000000000001</v>
      </c>
      <c r="C136" s="220">
        <v>108.7</v>
      </c>
      <c r="D136" s="220">
        <v>14.54</v>
      </c>
    </row>
    <row r="139" spans="1:4" s="220" customFormat="1">
      <c r="A139" s="63" t="s">
        <v>6273</v>
      </c>
    </row>
    <row r="140" spans="1:4" s="220" customFormat="1">
      <c r="A140" s="220" t="s">
        <v>6274</v>
      </c>
      <c r="B140" s="220" t="s">
        <v>6270</v>
      </c>
      <c r="C140" s="220" t="s">
        <v>6271</v>
      </c>
      <c r="D140" s="220" t="s">
        <v>6272</v>
      </c>
    </row>
    <row r="141" spans="1:4" s="220" customFormat="1">
      <c r="A141" s="1196">
        <v>0.01</v>
      </c>
      <c r="B141" s="220">
        <v>1.0032000000000001</v>
      </c>
      <c r="C141" s="220">
        <v>0.62629999999999997</v>
      </c>
      <c r="D141" s="220">
        <v>8.3699999999999997E-2</v>
      </c>
    </row>
    <row r="142" spans="1:4" s="220" customFormat="1">
      <c r="A142" s="1196">
        <v>0.02</v>
      </c>
      <c r="B142" s="220">
        <v>1.0082</v>
      </c>
      <c r="C142" s="220">
        <v>1.2589999999999999</v>
      </c>
      <c r="D142" s="220">
        <v>0.16800000000000001</v>
      </c>
    </row>
    <row r="143" spans="1:4" s="220" customFormat="1">
      <c r="A143" s="1196">
        <v>0.04</v>
      </c>
      <c r="B143" s="220">
        <v>1.0181</v>
      </c>
      <c r="C143" s="220">
        <v>2.5419999999999998</v>
      </c>
      <c r="D143" s="220">
        <v>0.33989999999999998</v>
      </c>
    </row>
    <row r="144" spans="1:4" s="220" customFormat="1">
      <c r="A144" s="1196">
        <v>0.06</v>
      </c>
      <c r="B144" s="220">
        <v>1.0279</v>
      </c>
      <c r="C144" s="220">
        <v>3.85</v>
      </c>
      <c r="D144" s="220">
        <v>0.51470000000000005</v>
      </c>
    </row>
    <row r="145" spans="1:4" s="220" customFormat="1">
      <c r="A145" s="1196">
        <v>0.08</v>
      </c>
      <c r="B145" s="220">
        <v>1.0376000000000001</v>
      </c>
      <c r="C145" s="220">
        <v>5.1820000000000004</v>
      </c>
      <c r="D145" s="220">
        <v>0.69269999999999998</v>
      </c>
    </row>
    <row r="146" spans="1:4" s="220" customFormat="1">
      <c r="A146" s="1196">
        <v>0.1</v>
      </c>
      <c r="B146" s="220">
        <v>1.0474000000000001</v>
      </c>
      <c r="C146" s="220">
        <v>6.5890000000000004</v>
      </c>
      <c r="D146" s="220">
        <v>0.87409999999999999</v>
      </c>
    </row>
    <row r="147" spans="1:4" s="220" customFormat="1">
      <c r="A147" s="1196">
        <v>0.12</v>
      </c>
      <c r="B147" s="220">
        <v>1.0573999999999999</v>
      </c>
      <c r="C147" s="220">
        <v>7.9210000000000003</v>
      </c>
      <c r="D147" s="220">
        <v>1.0589999999999999</v>
      </c>
    </row>
    <row r="148" spans="1:4" s="220" customFormat="1">
      <c r="A148" s="1196">
        <v>0.14000000000000001</v>
      </c>
      <c r="B148" s="220">
        <v>1.0674999999999999</v>
      </c>
      <c r="C148" s="220">
        <v>9.33</v>
      </c>
      <c r="D148" s="220">
        <v>1.2470000000000001</v>
      </c>
    </row>
    <row r="149" spans="1:4" s="220" customFormat="1">
      <c r="A149" s="1196">
        <v>0.16</v>
      </c>
      <c r="B149" s="220">
        <v>1.0775999999999999</v>
      </c>
      <c r="C149" s="220">
        <v>10.76</v>
      </c>
      <c r="D149" s="220">
        <v>1.4390000000000001</v>
      </c>
    </row>
    <row r="150" spans="1:4" s="220" customFormat="1">
      <c r="A150" s="1196">
        <v>0.18</v>
      </c>
      <c r="B150" s="220">
        <v>1.0878000000000001</v>
      </c>
      <c r="C150" s="220">
        <v>12.22</v>
      </c>
      <c r="D150" s="220">
        <v>1.6339999999999999</v>
      </c>
    </row>
    <row r="151" spans="1:4" s="220" customFormat="1">
      <c r="A151" s="1196">
        <v>0.2</v>
      </c>
      <c r="B151" s="220">
        <v>1.0980000000000001</v>
      </c>
      <c r="C151" s="220">
        <v>13.71</v>
      </c>
      <c r="D151" s="220">
        <v>1.883</v>
      </c>
    </row>
    <row r="152" spans="1:4" s="220" customFormat="1">
      <c r="A152" s="1196">
        <v>0.22</v>
      </c>
      <c r="B152" s="220">
        <v>1.1083000000000001</v>
      </c>
      <c r="C152" s="220">
        <v>15.22</v>
      </c>
      <c r="D152" s="220">
        <v>2.0350000000000001</v>
      </c>
    </row>
    <row r="153" spans="1:4" s="220" customFormat="1">
      <c r="A153" s="1196">
        <v>0.24</v>
      </c>
      <c r="B153" s="220">
        <v>1.1187</v>
      </c>
      <c r="C153" s="220">
        <v>16.760000000000002</v>
      </c>
      <c r="D153" s="220">
        <v>2.2410000000000001</v>
      </c>
    </row>
    <row r="154" spans="1:4" s="220" customFormat="1">
      <c r="A154" s="1196">
        <v>0.26</v>
      </c>
      <c r="B154" s="220">
        <v>1.129</v>
      </c>
      <c r="C154" s="220">
        <v>18.32</v>
      </c>
      <c r="D154" s="220">
        <v>2.4500000000000002</v>
      </c>
    </row>
    <row r="155" spans="1:4" s="220" customFormat="1">
      <c r="A155" s="1196">
        <v>0.28000000000000003</v>
      </c>
      <c r="B155" s="220">
        <v>1.1392</v>
      </c>
      <c r="C155" s="220">
        <v>19.91</v>
      </c>
      <c r="D155" s="220">
        <v>2.6619999999999999</v>
      </c>
    </row>
    <row r="156" spans="1:4" s="220" customFormat="1">
      <c r="A156" s="1196">
        <v>0.3</v>
      </c>
      <c r="B156" s="220">
        <v>1.1493</v>
      </c>
      <c r="C156" s="220">
        <v>21.52</v>
      </c>
      <c r="D156" s="220">
        <v>2.8769999999999998</v>
      </c>
    </row>
    <row r="157" spans="1:4" s="220" customFormat="1">
      <c r="A157" s="1196">
        <v>0.32</v>
      </c>
      <c r="B157" s="220">
        <v>1.1593</v>
      </c>
      <c r="C157" s="220">
        <v>23.16</v>
      </c>
      <c r="D157" s="220">
        <v>3.0960000000000001</v>
      </c>
    </row>
    <row r="158" spans="1:4" s="220" customFormat="1">
      <c r="A158" s="1196">
        <v>0.34</v>
      </c>
      <c r="B158" s="220">
        <v>1.1691</v>
      </c>
      <c r="C158" s="220">
        <v>24.81</v>
      </c>
      <c r="D158" s="220">
        <v>3.3170000000000002</v>
      </c>
    </row>
    <row r="159" spans="1:4" s="220" customFormat="1">
      <c r="A159" s="1196">
        <v>0.36</v>
      </c>
      <c r="B159" s="220">
        <v>1.1789000000000001</v>
      </c>
      <c r="C159" s="220">
        <v>26.49</v>
      </c>
      <c r="D159" s="220">
        <v>3.5419999999999998</v>
      </c>
    </row>
    <row r="160" spans="1:4" s="220" customFormat="1">
      <c r="A160" s="1196">
        <v>0.38</v>
      </c>
      <c r="B160" s="220">
        <v>1.1884999999999999</v>
      </c>
      <c r="C160" s="220">
        <v>28.19</v>
      </c>
      <c r="D160" s="220">
        <v>3.7690000000000001</v>
      </c>
    </row>
    <row r="161" spans="1:15" s="220" customFormat="1">
      <c r="A161" s="1196">
        <v>0.4</v>
      </c>
      <c r="B161" s="220">
        <v>1.198</v>
      </c>
      <c r="C161" s="220">
        <v>29.92</v>
      </c>
      <c r="D161" s="220">
        <v>3.9990000000000001</v>
      </c>
    </row>
    <row r="164" spans="1:15">
      <c r="A164" s="220" t="s">
        <v>6275</v>
      </c>
      <c r="B164" s="723" t="s">
        <v>6276</v>
      </c>
      <c r="C164" s="220">
        <v>50</v>
      </c>
      <c r="D164" s="220" t="s">
        <v>1846</v>
      </c>
    </row>
    <row r="167" spans="1:15">
      <c r="A167" s="220" t="s">
        <v>6277</v>
      </c>
      <c r="B167" s="723" t="s">
        <v>6278</v>
      </c>
      <c r="C167" s="220">
        <v>200</v>
      </c>
      <c r="D167" s="220" t="s">
        <v>4745</v>
      </c>
    </row>
    <row r="170" spans="1:15" s="220" customFormat="1">
      <c r="A170" s="63" t="s">
        <v>6279</v>
      </c>
      <c r="O170" s="633"/>
    </row>
    <row r="171" spans="1:15" s="220" customFormat="1">
      <c r="A171" s="220" t="s">
        <v>6280</v>
      </c>
      <c r="B171" s="220" t="s">
        <v>6281</v>
      </c>
      <c r="C171" s="220" t="s">
        <v>6282</v>
      </c>
      <c r="D171" s="220" t="s">
        <v>6283</v>
      </c>
    </row>
    <row r="172" spans="1:15" s="220" customFormat="1">
      <c r="A172" s="220">
        <v>0</v>
      </c>
      <c r="B172" s="220">
        <v>0.05</v>
      </c>
      <c r="C172" s="220">
        <v>36</v>
      </c>
      <c r="D172" s="220">
        <v>1</v>
      </c>
    </row>
    <row r="173" spans="1:15" s="220" customFormat="1">
      <c r="A173" s="220">
        <v>0.06</v>
      </c>
      <c r="B173" s="220">
        <v>0.1</v>
      </c>
      <c r="C173" s="220">
        <v>45</v>
      </c>
      <c r="D173" s="220">
        <v>1.1666666666666667</v>
      </c>
    </row>
    <row r="174" spans="1:15" s="220" customFormat="1">
      <c r="A174" s="220">
        <v>0.11</v>
      </c>
      <c r="B174" s="220">
        <v>0.2</v>
      </c>
      <c r="C174" s="220">
        <v>54</v>
      </c>
      <c r="D174" s="220">
        <v>1.1666666666666667</v>
      </c>
    </row>
    <row r="175" spans="1:15" s="220" customFormat="1">
      <c r="A175" s="220">
        <v>0.21</v>
      </c>
      <c r="B175" s="220">
        <v>0.5</v>
      </c>
      <c r="C175" s="220">
        <v>65</v>
      </c>
      <c r="D175" s="220">
        <v>1.1666666666666667</v>
      </c>
    </row>
    <row r="176" spans="1:15" s="220" customFormat="1">
      <c r="A176" s="220">
        <v>0.51</v>
      </c>
      <c r="B176" s="220">
        <v>1</v>
      </c>
      <c r="C176" s="220">
        <v>76</v>
      </c>
      <c r="D176" s="220">
        <v>1.3333333333333333</v>
      </c>
    </row>
    <row r="177" spans="1:4" s="220" customFormat="1">
      <c r="A177" s="220">
        <v>1.01</v>
      </c>
      <c r="B177" s="220">
        <v>2</v>
      </c>
      <c r="C177" s="220">
        <v>88</v>
      </c>
      <c r="D177" s="220">
        <v>1.3333333333333333</v>
      </c>
    </row>
    <row r="178" spans="1:4" s="220" customFormat="1">
      <c r="A178" s="220">
        <v>2.0099999999999998</v>
      </c>
      <c r="B178" s="220">
        <v>3</v>
      </c>
      <c r="C178" s="220">
        <v>95</v>
      </c>
      <c r="D178" s="220">
        <v>1.3333333333333333</v>
      </c>
    </row>
    <row r="179" spans="1:4" s="220" customFormat="1">
      <c r="A179" s="220">
        <v>3.01</v>
      </c>
      <c r="B179" s="220">
        <v>5</v>
      </c>
      <c r="C179" s="220">
        <v>101</v>
      </c>
      <c r="D179" s="220">
        <v>1.5</v>
      </c>
    </row>
    <row r="180" spans="1:4" s="220" customFormat="1">
      <c r="A180" s="220">
        <v>5.01</v>
      </c>
      <c r="B180" s="220">
        <v>10</v>
      </c>
      <c r="C180" s="220">
        <v>144</v>
      </c>
      <c r="D180" s="220">
        <v>2</v>
      </c>
    </row>
    <row r="183" spans="1:4">
      <c r="A183" s="220" t="s">
        <v>6284</v>
      </c>
      <c r="B183" s="723" t="s">
        <v>6285</v>
      </c>
      <c r="C183" s="220">
        <v>113.32</v>
      </c>
      <c r="D183" s="220" t="s">
        <v>1846</v>
      </c>
    </row>
    <row r="186" spans="1:4">
      <c r="A186" s="220" t="s">
        <v>6286</v>
      </c>
      <c r="B186" s="723" t="s">
        <v>6287</v>
      </c>
      <c r="C186" s="220">
        <v>6148</v>
      </c>
      <c r="D186" s="220" t="s">
        <v>4745</v>
      </c>
    </row>
    <row r="189" spans="1:4" s="220" customFormat="1">
      <c r="A189" s="63" t="s">
        <v>6288</v>
      </c>
    </row>
    <row r="190" spans="1:4" s="220" customFormat="1">
      <c r="A190" s="220" t="s">
        <v>6289</v>
      </c>
      <c r="B190" s="220" t="s">
        <v>6272</v>
      </c>
      <c r="C190" s="220" t="s">
        <v>6290</v>
      </c>
      <c r="D190" s="220" t="s">
        <v>6270</v>
      </c>
    </row>
    <row r="191" spans="1:4" s="220" customFormat="1">
      <c r="A191" s="1196">
        <v>0.02</v>
      </c>
      <c r="B191" s="220">
        <v>0.1704</v>
      </c>
      <c r="C191" s="220">
        <v>20.41</v>
      </c>
      <c r="D191" s="220">
        <v>1.0209999999999999</v>
      </c>
    </row>
    <row r="192" spans="1:4" s="220" customFormat="1">
      <c r="A192" s="1196">
        <v>0.04</v>
      </c>
      <c r="B192" s="220">
        <v>0.34810000000000002</v>
      </c>
      <c r="C192" s="220">
        <v>41.71</v>
      </c>
      <c r="D192" s="220">
        <v>1.0429999999999999</v>
      </c>
    </row>
    <row r="193" spans="1:4" s="220" customFormat="1">
      <c r="A193" s="1196">
        <v>0.06</v>
      </c>
      <c r="B193" s="220">
        <v>0.53320000000000001</v>
      </c>
      <c r="C193" s="220">
        <v>63.89</v>
      </c>
      <c r="D193" s="220">
        <v>1.0649999999999999</v>
      </c>
    </row>
    <row r="194" spans="1:4" s="220" customFormat="1">
      <c r="A194" s="1196">
        <v>0.08</v>
      </c>
      <c r="B194" s="220">
        <v>0.72560000000000002</v>
      </c>
      <c r="C194" s="220">
        <v>86.95</v>
      </c>
      <c r="D194" s="220">
        <v>1.087</v>
      </c>
    </row>
    <row r="195" spans="1:4" s="220" customFormat="1">
      <c r="A195" s="1196">
        <v>0.1</v>
      </c>
      <c r="B195" s="220">
        <v>0.9254</v>
      </c>
      <c r="C195" s="220">
        <v>110.9</v>
      </c>
      <c r="D195" s="220">
        <v>1.109</v>
      </c>
    </row>
    <row r="196" spans="1:4" s="220" customFormat="1">
      <c r="A196" s="1196">
        <v>0.12</v>
      </c>
      <c r="B196" s="220">
        <v>1.133</v>
      </c>
      <c r="C196" s="220">
        <v>135.69999999999999</v>
      </c>
      <c r="D196" s="220">
        <v>1.131</v>
      </c>
    </row>
    <row r="197" spans="1:4" s="220" customFormat="1">
      <c r="A197" s="1196">
        <v>0.14000000000000001</v>
      </c>
      <c r="B197" s="220">
        <v>1.347</v>
      </c>
      <c r="C197" s="220">
        <v>161.4</v>
      </c>
      <c r="D197" s="220">
        <v>1.153</v>
      </c>
    </row>
    <row r="198" spans="1:4" s="220" customFormat="1">
      <c r="A198" s="1196">
        <v>0.16</v>
      </c>
      <c r="B198" s="220">
        <v>1.569</v>
      </c>
      <c r="C198" s="220">
        <v>188</v>
      </c>
      <c r="D198" s="220">
        <v>1.175</v>
      </c>
    </row>
    <row r="199" spans="1:4" s="220" customFormat="1">
      <c r="A199" s="1196">
        <v>0.18</v>
      </c>
      <c r="B199" s="220">
        <v>1.798</v>
      </c>
      <c r="C199" s="220">
        <v>215.5</v>
      </c>
      <c r="D199" s="220">
        <v>1.1970000000000001</v>
      </c>
    </row>
    <row r="200" spans="1:4" s="220" customFormat="1">
      <c r="A200" s="1196">
        <v>0.2</v>
      </c>
      <c r="B200" s="220">
        <v>2.0350000000000001</v>
      </c>
      <c r="C200" s="220">
        <v>243.8</v>
      </c>
      <c r="D200" s="220">
        <v>1.2190000000000001</v>
      </c>
    </row>
    <row r="201" spans="1:4" s="220" customFormat="1">
      <c r="A201" s="1196">
        <v>0.22</v>
      </c>
      <c r="B201" s="220">
        <v>2.2789999999999999</v>
      </c>
      <c r="C201" s="220">
        <v>273</v>
      </c>
      <c r="D201" s="220">
        <v>1.2410000000000001</v>
      </c>
    </row>
    <row r="202" spans="1:4" s="220" customFormat="1">
      <c r="A202" s="1196">
        <v>0.24</v>
      </c>
      <c r="B202" s="220">
        <v>2.5289999999999999</v>
      </c>
      <c r="C202" s="220">
        <v>303.10000000000002</v>
      </c>
      <c r="D202" s="220">
        <v>1.2629999999999999</v>
      </c>
    </row>
    <row r="203" spans="1:4" s="220" customFormat="1">
      <c r="A203" s="1196">
        <v>0.25</v>
      </c>
      <c r="B203" s="220">
        <v>2.66</v>
      </c>
      <c r="C203" s="220">
        <v>318.7</v>
      </c>
      <c r="D203" s="220">
        <v>1.278</v>
      </c>
    </row>
    <row r="204" spans="1:4" s="220" customFormat="1">
      <c r="A204" s="1196">
        <v>0.26</v>
      </c>
      <c r="B204" s="220">
        <v>2.7879999999999998</v>
      </c>
      <c r="C204" s="220">
        <v>334</v>
      </c>
      <c r="D204" s="220">
        <v>1.2849999999999999</v>
      </c>
    </row>
    <row r="205" spans="1:4" s="220" customFormat="1">
      <c r="A205" s="1196">
        <v>0.28000000000000003</v>
      </c>
      <c r="B205" s="220">
        <v>3.0529999999999999</v>
      </c>
      <c r="C205" s="220">
        <v>365.8</v>
      </c>
      <c r="D205" s="220">
        <v>1.306</v>
      </c>
    </row>
    <row r="206" spans="1:4" s="220" customFormat="1">
      <c r="A206" s="1196">
        <v>0.3</v>
      </c>
      <c r="B206" s="220">
        <v>3.3239999999999998</v>
      </c>
      <c r="C206" s="220">
        <v>398.4</v>
      </c>
      <c r="D206" s="220">
        <v>1.3280000000000001</v>
      </c>
    </row>
    <row r="207" spans="1:4" s="220" customFormat="1">
      <c r="A207" s="1196">
        <v>0.32</v>
      </c>
      <c r="B207" s="220">
        <v>3.6019999999999999</v>
      </c>
      <c r="C207" s="220">
        <v>431.7</v>
      </c>
      <c r="D207" s="220">
        <v>1.349</v>
      </c>
    </row>
    <row r="208" spans="1:4" s="220" customFormat="1">
      <c r="A208" s="1196">
        <v>0.34</v>
      </c>
      <c r="B208" s="220">
        <v>3.8860000000000001</v>
      </c>
      <c r="C208" s="220">
        <v>465.7</v>
      </c>
      <c r="D208" s="220">
        <v>1.37</v>
      </c>
    </row>
    <row r="209" spans="1:5" s="220" customFormat="1">
      <c r="A209" s="1196">
        <v>0.36</v>
      </c>
      <c r="B209" s="220">
        <v>4.1760000000000002</v>
      </c>
      <c r="C209" s="220">
        <v>500.4</v>
      </c>
      <c r="D209" s="220">
        <v>1.39</v>
      </c>
    </row>
    <row r="210" spans="1:5" s="220" customFormat="1">
      <c r="A210" s="1196">
        <v>0.38</v>
      </c>
      <c r="B210" s="220">
        <v>4.4720000000000004</v>
      </c>
      <c r="C210" s="220">
        <v>535.79999999999995</v>
      </c>
      <c r="D210" s="220">
        <v>1.41</v>
      </c>
    </row>
    <row r="211" spans="1:5" s="220" customFormat="1">
      <c r="A211" s="1196">
        <v>0.4</v>
      </c>
      <c r="B211" s="220">
        <v>4.7729999999999997</v>
      </c>
      <c r="C211" s="220">
        <v>572</v>
      </c>
      <c r="D211" s="220">
        <v>1.34</v>
      </c>
    </row>
    <row r="212" spans="1:5" s="220" customFormat="1">
      <c r="A212" s="1196">
        <v>0.42</v>
      </c>
      <c r="B212" s="220">
        <v>5.08</v>
      </c>
      <c r="C212" s="220">
        <v>608.70000000000005</v>
      </c>
      <c r="D212" s="220">
        <v>1.4490000000000001</v>
      </c>
    </row>
    <row r="213" spans="1:5" s="220" customFormat="1">
      <c r="A213" s="1196">
        <v>0.44</v>
      </c>
      <c r="B213" s="220">
        <v>5.3920000000000003</v>
      </c>
      <c r="C213" s="220">
        <v>646.1</v>
      </c>
      <c r="D213" s="220">
        <v>1.468</v>
      </c>
    </row>
    <row r="214" spans="1:5" s="220" customFormat="1">
      <c r="A214" s="1196">
        <v>0.46</v>
      </c>
      <c r="B214" s="220">
        <v>5.7089999999999996</v>
      </c>
      <c r="C214" s="220">
        <v>684.2</v>
      </c>
      <c r="D214" s="220">
        <v>1.4870000000000001</v>
      </c>
    </row>
    <row r="215" spans="1:5" s="220" customFormat="1">
      <c r="A215" s="1196">
        <v>0.48</v>
      </c>
      <c r="B215" s="220">
        <v>6.0350000000000001</v>
      </c>
      <c r="C215" s="220">
        <v>723.1</v>
      </c>
      <c r="D215" s="220">
        <v>1.506</v>
      </c>
    </row>
    <row r="216" spans="1:5" s="220" customFormat="1">
      <c r="A216" s="1196">
        <v>0.5</v>
      </c>
      <c r="B216" s="220">
        <v>6.3639999999999999</v>
      </c>
      <c r="C216" s="220">
        <v>762.7</v>
      </c>
      <c r="D216" s="220">
        <v>1.5249999999999999</v>
      </c>
    </row>
    <row r="219" spans="1:5" s="220" customFormat="1">
      <c r="A219" s="63" t="s">
        <v>6291</v>
      </c>
      <c r="B219" s="633"/>
      <c r="C219" s="633"/>
      <c r="D219" s="633"/>
      <c r="E219" s="633"/>
    </row>
    <row r="220" spans="1:5" s="220" customFormat="1">
      <c r="A220" s="220" t="s">
        <v>6292</v>
      </c>
      <c r="B220" s="220" t="s">
        <v>6187</v>
      </c>
      <c r="C220" s="220" t="s">
        <v>4497</v>
      </c>
      <c r="D220" s="220" t="s">
        <v>6293</v>
      </c>
      <c r="E220" s="220" t="s">
        <v>6294</v>
      </c>
    </row>
    <row r="221" spans="1:5" s="220" customFormat="1">
      <c r="A221" s="1189">
        <v>0</v>
      </c>
      <c r="B221" s="220" t="s">
        <v>6248</v>
      </c>
      <c r="C221" s="1189">
        <v>0</v>
      </c>
      <c r="D221" s="1197">
        <v>2.5000000000000001E-2</v>
      </c>
      <c r="E221" s="1189">
        <v>0</v>
      </c>
    </row>
    <row r="222" spans="1:5" s="220" customFormat="1">
      <c r="A222" s="1189">
        <v>100000</v>
      </c>
      <c r="B222" s="220" t="s">
        <v>6295</v>
      </c>
      <c r="C222" s="1189">
        <v>2500</v>
      </c>
      <c r="D222" s="1197">
        <v>1.4999999999999999E-2</v>
      </c>
      <c r="E222" s="1189">
        <v>100000</v>
      </c>
    </row>
    <row r="223" spans="1:5" s="220" customFormat="1">
      <c r="A223" s="1189">
        <v>500000</v>
      </c>
      <c r="B223" s="220" t="s">
        <v>6296</v>
      </c>
      <c r="C223" s="1189">
        <v>8500</v>
      </c>
      <c r="D223" s="1197">
        <v>0.01</v>
      </c>
      <c r="E223" s="1189">
        <v>500000</v>
      </c>
    </row>
    <row r="224" spans="1:5" s="220" customFormat="1">
      <c r="A224" s="1189">
        <v>2500000</v>
      </c>
      <c r="B224" s="220" t="s">
        <v>6297</v>
      </c>
      <c r="C224" s="1189">
        <v>28500</v>
      </c>
      <c r="D224" s="1197">
        <v>7.4999999999999997E-3</v>
      </c>
      <c r="E224" s="1189">
        <v>2500000</v>
      </c>
    </row>
    <row r="225" spans="1:5" s="220" customFormat="1">
      <c r="A225" s="1189">
        <v>5000000</v>
      </c>
      <c r="B225" s="220" t="s">
        <v>6298</v>
      </c>
      <c r="C225" s="1189">
        <v>47250</v>
      </c>
      <c r="D225" s="1197">
        <v>7.0000000000000001E-3</v>
      </c>
      <c r="E225" s="1189">
        <v>5000000</v>
      </c>
    </row>
    <row r="226" spans="1:5" s="220" customFormat="1">
      <c r="A226" s="1189">
        <v>7500000</v>
      </c>
      <c r="B226" s="220" t="s">
        <v>6299</v>
      </c>
      <c r="C226" s="1189">
        <v>64750</v>
      </c>
      <c r="D226" s="1197">
        <v>6.0000000000000001E-3</v>
      </c>
      <c r="E226" s="1189">
        <v>7500000</v>
      </c>
    </row>
    <row r="229" spans="1:5" s="220" customFormat="1">
      <c r="A229" s="63" t="s">
        <v>6300</v>
      </c>
      <c r="B229" s="633"/>
      <c r="C229" s="633"/>
      <c r="D229" s="633"/>
      <c r="E229" s="633"/>
    </row>
    <row r="230" spans="1:5" s="220" customFormat="1">
      <c r="A230" s="63" t="s">
        <v>6301</v>
      </c>
      <c r="B230" s="633"/>
      <c r="C230" s="633"/>
      <c r="D230" s="633"/>
      <c r="E230" s="633"/>
    </row>
    <row r="231" spans="1:5" s="220" customFormat="1">
      <c r="A231" s="220" t="s">
        <v>6302</v>
      </c>
      <c r="B231" s="220" t="s">
        <v>6263</v>
      </c>
      <c r="C231" s="633"/>
    </row>
    <row r="232" spans="1:5" s="220" customFormat="1">
      <c r="A232" s="220">
        <v>0</v>
      </c>
      <c r="B232" s="220">
        <v>0.5</v>
      </c>
    </row>
    <row r="233" spans="1:5" s="220" customFormat="1">
      <c r="A233" s="220">
        <v>2.1</v>
      </c>
      <c r="B233" s="220">
        <v>0.75</v>
      </c>
    </row>
    <row r="234" spans="1:5" s="220" customFormat="1">
      <c r="A234" s="220">
        <v>4.0999999999999996</v>
      </c>
      <c r="B234" s="220">
        <v>1</v>
      </c>
    </row>
    <row r="235" spans="1:5" s="220" customFormat="1">
      <c r="A235" s="220">
        <v>7.1</v>
      </c>
      <c r="B235" s="220">
        <v>1.5</v>
      </c>
    </row>
    <row r="236" spans="1:5" s="220" customFormat="1">
      <c r="A236" s="220">
        <v>21.1</v>
      </c>
      <c r="B236" s="220">
        <v>2</v>
      </c>
    </row>
    <row r="237" spans="1:5" s="220" customFormat="1">
      <c r="A237" s="220">
        <v>41.1</v>
      </c>
      <c r="B237" s="220">
        <v>2.5</v>
      </c>
    </row>
    <row r="238" spans="1:5" s="220" customFormat="1">
      <c r="A238" s="220">
        <v>66.099999999999994</v>
      </c>
      <c r="B238" s="220">
        <v>3</v>
      </c>
    </row>
    <row r="239" spans="1:5" s="220" customFormat="1">
      <c r="A239" s="220">
        <v>116.1</v>
      </c>
      <c r="B239" s="220">
        <v>4</v>
      </c>
    </row>
    <row r="240" spans="1:5" s="220" customFormat="1">
      <c r="A240" s="220">
        <v>238.1</v>
      </c>
      <c r="B240" s="220">
        <v>6</v>
      </c>
    </row>
    <row r="241" spans="1:7" s="220" customFormat="1">
      <c r="A241" s="220">
        <v>697.1</v>
      </c>
      <c r="B241" s="220">
        <v>8</v>
      </c>
    </row>
    <row r="242" spans="1:7" s="220" customFormat="1">
      <c r="A242" s="220">
        <v>1435.1</v>
      </c>
      <c r="B242" s="220">
        <v>10</v>
      </c>
    </row>
    <row r="243" spans="1:7" s="220" customFormat="1">
      <c r="A243" s="220">
        <v>2608.1</v>
      </c>
      <c r="B243" s="220">
        <v>12</v>
      </c>
    </row>
    <row r="244" spans="1:7" s="220" customFormat="1">
      <c r="A244" s="220">
        <v>4132.1000000000004</v>
      </c>
      <c r="B244" s="220">
        <v>14</v>
      </c>
    </row>
    <row r="245" spans="1:7" s="220" customFormat="1">
      <c r="A245" s="220">
        <v>5299.1</v>
      </c>
      <c r="B245" s="220">
        <v>16</v>
      </c>
    </row>
    <row r="246" spans="1:7" s="220" customFormat="1">
      <c r="A246" s="220">
        <v>7528.1</v>
      </c>
      <c r="B246" s="220">
        <v>18</v>
      </c>
    </row>
    <row r="247" spans="1:7" s="220" customFormat="1">
      <c r="A247" s="220">
        <v>10265.1</v>
      </c>
      <c r="B247" s="220">
        <v>20</v>
      </c>
    </row>
    <row r="248" spans="1:7" s="220" customFormat="1">
      <c r="A248" s="220">
        <v>13643.1</v>
      </c>
      <c r="B248" s="220">
        <v>24</v>
      </c>
    </row>
    <row r="249" spans="1:7" s="220" customFormat="1">
      <c r="A249" s="220">
        <v>22174.1</v>
      </c>
      <c r="B249" s="220">
        <v>30</v>
      </c>
    </row>
    <row r="250" spans="1:7" s="220" customFormat="1">
      <c r="A250" s="220">
        <v>50561.1</v>
      </c>
      <c r="B250" s="220">
        <v>36</v>
      </c>
    </row>
    <row r="251" spans="1:7" s="220" customFormat="1">
      <c r="A251" s="220">
        <v>81777.100000000006</v>
      </c>
      <c r="B251" s="220">
        <v>42</v>
      </c>
    </row>
    <row r="252" spans="1:7" s="220" customFormat="1">
      <c r="A252" s="220">
        <v>122025.1</v>
      </c>
      <c r="B252" s="220">
        <v>48</v>
      </c>
    </row>
    <row r="255" spans="1:7" s="220" customFormat="1">
      <c r="A255" s="63" t="s">
        <v>6303</v>
      </c>
    </row>
    <row r="256" spans="1:7" s="220" customFormat="1">
      <c r="A256" s="538" t="s">
        <v>6304</v>
      </c>
      <c r="B256" s="538" t="s">
        <v>6305</v>
      </c>
      <c r="C256" s="538" t="s">
        <v>6200</v>
      </c>
      <c r="D256" s="538" t="s">
        <v>6201</v>
      </c>
      <c r="E256" s="538" t="s">
        <v>6202</v>
      </c>
      <c r="F256" s="538" t="s">
        <v>6203</v>
      </c>
      <c r="G256" s="538" t="s">
        <v>6306</v>
      </c>
    </row>
    <row r="257" spans="1:15" s="220" customFormat="1">
      <c r="A257" s="220">
        <v>0</v>
      </c>
      <c r="B257" s="220">
        <v>30</v>
      </c>
      <c r="C257" s="220">
        <v>5</v>
      </c>
      <c r="D257" s="220">
        <v>5</v>
      </c>
      <c r="E257" s="1170">
        <v>0.41666666666666669</v>
      </c>
      <c r="F257" s="1170">
        <v>0.41666666666666669</v>
      </c>
      <c r="G257" s="220">
        <v>0</v>
      </c>
    </row>
    <row r="258" spans="1:15" s="220" customFormat="1">
      <c r="A258" s="220">
        <v>31</v>
      </c>
      <c r="B258" s="220">
        <v>110</v>
      </c>
      <c r="C258" s="220">
        <v>12</v>
      </c>
      <c r="D258" s="220">
        <v>12</v>
      </c>
      <c r="E258" s="1170">
        <v>1</v>
      </c>
      <c r="F258" s="1170">
        <v>1</v>
      </c>
      <c r="G258" s="220">
        <v>0</v>
      </c>
    </row>
    <row r="259" spans="1:15" s="220" customFormat="1">
      <c r="A259" s="220">
        <v>111</v>
      </c>
      <c r="B259" s="220">
        <v>400</v>
      </c>
      <c r="C259" s="220">
        <v>16</v>
      </c>
      <c r="D259" s="220">
        <v>16</v>
      </c>
      <c r="E259" s="1170">
        <v>1.3333333333333333</v>
      </c>
      <c r="F259" s="1170">
        <v>1.3333333333333333</v>
      </c>
      <c r="G259" s="220">
        <v>0</v>
      </c>
    </row>
    <row r="260" spans="1:15" s="220" customFormat="1">
      <c r="A260" s="220">
        <v>401</v>
      </c>
      <c r="B260" s="220">
        <v>875</v>
      </c>
      <c r="C260" s="220">
        <v>24</v>
      </c>
      <c r="D260" s="220">
        <v>24</v>
      </c>
      <c r="E260" s="1170">
        <v>2</v>
      </c>
      <c r="F260" s="1170">
        <v>2</v>
      </c>
      <c r="G260" s="220">
        <v>0.25</v>
      </c>
    </row>
    <row r="261" spans="1:15" s="220" customFormat="1">
      <c r="A261" s="220">
        <v>876</v>
      </c>
      <c r="B261" s="220">
        <v>2500</v>
      </c>
      <c r="C261" s="220">
        <v>36</v>
      </c>
      <c r="D261" s="220">
        <v>36</v>
      </c>
      <c r="E261" s="1170">
        <v>3</v>
      </c>
      <c r="F261" s="1170">
        <v>3</v>
      </c>
      <c r="G261" s="220">
        <v>0.25</v>
      </c>
    </row>
    <row r="262" spans="1:15" s="220" customFormat="1">
      <c r="A262" s="220">
        <v>2501</v>
      </c>
      <c r="B262" s="220">
        <v>6000</v>
      </c>
      <c r="C262" s="220">
        <v>46</v>
      </c>
      <c r="D262" s="220">
        <v>46</v>
      </c>
      <c r="E262" s="1170">
        <v>3.8333333333333335</v>
      </c>
      <c r="F262" s="1170">
        <v>3.8333333333333335</v>
      </c>
      <c r="G262" s="220">
        <v>0.25</v>
      </c>
    </row>
    <row r="263" spans="1:15" s="220" customFormat="1">
      <c r="A263" s="220">
        <v>6001</v>
      </c>
      <c r="B263" s="220">
        <v>20000</v>
      </c>
      <c r="C263" s="220">
        <v>66</v>
      </c>
      <c r="D263" s="220">
        <v>66</v>
      </c>
      <c r="E263" s="1170">
        <v>5.5</v>
      </c>
      <c r="F263" s="1170">
        <v>5.5</v>
      </c>
      <c r="G263" s="220">
        <v>0.33</v>
      </c>
    </row>
    <row r="266" spans="1:15" s="220" customFormat="1">
      <c r="A266" s="63" t="s">
        <v>6307</v>
      </c>
      <c r="O266" s="633"/>
    </row>
    <row r="267" spans="1:15" s="220" customFormat="1">
      <c r="A267" s="220" t="s">
        <v>6308</v>
      </c>
      <c r="B267" s="220" t="s">
        <v>6309</v>
      </c>
      <c r="C267" s="220" t="s">
        <v>6202</v>
      </c>
      <c r="D267" s="220" t="s">
        <v>6203</v>
      </c>
      <c r="O267" s="633"/>
    </row>
    <row r="268" spans="1:15" s="220" customFormat="1">
      <c r="A268" s="220">
        <v>0</v>
      </c>
      <c r="B268" s="220">
        <v>350</v>
      </c>
      <c r="C268" s="220">
        <v>2.5</v>
      </c>
      <c r="D268" s="220">
        <v>2.5</v>
      </c>
      <c r="O268" s="633"/>
    </row>
    <row r="269" spans="1:15" s="220" customFormat="1">
      <c r="A269" s="220">
        <v>351</v>
      </c>
      <c r="B269" s="220">
        <v>1740</v>
      </c>
      <c r="C269" s="220">
        <v>3.75</v>
      </c>
      <c r="D269" s="220">
        <v>3.75</v>
      </c>
      <c r="O269" s="633"/>
    </row>
    <row r="270" spans="1:15" s="220" customFormat="1">
      <c r="A270" s="220">
        <v>1741</v>
      </c>
      <c r="B270" s="220">
        <v>7000</v>
      </c>
      <c r="C270" s="220">
        <v>5</v>
      </c>
      <c r="D270" s="220">
        <v>5</v>
      </c>
      <c r="O270" s="633"/>
    </row>
    <row r="271" spans="1:15" s="220" customFormat="1">
      <c r="A271" s="220">
        <v>7001</v>
      </c>
      <c r="B271" s="220">
        <v>35000</v>
      </c>
      <c r="C271" s="277">
        <v>7.083333333333333</v>
      </c>
      <c r="D271" s="277">
        <v>7.083333333333333</v>
      </c>
      <c r="O271" s="633"/>
    </row>
    <row r="274" spans="1:3" s="220" customFormat="1">
      <c r="A274" s="63" t="s">
        <v>6310</v>
      </c>
    </row>
    <row r="275" spans="1:3" s="220" customFormat="1">
      <c r="A275" s="220" t="s">
        <v>6311</v>
      </c>
      <c r="B275" s="220" t="s">
        <v>6312</v>
      </c>
    </row>
    <row r="276" spans="1:3" s="220" customFormat="1">
      <c r="A276" s="220">
        <v>0</v>
      </c>
      <c r="B276" s="220">
        <v>150</v>
      </c>
      <c r="C276" s="220" t="s">
        <v>3749</v>
      </c>
    </row>
    <row r="277" spans="1:3" s="220" customFormat="1">
      <c r="A277" s="220">
        <v>150.1</v>
      </c>
      <c r="B277" s="220">
        <v>300</v>
      </c>
      <c r="C277" s="220" t="s">
        <v>3749</v>
      </c>
    </row>
    <row r="278" spans="1:3" s="220" customFormat="1">
      <c r="A278" s="220">
        <v>300.10000000000002</v>
      </c>
      <c r="B278" s="220">
        <v>450</v>
      </c>
      <c r="C278" s="220" t="s">
        <v>3749</v>
      </c>
    </row>
    <row r="279" spans="1:3" s="220" customFormat="1">
      <c r="A279" s="220">
        <v>450.1</v>
      </c>
      <c r="B279" s="220">
        <v>600</v>
      </c>
      <c r="C279" s="220" t="s">
        <v>3749</v>
      </c>
    </row>
    <row r="282" spans="1:3" s="220" customFormat="1">
      <c r="A282" s="554" t="s">
        <v>6313</v>
      </c>
      <c r="B282" s="554" t="s">
        <v>6314</v>
      </c>
      <c r="C282" s="554" t="s">
        <v>6315</v>
      </c>
    </row>
    <row r="283" spans="1:3" s="220" customFormat="1">
      <c r="A283" s="633" t="s">
        <v>6316</v>
      </c>
      <c r="B283" s="1198" t="s">
        <v>6317</v>
      </c>
      <c r="C283" s="633" t="s">
        <v>6318</v>
      </c>
    </row>
    <row r="284" spans="1:3" s="220" customFormat="1">
      <c r="A284" s="633" t="s">
        <v>6138</v>
      </c>
      <c r="B284" s="1198" t="s">
        <v>6319</v>
      </c>
      <c r="C284" s="633" t="s">
        <v>6320</v>
      </c>
    </row>
    <row r="285" spans="1:3" s="220" customFormat="1">
      <c r="A285" s="633" t="s">
        <v>6137</v>
      </c>
      <c r="B285" s="1198" t="s">
        <v>6319</v>
      </c>
      <c r="C285" s="633" t="s">
        <v>6320</v>
      </c>
    </row>
    <row r="286" spans="1:3" s="220" customFormat="1">
      <c r="A286" s="633" t="s">
        <v>6140</v>
      </c>
      <c r="B286" s="1198" t="s">
        <v>6319</v>
      </c>
      <c r="C286" s="633" t="s">
        <v>6320</v>
      </c>
    </row>
    <row r="287" spans="1:3" s="220" customFormat="1">
      <c r="A287" s="633" t="s">
        <v>6139</v>
      </c>
      <c r="B287" s="1198" t="s">
        <v>6319</v>
      </c>
      <c r="C287" s="633" t="s">
        <v>6320</v>
      </c>
    </row>
    <row r="288" spans="1:3" s="220" customFormat="1">
      <c r="A288" s="220" t="s">
        <v>6321</v>
      </c>
      <c r="B288" s="1198" t="s">
        <v>6319</v>
      </c>
      <c r="C288" s="633" t="s">
        <v>6320</v>
      </c>
    </row>
    <row r="289" spans="1:3" s="220" customFormat="1">
      <c r="A289" s="633" t="s">
        <v>6145</v>
      </c>
      <c r="B289" s="1198" t="s">
        <v>6322</v>
      </c>
      <c r="C289" s="633" t="s">
        <v>6323</v>
      </c>
    </row>
    <row r="290" spans="1:3" s="220" customFormat="1">
      <c r="A290" s="633" t="s">
        <v>6144</v>
      </c>
      <c r="B290" s="1198" t="s">
        <v>6324</v>
      </c>
      <c r="C290" s="633" t="s">
        <v>6325</v>
      </c>
    </row>
    <row r="291" spans="1:3" s="220" customFormat="1">
      <c r="A291" s="633" t="s">
        <v>4228</v>
      </c>
      <c r="B291" s="1198" t="s">
        <v>6326</v>
      </c>
      <c r="C291" s="633" t="s">
        <v>6327</v>
      </c>
    </row>
    <row r="292" spans="1:3" s="220" customFormat="1">
      <c r="A292" s="633" t="s">
        <v>6328</v>
      </c>
      <c r="B292" s="1198" t="s">
        <v>6329</v>
      </c>
      <c r="C292" s="633" t="s">
        <v>6330</v>
      </c>
    </row>
    <row r="293" spans="1:3" s="220" customFormat="1">
      <c r="A293" s="633" t="s">
        <v>6331</v>
      </c>
      <c r="B293" s="1198" t="s">
        <v>6332</v>
      </c>
      <c r="C293" s="633" t="s">
        <v>6333</v>
      </c>
    </row>
    <row r="294" spans="1:3" s="220" customFormat="1">
      <c r="A294" s="633" t="s">
        <v>6334</v>
      </c>
      <c r="B294" s="1198" t="s">
        <v>6332</v>
      </c>
      <c r="C294" s="633" t="s">
        <v>6333</v>
      </c>
    </row>
    <row r="295" spans="1:3" s="220" customFormat="1">
      <c r="A295" s="633" t="s">
        <v>6335</v>
      </c>
      <c r="B295" s="220" t="s">
        <v>6336</v>
      </c>
      <c r="C295" s="633" t="s">
        <v>6335</v>
      </c>
    </row>
    <row r="296" spans="1:3" s="220" customFormat="1">
      <c r="A296" s="633" t="s">
        <v>6337</v>
      </c>
      <c r="B296" s="1198" t="s">
        <v>6338</v>
      </c>
      <c r="C296" s="633" t="s">
        <v>6339</v>
      </c>
    </row>
    <row r="297" spans="1:3" s="220" customFormat="1">
      <c r="A297" s="633" t="s">
        <v>6143</v>
      </c>
      <c r="B297" s="1198" t="s">
        <v>6338</v>
      </c>
      <c r="C297" s="633" t="s">
        <v>6339</v>
      </c>
    </row>
    <row r="298" spans="1:3" s="220" customFormat="1">
      <c r="A298" s="633" t="s">
        <v>4228</v>
      </c>
      <c r="B298" s="1198" t="s">
        <v>6340</v>
      </c>
      <c r="C298" s="633" t="s">
        <v>6341</v>
      </c>
    </row>
    <row r="299" spans="1:3" s="220" customFormat="1">
      <c r="A299" s="633" t="s">
        <v>6342</v>
      </c>
      <c r="B299" s="1198" t="s">
        <v>6343</v>
      </c>
      <c r="C299" s="633" t="s">
        <v>6344</v>
      </c>
    </row>
    <row r="300" spans="1:3" s="220" customFormat="1">
      <c r="A300" s="633" t="s">
        <v>6345</v>
      </c>
      <c r="B300" s="220" t="s">
        <v>6346</v>
      </c>
      <c r="C300" s="633" t="s">
        <v>6345</v>
      </c>
    </row>
    <row r="301" spans="1:3" s="220" customFormat="1">
      <c r="A301" s="633" t="s">
        <v>6120</v>
      </c>
      <c r="B301" s="220" t="s">
        <v>6347</v>
      </c>
      <c r="C301" s="633" t="s">
        <v>6348</v>
      </c>
    </row>
    <row r="302" spans="1:3" s="220" customFormat="1">
      <c r="A302" s="633" t="s">
        <v>4228</v>
      </c>
      <c r="B302" s="1198" t="s">
        <v>6349</v>
      </c>
      <c r="C302" s="633" t="s">
        <v>6350</v>
      </c>
    </row>
    <row r="303" spans="1:3" s="220" customFormat="1">
      <c r="A303" s="633" t="s">
        <v>6127</v>
      </c>
      <c r="B303" s="1198" t="s">
        <v>6351</v>
      </c>
      <c r="C303" s="633" t="s">
        <v>6352</v>
      </c>
    </row>
    <row r="304" spans="1:3" s="220" customFormat="1">
      <c r="A304" s="633" t="s">
        <v>6128</v>
      </c>
      <c r="B304" s="1198" t="s">
        <v>6351</v>
      </c>
      <c r="C304" s="633" t="s">
        <v>6352</v>
      </c>
    </row>
    <row r="305" spans="1:3" s="220" customFormat="1">
      <c r="A305" s="633" t="s">
        <v>6126</v>
      </c>
      <c r="B305" s="1198" t="s">
        <v>6351</v>
      </c>
      <c r="C305" s="633" t="s">
        <v>6352</v>
      </c>
    </row>
    <row r="306" spans="1:3" s="220" customFormat="1">
      <c r="A306" s="633" t="s">
        <v>6353</v>
      </c>
      <c r="B306" s="1198" t="s">
        <v>6351</v>
      </c>
      <c r="C306" s="633" t="s">
        <v>6352</v>
      </c>
    </row>
    <row r="307" spans="1:3" s="220" customFormat="1">
      <c r="A307" s="633" t="s">
        <v>6354</v>
      </c>
      <c r="B307" s="1198" t="s">
        <v>6351</v>
      </c>
      <c r="C307" s="633" t="s">
        <v>6352</v>
      </c>
    </row>
    <row r="308" spans="1:3" s="220" customFormat="1">
      <c r="A308" s="633" t="s">
        <v>6355</v>
      </c>
      <c r="B308" s="1198" t="s">
        <v>6356</v>
      </c>
      <c r="C308" s="633" t="s">
        <v>6357</v>
      </c>
    </row>
    <row r="309" spans="1:3" s="220" customFormat="1">
      <c r="A309" s="633" t="s">
        <v>6358</v>
      </c>
      <c r="B309" s="1198" t="s">
        <v>6359</v>
      </c>
      <c r="C309" s="633" t="s">
        <v>6360</v>
      </c>
    </row>
    <row r="310" spans="1:3" s="220" customFormat="1">
      <c r="A310" s="633" t="s">
        <v>6130</v>
      </c>
      <c r="B310" s="1198" t="s">
        <v>6359</v>
      </c>
      <c r="C310" s="633" t="s">
        <v>6360</v>
      </c>
    </row>
    <row r="311" spans="1:3" s="220" customFormat="1">
      <c r="A311" s="633" t="s">
        <v>4228</v>
      </c>
      <c r="B311" s="1198" t="s">
        <v>6361</v>
      </c>
      <c r="C311" s="633" t="s">
        <v>6362</v>
      </c>
    </row>
    <row r="312" spans="1:3" s="220" customFormat="1">
      <c r="A312" s="633" t="s">
        <v>6363</v>
      </c>
      <c r="B312" s="1198" t="s">
        <v>6364</v>
      </c>
      <c r="C312" s="633" t="s">
        <v>6365</v>
      </c>
    </row>
    <row r="313" spans="1:3" s="220" customFormat="1">
      <c r="A313" s="633" t="s">
        <v>4228</v>
      </c>
      <c r="B313" s="1198" t="s">
        <v>6366</v>
      </c>
      <c r="C313" s="633" t="s">
        <v>6367</v>
      </c>
    </row>
    <row r="314" spans="1:3" s="220" customFormat="1">
      <c r="A314" s="633" t="s">
        <v>6368</v>
      </c>
      <c r="B314" s="1198" t="s">
        <v>6369</v>
      </c>
      <c r="C314" s="633" t="s">
        <v>6368</v>
      </c>
    </row>
    <row r="315" spans="1:3" s="220" customFormat="1">
      <c r="A315" s="633" t="s">
        <v>6370</v>
      </c>
      <c r="B315" s="1198" t="s">
        <v>6371</v>
      </c>
      <c r="C315" s="633" t="s">
        <v>6372</v>
      </c>
    </row>
    <row r="316" spans="1:3" s="220" customFormat="1">
      <c r="A316" s="633" t="s">
        <v>6129</v>
      </c>
      <c r="B316" s="1198" t="s">
        <v>6373</v>
      </c>
      <c r="C316" s="633" t="s">
        <v>6374</v>
      </c>
    </row>
    <row r="317" spans="1:3" s="220" customFormat="1">
      <c r="A317" s="633" t="s">
        <v>4228</v>
      </c>
      <c r="B317" s="1198" t="s">
        <v>6375</v>
      </c>
      <c r="C317" s="633" t="s">
        <v>6376</v>
      </c>
    </row>
    <row r="318" spans="1:3" s="220" customFormat="1">
      <c r="A318" s="633" t="s">
        <v>4228</v>
      </c>
      <c r="B318" s="1198" t="s">
        <v>6377</v>
      </c>
      <c r="C318" s="633" t="s">
        <v>6378</v>
      </c>
    </row>
    <row r="319" spans="1:3" s="220" customFormat="1">
      <c r="A319" s="633" t="s">
        <v>6135</v>
      </c>
      <c r="B319" s="1198" t="s">
        <v>6379</v>
      </c>
      <c r="C319" s="633" t="s">
        <v>6380</v>
      </c>
    </row>
    <row r="320" spans="1:3" s="220" customFormat="1">
      <c r="A320" s="633" t="s">
        <v>6381</v>
      </c>
      <c r="B320" s="1198" t="s">
        <v>6382</v>
      </c>
      <c r="C320" s="633" t="s">
        <v>6383</v>
      </c>
    </row>
    <row r="321" spans="1:5" s="220" customFormat="1">
      <c r="A321" s="633" t="s">
        <v>4228</v>
      </c>
      <c r="B321" s="1198" t="s">
        <v>6384</v>
      </c>
      <c r="C321" s="633" t="s">
        <v>6385</v>
      </c>
    </row>
    <row r="324" spans="1:5" s="220" customFormat="1">
      <c r="A324" s="63" t="s">
        <v>6386</v>
      </c>
      <c r="B324" s="633"/>
      <c r="C324" s="633"/>
      <c r="D324" s="633"/>
      <c r="E324" s="633"/>
    </row>
    <row r="325" spans="1:5" s="220" customFormat="1" ht="14">
      <c r="A325" s="220" t="s">
        <v>6387</v>
      </c>
      <c r="B325" s="1199" t="s">
        <v>6388</v>
      </c>
      <c r="C325" s="46" t="s">
        <v>6389</v>
      </c>
    </row>
    <row r="326" spans="1:5" s="220" customFormat="1">
      <c r="A326" s="1200" t="s">
        <v>6390</v>
      </c>
      <c r="B326" s="1200" t="s">
        <v>6391</v>
      </c>
      <c r="C326" s="1200" t="s">
        <v>6392</v>
      </c>
    </row>
    <row r="327" spans="1:5" s="220" customFormat="1">
      <c r="A327" s="1201">
        <v>0</v>
      </c>
      <c r="B327" s="1202">
        <v>347.63563037472028</v>
      </c>
      <c r="C327" s="1201">
        <v>2</v>
      </c>
    </row>
    <row r="328" spans="1:5" s="220" customFormat="1">
      <c r="A328" s="1201">
        <v>2.1</v>
      </c>
      <c r="B328" s="1202">
        <v>681.91181843044774</v>
      </c>
      <c r="C328" s="1201">
        <v>3</v>
      </c>
    </row>
    <row r="329" spans="1:5" s="220" customFormat="1">
      <c r="A329" s="1201">
        <v>3.1</v>
      </c>
      <c r="B329" s="1202">
        <v>1260.0087440508869</v>
      </c>
      <c r="C329" s="1201">
        <v>4</v>
      </c>
    </row>
    <row r="330" spans="1:5" s="220" customFormat="1">
      <c r="A330" s="1201">
        <v>4.0999999999999996</v>
      </c>
      <c r="B330" s="1202">
        <v>2835.0196741144964</v>
      </c>
      <c r="C330" s="1201">
        <v>6</v>
      </c>
    </row>
    <row r="331" spans="1:5" s="220" customFormat="1">
      <c r="A331" s="1201">
        <v>6.1</v>
      </c>
      <c r="B331" s="1202">
        <v>4990.7439767005962</v>
      </c>
      <c r="C331" s="1201">
        <v>8</v>
      </c>
    </row>
    <row r="332" spans="1:5" s="220" customFormat="1">
      <c r="A332" s="1201">
        <v>8.1</v>
      </c>
      <c r="B332" s="1202">
        <v>7813.4106239126322</v>
      </c>
      <c r="C332" s="1201">
        <v>10</v>
      </c>
    </row>
    <row r="333" spans="1:5" s="220" customFormat="1">
      <c r="A333" s="1201">
        <v>10.1</v>
      </c>
      <c r="B333" s="1202">
        <v>11192.326806056015</v>
      </c>
      <c r="C333" s="1201">
        <v>12</v>
      </c>
    </row>
    <row r="334" spans="1:5" s="220" customFormat="1">
      <c r="A334" s="1201">
        <v>12.1</v>
      </c>
      <c r="B334" s="1202">
        <v>15314.284822868764</v>
      </c>
      <c r="C334" s="1201">
        <v>14</v>
      </c>
    </row>
    <row r="335" spans="1:5" s="220" customFormat="1">
      <c r="A335" s="1201">
        <v>14.1</v>
      </c>
      <c r="B335" s="1202">
        <v>20002.331197216343</v>
      </c>
      <c r="C335" s="1201">
        <v>16</v>
      </c>
    </row>
    <row r="336" spans="1:5" s="220" customFormat="1">
      <c r="A336" s="1201">
        <v>16.100000000000001</v>
      </c>
      <c r="B336" s="1202">
        <v>25315.450421476933</v>
      </c>
      <c r="C336" s="1201">
        <v>18</v>
      </c>
    </row>
    <row r="337" spans="1:3" s="220" customFormat="1">
      <c r="A337" s="1201">
        <v>18.100000000000001</v>
      </c>
      <c r="B337" s="1202">
        <v>31130.717767160371</v>
      </c>
      <c r="C337" s="1201">
        <v>20</v>
      </c>
    </row>
    <row r="338" spans="1:3" s="220" customFormat="1">
      <c r="A338" s="1201">
        <v>20.100000000000001</v>
      </c>
      <c r="B338" s="1202">
        <v>45064.326572600447</v>
      </c>
      <c r="C338" s="1201">
        <v>24</v>
      </c>
    </row>
    <row r="339" spans="1:3" s="220" customFormat="1">
      <c r="A339" s="1201">
        <v>24.1</v>
      </c>
      <c r="B339" s="1202">
        <v>61050.596681665913</v>
      </c>
      <c r="C339" s="1201">
        <v>28</v>
      </c>
    </row>
    <row r="340" spans="1:3" s="220" customFormat="1">
      <c r="A340" s="1201">
        <v>28.1</v>
      </c>
      <c r="B340" s="1202">
        <v>70505.385478216151</v>
      </c>
      <c r="C340" s="1201">
        <v>30</v>
      </c>
    </row>
    <row r="341" spans="1:3" s="220" customFormat="1">
      <c r="A341" s="1201">
        <v>30.1</v>
      </c>
      <c r="B341" s="1202">
        <v>124768.59941751491</v>
      </c>
      <c r="C341" s="1201">
        <v>40</v>
      </c>
    </row>
    <row r="342" spans="1:3" s="220" customFormat="1">
      <c r="A342" s="1201">
        <v>40.1</v>
      </c>
      <c r="B342" s="1202">
        <v>137828.56340581886</v>
      </c>
      <c r="C342" s="1201">
        <v>42</v>
      </c>
    </row>
    <row r="343" spans="1:3" s="220" customFormat="1">
      <c r="A343" s="1201">
        <v>42.1</v>
      </c>
      <c r="B343" s="1202">
        <v>180257.30629040179</v>
      </c>
      <c r="C343" s="1201">
        <v>48</v>
      </c>
    </row>
  </sheetData>
  <phoneticPr fontId="70" type="noConversion"/>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
  <dimension ref="A1:K274"/>
  <sheetViews>
    <sheetView zoomScaleNormal="100" workbookViewId="0">
      <pane ySplit="2" topLeftCell="A3" activePane="bottomLeft" state="frozen"/>
      <selection pane="bottomLeft"/>
    </sheetView>
  </sheetViews>
  <sheetFormatPr baseColWidth="10" defaultColWidth="9.1640625" defaultRowHeight="13"/>
  <cols>
    <col min="1" max="1" width="37.1640625" style="77" customWidth="1"/>
    <col min="2" max="2" width="20.83203125" style="77" bestFit="1" customWidth="1"/>
    <col min="3" max="3" width="27.5" style="77" customWidth="1"/>
    <col min="4" max="4" width="15.1640625" style="77" customWidth="1"/>
    <col min="5" max="5" width="13.5" style="77" customWidth="1"/>
    <col min="6" max="6" width="14.1640625" style="77" customWidth="1"/>
    <col min="7" max="7" width="17.83203125" style="77" customWidth="1"/>
    <col min="8" max="8" width="17.5" style="77" customWidth="1"/>
    <col min="9" max="16384" width="9.1640625" style="77"/>
  </cols>
  <sheetData>
    <row r="1" spans="1:5">
      <c r="A1" s="20" t="s">
        <v>5512</v>
      </c>
    </row>
    <row r="2" spans="1:5">
      <c r="A2" s="813" t="s">
        <v>5513</v>
      </c>
    </row>
    <row r="3" spans="1:5">
      <c r="A3" s="813"/>
    </row>
    <row r="4" spans="1:5">
      <c r="A4" s="101" t="s">
        <v>2857</v>
      </c>
    </row>
    <row r="5" spans="1:5">
      <c r="B5" s="77" t="s">
        <v>4109</v>
      </c>
      <c r="C5" s="77" t="s">
        <v>4110</v>
      </c>
    </row>
    <row r="6" spans="1:5">
      <c r="A6" s="97" t="s">
        <v>3121</v>
      </c>
      <c r="B6" s="890">
        <v>0</v>
      </c>
      <c r="C6" s="896">
        <v>0</v>
      </c>
    </row>
    <row r="7" spans="1:5">
      <c r="B7" s="890">
        <v>3</v>
      </c>
      <c r="C7" s="896">
        <v>0.05</v>
      </c>
    </row>
    <row r="8" spans="1:5">
      <c r="B8" s="890">
        <v>5</v>
      </c>
      <c r="C8" s="897">
        <v>0.125</v>
      </c>
    </row>
    <row r="9" spans="1:5">
      <c r="B9" s="890">
        <v>7</v>
      </c>
      <c r="C9" s="896">
        <v>0.2</v>
      </c>
    </row>
    <row r="10" spans="1:5">
      <c r="B10" s="890">
        <v>9</v>
      </c>
      <c r="C10" s="896">
        <v>0.3</v>
      </c>
    </row>
    <row r="11" spans="1:5">
      <c r="B11" s="85"/>
    </row>
    <row r="12" spans="1:5">
      <c r="A12" s="101" t="s">
        <v>1859</v>
      </c>
    </row>
    <row r="13" spans="1:5">
      <c r="B13" s="77" t="s">
        <v>4109</v>
      </c>
      <c r="C13" s="77" t="s">
        <v>4110</v>
      </c>
      <c r="E13" s="78" t="s">
        <v>5201</v>
      </c>
    </row>
    <row r="14" spans="1:5">
      <c r="A14" s="97" t="s">
        <v>3120</v>
      </c>
      <c r="B14" s="890">
        <v>1</v>
      </c>
      <c r="C14" s="896">
        <v>0</v>
      </c>
      <c r="D14" s="90"/>
    </row>
    <row r="15" spans="1:5">
      <c r="B15" s="890">
        <v>2</v>
      </c>
      <c r="C15" s="896">
        <v>0.01</v>
      </c>
      <c r="D15" s="90"/>
    </row>
    <row r="16" spans="1:5">
      <c r="B16" s="890">
        <v>4</v>
      </c>
      <c r="C16" s="896">
        <v>0.02</v>
      </c>
      <c r="D16" s="90"/>
    </row>
    <row r="17" spans="1:5">
      <c r="B17" s="890">
        <v>6</v>
      </c>
      <c r="C17" s="896">
        <v>0.04</v>
      </c>
      <c r="D17" s="90"/>
    </row>
    <row r="18" spans="1:5">
      <c r="B18" s="890">
        <v>12</v>
      </c>
      <c r="C18" s="896">
        <v>0.05</v>
      </c>
      <c r="D18" s="90"/>
    </row>
    <row r="19" spans="1:5">
      <c r="B19" s="890">
        <v>16</v>
      </c>
      <c r="C19" s="896">
        <v>7.0000000000000007E-2</v>
      </c>
      <c r="D19" s="90"/>
    </row>
    <row r="20" spans="1:5">
      <c r="B20" s="890">
        <v>24</v>
      </c>
      <c r="C20" s="896">
        <v>0.09</v>
      </c>
      <c r="D20" s="90"/>
    </row>
    <row r="21" spans="1:5">
      <c r="B21" s="890">
        <v>36</v>
      </c>
      <c r="C21" s="896">
        <v>0.1</v>
      </c>
      <c r="D21" s="90"/>
    </row>
    <row r="22" spans="1:5">
      <c r="B22" s="85"/>
    </row>
    <row r="23" spans="1:5">
      <c r="A23" s="101" t="s">
        <v>939</v>
      </c>
    </row>
    <row r="24" spans="1:5">
      <c r="B24" s="77" t="s">
        <v>974</v>
      </c>
      <c r="C24" s="77" t="s">
        <v>975</v>
      </c>
      <c r="D24" s="77" t="s">
        <v>976</v>
      </c>
      <c r="E24" s="78" t="s">
        <v>1546</v>
      </c>
    </row>
    <row r="25" spans="1:5">
      <c r="A25" s="97" t="s">
        <v>3118</v>
      </c>
      <c r="B25" s="890">
        <v>0</v>
      </c>
      <c r="C25" s="890">
        <v>0.05</v>
      </c>
      <c r="D25" s="890">
        <v>16</v>
      </c>
    </row>
    <row r="26" spans="1:5">
      <c r="B26" s="890">
        <v>5.0999999999999997E-2</v>
      </c>
      <c r="C26" s="890">
        <v>0.1</v>
      </c>
      <c r="D26" s="890">
        <v>16</v>
      </c>
    </row>
    <row r="27" spans="1:5">
      <c r="B27" s="890">
        <v>0.10100000000000001</v>
      </c>
      <c r="C27" s="890">
        <v>0.2</v>
      </c>
      <c r="D27" s="890">
        <v>16</v>
      </c>
    </row>
    <row r="28" spans="1:5">
      <c r="B28" s="890">
        <v>0.20100000000000001</v>
      </c>
      <c r="C28" s="890">
        <v>0.5</v>
      </c>
      <c r="D28" s="890">
        <v>24</v>
      </c>
    </row>
    <row r="29" spans="1:5">
      <c r="B29" s="890">
        <v>0.501</v>
      </c>
      <c r="C29" s="890">
        <v>1</v>
      </c>
      <c r="D29" s="890">
        <v>24</v>
      </c>
    </row>
    <row r="30" spans="1:5">
      <c r="B30" s="890">
        <v>1.0009999999999999</v>
      </c>
      <c r="C30" s="890">
        <v>2</v>
      </c>
      <c r="D30" s="890">
        <v>24</v>
      </c>
    </row>
    <row r="31" spans="1:5">
      <c r="B31" s="890">
        <v>2.0009999999999999</v>
      </c>
      <c r="C31" s="890">
        <v>5</v>
      </c>
      <c r="D31" s="890">
        <v>24</v>
      </c>
    </row>
    <row r="33" spans="1:5">
      <c r="A33" s="101" t="s">
        <v>2110</v>
      </c>
      <c r="B33" s="97"/>
      <c r="D33" s="103"/>
      <c r="E33" s="103"/>
    </row>
    <row r="34" spans="1:5">
      <c r="B34" s="77" t="s">
        <v>2112</v>
      </c>
      <c r="C34" s="77" t="s">
        <v>2111</v>
      </c>
      <c r="D34" s="77" t="s">
        <v>2113</v>
      </c>
    </row>
    <row r="35" spans="1:5">
      <c r="A35" s="97" t="s">
        <v>3974</v>
      </c>
      <c r="B35" s="894">
        <v>0</v>
      </c>
      <c r="C35" s="894">
        <v>2.5</v>
      </c>
      <c r="D35" s="895">
        <v>3</v>
      </c>
    </row>
    <row r="36" spans="1:5">
      <c r="B36" s="894">
        <v>2.6</v>
      </c>
      <c r="C36" s="894">
        <v>4</v>
      </c>
      <c r="D36" s="895">
        <v>8</v>
      </c>
    </row>
    <row r="37" spans="1:5">
      <c r="B37" s="894">
        <v>4.0999999999999996</v>
      </c>
      <c r="C37" s="894">
        <v>6</v>
      </c>
      <c r="D37" s="895">
        <v>16</v>
      </c>
    </row>
    <row r="38" spans="1:5">
      <c r="B38" s="894">
        <v>6.1</v>
      </c>
      <c r="C38" s="894">
        <v>8</v>
      </c>
      <c r="D38" s="895">
        <v>30</v>
      </c>
    </row>
    <row r="39" spans="1:5">
      <c r="B39" s="289"/>
      <c r="C39" s="289"/>
      <c r="D39" s="290"/>
    </row>
    <row r="40" spans="1:5">
      <c r="A40" s="101" t="s">
        <v>4667</v>
      </c>
      <c r="E40" s="78" t="s">
        <v>4668</v>
      </c>
    </row>
    <row r="41" spans="1:5">
      <c r="B41" s="77" t="s">
        <v>3122</v>
      </c>
      <c r="C41" s="77" t="s">
        <v>3123</v>
      </c>
      <c r="D41" s="77" t="s">
        <v>4669</v>
      </c>
    </row>
    <row r="42" spans="1:5">
      <c r="A42" s="97" t="s">
        <v>4665</v>
      </c>
      <c r="B42" s="890">
        <v>0</v>
      </c>
      <c r="C42" s="890">
        <v>2</v>
      </c>
      <c r="D42" s="890">
        <v>3</v>
      </c>
    </row>
    <row r="43" spans="1:5">
      <c r="B43" s="890">
        <f>C42+1</f>
        <v>3</v>
      </c>
      <c r="C43" s="890">
        <v>4</v>
      </c>
      <c r="D43" s="890">
        <v>5</v>
      </c>
    </row>
    <row r="44" spans="1:5">
      <c r="B44" s="890">
        <f>C43+1</f>
        <v>5</v>
      </c>
      <c r="C44" s="890">
        <v>12</v>
      </c>
      <c r="D44" s="890">
        <v>6</v>
      </c>
    </row>
    <row r="45" spans="1:5">
      <c r="B45" s="890">
        <f>C44+1</f>
        <v>13</v>
      </c>
      <c r="C45" s="890">
        <v>30</v>
      </c>
      <c r="D45" s="890">
        <v>8</v>
      </c>
    </row>
    <row r="46" spans="1:5">
      <c r="B46" s="890">
        <f>C45+1</f>
        <v>31</v>
      </c>
      <c r="C46" s="890">
        <v>50</v>
      </c>
      <c r="D46" s="890">
        <v>10</v>
      </c>
    </row>
    <row r="48" spans="1:5">
      <c r="A48" s="101" t="s">
        <v>4670</v>
      </c>
    </row>
    <row r="49" spans="1:4">
      <c r="B49" s="77" t="s">
        <v>3122</v>
      </c>
      <c r="C49" s="77" t="s">
        <v>3123</v>
      </c>
      <c r="D49" s="77" t="s">
        <v>4669</v>
      </c>
    </row>
    <row r="50" spans="1:4">
      <c r="A50" s="97" t="s">
        <v>4666</v>
      </c>
      <c r="B50" s="890">
        <v>0</v>
      </c>
      <c r="C50" s="890">
        <v>6</v>
      </c>
      <c r="D50" s="890">
        <v>10</v>
      </c>
    </row>
    <row r="51" spans="1:4">
      <c r="B51" s="890">
        <f>C50+1</f>
        <v>7</v>
      </c>
      <c r="C51" s="890">
        <v>12</v>
      </c>
      <c r="D51" s="890">
        <v>16.5</v>
      </c>
    </row>
    <row r="52" spans="1:4">
      <c r="B52" s="890">
        <f>C51+1</f>
        <v>13</v>
      </c>
      <c r="C52" s="890">
        <v>24</v>
      </c>
      <c r="D52" s="890">
        <v>16.5</v>
      </c>
    </row>
    <row r="53" spans="1:4">
      <c r="B53" s="890">
        <f>C52+1</f>
        <v>25</v>
      </c>
      <c r="C53" s="890">
        <v>40</v>
      </c>
      <c r="D53" s="890">
        <f>D52+6.5</f>
        <v>23</v>
      </c>
    </row>
    <row r="55" spans="1:4">
      <c r="A55" s="101" t="s">
        <v>1171</v>
      </c>
    </row>
    <row r="56" spans="1:4">
      <c r="B56" s="77" t="s">
        <v>1172</v>
      </c>
      <c r="C56" s="77" t="s">
        <v>1173</v>
      </c>
      <c r="D56" s="77" t="s">
        <v>2126</v>
      </c>
    </row>
    <row r="57" spans="1:4">
      <c r="A57" s="97" t="s">
        <v>3117</v>
      </c>
      <c r="B57" s="890">
        <v>0</v>
      </c>
      <c r="C57" s="890">
        <v>0.03</v>
      </c>
      <c r="D57" s="890">
        <v>4</v>
      </c>
    </row>
    <row r="58" spans="1:4">
      <c r="B58" s="890">
        <f>C57+0.001</f>
        <v>3.1E-2</v>
      </c>
      <c r="C58" s="890">
        <v>0.124</v>
      </c>
      <c r="D58" s="890">
        <v>8</v>
      </c>
    </row>
    <row r="59" spans="1:4">
      <c r="B59" s="890">
        <f t="shared" ref="B59:B64" si="0">C58+0.001</f>
        <v>0.125</v>
      </c>
      <c r="C59" s="890">
        <v>0.30499999999999999</v>
      </c>
      <c r="D59" s="890">
        <v>8</v>
      </c>
    </row>
    <row r="60" spans="1:4">
      <c r="B60" s="890">
        <f t="shared" si="0"/>
        <v>0.30599999999999999</v>
      </c>
      <c r="C60" s="890">
        <v>0.74</v>
      </c>
      <c r="D60" s="890">
        <v>12</v>
      </c>
    </row>
    <row r="61" spans="1:4">
      <c r="B61" s="890">
        <f t="shared" si="0"/>
        <v>0.74099999999999999</v>
      </c>
      <c r="C61" s="890">
        <v>2.1520000000000001</v>
      </c>
      <c r="D61" s="890">
        <v>20</v>
      </c>
    </row>
    <row r="62" spans="1:4">
      <c r="B62" s="890">
        <f t="shared" si="0"/>
        <v>2.153</v>
      </c>
      <c r="C62" s="890">
        <v>7.3650000000000002</v>
      </c>
      <c r="D62" s="890">
        <v>80</v>
      </c>
    </row>
    <row r="63" spans="1:4">
      <c r="B63" s="890">
        <f t="shared" si="0"/>
        <v>7.3660000000000005</v>
      </c>
      <c r="C63" s="890">
        <v>22.614000000000001</v>
      </c>
      <c r="D63" s="890">
        <v>120</v>
      </c>
    </row>
    <row r="64" spans="1:4">
      <c r="B64" s="890">
        <f t="shared" si="0"/>
        <v>22.615000000000002</v>
      </c>
      <c r="C64" s="890">
        <v>75.072000000000003</v>
      </c>
      <c r="D64" s="890">
        <v>200</v>
      </c>
    </row>
    <row r="66" spans="1:11">
      <c r="A66" s="101" t="s">
        <v>2022</v>
      </c>
      <c r="C66" s="14"/>
      <c r="D66" s="14"/>
      <c r="G66" s="1285" t="s">
        <v>3084</v>
      </c>
      <c r="H66" s="1285"/>
    </row>
    <row r="67" spans="1:11">
      <c r="A67" s="77" t="s">
        <v>2098</v>
      </c>
      <c r="B67" s="91" t="s">
        <v>2023</v>
      </c>
      <c r="C67" s="91" t="s">
        <v>2027</v>
      </c>
      <c r="D67" s="91" t="s">
        <v>2028</v>
      </c>
      <c r="E67" s="91" t="s">
        <v>3047</v>
      </c>
      <c r="F67" s="77" t="s">
        <v>2026</v>
      </c>
      <c r="G67" s="77" t="s">
        <v>2024</v>
      </c>
      <c r="H67" s="77" t="s">
        <v>2025</v>
      </c>
      <c r="I67" s="77" t="s">
        <v>3575</v>
      </c>
      <c r="K67" s="101"/>
    </row>
    <row r="68" spans="1:11">
      <c r="B68" s="97" t="s">
        <v>1095</v>
      </c>
      <c r="C68" s="97" t="s">
        <v>2032</v>
      </c>
      <c r="D68" s="97" t="s">
        <v>2033</v>
      </c>
      <c r="E68" s="97" t="s">
        <v>3048</v>
      </c>
      <c r="F68" s="97" t="s">
        <v>2031</v>
      </c>
      <c r="G68" s="97" t="s">
        <v>2029</v>
      </c>
      <c r="H68" s="97" t="s">
        <v>2030</v>
      </c>
      <c r="I68" s="97" t="s">
        <v>3574</v>
      </c>
    </row>
    <row r="69" spans="1:11">
      <c r="A69" s="97" t="s">
        <v>2099</v>
      </c>
      <c r="B69" s="890" t="s">
        <v>3814</v>
      </c>
      <c r="C69" s="890">
        <v>2</v>
      </c>
      <c r="D69" s="890">
        <f t="shared" ref="D69:D81" si="1">ABS(C69)</f>
        <v>2</v>
      </c>
      <c r="E69" s="893">
        <v>40.08</v>
      </c>
      <c r="F69" s="893">
        <f t="shared" ref="F69:F75" si="2">E69/D69</f>
        <v>20.04</v>
      </c>
      <c r="G69" s="890">
        <v>0.25</v>
      </c>
      <c r="H69" s="890">
        <v>0.25</v>
      </c>
      <c r="I69" s="890">
        <v>0</v>
      </c>
    </row>
    <row r="70" spans="1:11">
      <c r="A70" s="97" t="s">
        <v>2100</v>
      </c>
      <c r="B70" s="890" t="s">
        <v>3816</v>
      </c>
      <c r="C70" s="890">
        <v>2</v>
      </c>
      <c r="D70" s="890">
        <f t="shared" si="1"/>
        <v>2</v>
      </c>
      <c r="E70" s="893">
        <v>24.305</v>
      </c>
      <c r="F70" s="893">
        <f t="shared" si="2"/>
        <v>12.1525</v>
      </c>
      <c r="G70" s="890">
        <v>0.25</v>
      </c>
      <c r="H70" s="890">
        <v>0.25</v>
      </c>
      <c r="I70" s="890">
        <f>I69+1</f>
        <v>1</v>
      </c>
    </row>
    <row r="71" spans="1:11">
      <c r="A71" s="97" t="s">
        <v>2101</v>
      </c>
      <c r="B71" s="890" t="s">
        <v>72</v>
      </c>
      <c r="C71" s="890">
        <v>1</v>
      </c>
      <c r="D71" s="890">
        <f t="shared" si="1"/>
        <v>1</v>
      </c>
      <c r="E71" s="893">
        <v>22.99</v>
      </c>
      <c r="F71" s="893">
        <f t="shared" si="2"/>
        <v>22.99</v>
      </c>
      <c r="G71" s="890">
        <v>1</v>
      </c>
      <c r="H71" s="890">
        <v>1</v>
      </c>
      <c r="I71" s="890">
        <f t="shared" ref="I71:I81" si="3">I70+1</f>
        <v>2</v>
      </c>
    </row>
    <row r="72" spans="1:11">
      <c r="A72" s="97" t="s">
        <v>2102</v>
      </c>
      <c r="B72" s="890" t="s">
        <v>3818</v>
      </c>
      <c r="C72" s="890">
        <v>1</v>
      </c>
      <c r="D72" s="890">
        <f t="shared" si="1"/>
        <v>1</v>
      </c>
      <c r="E72" s="893">
        <v>39.097999999999999</v>
      </c>
      <c r="F72" s="893">
        <f t="shared" si="2"/>
        <v>39.097999999999999</v>
      </c>
      <c r="G72" s="890">
        <v>1.3</v>
      </c>
      <c r="H72" s="890">
        <v>1.3</v>
      </c>
      <c r="I72" s="890">
        <f t="shared" si="3"/>
        <v>3</v>
      </c>
    </row>
    <row r="73" spans="1:11">
      <c r="A73" s="97" t="s">
        <v>3251</v>
      </c>
      <c r="B73" s="890" t="s">
        <v>3253</v>
      </c>
      <c r="C73" s="890">
        <v>2</v>
      </c>
      <c r="D73" s="890">
        <f t="shared" si="1"/>
        <v>2</v>
      </c>
      <c r="E73" s="893">
        <v>137.34</v>
      </c>
      <c r="F73" s="893">
        <f t="shared" si="2"/>
        <v>68.67</v>
      </c>
      <c r="G73" s="890">
        <v>0.25</v>
      </c>
      <c r="H73" s="890">
        <v>0.25</v>
      </c>
      <c r="I73" s="890">
        <f t="shared" si="3"/>
        <v>4</v>
      </c>
    </row>
    <row r="74" spans="1:11">
      <c r="A74" s="97" t="s">
        <v>3252</v>
      </c>
      <c r="B74" s="890" t="s">
        <v>3254</v>
      </c>
      <c r="C74" s="890">
        <v>2</v>
      </c>
      <c r="D74" s="890">
        <f t="shared" si="1"/>
        <v>2</v>
      </c>
      <c r="E74" s="893">
        <v>87.62</v>
      </c>
      <c r="F74" s="893">
        <f t="shared" si="2"/>
        <v>43.81</v>
      </c>
      <c r="G74" s="890">
        <v>0.25</v>
      </c>
      <c r="H74" s="890">
        <v>0.25</v>
      </c>
      <c r="I74" s="890">
        <f t="shared" si="3"/>
        <v>5</v>
      </c>
    </row>
    <row r="75" spans="1:11">
      <c r="A75" s="97" t="s">
        <v>2103</v>
      </c>
      <c r="B75" s="890" t="s">
        <v>3817</v>
      </c>
      <c r="C75" s="890">
        <v>-1</v>
      </c>
      <c r="D75" s="890">
        <f t="shared" si="1"/>
        <v>1</v>
      </c>
      <c r="E75" s="893">
        <v>61.01</v>
      </c>
      <c r="F75" s="893">
        <f t="shared" si="2"/>
        <v>61.01</v>
      </c>
      <c r="G75" s="890">
        <v>1</v>
      </c>
      <c r="H75" s="890">
        <v>2</v>
      </c>
      <c r="I75" s="890">
        <f t="shared" si="3"/>
        <v>6</v>
      </c>
    </row>
    <row r="76" spans="1:11">
      <c r="A76" s="97" t="s">
        <v>2104</v>
      </c>
      <c r="B76" s="890" t="s">
        <v>3815</v>
      </c>
      <c r="C76" s="890">
        <v>-2</v>
      </c>
      <c r="D76" s="890">
        <f t="shared" si="1"/>
        <v>2</v>
      </c>
      <c r="E76" s="893">
        <v>60.01</v>
      </c>
      <c r="F76" s="893">
        <f>E76/D76</f>
        <v>30.004999999999999</v>
      </c>
      <c r="G76" s="890">
        <v>0.25</v>
      </c>
      <c r="H76" s="890">
        <v>0.25</v>
      </c>
      <c r="I76" s="890">
        <f t="shared" si="3"/>
        <v>7</v>
      </c>
    </row>
    <row r="77" spans="1:11">
      <c r="A77" s="97" t="s">
        <v>2105</v>
      </c>
      <c r="B77" s="890" t="s">
        <v>1542</v>
      </c>
      <c r="C77" s="890">
        <v>-1</v>
      </c>
      <c r="D77" s="890">
        <f t="shared" si="1"/>
        <v>1</v>
      </c>
      <c r="E77" s="893">
        <v>35.450000000000003</v>
      </c>
      <c r="F77" s="893">
        <f>E77/D77</f>
        <v>35.450000000000003</v>
      </c>
      <c r="G77" s="890">
        <v>1</v>
      </c>
      <c r="H77" s="890">
        <v>1</v>
      </c>
      <c r="I77" s="890">
        <f t="shared" si="3"/>
        <v>8</v>
      </c>
    </row>
    <row r="78" spans="1:11">
      <c r="A78" s="97" t="s">
        <v>2106</v>
      </c>
      <c r="B78" s="890" t="s">
        <v>3813</v>
      </c>
      <c r="C78" s="890">
        <v>-2</v>
      </c>
      <c r="D78" s="890">
        <f t="shared" si="1"/>
        <v>2</v>
      </c>
      <c r="E78" s="893">
        <v>96.06</v>
      </c>
      <c r="F78" s="893">
        <f>E78/D78</f>
        <v>48.03</v>
      </c>
      <c r="G78" s="890">
        <v>0.25</v>
      </c>
      <c r="H78" s="890">
        <v>0.1</v>
      </c>
      <c r="I78" s="890">
        <f t="shared" si="3"/>
        <v>9</v>
      </c>
    </row>
    <row r="79" spans="1:11">
      <c r="A79" s="97" t="s">
        <v>2107</v>
      </c>
      <c r="B79" s="890" t="s">
        <v>2930</v>
      </c>
      <c r="C79" s="890">
        <v>-1</v>
      </c>
      <c r="D79" s="890">
        <f t="shared" si="1"/>
        <v>1</v>
      </c>
      <c r="E79" s="893">
        <v>19</v>
      </c>
      <c r="F79" s="893">
        <f>E79/D79</f>
        <v>19</v>
      </c>
      <c r="G79" s="890">
        <v>0.7</v>
      </c>
      <c r="H79" s="890">
        <v>0.7</v>
      </c>
      <c r="I79" s="890">
        <f t="shared" si="3"/>
        <v>10</v>
      </c>
    </row>
    <row r="80" spans="1:11">
      <c r="A80" s="97" t="s">
        <v>2108</v>
      </c>
      <c r="B80" s="890" t="s">
        <v>1944</v>
      </c>
      <c r="C80" s="890">
        <v>2</v>
      </c>
      <c r="D80" s="890">
        <f t="shared" si="1"/>
        <v>2</v>
      </c>
      <c r="E80" s="893">
        <v>60.08</v>
      </c>
      <c r="F80" s="893">
        <v>54</v>
      </c>
      <c r="G80" s="890">
        <v>0.75</v>
      </c>
      <c r="H80" s="890">
        <v>0.75</v>
      </c>
      <c r="I80" s="890">
        <f t="shared" si="3"/>
        <v>11</v>
      </c>
    </row>
    <row r="81" spans="1:10">
      <c r="A81" s="97" t="s">
        <v>2109</v>
      </c>
      <c r="B81" s="890" t="s">
        <v>3243</v>
      </c>
      <c r="C81" s="890">
        <v>-2</v>
      </c>
      <c r="D81" s="890">
        <f t="shared" si="1"/>
        <v>2</v>
      </c>
      <c r="E81" s="893">
        <v>44.04</v>
      </c>
      <c r="F81" s="893">
        <f>E81/D81</f>
        <v>22.02</v>
      </c>
      <c r="G81" s="890">
        <v>0</v>
      </c>
      <c r="H81" s="890">
        <v>0</v>
      </c>
      <c r="I81" s="890">
        <f t="shared" si="3"/>
        <v>12</v>
      </c>
    </row>
    <row r="82" spans="1:10">
      <c r="D82" s="103"/>
      <c r="E82" s="103"/>
    </row>
    <row r="83" spans="1:10">
      <c r="A83" s="101" t="s">
        <v>3595</v>
      </c>
      <c r="E83" s="103"/>
      <c r="G83" s="14"/>
      <c r="H83" s="31"/>
      <c r="I83" s="14"/>
      <c r="J83" s="14"/>
    </row>
    <row r="84" spans="1:10">
      <c r="A84" s="84"/>
      <c r="E84" s="103"/>
      <c r="G84" s="14"/>
      <c r="H84" s="31"/>
      <c r="I84" s="14"/>
      <c r="J84" s="14"/>
    </row>
    <row r="85" spans="1:10">
      <c r="A85" s="77" t="s">
        <v>3597</v>
      </c>
      <c r="B85" s="97" t="s">
        <v>3596</v>
      </c>
      <c r="C85" s="890" t="s">
        <v>3599</v>
      </c>
      <c r="D85" s="892" t="s">
        <v>3655</v>
      </c>
      <c r="E85" s="103"/>
      <c r="G85" s="14"/>
      <c r="H85" s="31"/>
      <c r="I85" s="14"/>
      <c r="J85" s="14"/>
    </row>
    <row r="86" spans="1:10">
      <c r="B86" s="97" t="s">
        <v>3598</v>
      </c>
      <c r="C86" s="890" t="s">
        <v>3600</v>
      </c>
      <c r="D86" s="890">
        <v>1</v>
      </c>
      <c r="E86" s="103"/>
      <c r="G86" s="14"/>
      <c r="H86" s="31"/>
      <c r="I86" s="14"/>
      <c r="J86" s="14"/>
    </row>
    <row r="87" spans="1:10">
      <c r="C87" s="890" t="s">
        <v>3601</v>
      </c>
      <c r="D87" s="890">
        <v>2</v>
      </c>
      <c r="E87" s="103"/>
      <c r="G87" s="14"/>
      <c r="H87" s="31"/>
      <c r="I87" s="14"/>
      <c r="J87" s="14"/>
    </row>
    <row r="88" spans="1:10">
      <c r="C88" s="890"/>
      <c r="E88" s="103"/>
      <c r="G88" s="14"/>
      <c r="H88" s="31"/>
      <c r="I88" s="14"/>
      <c r="J88" s="14"/>
    </row>
    <row r="89" spans="1:10">
      <c r="E89" s="103"/>
      <c r="G89" s="14"/>
      <c r="H89" s="31"/>
      <c r="I89" s="14"/>
      <c r="J89" s="14"/>
    </row>
    <row r="90" spans="1:10">
      <c r="A90" s="77" t="s">
        <v>2686</v>
      </c>
      <c r="B90" s="97" t="s">
        <v>2687</v>
      </c>
      <c r="C90" s="890" t="s">
        <v>1093</v>
      </c>
      <c r="E90" s="103"/>
      <c r="F90" s="14"/>
      <c r="G90" s="31"/>
      <c r="H90" s="14"/>
      <c r="I90" s="14"/>
    </row>
    <row r="91" spans="1:10">
      <c r="B91" s="97"/>
      <c r="C91" s="890" t="s">
        <v>2193</v>
      </c>
      <c r="E91" s="103"/>
      <c r="F91" s="14"/>
      <c r="G91" s="31"/>
      <c r="H91" s="14"/>
      <c r="I91" s="14"/>
    </row>
    <row r="92" spans="1:10">
      <c r="B92" s="97"/>
      <c r="E92" s="103"/>
      <c r="F92" s="14"/>
      <c r="G92" s="31"/>
      <c r="H92" s="14"/>
      <c r="I92" s="14"/>
    </row>
    <row r="93" spans="1:10">
      <c r="A93" s="77" t="s">
        <v>2688</v>
      </c>
      <c r="B93" s="97" t="s">
        <v>2689</v>
      </c>
      <c r="C93" s="890" t="s">
        <v>1093</v>
      </c>
      <c r="E93" s="103"/>
      <c r="I93" s="14"/>
    </row>
    <row r="94" spans="1:10">
      <c r="C94" s="890" t="s">
        <v>2193</v>
      </c>
      <c r="E94" s="103"/>
      <c r="I94" s="14"/>
    </row>
    <row r="95" spans="1:10">
      <c r="C95" s="890" t="s">
        <v>2690</v>
      </c>
      <c r="E95" s="103"/>
      <c r="I95" s="14"/>
    </row>
    <row r="96" spans="1:10">
      <c r="E96" s="103"/>
      <c r="I96" s="14"/>
    </row>
    <row r="97" spans="1:10">
      <c r="A97" s="77" t="s">
        <v>3520</v>
      </c>
      <c r="B97" s="97" t="s">
        <v>3521</v>
      </c>
      <c r="C97" s="890" t="s">
        <v>3270</v>
      </c>
      <c r="D97" s="890">
        <v>0</v>
      </c>
      <c r="E97" s="103"/>
      <c r="I97" s="14"/>
    </row>
    <row r="98" spans="1:10">
      <c r="B98" s="97" t="s">
        <v>3522</v>
      </c>
      <c r="C98" s="890" t="s">
        <v>3269</v>
      </c>
      <c r="D98" s="890">
        <v>1</v>
      </c>
      <c r="E98" s="103"/>
      <c r="I98" s="14"/>
    </row>
    <row r="99" spans="1:10">
      <c r="E99" s="103"/>
      <c r="I99" s="14"/>
    </row>
    <row r="100" spans="1:10">
      <c r="A100" s="77" t="s">
        <v>171</v>
      </c>
      <c r="B100" s="97" t="s">
        <v>172</v>
      </c>
      <c r="C100" s="890" t="s">
        <v>809</v>
      </c>
      <c r="D100" s="890">
        <v>1</v>
      </c>
      <c r="E100" s="103"/>
      <c r="G100" s="14"/>
      <c r="H100" s="31"/>
      <c r="I100" s="14"/>
      <c r="J100" s="14"/>
    </row>
    <row r="101" spans="1:10">
      <c r="B101" s="97" t="s">
        <v>173</v>
      </c>
      <c r="C101" s="890" t="s">
        <v>810</v>
      </c>
      <c r="D101" s="890">
        <v>2</v>
      </c>
      <c r="E101" s="103"/>
    </row>
    <row r="102" spans="1:10">
      <c r="C102" s="890" t="s">
        <v>263</v>
      </c>
      <c r="D102" s="890">
        <v>0</v>
      </c>
      <c r="E102" s="103"/>
    </row>
    <row r="103" spans="1:10">
      <c r="E103" s="103"/>
    </row>
    <row r="104" spans="1:10">
      <c r="A104" s="77" t="s">
        <v>3266</v>
      </c>
      <c r="B104" s="97" t="s">
        <v>3267</v>
      </c>
      <c r="C104" s="890" t="s">
        <v>4228</v>
      </c>
      <c r="D104" s="890">
        <v>1</v>
      </c>
      <c r="E104" s="103"/>
    </row>
    <row r="105" spans="1:10">
      <c r="B105" s="97" t="s">
        <v>3268</v>
      </c>
      <c r="C105" s="890" t="s">
        <v>4230</v>
      </c>
      <c r="D105" s="890">
        <v>2</v>
      </c>
      <c r="E105" s="103"/>
    </row>
    <row r="106" spans="1:10">
      <c r="C106" s="890" t="s">
        <v>4229</v>
      </c>
      <c r="D106" s="890">
        <v>3</v>
      </c>
      <c r="E106" s="103"/>
    </row>
    <row r="107" spans="1:10">
      <c r="E107" s="103"/>
    </row>
    <row r="108" spans="1:10">
      <c r="D108" s="1111" t="s">
        <v>3587</v>
      </c>
      <c r="E108" s="103"/>
    </row>
    <row r="109" spans="1:10">
      <c r="A109" s="77" t="s">
        <v>3588</v>
      </c>
      <c r="B109" s="97" t="s">
        <v>3589</v>
      </c>
      <c r="C109" s="890" t="s">
        <v>3590</v>
      </c>
      <c r="D109" s="890">
        <v>1</v>
      </c>
      <c r="E109" s="103"/>
    </row>
    <row r="110" spans="1:10">
      <c r="B110" s="97" t="s">
        <v>3591</v>
      </c>
      <c r="C110" s="890" t="s">
        <v>3592</v>
      </c>
      <c r="D110" s="890">
        <v>2</v>
      </c>
      <c r="E110" s="103"/>
    </row>
    <row r="111" spans="1:10">
      <c r="C111" s="890" t="s">
        <v>3593</v>
      </c>
      <c r="D111" s="890">
        <v>3</v>
      </c>
      <c r="E111" s="103"/>
    </row>
    <row r="112" spans="1:10">
      <c r="C112" s="890"/>
      <c r="D112" s="229"/>
      <c r="E112" s="103"/>
    </row>
    <row r="113" spans="1:9">
      <c r="E113" s="103"/>
    </row>
    <row r="114" spans="1:9">
      <c r="A114" s="284" t="s">
        <v>2131</v>
      </c>
      <c r="B114" s="83" t="s">
        <v>952</v>
      </c>
      <c r="C114" s="890" t="s">
        <v>2397</v>
      </c>
      <c r="D114" s="890">
        <v>1</v>
      </c>
      <c r="E114" s="103"/>
      <c r="I114" s="14"/>
    </row>
    <row r="115" spans="1:9">
      <c r="B115" s="97" t="s">
        <v>953</v>
      </c>
      <c r="C115" s="890" t="s">
        <v>945</v>
      </c>
      <c r="D115" s="890">
        <v>2</v>
      </c>
      <c r="E115" s="103"/>
      <c r="I115" s="14"/>
    </row>
    <row r="116" spans="1:9">
      <c r="B116" s="97"/>
      <c r="C116" s="890" t="s">
        <v>946</v>
      </c>
      <c r="D116" s="890">
        <v>3</v>
      </c>
      <c r="E116" s="103"/>
      <c r="I116" s="14"/>
    </row>
    <row r="117" spans="1:9">
      <c r="B117" s="97"/>
      <c r="C117" s="890" t="s">
        <v>2072</v>
      </c>
      <c r="D117" s="890">
        <v>4</v>
      </c>
      <c r="E117" s="103"/>
      <c r="I117" s="14"/>
    </row>
    <row r="118" spans="1:9">
      <c r="B118" s="97"/>
      <c r="C118" s="890" t="s">
        <v>948</v>
      </c>
      <c r="D118" s="890">
        <v>5</v>
      </c>
      <c r="E118" s="103"/>
      <c r="I118" s="14"/>
    </row>
    <row r="119" spans="1:9">
      <c r="B119" s="97"/>
      <c r="C119" s="891" t="s">
        <v>5114</v>
      </c>
      <c r="D119" s="890">
        <v>6</v>
      </c>
      <c r="E119" s="103"/>
      <c r="I119" s="14"/>
    </row>
    <row r="120" spans="1:9">
      <c r="B120" s="97"/>
      <c r="E120" s="103"/>
      <c r="I120" s="14"/>
    </row>
    <row r="121" spans="1:9">
      <c r="A121" s="285" t="s">
        <v>2344</v>
      </c>
      <c r="B121" s="286" t="s">
        <v>957</v>
      </c>
      <c r="C121" s="890" t="s">
        <v>954</v>
      </c>
      <c r="D121" s="890">
        <v>1</v>
      </c>
      <c r="E121" s="103"/>
    </row>
    <row r="122" spans="1:9">
      <c r="A122" s="287"/>
      <c r="B122" s="97" t="s">
        <v>958</v>
      </c>
      <c r="C122" s="890" t="s">
        <v>955</v>
      </c>
      <c r="D122" s="890">
        <v>2</v>
      </c>
      <c r="E122" s="103"/>
    </row>
    <row r="123" spans="1:9">
      <c r="B123" s="97"/>
      <c r="C123" s="890" t="s">
        <v>956</v>
      </c>
      <c r="D123" s="890">
        <v>3</v>
      </c>
      <c r="E123" s="103"/>
    </row>
    <row r="124" spans="1:9">
      <c r="B124" s="97"/>
      <c r="C124" s="890" t="s">
        <v>949</v>
      </c>
      <c r="D124" s="890">
        <v>4</v>
      </c>
      <c r="E124" s="103"/>
    </row>
    <row r="125" spans="1:9">
      <c r="E125" s="103"/>
    </row>
    <row r="126" spans="1:9">
      <c r="A126" s="77" t="s">
        <v>3838</v>
      </c>
      <c r="B126" s="83" t="s">
        <v>959</v>
      </c>
      <c r="C126" s="888" t="s">
        <v>5131</v>
      </c>
      <c r="D126" s="890">
        <v>1</v>
      </c>
      <c r="E126" s="103"/>
    </row>
    <row r="127" spans="1:9">
      <c r="B127" s="97" t="s">
        <v>2346</v>
      </c>
      <c r="C127" s="888" t="s">
        <v>950</v>
      </c>
      <c r="D127" s="890">
        <v>2</v>
      </c>
      <c r="E127" s="103"/>
    </row>
    <row r="128" spans="1:9">
      <c r="B128" s="97"/>
      <c r="C128" s="889" t="s">
        <v>5136</v>
      </c>
      <c r="D128" s="890">
        <v>3</v>
      </c>
      <c r="E128" s="103"/>
    </row>
    <row r="129" spans="1:5">
      <c r="B129" s="97"/>
      <c r="C129" s="889" t="s">
        <v>5122</v>
      </c>
      <c r="D129" s="890">
        <v>4</v>
      </c>
      <c r="E129" s="103"/>
    </row>
    <row r="130" spans="1:5">
      <c r="C130" s="14"/>
      <c r="E130" s="103"/>
    </row>
    <row r="131" spans="1:5">
      <c r="A131" s="285" t="s">
        <v>951</v>
      </c>
      <c r="B131" s="288" t="s">
        <v>947</v>
      </c>
      <c r="C131" s="888" t="s">
        <v>944</v>
      </c>
      <c r="D131" s="890">
        <v>1</v>
      </c>
      <c r="E131" s="103"/>
    </row>
    <row r="132" spans="1:5">
      <c r="B132" s="97" t="s">
        <v>3840</v>
      </c>
      <c r="C132" s="888" t="s">
        <v>945</v>
      </c>
      <c r="D132" s="890">
        <v>2</v>
      </c>
      <c r="E132" s="103"/>
    </row>
    <row r="133" spans="1:5">
      <c r="C133" s="888" t="s">
        <v>946</v>
      </c>
      <c r="D133" s="890">
        <v>3</v>
      </c>
      <c r="E133" s="103"/>
    </row>
    <row r="134" spans="1:5">
      <c r="C134" s="888" t="s">
        <v>948</v>
      </c>
      <c r="D134" s="890">
        <v>4</v>
      </c>
      <c r="E134" s="103"/>
    </row>
    <row r="135" spans="1:5" s="229" customFormat="1">
      <c r="C135" s="220"/>
      <c r="E135" s="457"/>
    </row>
    <row r="136" spans="1:5" s="229" customFormat="1">
      <c r="A136" s="229" t="s">
        <v>5394</v>
      </c>
      <c r="B136" s="723" t="s">
        <v>5393</v>
      </c>
      <c r="C136" s="926" t="s">
        <v>3269</v>
      </c>
      <c r="E136" s="457"/>
    </row>
    <row r="137" spans="1:5" s="229" customFormat="1">
      <c r="C137" s="926" t="s">
        <v>3270</v>
      </c>
      <c r="E137" s="457"/>
    </row>
    <row r="138" spans="1:5">
      <c r="C138" s="927"/>
      <c r="D138" s="103"/>
      <c r="E138" s="103"/>
    </row>
    <row r="139" spans="1:5">
      <c r="C139" s="289"/>
      <c r="D139" s="289"/>
      <c r="E139" s="290"/>
    </row>
    <row r="140" spans="1:5">
      <c r="A140" s="31" t="s">
        <v>5269</v>
      </c>
      <c r="B140" s="97"/>
      <c r="C140" s="289"/>
      <c r="D140" s="289"/>
      <c r="E140" s="290"/>
    </row>
    <row r="141" spans="1:5">
      <c r="A141" s="888" t="str">
        <f>VLOOKUP("RONF",TDB_link_table_cl,2,FALSE)</f>
        <v>https://tdb.epa.gov/tdb/treatmentprocess?treatmentProcessId=-2103528007</v>
      </c>
      <c r="C141" s="289"/>
      <c r="D141" s="289"/>
      <c r="E141" s="290"/>
    </row>
    <row r="142" spans="1:5">
      <c r="C142" s="289"/>
      <c r="D142" s="289"/>
      <c r="E142" s="290"/>
    </row>
    <row r="144" spans="1:5">
      <c r="A144" s="101" t="s">
        <v>2034</v>
      </c>
    </row>
    <row r="145" spans="1:4">
      <c r="A145" s="291" t="s">
        <v>2705</v>
      </c>
    </row>
    <row r="146" spans="1:4">
      <c r="A146" s="292" t="s">
        <v>1806</v>
      </c>
      <c r="B146" s="292" t="s">
        <v>1807</v>
      </c>
      <c r="C146" s="292" t="s">
        <v>1808</v>
      </c>
      <c r="D146" s="292" t="s">
        <v>2706</v>
      </c>
    </row>
    <row r="147" spans="1:4">
      <c r="A147" s="77">
        <f t="shared" ref="A147:A168" si="4">C147/B147</f>
        <v>0.125</v>
      </c>
      <c r="B147" s="77">
        <v>8</v>
      </c>
      <c r="C147" s="77">
        <v>1</v>
      </c>
      <c r="D147" s="77" t="str">
        <f t="shared" ref="D147:D168" si="5">B147 &amp; ":" &amp; C147</f>
        <v>8:1</v>
      </c>
    </row>
    <row r="148" spans="1:4">
      <c r="A148" s="77">
        <f t="shared" si="4"/>
        <v>0.14285714285714285</v>
      </c>
      <c r="B148" s="77">
        <v>7</v>
      </c>
      <c r="C148" s="77">
        <v>1</v>
      </c>
      <c r="D148" s="77" t="str">
        <f t="shared" si="5"/>
        <v>7:1</v>
      </c>
    </row>
    <row r="149" spans="1:4">
      <c r="A149" s="77">
        <f t="shared" si="4"/>
        <v>0.16666666666666666</v>
      </c>
      <c r="B149" s="77">
        <v>6</v>
      </c>
      <c r="C149" s="77">
        <v>1</v>
      </c>
      <c r="D149" s="77" t="str">
        <f t="shared" si="5"/>
        <v>6:1</v>
      </c>
    </row>
    <row r="150" spans="1:4">
      <c r="A150" s="77">
        <f t="shared" si="4"/>
        <v>0.2</v>
      </c>
      <c r="B150" s="77">
        <v>5</v>
      </c>
      <c r="C150" s="77">
        <v>1</v>
      </c>
      <c r="D150" s="77" t="str">
        <f t="shared" si="5"/>
        <v>5:1</v>
      </c>
    </row>
    <row r="151" spans="1:4">
      <c r="A151" s="77">
        <f t="shared" si="4"/>
        <v>0.25</v>
      </c>
      <c r="B151" s="14">
        <v>4</v>
      </c>
      <c r="C151" s="14">
        <v>1</v>
      </c>
      <c r="D151" s="14" t="str">
        <f t="shared" si="5"/>
        <v>4:1</v>
      </c>
    </row>
    <row r="152" spans="1:4">
      <c r="A152" s="77">
        <f t="shared" si="4"/>
        <v>0.2857142857142857</v>
      </c>
      <c r="B152" s="77">
        <v>7</v>
      </c>
      <c r="C152" s="77">
        <v>2</v>
      </c>
      <c r="D152" s="77" t="str">
        <f t="shared" si="5"/>
        <v>7:2</v>
      </c>
    </row>
    <row r="153" spans="1:4">
      <c r="A153" s="77">
        <f t="shared" si="4"/>
        <v>0.33333333333333331</v>
      </c>
      <c r="B153" s="77">
        <v>3</v>
      </c>
      <c r="C153" s="77">
        <v>1</v>
      </c>
      <c r="D153" s="77" t="str">
        <f t="shared" si="5"/>
        <v>3:1</v>
      </c>
    </row>
    <row r="154" spans="1:4">
      <c r="A154" s="77">
        <f t="shared" si="4"/>
        <v>0.375</v>
      </c>
      <c r="B154" s="77">
        <v>8</v>
      </c>
      <c r="C154" s="77">
        <v>3</v>
      </c>
      <c r="D154" s="77" t="str">
        <f t="shared" si="5"/>
        <v>8:3</v>
      </c>
    </row>
    <row r="155" spans="1:4">
      <c r="A155" s="77">
        <f t="shared" si="4"/>
        <v>0.4</v>
      </c>
      <c r="B155" s="14">
        <v>5</v>
      </c>
      <c r="C155" s="14">
        <v>2</v>
      </c>
      <c r="D155" s="14" t="str">
        <f t="shared" si="5"/>
        <v>5:2</v>
      </c>
    </row>
    <row r="156" spans="1:4">
      <c r="A156" s="77">
        <f t="shared" si="4"/>
        <v>0.42857142857142855</v>
      </c>
      <c r="B156" s="77">
        <v>7</v>
      </c>
      <c r="C156" s="77">
        <v>3</v>
      </c>
      <c r="D156" s="77" t="str">
        <f t="shared" si="5"/>
        <v>7:3</v>
      </c>
    </row>
    <row r="157" spans="1:4">
      <c r="A157" s="77">
        <f t="shared" si="4"/>
        <v>0.5</v>
      </c>
      <c r="B157" s="77">
        <v>2</v>
      </c>
      <c r="C157" s="77">
        <v>1</v>
      </c>
      <c r="D157" s="77" t="str">
        <f t="shared" si="5"/>
        <v>2:1</v>
      </c>
    </row>
    <row r="158" spans="1:4">
      <c r="A158" s="77">
        <f t="shared" si="4"/>
        <v>0.5714285714285714</v>
      </c>
      <c r="B158" s="14">
        <v>7</v>
      </c>
      <c r="C158" s="14">
        <v>4</v>
      </c>
      <c r="D158" s="14" t="str">
        <f t="shared" si="5"/>
        <v>7:4</v>
      </c>
    </row>
    <row r="159" spans="1:4">
      <c r="A159" s="77">
        <f t="shared" si="4"/>
        <v>0.6</v>
      </c>
      <c r="B159" s="77">
        <v>5</v>
      </c>
      <c r="C159" s="77">
        <v>3</v>
      </c>
      <c r="D159" s="77" t="str">
        <f t="shared" si="5"/>
        <v>5:3</v>
      </c>
    </row>
    <row r="160" spans="1:4">
      <c r="A160" s="77">
        <f t="shared" si="4"/>
        <v>0.625</v>
      </c>
      <c r="B160" s="77">
        <v>8</v>
      </c>
      <c r="C160" s="77">
        <v>5</v>
      </c>
      <c r="D160" s="77" t="str">
        <f t="shared" si="5"/>
        <v>8:5</v>
      </c>
    </row>
    <row r="161" spans="1:4">
      <c r="A161" s="77">
        <f t="shared" si="4"/>
        <v>0.66666666666666663</v>
      </c>
      <c r="B161" s="14">
        <v>3</v>
      </c>
      <c r="C161" s="14">
        <v>2</v>
      </c>
      <c r="D161" s="14" t="str">
        <f t="shared" si="5"/>
        <v>3:2</v>
      </c>
    </row>
    <row r="162" spans="1:4">
      <c r="A162" s="77">
        <f t="shared" si="4"/>
        <v>0.7142857142857143</v>
      </c>
      <c r="B162" s="77">
        <v>7</v>
      </c>
      <c r="C162" s="77">
        <v>5</v>
      </c>
      <c r="D162" s="77" t="str">
        <f t="shared" si="5"/>
        <v>7:5</v>
      </c>
    </row>
    <row r="163" spans="1:4">
      <c r="A163" s="77">
        <f t="shared" si="4"/>
        <v>0.75</v>
      </c>
      <c r="B163" s="14">
        <v>4</v>
      </c>
      <c r="C163" s="14">
        <v>3</v>
      </c>
      <c r="D163" s="14" t="str">
        <f t="shared" si="5"/>
        <v>4:3</v>
      </c>
    </row>
    <row r="164" spans="1:4">
      <c r="A164" s="77">
        <f t="shared" si="4"/>
        <v>0.8</v>
      </c>
      <c r="B164" s="77">
        <v>5</v>
      </c>
      <c r="C164" s="77">
        <v>4</v>
      </c>
      <c r="D164" s="77" t="str">
        <f t="shared" si="5"/>
        <v>5:4</v>
      </c>
    </row>
    <row r="165" spans="1:4">
      <c r="A165" s="77">
        <f t="shared" si="4"/>
        <v>0.83333333333333337</v>
      </c>
      <c r="B165" s="77">
        <v>6</v>
      </c>
      <c r="C165" s="77">
        <v>5</v>
      </c>
      <c r="D165" s="77" t="str">
        <f t="shared" si="5"/>
        <v>6:5</v>
      </c>
    </row>
    <row r="166" spans="1:4">
      <c r="A166" s="77">
        <f t="shared" si="4"/>
        <v>0.8571428571428571</v>
      </c>
      <c r="B166" s="77">
        <v>7</v>
      </c>
      <c r="C166" s="77">
        <v>6</v>
      </c>
      <c r="D166" s="77" t="str">
        <f t="shared" si="5"/>
        <v>7:6</v>
      </c>
    </row>
    <row r="167" spans="1:4">
      <c r="A167" s="77">
        <f t="shared" si="4"/>
        <v>0.875</v>
      </c>
      <c r="B167" s="77">
        <v>8</v>
      </c>
      <c r="C167" s="77">
        <v>7</v>
      </c>
      <c r="D167" s="77" t="str">
        <f t="shared" si="5"/>
        <v>8:7</v>
      </c>
    </row>
    <row r="168" spans="1:4">
      <c r="A168" s="77">
        <f t="shared" si="4"/>
        <v>1</v>
      </c>
      <c r="B168" s="77">
        <v>1</v>
      </c>
      <c r="C168" s="77">
        <v>1</v>
      </c>
      <c r="D168" s="77" t="str">
        <f t="shared" si="5"/>
        <v>1:1</v>
      </c>
    </row>
    <row r="170" spans="1:4">
      <c r="B170" s="14"/>
      <c r="C170" s="14"/>
      <c r="D170" s="14"/>
    </row>
    <row r="171" spans="1:4">
      <c r="B171" s="14"/>
      <c r="C171" s="14"/>
      <c r="D171" s="14"/>
    </row>
    <row r="172" spans="1:4">
      <c r="B172" s="14"/>
      <c r="C172" s="14"/>
      <c r="D172" s="14"/>
    </row>
    <row r="175" spans="1:4">
      <c r="B175" s="14"/>
      <c r="C175" s="14"/>
      <c r="D175" s="14"/>
    </row>
    <row r="177" spans="2:4">
      <c r="B177" s="14"/>
      <c r="C177" s="14"/>
      <c r="D177" s="14"/>
    </row>
    <row r="179" spans="2:4">
      <c r="B179" s="14"/>
      <c r="C179" s="14"/>
      <c r="D179" s="14"/>
    </row>
    <row r="182" spans="2:4">
      <c r="B182" s="14"/>
      <c r="C182" s="14"/>
      <c r="D182" s="14"/>
    </row>
    <row r="187" spans="2:4">
      <c r="B187" s="14"/>
      <c r="C187" s="14"/>
      <c r="D187" s="14"/>
    </row>
    <row r="189" spans="2:4">
      <c r="B189" s="14"/>
      <c r="C189" s="14"/>
      <c r="D189" s="14"/>
    </row>
    <row r="192" spans="2:4">
      <c r="B192" s="14"/>
      <c r="C192" s="14"/>
      <c r="D192" s="14"/>
    </row>
    <row r="193" spans="2:4">
      <c r="B193" s="14"/>
      <c r="C193" s="14"/>
      <c r="D193" s="14"/>
    </row>
    <row r="198" spans="2:4">
      <c r="B198" s="14"/>
      <c r="C198" s="14"/>
      <c r="D198" s="14"/>
    </row>
    <row r="199" spans="2:4">
      <c r="B199" s="14"/>
      <c r="C199" s="14"/>
      <c r="D199" s="14"/>
    </row>
    <row r="202" spans="2:4">
      <c r="B202" s="14"/>
      <c r="C202" s="14"/>
      <c r="D202" s="14"/>
    </row>
    <row r="207" spans="2:4">
      <c r="B207" s="14"/>
      <c r="C207" s="14"/>
      <c r="D207" s="14"/>
    </row>
    <row r="209" spans="2:4">
      <c r="B209" s="14"/>
      <c r="C209" s="14"/>
      <c r="D209" s="14"/>
    </row>
    <row r="211" spans="2:4">
      <c r="B211" s="14"/>
      <c r="C211" s="14"/>
      <c r="D211" s="14"/>
    </row>
    <row r="212" spans="2:4">
      <c r="B212" s="14"/>
      <c r="C212" s="14"/>
      <c r="D212" s="14"/>
    </row>
    <row r="213" spans="2:4">
      <c r="B213" s="14"/>
      <c r="C213" s="14"/>
      <c r="D213" s="14"/>
    </row>
    <row r="219" spans="2:4">
      <c r="B219" s="14"/>
      <c r="C219" s="14"/>
      <c r="D219" s="14"/>
    </row>
    <row r="222" spans="2:4">
      <c r="B222" s="14"/>
      <c r="C222" s="14"/>
      <c r="D222" s="14"/>
    </row>
    <row r="226" spans="2:4">
      <c r="B226" s="14"/>
      <c r="C226" s="14"/>
      <c r="D226" s="14"/>
    </row>
    <row r="230" spans="2:4">
      <c r="B230" s="14"/>
      <c r="C230" s="14"/>
      <c r="D230" s="14"/>
    </row>
    <row r="232" spans="2:4">
      <c r="B232" s="14"/>
      <c r="C232" s="14"/>
      <c r="D232" s="14"/>
    </row>
    <row r="233" spans="2:4">
      <c r="B233" s="14"/>
      <c r="C233" s="14"/>
      <c r="D233" s="14"/>
    </row>
    <row r="234" spans="2:4">
      <c r="B234" s="14"/>
      <c r="C234" s="14"/>
      <c r="D234" s="14"/>
    </row>
    <row r="240" spans="2:4">
      <c r="B240" s="14"/>
      <c r="C240" s="14"/>
      <c r="D240" s="14"/>
    </row>
    <row r="242" spans="2:4">
      <c r="B242" s="14"/>
      <c r="C242" s="14"/>
      <c r="D242" s="14"/>
    </row>
    <row r="247" spans="2:4">
      <c r="B247" s="14"/>
      <c r="C247" s="14"/>
      <c r="D247" s="14"/>
    </row>
    <row r="254" spans="2:4">
      <c r="B254" s="14"/>
      <c r="C254" s="14"/>
      <c r="D254" s="14"/>
    </row>
    <row r="255" spans="2:4">
      <c r="B255" s="14"/>
      <c r="C255" s="14"/>
      <c r="D255" s="14"/>
    </row>
    <row r="256" spans="2:4">
      <c r="B256" s="14"/>
      <c r="C256" s="14"/>
      <c r="D256" s="14"/>
    </row>
    <row r="261" spans="2:4">
      <c r="B261" s="14"/>
      <c r="C261" s="14"/>
      <c r="D261" s="14"/>
    </row>
    <row r="262" spans="2:4">
      <c r="B262" s="14"/>
      <c r="C262" s="14"/>
      <c r="D262" s="14"/>
    </row>
    <row r="263" spans="2:4">
      <c r="B263" s="14"/>
      <c r="C263" s="14"/>
      <c r="D263" s="14"/>
    </row>
    <row r="264" spans="2:4">
      <c r="B264" s="14"/>
      <c r="C264" s="14"/>
      <c r="D264" s="14"/>
    </row>
    <row r="265" spans="2:4">
      <c r="B265" s="14"/>
      <c r="C265" s="14"/>
      <c r="D265" s="14"/>
    </row>
    <row r="267" spans="2:4">
      <c r="B267" s="14"/>
      <c r="C267" s="14"/>
      <c r="D267" s="14"/>
    </row>
    <row r="268" spans="2:4">
      <c r="B268" s="14"/>
      <c r="C268" s="14"/>
      <c r="D268" s="14"/>
    </row>
    <row r="271" spans="2:4">
      <c r="B271" s="14"/>
      <c r="C271" s="14"/>
      <c r="D271" s="14"/>
    </row>
    <row r="274" spans="2:4">
      <c r="B274" s="14"/>
      <c r="C274" s="14"/>
      <c r="D274" s="14"/>
    </row>
  </sheetData>
  <mergeCells count="1">
    <mergeCell ref="G66:H66"/>
  </mergeCells>
  <phoneticPr fontId="0" type="noConversion"/>
  <conditionalFormatting sqref="A131">
    <cfRule type="expression" dxfId="0" priority="1" stopIfTrue="1">
      <formula>NOT($B93)</formula>
    </cfRule>
  </conditionalFormatting>
  <pageMargins left="0.75" right="0.75" top="1" bottom="1" header="0.5" footer="0.5"/>
  <pageSetup orientation="portrait" horizontalDpi="200" verticalDpi="2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工作表</vt:lpstr>
      </vt:variant>
      <vt:variant>
        <vt:i4>32</vt:i4>
      </vt:variant>
      <vt:variant>
        <vt:lpstr>命名范围</vt:lpstr>
      </vt:variant>
      <vt:variant>
        <vt:i4>2330</vt:i4>
      </vt:variant>
    </vt:vector>
  </HeadingPairs>
  <TitlesOfParts>
    <vt:vector size="2362" baseType="lpstr">
      <vt:lpstr>Title Page</vt:lpstr>
      <vt:lpstr>Index</vt:lpstr>
      <vt:lpstr>INPUT</vt:lpstr>
      <vt:lpstr>OUTPUT</vt:lpstr>
      <vt:lpstr>Cost Data</vt:lpstr>
      <vt:lpstr>O&amp;M</vt:lpstr>
      <vt:lpstr>Residuals Management</vt:lpstr>
      <vt:lpstr>Critical Design Assumptions</vt:lpstr>
      <vt:lpstr>Calc System</vt:lpstr>
      <vt:lpstr>O&amp;M Assumptions</vt:lpstr>
      <vt:lpstr>Indirect Assumptions</vt:lpstr>
      <vt:lpstr>Influent and Booster Pumping</vt:lpstr>
      <vt:lpstr>Pretreatment</vt:lpstr>
      <vt:lpstr>Feed Water</vt:lpstr>
      <vt:lpstr>Train Design</vt:lpstr>
      <vt:lpstr>Pressure Tuning</vt:lpstr>
      <vt:lpstr>Calc One Element</vt:lpstr>
      <vt:lpstr>Membrane Capital</vt:lpstr>
      <vt:lpstr>Cleaning</vt:lpstr>
      <vt:lpstr>Pipes and Structure</vt:lpstr>
      <vt:lpstr>Instrumentation and Control</vt:lpstr>
      <vt:lpstr>HVAC</vt:lpstr>
      <vt:lpstr>Indirect</vt:lpstr>
      <vt:lpstr>Conversions</vt:lpstr>
      <vt:lpstr>Water Specs</vt:lpstr>
      <vt:lpstr>Membrane Specs</vt:lpstr>
      <vt:lpstr>Concentrate Scaling</vt:lpstr>
      <vt:lpstr>Standard Inputs</vt:lpstr>
      <vt:lpstr>Cost Equations</vt:lpstr>
      <vt:lpstr>Cost Coefficients</vt:lpstr>
      <vt:lpstr>Engineering Data</vt:lpstr>
      <vt:lpstr>Lookup Tables</vt:lpstr>
      <vt:lpstr>A_diff</vt:lpstr>
      <vt:lpstr>A_firstguess</vt:lpstr>
      <vt:lpstr>A_guess</vt:lpstr>
      <vt:lpstr>A_out</vt:lpstr>
      <vt:lpstr>A_pctdiff</vt:lpstr>
      <vt:lpstr>A_pres_corr_guess</vt:lpstr>
      <vt:lpstr>A_press_corr</vt:lpstr>
      <vt:lpstr>A_sal_corr</vt:lpstr>
      <vt:lpstr>A_sal_corr_firstguess</vt:lpstr>
      <vt:lpstr>A_temp_coeff_pguess</vt:lpstr>
      <vt:lpstr>A_temp_corr</vt:lpstr>
      <vt:lpstr>A_temp_corr_pguess</vt:lpstr>
      <vt:lpstr>acid_clncst_diam</vt:lpstr>
      <vt:lpstr>acid_clncst_fp</vt:lpstr>
      <vt:lpstr>acid_day</vt:lpstr>
      <vt:lpstr>acid_day_tank_fp</vt:lpstr>
      <vt:lpstr>acid_day_tank_vol</vt:lpstr>
      <vt:lpstr>acid_day_tank_vol_needed</vt:lpstr>
      <vt:lpstr>acid_day_tanks</vt:lpstr>
      <vt:lpstr>acid_density</vt:lpstr>
      <vt:lpstr>acid_dose</vt:lpstr>
      <vt:lpstr>acid_dt_coating_gal</vt:lpstr>
      <vt:lpstr>acid_dt_cont_fp</vt:lpstr>
      <vt:lpstr>acid_dt_cont_volume</vt:lpstr>
      <vt:lpstr>acid_dt_curb_concrete</vt:lpstr>
      <vt:lpstr>acid_dt_curb_height</vt:lpstr>
      <vt:lpstr>acid_dt_curb_len_long</vt:lpstr>
      <vt:lpstr>acid_dt_curb_len_short</vt:lpstr>
      <vt:lpstr>acid_dt_curb_thick</vt:lpstr>
      <vt:lpstr>acid_dt_diam</vt:lpstr>
      <vt:lpstr>acid_mpump_rating</vt:lpstr>
      <vt:lpstr>acid_mpumps</vt:lpstr>
      <vt:lpstr>acid_st_coating_gal</vt:lpstr>
      <vt:lpstr>acid_st_cont_fp</vt:lpstr>
      <vt:lpstr>acid_st_cont_volume</vt:lpstr>
      <vt:lpstr>acid_st_curb_concrete</vt:lpstr>
      <vt:lpstr>acid_st_curb_height</vt:lpstr>
      <vt:lpstr>acid_st_curb_len_long</vt:lpstr>
      <vt:lpstr>acid_st_curb_len_short</vt:lpstr>
      <vt:lpstr>acid_st_curb_thick</vt:lpstr>
      <vt:lpstr>acid_strength_H2SO4</vt:lpstr>
      <vt:lpstr>acid_strength_HCl</vt:lpstr>
      <vt:lpstr>acid_tank_coating_gal</vt:lpstr>
      <vt:lpstr>acid_tank_cont_fp</vt:lpstr>
      <vt:lpstr>acid_tank_cont_volume</vt:lpstr>
      <vt:lpstr>acid_tank_curb_concrete</vt:lpstr>
      <vt:lpstr>acid_tank_curb_height</vt:lpstr>
      <vt:lpstr>acid_tank_curb_len_long</vt:lpstr>
      <vt:lpstr>acid_tank_curb_len_short</vt:lpstr>
      <vt:lpstr>acid_tank_curb_thick</vt:lpstr>
      <vt:lpstr>acid_tank_diam</vt:lpstr>
      <vt:lpstr>acid_tank_fp</vt:lpstr>
      <vt:lpstr>acid_tank_size</vt:lpstr>
      <vt:lpstr>acid_tanks</vt:lpstr>
      <vt:lpstr>acid_yr</vt:lpstr>
      <vt:lpstr>active_filters</vt:lpstr>
      <vt:lpstr>add_2nd_building</vt:lpstr>
      <vt:lpstr>add_3rd_building</vt:lpstr>
      <vt:lpstr>add_ports</vt:lpstr>
      <vt:lpstr>add_res_pipe_length</vt:lpstr>
      <vt:lpstr>add_res_pipe_length_direct</vt:lpstr>
      <vt:lpstr>Additional_redundant_cartridge_filter_per_x_MGD_design_flow</vt:lpstr>
      <vt:lpstr>addl_height</vt:lpstr>
      <vt:lpstr>addl_length</vt:lpstr>
      <vt:lpstr>addl_redund_cart_per_flow</vt:lpstr>
      <vt:lpstr>addon_cost</vt:lpstr>
      <vt:lpstr>af_unit_list</vt:lpstr>
      <vt:lpstr>af_units</vt:lpstr>
      <vt:lpstr>air_changes_build1</vt:lpstr>
      <vt:lpstr>air_changes_build2</vt:lpstr>
      <vt:lpstr>air_changes_build3</vt:lpstr>
      <vt:lpstr>Air_changes_chem_storage</vt:lpstr>
      <vt:lpstr>Air_changes_contactor</vt:lpstr>
      <vt:lpstr>Air_changes_office</vt:lpstr>
      <vt:lpstr>Air_changes_pump</vt:lpstr>
      <vt:lpstr>alarm_cost_cl</vt:lpstr>
      <vt:lpstr>alarm_res</vt:lpstr>
      <vt:lpstr>alk_delta_tfeed</vt:lpstr>
      <vt:lpstr>analog_inputs</vt:lpstr>
      <vt:lpstr>analog_outputs</vt:lpstr>
      <vt:lpstr>anion_balance</vt:lpstr>
      <vt:lpstr>Annualized_Capital_Cost</vt:lpstr>
      <vt:lpstr>Annualized_Cost</vt:lpstr>
      <vt:lpstr>anti_day</vt:lpstr>
      <vt:lpstr>anti_day_tank_fp</vt:lpstr>
      <vt:lpstr>anti_day_tank_vol</vt:lpstr>
      <vt:lpstr>anti_day_tank_vol_needed</vt:lpstr>
      <vt:lpstr>anti_day_tanks</vt:lpstr>
      <vt:lpstr>anti_density</vt:lpstr>
      <vt:lpstr>anti_dose</vt:lpstr>
      <vt:lpstr>anti_dose_conc</vt:lpstr>
      <vt:lpstr>anti_dt_coating_gal</vt:lpstr>
      <vt:lpstr>anti_dt_cont_fp</vt:lpstr>
      <vt:lpstr>anti_dt_cont_volume</vt:lpstr>
      <vt:lpstr>anti_dt_curb_concrete</vt:lpstr>
      <vt:lpstr>anti_dt_curb_height</vt:lpstr>
      <vt:lpstr>anti_dt_curb_len_long</vt:lpstr>
      <vt:lpstr>anti_dt_curb_len_short</vt:lpstr>
      <vt:lpstr>anti_dt_curb_thick</vt:lpstr>
      <vt:lpstr>anti_dt_diam</vt:lpstr>
      <vt:lpstr>anti_mpump_rating</vt:lpstr>
      <vt:lpstr>anti_mpumps</vt:lpstr>
      <vt:lpstr>anti_purchase</vt:lpstr>
      <vt:lpstr>anti_st_coating_gal</vt:lpstr>
      <vt:lpstr>anti_st_cont_fp</vt:lpstr>
      <vt:lpstr>anti_st_cont_volume</vt:lpstr>
      <vt:lpstr>anti_st_curb_concrete</vt:lpstr>
      <vt:lpstr>anti_st_curb_height</vt:lpstr>
      <vt:lpstr>anti_st_curb_len_long</vt:lpstr>
      <vt:lpstr>anti_st_curb_len_short</vt:lpstr>
      <vt:lpstr>anti_st_curb_thick</vt:lpstr>
      <vt:lpstr>anti_tank_diam</vt:lpstr>
      <vt:lpstr>anti_tank_fp</vt:lpstr>
      <vt:lpstr>anti_tank_size</vt:lpstr>
      <vt:lpstr>anti_tanks</vt:lpstr>
      <vt:lpstr>anti_yr_basic</vt:lpstr>
      <vt:lpstr>anti_yr_premium</vt:lpstr>
      <vt:lpstr>antiscalant_valve_size</vt:lpstr>
      <vt:lpstr>architectural_table_cl</vt:lpstr>
      <vt:lpstr>area_avail_23</vt:lpstr>
      <vt:lpstr>area_avail_3</vt:lpstr>
      <vt:lpstr>area_per_train_calc</vt:lpstr>
      <vt:lpstr>area_per_vess</vt:lpstr>
      <vt:lpstr>area_train</vt:lpstr>
      <vt:lpstr>auto_clean_screen_eq</vt:lpstr>
      <vt:lpstr>auto_list</vt:lpstr>
      <vt:lpstr>auto_prescreen_cost_cl</vt:lpstr>
      <vt:lpstr>auto_table</vt:lpstr>
      <vt:lpstr>average_flow</vt:lpstr>
      <vt:lpstr>average_flow_I</vt:lpstr>
      <vt:lpstr>average_flow_rate</vt:lpstr>
      <vt:lpstr>average_inflow</vt:lpstr>
      <vt:lpstr>average_inflow_rate</vt:lpstr>
      <vt:lpstr>average_rej_flow</vt:lpstr>
      <vt:lpstr>average_scs_flow</vt:lpstr>
      <vt:lpstr>avg_flow</vt:lpstr>
      <vt:lpstr>avg_perm_flow</vt:lpstr>
      <vt:lpstr>avg_tds</vt:lpstr>
      <vt:lpstr>avg_visc</vt:lpstr>
      <vt:lpstr>avg_Y_el</vt:lpstr>
      <vt:lpstr>avg_Y_el_targ</vt:lpstr>
      <vt:lpstr>avg_Y_el_targ_frac</vt:lpstr>
      <vt:lpstr>avg_Y_vess</vt:lpstr>
      <vt:lpstr>B_diff</vt:lpstr>
      <vt:lpstr>B_out</vt:lpstr>
      <vt:lpstr>B_over_A_guess</vt:lpstr>
      <vt:lpstr>B_pctdiff</vt:lpstr>
      <vt:lpstr>B_sal_corr</vt:lpstr>
      <vt:lpstr>B_sal_corr_firstguess</vt:lpstr>
      <vt:lpstr>B_temp_corr</vt:lpstr>
      <vt:lpstr>backfill_cost_cl</vt:lpstr>
      <vt:lpstr>bar_per_atm</vt:lpstr>
      <vt:lpstr>base_salt_passage</vt:lpstr>
      <vt:lpstr>baso4_bad_with_anti</vt:lpstr>
      <vt:lpstr>baso4_bad_without_anti</vt:lpstr>
      <vt:lpstr>baso4_recommend</vt:lpstr>
      <vt:lpstr>bearing_area</vt:lpstr>
      <vt:lpstr>bedding_cost_cl</vt:lpstr>
      <vt:lpstr>bedding_depth</vt:lpstr>
      <vt:lpstr>bedding_pct</vt:lpstr>
      <vt:lpstr>bedding_vol</vt:lpstr>
      <vt:lpstr>bldg_hi_cost_cl</vt:lpstr>
      <vt:lpstr>bldg_hi_eq_1</vt:lpstr>
      <vt:lpstr>bldg_hi_eq_2</vt:lpstr>
      <vt:lpstr>bldg_hi_eq_3</vt:lpstr>
      <vt:lpstr>bldg_lo_cost_cl</vt:lpstr>
      <vt:lpstr>bldg_lo_eq_1</vt:lpstr>
      <vt:lpstr>bldg_lo_eq_2</vt:lpstr>
      <vt:lpstr>bldg_lo_eq_3</vt:lpstr>
      <vt:lpstr>bldg_maint_cost</vt:lpstr>
      <vt:lpstr>bldg_mid_cost_cl</vt:lpstr>
      <vt:lpstr>bldg_mid_eq_1</vt:lpstr>
      <vt:lpstr>bldg_mid_eq_2</vt:lpstr>
      <vt:lpstr>bldg_mid_eq_3</vt:lpstr>
      <vt:lpstr>bldg_shed_cost_cl</vt:lpstr>
      <vt:lpstr>blend_gas_concs</vt:lpstr>
      <vt:lpstr>blend_ion_concs</vt:lpstr>
      <vt:lpstr>blend_TDS</vt:lpstr>
      <vt:lpstr>blend_TDS_180c</vt:lpstr>
      <vt:lpstr>block_vol</vt:lpstr>
      <vt:lpstr>boost_2_class</vt:lpstr>
      <vt:lpstr>boost_2_energy</vt:lpstr>
      <vt:lpstr>boost_2_fp</vt:lpstr>
      <vt:lpstr>boost_2_max_pump_size</vt:lpstr>
      <vt:lpstr>boost_2_op_hp</vt:lpstr>
      <vt:lpstr>boost_2_pump_choose</vt:lpstr>
      <vt:lpstr>boost_2_pump_lkp_costs</vt:lpstr>
      <vt:lpstr>boost_3_class</vt:lpstr>
      <vt:lpstr>boost_3_energy</vt:lpstr>
      <vt:lpstr>boost_3_fp</vt:lpstr>
      <vt:lpstr>boost_3_max_pump_size</vt:lpstr>
      <vt:lpstr>boost_3_op_hp</vt:lpstr>
      <vt:lpstr>boost_3_pump_choose</vt:lpstr>
      <vt:lpstr>boost_3_pump_lkp_costs</vt:lpstr>
      <vt:lpstr>boost_flow_2</vt:lpstr>
      <vt:lpstr>boost_flow_3</vt:lpstr>
      <vt:lpstr>boost_headloss</vt:lpstr>
      <vt:lpstr>boost_pump_2_gpm</vt:lpstr>
      <vt:lpstr>boost_pump_2_hp</vt:lpstr>
      <vt:lpstr>boost_pump_2_mgd</vt:lpstr>
      <vt:lpstr>boost_pump_2_psi</vt:lpstr>
      <vt:lpstr>boost_pump_3_gpm</vt:lpstr>
      <vt:lpstr>boost_pump_3_hp</vt:lpstr>
      <vt:lpstr>boost_pump_3_mgd</vt:lpstr>
      <vt:lpstr>boost_pump_3_psi</vt:lpstr>
      <vt:lpstr>boost_pump_fp</vt:lpstr>
      <vt:lpstr>boost_pumps_2_op</vt:lpstr>
      <vt:lpstr>boost_pumps_2_tot</vt:lpstr>
      <vt:lpstr>boost_pumps_3_op</vt:lpstr>
      <vt:lpstr>boost_pumps_3_tot</vt:lpstr>
      <vt:lpstr>boost_valve_2_diam</vt:lpstr>
      <vt:lpstr>boost_valve_3_diam</vt:lpstr>
      <vt:lpstr>boost2_pump_eq</vt:lpstr>
      <vt:lpstr>boost3_pump_eq</vt:lpstr>
      <vt:lpstr>bore_cost_cl</vt:lpstr>
      <vt:lpstr>bore_depth</vt:lpstr>
      <vt:lpstr>bore_depth_max</vt:lpstr>
      <vt:lpstr>bore_depth_min</vt:lpstr>
      <vt:lpstr>bore_depth_p</vt:lpstr>
      <vt:lpstr>bore_draw_cost_cl</vt:lpstr>
      <vt:lpstr>bore_mob_cost_cl</vt:lpstr>
      <vt:lpstr>bore_need</vt:lpstr>
      <vt:lpstr>bore_report_cost_cl</vt:lpstr>
      <vt:lpstr>bore_rig_cost_cl</vt:lpstr>
      <vt:lpstr>bp_flow_rate</vt:lpstr>
      <vt:lpstr>bp_flow_rate_avg</vt:lpstr>
      <vt:lpstr>bp_pct</vt:lpstr>
      <vt:lpstr>bp_pipe_diam</vt:lpstr>
      <vt:lpstr>bp_pipe_length</vt:lpstr>
      <vt:lpstr>bp_pipe_mult</vt:lpstr>
      <vt:lpstr>bp_pump_eff</vt:lpstr>
      <vt:lpstr>bp_pump_energy</vt:lpstr>
      <vt:lpstr>bp_pump_eq</vt:lpstr>
      <vt:lpstr>bp_pump_head</vt:lpstr>
      <vt:lpstr>bp_pump_hp</vt:lpstr>
      <vt:lpstr>bp_pump_materials</vt:lpstr>
      <vt:lpstr>bp_pump_rating</vt:lpstr>
      <vt:lpstr>bp_pump_rating_sizing</vt:lpstr>
      <vt:lpstr>br_ins_pct</vt:lpstr>
      <vt:lpstr>build_UL</vt:lpstr>
      <vt:lpstr>build1_cfm</vt:lpstr>
      <vt:lpstr>build1_cool</vt:lpstr>
      <vt:lpstr>build1_cool_options</vt:lpstr>
      <vt:lpstr>build1_cool_zones</vt:lpstr>
      <vt:lpstr>build1_cooling_loss_hr</vt:lpstr>
      <vt:lpstr>build1_cooling_loss_yr</vt:lpstr>
      <vt:lpstr>build1_cooling_req</vt:lpstr>
      <vt:lpstr>build1_cooling_tons</vt:lpstr>
      <vt:lpstr>build1_cooling_yr</vt:lpstr>
      <vt:lpstr>build1_elec_cool</vt:lpstr>
      <vt:lpstr>build1_elec_cool_power</vt:lpstr>
      <vt:lpstr>build1_elec_heat</vt:lpstr>
      <vt:lpstr>build1_elec_heat_power</vt:lpstr>
      <vt:lpstr>build1_fp</vt:lpstr>
      <vt:lpstr>build1_heat</vt:lpstr>
      <vt:lpstr>build1_heat_loss_yr</vt:lpstr>
      <vt:lpstr>build1_heat_mbh</vt:lpstr>
      <vt:lpstr>build1_heat_options</vt:lpstr>
      <vt:lpstr>build1_heat_zones</vt:lpstr>
      <vt:lpstr>build1_need_cool</vt:lpstr>
      <vt:lpstr>build1_need_heat</vt:lpstr>
      <vt:lpstr>build1_row</vt:lpstr>
      <vt:lpstr>build1_side</vt:lpstr>
      <vt:lpstr>build1_zones</vt:lpstr>
      <vt:lpstr>build2_cfm</vt:lpstr>
      <vt:lpstr>build2_cool</vt:lpstr>
      <vt:lpstr>build2_cool_options</vt:lpstr>
      <vt:lpstr>build2_cool_zones</vt:lpstr>
      <vt:lpstr>build2_cooling_loss_hr</vt:lpstr>
      <vt:lpstr>build2_cooling_loss_yr</vt:lpstr>
      <vt:lpstr>build2_cooling_req</vt:lpstr>
      <vt:lpstr>build2_cooling_tons</vt:lpstr>
      <vt:lpstr>build2_cooling_yr</vt:lpstr>
      <vt:lpstr>build2_elec_cool</vt:lpstr>
      <vt:lpstr>build2_elec_cool_power</vt:lpstr>
      <vt:lpstr>build2_elec_heat</vt:lpstr>
      <vt:lpstr>build2_elec_heat_power</vt:lpstr>
      <vt:lpstr>build2_fp</vt:lpstr>
      <vt:lpstr>build2_heat</vt:lpstr>
      <vt:lpstr>build2_heat_loss_yr</vt:lpstr>
      <vt:lpstr>build2_heat_mbh</vt:lpstr>
      <vt:lpstr>build2_heat_options</vt:lpstr>
      <vt:lpstr>build2_heat_zones</vt:lpstr>
      <vt:lpstr>build2_need_cool</vt:lpstr>
      <vt:lpstr>build2_need_heat</vt:lpstr>
      <vt:lpstr>build2_row</vt:lpstr>
      <vt:lpstr>build2_side</vt:lpstr>
      <vt:lpstr>build2_zones</vt:lpstr>
      <vt:lpstr>build3_cfm</vt:lpstr>
      <vt:lpstr>build3_cool</vt:lpstr>
      <vt:lpstr>build3_cool_options</vt:lpstr>
      <vt:lpstr>build3_cool_zones</vt:lpstr>
      <vt:lpstr>build3_cooling_loss_hr</vt:lpstr>
      <vt:lpstr>build3_cooling_loss_yr</vt:lpstr>
      <vt:lpstr>build3_cooling_req</vt:lpstr>
      <vt:lpstr>build3_cooling_tons</vt:lpstr>
      <vt:lpstr>build3_cooling_yr</vt:lpstr>
      <vt:lpstr>build3_elec_cool</vt:lpstr>
      <vt:lpstr>build3_elec_cool_power</vt:lpstr>
      <vt:lpstr>build3_elec_heat</vt:lpstr>
      <vt:lpstr>build3_elec_heat_power</vt:lpstr>
      <vt:lpstr>build3_fp</vt:lpstr>
      <vt:lpstr>build3_heat</vt:lpstr>
      <vt:lpstr>build3_heat_loss_yr</vt:lpstr>
      <vt:lpstr>build3_heat_mbh</vt:lpstr>
      <vt:lpstr>build3_heat_options</vt:lpstr>
      <vt:lpstr>build3_heat_zones</vt:lpstr>
      <vt:lpstr>build3_need_cool</vt:lpstr>
      <vt:lpstr>build3_need_heat</vt:lpstr>
      <vt:lpstr>build3_row</vt:lpstr>
      <vt:lpstr>build3_side</vt:lpstr>
      <vt:lpstr>build3_zones</vt:lpstr>
      <vt:lpstr>building_cost</vt:lpstr>
      <vt:lpstr>Building_height</vt:lpstr>
      <vt:lpstr>building_matl_rate_cl</vt:lpstr>
      <vt:lpstr>buried_res_pipe_length</vt:lpstr>
      <vt:lpstr>bypass_pump_fp</vt:lpstr>
      <vt:lpstr>bypass_valve_size</vt:lpstr>
      <vt:lpstr>c_dP_out</vt:lpstr>
      <vt:lpstr>c_perm_conc_out</vt:lpstr>
      <vt:lpstr>c_perm_flow_out</vt:lpstr>
      <vt:lpstr>c_perm_tds_out</vt:lpstr>
      <vt:lpstr>c_recovery_out</vt:lpstr>
      <vt:lpstr>c_recovery_v</vt:lpstr>
      <vt:lpstr>c_salt_rej_out</vt:lpstr>
      <vt:lpstr>caf2_bad_with_anti</vt:lpstr>
      <vt:lpstr>caf2_bad_without_anti</vt:lpstr>
      <vt:lpstr>caf2_ksp</vt:lpstr>
      <vt:lpstr>caf2_ksp_base</vt:lpstr>
      <vt:lpstr>caf2_pksp_base</vt:lpstr>
      <vt:lpstr>caf2_recommend</vt:lpstr>
      <vt:lpstr>caf2_vanthoff_corr</vt:lpstr>
      <vt:lpstr>calc_result</vt:lpstr>
      <vt:lpstr>carbon_feed_mol</vt:lpstr>
      <vt:lpstr>cart_cost_cl</vt:lpstr>
      <vt:lpstr>cart_dim_table_cl</vt:lpstr>
      <vt:lpstr>cart_disp_freq</vt:lpstr>
      <vt:lpstr>cart_disp_wt</vt:lpstr>
      <vt:lpstr>cart_disposal_fee</vt:lpstr>
      <vt:lpstr>cart_eq</vt:lpstr>
      <vt:lpstr>cart_filter_discount_table</vt:lpstr>
      <vt:lpstr>cart_filter_per_chem</vt:lpstr>
      <vt:lpstr>cart_life</vt:lpstr>
      <vt:lpstr>cart_life_long</vt:lpstr>
      <vt:lpstr>cart_life_sdi_cutover</vt:lpstr>
      <vt:lpstr>cart_life_short</vt:lpstr>
      <vt:lpstr>cart_replace_cost_nf_cl</vt:lpstr>
      <vt:lpstr>cart_replace_cost_ro_cl</vt:lpstr>
      <vt:lpstr>cart_replace_eq_nf</vt:lpstr>
      <vt:lpstr>cart_replace_eq_ro</vt:lpstr>
      <vt:lpstr>cart_wt_table</vt:lpstr>
      <vt:lpstr>cartridge_fp</vt:lpstr>
      <vt:lpstr>caso4_bad_with_anti</vt:lpstr>
      <vt:lpstr>caso4_bad_without_anti</vt:lpstr>
      <vt:lpstr>caso4_recommend</vt:lpstr>
      <vt:lpstr>cation_balance</vt:lpstr>
      <vt:lpstr>caustic_clncst_diam</vt:lpstr>
      <vt:lpstr>caustic_clncst_fp</vt:lpstr>
      <vt:lpstr>caustic_coating_gal</vt:lpstr>
      <vt:lpstr>caustic_cont_fp</vt:lpstr>
      <vt:lpstr>caustic_cont_volume</vt:lpstr>
      <vt:lpstr>caustic_curb_concrete</vt:lpstr>
      <vt:lpstr>caustic_curb_height</vt:lpstr>
      <vt:lpstr>caustic_curb_len_long</vt:lpstr>
      <vt:lpstr>caustic_curb_len_short</vt:lpstr>
      <vt:lpstr>caustic_curb_thick</vt:lpstr>
      <vt:lpstr>caustic_need</vt:lpstr>
      <vt:lpstr>caustic_strength</vt:lpstr>
      <vt:lpstr>ceiling_clearance</vt:lpstr>
      <vt:lpstr>chem_alarm_cst</vt:lpstr>
      <vt:lpstr>chem_alarm_pre</vt:lpstr>
      <vt:lpstr>chem_break_table_cl</vt:lpstr>
      <vt:lpstr>chem_cost_cl</vt:lpstr>
      <vt:lpstr>chem_per_sys</vt:lpstr>
      <vt:lpstr>chem_pipe_mult</vt:lpstr>
      <vt:lpstr>chem_pump_cost_cl</vt:lpstr>
      <vt:lpstr>chem_pump_feed_table</vt:lpstr>
      <vt:lpstr>chem_pump_gph</vt:lpstr>
      <vt:lpstr>chem_pump_rating</vt:lpstr>
      <vt:lpstr>chem_pumps_per_sys</vt:lpstr>
      <vt:lpstr>chem_tank_vol</vt:lpstr>
      <vt:lpstr>ci_bfv_cost_cl</vt:lpstr>
      <vt:lpstr>ci_bfv_eq</vt:lpstr>
      <vt:lpstr>ci_bfv_eq_b2</vt:lpstr>
      <vt:lpstr>ci_bfv_eq_b3</vt:lpstr>
      <vt:lpstr>ci_bfv_eq_bp</vt:lpstr>
      <vt:lpstr>ci_bfv_eq_conc</vt:lpstr>
      <vt:lpstr>ci_bfv_eq_feed</vt:lpstr>
      <vt:lpstr>ci_bfv_eq_res</vt:lpstr>
      <vt:lpstr>ci_chv_cost_cl</vt:lpstr>
      <vt:lpstr>ci_chv_eq_bp</vt:lpstr>
      <vt:lpstr>ci_chv_eq_cln</vt:lpstr>
      <vt:lpstr>ci_chv_eq_feed</vt:lpstr>
      <vt:lpstr>ci_chv_eq_in</vt:lpstr>
      <vt:lpstr>ci_chv_eq_res</vt:lpstr>
      <vt:lpstr>ci_mov_cost_cl</vt:lpstr>
      <vt:lpstr>ci_mov_eq_b2</vt:lpstr>
      <vt:lpstr>ci_mov_eq_b3</vt:lpstr>
      <vt:lpstr>ci_mov_eq_bp</vt:lpstr>
      <vt:lpstr>ci_mov_eq_conc</vt:lpstr>
      <vt:lpstr>ci_mov_eq_feed</vt:lpstr>
      <vt:lpstr>ci_mov_eq_res</vt:lpstr>
      <vt:lpstr>cimp_mix_eq</vt:lpstr>
      <vt:lpstr>citric_density</vt:lpstr>
      <vt:lpstr>citric_need</vt:lpstr>
      <vt:lpstr>citric_per_cycle</vt:lpstr>
      <vt:lpstr>citric_purchase</vt:lpstr>
      <vt:lpstr>citric_store</vt:lpstr>
      <vt:lpstr>citric_store_cuft</vt:lpstr>
      <vt:lpstr>citric_yr</vt:lpstr>
      <vt:lpstr>city_index</vt:lpstr>
      <vt:lpstr>Cl_delta_tfeed</vt:lpstr>
      <vt:lpstr>Cl_delta_tfeed_ppm</vt:lpstr>
      <vt:lpstr>clean_acid</vt:lpstr>
      <vt:lpstr>clean_acid_store_tank_size</vt:lpstr>
      <vt:lpstr>clean_acid_store_tanks</vt:lpstr>
      <vt:lpstr>clean_cart_eq</vt:lpstr>
      <vt:lpstr>clean_cart_filter_flow</vt:lpstr>
      <vt:lpstr>clean_caustic_store_tank_size</vt:lpstr>
      <vt:lpstr>clean_caustic_store_tanks</vt:lpstr>
      <vt:lpstr>clean_chem_fp</vt:lpstr>
      <vt:lpstr>clean_feed_fp</vt:lpstr>
      <vt:lpstr>clean_filt_fp</vt:lpstr>
      <vt:lpstr>clean_filter_elements</vt:lpstr>
      <vt:lpstr>clean_filter_len</vt:lpstr>
      <vt:lpstr>clean_filter_replacement</vt:lpstr>
      <vt:lpstr>clean_filter_wid</vt:lpstr>
      <vt:lpstr>clean_fp</vt:lpstr>
      <vt:lpstr>clean_high_pH</vt:lpstr>
      <vt:lpstr>clean_interval_override</vt:lpstr>
      <vt:lpstr>clean_labor</vt:lpstr>
      <vt:lpstr>clean_materials</vt:lpstr>
      <vt:lpstr>clean_meter_size</vt:lpstr>
      <vt:lpstr>clean_offline_frac</vt:lpstr>
      <vt:lpstr>clean_pipe_diam</vt:lpstr>
      <vt:lpstr>clean_pipe_flow</vt:lpstr>
      <vt:lpstr>clean_pipe_length</vt:lpstr>
      <vt:lpstr>clean_screen_eq</vt:lpstr>
      <vt:lpstr>clean_screen_fp</vt:lpstr>
      <vt:lpstr>clean_tank_diam</vt:lpstr>
      <vt:lpstr>clean_tank_fp</vt:lpstr>
      <vt:lpstr>clean_valve_size</vt:lpstr>
      <vt:lpstr>cleaning_chv</vt:lpstr>
      <vt:lpstr>cleaning_cycle</vt:lpstr>
      <vt:lpstr>cleaning_freq_change</vt:lpstr>
      <vt:lpstr>cleaning_freq_max</vt:lpstr>
      <vt:lpstr>cleaning_freq_min</vt:lpstr>
      <vt:lpstr>cleaning_freq_SDI2</vt:lpstr>
      <vt:lpstr>cleaning_heat_time</vt:lpstr>
      <vt:lpstr>cleaning_interval</vt:lpstr>
      <vt:lpstr>cleaning_temp</vt:lpstr>
      <vt:lpstr>Clerical_LOE</vt:lpstr>
      <vt:lpstr>Clerical_percent</vt:lpstr>
      <vt:lpstr>cm_cost</vt:lpstr>
      <vt:lpstr>cmix_hp_max</vt:lpstr>
      <vt:lpstr>cmix_hp_per</vt:lpstr>
      <vt:lpstr>cmix_per_tank</vt:lpstr>
      <vt:lpstr>cmix_size</vt:lpstr>
      <vt:lpstr>cmixers</vt:lpstr>
      <vt:lpstr>cmount_mix_eq</vt:lpstr>
      <vt:lpstr>CO2_feed_mol</vt:lpstr>
      <vt:lpstr>CO2_tfeed_meq</vt:lpstr>
      <vt:lpstr>CO3_feed_mol</vt:lpstr>
      <vt:lpstr>CO3_tfeed_meq</vt:lpstr>
      <vt:lpstr>Coeff_Kp</vt:lpstr>
      <vt:lpstr>cols_per_conc_hdr</vt:lpstr>
      <vt:lpstr>cols_per_feed_hdr</vt:lpstr>
      <vt:lpstr>cols_per_perm_hdr</vt:lpstr>
      <vt:lpstr>comp_in_prog</vt:lpstr>
      <vt:lpstr>complexity</vt:lpstr>
      <vt:lpstr>component_level</vt:lpstr>
      <vt:lpstr>component_level_I</vt:lpstr>
      <vt:lpstr>component_level_list</vt:lpstr>
      <vt:lpstr>component_level_table</vt:lpstr>
      <vt:lpstr>conc_alkalinity</vt:lpstr>
      <vt:lpstr>conc_basin_cost_cl</vt:lpstr>
      <vt:lpstr>conc_baso4_ip</vt:lpstr>
      <vt:lpstr>conc_baso4_ksp</vt:lpstr>
      <vt:lpstr>conc_BaSO4_sat_out</vt:lpstr>
      <vt:lpstr>conc_baso4_sat_pct</vt:lpstr>
      <vt:lpstr>conc_BaSO4_sat_sys</vt:lpstr>
      <vt:lpstr>conc_Ca</vt:lpstr>
      <vt:lpstr>conc_ca_corr</vt:lpstr>
      <vt:lpstr>conc_ca_molL</vt:lpstr>
      <vt:lpstr>conc_caf2_ip</vt:lpstr>
      <vt:lpstr>conc_CaF2_sat_out</vt:lpstr>
      <vt:lpstr>conc_caf2_sat_pct</vt:lpstr>
      <vt:lpstr>conc_CaF2_sat_sys</vt:lpstr>
      <vt:lpstr>conc_caso4_ip</vt:lpstr>
      <vt:lpstr>conc_caso4_ksp</vt:lpstr>
      <vt:lpstr>conc_CaSO4_sat_out</vt:lpstr>
      <vt:lpstr>conc_caso4_sat_pct</vt:lpstr>
      <vt:lpstr>conc_CaSO4_sat_sys</vt:lpstr>
      <vt:lpstr>conc_co3_corr</vt:lpstr>
      <vt:lpstr>conc_coating_cost_cl</vt:lpstr>
      <vt:lpstr>conc_conc_out</vt:lpstr>
      <vt:lpstr>conc_f_corr</vt:lpstr>
      <vt:lpstr>conc_f_molL</vt:lpstr>
      <vt:lpstr>conc_flow</vt:lpstr>
      <vt:lpstr>conc_flow_out</vt:lpstr>
      <vt:lpstr>conc_flow_sys</vt:lpstr>
      <vt:lpstr>conc_flow_v</vt:lpstr>
      <vt:lpstr>conc_gas_out</vt:lpstr>
      <vt:lpstr>conc_gas_ppm</vt:lpstr>
      <vt:lpstr>conc_hco3_corr</vt:lpstr>
      <vt:lpstr>conc_hdr_diam</vt:lpstr>
      <vt:lpstr>conc_hdr_length</vt:lpstr>
      <vt:lpstr>conc_Hplus</vt:lpstr>
      <vt:lpstr>conc_ionstrength</vt:lpstr>
      <vt:lpstr>conc_ionstrength_out</vt:lpstr>
      <vt:lpstr>conc_K1</vt:lpstr>
      <vt:lpstr>conc_K2</vt:lpstr>
      <vt:lpstr>conc_LSI</vt:lpstr>
      <vt:lpstr>conc_LSI_out</vt:lpstr>
      <vt:lpstr>conc_LSI_sys</vt:lpstr>
      <vt:lpstr>conc_meq</vt:lpstr>
      <vt:lpstr>conc_meter_size</vt:lpstr>
      <vt:lpstr>conc_OHminus</vt:lpstr>
      <vt:lpstr>conc_pad_cost_cl</vt:lpstr>
      <vt:lpstr>conc_pAlk</vt:lpstr>
      <vt:lpstr>conc_pCa</vt:lpstr>
      <vt:lpstr>conc_pH</vt:lpstr>
      <vt:lpstr>conc_pH_out</vt:lpstr>
      <vt:lpstr>conc_pH_s</vt:lpstr>
      <vt:lpstr>conc_pipe_diam</vt:lpstr>
      <vt:lpstr>conc_pipe_flow</vt:lpstr>
      <vt:lpstr>conc_pipe_len</vt:lpstr>
      <vt:lpstr>conc_pK_corr</vt:lpstr>
      <vt:lpstr>conc_pK1</vt:lpstr>
      <vt:lpstr>conc_pK2</vt:lpstr>
      <vt:lpstr>conc_pol</vt:lpstr>
      <vt:lpstr>conc_pol_out</vt:lpstr>
      <vt:lpstr>conc_ppm</vt:lpstr>
      <vt:lpstr>conc_SiO2_conc_sys</vt:lpstr>
      <vt:lpstr>conc_sio2_sat</vt:lpstr>
      <vt:lpstr>conc_sio2_sat_corr</vt:lpstr>
      <vt:lpstr>conc_SiO2_sat_out</vt:lpstr>
      <vt:lpstr>conc_sio2_sat_pct</vt:lpstr>
      <vt:lpstr>conc_SiO2_sat_sys</vt:lpstr>
      <vt:lpstr>conc_srso4_ip</vt:lpstr>
      <vt:lpstr>conc_srso4_ksp</vt:lpstr>
      <vt:lpstr>conc_SrSO4_sat_out</vt:lpstr>
      <vt:lpstr>conc_srso4_sat_pct</vt:lpstr>
      <vt:lpstr>conc_SrSO4_sat_sys</vt:lpstr>
      <vt:lpstr>conc_tds</vt:lpstr>
      <vt:lpstr>conc_tds_out</vt:lpstr>
      <vt:lpstr>conc_tds_sys</vt:lpstr>
      <vt:lpstr>conc_tds_v</vt:lpstr>
      <vt:lpstr>conc_thick</vt:lpstr>
      <vt:lpstr>conc_valve_size</vt:lpstr>
      <vt:lpstr>conc_visc</vt:lpstr>
      <vt:lpstr>concrete</vt:lpstr>
      <vt:lpstr>concrete_pumps</vt:lpstr>
      <vt:lpstr>concrete_racks</vt:lpstr>
      <vt:lpstr>cond_rack</vt:lpstr>
      <vt:lpstr>conduct_meter_cost_cl</vt:lpstr>
      <vt:lpstr>conn_feed_diam</vt:lpstr>
      <vt:lpstr>conn_feed_PV</vt:lpstr>
      <vt:lpstr>conn_feed_total</vt:lpstr>
      <vt:lpstr>conn_perm_diam</vt:lpstr>
      <vt:lpstr>conn_perm_PV</vt:lpstr>
      <vt:lpstr>conn_perm_total</vt:lpstr>
      <vt:lpstr>construction_mgt_table_cl</vt:lpstr>
      <vt:lpstr>contingency_table_cl</vt:lpstr>
      <vt:lpstr>cool_DD</vt:lpstr>
      <vt:lpstr>cool_viload</vt:lpstr>
      <vt:lpstr>cooling</vt:lpstr>
      <vt:lpstr>cooling_hp</vt:lpstr>
      <vt:lpstr>cooling_matl_rate_cl</vt:lpstr>
      <vt:lpstr>cooling_table</vt:lpstr>
      <vt:lpstr>cooling_table_shed</vt:lpstr>
      <vt:lpstr>COP</vt:lpstr>
      <vt:lpstr>cost_buildup_error</vt:lpstr>
      <vt:lpstr>cost_level_link</vt:lpstr>
      <vt:lpstr>cpvc_pipe_cost_cl</vt:lpstr>
      <vt:lpstr>cpvc_pipe_eq_bp</vt:lpstr>
      <vt:lpstr>cpvc_pipe_eq_clean</vt:lpstr>
      <vt:lpstr>cpvc_pipe_eq_feed</vt:lpstr>
      <vt:lpstr>cpvc_pipe_eq_in_out</vt:lpstr>
      <vt:lpstr>cpvc_pipe_eq_perm</vt:lpstr>
      <vt:lpstr>cpvc_pipe_eq_res</vt:lpstr>
      <vt:lpstr>cst_heat_cost_cl</vt:lpstr>
      <vt:lpstr>cst_heat_eq</vt:lpstr>
      <vt:lpstr>cst_insul_cost_cl</vt:lpstr>
      <vt:lpstr>cst_insul_eq</vt:lpstr>
      <vt:lpstr>cstore_days</vt:lpstr>
      <vt:lpstr>cul_indir_add_table</vt:lpstr>
      <vt:lpstr>cul_indir_mult_table</vt:lpstr>
      <vt:lpstr>cul_indir_overall_mult</vt:lpstr>
      <vt:lpstr>cul_om_table</vt:lpstr>
      <vt:lpstr>current_element_position</vt:lpstr>
      <vt:lpstr>current_element_stage</vt:lpstr>
      <vt:lpstr>current_year_cl</vt:lpstr>
      <vt:lpstr>curve</vt:lpstr>
      <vt:lpstr>cycles_yr</vt:lpstr>
      <vt:lpstr>d_per_min</vt:lpstr>
      <vt:lpstr>d_per_sec</vt:lpstr>
      <vt:lpstr>day_tank_needed</vt:lpstr>
      <vt:lpstr>default_cleaning_interval</vt:lpstr>
      <vt:lpstr>deltaP</vt:lpstr>
      <vt:lpstr>deltaP_firstguess</vt:lpstr>
      <vt:lpstr>deltaP_remaining</vt:lpstr>
      <vt:lpstr>deltaP_v</vt:lpstr>
      <vt:lpstr>deltaP_vessel</vt:lpstr>
      <vt:lpstr>design_flow</vt:lpstr>
      <vt:lpstr>design_flow_I</vt:lpstr>
      <vt:lpstr>design_flow_rate</vt:lpstr>
      <vt:lpstr>design_flux</vt:lpstr>
      <vt:lpstr>design_inflow</vt:lpstr>
      <vt:lpstr>design_inflow_rate</vt:lpstr>
      <vt:lpstr>design_Qfeed</vt:lpstr>
      <vt:lpstr>design_Qfeed_full</vt:lpstr>
      <vt:lpstr>design_Qperm</vt:lpstr>
      <vt:lpstr>design_Qperm_full</vt:lpstr>
      <vt:lpstr>design_rej_flow</vt:lpstr>
      <vt:lpstr>design_scs_flow</vt:lpstr>
      <vt:lpstr>df_unit_list</vt:lpstr>
      <vt:lpstr>df_units</vt:lpstr>
      <vt:lpstr>di_pipe_cost_cl</vt:lpstr>
      <vt:lpstr>di_pipe_eq_feed</vt:lpstr>
      <vt:lpstr>di_pipe_eq_in_out</vt:lpstr>
      <vt:lpstr>diag_horiz_length</vt:lpstr>
      <vt:lpstr>diag_length</vt:lpstr>
      <vt:lpstr>diag_members</vt:lpstr>
      <vt:lpstr>diesel_cost_cl</vt:lpstr>
      <vt:lpstr>diesel_eff</vt:lpstr>
      <vt:lpstr>diesel_heat_content</vt:lpstr>
      <vt:lpstr>diesel_non_eff</vt:lpstr>
      <vt:lpstr>diff_meq</vt:lpstr>
      <vt:lpstr>dike_volume</vt:lpstr>
      <vt:lpstr>dike_xsection</vt:lpstr>
      <vt:lpstr>dimp_mix_eq</vt:lpstr>
      <vt:lpstr>direct_cost</vt:lpstr>
      <vt:lpstr>direct_for_UL</vt:lpstr>
      <vt:lpstr>discount_rate</vt:lpstr>
      <vt:lpstr>discrete_inputs</vt:lpstr>
      <vt:lpstr>discrete_outputs</vt:lpstr>
      <vt:lpstr>dmix_per_tank</vt:lpstr>
      <vt:lpstr>dmix_size</vt:lpstr>
      <vt:lpstr>dmixers</vt:lpstr>
      <vt:lpstr>dmount_mix_eq</vt:lpstr>
      <vt:lpstr>dP_1_guess</vt:lpstr>
      <vt:lpstr>dP_2_guess</vt:lpstr>
      <vt:lpstr>dP_3_guess</vt:lpstr>
      <vt:lpstr>dP_out</vt:lpstr>
      <vt:lpstr>dP_tot_guess</vt:lpstr>
      <vt:lpstr>dPves_pctchange</vt:lpstr>
      <vt:lpstr>drain_rate_frac</vt:lpstr>
      <vt:lpstr>dredging_freq</vt:lpstr>
      <vt:lpstr>eductor_size_table_cl</vt:lpstr>
      <vt:lpstr>EER</vt:lpstr>
      <vt:lpstr>effluent_TSS</vt:lpstr>
      <vt:lpstr>el_1_1</vt:lpstr>
      <vt:lpstr>el_1_2</vt:lpstr>
      <vt:lpstr>el_1_3</vt:lpstr>
      <vt:lpstr>el_1_4</vt:lpstr>
      <vt:lpstr>el_1_5</vt:lpstr>
      <vt:lpstr>el_1_6</vt:lpstr>
      <vt:lpstr>el_1_7</vt:lpstr>
      <vt:lpstr>el_1_8</vt:lpstr>
      <vt:lpstr>el_2_1</vt:lpstr>
      <vt:lpstr>el_2_2</vt:lpstr>
      <vt:lpstr>el_2_3</vt:lpstr>
      <vt:lpstr>el_2_4</vt:lpstr>
      <vt:lpstr>el_2_5</vt:lpstr>
      <vt:lpstr>el_2_6</vt:lpstr>
      <vt:lpstr>el_2_7</vt:lpstr>
      <vt:lpstr>el_2_8</vt:lpstr>
      <vt:lpstr>el_3_1</vt:lpstr>
      <vt:lpstr>el_3_2</vt:lpstr>
      <vt:lpstr>el_3_3</vt:lpstr>
      <vt:lpstr>el_3_4</vt:lpstr>
      <vt:lpstr>el_3_5</vt:lpstr>
      <vt:lpstr>el_3_6</vt:lpstr>
      <vt:lpstr>el_3_7</vt:lpstr>
      <vt:lpstr>el_3_8</vt:lpstr>
      <vt:lpstr>el_length_stg</vt:lpstr>
      <vt:lpstr>el_per_train_prelim</vt:lpstr>
      <vt:lpstr>el_per_vess</vt:lpstr>
      <vt:lpstr>el_per_vess_max</vt:lpstr>
      <vt:lpstr>el_per_vess_max_16</vt:lpstr>
      <vt:lpstr>el_per_vess_max_8</vt:lpstr>
      <vt:lpstr>el_per_vess_std</vt:lpstr>
      <vt:lpstr>el_per_vess_std_16</vt:lpstr>
      <vt:lpstr>el_per_vess_std_8</vt:lpstr>
      <vt:lpstr>el_series</vt:lpstr>
      <vt:lpstr>elec_encl_cost_cl</vt:lpstr>
      <vt:lpstr>elect_area_table_cl</vt:lpstr>
      <vt:lpstr>elect_pct</vt:lpstr>
      <vt:lpstr>electric_encl</vt:lpstr>
      <vt:lpstr>elem_disp_freq</vt:lpstr>
      <vt:lpstr>elem_disp_wt</vt:lpstr>
      <vt:lpstr>elem_disposal_fee</vt:lpstr>
      <vt:lpstr>elem_disposal_miles</vt:lpstr>
      <vt:lpstr>elem_disposal_shipments</vt:lpstr>
      <vt:lpstr>elem_out_template</vt:lpstr>
      <vt:lpstr>elem_wt</vt:lpstr>
      <vt:lpstr>elem_wt_16</vt:lpstr>
      <vt:lpstr>elem_wt_4</vt:lpstr>
      <vt:lpstr>elem_wt_8</vt:lpstr>
      <vt:lpstr>element_A</vt:lpstr>
      <vt:lpstr>element_A_base</vt:lpstr>
      <vt:lpstr>element_A_firstguess</vt:lpstr>
      <vt:lpstr>element_A_I</vt:lpstr>
      <vt:lpstr>element_A_new</vt:lpstr>
      <vt:lpstr>element_A_next</vt:lpstr>
      <vt:lpstr>element_A_P_coeff</vt:lpstr>
      <vt:lpstr>element_A_ref</vt:lpstr>
      <vt:lpstr>element_A_S_coeff</vt:lpstr>
      <vt:lpstr>element_A_S_coeff_I</vt:lpstr>
      <vt:lpstr>element_A_T_coeff</vt:lpstr>
      <vt:lpstr>element_A_T_coeff_hi</vt:lpstr>
      <vt:lpstr>element_A_T_coeff_lo</vt:lpstr>
      <vt:lpstr>element_area</vt:lpstr>
      <vt:lpstr>element_area_I</vt:lpstr>
      <vt:lpstr>element_B</vt:lpstr>
      <vt:lpstr>element_B_base</vt:lpstr>
      <vt:lpstr>element_B_firstguess</vt:lpstr>
      <vt:lpstr>element_B_max</vt:lpstr>
      <vt:lpstr>element_B_max_I</vt:lpstr>
      <vt:lpstr>element_B_max_ref</vt:lpstr>
      <vt:lpstr>element_B_min_I</vt:lpstr>
      <vt:lpstr>element_B_new</vt:lpstr>
      <vt:lpstr>element_B_next</vt:lpstr>
      <vt:lpstr>element_B_ref</vt:lpstr>
      <vt:lpstr>element_B_S_coeff_hi</vt:lpstr>
      <vt:lpstr>element_B_S_coeff_lo</vt:lpstr>
      <vt:lpstr>element_B_T_coeff</vt:lpstr>
      <vt:lpstr>element_beta_coeff</vt:lpstr>
      <vt:lpstr>element_class</vt:lpstr>
      <vt:lpstr>element_cost</vt:lpstr>
      <vt:lpstr>element_diam</vt:lpstr>
      <vt:lpstr>element_dp_coeff</vt:lpstr>
      <vt:lpstr>element_dp_coeff_I</vt:lpstr>
      <vt:lpstr>element_dp_exp</vt:lpstr>
      <vt:lpstr>element_extra_space</vt:lpstr>
      <vt:lpstr>element_I</vt:lpstr>
      <vt:lpstr>element_index</vt:lpstr>
      <vt:lpstr>element_length</vt:lpstr>
      <vt:lpstr>element_names</vt:lpstr>
      <vt:lpstr>element_ref_TDS</vt:lpstr>
      <vt:lpstr>element_ref_temp</vt:lpstr>
      <vt:lpstr>element_replace</vt:lpstr>
      <vt:lpstr>element_replace_cost</vt:lpstr>
      <vt:lpstr>element_replace_disc</vt:lpstr>
      <vt:lpstr>element_sal_min_B</vt:lpstr>
      <vt:lpstr>element_table</vt:lpstr>
      <vt:lpstr>element_table_count</vt:lpstr>
      <vt:lpstr>element_table_name_row_number</vt:lpstr>
      <vt:lpstr>element_type</vt:lpstr>
      <vt:lpstr>elements_per_train_calc</vt:lpstr>
      <vt:lpstr>eloss_bypass_pumps</vt:lpstr>
      <vt:lpstr>eloss_inf_pumps</vt:lpstr>
      <vt:lpstr>eloss_stg2_pumps</vt:lpstr>
      <vt:lpstr>eloss_stg3_pumps</vt:lpstr>
      <vt:lpstr>energy_cost_cl</vt:lpstr>
      <vt:lpstr>eng_pct_large</vt:lpstr>
      <vt:lpstr>eng_pct_medium</vt:lpstr>
      <vt:lpstr>eng_pct_small</vt:lpstr>
      <vt:lpstr>ep_backfill_vol</vt:lpstr>
      <vt:lpstr>ep_cell_side</vt:lpstr>
      <vt:lpstr>ep_cells</vt:lpstr>
      <vt:lpstr>ep_climate_params</vt:lpstr>
      <vt:lpstr>ep_depth</vt:lpstr>
      <vt:lpstr>ep_dike_construct_cl</vt:lpstr>
      <vt:lpstr>ep_excavation_vol</vt:lpstr>
      <vt:lpstr>ep_fp</vt:lpstr>
      <vt:lpstr>ep_freeboard</vt:lpstr>
      <vt:lpstr>ep_liner_cost_cl</vt:lpstr>
      <vt:lpstr>ep_overexcavate</vt:lpstr>
      <vt:lpstr>ep_safety_factor</vt:lpstr>
      <vt:lpstr>ep_solids</vt:lpstr>
      <vt:lpstr>ep_solids_density</vt:lpstr>
      <vt:lpstr>ep_solids_depth</vt:lpstr>
      <vt:lpstr>ep_total_sa</vt:lpstr>
      <vt:lpstr>ep_water_depth</vt:lpstr>
      <vt:lpstr>eq_table_cl</vt:lpstr>
      <vt:lpstr>error_stg1</vt:lpstr>
      <vt:lpstr>error_stg2</vt:lpstr>
      <vt:lpstr>error_stg3</vt:lpstr>
      <vt:lpstr>evap_ratio</vt:lpstr>
      <vt:lpstr>ex_TSS_total</vt:lpstr>
      <vt:lpstr>excavate_cost_cl</vt:lpstr>
      <vt:lpstr>extra_rack_height</vt:lpstr>
      <vt:lpstr>extra_rack_length</vt:lpstr>
      <vt:lpstr>extra_rack_width</vt:lpstr>
      <vt:lpstr>facil_length</vt:lpstr>
      <vt:lpstr>failure_message</vt:lpstr>
      <vt:lpstr>fan_days_build1_large</vt:lpstr>
      <vt:lpstr>fan_days_build1_medium</vt:lpstr>
      <vt:lpstr>fan_days_build1_small</vt:lpstr>
      <vt:lpstr>fan_days_build2_large</vt:lpstr>
      <vt:lpstr>fan_days_build2_medium</vt:lpstr>
      <vt:lpstr>fan_days_build2_small</vt:lpstr>
      <vt:lpstr>fan_days_build3_large</vt:lpstr>
      <vt:lpstr>fan_days_build3_medium</vt:lpstr>
      <vt:lpstr>fan_days_build3_small</vt:lpstr>
      <vt:lpstr>Fan_pressure_drop</vt:lpstr>
      <vt:lpstr>feed_alkalinity</vt:lpstr>
      <vt:lpstr>feed_an_bal</vt:lpstr>
      <vt:lpstr>feed_anions</vt:lpstr>
      <vt:lpstr>feed_baso4_ip</vt:lpstr>
      <vt:lpstr>feed_baso4_ksp</vt:lpstr>
      <vt:lpstr>feed_baso4_sat_pct</vt:lpstr>
      <vt:lpstr>feed_Ca</vt:lpstr>
      <vt:lpstr>feed_ca_corr</vt:lpstr>
      <vt:lpstr>feed_ca_molL</vt:lpstr>
      <vt:lpstr>feed_caf2_ip</vt:lpstr>
      <vt:lpstr>feed_caf2_sat_pct</vt:lpstr>
      <vt:lpstr>feed_caso4_ip</vt:lpstr>
      <vt:lpstr>feed_caso4_ksp</vt:lpstr>
      <vt:lpstr>feed_caso4_sat_pct</vt:lpstr>
      <vt:lpstr>feed_cat_bal</vt:lpstr>
      <vt:lpstr>feed_cations</vt:lpstr>
      <vt:lpstr>feed_co3_corr</vt:lpstr>
      <vt:lpstr>feed_conc_I</vt:lpstr>
      <vt:lpstr>feed_conc_I_meq</vt:lpstr>
      <vt:lpstr>feed_conc_out</vt:lpstr>
      <vt:lpstr>feed_difference</vt:lpstr>
      <vt:lpstr>feed_f_corr</vt:lpstr>
      <vt:lpstr>feed_f_molL</vt:lpstr>
      <vt:lpstr>feed_flow_out</vt:lpstr>
      <vt:lpstr>feed_flow_sys</vt:lpstr>
      <vt:lpstr>feed_flow_v</vt:lpstr>
      <vt:lpstr>feed_gas_bal</vt:lpstr>
      <vt:lpstr>feed_gas_out</vt:lpstr>
      <vt:lpstr>feed_gas_ppm</vt:lpstr>
      <vt:lpstr>feed_hco3_corr</vt:lpstr>
      <vt:lpstr>feed_hdr_diam</vt:lpstr>
      <vt:lpstr>feed_hdr_length</vt:lpstr>
      <vt:lpstr>feed_ion_strength</vt:lpstr>
      <vt:lpstr>feed_LSI</vt:lpstr>
      <vt:lpstr>feed_meq</vt:lpstr>
      <vt:lpstr>feed_meq_bal</vt:lpstr>
      <vt:lpstr>feed_meq_unbal</vt:lpstr>
      <vt:lpstr>feed_meter_size</vt:lpstr>
      <vt:lpstr>feed_OHminus</vt:lpstr>
      <vt:lpstr>feed_pAlk</vt:lpstr>
      <vt:lpstr>feed_pCa</vt:lpstr>
      <vt:lpstr>feed_pH</vt:lpstr>
      <vt:lpstr>feed_pH_s</vt:lpstr>
      <vt:lpstr>feed_pipe_flow</vt:lpstr>
      <vt:lpstr>feed_pipe_len</vt:lpstr>
      <vt:lpstr>feed_pK_corr</vt:lpstr>
      <vt:lpstr>feed_port_diam_16</vt:lpstr>
      <vt:lpstr>feed_port_diam_4</vt:lpstr>
      <vt:lpstr>feed_port_diam_8</vt:lpstr>
      <vt:lpstr>feed_ppm</vt:lpstr>
      <vt:lpstr>feed_ppm_bal</vt:lpstr>
      <vt:lpstr>feed_ppm_unbal</vt:lpstr>
      <vt:lpstr>feed_sdi</vt:lpstr>
      <vt:lpstr>feed_sio2_sat</vt:lpstr>
      <vt:lpstr>feed_sio2_sat_corr</vt:lpstr>
      <vt:lpstr>feed_sio2_sat_pct</vt:lpstr>
      <vt:lpstr>feed_srso4_ip</vt:lpstr>
      <vt:lpstr>feed_srso4_ksp</vt:lpstr>
      <vt:lpstr>feed_srso4_sat_pct</vt:lpstr>
      <vt:lpstr>feed_tds</vt:lpstr>
      <vt:lpstr>feed_tds_out</vt:lpstr>
      <vt:lpstr>feed_tds_sys</vt:lpstr>
      <vt:lpstr>feed_tds_v</vt:lpstr>
      <vt:lpstr>feed_valve_size</vt:lpstr>
      <vt:lpstr>feed_visc</vt:lpstr>
      <vt:lpstr>feed_water_type</vt:lpstr>
      <vt:lpstr>feedpump_chv</vt:lpstr>
      <vt:lpstr>fg_acid_day_eq</vt:lpstr>
      <vt:lpstr>fg_anti_day_eq</vt:lpstr>
      <vt:lpstr>fg_bwt_cost_cl</vt:lpstr>
      <vt:lpstr>fg_clncst_eq_acid</vt:lpstr>
      <vt:lpstr>fg_clncst_eq_caustic</vt:lpstr>
      <vt:lpstr>fg_cst_cost_cl</vt:lpstr>
      <vt:lpstr>fg_cst_eq</vt:lpstr>
      <vt:lpstr>fg_cst_eq_acid</vt:lpstr>
      <vt:lpstr>fg_cst_eq_anti</vt:lpstr>
      <vt:lpstr>fg_ht_eq</vt:lpstr>
      <vt:lpstr>fg_makeup_eq</vt:lpstr>
      <vt:lpstr>filter_discount_table</vt:lpstr>
      <vt:lpstr>filter_elements</vt:lpstr>
      <vt:lpstr>filter_len</vt:lpstr>
      <vt:lpstr>filter_replacement</vt:lpstr>
      <vt:lpstr>filter_size</vt:lpstr>
      <vt:lpstr>filter_wid</vt:lpstr>
      <vt:lpstr>finance_pct</vt:lpstr>
      <vt:lpstr>finance_pct_small</vt:lpstr>
      <vt:lpstr>fire_buffer</vt:lpstr>
      <vt:lpstr>flow_equalization</vt:lpstr>
      <vt:lpstr>flow_feed</vt:lpstr>
      <vt:lpstr>flow_feed_I</vt:lpstr>
      <vt:lpstr>flow_feed_ves_I</vt:lpstr>
      <vt:lpstr>flow_per_cart</vt:lpstr>
      <vt:lpstr>flow_per_well</vt:lpstr>
      <vt:lpstr>flow_per_well_pump</vt:lpstr>
      <vt:lpstr>flush_rate</vt:lpstr>
      <vt:lpstr>flush_time</vt:lpstr>
      <vt:lpstr>flux_diff_1</vt:lpstr>
      <vt:lpstr>flux_diff_2</vt:lpstr>
      <vt:lpstr>flux_diff_3</vt:lpstr>
      <vt:lpstr>flux_incr_dPves</vt:lpstr>
      <vt:lpstr>flux_limits</vt:lpstr>
      <vt:lpstr>flux_max</vt:lpstr>
      <vt:lpstr>flux_max_SDI1_GW</vt:lpstr>
      <vt:lpstr>flux_max_SDI1_SW</vt:lpstr>
      <vt:lpstr>flux_max_SDI3_GW</vt:lpstr>
      <vt:lpstr>flux_max_SDI3_SW</vt:lpstr>
      <vt:lpstr>flux_max_SDI5_GW</vt:lpstr>
      <vt:lpstr>flux_max_SDI5_SW</vt:lpstr>
      <vt:lpstr>flux_min</vt:lpstr>
      <vt:lpstr>flux_min_SDI1_GW</vt:lpstr>
      <vt:lpstr>flux_min_SDI1_SW</vt:lpstr>
      <vt:lpstr>flux_min_SDI3_GW</vt:lpstr>
      <vt:lpstr>flux_min_SDI3_SW</vt:lpstr>
      <vt:lpstr>flux_min_SDI5_GW</vt:lpstr>
      <vt:lpstr>flux_min_SDI5_SW</vt:lpstr>
      <vt:lpstr>flux_pctdiff_1</vt:lpstr>
      <vt:lpstr>flux_pctdiff_2</vt:lpstr>
      <vt:lpstr>flux_pctdiff_3</vt:lpstr>
      <vt:lpstr>flux_result_1</vt:lpstr>
      <vt:lpstr>flux_result_2</vt:lpstr>
      <vt:lpstr>flux_result_3</vt:lpstr>
      <vt:lpstr>flux_targ_1</vt:lpstr>
      <vt:lpstr>flux_targ_23</vt:lpstr>
      <vt:lpstr>flux_targ_3</vt:lpstr>
      <vt:lpstr>flux_tol_hi</vt:lpstr>
      <vt:lpstr>flux_tol_lo</vt:lpstr>
      <vt:lpstr>fm_clean</vt:lpstr>
      <vt:lpstr>fm_lkp_clean</vt:lpstr>
      <vt:lpstr>fm_lkp_conc</vt:lpstr>
      <vt:lpstr>fm_lkp_feed</vt:lpstr>
      <vt:lpstr>fm_lkp_io</vt:lpstr>
      <vt:lpstr>fm_lkp_perm</vt:lpstr>
      <vt:lpstr>fm_lkp_res</vt:lpstr>
      <vt:lpstr>fm_rack_conc</vt:lpstr>
      <vt:lpstr>fm_rack_feed</vt:lpstr>
      <vt:lpstr>fm_rack_perm</vt:lpstr>
      <vt:lpstr>fouling_factor</vt:lpstr>
      <vt:lpstr>fp_required</vt:lpstr>
      <vt:lpstr>frac_CO2_feed</vt:lpstr>
      <vt:lpstr>frac_CO2_tfeed</vt:lpstr>
      <vt:lpstr>frac_CO3_feed</vt:lpstr>
      <vt:lpstr>frac_CO3_tfeed</vt:lpstr>
      <vt:lpstr>frac_HCO3_feed</vt:lpstr>
      <vt:lpstr>frac_HCO3_tfeed</vt:lpstr>
      <vt:lpstr>frost</vt:lpstr>
      <vt:lpstr>gac_slurry_cost_cl</vt:lpstr>
      <vt:lpstr>gal_per_ft3</vt:lpstr>
      <vt:lpstr>gal_per_m3</vt:lpstr>
      <vt:lpstr>gas_cost_cl</vt:lpstr>
      <vt:lpstr>gas_eff</vt:lpstr>
      <vt:lpstr>gas_non_eff</vt:lpstr>
      <vt:lpstr>General_Oper_Labor</vt:lpstr>
      <vt:lpstr>geotech_cost</vt:lpstr>
      <vt:lpstr>gfd_per_mps</vt:lpstr>
      <vt:lpstr>gfdpsi_per_msatm</vt:lpstr>
      <vt:lpstr>gpm_per_m3hr</vt:lpstr>
      <vt:lpstr>gpm_per_m3s</vt:lpstr>
      <vt:lpstr>H_feed</vt:lpstr>
      <vt:lpstr>H_tfeed</vt:lpstr>
      <vt:lpstr>H2SO4_feed_conc</vt:lpstr>
      <vt:lpstr>h2so4_table_cl</vt:lpstr>
      <vt:lpstr>haz_disposal_cost_cl</vt:lpstr>
      <vt:lpstr>haz_miles</vt:lpstr>
      <vt:lpstr>haz_trans_min_cost_cl</vt:lpstr>
      <vt:lpstr>haz_transportation_cost_cl</vt:lpstr>
      <vt:lpstr>hazrad_annual_fee_cl</vt:lpstr>
      <vt:lpstr>hazrad_disposal_cost_cl</vt:lpstr>
      <vt:lpstr>hazrad_miles</vt:lpstr>
      <vt:lpstr>hazrad_trans_min_cost_cl</vt:lpstr>
      <vt:lpstr>hazrad_transportation_cost_cl</vt:lpstr>
      <vt:lpstr>hbasin_backfill_vol</vt:lpstr>
      <vt:lpstr>hbasin_conc_vol</vt:lpstr>
      <vt:lpstr>hbasin_depth</vt:lpstr>
      <vt:lpstr>hbasin_excavation_vol</vt:lpstr>
      <vt:lpstr>hbasin_fp</vt:lpstr>
      <vt:lpstr>hbasin_freeboard</vt:lpstr>
      <vt:lpstr>hbasin_length</vt:lpstr>
      <vt:lpstr>hbasin_op_depth</vt:lpstr>
      <vt:lpstr>hbasin_op_vol</vt:lpstr>
      <vt:lpstr>hbasin_railing</vt:lpstr>
      <vt:lpstr>hbasin_ratio</vt:lpstr>
      <vt:lpstr>hbasin_vol</vt:lpstr>
      <vt:lpstr>hbasin_width</vt:lpstr>
      <vt:lpstr>hbasins</vt:lpstr>
      <vt:lpstr>HCl_feed_conc</vt:lpstr>
      <vt:lpstr>HCl_need</vt:lpstr>
      <vt:lpstr>HCl_per_cycle</vt:lpstr>
      <vt:lpstr>HCl_purchase</vt:lpstr>
      <vt:lpstr>HCl_quant_RMP</vt:lpstr>
      <vt:lpstr>HCl_store</vt:lpstr>
      <vt:lpstr>HCl_store_gal</vt:lpstr>
      <vt:lpstr>HCl_strength_RMP</vt:lpstr>
      <vt:lpstr>hcl_table_cl</vt:lpstr>
      <vt:lpstr>HCl_yr</vt:lpstr>
      <vt:lpstr>HCO3_feed_mol</vt:lpstr>
      <vt:lpstr>HCO3_tfeed_meq</vt:lpstr>
      <vt:lpstr>hdpe_bwt_cost_cl</vt:lpstr>
      <vt:lpstr>hdpe_ht_eq</vt:lpstr>
      <vt:lpstr>head_rack</vt:lpstr>
      <vt:lpstr>headloss_cart</vt:lpstr>
      <vt:lpstr>headloss_cost_cl</vt:lpstr>
      <vt:lpstr>heat_DD</vt:lpstr>
      <vt:lpstr>heat_viload</vt:lpstr>
      <vt:lpstr>heater_power</vt:lpstr>
      <vt:lpstr>heaters_per_tank</vt:lpstr>
      <vt:lpstr>heating</vt:lpstr>
      <vt:lpstr>heating_diesel</vt:lpstr>
      <vt:lpstr>heating_diesel_non</vt:lpstr>
      <vt:lpstr>heating_gas</vt:lpstr>
      <vt:lpstr>heating_gas_non</vt:lpstr>
      <vt:lpstr>heating_hp</vt:lpstr>
      <vt:lpstr>heating_matl_rate_cl</vt:lpstr>
      <vt:lpstr>heating_table</vt:lpstr>
      <vt:lpstr>heating_table_shed</vt:lpstr>
      <vt:lpstr>hh_size</vt:lpstr>
      <vt:lpstr>high_circ_flow</vt:lpstr>
      <vt:lpstr>high_circ_flow_PV</vt:lpstr>
      <vt:lpstr>high_circ_flow_PV_16</vt:lpstr>
      <vt:lpstr>high_circ_flow_PV_4</vt:lpstr>
      <vt:lpstr>high_circ_flow_PV_8</vt:lpstr>
      <vt:lpstr>hl_backfill_vol</vt:lpstr>
      <vt:lpstr>hl_depth</vt:lpstr>
      <vt:lpstr>hl_dike_volume</vt:lpstr>
      <vt:lpstr>hl_excavation_vol</vt:lpstr>
      <vt:lpstr>hl_freeboard</vt:lpstr>
      <vt:lpstr>hl_liner_area</vt:lpstr>
      <vt:lpstr>hl_op_depth</vt:lpstr>
      <vt:lpstr>hl_overexcavate</vt:lpstr>
      <vt:lpstr>hl_side</vt:lpstr>
      <vt:lpstr>hl_vol</vt:lpstr>
      <vt:lpstr>hlagoon_fp</vt:lpstr>
      <vt:lpstr>hlagoons</vt:lpstr>
      <vt:lpstr>hold_cap</vt:lpstr>
      <vt:lpstr>hole_per_day</vt:lpstr>
      <vt:lpstr>hole_per_job</vt:lpstr>
      <vt:lpstr>hole_per_sf</vt:lpstr>
      <vt:lpstr>households</vt:lpstr>
      <vt:lpstr>hp_EER</vt:lpstr>
      <vt:lpstr>hp_max_cool_cl</vt:lpstr>
      <vt:lpstr>hp_max_heat_cl</vt:lpstr>
      <vt:lpstr>hp_ok_1</vt:lpstr>
      <vt:lpstr>hp_ok_2</vt:lpstr>
      <vt:lpstr>hp_ok_3</vt:lpstr>
      <vt:lpstr>hrs_filter</vt:lpstr>
      <vt:lpstr>ht_diam</vt:lpstr>
      <vt:lpstr>ht_solids_density</vt:lpstr>
      <vt:lpstr>htank_fp</vt:lpstr>
      <vt:lpstr>htank_vol</vt:lpstr>
      <vt:lpstr>htanks</vt:lpstr>
      <vt:lpstr>hvac_ac_cost_cl</vt:lpstr>
      <vt:lpstr>hvac_ac_eq_1</vt:lpstr>
      <vt:lpstr>hvac_ac_eq_2</vt:lpstr>
      <vt:lpstr>hvac_ac_eq_3</vt:lpstr>
      <vt:lpstr>hvac_elec_cost_cl</vt:lpstr>
      <vt:lpstr>hvac_elec_eq_1</vt:lpstr>
      <vt:lpstr>hvac_elec_eq_2</vt:lpstr>
      <vt:lpstr>hvac_elec_eq_3</vt:lpstr>
      <vt:lpstr>hvac_gas_cost_cl</vt:lpstr>
      <vt:lpstr>hvac_gas_eq_1</vt:lpstr>
      <vt:lpstr>hvac_gas_eq_2</vt:lpstr>
      <vt:lpstr>hvac_gas_eq_3</vt:lpstr>
      <vt:lpstr>hvac_gas_non_cost_cl</vt:lpstr>
      <vt:lpstr>hvac_gas_non_eq_1</vt:lpstr>
      <vt:lpstr>hvac_gas_non_eq_2</vt:lpstr>
      <vt:lpstr>hvac_gas_non_eq_3</vt:lpstr>
      <vt:lpstr>hvac_hp_cost_cl</vt:lpstr>
      <vt:lpstr>hvac_hp_eq_1</vt:lpstr>
      <vt:lpstr>hvac_hp_eq_2</vt:lpstr>
      <vt:lpstr>hvac_hp_eq_3</vt:lpstr>
      <vt:lpstr>hvac_oil_mid_cost_cl</vt:lpstr>
      <vt:lpstr>hvac_oil_mid_eq_1</vt:lpstr>
      <vt:lpstr>hvac_oil_mid_eq_2</vt:lpstr>
      <vt:lpstr>hvac_oil_mid_eq_3</vt:lpstr>
      <vt:lpstr>hvac_oil_std_cost_cl</vt:lpstr>
      <vt:lpstr>hvac_oil_std_eq_1</vt:lpstr>
      <vt:lpstr>hvac_oil_std_eq_2</vt:lpstr>
      <vt:lpstr>hvac_oil_std_eq_3</vt:lpstr>
      <vt:lpstr>i_c_pct</vt:lpstr>
      <vt:lpstr>immersion_heaters</vt:lpstr>
      <vt:lpstr>imp_mix_cost_cl</vt:lpstr>
      <vt:lpstr>in_meter_size</vt:lpstr>
      <vt:lpstr>in_out_pipe_diam</vt:lpstr>
      <vt:lpstr>in_out_pipe_flow</vt:lpstr>
      <vt:lpstr>in_out_pipe_length</vt:lpstr>
      <vt:lpstr>in_out_pipe_mult</vt:lpstr>
      <vt:lpstr>in_valve_size</vt:lpstr>
      <vt:lpstr>include_arch</vt:lpstr>
      <vt:lpstr>include_arch_small</vt:lpstr>
      <vt:lpstr>include_bond</vt:lpstr>
      <vt:lpstr>include_buildings</vt:lpstr>
      <vt:lpstr>include_buildings_I</vt:lpstr>
      <vt:lpstr>include_cm</vt:lpstr>
      <vt:lpstr>include_cmix</vt:lpstr>
      <vt:lpstr>include_conting_high</vt:lpstr>
      <vt:lpstr>include_conting_low</vt:lpstr>
      <vt:lpstr>include_conting_medium</vt:lpstr>
      <vt:lpstr>include_geo_high</vt:lpstr>
      <vt:lpstr>include_geo_low</vt:lpstr>
      <vt:lpstr>include_geo_medium</vt:lpstr>
      <vt:lpstr>include_geotech</vt:lpstr>
      <vt:lpstr>include_HVAC</vt:lpstr>
      <vt:lpstr>include_HVAC_I</vt:lpstr>
      <vt:lpstr>include_land</vt:lpstr>
      <vt:lpstr>include_land_I</vt:lpstr>
      <vt:lpstr>include_NEPA</vt:lpstr>
      <vt:lpstr>include_pad</vt:lpstr>
      <vt:lpstr>include_permits</vt:lpstr>
      <vt:lpstr>include_pilot</vt:lpstr>
      <vt:lpstr>include_sec_cont</vt:lpstr>
      <vt:lpstr>include_sitework</vt:lpstr>
      <vt:lpstr>include_standby</vt:lpstr>
      <vt:lpstr>include_standby_small</vt:lpstr>
      <vt:lpstr>include_yardpipe</vt:lpstr>
      <vt:lpstr>indirect_cost</vt:lpstr>
      <vt:lpstr>indirect_cost_add</vt:lpstr>
      <vt:lpstr>indirect_cost_mult</vt:lpstr>
      <vt:lpstr>inf_dim_table_cl</vt:lpstr>
      <vt:lpstr>inf_max_pump_size</vt:lpstr>
      <vt:lpstr>inf_pump_choose</vt:lpstr>
      <vt:lpstr>inf_pump_class</vt:lpstr>
      <vt:lpstr>inf_pump_energy</vt:lpstr>
      <vt:lpstr>inf_pump_eq</vt:lpstr>
      <vt:lpstr>inf_pump_gpm</vt:lpstr>
      <vt:lpstr>inf_pump_gpm_sizing</vt:lpstr>
      <vt:lpstr>inf_pump_hp</vt:lpstr>
      <vt:lpstr>inf_pump_lkp_costs</vt:lpstr>
      <vt:lpstr>inf_pump_op_hp</vt:lpstr>
      <vt:lpstr>inf_pump_psi</vt:lpstr>
      <vt:lpstr>inf_pump_rating</vt:lpstr>
      <vt:lpstr>inf_pumps</vt:lpstr>
      <vt:lpstr>influent_fp</vt:lpstr>
      <vt:lpstr>influent_headloss</vt:lpstr>
      <vt:lpstr>influent_TSS</vt:lpstr>
      <vt:lpstr>init_acid</vt:lpstr>
      <vt:lpstr>init_acid_lbs</vt:lpstr>
      <vt:lpstr>init_anti</vt:lpstr>
      <vt:lpstr>init_anti_lbs</vt:lpstr>
      <vt:lpstr>init_NRD_cart</vt:lpstr>
      <vt:lpstr>injection_well_coeff_depth_cl</vt:lpstr>
      <vt:lpstr>injection_well_coeff_diam_cl</vt:lpstr>
      <vt:lpstr>injection_well_cost</vt:lpstr>
      <vt:lpstr>injection_well_depth</vt:lpstr>
      <vt:lpstr>injection_well_flow_speed</vt:lpstr>
      <vt:lpstr>injection_well_intercept_cl</vt:lpstr>
      <vt:lpstr>injection_well_max_flow</vt:lpstr>
      <vt:lpstr>injection_well_UL_large_cl</vt:lpstr>
      <vt:lpstr>injection_well_UL_small_cl</vt:lpstr>
      <vt:lpstr>inout_cond_meter</vt:lpstr>
      <vt:lpstr>inout_TDS_monitor</vt:lpstr>
      <vt:lpstr>inp_sel</vt:lpstr>
      <vt:lpstr>inp_used</vt:lpstr>
      <vt:lpstr>inp_used_minimal</vt:lpstr>
      <vt:lpstr>inp_used_usersel</vt:lpstr>
      <vt:lpstr>input_checks</vt:lpstr>
      <vt:lpstr>input_complete</vt:lpstr>
      <vt:lpstr>input_status</vt:lpstr>
      <vt:lpstr>inputs_are_current</vt:lpstr>
      <vt:lpstr>inputs_ok</vt:lpstr>
      <vt:lpstr>inst_pct</vt:lpstr>
      <vt:lpstr>ion_abs_charge</vt:lpstr>
      <vt:lpstr>ion_ba</vt:lpstr>
      <vt:lpstr>ion_ca</vt:lpstr>
      <vt:lpstr>ion_charge</vt:lpstr>
      <vt:lpstr>ion_cl</vt:lpstr>
      <vt:lpstr>ion_co2</vt:lpstr>
      <vt:lpstr>ion_co3</vt:lpstr>
      <vt:lpstr>ion_conc_pol_coeffs_nf</vt:lpstr>
      <vt:lpstr>ion_conc_pol_coeffs_ro</vt:lpstr>
      <vt:lpstr>ion_f</vt:lpstr>
      <vt:lpstr>ion_hco3</vt:lpstr>
      <vt:lpstr>ion_k</vt:lpstr>
      <vt:lpstr>ion_meq_weights</vt:lpstr>
      <vt:lpstr>ion_mg</vt:lpstr>
      <vt:lpstr>ion_mol_wt</vt:lpstr>
      <vt:lpstr>ion_na</vt:lpstr>
      <vt:lpstr>ion_names</vt:lpstr>
      <vt:lpstr>ion_offset</vt:lpstr>
      <vt:lpstr>ion_passage_coeffs</vt:lpstr>
      <vt:lpstr>ion_sio2</vt:lpstr>
      <vt:lpstr>ion_so4</vt:lpstr>
      <vt:lpstr>ion_sr</vt:lpstr>
      <vt:lpstr>is_PV_long</vt:lpstr>
      <vt:lpstr>K1_feed</vt:lpstr>
      <vt:lpstr>K2_feed</vt:lpstr>
      <vt:lpstr>labor_simplex_screen</vt:lpstr>
      <vt:lpstr>labor_table</vt:lpstr>
      <vt:lpstr>labor_table_cl</vt:lpstr>
      <vt:lpstr>land_cost</vt:lpstr>
      <vt:lpstr>land_cost_cl</vt:lpstr>
      <vt:lpstr>land_required</vt:lpstr>
      <vt:lpstr>largeY_pctchange</vt:lpstr>
      <vt:lpstr>laser_printer_cost_cl</vt:lpstr>
      <vt:lpstr>ldike_xsection</vt:lpstr>
      <vt:lpstr>legal_pct</vt:lpstr>
      <vt:lpstr>level_switch_clean_tank</vt:lpstr>
      <vt:lpstr>lhaz_disposal_cost_cl</vt:lpstr>
      <vt:lpstr>lhaz_fee</vt:lpstr>
      <vt:lpstr>lhaz_trans_min_cost_cl</vt:lpstr>
      <vt:lpstr>lhaz_transportation_cost_cl</vt:lpstr>
      <vt:lpstr>lighting</vt:lpstr>
      <vt:lpstr>lighting_energy_1</vt:lpstr>
      <vt:lpstr>lighting_energy_2</vt:lpstr>
      <vt:lpstr>lighting_energy_3</vt:lpstr>
      <vt:lpstr>lighting_power_high</vt:lpstr>
      <vt:lpstr>lighting_power_low</vt:lpstr>
      <vt:lpstr>lighting_power_mid</vt:lpstr>
      <vt:lpstr>liner_area</vt:lpstr>
      <vt:lpstr>link_annc</vt:lpstr>
      <vt:lpstr>link_aoc</vt:lpstr>
      <vt:lpstr>link_dcc</vt:lpstr>
      <vt:lpstr>link_icc</vt:lpstr>
      <vt:lpstr>link_omc</vt:lpstr>
      <vt:lpstr>link_output</vt:lpstr>
      <vt:lpstr>link_tcc</vt:lpstr>
      <vt:lpstr>lp40_pump_cost_cl</vt:lpstr>
      <vt:lpstr>lsi_bad_with_anti</vt:lpstr>
      <vt:lpstr>lsi_bad_without_anti</vt:lpstr>
      <vt:lpstr>lsi_recommend</vt:lpstr>
      <vt:lpstr>m_per_ft</vt:lpstr>
      <vt:lpstr>m2_per_ft2</vt:lpstr>
      <vt:lpstr>mag_fm_cost_cl</vt:lpstr>
      <vt:lpstr>mag_fm_eq_clean</vt:lpstr>
      <vt:lpstr>mag_fm_eq_conc</vt:lpstr>
      <vt:lpstr>mag_fm_eq_feed</vt:lpstr>
      <vt:lpstr>mag_fm_eq_in</vt:lpstr>
      <vt:lpstr>mag_fm_eq_perm</vt:lpstr>
      <vt:lpstr>mag_fm_eq_res</vt:lpstr>
      <vt:lpstr>Manager_LOE</vt:lpstr>
      <vt:lpstr>Manager_percent</vt:lpstr>
      <vt:lpstr>manual</vt:lpstr>
      <vt:lpstr>manual_I</vt:lpstr>
      <vt:lpstr>mat_pct</vt:lpstr>
      <vt:lpstr>mat_pct_train</vt:lpstr>
      <vt:lpstr>max_baso4_antiscalant</vt:lpstr>
      <vt:lpstr>max_baso4_no_antiscalant</vt:lpstr>
      <vt:lpstr>max_bp_pump_size</vt:lpstr>
      <vt:lpstr>max_caf2_antiscalant</vt:lpstr>
      <vt:lpstr>max_caf2_no_antiscalant</vt:lpstr>
      <vt:lpstr>max_caso4_antiscalant</vt:lpstr>
      <vt:lpstr>max_caso4_no_antiscalant</vt:lpstr>
      <vt:lpstr>max_chem_pump_size</vt:lpstr>
      <vt:lpstr>max_chem_tank_size</vt:lpstr>
      <vt:lpstr>max_chem_tank_size_noSS</vt:lpstr>
      <vt:lpstr>max_clean_flow</vt:lpstr>
      <vt:lpstr>max_cm_pump_size</vt:lpstr>
      <vt:lpstr>max_cm_pump_size_noSS</vt:lpstr>
      <vt:lpstr>max_cool_cl</vt:lpstr>
      <vt:lpstr>max_deltaP_el_I</vt:lpstr>
      <vt:lpstr>max_deltaP_ves_I</vt:lpstr>
      <vt:lpstr>max_eductor_size</vt:lpstr>
      <vt:lpstr>max_element_dP</vt:lpstr>
      <vt:lpstr>max_element_Qavg</vt:lpstr>
      <vt:lpstr>max_ep_cell_area</vt:lpstr>
      <vt:lpstr>max_excav_depth</vt:lpstr>
      <vt:lpstr>max_feed_flow</vt:lpstr>
      <vt:lpstr>max_feed_flow_dP_el</vt:lpstr>
      <vt:lpstr>max_feed_flow_dP_ves</vt:lpstr>
      <vt:lpstr>max_feed_flow_I</vt:lpstr>
      <vt:lpstr>max_feed_flow_spec</vt:lpstr>
      <vt:lpstr>max_feed_SDI</vt:lpstr>
      <vt:lpstr>max_flow_rack</vt:lpstr>
      <vt:lpstr>max_flow_rack_16</vt:lpstr>
      <vt:lpstr>max_flow_rack_4</vt:lpstr>
      <vt:lpstr>max_flow_rack_8</vt:lpstr>
      <vt:lpstr>max_haz_ship</vt:lpstr>
      <vt:lpstr>max_hazrad_ship</vt:lpstr>
      <vt:lpstr>max_hbasin_size</vt:lpstr>
      <vt:lpstr>max_heat_cl</vt:lpstr>
      <vt:lpstr>max_heater_power</vt:lpstr>
      <vt:lpstr>max_hl_cell_area</vt:lpstr>
      <vt:lpstr>max_hl_depth</vt:lpstr>
      <vt:lpstr>max_hl_vol</vt:lpstr>
      <vt:lpstr>max_htank_size</vt:lpstr>
      <vt:lpstr>max_iter_pressure</vt:lpstr>
      <vt:lpstr>max_lhaz_ship</vt:lpstr>
      <vt:lpstr>max_lsi_antiscalant</vt:lpstr>
      <vt:lpstr>max_lsi_no_antiscalant</vt:lpstr>
      <vt:lpstr>max_P_feed_I</vt:lpstr>
      <vt:lpstr>max_pump_size_ro100</vt:lpstr>
      <vt:lpstr>max_pump_size_ro150</vt:lpstr>
      <vt:lpstr>max_pump_size_ro200</vt:lpstr>
      <vt:lpstr>max_pump_size_ro250</vt:lpstr>
      <vt:lpstr>max_pump_size_ro300</vt:lpstr>
      <vt:lpstr>max_pump_size_ro350</vt:lpstr>
      <vt:lpstr>max_pump_size_ro500</vt:lpstr>
      <vt:lpstr>max_rad_ship</vt:lpstr>
      <vt:lpstr>max_recovery</vt:lpstr>
      <vt:lpstr>max_res_flow</vt:lpstr>
      <vt:lpstr>max_res_pump_size</vt:lpstr>
      <vt:lpstr>max_simplex_screen_flow</vt:lpstr>
      <vt:lpstr>max_sio2_conc_antiscalant</vt:lpstr>
      <vt:lpstr>max_sio2_sat_no_antiscalant</vt:lpstr>
      <vt:lpstr>max_space_tanks_large</vt:lpstr>
      <vt:lpstr>max_space_tanks_small</vt:lpstr>
      <vt:lpstr>max_space_vessels</vt:lpstr>
      <vt:lpstr>max_srso4_antiscalant</vt:lpstr>
      <vt:lpstr>max_srso4_no_antiscalant</vt:lpstr>
      <vt:lpstr>max_sys_recovery</vt:lpstr>
      <vt:lpstr>max_temp</vt:lpstr>
      <vt:lpstr>max_vessel_dP</vt:lpstr>
      <vt:lpstr>max_vessel_Qavg</vt:lpstr>
      <vt:lpstr>max_well_pump_size</vt:lpstr>
      <vt:lpstr>max_Y_el</vt:lpstr>
      <vt:lpstr>membrane_fp</vt:lpstr>
      <vt:lpstr>membrane_labor</vt:lpstr>
      <vt:lpstr>membrane_life</vt:lpstr>
      <vt:lpstr>membrane_life_nf</vt:lpstr>
      <vt:lpstr>membrane_life_ro</vt:lpstr>
      <vt:lpstr>membrane_materials</vt:lpstr>
      <vt:lpstr>metal_cost_cl</vt:lpstr>
      <vt:lpstr>min_avg_flow</vt:lpstr>
      <vt:lpstr>min_cart</vt:lpstr>
      <vt:lpstr>min_chem_flow</vt:lpstr>
      <vt:lpstr>min_chem_tank_vol</vt:lpstr>
      <vt:lpstr>min_cmix_hp</vt:lpstr>
      <vt:lpstr>min_conc_flow_I</vt:lpstr>
      <vt:lpstr>min_conc_flow_spec</vt:lpstr>
      <vt:lpstr>min_ep_cells</vt:lpstr>
      <vt:lpstr>min_feed_flow</vt:lpstr>
      <vt:lpstr>min_feed_flow_conc</vt:lpstr>
      <vt:lpstr>min_feed_pH</vt:lpstr>
      <vt:lpstr>min_holes</vt:lpstr>
      <vt:lpstr>min_op_trains</vt:lpstr>
      <vt:lpstr>min_res_pipe_size</vt:lpstr>
      <vt:lpstr>min_standby</vt:lpstr>
      <vt:lpstr>min_sys_recovery</vt:lpstr>
      <vt:lpstr>min_trench_depth</vt:lpstr>
      <vt:lpstr>misc_pct</vt:lpstr>
      <vt:lpstr>missing_cost</vt:lpstr>
      <vt:lpstr>mob_pct_large</vt:lpstr>
      <vt:lpstr>mob_pct_medium</vt:lpstr>
      <vt:lpstr>mob_pct_small</vt:lpstr>
      <vt:lpstr>mob_pct_well</vt:lpstr>
      <vt:lpstr>monthly_labor_auto_screen</vt:lpstr>
      <vt:lpstr>mount_mix_cost_cl</vt:lpstr>
      <vt:lpstr>n_el_series</vt:lpstr>
      <vt:lpstr>n_elements</vt:lpstr>
      <vt:lpstr>n_stages</vt:lpstr>
      <vt:lpstr>n_vessels</vt:lpstr>
      <vt:lpstr>NaOH_per_cycle</vt:lpstr>
      <vt:lpstr>NaOH_purchase</vt:lpstr>
      <vt:lpstr>NaOH_store</vt:lpstr>
      <vt:lpstr>NaOH_store_gal</vt:lpstr>
      <vt:lpstr>NaOH_table_cl</vt:lpstr>
      <vt:lpstr>NaOH_yr</vt:lpstr>
      <vt:lpstr>ndp_avg</vt:lpstr>
      <vt:lpstr>ndp_avg_1</vt:lpstr>
      <vt:lpstr>ndp_avg_2</vt:lpstr>
      <vt:lpstr>ndp_avg_3</vt:lpstr>
      <vt:lpstr>ndp_req_firstguess</vt:lpstr>
      <vt:lpstr>need_cool</vt:lpstr>
      <vt:lpstr>need_heat</vt:lpstr>
      <vt:lpstr>NEPA_cost_cl</vt:lpstr>
      <vt:lpstr>NEPA_SW_cost_cl</vt:lpstr>
      <vt:lpstr>next_loc_marker</vt:lpstr>
      <vt:lpstr>nfro_element_cost_cl</vt:lpstr>
      <vt:lpstr>non_fire_buffer</vt:lpstr>
      <vt:lpstr>non_haz_miles</vt:lpstr>
      <vt:lpstr>nonhaz_disposal_cost_cl</vt:lpstr>
      <vt:lpstr>nonhaz_transportation_cost_cl</vt:lpstr>
      <vt:lpstr>NPDES_permit_cost_cl</vt:lpstr>
      <vt:lpstr>NRD_acid_mpumps</vt:lpstr>
      <vt:lpstr>NRD_anti_mpumps</vt:lpstr>
      <vt:lpstr>NRD_bp_pumps</vt:lpstr>
      <vt:lpstr>NRD_cart_filter</vt:lpstr>
      <vt:lpstr>NRD_chem_pump</vt:lpstr>
      <vt:lpstr>NRD_filters</vt:lpstr>
      <vt:lpstr>NRD_immersion_heaters</vt:lpstr>
      <vt:lpstr>NRD_inf_pumps</vt:lpstr>
      <vt:lpstr>NRD_res_pump</vt:lpstr>
      <vt:lpstr>NRD_sec_screen</vt:lpstr>
      <vt:lpstr>NRD_trains</vt:lpstr>
      <vt:lpstr>NRD_trains_used</vt:lpstr>
      <vt:lpstr>NRD_well_pump</vt:lpstr>
      <vt:lpstr>NRD_wells</vt:lpstr>
      <vt:lpstr>num_buildings</vt:lpstr>
      <vt:lpstr>num_clean_sys</vt:lpstr>
      <vt:lpstr>num_filters</vt:lpstr>
      <vt:lpstr>num_holes</vt:lpstr>
      <vt:lpstr>num_iterations</vt:lpstr>
      <vt:lpstr>num_iterations_out</vt:lpstr>
      <vt:lpstr>num_iterations_pressure</vt:lpstr>
      <vt:lpstr>num_neut_tanks</vt:lpstr>
      <vt:lpstr>num_pits</vt:lpstr>
      <vt:lpstr>num_stages_out</vt:lpstr>
      <vt:lpstr>num_vess_1_out</vt:lpstr>
      <vt:lpstr>num_vess_2_out</vt:lpstr>
      <vt:lpstr>num_vess_3_out</vt:lpstr>
      <vt:lpstr>num_well_pumps</vt:lpstr>
      <vt:lpstr>num_wells</vt:lpstr>
      <vt:lpstr>nves_1</vt:lpstr>
      <vt:lpstr>nves_1_max</vt:lpstr>
      <vt:lpstr>nves_1_min</vt:lpstr>
      <vt:lpstr>nves_1_targ</vt:lpstr>
      <vt:lpstr>nves_2</vt:lpstr>
      <vt:lpstr>nves_2_max</vt:lpstr>
      <vt:lpstr>nves_2_min</vt:lpstr>
      <vt:lpstr>nves_2_targ</vt:lpstr>
      <vt:lpstr>nves_3</vt:lpstr>
      <vt:lpstr>nves_3_max</vt:lpstr>
      <vt:lpstr>nves_3_min</vt:lpstr>
      <vt:lpstr>nves_3_targ</vt:lpstr>
      <vt:lpstr>office_fp</vt:lpstr>
      <vt:lpstr>old_average_flow</vt:lpstr>
      <vt:lpstr>old_design_flow</vt:lpstr>
      <vt:lpstr>old_design_flux</vt:lpstr>
      <vt:lpstr>old_element_index</vt:lpstr>
      <vt:lpstr>old_pretreat_acid_I</vt:lpstr>
      <vt:lpstr>old_T_feed</vt:lpstr>
      <vt:lpstr>old_target_recovery</vt:lpstr>
      <vt:lpstr>old_treated_feed_pH</vt:lpstr>
      <vt:lpstr>old_water_index</vt:lpstr>
      <vt:lpstr>OM_City_Index</vt:lpstr>
      <vt:lpstr>OM_cost</vt:lpstr>
      <vt:lpstr>op_area</vt:lpstr>
      <vt:lpstr>op_cart_filters</vt:lpstr>
      <vt:lpstr>op_elements</vt:lpstr>
      <vt:lpstr>op_fm_cost_cl</vt:lpstr>
      <vt:lpstr>op_fm_eq_clean</vt:lpstr>
      <vt:lpstr>op_fm_eq_conc</vt:lpstr>
      <vt:lpstr>op_fm_eq_feed</vt:lpstr>
      <vt:lpstr>op_fm_eq_in</vt:lpstr>
      <vt:lpstr>op_fm_eq_perm</vt:lpstr>
      <vt:lpstr>op_fm_eq_res</vt:lpstr>
      <vt:lpstr>op_interface_software_cost_cl</vt:lpstr>
      <vt:lpstr>op_num_bp_pumps</vt:lpstr>
      <vt:lpstr>op_PVs</vt:lpstr>
      <vt:lpstr>op_racks</vt:lpstr>
      <vt:lpstr>op_sec_screens</vt:lpstr>
      <vt:lpstr>op_trains</vt:lpstr>
      <vt:lpstr>op_trains_I</vt:lpstr>
      <vt:lpstr>op_well_pumps</vt:lpstr>
      <vt:lpstr>Operator_LOE</vt:lpstr>
      <vt:lpstr>output_db</vt:lpstr>
      <vt:lpstr>overexcavate</vt:lpstr>
      <vt:lpstr>P_adj_method_12</vt:lpstr>
      <vt:lpstr>P_adj_method_23</vt:lpstr>
      <vt:lpstr>P_adjust_2_new</vt:lpstr>
      <vt:lpstr>P_adjust_2_try</vt:lpstr>
      <vt:lpstr>P_adjust_3_new</vt:lpstr>
      <vt:lpstr>P_adjust_3_try</vt:lpstr>
      <vt:lpstr>P_applied</vt:lpstr>
      <vt:lpstr>P_avg_applied_guess</vt:lpstr>
      <vt:lpstr>P_boost_2_try</vt:lpstr>
      <vt:lpstr>P_boost_3_try</vt:lpstr>
      <vt:lpstr>P_change_required</vt:lpstr>
      <vt:lpstr>P_conc</vt:lpstr>
      <vt:lpstr>P_decr_required</vt:lpstr>
      <vt:lpstr>P_feed</vt:lpstr>
      <vt:lpstr>P_feed_I</vt:lpstr>
      <vt:lpstr>P_feed_out</vt:lpstr>
      <vt:lpstr>P_feed_try</vt:lpstr>
      <vt:lpstr>P_feed_v</vt:lpstr>
      <vt:lpstr>P_incr_required</vt:lpstr>
      <vt:lpstr>P_net</vt:lpstr>
      <vt:lpstr>P_net_diff</vt:lpstr>
      <vt:lpstr>P_net_feed_guess</vt:lpstr>
      <vt:lpstr>P_net_firstguess</vt:lpstr>
      <vt:lpstr>P_net_guess_det</vt:lpstr>
      <vt:lpstr>P_net_guess_fixed</vt:lpstr>
      <vt:lpstr>P_net_new</vt:lpstr>
      <vt:lpstr>P_net_next</vt:lpstr>
      <vt:lpstr>P_net_out</vt:lpstr>
      <vt:lpstr>P_net_pctdiff</vt:lpstr>
      <vt:lpstr>P_stg1_new</vt:lpstr>
      <vt:lpstr>P_stg1_try</vt:lpstr>
      <vt:lpstr>P_throttle</vt:lpstr>
      <vt:lpstr>P_throttle_1_try</vt:lpstr>
      <vt:lpstr>P_throttle_2_try</vt:lpstr>
      <vt:lpstr>P_throttle_3_try</vt:lpstr>
      <vt:lpstr>P_throttle_I</vt:lpstr>
      <vt:lpstr>P_throttle_out</vt:lpstr>
      <vt:lpstr>pad_thick</vt:lpstr>
      <vt:lpstr>pad_thick_small</vt:lpstr>
      <vt:lpstr>pad_vessels</vt:lpstr>
      <vt:lpstr>pan_evap</vt:lpstr>
      <vt:lpstr>pc_workstation_cost_cl</vt:lpstr>
      <vt:lpstr>Pchange_conv</vt:lpstr>
      <vt:lpstr>Pchange_dPves</vt:lpstr>
      <vt:lpstr>Pchange_flow</vt:lpstr>
      <vt:lpstr>Pchange_flow_pct</vt:lpstr>
      <vt:lpstr>Pchange_large_dPel</vt:lpstr>
      <vt:lpstr>Pchange_largeY</vt:lpstr>
      <vt:lpstr>Pchange_negPnet</vt:lpstr>
      <vt:lpstr>Pchange_smallQconc</vt:lpstr>
      <vt:lpstr>performance_bond_table_cl</vt:lpstr>
      <vt:lpstr>perm_anions</vt:lpstr>
      <vt:lpstr>perm_carbon</vt:lpstr>
      <vt:lpstr>perm_cations</vt:lpstr>
      <vt:lpstr>perm_conc_out</vt:lpstr>
      <vt:lpstr>perm_difference</vt:lpstr>
      <vt:lpstr>perm_flow</vt:lpstr>
      <vt:lpstr>perm_flow_abs_tol</vt:lpstr>
      <vt:lpstr>perm_flow_ok</vt:lpstr>
      <vt:lpstr>perm_flow_out</vt:lpstr>
      <vt:lpstr>perm_flow_rack_1</vt:lpstr>
      <vt:lpstr>perm_flow_rack_2</vt:lpstr>
      <vt:lpstr>perm_flow_rack_3</vt:lpstr>
      <vt:lpstr>perm_flow_sys</vt:lpstr>
      <vt:lpstr>perm_flow_tol</vt:lpstr>
      <vt:lpstr>perm_flow_v</vt:lpstr>
      <vt:lpstr>perm_flux</vt:lpstr>
      <vt:lpstr>perm_flux_out</vt:lpstr>
      <vt:lpstr>perm_flux_v</vt:lpstr>
      <vt:lpstr>perm_frac_co2</vt:lpstr>
      <vt:lpstr>perm_frac_co3</vt:lpstr>
      <vt:lpstr>perm_frac_hco3</vt:lpstr>
      <vt:lpstr>perm_gas_concs</vt:lpstr>
      <vt:lpstr>perm_gas_out</vt:lpstr>
      <vt:lpstr>perm_gas_ppm</vt:lpstr>
      <vt:lpstr>perm_hdr_diam</vt:lpstr>
      <vt:lpstr>perm_hdr_length</vt:lpstr>
      <vt:lpstr>perm_Hplus</vt:lpstr>
      <vt:lpstr>perm_ion_concs</vt:lpstr>
      <vt:lpstr>perm_ionstrength</vt:lpstr>
      <vt:lpstr>perm_K1</vt:lpstr>
      <vt:lpstr>perm_K2</vt:lpstr>
      <vt:lpstr>perm_meq</vt:lpstr>
      <vt:lpstr>perm_meq_carbbal</vt:lpstr>
      <vt:lpstr>perm_meq_unbal</vt:lpstr>
      <vt:lpstr>perm_meter_size</vt:lpstr>
      <vt:lpstr>perm_pH</vt:lpstr>
      <vt:lpstr>perm_pH_out</vt:lpstr>
      <vt:lpstr>perm_pipe_flow</vt:lpstr>
      <vt:lpstr>perm_pipe_len</vt:lpstr>
      <vt:lpstr>perm_pK_corr</vt:lpstr>
      <vt:lpstr>perm_pK1</vt:lpstr>
      <vt:lpstr>perm_pK2</vt:lpstr>
      <vt:lpstr>perm_port_diam_16</vt:lpstr>
      <vt:lpstr>perm_port_diam_4</vt:lpstr>
      <vt:lpstr>perm_port_diam_8</vt:lpstr>
      <vt:lpstr>perm_ppm</vt:lpstr>
      <vt:lpstr>perm_tds</vt:lpstr>
      <vt:lpstr>perm_tds_out</vt:lpstr>
      <vt:lpstr>perm_tds_sys</vt:lpstr>
      <vt:lpstr>perm_tds_sys_180c</vt:lpstr>
      <vt:lpstr>perm_tds_v</vt:lpstr>
      <vt:lpstr>perm_valve_1_diam</vt:lpstr>
      <vt:lpstr>perm_valve_2_diam</vt:lpstr>
      <vt:lpstr>perm_valve_3_diam</vt:lpstr>
      <vt:lpstr>permit_cost</vt:lpstr>
      <vt:lpstr>Pfeed_firstguess</vt:lpstr>
      <vt:lpstr>Pfeed_guess</vt:lpstr>
      <vt:lpstr>pH_controls_acid</vt:lpstr>
      <vt:lpstr>pH_meter_cost_cl</vt:lpstr>
      <vt:lpstr>pi_avg</vt:lpstr>
      <vt:lpstr>pi_avg_diff</vt:lpstr>
      <vt:lpstr>pi_avg_guess</vt:lpstr>
      <vt:lpstr>pi_conc</vt:lpstr>
      <vt:lpstr>pi_conc_guess</vt:lpstr>
      <vt:lpstr>PI_conc_out</vt:lpstr>
      <vt:lpstr>pi_feed</vt:lpstr>
      <vt:lpstr>PI_feed_out</vt:lpstr>
      <vt:lpstr>pi_feed_sys</vt:lpstr>
      <vt:lpstr>pi_perm</vt:lpstr>
      <vt:lpstr>PI_perm_out</vt:lpstr>
      <vt:lpstr>PI_tm_out</vt:lpstr>
      <vt:lpstr>pilot_cost_large_cl</vt:lpstr>
      <vt:lpstr>pilot_cost_medium_cl</vt:lpstr>
      <vt:lpstr>pilot_cost_small_cl</vt:lpstr>
      <vt:lpstr>pipe_size_table_cl</vt:lpstr>
      <vt:lpstr>pipe_vol_frac</vt:lpstr>
      <vt:lpstr>pit_cost_cl</vt:lpstr>
      <vt:lpstr>pit_depth</vt:lpstr>
      <vt:lpstr>pit_length</vt:lpstr>
      <vt:lpstr>pit_width</vt:lpstr>
      <vt:lpstr>pK1_feed</vt:lpstr>
      <vt:lpstr>pK1_tfeed</vt:lpstr>
      <vt:lpstr>pK1_uncorr_feed</vt:lpstr>
      <vt:lpstr>pK2_feed</vt:lpstr>
      <vt:lpstr>pK2_tfeed</vt:lpstr>
      <vt:lpstr>pK2_uncorr_feed</vt:lpstr>
      <vt:lpstr>pKSo_feed</vt:lpstr>
      <vt:lpstr>pKWater_feed</vt:lpstr>
      <vt:lpstr>pl_acid_day_eq</vt:lpstr>
      <vt:lpstr>pl_anti_day_eq</vt:lpstr>
      <vt:lpstr>pl_clncst_eq_acid</vt:lpstr>
      <vt:lpstr>pl_clncst_eq_caustic</vt:lpstr>
      <vt:lpstr>pl_cst_cost_cl</vt:lpstr>
      <vt:lpstr>pl_cst_eq</vt:lpstr>
      <vt:lpstr>pl_cst_eq_acid</vt:lpstr>
      <vt:lpstr>pl_cst_eq_anti</vt:lpstr>
      <vt:lpstr>pl_makeup_eq</vt:lpstr>
      <vt:lpstr>plant_intel_software_cost_cl</vt:lpstr>
      <vt:lpstr>plc_base_expansion</vt:lpstr>
      <vt:lpstr>plc_base_expansion_controller</vt:lpstr>
      <vt:lpstr>plc_base_expansion_controller_cost_cl</vt:lpstr>
      <vt:lpstr>plc_base_expansion_cost_cl</vt:lpstr>
      <vt:lpstr>plc_combination_analog</vt:lpstr>
      <vt:lpstr>plc_combination_analog_cost_cl</vt:lpstr>
      <vt:lpstr>plc_cpu</vt:lpstr>
      <vt:lpstr>plc_cpu_cost_cl</vt:lpstr>
      <vt:lpstr>plc_data_software_cost_cl</vt:lpstr>
      <vt:lpstr>plc_discrete_input</vt:lpstr>
      <vt:lpstr>plc_discrete_input_cost_cl</vt:lpstr>
      <vt:lpstr>plc_discrete_output</vt:lpstr>
      <vt:lpstr>plc_discrete_output_cost_cl</vt:lpstr>
      <vt:lpstr>plc_ethernet</vt:lpstr>
      <vt:lpstr>plc_ethernet_cost_cl</vt:lpstr>
      <vt:lpstr>plc_expansions</vt:lpstr>
      <vt:lpstr>plc_interface</vt:lpstr>
      <vt:lpstr>plc_op_interface_cost_cl</vt:lpstr>
      <vt:lpstr>plc_rack</vt:lpstr>
      <vt:lpstr>plc_rack_cost_cl</vt:lpstr>
      <vt:lpstr>plc_slots</vt:lpstr>
      <vt:lpstr>plc_software_cost_cl</vt:lpstr>
      <vt:lpstr>Pnet_guess</vt:lpstr>
      <vt:lpstr>port_mix_cost_cl</vt:lpstr>
      <vt:lpstr>port_table</vt:lpstr>
      <vt:lpstr>ports</vt:lpstr>
      <vt:lpstr>ports_bp</vt:lpstr>
      <vt:lpstr>ports_cart</vt:lpstr>
      <vt:lpstr>ports_PV</vt:lpstr>
      <vt:lpstr>ports_rack</vt:lpstr>
      <vt:lpstr>POTW_base_cost_avg_cl</vt:lpstr>
      <vt:lpstr>POTW_base_cost_typ_cl</vt:lpstr>
      <vt:lpstr>POTW_base_fee</vt:lpstr>
      <vt:lpstr>POTW_fee</vt:lpstr>
      <vt:lpstr>POTW_rate_type</vt:lpstr>
      <vt:lpstr>POTW_TSS_cost_avg_cl</vt:lpstr>
      <vt:lpstr>POTW_TSS_cost_typ_cl</vt:lpstr>
      <vt:lpstr>POTW_TSS_fee</vt:lpstr>
      <vt:lpstr>POTW_TSS_limit</vt:lpstr>
      <vt:lpstr>POTW_vol_cost_avg_cl</vt:lpstr>
      <vt:lpstr>POTW_vol_cost_typ_cl</vt:lpstr>
      <vt:lpstr>POTW_volume_fee</vt:lpstr>
      <vt:lpstr>pp_chv_cost_cl</vt:lpstr>
      <vt:lpstr>pp_chv_eq_bp</vt:lpstr>
      <vt:lpstr>pp_chv_eq_cln</vt:lpstr>
      <vt:lpstr>pp_chv_eq_feed</vt:lpstr>
      <vt:lpstr>pp_chv_eq_in</vt:lpstr>
      <vt:lpstr>pp_chv_eq_res</vt:lpstr>
      <vt:lpstr>pp_man_cost_cl</vt:lpstr>
      <vt:lpstr>pp_man_eq</vt:lpstr>
      <vt:lpstr>pp_man_eq_acid</vt:lpstr>
      <vt:lpstr>pp_man_eq_anti</vt:lpstr>
      <vt:lpstr>pp_man_eq_b2</vt:lpstr>
      <vt:lpstr>pp_man_eq_b3</vt:lpstr>
      <vt:lpstr>pp_man_eq_bp</vt:lpstr>
      <vt:lpstr>pp_man_eq_clean</vt:lpstr>
      <vt:lpstr>pp_man_eq_feed</vt:lpstr>
      <vt:lpstr>pp_man_eq_pt1</vt:lpstr>
      <vt:lpstr>pp_man_eq_pt2</vt:lpstr>
      <vt:lpstr>pp_man_eq_pt3</vt:lpstr>
      <vt:lpstr>pp_man_eq_res</vt:lpstr>
      <vt:lpstr>pp_mov_cost_cl</vt:lpstr>
      <vt:lpstr>pp_mov_eq_acid</vt:lpstr>
      <vt:lpstr>pp_mov_eq_anti</vt:lpstr>
      <vt:lpstr>pp_mov_eq_b2</vt:lpstr>
      <vt:lpstr>pp_mov_eq_b3</vt:lpstr>
      <vt:lpstr>pp_mov_eq_bp</vt:lpstr>
      <vt:lpstr>pp_mov_eq_clean</vt:lpstr>
      <vt:lpstr>pp_mov_eq_conc</vt:lpstr>
      <vt:lpstr>pp_mov_eq_feed</vt:lpstr>
      <vt:lpstr>pp_mov_eq_pt1</vt:lpstr>
      <vt:lpstr>pp_mov_eq_pt2</vt:lpstr>
      <vt:lpstr>pp_mov_eq_pt3</vt:lpstr>
      <vt:lpstr>pp_mov_eq_res</vt:lpstr>
      <vt:lpstr>pre_chem_fp</vt:lpstr>
      <vt:lpstr>pre_filter_replacement</vt:lpstr>
      <vt:lpstr>precip</vt:lpstr>
      <vt:lpstr>prescreen_dim_table_cl</vt:lpstr>
      <vt:lpstr>pressure_err_msg</vt:lpstr>
      <vt:lpstr>pressure_error</vt:lpstr>
      <vt:lpstr>pressure_error_flow</vt:lpstr>
      <vt:lpstr>pressure_error_stg1</vt:lpstr>
      <vt:lpstr>pressure_error_stg2</vt:lpstr>
      <vt:lpstr>pressure_error_stg3</vt:lpstr>
      <vt:lpstr>pretreat_acid</vt:lpstr>
      <vt:lpstr>pretreat_acid_I</vt:lpstr>
      <vt:lpstr>pretreat_acid_list</vt:lpstr>
      <vt:lpstr>pretreat_acid_table</vt:lpstr>
      <vt:lpstr>pretreat_acid_valve_size</vt:lpstr>
      <vt:lpstr>pretreat_fp</vt:lpstr>
      <vt:lpstr>pretreat_labor</vt:lpstr>
      <vt:lpstr>pretreat_materials</vt:lpstr>
      <vt:lpstr>pretreat_permit_cost_cl</vt:lpstr>
      <vt:lpstr>prev_deltaP_I</vt:lpstr>
      <vt:lpstr>printer_ratio</vt:lpstr>
      <vt:lpstr>printers</vt:lpstr>
      <vt:lpstr>process_cost</vt:lpstr>
      <vt:lpstr>prop_acid_per_cycle</vt:lpstr>
      <vt:lpstr>prop_acid_purchase</vt:lpstr>
      <vt:lpstr>prop_acid_store_gal</vt:lpstr>
      <vt:lpstr>prop_acid_yr</vt:lpstr>
      <vt:lpstr>prop_deterg_per_cycle</vt:lpstr>
      <vt:lpstr>prop_deterg_purchase</vt:lpstr>
      <vt:lpstr>prop_deterg_store_gal</vt:lpstr>
      <vt:lpstr>prop_deterg_yr</vt:lpstr>
      <vt:lpstr>prop_fm_cost_cl</vt:lpstr>
      <vt:lpstr>prop_fm_eq_clean</vt:lpstr>
      <vt:lpstr>prop_fm_eq_conc</vt:lpstr>
      <vt:lpstr>prop_fm_eq_feed</vt:lpstr>
      <vt:lpstr>prop_fm_eq_in</vt:lpstr>
      <vt:lpstr>prop_fm_eq_perm</vt:lpstr>
      <vt:lpstr>prop_fm_eq_res</vt:lpstr>
      <vt:lpstr>proprietary_dilution_highpH</vt:lpstr>
      <vt:lpstr>proprietary_dilution_lowpH</vt:lpstr>
      <vt:lpstr>psi_per_atm</vt:lpstr>
      <vt:lpstr>ptfe_imm_htr_cost_cl</vt:lpstr>
      <vt:lpstr>ptfe_imm_htr_eq</vt:lpstr>
      <vt:lpstr>pump_cost_cl</vt:lpstr>
      <vt:lpstr>pump_dim_table_cl</vt:lpstr>
      <vt:lpstr>pump_effcy</vt:lpstr>
      <vt:lpstr>pump_energy</vt:lpstr>
      <vt:lpstr>pump_eq_chem</vt:lpstr>
      <vt:lpstr>pump_materials</vt:lpstr>
      <vt:lpstr>pump_safety_factor</vt:lpstr>
      <vt:lpstr>pumps_per_chem</vt:lpstr>
      <vt:lpstr>pv_arrangement_ratio</vt:lpstr>
      <vt:lpstr>pv_base_cost</vt:lpstr>
      <vt:lpstr>pv_clean_sys</vt:lpstr>
      <vt:lpstr>PV_cols</vt:lpstr>
      <vt:lpstr>pv_conn_galv_cost_cl</vt:lpstr>
      <vt:lpstr>pv_conn_paint_cost_cl</vt:lpstr>
      <vt:lpstr>pv_cost</vt:lpstr>
      <vt:lpstr>pv_element_cost</vt:lpstr>
      <vt:lpstr>pv_per_rack</vt:lpstr>
      <vt:lpstr>pv_rack_member_cost_cl</vt:lpstr>
      <vt:lpstr>PV_rating</vt:lpstr>
      <vt:lpstr>PV_rating_req</vt:lpstr>
      <vt:lpstr>PV_rating_sf</vt:lpstr>
      <vt:lpstr>pv_rating_table_cl</vt:lpstr>
      <vt:lpstr>PV_rows</vt:lpstr>
      <vt:lpstr>pv_rows_max</vt:lpstr>
      <vt:lpstr>PV_spacing_16</vt:lpstr>
      <vt:lpstr>PV_spacing_4</vt:lpstr>
      <vt:lpstr>PV_spacing_8</vt:lpstr>
      <vt:lpstr>pv_supports</vt:lpstr>
      <vt:lpstr>pv1618_base_cost_cl</vt:lpstr>
      <vt:lpstr>pv1618_element_cost_cl</vt:lpstr>
      <vt:lpstr>pv4_base_cost_cl</vt:lpstr>
      <vt:lpstr>pv4_element_cost_cl</vt:lpstr>
      <vt:lpstr>pv8_base_cost_cl</vt:lpstr>
      <vt:lpstr>pv8_element_cost_cl</vt:lpstr>
      <vt:lpstr>pvc_empump_cost_cl</vt:lpstr>
      <vt:lpstr>pvc_empump_eq_acid</vt:lpstr>
      <vt:lpstr>pvc_empump_eq_anti</vt:lpstr>
      <vt:lpstr>pvc_mmpump_cost_cl</vt:lpstr>
      <vt:lpstr>pvc_mmpump_eq_acid</vt:lpstr>
      <vt:lpstr>pvc_mmpump_eq_anti</vt:lpstr>
      <vt:lpstr>pvc_pipe_cost_cl</vt:lpstr>
      <vt:lpstr>pvc_pipe_eq_bp</vt:lpstr>
      <vt:lpstr>pvc_pipe_eq_clean</vt:lpstr>
      <vt:lpstr>pvc_pipe_eq_feed</vt:lpstr>
      <vt:lpstr>pvc_pipe_eq_in_out</vt:lpstr>
      <vt:lpstr>pvc_pipe_eq_perm</vt:lpstr>
      <vt:lpstr>pvc_pipe_eq_perm_rack</vt:lpstr>
      <vt:lpstr>pvc_pipe_eq_res</vt:lpstr>
      <vt:lpstr>PVs_per_train</vt:lpstr>
      <vt:lpstr>PVs_per_train_calc</vt:lpstr>
      <vt:lpstr>PVs_per_train_prelim</vt:lpstr>
      <vt:lpstr>Qavg_1_guess</vt:lpstr>
      <vt:lpstr>Qavg_2_guess</vt:lpstr>
      <vt:lpstr>Qavg_3_guess</vt:lpstr>
      <vt:lpstr>Qavg_max_dPel</vt:lpstr>
      <vt:lpstr>Qavg_pctchange_dPves</vt:lpstr>
      <vt:lpstr>Qavg_vessel_cur</vt:lpstr>
      <vt:lpstr>Qconc_1_guess</vt:lpstr>
      <vt:lpstr>Qconc_1_total_guess</vt:lpstr>
      <vt:lpstr>Qconc_2_guess</vt:lpstr>
      <vt:lpstr>Qconc_2_total_guess</vt:lpstr>
      <vt:lpstr>Qconc_3_guess</vt:lpstr>
      <vt:lpstr>Qconc_3_total_guess</vt:lpstr>
      <vt:lpstr>Qconc_hdr</vt:lpstr>
      <vt:lpstr>Qconc_PV_avg</vt:lpstr>
      <vt:lpstr>Qfeed_1_guess</vt:lpstr>
      <vt:lpstr>Qfeed_2_guess</vt:lpstr>
      <vt:lpstr>Qfeed_3_guess</vt:lpstr>
      <vt:lpstr>Qfeed_hdr</vt:lpstr>
      <vt:lpstr>Qfeed_PV_avg</vt:lpstr>
      <vt:lpstr>Qfeed_stg1_try</vt:lpstr>
      <vt:lpstr>Qperm_1</vt:lpstr>
      <vt:lpstr>Qperm_1_guess</vt:lpstr>
      <vt:lpstr>Qperm_12</vt:lpstr>
      <vt:lpstr>Qperm_2_guess</vt:lpstr>
      <vt:lpstr>Qperm_3_guess</vt:lpstr>
      <vt:lpstr>Qperm_diff</vt:lpstr>
      <vt:lpstr>Qperm_hdr</vt:lpstr>
      <vt:lpstr>Qperm_incr_dPves</vt:lpstr>
      <vt:lpstr>Qperm_min_dPel</vt:lpstr>
      <vt:lpstr>Qperm_need_23</vt:lpstr>
      <vt:lpstr>Qperm_need_3</vt:lpstr>
      <vt:lpstr>Qperm_pctchange_dPel</vt:lpstr>
      <vt:lpstr>Qperm_pctchange_Qconc</vt:lpstr>
      <vt:lpstr>Qperm_pctdiff</vt:lpstr>
      <vt:lpstr>Qperm_PV_avg</vt:lpstr>
      <vt:lpstr>Qperm_result</vt:lpstr>
      <vt:lpstr>Qperm_vessel_cur</vt:lpstr>
      <vt:lpstr>R_ceiling</vt:lpstr>
      <vt:lpstr>R_wall</vt:lpstr>
      <vt:lpstr>rack_assembly_markup</vt:lpstr>
      <vt:lpstr>rack_beam_length</vt:lpstr>
      <vt:lpstr>Rack_cost_for_UL</vt:lpstr>
      <vt:lpstr>Rack_depreciation</vt:lpstr>
      <vt:lpstr>rack_height</vt:lpstr>
      <vt:lpstr>rack_length</vt:lpstr>
      <vt:lpstr>rack_table_16</vt:lpstr>
      <vt:lpstr>rack_table_8</vt:lpstr>
      <vt:lpstr>rack_width</vt:lpstr>
      <vt:lpstr>rad_annual_fee_cl</vt:lpstr>
      <vt:lpstr>rad_disposal_cost_cl</vt:lpstr>
      <vt:lpstr>rad_miles</vt:lpstr>
      <vt:lpstr>rad_trans_min_cost_cl</vt:lpstr>
      <vt:lpstr>rad_transportation_cost_cl</vt:lpstr>
      <vt:lpstr>ratio_curr_v</vt:lpstr>
      <vt:lpstr>ratio_next_v</vt:lpstr>
      <vt:lpstr>recov_max_nf</vt:lpstr>
      <vt:lpstr>recov_max_ro</vt:lpstr>
      <vt:lpstr>recov_min_nf</vt:lpstr>
      <vt:lpstr>recov_min_ro</vt:lpstr>
      <vt:lpstr>recovery</vt:lpstr>
      <vt:lpstr>recovery_out</vt:lpstr>
      <vt:lpstr>recovery_rate</vt:lpstr>
      <vt:lpstr>recovery_v</vt:lpstr>
      <vt:lpstr>Reduction</vt:lpstr>
      <vt:lpstr>redundancy</vt:lpstr>
      <vt:lpstr>redundancy_I</vt:lpstr>
      <vt:lpstr>redundancy_list</vt:lpstr>
      <vt:lpstr>redundancy_table</vt:lpstr>
      <vt:lpstr>replacement_access</vt:lpstr>
      <vt:lpstr>res_bearing_area</vt:lpstr>
      <vt:lpstr>res_block_vol</vt:lpstr>
      <vt:lpstr>res_bw_dis_list</vt:lpstr>
      <vt:lpstr>res_bw_dis_table</vt:lpstr>
      <vt:lpstr>res_cap_factor</vt:lpstr>
      <vt:lpstr>res_chv_no_pump</vt:lpstr>
      <vt:lpstr>res_chv_pump</vt:lpstr>
      <vt:lpstr>res_eductor_size</vt:lpstr>
      <vt:lpstr>res_eductors</vt:lpstr>
      <vt:lpstr>res_eff_transfer_rate</vt:lpstr>
      <vt:lpstr>res_flow</vt:lpstr>
      <vt:lpstr>res_flow_actual</vt:lpstr>
      <vt:lpstr>res_flow_annual</vt:lpstr>
      <vt:lpstr>res_fp</vt:lpstr>
      <vt:lpstr>res_meter_size</vt:lpstr>
      <vt:lpstr>res_pipe_bedding_vol</vt:lpstr>
      <vt:lpstr>res_pipe_diam</vt:lpstr>
      <vt:lpstr>res_pipe_length</vt:lpstr>
      <vt:lpstr>res_pipe_mult</vt:lpstr>
      <vt:lpstr>res_pump_energy</vt:lpstr>
      <vt:lpstr>res_pump_eq</vt:lpstr>
      <vt:lpstr>res_pump_fp</vt:lpstr>
      <vt:lpstr>res_pump_mtl</vt:lpstr>
      <vt:lpstr>res_pump_psi</vt:lpstr>
      <vt:lpstr>res_pump_rating</vt:lpstr>
      <vt:lpstr>res_pumps</vt:lpstr>
      <vt:lpstr>res_reg_opt</vt:lpstr>
      <vt:lpstr>res_s1_opt</vt:lpstr>
      <vt:lpstr>res_s1_opt_I</vt:lpstr>
      <vt:lpstr>res_s1_opt_list</vt:lpstr>
      <vt:lpstr>res_s1_opt_table</vt:lpstr>
      <vt:lpstr>res_s2_opt</vt:lpstr>
      <vt:lpstr>res_s2_opt_I</vt:lpstr>
      <vt:lpstr>res_s2_opt_list</vt:lpstr>
      <vt:lpstr>res_s2_opt_table</vt:lpstr>
      <vt:lpstr>res_seductor_eq</vt:lpstr>
      <vt:lpstr>res_slurry_eq</vt:lpstr>
      <vt:lpstr>res_slurry_pumps</vt:lpstr>
      <vt:lpstr>res_solids</vt:lpstr>
      <vt:lpstr>res_solids_xfer_fp</vt:lpstr>
      <vt:lpstr>res_stagger_time1</vt:lpstr>
      <vt:lpstr>res_thrust_force</vt:lpstr>
      <vt:lpstr>res_transfer_method</vt:lpstr>
      <vt:lpstr>res_transfer_rate</vt:lpstr>
      <vt:lpstr>res_transfer_rate_gal</vt:lpstr>
      <vt:lpstr>res_trench_area</vt:lpstr>
      <vt:lpstr>res_trench_vol</vt:lpstr>
      <vt:lpstr>res_trn_depth</vt:lpstr>
      <vt:lpstr>res_valve_size</vt:lpstr>
      <vt:lpstr>res_vol1</vt:lpstr>
      <vt:lpstr>resist_eff</vt:lpstr>
      <vt:lpstr>risers</vt:lpstr>
      <vt:lpstr>RMP_cost_cl</vt:lpstr>
      <vt:lpstr>ro100_pump_cost_cl</vt:lpstr>
      <vt:lpstr>ro150_pump_cost_cl</vt:lpstr>
      <vt:lpstr>ro200_pump_cost_cl</vt:lpstr>
      <vt:lpstr>ro250_pump_cost_cl</vt:lpstr>
      <vt:lpstr>ro300_pump_cost_cl</vt:lpstr>
      <vt:lpstr>ro350_pump_cost_cl</vt:lpstr>
      <vt:lpstr>ro500_pump_cost_cl</vt:lpstr>
      <vt:lpstr>RONF_alarm_software_cost_addl_cl</vt:lpstr>
      <vt:lpstr>RONF_alarm_software_cost_first_cl</vt:lpstr>
      <vt:lpstr>S_anti_pump</vt:lpstr>
      <vt:lpstr>S_booster_pump</vt:lpstr>
      <vt:lpstr>S_bypass_pump</vt:lpstr>
      <vt:lpstr>S_chem_pump</vt:lpstr>
      <vt:lpstr>S_cm_pump</vt:lpstr>
      <vt:lpstr>S_eductor</vt:lpstr>
      <vt:lpstr>S_feed_pump</vt:lpstr>
      <vt:lpstr>S_mix</vt:lpstr>
      <vt:lpstr>S_res_pump</vt:lpstr>
      <vt:lpstr>S_slurry</vt:lpstr>
      <vt:lpstr>salt_rej_out</vt:lpstr>
      <vt:lpstr>salt_rej_sys</vt:lpstr>
      <vt:lpstr>salt_rej_v</vt:lpstr>
      <vt:lpstr>scaling_recommend</vt:lpstr>
      <vt:lpstr>scs_vol</vt:lpstr>
      <vt:lpstr>sec_cont_coating_cvg</vt:lpstr>
      <vt:lpstr>sec_cont_freeboard</vt:lpstr>
      <vt:lpstr>sec_cont_max_thick</vt:lpstr>
      <vt:lpstr>sec_cont_pct_of_largest</vt:lpstr>
      <vt:lpstr>sec_cont_pct_of_total</vt:lpstr>
      <vt:lpstr>sec_screen_flow</vt:lpstr>
      <vt:lpstr>sec_screen_len</vt:lpstr>
      <vt:lpstr>sec_screen_per_chem</vt:lpstr>
      <vt:lpstr>sec_screen_wid</vt:lpstr>
      <vt:lpstr>seductor_cost_cl</vt:lpstr>
      <vt:lpstr>sept_trench_bot_area</vt:lpstr>
      <vt:lpstr>sept_trench_l</vt:lpstr>
      <vt:lpstr>sept_trenches</vt:lpstr>
      <vt:lpstr>shifts_day</vt:lpstr>
      <vt:lpstr>short_max_el_16</vt:lpstr>
      <vt:lpstr>short_max_el_4</vt:lpstr>
      <vt:lpstr>short_max_el_8</vt:lpstr>
      <vt:lpstr>short_PV_extra_length_max</vt:lpstr>
      <vt:lpstr>simplex_clean_screen_eq</vt:lpstr>
      <vt:lpstr>simplex_prescreen_cost_cl</vt:lpstr>
      <vt:lpstr>simplex_screens</vt:lpstr>
      <vt:lpstr>sio2_bad_with_anti</vt:lpstr>
      <vt:lpstr>sio2_bad_without_anti</vt:lpstr>
      <vt:lpstr>sio2_recommend</vt:lpstr>
      <vt:lpstr>sio2_sat_base</vt:lpstr>
      <vt:lpstr>sitework_cost</vt:lpstr>
      <vt:lpstr>sitework_sf_cl</vt:lpstr>
      <vt:lpstr>sizing_inputs_are_current</vt:lpstr>
      <vt:lpstr>smallQconc_change</vt:lpstr>
      <vt:lpstr>SO4_delta_tfeed</vt:lpstr>
      <vt:lpstr>SO4_delta_tfeed_ppm</vt:lpstr>
      <vt:lpstr>soil_dens</vt:lpstr>
      <vt:lpstr>sol_disp_freq</vt:lpstr>
      <vt:lpstr>sol_disposal_fee</vt:lpstr>
      <vt:lpstr>sol_disposal_miles</vt:lpstr>
      <vt:lpstr>sol_disposal_shipments</vt:lpstr>
      <vt:lpstr>solids_haz</vt:lpstr>
      <vt:lpstr>solids_haz_I</vt:lpstr>
      <vt:lpstr>solids_haz_list</vt:lpstr>
      <vt:lpstr>solids_haz_table</vt:lpstr>
      <vt:lpstr>solids_method</vt:lpstr>
      <vt:lpstr>solids_pad_area</vt:lpstr>
      <vt:lpstr>solids_pad_concrete</vt:lpstr>
      <vt:lpstr>solids_storage_height</vt:lpstr>
      <vt:lpstr>soln_success</vt:lpstr>
      <vt:lpstr>source_select</vt:lpstr>
      <vt:lpstr>sp_horiz</vt:lpstr>
      <vt:lpstr>sp_vert</vt:lpstr>
      <vt:lpstr>space_acid_dt</vt:lpstr>
      <vt:lpstr>space_anti</vt:lpstr>
      <vt:lpstr>space_anti_dt</vt:lpstr>
      <vt:lpstr>space_at</vt:lpstr>
      <vt:lpstr>space_clncst_acid</vt:lpstr>
      <vt:lpstr>space_clncst_caustic</vt:lpstr>
      <vt:lpstr>space_ct</vt:lpstr>
      <vt:lpstr>space_ht</vt:lpstr>
      <vt:lpstr>space_office</vt:lpstr>
      <vt:lpstr>space_other_equip</vt:lpstr>
      <vt:lpstr>space_pumps</vt:lpstr>
      <vt:lpstr>srso4_bad_with_anti</vt:lpstr>
      <vt:lpstr>srso4_bad_without_anti</vt:lpstr>
      <vt:lpstr>srso4_recommend</vt:lpstr>
      <vt:lpstr>ss_anti_day_eq</vt:lpstr>
      <vt:lpstr>ss_cat</vt:lpstr>
      <vt:lpstr>ss_cat2</vt:lpstr>
      <vt:lpstr>ss_chv_cost_cl</vt:lpstr>
      <vt:lpstr>ss_chv_eq_bp</vt:lpstr>
      <vt:lpstr>ss_chv_eq_cln</vt:lpstr>
      <vt:lpstr>ss_chv_eq_feed</vt:lpstr>
      <vt:lpstr>ss_chv_eq_in</vt:lpstr>
      <vt:lpstr>ss_chv_eq_res</vt:lpstr>
      <vt:lpstr>ss_clncst_eq_caustic</vt:lpstr>
      <vt:lpstr>ss_cst_cost_cl</vt:lpstr>
      <vt:lpstr>ss_cst_eq_anti</vt:lpstr>
      <vt:lpstr>ss_empump_cost_cl</vt:lpstr>
      <vt:lpstr>ss_empump_eq_anti</vt:lpstr>
      <vt:lpstr>ss_makeup_eq</vt:lpstr>
      <vt:lpstr>ss_man_cost_cl</vt:lpstr>
      <vt:lpstr>ss_man_eq</vt:lpstr>
      <vt:lpstr>ss_man_eq_acid</vt:lpstr>
      <vt:lpstr>ss_man_eq_anti</vt:lpstr>
      <vt:lpstr>ss_man_eq_b2</vt:lpstr>
      <vt:lpstr>ss_man_eq_b3</vt:lpstr>
      <vt:lpstr>ss_man_eq_bp</vt:lpstr>
      <vt:lpstr>ss_man_eq_clean</vt:lpstr>
      <vt:lpstr>ss_man_eq_conc</vt:lpstr>
      <vt:lpstr>ss_man_eq_feed</vt:lpstr>
      <vt:lpstr>ss_man_eq_pt1</vt:lpstr>
      <vt:lpstr>ss_man_eq_pt2</vt:lpstr>
      <vt:lpstr>ss_man_eq_pt3</vt:lpstr>
      <vt:lpstr>ss_man_eq_res</vt:lpstr>
      <vt:lpstr>ss_mmpump_cost_cl</vt:lpstr>
      <vt:lpstr>ss_mmpump_eq_anti</vt:lpstr>
      <vt:lpstr>ss_mov_cost_cl</vt:lpstr>
      <vt:lpstr>ss_mov_eq_acid</vt:lpstr>
      <vt:lpstr>ss_mov_eq_anti</vt:lpstr>
      <vt:lpstr>ss_mov_eq_b2</vt:lpstr>
      <vt:lpstr>ss_mov_eq_b3</vt:lpstr>
      <vt:lpstr>ss_mov_eq_bp</vt:lpstr>
      <vt:lpstr>ss_mov_eq_clean</vt:lpstr>
      <vt:lpstr>ss_mov_eq_conc</vt:lpstr>
      <vt:lpstr>ss_mov_eq_feed</vt:lpstr>
      <vt:lpstr>ss_mov_eq_pt1</vt:lpstr>
      <vt:lpstr>ss_mov_eq_pt2</vt:lpstr>
      <vt:lpstr>ss_mov_eq_pt3</vt:lpstr>
      <vt:lpstr>ss_mov_eq_res</vt:lpstr>
      <vt:lpstr>ss_pipe_cost_cl</vt:lpstr>
      <vt:lpstr>ss_pipe_eq_bp</vt:lpstr>
      <vt:lpstr>ss_pipe_eq_clean</vt:lpstr>
      <vt:lpstr>ss_pipe_eq_conc_rack</vt:lpstr>
      <vt:lpstr>ss_pipe_eq_feed</vt:lpstr>
      <vt:lpstr>ss_pipe_eq_feed_rack</vt:lpstr>
      <vt:lpstr>ss_pipe_eq_in_out</vt:lpstr>
      <vt:lpstr>ss_pipe_eq_perm</vt:lpstr>
      <vt:lpstr>ss_pipe_eq_res</vt:lpstr>
      <vt:lpstr>st_bwt_cost_cl</vt:lpstr>
      <vt:lpstr>st_ht_eq</vt:lpstr>
      <vt:lpstr>st_pipe_cost_cl</vt:lpstr>
      <vt:lpstr>st_pipe_eq_bp</vt:lpstr>
      <vt:lpstr>st_pipe_eq_feed</vt:lpstr>
      <vt:lpstr>st_pipe_eq_in_out</vt:lpstr>
      <vt:lpstr>st_pipe_eq_res</vt:lpstr>
      <vt:lpstr>stage_1_2_ratio</vt:lpstr>
      <vt:lpstr>stage_2_3_ratio</vt:lpstr>
      <vt:lpstr>stage_adjust</vt:lpstr>
      <vt:lpstr>stage_ratio_table</vt:lpstr>
      <vt:lpstr>stage1_out</vt:lpstr>
      <vt:lpstr>stage2_out</vt:lpstr>
      <vt:lpstr>stage3_out</vt:lpstr>
      <vt:lpstr>stake_out_cost_cl</vt:lpstr>
      <vt:lpstr>std_base</vt:lpstr>
      <vt:lpstr>std_cool</vt:lpstr>
      <vt:lpstr>std_design_params</vt:lpstr>
      <vt:lpstr>std_gen_cost_cl</vt:lpstr>
      <vt:lpstr>std_heat</vt:lpstr>
      <vt:lpstr>std_power</vt:lpstr>
      <vt:lpstr>std_power_cost</vt:lpstr>
      <vt:lpstr>std_safety_factor</vt:lpstr>
      <vt:lpstr>stg_1</vt:lpstr>
      <vt:lpstr>stg_2</vt:lpstr>
      <vt:lpstr>stg_3</vt:lpstr>
      <vt:lpstr>stg1_adjust_1</vt:lpstr>
      <vt:lpstr>stg1_adjust_2</vt:lpstr>
      <vt:lpstr>stg1_adjust_3</vt:lpstr>
      <vt:lpstr>stg1_adjust_flow</vt:lpstr>
      <vt:lpstr>stg1_in_spec</vt:lpstr>
      <vt:lpstr>stg1_max_pres</vt:lpstr>
      <vt:lpstr>stg1_max_pres_new</vt:lpstr>
      <vt:lpstr>stg1_min_pres</vt:lpstr>
      <vt:lpstr>stg1_min_pres_new</vt:lpstr>
      <vt:lpstr>stg1_newP_fix1</vt:lpstr>
      <vt:lpstr>stg1_newP_fix1_OK</vt:lpstr>
      <vt:lpstr>stg1_newP_fix2</vt:lpstr>
      <vt:lpstr>stg1_newP_fix2_OK</vt:lpstr>
      <vt:lpstr>stg1_newP_fix3</vt:lpstr>
      <vt:lpstr>stg1_newP_fix3_OK</vt:lpstr>
      <vt:lpstr>stg1_newP_flow</vt:lpstr>
      <vt:lpstr>stg1_newP_flow_OK</vt:lpstr>
      <vt:lpstr>stg1_Pchange</vt:lpstr>
      <vt:lpstr>stg1_Pchange_err</vt:lpstr>
      <vt:lpstr>stg1_Pchange_spec</vt:lpstr>
      <vt:lpstr>stg1_Pchange_spec_pct</vt:lpstr>
      <vt:lpstr>stg2_adjust_2</vt:lpstr>
      <vt:lpstr>stg2_adjust_3</vt:lpstr>
      <vt:lpstr>stg2_adjust_flow</vt:lpstr>
      <vt:lpstr>stg2_in_spec</vt:lpstr>
      <vt:lpstr>stg2_max_pres</vt:lpstr>
      <vt:lpstr>stg2_max_pres_new</vt:lpstr>
      <vt:lpstr>stg2_min_pres</vt:lpstr>
      <vt:lpstr>stg2_min_pres_new</vt:lpstr>
      <vt:lpstr>stg2_newP_fix2</vt:lpstr>
      <vt:lpstr>stg2_newP_fix2_OK</vt:lpstr>
      <vt:lpstr>stg2_newP_fix3</vt:lpstr>
      <vt:lpstr>stg2_newP_fix3_OK</vt:lpstr>
      <vt:lpstr>stg2_newP_flow</vt:lpstr>
      <vt:lpstr>stg2_newP_flow_OK</vt:lpstr>
      <vt:lpstr>stg2_Pchange</vt:lpstr>
      <vt:lpstr>stg2_Pchange_err</vt:lpstr>
      <vt:lpstr>stg2_Pchange_spec</vt:lpstr>
      <vt:lpstr>stg2_Pchange_spec_pct</vt:lpstr>
      <vt:lpstr>stg2_Pstart</vt:lpstr>
      <vt:lpstr>stg3_adjust_3</vt:lpstr>
      <vt:lpstr>stg3_adjust_flow</vt:lpstr>
      <vt:lpstr>stg3_in_spec</vt:lpstr>
      <vt:lpstr>stg3_max_pres</vt:lpstr>
      <vt:lpstr>stg3_max_pres_new</vt:lpstr>
      <vt:lpstr>stg3_min_pres</vt:lpstr>
      <vt:lpstr>stg3_min_pres_new</vt:lpstr>
      <vt:lpstr>stg3_newP_fix3</vt:lpstr>
      <vt:lpstr>stg3_newP_fix3_OK</vt:lpstr>
      <vt:lpstr>stg3_newP_flow</vt:lpstr>
      <vt:lpstr>stg3_newP_flow_OK</vt:lpstr>
      <vt:lpstr>stg3_Pchange</vt:lpstr>
      <vt:lpstr>stg3_Pchange_err</vt:lpstr>
      <vt:lpstr>stg3_Pchange_spec</vt:lpstr>
      <vt:lpstr>stg3_Pchange_spec_pct</vt:lpstr>
      <vt:lpstr>stg3_Pstart</vt:lpstr>
      <vt:lpstr>storage_height</vt:lpstr>
      <vt:lpstr>sulfuric_purchase</vt:lpstr>
      <vt:lpstr>supports_long_16</vt:lpstr>
      <vt:lpstr>supports_long_4</vt:lpstr>
      <vt:lpstr>supports_long_8</vt:lpstr>
      <vt:lpstr>supports_short_16</vt:lpstr>
      <vt:lpstr>supports_short_4</vt:lpstr>
      <vt:lpstr>supports_short_8</vt:lpstr>
      <vt:lpstr>surf_tds</vt:lpstr>
      <vt:lpstr>SW_permit_cost_cl</vt:lpstr>
      <vt:lpstr>switch_cost_cl</vt:lpstr>
      <vt:lpstr>sys_element_A_I</vt:lpstr>
      <vt:lpstr>sys_element_A_P_coeff</vt:lpstr>
      <vt:lpstr>sys_element_A_S_coeff_I</vt:lpstr>
      <vt:lpstr>sys_element_A_T_coeff_hi</vt:lpstr>
      <vt:lpstr>sys_element_A_T_coeff_lo</vt:lpstr>
      <vt:lpstr>sys_element_area_I</vt:lpstr>
      <vt:lpstr>sys_element_B_max_I</vt:lpstr>
      <vt:lpstr>sys_element_B_min_I</vt:lpstr>
      <vt:lpstr>sys_element_B_S_coeff_hi</vt:lpstr>
      <vt:lpstr>sys_element_B_S_coeff_lo</vt:lpstr>
      <vt:lpstr>sys_element_B_T_coeff</vt:lpstr>
      <vt:lpstr>sys_element_beta_coeff</vt:lpstr>
      <vt:lpstr>sys_element_diam</vt:lpstr>
      <vt:lpstr>sys_element_dp_coeff_I</vt:lpstr>
      <vt:lpstr>sys_element_dp_exp</vt:lpstr>
      <vt:lpstr>sys_element_length</vt:lpstr>
      <vt:lpstr>sys_element_name</vt:lpstr>
      <vt:lpstr>sys_element_ref_TDS</vt:lpstr>
      <vt:lpstr>sys_element_ref_temp</vt:lpstr>
      <vt:lpstr>sys_element_sal_min_B</vt:lpstr>
      <vt:lpstr>sys_element_type</vt:lpstr>
      <vt:lpstr>sys_feed_gas_ppm</vt:lpstr>
      <vt:lpstr>sys_feed_ppm</vt:lpstr>
      <vt:lpstr>sys_iter_precision</vt:lpstr>
      <vt:lpstr>sys_max_dP_flow</vt:lpstr>
      <vt:lpstr>sys_step_factor</vt:lpstr>
      <vt:lpstr>system_cost</vt:lpstr>
      <vt:lpstr>T_feed</vt:lpstr>
      <vt:lpstr>TAC_pct_cap</vt:lpstr>
      <vt:lpstr>TAC_pct_OM</vt:lpstr>
      <vt:lpstr>target_flux</vt:lpstr>
      <vt:lpstr>target_recovery</vt:lpstr>
      <vt:lpstr>target_staging_ratio</vt:lpstr>
      <vt:lpstr>tax_pct</vt:lpstr>
      <vt:lpstr>TDB_link</vt:lpstr>
      <vt:lpstr>TDB_link_table_cl</vt:lpstr>
      <vt:lpstr>TDS_monitor_cost_cl</vt:lpstr>
      <vt:lpstr>tech_fp</vt:lpstr>
      <vt:lpstr>tech_name</vt:lpstr>
      <vt:lpstr>temp_K</vt:lpstr>
      <vt:lpstr>temp_meter_clean</vt:lpstr>
      <vt:lpstr>temp_meter_cost_cl</vt:lpstr>
      <vt:lpstr>temp_meter_in</vt:lpstr>
      <vt:lpstr>temp_rise</vt:lpstr>
      <vt:lpstr>tfeed_alkalinity</vt:lpstr>
      <vt:lpstr>tfeed_baso4_ip</vt:lpstr>
      <vt:lpstr>tfeed_baso4_ksp</vt:lpstr>
      <vt:lpstr>tfeed_baso4_sat_pct</vt:lpstr>
      <vt:lpstr>tfeed_Ca</vt:lpstr>
      <vt:lpstr>tfeed_ca_corr</vt:lpstr>
      <vt:lpstr>tfeed_ca_molL</vt:lpstr>
      <vt:lpstr>tfeed_caf2_ip</vt:lpstr>
      <vt:lpstr>tfeed_caf2_sat_pct</vt:lpstr>
      <vt:lpstr>tfeed_caso4_ip</vt:lpstr>
      <vt:lpstr>tfeed_caso4_ksp</vt:lpstr>
      <vt:lpstr>tfeed_caso4_sat_pct</vt:lpstr>
      <vt:lpstr>tfeed_co3_corr</vt:lpstr>
      <vt:lpstr>tfeed_f_corr</vt:lpstr>
      <vt:lpstr>tfeed_f_molL</vt:lpstr>
      <vt:lpstr>tfeed_gas_bal</vt:lpstr>
      <vt:lpstr>tfeed_hco3_corr</vt:lpstr>
      <vt:lpstr>tfeed_ion_strength</vt:lpstr>
      <vt:lpstr>tfeed_LSI</vt:lpstr>
      <vt:lpstr>tfeed_meq_bal</vt:lpstr>
      <vt:lpstr>tfeed_OHminus</vt:lpstr>
      <vt:lpstr>tfeed_pAlk</vt:lpstr>
      <vt:lpstr>tfeed_pCa</vt:lpstr>
      <vt:lpstr>tfeed_pH_s</vt:lpstr>
      <vt:lpstr>tfeed_pK_corr</vt:lpstr>
      <vt:lpstr>tfeed_ppm_bal</vt:lpstr>
      <vt:lpstr>tfeed_sio2_sat</vt:lpstr>
      <vt:lpstr>tfeed_sio2_sat_corr</vt:lpstr>
      <vt:lpstr>tfeed_sio2_sat_pct</vt:lpstr>
      <vt:lpstr>tfeed_srso4_ip</vt:lpstr>
      <vt:lpstr>tfeed_srso4_ksp</vt:lpstr>
      <vt:lpstr>tfeed_srso4_sat_pct</vt:lpstr>
      <vt:lpstr>thrust_block_table_cl</vt:lpstr>
      <vt:lpstr>thrust_force</vt:lpstr>
      <vt:lpstr>tot_antiscalant_man</vt:lpstr>
      <vt:lpstr>tot_antiscalant_MOVs</vt:lpstr>
      <vt:lpstr>tot_boost_2_man</vt:lpstr>
      <vt:lpstr>tot_boost_2_MOVs</vt:lpstr>
      <vt:lpstr>tot_boost_3_man</vt:lpstr>
      <vt:lpstr>tot_boost_3_MOVs</vt:lpstr>
      <vt:lpstr>tot_bp_chv</vt:lpstr>
      <vt:lpstr>tot_bp_man</vt:lpstr>
      <vt:lpstr>tot_bp_MOVs</vt:lpstr>
      <vt:lpstr>tot_chem</vt:lpstr>
      <vt:lpstr>tot_clean_man</vt:lpstr>
      <vt:lpstr>tot_clean_MOVs</vt:lpstr>
      <vt:lpstr>tot_cleaning_chv</vt:lpstr>
      <vt:lpstr>tot_conc_man</vt:lpstr>
      <vt:lpstr>tot_conc_MOVs</vt:lpstr>
      <vt:lpstr>tot_cond_meters</vt:lpstr>
      <vt:lpstr>tot_cst_alarm</vt:lpstr>
      <vt:lpstr>tot_feed_man</vt:lpstr>
      <vt:lpstr>tot_feed_MOVs</vt:lpstr>
      <vt:lpstr>tot_feedpump_chv</vt:lpstr>
      <vt:lpstr>tot_fm_clean</vt:lpstr>
      <vt:lpstr>tot_fm_conc</vt:lpstr>
      <vt:lpstr>tot_fm_feed</vt:lpstr>
      <vt:lpstr>tot_fm_in</vt:lpstr>
      <vt:lpstr>tot_fm_perm</vt:lpstr>
      <vt:lpstr>tot_fm_res</vt:lpstr>
      <vt:lpstr>tot_headloss_sensors</vt:lpstr>
      <vt:lpstr>tot_in_chv</vt:lpstr>
      <vt:lpstr>tot_inst</vt:lpstr>
      <vt:lpstr>tot_inst_maint</vt:lpstr>
      <vt:lpstr>tot_level_switch</vt:lpstr>
      <vt:lpstr>tot_man_valves</vt:lpstr>
      <vt:lpstr>tot_MOVs</vt:lpstr>
      <vt:lpstr>tot_num_bp_pumps</vt:lpstr>
      <vt:lpstr>tot_perm_1_man</vt:lpstr>
      <vt:lpstr>tot_perm_1_MOVs</vt:lpstr>
      <vt:lpstr>tot_perm_2_man</vt:lpstr>
      <vt:lpstr>tot_perm_2_MOVs</vt:lpstr>
      <vt:lpstr>tot_perm_3_man</vt:lpstr>
      <vt:lpstr>tot_perm_3_MOVs</vt:lpstr>
      <vt:lpstr>tot_pH_controls</vt:lpstr>
      <vt:lpstr>tot_pre_alarm</vt:lpstr>
      <vt:lpstr>tot_pretreat_acid_man</vt:lpstr>
      <vt:lpstr>tot_pretreat_acid_MOVs</vt:lpstr>
      <vt:lpstr>tot_pumps</vt:lpstr>
      <vt:lpstr>tot_pumps_maint</vt:lpstr>
      <vt:lpstr>tot_res_alarm</vt:lpstr>
      <vt:lpstr>tot_res_chv</vt:lpstr>
      <vt:lpstr>tot_switches</vt:lpstr>
      <vt:lpstr>tot_temp_meters</vt:lpstr>
      <vt:lpstr>tot_valves</vt:lpstr>
      <vt:lpstr>tot_vessel_vol</vt:lpstr>
      <vt:lpstr>total_area</vt:lpstr>
      <vt:lpstr>total_area_op</vt:lpstr>
      <vt:lpstr>total_area_req</vt:lpstr>
      <vt:lpstr>total_beam_length</vt:lpstr>
      <vt:lpstr>total_chem_pump_gph</vt:lpstr>
      <vt:lpstr>total_chem_pumps</vt:lpstr>
      <vt:lpstr>total_chem_tanks</vt:lpstr>
      <vt:lpstr>total_clean_cart_filters</vt:lpstr>
      <vt:lpstr>total_direct_depreciation</vt:lpstr>
      <vt:lpstr>total_elements</vt:lpstr>
      <vt:lpstr>total_elements_req</vt:lpstr>
      <vt:lpstr>total_fp</vt:lpstr>
      <vt:lpstr>total_HCl_store</vt:lpstr>
      <vt:lpstr>total_heater_power</vt:lpstr>
      <vt:lpstr>total_inf_pumps</vt:lpstr>
      <vt:lpstr>total_injection_well_cost</vt:lpstr>
      <vt:lpstr>total_iterations_sys</vt:lpstr>
      <vt:lpstr>total_PVs</vt:lpstr>
      <vt:lpstr>total_racks</vt:lpstr>
      <vt:lpstr>total_res_man</vt:lpstr>
      <vt:lpstr>total_res_MOVs</vt:lpstr>
      <vt:lpstr>total_sec_screens</vt:lpstr>
      <vt:lpstr>total_trains</vt:lpstr>
      <vt:lpstr>train_config</vt:lpstr>
      <vt:lpstr>train_configuration</vt:lpstr>
      <vt:lpstr>train_eq</vt:lpstr>
      <vt:lpstr>transfer_time</vt:lpstr>
      <vt:lpstr>treated_feed_pH</vt:lpstr>
      <vt:lpstr>treated_feed_tds</vt:lpstr>
      <vt:lpstr>trench_angle</vt:lpstr>
      <vt:lpstr>trench_area</vt:lpstr>
      <vt:lpstr>trench_depth</vt:lpstr>
      <vt:lpstr>trench_vol</vt:lpstr>
      <vt:lpstr>TSS_residuals</vt:lpstr>
      <vt:lpstr>TSS_residuals_dis</vt:lpstr>
      <vt:lpstr>tune_in_prog</vt:lpstr>
      <vt:lpstr>tuning_complete</vt:lpstr>
      <vt:lpstr>UBC_mult_table_cl</vt:lpstr>
      <vt:lpstr>uloe_chem_maint</vt:lpstr>
      <vt:lpstr>uloe_fp</vt:lpstr>
      <vt:lpstr>uloe_inst</vt:lpstr>
      <vt:lpstr>uloe_inst_auto</vt:lpstr>
      <vt:lpstr>uloe_inst_maint</vt:lpstr>
      <vt:lpstr>uloe_pump</vt:lpstr>
      <vt:lpstr>uloe_pump_maint</vt:lpstr>
      <vt:lpstr>uloe_solids</vt:lpstr>
      <vt:lpstr>uloe_valve</vt:lpstr>
      <vt:lpstr>uloe_valve_maint</vt:lpstr>
      <vt:lpstr>untreated_feed_tds</vt:lpstr>
      <vt:lpstr>ups</vt:lpstr>
      <vt:lpstr>ups_cost_cl</vt:lpstr>
      <vt:lpstr>use_antiscalant</vt:lpstr>
      <vt:lpstr>use_antiscalant_I</vt:lpstr>
      <vt:lpstr>use_antiscalant_list</vt:lpstr>
      <vt:lpstr>use_antiscalant_table</vt:lpstr>
      <vt:lpstr>use_column</vt:lpstr>
      <vt:lpstr>useful_life</vt:lpstr>
      <vt:lpstr>valve_table</vt:lpstr>
      <vt:lpstr>ven_fm_cost_cl</vt:lpstr>
      <vt:lpstr>ven_fm_eq_clean</vt:lpstr>
      <vt:lpstr>ven_fm_eq_conc</vt:lpstr>
      <vt:lpstr>ven_fm_eq_feed</vt:lpstr>
      <vt:lpstr>ven_fm_eq_in</vt:lpstr>
      <vt:lpstr>ven_fm_eq_perm</vt:lpstr>
      <vt:lpstr>ven_fm_eq_res</vt:lpstr>
      <vt:lpstr>ventilation</vt:lpstr>
      <vt:lpstr>vert_members</vt:lpstr>
      <vt:lpstr>vessel_diameter</vt:lpstr>
      <vt:lpstr>vessel_length</vt:lpstr>
      <vt:lpstr>visc_feed</vt:lpstr>
      <vt:lpstr>visc_ratio_feed</vt:lpstr>
      <vt:lpstr>visc_ref</vt:lpstr>
      <vt:lpstr>vol_clean_pipes</vt:lpstr>
      <vt:lpstr>vol_vessel</vt:lpstr>
      <vt:lpstr>warnings</vt:lpstr>
      <vt:lpstr>waste_heat_bypass_pumps</vt:lpstr>
      <vt:lpstr>waste_heat_inf_pumps</vt:lpstr>
      <vt:lpstr>waste_heat_stg2_pumps</vt:lpstr>
      <vt:lpstr>waste_heat_stg3_pumps</vt:lpstr>
      <vt:lpstr>water_index</vt:lpstr>
      <vt:lpstr>water_table</vt:lpstr>
      <vt:lpstr>well_diam</vt:lpstr>
      <vt:lpstr>well_pump_eq</vt:lpstr>
      <vt:lpstr>well_pump_psi</vt:lpstr>
      <vt:lpstr>well_pump_rating</vt:lpstr>
      <vt:lpstr>winter_days</vt:lpstr>
      <vt:lpstr>workstation_ratio</vt:lpstr>
      <vt:lpstr>workstations</vt:lpstr>
      <vt:lpstr>wt_elem</vt:lpstr>
      <vt:lpstr>yard_cost</vt:lpstr>
      <vt:lpstr>yard_in</vt:lpstr>
      <vt:lpstr>yard_out</vt:lpstr>
      <vt:lpstr>yard_pipe_diam</vt:lpstr>
      <vt:lpstr>yard_pipe_length</vt:lpstr>
      <vt:lpstr>yes_no_valid</vt:lpstr>
      <vt:lpstr>zeroC_in_K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WBS Model for Reverse Osmosis/Nanofiltration</dc:title>
  <dc:creator>U.S. EPA Office of Ground Water and Drinking Water</dc:creator>
  <cp:lastModifiedBy>Bingzheng Wang</cp:lastModifiedBy>
  <dcterms:created xsi:type="dcterms:W3CDTF">2013-09-08T20:54:22Z</dcterms:created>
  <dcterms:modified xsi:type="dcterms:W3CDTF">2025-03-12T18:57:24Z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cid_per_cycle" linkTarget="prop_acid_per_cycle">
    <vt:r8>34.275</vt:r8>
  </property>
  <property fmtid="{D5CDD505-2E9C-101B-9397-08002B2CF9AE}" pid="3" name="acid_store_gal" linkTarget="prop_acid_store_gal">
    <vt:r8>34.275</vt:r8>
  </property>
  <property fmtid="{D5CDD505-2E9C-101B-9397-08002B2CF9AE}" pid="4" name="acid_yr" linkTarget="prop_acid_yr">
    <vt:r8>416.784</vt:r8>
  </property>
  <property fmtid="{D5CDD505-2E9C-101B-9397-08002B2CF9AE}" pid="5" name="deterg_per_cycle" linkTarget="prop_deterg_per_cycle">
    <vt:r8>34.275</vt:r8>
  </property>
  <property fmtid="{D5CDD505-2E9C-101B-9397-08002B2CF9AE}" pid="6" name="deterg_store_gal" linkTarget="prop_deterg_store_gal">
    <vt:r8>34.275</vt:r8>
  </property>
  <property fmtid="{D5CDD505-2E9C-101B-9397-08002B2CF9AE}" pid="7" name="deterg_yr" linkTarget="prop_deterg_yr">
    <vt:r8>416.784</vt:r8>
  </property>
  <property fmtid="{D5CDD505-2E9C-101B-9397-08002B2CF9AE}" pid="8" name="fm_eq_clean" linkTarget="prop_fm_eq_clean">
    <vt:r8>3600.376351111</vt:r8>
  </property>
  <property fmtid="{D5CDD505-2E9C-101B-9397-08002B2CF9AE}" pid="9" name="fm_eq_conc" linkTarget="prop_fm_eq_conc">
    <vt:r8>4478.564046121</vt:r8>
  </property>
  <property fmtid="{D5CDD505-2E9C-101B-9397-08002B2CF9AE}" pid="10" name="fm_eq_feed" linkTarget="prop_fm_eq_feed">
    <vt:r8>4478.564046121</vt:r8>
  </property>
  <property fmtid="{D5CDD505-2E9C-101B-9397-08002B2CF9AE}" pid="11" name="fm_eq_in" linkTarget="prop_fm_eq_in">
    <vt:r8>6008.286119701</vt:r8>
  </property>
  <property fmtid="{D5CDD505-2E9C-101B-9397-08002B2CF9AE}" pid="12" name="fm_eq_perm" linkTarget="prop_fm_eq_perm">
    <vt:r8>4478.564046121</vt:r8>
  </property>
  <property fmtid="{D5CDD505-2E9C-101B-9397-08002B2CF9AE}" pid="13" name="fm_eq_res" linkTarget="prop_fm_eq_res">
    <vt:r8>4478.564046121</vt:r8>
  </property>
  <property fmtid="{D5CDD505-2E9C-101B-9397-08002B2CF9AE}" pid="14" name="acid_purchase" linkTarget="prop_acid_purchase">
    <vt:lpwstr/>
  </property>
  <property fmtid="{D5CDD505-2E9C-101B-9397-08002B2CF9AE}" pid="15" name="deterg_purchase" linkTarget="prop_deterg_purchase">
    <vt:lpwstr/>
  </property>
  <property fmtid="{D5CDD505-2E9C-101B-9397-08002B2CF9AE}" pid="16" name="anti_per_cycle" linkTarget="prop_anti_per_cycle">
    <vt:r8>0</vt:r8>
  </property>
  <property fmtid="{D5CDD505-2E9C-101B-9397-08002B2CF9AE}" pid="17" name="anti_purchase" linkTarget="prop_anti_purchase">
    <vt:r8>0</vt:r8>
  </property>
  <property fmtid="{D5CDD505-2E9C-101B-9397-08002B2CF9AE}" pid="18" name="anti_store_gal" linkTarget="prop_anti_store_gal">
    <vt:r8>0</vt:r8>
  </property>
  <property fmtid="{D5CDD505-2E9C-101B-9397-08002B2CF9AE}" pid="19" name="anti_yr" linkTarget="prop_anti_yr">
    <vt:r8>0</vt:r8>
  </property>
  <property fmtid="{D5CDD505-2E9C-101B-9397-08002B2CF9AE}" pid="20" name="fm_cost_cl" linkTarget="prop_fm_cost_cl">
    <vt:r8>0</vt:r8>
  </property>
</Properties>
</file>