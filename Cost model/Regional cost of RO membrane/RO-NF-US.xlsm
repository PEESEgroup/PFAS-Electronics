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41" documentId="14_{65CC20C7-9164-45A9-8867-BB5972DE0FDE}" xr6:coauthVersionLast="47" xr6:coauthVersionMax="47" xr10:uidLastSave="{11D21C14-09ED-0048-A616-9E9BCB005432}"/>
  <bookViews>
    <workbookView xWindow="0" yWindow="760" windowWidth="3024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E162" i="62583"/>
  <c r="D96" i="62583" s="1"/>
  <c r="E160" i="62583"/>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D93" i="62583" s="1"/>
  <c r="E196" i="62583"/>
  <c r="E195" i="62583"/>
  <c r="E193" i="62583"/>
  <c r="E191" i="62583"/>
  <c r="E192" i="62583" s="1"/>
  <c r="E190" i="62583"/>
  <c r="E189" i="62583"/>
  <c r="E188" i="62583"/>
  <c r="E187" i="62583"/>
  <c r="E186" i="62583"/>
  <c r="E185" i="62583"/>
  <c r="E179" i="62583"/>
  <c r="E178" i="62583"/>
  <c r="E177" i="62583"/>
  <c r="E180" i="62583" s="1"/>
  <c r="E176" i="62583"/>
  <c r="E157" i="62583" l="1"/>
  <c r="S203" i="62583"/>
  <c r="D89" i="62583"/>
  <c r="D91" i="62583" s="1"/>
  <c r="D92" i="62583" s="1"/>
  <c r="R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D94" i="62583" l="1"/>
  <c r="D97" i="62583" s="1"/>
  <c r="O182" i="62583"/>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53" i="152"/>
  <c r="C28"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47" i="62592"/>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C189" i="4"/>
  <c r="K189" i="4" s="1"/>
  <c r="C190" i="4"/>
  <c r="K190" i="4" s="1"/>
  <c r="C158" i="4"/>
  <c r="C159" i="4"/>
  <c r="E233" i="4"/>
  <c r="F233" i="4"/>
  <c r="H233" i="4"/>
  <c r="C265" i="4" l="1"/>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C157" i="62590"/>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8" i="62590" l="1"/>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105" i="62594"/>
  <c r="C275" i="62582"/>
  <c r="C255" i="62582"/>
  <c r="C231" i="62588"/>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27" i="62588"/>
  <c r="C258" i="62582"/>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X289"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X44" i="4"/>
  <c r="X362" i="4" s="1"/>
  <c r="W362" i="4"/>
  <c r="F347" i="4"/>
  <c r="X346" i="4"/>
  <c r="H347" i="4"/>
  <c r="E347" i="4"/>
  <c r="F333" i="4"/>
  <c r="E333" i="4"/>
  <c r="D333" i="4"/>
  <c r="X223" i="4"/>
  <c r="G143" i="62601"/>
  <c r="K143" i="62601" s="1"/>
  <c r="G148" i="62601"/>
  <c r="K148" i="62601" s="1"/>
  <c r="E257" i="101"/>
  <c r="E270" i="101"/>
  <c r="E283" i="101"/>
  <c r="H412" i="4" l="1"/>
  <c r="P283" i="10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E447" i="4" l="1"/>
  <c r="G451" i="4"/>
  <c r="X328" i="4"/>
  <c r="C84" i="62575"/>
  <c r="C32" i="62575"/>
  <c r="X342" i="4"/>
  <c r="C86" i="62575"/>
  <c r="C85" i="62575"/>
  <c r="W360" i="4"/>
  <c r="C362" i="4"/>
  <c r="C87" i="62575"/>
  <c r="G452" i="4" l="1"/>
  <c r="C464" i="4" s="1"/>
  <c r="X360" i="4"/>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<sst xmlns="http://schemas.openxmlformats.org/spreadsheetml/2006/main" count="13372" uniqueCount="6518">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</sst>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7">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0" fillId="16" borderId="0" xfId="0" applyFill="1" applyAlignment="1">
      <alignment vertical="center"/>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0" xfId="0" applyFont="1" applyBorder="1" applyAlignment="1">
      <alignment horizontal="center"/>
    </xf>
    <xf numFmtId="0" fontId="4" fillId="0" borderId="85" xfId="0" applyFont="1" applyFill="1" applyBorder="1" applyAlignment="1">
      <alignment horizontal="center"/>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0"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18" sqref="A18"/>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5" t="str">
        <f>IF(water_index&gt;7,"Note: There is no standard design for this water.","")</f>
        <v/>
      </c>
      <c r="I3" s="1235" t="s">
        <v>3653</v>
      </c>
    </row>
    <row r="4" spans="1:9">
      <c r="A4" s="152"/>
      <c r="B4" s="152"/>
      <c r="C4" s="152"/>
      <c r="D4" s="152"/>
      <c r="E4" s="155" t="s">
        <v>3652</v>
      </c>
      <c r="G4" s="156"/>
      <c r="H4" s="1236"/>
      <c r="I4" s="1236"/>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40"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1"/>
      <c r="I28" s="1237"/>
    </row>
    <row r="29" spans="1:9" ht="12.75" customHeight="1">
      <c r="A29" s="152"/>
      <c r="B29" s="152"/>
      <c r="C29" s="152"/>
      <c r="D29" s="152"/>
      <c r="E29" s="162" t="s">
        <v>2636</v>
      </c>
      <c r="G29" s="1242"/>
      <c r="H29" s="1243"/>
      <c r="I29" s="1238"/>
    </row>
    <row r="30" spans="1:9" ht="12.75" customHeight="1">
      <c r="A30" s="152"/>
      <c r="B30" s="152"/>
      <c r="C30" s="152"/>
      <c r="D30" s="152"/>
      <c r="E30" s="160"/>
      <c r="G30" s="1244"/>
      <c r="H30" s="1245"/>
      <c r="I30" s="1239"/>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$2,071,697</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$3,464,983</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$293,417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$1,356,062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$1,649,479 per year (18% capital, 82% O&amp;M)</v>
      </c>
    </row>
    <row r="38" spans="1:10" ht="12.75" customHeight="1">
      <c r="A38" s="152"/>
      <c r="B38" s="152"/>
      <c r="C38" s="152"/>
      <c r="D38" s="152"/>
      <c r="E38" s="163"/>
      <c r="I38" s="1229"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8" t="str">
        <f ca="1">IF(inputs_ok,IF(inputs_are_current,calc_result,"Inputs have changed. Please rerun the system design."),"Inputs are incomplete. Please check for error messages below.")</f>
        <v>Calculation completed OK.</v>
      </c>
      <c r="H39" s="1249"/>
      <c r="I39" s="1230"/>
    </row>
    <row r="40" spans="1:10" ht="12.75" customHeight="1">
      <c r="A40" s="152"/>
      <c r="B40" s="152"/>
      <c r="C40" s="152"/>
      <c r="D40" s="152"/>
      <c r="E40" s="176"/>
      <c r="F40" s="83"/>
      <c r="G40" s="1250"/>
      <c r="H40" s="1251"/>
      <c r="I40" s="1230"/>
    </row>
    <row r="41" spans="1:10" ht="12.75" customHeight="1">
      <c r="A41" s="152"/>
      <c r="B41" s="152"/>
      <c r="C41" s="152" t="b">
        <f ca="1">AND(inputs_ok,OR(comp_in_prog,calc_result="Calculation completed OK."))</f>
        <v>1</v>
      </c>
      <c r="D41" s="152"/>
      <c r="E41" s="176"/>
      <c r="F41" s="83"/>
      <c r="G41" s="1250"/>
      <c r="H41" s="1251"/>
      <c r="I41" s="1230"/>
    </row>
    <row r="42" spans="1:10" ht="12.75" customHeight="1">
      <c r="A42" s="152"/>
      <c r="B42" s="152"/>
      <c r="C42" s="152"/>
      <c r="D42" s="152"/>
      <c r="E42" s="176"/>
      <c r="F42" s="83"/>
      <c r="G42" s="1250"/>
      <c r="H42" s="1251"/>
      <c r="I42" s="1230"/>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2" t="s">
        <v>1090</v>
      </c>
    </row>
    <row r="46" spans="1:10" ht="12.75" customHeight="1">
      <c r="A46" s="152"/>
      <c r="B46" s="152"/>
      <c r="C46" s="152"/>
      <c r="D46" s="152"/>
      <c r="E46" s="204" t="s">
        <v>267</v>
      </c>
      <c r="F46" s="83"/>
      <c r="G46" s="206">
        <f ca="1">perm_gas_concs</f>
        <v>37.821998251146603</v>
      </c>
      <c r="H46" s="207" t="s">
        <v>2263</v>
      </c>
      <c r="I46" s="1253"/>
    </row>
    <row r="47" spans="1:10" ht="12.75" customHeight="1">
      <c r="A47" s="152"/>
      <c r="B47" s="152"/>
      <c r="C47" s="152"/>
      <c r="D47" s="152"/>
      <c r="E47" s="204" t="s">
        <v>2482</v>
      </c>
      <c r="F47" s="83"/>
      <c r="G47" s="203">
        <f>salt_rej_sys</f>
        <v>0.99014403580115973</v>
      </c>
      <c r="H47" s="182"/>
      <c r="I47" s="1253"/>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6" t="str">
        <f ca="1">IF(C64,"Scaling OK.",D64)</f>
        <v>Saturation too high; use premium antiscalant.</v>
      </c>
      <c r="H64" s="1247"/>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1" t="str">
        <f ca="1">IF(C76,"System size inputs OK",D76)</f>
        <v>System size inputs OK</v>
      </c>
      <c r="H76" s="1232"/>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3" t="str">
        <f ca="1">IF(AND(pretreat_acid&gt;0,C89,C90),"pH adjustment requires " &amp; TEXT(acid_dose,"0") &amp; " mg/L " &amp; pretreat_acid_I &amp; ", at " &amp; TEXT(CHOOSE(pretreat_acid,acid_strength_HCl,acid_strength_H2SO4),"0%") &amp; " strength.","")</f>
        <v>pH adjustment requires 55 mg/L H2SO4, at 78% strength.</v>
      </c>
      <c r="H92" s="1234"/>
    </row>
    <row r="93" spans="2:9">
      <c r="C93" s="172" t="b">
        <f ca="1">AND(C89,C90,C91)</f>
        <v>1</v>
      </c>
      <c r="D93" s="172" t="str">
        <f ca="1">IF(NOT(C89),D89,IF(NOT(C90),D90,IF(NOT(C91),D91,"OK")))</f>
        <v>OK</v>
      </c>
      <c r="E93" s="858"/>
      <c r="F93" s="859"/>
      <c r="G93" s="1231" t="str">
        <f ca="1">IF(C93,"Pretreatment inputs OK",D93)</f>
        <v>Pretreatment inputs OK</v>
      </c>
      <c r="H93" s="1232"/>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3" t="str">
        <f ca="1">IF(ISERROR(water_index),"","Default cleaning interval is " &amp; default_cleaning_interval &amp; " months, based on feed SDI.")</f>
        <v>Default cleaning interval is 3 months, based on feed SDI.</v>
      </c>
      <c r="H96" s="1234"/>
      <c r="I96" s="175"/>
    </row>
    <row r="97" spans="2:9">
      <c r="C97" s="172" t="b">
        <f>C95</f>
        <v>1</v>
      </c>
      <c r="D97" s="172" t="str">
        <f>IF(C97,"OK",D95)</f>
        <v>OK</v>
      </c>
      <c r="E97" s="869"/>
      <c r="F97" s="859"/>
      <c r="G97" s="1231" t="str">
        <f>IF(C97,"Cleaning input OK",D97)</f>
        <v>Cleaning input OK</v>
      </c>
      <c r="H97" s="1232"/>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1" t="str">
        <f>IF(C102,"Residuals inputs OK" &amp; IF(res_s2_opt=5," (see note about recycling)",""),D102)</f>
        <v>Residuals inputs OK</v>
      </c>
      <c r="H102" s="1232"/>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1" t="str">
        <f>IF(C111,"Automation and component level inputs OK",D111)</f>
        <v>Automation and component level inputs OK</v>
      </c>
      <c r="H111" s="1232"/>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election activeCell="H21" sqref="H21"/>
    </sheetView>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2071696.5426575129</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1324730.1109073448</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3464983.0292892484</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293416.88141521625</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1356062.4323487803</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18% capital, 82% O&amp;M)</v>
      </c>
      <c r="C25" s="312">
        <f ca="1">IF(input_status&lt;&gt;"input complete -- results ready","Action required",IF(missing_cost,"Missing cost!",IF(cost_buildup_error,"Error in buildup!",Annualized_Cost)))</f>
        <v>1649479.3137639966</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2.0999634793552944</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290.27183569953917</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65" t="s">
        <v>2350</v>
      </c>
      <c r="B31" s="1268" t="s">
        <v>2351</v>
      </c>
      <c r="C31" s="1268" t="s">
        <v>5282</v>
      </c>
      <c r="D31" s="1268"/>
      <c r="E31" s="1268" t="s">
        <v>5283</v>
      </c>
      <c r="F31" s="1268"/>
      <c r="G31" s="1255" t="s">
        <v>2354</v>
      </c>
      <c r="H31" s="1255"/>
      <c r="I31" s="1268" t="s">
        <v>2355</v>
      </c>
      <c r="J31" s="1268" t="s">
        <v>3739</v>
      </c>
      <c r="K31" s="1268" t="s">
        <v>3740</v>
      </c>
      <c r="L31" s="1262" t="s">
        <v>301</v>
      </c>
      <c r="M31" s="1260" t="s">
        <v>5281</v>
      </c>
      <c r="N31" s="1259" t="s">
        <v>5284</v>
      </c>
      <c r="O31" s="1259"/>
      <c r="P31" s="1259"/>
      <c r="Q31" s="1259"/>
      <c r="R31" s="1259"/>
      <c r="S31" s="1259"/>
      <c r="T31" s="1259"/>
      <c r="U31" s="1259"/>
      <c r="V31" s="1259"/>
      <c r="W31" s="1259" t="s">
        <v>3740</v>
      </c>
      <c r="X31" s="1259"/>
      <c r="Y31" s="1259"/>
    </row>
    <row r="32" spans="1:27" ht="12.75" customHeight="1">
      <c r="A32" s="1266"/>
      <c r="B32" s="1269"/>
      <c r="C32" s="1269"/>
      <c r="D32" s="1269"/>
      <c r="E32" s="1269"/>
      <c r="F32" s="1269"/>
      <c r="G32" s="1256"/>
      <c r="H32" s="1256"/>
      <c r="I32" s="1269"/>
      <c r="J32" s="1269"/>
      <c r="K32" s="1269"/>
      <c r="L32" s="1263"/>
      <c r="M32" s="1261"/>
      <c r="N32" s="1258" t="s">
        <v>4315</v>
      </c>
      <c r="O32" s="1258"/>
      <c r="P32" s="1258"/>
      <c r="Q32" s="899" t="s">
        <v>4316</v>
      </c>
      <c r="R32" s="899"/>
      <c r="S32" s="899"/>
      <c r="T32" s="1258" t="s">
        <v>4317</v>
      </c>
      <c r="U32" s="1258"/>
      <c r="V32" s="1258"/>
      <c r="W32" s="1271"/>
      <c r="X32" s="1271"/>
      <c r="Y32" s="1271"/>
    </row>
    <row r="33" spans="1:25">
      <c r="A33" s="1267"/>
      <c r="B33" s="1270"/>
      <c r="C33" s="1270"/>
      <c r="D33" s="1270"/>
      <c r="E33" s="1270"/>
      <c r="F33" s="1270"/>
      <c r="G33" s="1257"/>
      <c r="H33" s="1257"/>
      <c r="I33" s="1270"/>
      <c r="J33" s="1270"/>
      <c r="K33" s="1270"/>
      <c r="L33" s="1264"/>
      <c r="M33" s="1261"/>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777.2</v>
      </c>
      <c r="J35" s="479">
        <f ca="1">IF(I35="contact vendor","contact vendor",C35*I35)</f>
        <v>354403.2</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1937668.5426575129</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2071696.5426575129</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109842.16267905552</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193766.85426575132</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248603.58511890154</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207169.65426575131</v>
      </c>
      <c r="D385" s="797">
        <f>misc_pct</f>
        <v>0.1</v>
      </c>
      <c r="E385" s="621"/>
      <c r="F385" s="309"/>
      <c r="G385" s="309"/>
      <c r="H385" s="309"/>
      <c r="I385" s="309"/>
      <c r="J385" s="309"/>
      <c r="K385" s="308"/>
      <c r="L385" s="257"/>
      <c r="N385" s="1089"/>
    </row>
    <row r="386" spans="1:26">
      <c r="A386" s="347"/>
      <c r="B386" s="360" t="s">
        <v>3236</v>
      </c>
      <c r="C386" s="384">
        <f t="shared" ca="1" si="79"/>
        <v>41433.930853150261</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103584.82713287565</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134845.56080448633</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1324730.1109073448</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2071696.5426575129</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1324730.1109073448</v>
      </c>
      <c r="D399" s="306"/>
      <c r="E399" s="309"/>
      <c r="F399" s="309"/>
      <c r="G399" s="309"/>
      <c r="H399" s="309"/>
      <c r="I399" s="309"/>
      <c r="J399" s="309"/>
      <c r="K399" s="309"/>
      <c r="L399" s="308"/>
    </row>
    <row r="400" spans="1:26" ht="17" thickTop="1">
      <c r="A400" s="1023"/>
      <c r="B400" s="1024" t="s">
        <v>5292</v>
      </c>
      <c r="C400" s="381">
        <f ca="1">(direct_cost+addon_cost+indirect_cost)*city_index</f>
        <v>3464983.0292892484</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54" t="s">
        <v>2352</v>
      </c>
      <c r="D406" s="1254"/>
      <c r="E406" s="1254" t="s">
        <v>2355</v>
      </c>
      <c r="F406" s="1254"/>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57.930721925133689</v>
      </c>
      <c r="F408" s="608" t="s">
        <v>3053</v>
      </c>
      <c r="G408" s="609">
        <f ca="1">C408*E408</f>
        <v>22155.228050574868</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32.90061497326203</v>
      </c>
      <c r="F409" s="608" t="s">
        <v>3053</v>
      </c>
      <c r="G409" s="609">
        <f ca="1">C409*E409</f>
        <v>12582.626342526739</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36.431310160427806</v>
      </c>
      <c r="F410" s="608" t="s">
        <v>3053</v>
      </c>
      <c r="G410" s="609">
        <f ca="1">C410*E410</f>
        <v>139329.17767339572</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3544.0320000000002</v>
      </c>
      <c r="H414" s="610">
        <f t="shared" ca="1" si="80"/>
        <v>1</v>
      </c>
      <c r="I414" s="261"/>
      <c r="J414" s="261"/>
      <c r="K414" s="261"/>
      <c r="L414" s="259"/>
      <c r="M414" s="1108"/>
    </row>
    <row r="415" spans="1:26">
      <c r="A415" s="343"/>
      <c r="B415" s="514" t="s">
        <v>3071</v>
      </c>
      <c r="C415" s="588">
        <f ca="1">element_replace</f>
        <v>228</v>
      </c>
      <c r="D415" s="582" t="s">
        <v>1584</v>
      </c>
      <c r="E415" s="1210">
        <f ca="1">element_replace_cost</f>
        <v>699.48</v>
      </c>
      <c r="F415" s="1211" t="s">
        <v>2497</v>
      </c>
      <c r="G415" s="609">
        <f ca="1">IF(E415="contact vendor", "--",E415*C415)</f>
        <v>159481.44</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0.152</v>
      </c>
      <c r="F431" s="608" t="s">
        <v>3062</v>
      </c>
      <c r="G431" s="609">
        <f ca="1">E431*C431*1000</f>
        <v>221285.41915628227</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0.152</v>
      </c>
      <c r="F433" s="608" t="str">
        <f ca="1">IF(C433=0,"","/kwh")</f>
        <v>/kwh</v>
      </c>
      <c r="G433" s="609">
        <f ca="1">IF(C433=0,"--",E433*C433*1000)</f>
        <v>9389.0557657173595</v>
      </c>
      <c r="H433" s="610">
        <f ca="1">IF(C433=0,0,1)</f>
        <v>1</v>
      </c>
      <c r="I433" s="261"/>
      <c r="J433" s="261"/>
      <c r="K433" s="261"/>
      <c r="L433" s="259"/>
      <c r="M433" s="1108"/>
    </row>
    <row r="434" spans="1:13">
      <c r="A434" s="343"/>
      <c r="B434" s="514" t="s">
        <v>2230</v>
      </c>
      <c r="C434" s="588">
        <f>lighting</f>
        <v>0</v>
      </c>
      <c r="D434" s="582" t="s">
        <v>3061</v>
      </c>
      <c r="E434" s="478">
        <f>energy_cost_cl</f>
        <v>0.152</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0.152</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0.152</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0.152</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0.152</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0.152</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1.0844</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1.0844</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223">
        <v>437901.48342454131</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123278.4029407982</v>
      </c>
      <c r="H451" s="610">
        <v>1</v>
      </c>
      <c r="I451" s="261"/>
      <c r="J451" s="261"/>
      <c r="K451" s="261"/>
      <c r="L451" s="259"/>
      <c r="M451" s="1108"/>
    </row>
    <row r="452" spans="1:13" ht="16">
      <c r="A452" s="349"/>
      <c r="B452" s="1085" t="s">
        <v>5554</v>
      </c>
      <c r="C452" s="1050"/>
      <c r="D452" s="1051"/>
      <c r="E452" s="1050"/>
      <c r="F452" s="1052"/>
      <c r="G452" s="1053">
        <f ca="1">SUMPRODUCT(G408:G451,H408:H451)*OM_City_Index</f>
        <v>1356062.4323487803</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293416.88141521625</v>
      </c>
      <c r="D463" s="1059" t="s">
        <v>732</v>
      </c>
      <c r="E463" s="622"/>
      <c r="F463" s="622"/>
      <c r="G463" s="622"/>
      <c r="H463" s="622"/>
      <c r="I463" s="622"/>
      <c r="J463" s="622"/>
      <c r="K463" s="622"/>
      <c r="L463" s="623"/>
    </row>
    <row r="464" spans="1:13">
      <c r="A464" s="620"/>
      <c r="B464" s="915" t="s">
        <v>997</v>
      </c>
      <c r="C464" s="955">
        <f ca="1">OM_cost</f>
        <v>1356062.4323487803</v>
      </c>
      <c r="D464" s="1059" t="s">
        <v>732</v>
      </c>
      <c r="E464" s="622"/>
      <c r="F464" s="622"/>
      <c r="G464" s="622"/>
      <c r="H464" s="622"/>
      <c r="I464" s="622"/>
      <c r="J464" s="622"/>
      <c r="K464" s="622"/>
      <c r="L464" s="623"/>
    </row>
    <row r="465" spans="1:12" ht="16">
      <c r="A465" s="347"/>
      <c r="B465" s="628" t="s">
        <v>731</v>
      </c>
      <c r="C465" s="953">
        <f ca="1">Annualized_Capital_Cost+OM_cost</f>
        <v>1649479.3137639966</v>
      </c>
      <c r="D465" s="1059" t="s">
        <v>732</v>
      </c>
      <c r="E465" s="1087" t="str">
        <f ca="1">IF(ISERROR(OR(TAC_pct_cap,TAC_pct_OM)),"",TEXT(TAC_pct_cap,"0%")&amp;" annualized capital, "&amp;TEXT(TAC_pct_OM,"0%")&amp;" annual O&amp;M")</f>
        <v>18% annualized capital, 82% annual O&amp;M</v>
      </c>
      <c r="F465" s="309"/>
      <c r="G465" s="309"/>
      <c r="H465" s="309"/>
      <c r="I465" s="309"/>
      <c r="J465" s="309"/>
      <c r="K465" s="309"/>
      <c r="L465" s="308"/>
    </row>
    <row r="466" spans="1:12">
      <c r="A466" s="347"/>
      <c r="B466" s="629" t="s">
        <v>733</v>
      </c>
      <c r="C466" s="630">
        <f ca="1">Annualized_Cost/(average_flow*365*1000)</f>
        <v>2.0999634793552944</v>
      </c>
      <c r="D466" s="1059" t="s">
        <v>734</v>
      </c>
      <c r="E466" s="309"/>
      <c r="F466" s="309"/>
      <c r="G466" s="309"/>
      <c r="H466" s="309"/>
      <c r="I466" s="309"/>
      <c r="J466" s="309"/>
      <c r="K466" s="309"/>
      <c r="L466" s="308"/>
    </row>
    <row r="467" spans="1:12">
      <c r="A467" s="349"/>
      <c r="B467" s="631" t="s">
        <v>735</v>
      </c>
      <c r="C467" s="632">
        <f ca="1">Annualized_Cost/households</f>
        <v>290.27183569953917</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109842.16267905552</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193766.85426575132</v>
      </c>
    </row>
    <row r="479" spans="1:12">
      <c r="A479" s="137"/>
      <c r="B479" s="251" t="s">
        <v>3231</v>
      </c>
      <c r="C479" s="368">
        <f>D382</f>
        <v>0</v>
      </c>
    </row>
    <row r="480" spans="1:12">
      <c r="A480" s="137"/>
      <c r="B480" s="251" t="s">
        <v>3234</v>
      </c>
      <c r="C480" s="369">
        <f ca="1">C383</f>
        <v>0</v>
      </c>
    </row>
    <row r="481" spans="1:3">
      <c r="A481" s="137"/>
      <c r="B481" s="251" t="s">
        <v>3235</v>
      </c>
      <c r="C481" s="369">
        <f ca="1">C384</f>
        <v>248603.58511890154</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134845.56080448633</v>
      </c>
    </row>
    <row r="487" spans="1:3">
      <c r="A487" s="137"/>
      <c r="B487" s="238" t="s">
        <v>1312</v>
      </c>
      <c r="C487" s="370">
        <f>SUM(cul_indir_mult_table)</f>
        <v>0.17</v>
      </c>
    </row>
    <row r="488" spans="1:3">
      <c r="A488" s="137"/>
      <c r="B488" s="238" t="s">
        <v>1313</v>
      </c>
      <c r="C488" s="371">
        <f ca="1">SUM(cul_indir_add_table)-addon_cost</f>
        <v>972541.6986555676</v>
      </c>
    </row>
    <row r="489" spans="1:3">
      <c r="A489" s="137"/>
      <c r="B489" s="20" t="s">
        <v>1314</v>
      </c>
      <c r="C489" s="372">
        <f ca="1">C390+addon_cost</f>
        <v>1393286.4866317352</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A31:A33"/>
    <mergeCell ref="B31:B33"/>
    <mergeCell ref="C31:D33"/>
    <mergeCell ref="E31:F33"/>
    <mergeCell ref="W31:Y32"/>
    <mergeCell ref="K31:K33"/>
    <mergeCell ref="J31:J33"/>
    <mergeCell ref="I31:I33"/>
    <mergeCell ref="N32:P32"/>
    <mergeCell ref="C406:D406"/>
    <mergeCell ref="G31:H33"/>
    <mergeCell ref="E406:F406"/>
    <mergeCell ref="T32:V32"/>
    <mergeCell ref="N31:V31"/>
    <mergeCell ref="M31:M33"/>
    <mergeCell ref="L31:L33"/>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592" activePane="bottomLeft" state="frozen"/>
      <selection pane="bottomLeft" activeCell="G616" sqref="G616"/>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1.9430000000000001</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4" t="s">
        <v>6047</v>
      </c>
      <c r="D1553" s="1225">
        <v>0.152</v>
      </c>
      <c r="E1553" s="1226" t="s">
        <v>3062</v>
      </c>
    </row>
    <row r="1554" spans="1:5">
      <c r="B1554" s="1215"/>
      <c r="C1554" s="1215"/>
      <c r="D1554" s="1215"/>
      <c r="E1554" s="1215"/>
    </row>
    <row r="1555" spans="1:5">
      <c r="B1555" s="1215"/>
      <c r="C1555" s="1215"/>
      <c r="D1555" s="1215"/>
      <c r="E1555" s="1215"/>
    </row>
    <row r="1556" spans="1:5">
      <c r="A1556" s="723"/>
      <c r="B1556" s="1218" t="s">
        <v>6048</v>
      </c>
      <c r="C1556" s="1224" t="s">
        <v>6049</v>
      </c>
      <c r="D1556" s="1225">
        <v>1.0844</v>
      </c>
      <c r="E1556" s="1227"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8">
        <v>34.161577540106947</v>
      </c>
      <c r="F1589" s="1228">
        <v>50.648663101604278</v>
      </c>
      <c r="G1589" s="1228">
        <v>32.90061497326203</v>
      </c>
    </row>
    <row r="1590" spans="1:7">
      <c r="A1590" s="723"/>
      <c r="B1590" s="689">
        <v>3.1E-2</v>
      </c>
      <c r="C1590" s="689">
        <v>0.124</v>
      </c>
      <c r="D1590" s="689">
        <v>1</v>
      </c>
      <c r="E1590" s="1228">
        <v>34.161577540106947</v>
      </c>
      <c r="F1590" s="1228">
        <v>50.648663101604278</v>
      </c>
      <c r="G1590" s="1228">
        <v>32.90061497326203</v>
      </c>
    </row>
    <row r="1591" spans="1:7">
      <c r="A1591" s="723"/>
      <c r="B1591" s="689">
        <v>0.1241</v>
      </c>
      <c r="C1591" s="689">
        <v>0.30499999999999999</v>
      </c>
      <c r="D1591" s="689">
        <v>1.2</v>
      </c>
      <c r="E1591" s="1228">
        <v>34.161577540106947</v>
      </c>
      <c r="F1591" s="1228">
        <v>50.648663101604278</v>
      </c>
      <c r="G1591" s="1228">
        <v>32.90061497326203</v>
      </c>
    </row>
    <row r="1592" spans="1:7">
      <c r="A1592" s="723"/>
      <c r="B1592" s="689">
        <v>0.30509999999999998</v>
      </c>
      <c r="C1592" s="689">
        <v>0.74</v>
      </c>
      <c r="D1592" s="689">
        <v>1.2</v>
      </c>
      <c r="E1592" s="1228">
        <v>34.161577540106947</v>
      </c>
      <c r="F1592" s="1228">
        <v>50.648663101604278</v>
      </c>
      <c r="G1592" s="1228">
        <v>32.90061497326203</v>
      </c>
    </row>
    <row r="1593" spans="1:7">
      <c r="A1593" s="723"/>
      <c r="B1593" s="689">
        <v>0.74099999999999999</v>
      </c>
      <c r="C1593" s="689">
        <v>2.1520000000000001</v>
      </c>
      <c r="D1593" s="689">
        <v>1.6</v>
      </c>
      <c r="E1593" s="1228">
        <v>36.431310160427806</v>
      </c>
      <c r="F1593" s="1228">
        <v>57.930721925133689</v>
      </c>
      <c r="G1593" s="1228">
        <v>32.90061497326203</v>
      </c>
    </row>
    <row r="1594" spans="1:7">
      <c r="A1594" s="723"/>
      <c r="B1594" s="689">
        <v>2.1520999999999999</v>
      </c>
      <c r="C1594" s="689">
        <v>7.3650000000000002</v>
      </c>
      <c r="D1594" s="689">
        <v>2.8</v>
      </c>
      <c r="E1594" s="1228">
        <v>38.459358288770055</v>
      </c>
      <c r="F1594" s="1228">
        <v>64.529759358288771</v>
      </c>
      <c r="G1594" s="1228">
        <v>42.483930481283423</v>
      </c>
    </row>
    <row r="1595" spans="1:7">
      <c r="A1595" s="723"/>
      <c r="B1595" s="689">
        <v>7.3651</v>
      </c>
      <c r="C1595" s="689">
        <v>22.614000000000001</v>
      </c>
      <c r="D1595" s="689">
        <v>3.8</v>
      </c>
      <c r="E1595" s="1228">
        <v>40.151149732620318</v>
      </c>
      <c r="F1595" s="1228">
        <v>75.300481283422457</v>
      </c>
      <c r="G1595" s="1228">
        <v>42.483930481283423</v>
      </c>
    </row>
    <row r="1596" spans="1:7">
      <c r="A1596" s="723"/>
      <c r="B1596" s="689">
        <v>22.614100000000001</v>
      </c>
      <c r="C1596" s="689">
        <v>75.069999999999993</v>
      </c>
      <c r="D1596" s="689">
        <v>7.8</v>
      </c>
      <c r="E1596" s="1228">
        <v>46.928823529411758</v>
      </c>
      <c r="F1596" s="1228">
        <v>80.449411764705886</v>
      </c>
      <c r="G1596" s="1228">
        <v>42.483930481283423</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3544.0320000000002</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699.48</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2" t="s">
        <v>1809</v>
      </c>
      <c r="F173" s="1272"/>
      <c r="G173" s="1272"/>
      <c r="H173" s="1272"/>
      <c r="I173" s="1272"/>
      <c r="J173" s="1272"/>
      <c r="K173" s="1272"/>
      <c r="N173" s="1272" t="s">
        <v>1810</v>
      </c>
      <c r="O173" s="1272"/>
      <c r="P173" s="1272"/>
      <c r="Q173" s="1272"/>
      <c r="R173" s="1272"/>
      <c r="S173" s="1272"/>
      <c r="T173" s="1272"/>
      <c r="W173" s="1272" t="s">
        <v>1811</v>
      </c>
      <c r="X173" s="1272"/>
      <c r="Y173" s="1272"/>
      <c r="Z173" s="1272"/>
      <c r="AA173" s="1272"/>
      <c r="AB173" s="1272"/>
      <c r="AC173" s="1272"/>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3" t="s">
        <v>3597</v>
      </c>
      <c r="B106" s="1275" t="s">
        <v>1989</v>
      </c>
      <c r="C106" s="1277" t="s">
        <v>2428</v>
      </c>
      <c r="D106" s="1277"/>
      <c r="E106" s="1278"/>
      <c r="F106" s="14"/>
    </row>
    <row r="107" spans="1:6">
      <c r="A107" s="1274"/>
      <c r="B107" s="1276"/>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3" t="s">
        <v>3597</v>
      </c>
      <c r="B117" s="1275" t="s">
        <v>1989</v>
      </c>
      <c r="C117" s="1277" t="s">
        <v>2428</v>
      </c>
      <c r="D117" s="1277"/>
      <c r="E117" s="1278"/>
      <c r="F117" s="14"/>
    </row>
    <row r="118" spans="1:6">
      <c r="A118" s="1274"/>
      <c r="B118" s="1276"/>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9" t="s">
        <v>1245</v>
      </c>
      <c r="F104" s="1280"/>
      <c r="G104" s="1280"/>
      <c r="H104" s="22"/>
    </row>
    <row r="105" spans="1:8">
      <c r="A105" t="s">
        <v>1246</v>
      </c>
      <c r="B105" s="3" t="s">
        <v>1247</v>
      </c>
      <c r="C105" s="113">
        <f>P_net_feed_guess*P_net_feed_guess+B_over_A_guess*B_over_A_guess-2*B_over_A_guess*P_net_feed_guess+4*B_over_A_guess*P_avg_applied_guess</f>
        <v>42.43981624182311</v>
      </c>
      <c r="D105" t="s">
        <v>1248</v>
      </c>
      <c r="E105" s="1280"/>
      <c r="F105" s="1280"/>
      <c r="G105" s="1280"/>
      <c r="H105" s="22"/>
    </row>
    <row r="106" spans="1:8">
      <c r="A106" t="s">
        <v>1249</v>
      </c>
      <c r="B106" s="3" t="s">
        <v>1250</v>
      </c>
      <c r="C106" s="113">
        <f>P_net_feed_guess-B_over_A_guess</f>
        <v>6.2685827507759271</v>
      </c>
      <c r="D106" t="s">
        <v>834</v>
      </c>
      <c r="E106" s="1280"/>
      <c r="F106" s="1280"/>
      <c r="G106" s="1280"/>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777.2</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0.152</v>
      </c>
      <c r="J109" s="708" t="s">
        <v>3062</v>
      </c>
      <c r="K109" s="709">
        <f ca="1">I109*G109*1000</f>
        <v>23614.333207066506</v>
      </c>
      <c r="L109" s="710">
        <f t="shared" ref="L109:L114" ca="1" si="0">IF(OR(F109="n/a",K109="n/a"),"n/a",F109+K109)</f>
        <v>25884.751535532043</v>
      </c>
    </row>
    <row r="110" spans="1:12">
      <c r="A110" s="693" t="s">
        <v>3694</v>
      </c>
      <c r="B110" s="1281" t="s">
        <v>4800</v>
      </c>
      <c r="C110" s="1281"/>
      <c r="D110" s="1281"/>
      <c r="E110" s="1281"/>
      <c r="F110" s="695" t="s">
        <v>4801</v>
      </c>
      <c r="G110" s="706">
        <f ca="1">IF(hp_ok_1,build1_heat_loss_yr/3412000/COP,"n/a")</f>
        <v>46.136456425289424</v>
      </c>
      <c r="H110" s="693" t="s">
        <v>83</v>
      </c>
      <c r="I110" s="707">
        <f>energy_cost_cl</f>
        <v>0.152</v>
      </c>
      <c r="J110" s="708" t="s">
        <v>3062</v>
      </c>
      <c r="K110" s="709">
        <f ca="1">IF(G110="n/a","n/a",I110*G110*1000)</f>
        <v>7012.7413766439922</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1.0844</v>
      </c>
      <c r="J111" s="712" t="s">
        <v>3697</v>
      </c>
      <c r="K111" s="709">
        <f ca="1">I111*G111</f>
        <v>6627.3175499347662</v>
      </c>
      <c r="L111" s="710">
        <f t="shared" ca="1" si="0"/>
        <v>8253.353371077279</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1.0844</v>
      </c>
      <c r="J112" s="712" t="s">
        <v>3697</v>
      </c>
      <c r="K112" s="709">
        <f ca="1">I112*G112</f>
        <v>6259.1332416050564</v>
      </c>
      <c r="L112" s="710">
        <f t="shared" ca="1" si="0"/>
        <v>7885.16906274757</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0.152</v>
      </c>
      <c r="J118" s="708" t="s">
        <v>3062</v>
      </c>
      <c r="K118" s="709">
        <f ca="1">I118*G118*1000</f>
        <v>146434.73903500283</v>
      </c>
      <c r="L118" s="710">
        <f ca="1">IF(F118="n/a","n/a",F118+K118)</f>
        <v>155677.97889567711</v>
      </c>
    </row>
    <row r="119" spans="1:12">
      <c r="A119" s="693" t="s">
        <v>3694</v>
      </c>
      <c r="B119" s="1281" t="s">
        <v>4800</v>
      </c>
      <c r="C119" s="1281"/>
      <c r="D119" s="1281"/>
      <c r="E119" s="1281"/>
      <c r="F119" s="695" t="s">
        <v>4801</v>
      </c>
      <c r="G119" s="706" t="str">
        <f ca="1">IF(hp_ok_2,build2_heat_loss_yr/3412000/COP,"n/a")</f>
        <v>n/a</v>
      </c>
      <c r="H119" s="693" t="s">
        <v>83</v>
      </c>
      <c r="I119" s="707">
        <f>energy_cost_cl</f>
        <v>0.152</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1.0844</v>
      </c>
      <c r="J120" s="712" t="s">
        <v>3697</v>
      </c>
      <c r="K120" s="709">
        <f ca="1">I120*G120</f>
        <v>41096.630060101896</v>
      </c>
      <c r="L120" s="710">
        <f ca="1">IF(F120="n/a","n/a",F120+K120)</f>
        <v>47493.551498332446</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1.0844</v>
      </c>
      <c r="J121" s="712" t="s">
        <v>3697</v>
      </c>
      <c r="K121" s="709">
        <f ca="1">I121*G121</f>
        <v>38813.483945651788</v>
      </c>
      <c r="L121" s="710">
        <f ca="1">IF(F121="n/a","n/a",F121+K121)</f>
        <v>45210.405383882338</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0.152</v>
      </c>
      <c r="J127" s="708" t="s">
        <v>3062</v>
      </c>
      <c r="K127" s="709">
        <f ca="1">I127*G127*1000</f>
        <v>0</v>
      </c>
      <c r="L127" s="710" t="e">
        <f ca="1">IF(F127="n/a","n/a",F127+K127)</f>
        <v>#DIV/0!</v>
      </c>
    </row>
    <row r="128" spans="1:12">
      <c r="A128" s="693" t="s">
        <v>3694</v>
      </c>
      <c r="B128" s="1281" t="s">
        <v>4800</v>
      </c>
      <c r="C128" s="1281"/>
      <c r="D128" s="1281"/>
      <c r="E128" s="1281"/>
      <c r="F128" s="695" t="s">
        <v>4801</v>
      </c>
      <c r="G128" s="706" t="str">
        <f ca="1">IF(hp_ok_2,build3_heat_loss_yr/3412000/COP,"n/a")</f>
        <v>n/a</v>
      </c>
      <c r="H128" s="693" t="s">
        <v>83</v>
      </c>
      <c r="I128" s="707">
        <f>energy_cost_cl</f>
        <v>0.152</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1.0844</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1.0844</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0.152</v>
      </c>
      <c r="J137" s="708" t="s">
        <v>3062</v>
      </c>
      <c r="K137" s="709">
        <f ca="1">I137*G137*1000</f>
        <v>18079.351254935194</v>
      </c>
      <c r="L137" s="710">
        <f ca="1">IF(F137="n/a","n/a",F137+K137)</f>
        <v>21948.822633427801</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0.152</v>
      </c>
      <c r="J138" s="708" t="s">
        <v>3062</v>
      </c>
      <c r="K138" s="709">
        <f ca="1">IF(C138="n/a","n/a",I138*G138*1000)</f>
        <v>18079.351254935194</v>
      </c>
      <c r="L138" s="710">
        <f ca="1">IF(F138="n/a","n/a",F138+K138)</f>
        <v>19774.191414083463</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0.152</v>
      </c>
      <c r="J142" s="708" t="s">
        <v>3062</v>
      </c>
      <c r="K142" s="709">
        <f ca="1">I142*G142*1000</f>
        <v>12756.793052459587</v>
      </c>
      <c r="L142" s="710">
        <f ca="1">IF(F142="n/a","n/a",F142+K142)</f>
        <v>15377.115524695757</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0.152</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0.152</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0.152</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7043.7682450355433</v>
      </c>
    </row>
    <row r="97" spans="1:5" s="14" customFormat="1">
      <c r="A97" s="14" t="s">
        <v>3300</v>
      </c>
      <c r="C97" s="593">
        <f ca="1">include_bond*(VLOOKUP(direct_cost,performance_bond_table_cl,3)+VLOOKUP(direct_cost,performance_bond_table_cl,4)*(direct_cost-VLOOKUP(direct_cost,performance_bond_table_cl,5)))</f>
        <v>24216.965426575131</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103584.82713287565</v>
      </c>
    </row>
    <row r="100" spans="1:5" s="14" customFormat="1">
      <c r="A100" s="14" t="s">
        <v>3305</v>
      </c>
      <c r="B100" s="31" t="s">
        <v>3306</v>
      </c>
      <c r="C100" s="595">
        <f ca="1">SUM(C96:C97,C99)</f>
        <v>134845.56080448633</v>
      </c>
    </row>
    <row r="102" spans="1:5">
      <c r="A102" s="32" t="s">
        <v>5555</v>
      </c>
      <c r="B102" s="14"/>
      <c r="C102" s="14"/>
    </row>
    <row r="103" spans="1:5">
      <c r="A103" s="812" t="s">
        <v>5556</v>
      </c>
      <c r="B103" s="31" t="s">
        <v>5557</v>
      </c>
      <c r="C103" s="1086">
        <f ca="1">Annualized_Capital_Cost/Annualized_Cost</f>
        <v>0.17788454754589156</v>
      </c>
    </row>
    <row r="104" spans="1:5">
      <c r="A104" s="812" t="s">
        <v>5558</v>
      </c>
      <c r="B104" s="31" t="s">
        <v>5559</v>
      </c>
      <c r="C104" s="1086">
        <f ca="1">OM_cost/Annualized_Cost</f>
        <v>0.82211545245410844</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2" t="s">
        <v>5455</v>
      </c>
      <c r="B6" s="1283"/>
      <c r="C6" s="1282" t="s">
        <v>2428</v>
      </c>
      <c r="D6" s="1285"/>
      <c r="E6" s="1285"/>
      <c r="F6" s="1285"/>
      <c r="G6" s="1285"/>
      <c r="H6" s="1283"/>
      <c r="I6" s="1282" t="s">
        <v>2429</v>
      </c>
      <c r="J6" s="1285"/>
      <c r="K6" s="1285"/>
      <c r="L6" s="1283"/>
      <c r="M6" s="1282" t="s">
        <v>1045</v>
      </c>
      <c r="N6" s="1285"/>
      <c r="O6" s="1283"/>
      <c r="P6" s="834" t="s">
        <v>960</v>
      </c>
      <c r="Q6" s="1282" t="s">
        <v>4081</v>
      </c>
      <c r="R6" s="1285"/>
      <c r="S6" s="1283"/>
      <c r="T6" s="1285" t="s">
        <v>3657</v>
      </c>
      <c r="U6" s="1285"/>
      <c r="V6" s="1285"/>
      <c r="W6" s="1285"/>
      <c r="X6" s="1283"/>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4" t="s">
        <v>5178</v>
      </c>
      <c r="AC7" s="1284"/>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6" t="s">
        <v>3084</v>
      </c>
      <c r="H66" s="1286"/>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